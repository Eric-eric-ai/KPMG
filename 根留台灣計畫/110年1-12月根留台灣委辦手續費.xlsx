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nehsueh\Desktop\政策性貸款融資後查核\根留台灣申請委辦手續費\"/>
    </mc:Choice>
  </mc:AlternateContent>
  <xr:revisionPtr revIDLastSave="0" documentId="13_ncr:1_{7A0EE9F0-83BA-49E7-AC6C-0847A9D92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_FilterDatabase" localSheetId="9" hidden="1">'10月'!$A$3:$M$1054</definedName>
    <definedName name="_xlnm._FilterDatabase" localSheetId="10" hidden="1">'11月'!$A$3:$M$1107</definedName>
    <definedName name="_xlnm._FilterDatabase" localSheetId="11" hidden="1">'12月'!$A$3:$M$1194</definedName>
    <definedName name="_xlnm._FilterDatabase" localSheetId="0" hidden="1">'1月'!$A$3:$M$539</definedName>
    <definedName name="_xlnm._FilterDatabase" localSheetId="1" hidden="1">'2月'!$A$3:$M$608</definedName>
    <definedName name="_xlnm._FilterDatabase" localSheetId="2" hidden="1">'3月'!$A$3:$M$667</definedName>
    <definedName name="_xlnm._FilterDatabase" localSheetId="3" hidden="1">'4月'!$A$3:$M$725</definedName>
    <definedName name="_xlnm._FilterDatabase" localSheetId="4" hidden="1">'5月'!$A$3:$M$776</definedName>
    <definedName name="_xlnm._FilterDatabase" localSheetId="5" hidden="1">'6月'!$A$3:$M$829</definedName>
    <definedName name="_xlnm._FilterDatabase" localSheetId="6" hidden="1">'7月'!$A$3:$M$870</definedName>
    <definedName name="_xlnm._FilterDatabase" localSheetId="7" hidden="1">'8月'!$A$3:$M$925</definedName>
    <definedName name="_xlnm._FilterDatabase" localSheetId="8" hidden="1">'9月'!$A$3:$M$989</definedName>
    <definedName name="_xlnm.Print_Area" localSheetId="0">'1月'!$A$1:$M$544</definedName>
    <definedName name="_xlnm.Print_Area" localSheetId="1">'2月'!$A$1:$M$613</definedName>
    <definedName name="_xlnm.Print_Area" localSheetId="2">'3月'!$A$1:$M$672</definedName>
    <definedName name="_xlnm.Print_Area" localSheetId="3">'4月'!$A$1:$M$730</definedName>
    <definedName name="_xlnm.Print_Area" localSheetId="4">'5月'!$A$1:$M$781</definedName>
    <definedName name="_xlnm.Print_Area" localSheetId="5">'6月'!$A$1:$M$834</definedName>
    <definedName name="_xlnm.Print_Area" localSheetId="6">'7月'!$A$1:$M$875</definedName>
    <definedName name="_xlnm.Print_Area" localSheetId="7">'8月'!$A$1:$M$930</definedName>
    <definedName name="_xlnm.Print_Titles" localSheetId="9">'10月'!$1:$3</definedName>
    <definedName name="_xlnm.Print_Titles" localSheetId="10">'11月'!$1:$3</definedName>
    <definedName name="_xlnm.Print_Titles" localSheetId="11">'12月'!$1:$3</definedName>
    <definedName name="_xlnm.Print_Titles" localSheetId="0">'1月'!$1:$3</definedName>
    <definedName name="_xlnm.Print_Titles" localSheetId="1">'2月'!$1:$3</definedName>
    <definedName name="_xlnm.Print_Titles" localSheetId="2">'3月'!$1:$3</definedName>
    <definedName name="_xlnm.Print_Titles" localSheetId="3">'4月'!$1:$3</definedName>
    <definedName name="_xlnm.Print_Titles" localSheetId="4">'5月'!$1:$3</definedName>
    <definedName name="_xlnm.Print_Titles" localSheetId="5">'6月'!$1:$3</definedName>
    <definedName name="_xlnm.Print_Titles" localSheetId="6">'7月'!$1:$3</definedName>
    <definedName name="_xlnm.Print_Titles" localSheetId="7">'8月'!$1:$3</definedName>
    <definedName name="_xlnm.Print_Titles" localSheetId="8">'9月'!$1:$3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0" l="1"/>
  <c r="L4" i="10" s="1"/>
  <c r="K5" i="10"/>
  <c r="L5" i="10" s="1"/>
  <c r="K6" i="10"/>
  <c r="L6" i="10" s="1"/>
  <c r="K7" i="10"/>
  <c r="L7" i="10" s="1"/>
  <c r="K8" i="10"/>
  <c r="L8" i="10"/>
  <c r="K9" i="10"/>
  <c r="L9" i="10" s="1"/>
  <c r="K10" i="10"/>
  <c r="L10" i="10" s="1"/>
  <c r="K11" i="10"/>
  <c r="L11" i="10" s="1"/>
  <c r="K12" i="10"/>
  <c r="L12" i="10" s="1"/>
  <c r="K13" i="10"/>
  <c r="L13" i="10" s="1"/>
  <c r="K14" i="10"/>
  <c r="L14" i="10" s="1"/>
  <c r="K15" i="10"/>
  <c r="L15" i="10"/>
  <c r="K16" i="10"/>
  <c r="L16" i="10" s="1"/>
  <c r="K17" i="10"/>
  <c r="L17" i="10" s="1"/>
  <c r="K18" i="10"/>
  <c r="L18" i="10" s="1"/>
  <c r="K19" i="10"/>
  <c r="L19" i="10" s="1"/>
  <c r="K20" i="10"/>
  <c r="L20" i="10" s="1"/>
  <c r="K21" i="10"/>
  <c r="L21" i="10" s="1"/>
  <c r="K22" i="10"/>
  <c r="L22" i="10" s="1"/>
  <c r="K23" i="10"/>
  <c r="L23" i="10" s="1"/>
  <c r="K24" i="10"/>
  <c r="L24" i="10"/>
  <c r="K25" i="10"/>
  <c r="L25" i="10" s="1"/>
  <c r="K26" i="10"/>
  <c r="L26" i="10" s="1"/>
  <c r="K27" i="10"/>
  <c r="L27" i="10" s="1"/>
  <c r="K28" i="10"/>
  <c r="L28" i="10" s="1"/>
  <c r="K29" i="10"/>
  <c r="L29" i="10" s="1"/>
  <c r="K30" i="10"/>
  <c r="L30" i="10" s="1"/>
  <c r="K31" i="10"/>
  <c r="L31" i="10"/>
  <c r="K32" i="10"/>
  <c r="L32" i="10" s="1"/>
  <c r="K33" i="10"/>
  <c r="L33" i="10" s="1"/>
  <c r="K34" i="10"/>
  <c r="L34" i="10" s="1"/>
  <c r="K35" i="10"/>
  <c r="L35" i="10"/>
  <c r="K36" i="10"/>
  <c r="L36" i="10" s="1"/>
  <c r="K37" i="10"/>
  <c r="L37" i="10" s="1"/>
  <c r="K38" i="10"/>
  <c r="L38" i="10" s="1"/>
  <c r="K39" i="10"/>
  <c r="L39" i="10" s="1"/>
  <c r="K40" i="10"/>
  <c r="L40" i="10"/>
  <c r="K41" i="10"/>
  <c r="L41" i="10" s="1"/>
  <c r="K42" i="10"/>
  <c r="L42" i="10" s="1"/>
  <c r="K43" i="10"/>
  <c r="L43" i="10" s="1"/>
  <c r="K44" i="10"/>
  <c r="L44" i="10" s="1"/>
  <c r="K45" i="10"/>
  <c r="L45" i="10" s="1"/>
  <c r="K46" i="10"/>
  <c r="L46" i="10" s="1"/>
  <c r="K47" i="10"/>
  <c r="L47" i="10"/>
  <c r="K48" i="10"/>
  <c r="L48" i="10" s="1"/>
  <c r="K49" i="10"/>
  <c r="L49" i="10" s="1"/>
  <c r="K50" i="10"/>
  <c r="L50" i="10" s="1"/>
  <c r="K51" i="10"/>
  <c r="L51" i="10" s="1"/>
  <c r="K52" i="10"/>
  <c r="L52" i="10" s="1"/>
  <c r="E53" i="10"/>
  <c r="M53" i="10"/>
  <c r="K54" i="10"/>
  <c r="L54" i="10" s="1"/>
  <c r="K55" i="10"/>
  <c r="L55" i="10" s="1"/>
  <c r="K56" i="10"/>
  <c r="L56" i="10" s="1"/>
  <c r="K57" i="10"/>
  <c r="L57" i="10" s="1"/>
  <c r="K58" i="10"/>
  <c r="L58" i="10" s="1"/>
  <c r="K59" i="10"/>
  <c r="L59" i="10" s="1"/>
  <c r="K60" i="10"/>
  <c r="L60" i="10" s="1"/>
  <c r="K61" i="10"/>
  <c r="L61" i="10"/>
  <c r="E62" i="10"/>
  <c r="M62" i="10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L69" i="10" s="1"/>
  <c r="K70" i="10"/>
  <c r="L70" i="10" s="1"/>
  <c r="K71" i="10"/>
  <c r="L7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78" i="10"/>
  <c r="L78" i="10" s="1"/>
  <c r="K79" i="10"/>
  <c r="L79" i="10" s="1"/>
  <c r="K80" i="10"/>
  <c r="L80" i="10" s="1"/>
  <c r="K81" i="10"/>
  <c r="L81" i="10" s="1"/>
  <c r="K82" i="10"/>
  <c r="L82" i="10" s="1"/>
  <c r="K83" i="10"/>
  <c r="L83" i="10"/>
  <c r="K84" i="10"/>
  <c r="L84" i="10" s="1"/>
  <c r="K85" i="10"/>
  <c r="L85" i="10" s="1"/>
  <c r="K86" i="10"/>
  <c r="L86" i="10" s="1"/>
  <c r="K87" i="10"/>
  <c r="L87" i="10"/>
  <c r="K88" i="10"/>
  <c r="L88" i="10" s="1"/>
  <c r="K89" i="10"/>
  <c r="L89" i="10" s="1"/>
  <c r="K90" i="10"/>
  <c r="L90" i="10" s="1"/>
  <c r="K91" i="10"/>
  <c r="L91" i="10" s="1"/>
  <c r="K92" i="10"/>
  <c r="L92" i="10" s="1"/>
  <c r="K93" i="10"/>
  <c r="L93" i="10" s="1"/>
  <c r="K94" i="10"/>
  <c r="L94" i="10"/>
  <c r="K95" i="10"/>
  <c r="L95" i="10" s="1"/>
  <c r="K96" i="10"/>
  <c r="L96" i="10" s="1"/>
  <c r="K97" i="10"/>
  <c r="L97" i="10" s="1"/>
  <c r="K98" i="10"/>
  <c r="L98" i="10" s="1"/>
  <c r="K99" i="10"/>
  <c r="L99" i="10" s="1"/>
  <c r="K100" i="10"/>
  <c r="L100" i="10" s="1"/>
  <c r="K101" i="10"/>
  <c r="L101" i="10" s="1"/>
  <c r="K102" i="10"/>
  <c r="L102" i="10" s="1"/>
  <c r="K103" i="10"/>
  <c r="L103" i="10" s="1"/>
  <c r="K104" i="10"/>
  <c r="L104" i="10" s="1"/>
  <c r="K105" i="10"/>
  <c r="L105" i="10" s="1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K112" i="10"/>
  <c r="L112" i="10" s="1"/>
  <c r="K113" i="10"/>
  <c r="L113" i="10" s="1"/>
  <c r="K114" i="10"/>
  <c r="L114" i="10" s="1"/>
  <c r="K115" i="10"/>
  <c r="L115" i="10"/>
  <c r="K116" i="10"/>
  <c r="L116" i="10" s="1"/>
  <c r="K117" i="10"/>
  <c r="L117" i="10" s="1"/>
  <c r="K118" i="10"/>
  <c r="L118" i="10" s="1"/>
  <c r="K119" i="10"/>
  <c r="L119" i="10"/>
  <c r="K120" i="10"/>
  <c r="L120" i="10" s="1"/>
  <c r="K121" i="10"/>
  <c r="L121" i="10" s="1"/>
  <c r="K122" i="10"/>
  <c r="L122" i="10" s="1"/>
  <c r="K123" i="10"/>
  <c r="L123" i="10" s="1"/>
  <c r="K124" i="10"/>
  <c r="L124" i="10" s="1"/>
  <c r="K125" i="10"/>
  <c r="L125" i="10" s="1"/>
  <c r="K126" i="10"/>
  <c r="L126" i="10"/>
  <c r="K127" i="10"/>
  <c r="L127" i="10" s="1"/>
  <c r="K128" i="10"/>
  <c r="L128" i="10" s="1"/>
  <c r="K129" i="10"/>
  <c r="L129" i="10" s="1"/>
  <c r="K130" i="10"/>
  <c r="L130" i="10" s="1"/>
  <c r="K131" i="10"/>
  <c r="L131" i="10" s="1"/>
  <c r="K132" i="10"/>
  <c r="L132" i="10" s="1"/>
  <c r="K133" i="10"/>
  <c r="L133" i="10" s="1"/>
  <c r="K134" i="10"/>
  <c r="L134" i="10" s="1"/>
  <c r="K135" i="10"/>
  <c r="L135" i="10" s="1"/>
  <c r="K136" i="10"/>
  <c r="L136" i="10" s="1"/>
  <c r="K137" i="10"/>
  <c r="L137" i="10" s="1"/>
  <c r="K138" i="10"/>
  <c r="L138" i="10" s="1"/>
  <c r="K139" i="10"/>
  <c r="L139" i="10" s="1"/>
  <c r="K140" i="10"/>
  <c r="L140" i="10" s="1"/>
  <c r="K141" i="10"/>
  <c r="L141" i="10" s="1"/>
  <c r="K142" i="10"/>
  <c r="L142" i="10" s="1"/>
  <c r="K143" i="10"/>
  <c r="L143" i="10" s="1"/>
  <c r="K144" i="10"/>
  <c r="L144" i="10" s="1"/>
  <c r="K145" i="10"/>
  <c r="L145" i="10" s="1"/>
  <c r="K146" i="10"/>
  <c r="L146" i="10" s="1"/>
  <c r="K147" i="10"/>
  <c r="L147" i="10"/>
  <c r="K148" i="10"/>
  <c r="L148" i="10" s="1"/>
  <c r="K149" i="10"/>
  <c r="L149" i="10" s="1"/>
  <c r="K150" i="10"/>
  <c r="L150" i="10" s="1"/>
  <c r="K151" i="10"/>
  <c r="L151" i="10"/>
  <c r="K152" i="10"/>
  <c r="L152" i="10" s="1"/>
  <c r="K153" i="10"/>
  <c r="L153" i="10" s="1"/>
  <c r="K154" i="10"/>
  <c r="L154" i="10" s="1"/>
  <c r="K155" i="10"/>
  <c r="L155" i="10" s="1"/>
  <c r="K156" i="10"/>
  <c r="L156" i="10" s="1"/>
  <c r="K157" i="10"/>
  <c r="L157" i="10" s="1"/>
  <c r="K158" i="10"/>
  <c r="L158" i="10"/>
  <c r="K159" i="10"/>
  <c r="L159" i="10" s="1"/>
  <c r="K160" i="10"/>
  <c r="L160" i="10" s="1"/>
  <c r="K161" i="10"/>
  <c r="L161" i="10" s="1"/>
  <c r="K162" i="10"/>
  <c r="L162" i="10" s="1"/>
  <c r="K163" i="10"/>
  <c r="L163" i="10" s="1"/>
  <c r="K164" i="10"/>
  <c r="L164" i="10" s="1"/>
  <c r="K165" i="10"/>
  <c r="L165" i="10" s="1"/>
  <c r="K166" i="10"/>
  <c r="L166" i="10" s="1"/>
  <c r="K167" i="10"/>
  <c r="L167" i="10" s="1"/>
  <c r="K168" i="10"/>
  <c r="L168" i="10" s="1"/>
  <c r="K169" i="10"/>
  <c r="L169" i="10" s="1"/>
  <c r="K170" i="10"/>
  <c r="L170" i="10" s="1"/>
  <c r="K171" i="10"/>
  <c r="L171" i="10" s="1"/>
  <c r="K172" i="10"/>
  <c r="L172" i="10" s="1"/>
  <c r="K173" i="10"/>
  <c r="L173" i="10" s="1"/>
  <c r="K174" i="10"/>
  <c r="L174" i="10" s="1"/>
  <c r="K175" i="10"/>
  <c r="L175" i="10" s="1"/>
  <c r="E176" i="10"/>
  <c r="M176" i="10"/>
  <c r="K177" i="10"/>
  <c r="L177" i="10" s="1"/>
  <c r="K178" i="10"/>
  <c r="L178" i="10" s="1"/>
  <c r="K179" i="10"/>
  <c r="L179" i="10"/>
  <c r="K180" i="10"/>
  <c r="L180" i="10" s="1"/>
  <c r="K181" i="10"/>
  <c r="L181" i="10" s="1"/>
  <c r="K182" i="10"/>
  <c r="L182" i="10" s="1"/>
  <c r="K183" i="10"/>
  <c r="L183" i="10" s="1"/>
  <c r="K184" i="10"/>
  <c r="L184" i="10"/>
  <c r="K185" i="10"/>
  <c r="L185" i="10" s="1"/>
  <c r="K186" i="10"/>
  <c r="L186" i="10" s="1"/>
  <c r="K187" i="10"/>
  <c r="L187" i="10"/>
  <c r="K188" i="10"/>
  <c r="L188" i="10"/>
  <c r="K189" i="10"/>
  <c r="L189" i="10" s="1"/>
  <c r="K190" i="10"/>
  <c r="L190" i="10" s="1"/>
  <c r="K191" i="10"/>
  <c r="L191" i="10" s="1"/>
  <c r="K192" i="10"/>
  <c r="L192" i="10" s="1"/>
  <c r="K193" i="10"/>
  <c r="L193" i="10" s="1"/>
  <c r="K194" i="10"/>
  <c r="L194" i="10" s="1"/>
  <c r="K195" i="10"/>
  <c r="L195" i="10" s="1"/>
  <c r="K196" i="10"/>
  <c r="L196" i="10" s="1"/>
  <c r="K197" i="10"/>
  <c r="L197" i="10" s="1"/>
  <c r="K198" i="10"/>
  <c r="L198" i="10" s="1"/>
  <c r="K199" i="10"/>
  <c r="L199" i="10"/>
  <c r="K200" i="10"/>
  <c r="L200" i="10" s="1"/>
  <c r="K201" i="10"/>
  <c r="L201" i="10" s="1"/>
  <c r="K202" i="10"/>
  <c r="L202" i="10" s="1"/>
  <c r="K203" i="10"/>
  <c r="L203" i="10" s="1"/>
  <c r="K204" i="10"/>
  <c r="L204" i="10"/>
  <c r="K205" i="10"/>
  <c r="L205" i="10" s="1"/>
  <c r="K206" i="10"/>
  <c r="L206" i="10" s="1"/>
  <c r="K207" i="10"/>
  <c r="L207" i="10" s="1"/>
  <c r="K208" i="10"/>
  <c r="L208" i="10"/>
  <c r="K209" i="10"/>
  <c r="L209" i="10" s="1"/>
  <c r="K210" i="10"/>
  <c r="L210" i="10" s="1"/>
  <c r="K211" i="10"/>
  <c r="L211" i="10" s="1"/>
  <c r="K212" i="10"/>
  <c r="L212" i="10" s="1"/>
  <c r="K213" i="10"/>
  <c r="L213" i="10" s="1"/>
  <c r="K214" i="10"/>
  <c r="L214" i="10" s="1"/>
  <c r="K215" i="10"/>
  <c r="L215" i="10" s="1"/>
  <c r="K216" i="10"/>
  <c r="L216" i="10"/>
  <c r="K217" i="10"/>
  <c r="L217" i="10" s="1"/>
  <c r="K218" i="10"/>
  <c r="L218" i="10" s="1"/>
  <c r="K219" i="10"/>
  <c r="L219" i="10"/>
  <c r="K220" i="10"/>
  <c r="L220" i="10" s="1"/>
  <c r="K221" i="10"/>
  <c r="L221" i="10" s="1"/>
  <c r="K222" i="10"/>
  <c r="L222" i="10" s="1"/>
  <c r="K223" i="10"/>
  <c r="L223" i="10" s="1"/>
  <c r="K224" i="10"/>
  <c r="L224" i="10" s="1"/>
  <c r="K225" i="10"/>
  <c r="L225" i="10" s="1"/>
  <c r="K226" i="10"/>
  <c r="L226" i="10" s="1"/>
  <c r="K227" i="10"/>
  <c r="L227" i="10" s="1"/>
  <c r="K228" i="10"/>
  <c r="L228" i="10" s="1"/>
  <c r="K229" i="10"/>
  <c r="L229" i="10" s="1"/>
  <c r="K230" i="10"/>
  <c r="L230" i="10" s="1"/>
  <c r="K231" i="10"/>
  <c r="L231" i="10"/>
  <c r="K232" i="10"/>
  <c r="L232" i="10" s="1"/>
  <c r="K233" i="10"/>
  <c r="L233" i="10" s="1"/>
  <c r="K234" i="10"/>
  <c r="L234" i="10" s="1"/>
  <c r="K235" i="10"/>
  <c r="L235" i="10" s="1"/>
  <c r="K236" i="10"/>
  <c r="L236" i="10"/>
  <c r="K237" i="10"/>
  <c r="L237" i="10" s="1"/>
  <c r="K238" i="10"/>
  <c r="L238" i="10" s="1"/>
  <c r="K239" i="10"/>
  <c r="L239" i="10" s="1"/>
  <c r="K240" i="10"/>
  <c r="L240" i="10" s="1"/>
  <c r="K241" i="10"/>
  <c r="L241" i="10" s="1"/>
  <c r="K242" i="10"/>
  <c r="L242" i="10" s="1"/>
  <c r="K243" i="10"/>
  <c r="L243" i="10"/>
  <c r="K244" i="10"/>
  <c r="L244" i="10" s="1"/>
  <c r="K245" i="10"/>
  <c r="L245" i="10" s="1"/>
  <c r="K246" i="10"/>
  <c r="L246" i="10" s="1"/>
  <c r="K247" i="10"/>
  <c r="L247" i="10"/>
  <c r="K248" i="10"/>
  <c r="L248" i="10"/>
  <c r="K249" i="10"/>
  <c r="L249" i="10" s="1"/>
  <c r="K250" i="10"/>
  <c r="L250" i="10" s="1"/>
  <c r="K251" i="10"/>
  <c r="L251" i="10"/>
  <c r="K252" i="10"/>
  <c r="L252" i="10"/>
  <c r="K253" i="10"/>
  <c r="L253" i="10" s="1"/>
  <c r="K254" i="10"/>
  <c r="L254" i="10" s="1"/>
  <c r="K255" i="10"/>
  <c r="L255" i="10" s="1"/>
  <c r="K256" i="10"/>
  <c r="L256" i="10" s="1"/>
  <c r="K257" i="10"/>
  <c r="L257" i="10" s="1"/>
  <c r="K258" i="10"/>
  <c r="L258" i="10" s="1"/>
  <c r="K259" i="10"/>
  <c r="L259" i="10" s="1"/>
  <c r="K260" i="10"/>
  <c r="L260" i="10" s="1"/>
  <c r="K261" i="10"/>
  <c r="L261" i="10" s="1"/>
  <c r="K262" i="10"/>
  <c r="L262" i="10" s="1"/>
  <c r="K263" i="10"/>
  <c r="L263" i="10"/>
  <c r="K264" i="10"/>
  <c r="L264" i="10" s="1"/>
  <c r="K265" i="10"/>
  <c r="L265" i="10" s="1"/>
  <c r="K266" i="10"/>
  <c r="L266" i="10" s="1"/>
  <c r="E267" i="10"/>
  <c r="M267" i="10"/>
  <c r="K268" i="10"/>
  <c r="L268" i="10" s="1"/>
  <c r="K269" i="10"/>
  <c r="L269" i="10" s="1"/>
  <c r="K270" i="10"/>
  <c r="L270" i="10" s="1"/>
  <c r="K271" i="10"/>
  <c r="L271" i="10" s="1"/>
  <c r="K272" i="10"/>
  <c r="L272" i="10" s="1"/>
  <c r="K273" i="10"/>
  <c r="L273" i="10"/>
  <c r="K274" i="10"/>
  <c r="L274" i="10" s="1"/>
  <c r="K275" i="10"/>
  <c r="L275" i="10" s="1"/>
  <c r="K276" i="10"/>
  <c r="L276" i="10" s="1"/>
  <c r="K277" i="10"/>
  <c r="L277" i="10" s="1"/>
  <c r="K278" i="10"/>
  <c r="L278" i="10" s="1"/>
  <c r="K279" i="10"/>
  <c r="L279" i="10" s="1"/>
  <c r="K280" i="10"/>
  <c r="L280" i="10" s="1"/>
  <c r="K281" i="10"/>
  <c r="L281" i="10" s="1"/>
  <c r="K282" i="10"/>
  <c r="L282" i="10"/>
  <c r="K283" i="10"/>
  <c r="L283" i="10" s="1"/>
  <c r="K284" i="10"/>
  <c r="L284" i="10" s="1"/>
  <c r="K285" i="10"/>
  <c r="L285" i="10" s="1"/>
  <c r="K286" i="10"/>
  <c r="L286" i="10" s="1"/>
  <c r="K287" i="10"/>
  <c r="L287" i="10" s="1"/>
  <c r="K288" i="10"/>
  <c r="L288" i="10" s="1"/>
  <c r="K289" i="10"/>
  <c r="L289" i="10"/>
  <c r="K290" i="10"/>
  <c r="L290" i="10" s="1"/>
  <c r="K291" i="10"/>
  <c r="L291" i="10" s="1"/>
  <c r="K292" i="10"/>
  <c r="L292" i="10" s="1"/>
  <c r="K293" i="10"/>
  <c r="L293" i="10"/>
  <c r="K294" i="10"/>
  <c r="L294" i="10" s="1"/>
  <c r="K295" i="10"/>
  <c r="L295" i="10" s="1"/>
  <c r="K296" i="10"/>
  <c r="L296" i="10" s="1"/>
  <c r="K297" i="10"/>
  <c r="L297" i="10" s="1"/>
  <c r="K298" i="10"/>
  <c r="L298" i="10"/>
  <c r="K299" i="10"/>
  <c r="L299" i="10" s="1"/>
  <c r="K300" i="10"/>
  <c r="L300" i="10" s="1"/>
  <c r="K301" i="10"/>
  <c r="L301" i="10" s="1"/>
  <c r="K302" i="10"/>
  <c r="L302" i="10" s="1"/>
  <c r="K303" i="10"/>
  <c r="L303" i="10" s="1"/>
  <c r="K304" i="10"/>
  <c r="L304" i="10" s="1"/>
  <c r="K305" i="10"/>
  <c r="L305" i="10"/>
  <c r="K306" i="10"/>
  <c r="L306" i="10" s="1"/>
  <c r="K307" i="10"/>
  <c r="L307" i="10" s="1"/>
  <c r="K308" i="10"/>
  <c r="L308" i="10" s="1"/>
  <c r="K309" i="10"/>
  <c r="L309" i="10" s="1"/>
  <c r="K310" i="10"/>
  <c r="L310" i="10" s="1"/>
  <c r="K311" i="10"/>
  <c r="L311" i="10" s="1"/>
  <c r="K312" i="10"/>
  <c r="L312" i="10" s="1"/>
  <c r="K313" i="10"/>
  <c r="L313" i="10" s="1"/>
  <c r="K314" i="10"/>
  <c r="L314" i="10"/>
  <c r="K315" i="10"/>
  <c r="L315" i="10" s="1"/>
  <c r="K316" i="10"/>
  <c r="L316" i="10" s="1"/>
  <c r="K317" i="10"/>
  <c r="L317" i="10" s="1"/>
  <c r="K318" i="10"/>
  <c r="L318" i="10" s="1"/>
  <c r="K319" i="10"/>
  <c r="L319" i="10" s="1"/>
  <c r="K320" i="10"/>
  <c r="L320" i="10" s="1"/>
  <c r="K321" i="10"/>
  <c r="L321" i="10"/>
  <c r="K322" i="10"/>
  <c r="L322" i="10" s="1"/>
  <c r="K323" i="10"/>
  <c r="L323" i="10" s="1"/>
  <c r="K324" i="10"/>
  <c r="L324" i="10" s="1"/>
  <c r="K325" i="10"/>
  <c r="L325" i="10"/>
  <c r="K326" i="10"/>
  <c r="L326" i="10" s="1"/>
  <c r="K327" i="10"/>
  <c r="L327" i="10" s="1"/>
  <c r="K328" i="10"/>
  <c r="L328" i="10" s="1"/>
  <c r="K329" i="10"/>
  <c r="L329" i="10" s="1"/>
  <c r="K330" i="10"/>
  <c r="L330" i="10"/>
  <c r="K331" i="10"/>
  <c r="L331" i="10" s="1"/>
  <c r="K332" i="10"/>
  <c r="L332" i="10" s="1"/>
  <c r="K333" i="10"/>
  <c r="L333" i="10" s="1"/>
  <c r="K334" i="10"/>
  <c r="L334" i="10" s="1"/>
  <c r="K335" i="10"/>
  <c r="L335" i="10" s="1"/>
  <c r="K336" i="10"/>
  <c r="L336" i="10" s="1"/>
  <c r="K337" i="10"/>
  <c r="L337" i="10"/>
  <c r="K338" i="10"/>
  <c r="L338" i="10" s="1"/>
  <c r="K339" i="10"/>
  <c r="L339" i="10" s="1"/>
  <c r="K340" i="10"/>
  <c r="L340" i="10" s="1"/>
  <c r="K341" i="10"/>
  <c r="L341" i="10" s="1"/>
  <c r="K342" i="10"/>
  <c r="L342" i="10" s="1"/>
  <c r="K343" i="10"/>
  <c r="L343" i="10" s="1"/>
  <c r="K344" i="10"/>
  <c r="L344" i="10" s="1"/>
  <c r="K345" i="10"/>
  <c r="L345" i="10" s="1"/>
  <c r="K346" i="10"/>
  <c r="L346" i="10"/>
  <c r="K347" i="10"/>
  <c r="L347" i="10" s="1"/>
  <c r="K348" i="10"/>
  <c r="L348" i="10" s="1"/>
  <c r="K349" i="10"/>
  <c r="L349" i="10" s="1"/>
  <c r="K350" i="10"/>
  <c r="L350" i="10" s="1"/>
  <c r="K351" i="10"/>
  <c r="L351" i="10" s="1"/>
  <c r="K352" i="10"/>
  <c r="L352" i="10" s="1"/>
  <c r="K353" i="10"/>
  <c r="L353" i="10"/>
  <c r="K354" i="10"/>
  <c r="L354" i="10" s="1"/>
  <c r="K355" i="10"/>
  <c r="L355" i="10" s="1"/>
  <c r="K356" i="10"/>
  <c r="L356" i="10" s="1"/>
  <c r="K357" i="10"/>
  <c r="L357" i="10"/>
  <c r="K358" i="10"/>
  <c r="L358" i="10" s="1"/>
  <c r="K359" i="10"/>
  <c r="L359" i="10" s="1"/>
  <c r="K360" i="10"/>
  <c r="L360" i="10" s="1"/>
  <c r="K361" i="10"/>
  <c r="L361" i="10" s="1"/>
  <c r="K362" i="10"/>
  <c r="L362" i="10"/>
  <c r="K363" i="10"/>
  <c r="L363" i="10" s="1"/>
  <c r="K364" i="10"/>
  <c r="L364" i="10" s="1"/>
  <c r="E365" i="10"/>
  <c r="M365" i="10"/>
  <c r="K366" i="10"/>
  <c r="L366" i="10" s="1"/>
  <c r="K367" i="10"/>
  <c r="L367" i="10" s="1"/>
  <c r="K368" i="10"/>
  <c r="L368" i="10" s="1"/>
  <c r="K369" i="10"/>
  <c r="L369" i="10" s="1"/>
  <c r="K370" i="10"/>
  <c r="L370" i="10" s="1"/>
  <c r="K371" i="10"/>
  <c r="L371" i="10" s="1"/>
  <c r="K372" i="10"/>
  <c r="L372" i="10"/>
  <c r="K373" i="10"/>
  <c r="L373" i="10" s="1"/>
  <c r="K374" i="10"/>
  <c r="L374" i="10" s="1"/>
  <c r="K375" i="10"/>
  <c r="L375" i="10" s="1"/>
  <c r="K376" i="10"/>
  <c r="L376" i="10" s="1"/>
  <c r="K377" i="10"/>
  <c r="L377" i="10" s="1"/>
  <c r="K378" i="10"/>
  <c r="L378" i="10" s="1"/>
  <c r="K379" i="10"/>
  <c r="L379" i="10"/>
  <c r="K380" i="10"/>
  <c r="L380" i="10" s="1"/>
  <c r="K381" i="10"/>
  <c r="L381" i="10" s="1"/>
  <c r="K382" i="10"/>
  <c r="L382" i="10" s="1"/>
  <c r="K383" i="10"/>
  <c r="L383" i="10" s="1"/>
  <c r="K384" i="10"/>
  <c r="L384" i="10" s="1"/>
  <c r="K385" i="10"/>
  <c r="L385" i="10" s="1"/>
  <c r="K386" i="10"/>
  <c r="L386" i="10" s="1"/>
  <c r="K387" i="10"/>
  <c r="L387" i="10" s="1"/>
  <c r="K388" i="10"/>
  <c r="L388" i="10"/>
  <c r="K389" i="10"/>
  <c r="L389" i="10" s="1"/>
  <c r="K390" i="10"/>
  <c r="L390" i="10" s="1"/>
  <c r="K391" i="10"/>
  <c r="L391" i="10" s="1"/>
  <c r="K392" i="10"/>
  <c r="L392" i="10" s="1"/>
  <c r="K393" i="10"/>
  <c r="L393" i="10" s="1"/>
  <c r="K394" i="10"/>
  <c r="L394" i="10"/>
  <c r="K395" i="10"/>
  <c r="L395" i="10" s="1"/>
  <c r="K396" i="10"/>
  <c r="L396" i="10" s="1"/>
  <c r="K397" i="10"/>
  <c r="L397" i="10" s="1"/>
  <c r="K398" i="10"/>
  <c r="L398" i="10" s="1"/>
  <c r="K399" i="10"/>
  <c r="L399" i="10"/>
  <c r="K400" i="10"/>
  <c r="L400" i="10" s="1"/>
  <c r="K401" i="10"/>
  <c r="L401" i="10" s="1"/>
  <c r="K402" i="10"/>
  <c r="L402" i="10" s="1"/>
  <c r="K403" i="10"/>
  <c r="L403" i="10" s="1"/>
  <c r="K404" i="10"/>
  <c r="L404" i="10" s="1"/>
  <c r="K405" i="10"/>
  <c r="L405" i="10" s="1"/>
  <c r="K406" i="10"/>
  <c r="L406" i="10" s="1"/>
  <c r="K407" i="10"/>
  <c r="L407" i="10"/>
  <c r="K408" i="10"/>
  <c r="L408" i="10" s="1"/>
  <c r="K409" i="10"/>
  <c r="L409" i="10" s="1"/>
  <c r="K410" i="10"/>
  <c r="L410" i="10"/>
  <c r="K411" i="10"/>
  <c r="L411" i="10" s="1"/>
  <c r="K412" i="10"/>
  <c r="L412" i="10" s="1"/>
  <c r="K413" i="10"/>
  <c r="L413" i="10" s="1"/>
  <c r="K414" i="10"/>
  <c r="L414" i="10" s="1"/>
  <c r="K415" i="10"/>
  <c r="L415" i="10" s="1"/>
  <c r="K416" i="10"/>
  <c r="L416" i="10" s="1"/>
  <c r="K417" i="10"/>
  <c r="L417" i="10" s="1"/>
  <c r="K418" i="10"/>
  <c r="L418" i="10" s="1"/>
  <c r="K419" i="10"/>
  <c r="L419" i="10" s="1"/>
  <c r="K420" i="10"/>
  <c r="L420" i="10" s="1"/>
  <c r="K421" i="10"/>
  <c r="L421" i="10" s="1"/>
  <c r="K422" i="10"/>
  <c r="L422" i="10" s="1"/>
  <c r="K423" i="10"/>
  <c r="L423" i="10"/>
  <c r="K424" i="10"/>
  <c r="L424" i="10" s="1"/>
  <c r="K425" i="10"/>
  <c r="L425" i="10" s="1"/>
  <c r="K426" i="10"/>
  <c r="L426" i="10" s="1"/>
  <c r="K427" i="10"/>
  <c r="L427" i="10" s="1"/>
  <c r="K428" i="10"/>
  <c r="L428" i="10" s="1"/>
  <c r="K429" i="10"/>
  <c r="L429" i="10" s="1"/>
  <c r="K430" i="10"/>
  <c r="L430" i="10" s="1"/>
  <c r="K431" i="10"/>
  <c r="L431" i="10" s="1"/>
  <c r="K432" i="10"/>
  <c r="L432" i="10" s="1"/>
  <c r="K433" i="10"/>
  <c r="L433" i="10" s="1"/>
  <c r="K434" i="10"/>
  <c r="L434" i="10" s="1"/>
  <c r="K435" i="10"/>
  <c r="L435" i="10" s="1"/>
  <c r="K436" i="10"/>
  <c r="L436" i="10"/>
  <c r="K437" i="10"/>
  <c r="L437" i="10" s="1"/>
  <c r="K438" i="10"/>
  <c r="L438" i="10" s="1"/>
  <c r="K439" i="10"/>
  <c r="L439" i="10" s="1"/>
  <c r="K440" i="10"/>
  <c r="L440" i="10" s="1"/>
  <c r="K441" i="10"/>
  <c r="L441" i="10" s="1"/>
  <c r="K442" i="10"/>
  <c r="L442" i="10" s="1"/>
  <c r="K443" i="10"/>
  <c r="L443" i="10"/>
  <c r="K444" i="10"/>
  <c r="L444" i="10" s="1"/>
  <c r="K445" i="10"/>
  <c r="L445" i="10" s="1"/>
  <c r="K446" i="10"/>
  <c r="L446" i="10" s="1"/>
  <c r="K447" i="10"/>
  <c r="L447" i="10" s="1"/>
  <c r="K448" i="10"/>
  <c r="L448" i="10" s="1"/>
  <c r="K449" i="10"/>
  <c r="L449" i="10" s="1"/>
  <c r="K450" i="10"/>
  <c r="L450" i="10" s="1"/>
  <c r="K451" i="10"/>
  <c r="L451" i="10" s="1"/>
  <c r="K452" i="10"/>
  <c r="L452" i="10"/>
  <c r="K453" i="10"/>
  <c r="L453" i="10" s="1"/>
  <c r="K454" i="10"/>
  <c r="L454" i="10" s="1"/>
  <c r="K455" i="10"/>
  <c r="L455" i="10" s="1"/>
  <c r="K456" i="10"/>
  <c r="L456" i="10" s="1"/>
  <c r="K457" i="10"/>
  <c r="L457" i="10" s="1"/>
  <c r="K458" i="10"/>
  <c r="L458" i="10" s="1"/>
  <c r="K459" i="10"/>
  <c r="L459" i="10" s="1"/>
  <c r="K460" i="10"/>
  <c r="L460" i="10" s="1"/>
  <c r="K461" i="10"/>
  <c r="L461" i="10" s="1"/>
  <c r="K462" i="10"/>
  <c r="L462" i="10" s="1"/>
  <c r="K463" i="10"/>
  <c r="L463" i="10" s="1"/>
  <c r="K464" i="10"/>
  <c r="L464" i="10"/>
  <c r="K465" i="10"/>
  <c r="L465" i="10" s="1"/>
  <c r="K466" i="10"/>
  <c r="L466" i="10" s="1"/>
  <c r="K467" i="10"/>
  <c r="L467" i="10"/>
  <c r="K468" i="10"/>
  <c r="L468" i="10" s="1"/>
  <c r="K469" i="10"/>
  <c r="L469" i="10" s="1"/>
  <c r="K470" i="10"/>
  <c r="L470" i="10" s="1"/>
  <c r="K471" i="10"/>
  <c r="L471" i="10" s="1"/>
  <c r="K472" i="10"/>
  <c r="L472" i="10" s="1"/>
  <c r="K473" i="10"/>
  <c r="L473" i="10" s="1"/>
  <c r="K474" i="10"/>
  <c r="L474" i="10" s="1"/>
  <c r="K475" i="10"/>
  <c r="L475" i="10" s="1"/>
  <c r="K476" i="10"/>
  <c r="L476" i="10" s="1"/>
  <c r="K477" i="10"/>
  <c r="L477" i="10" s="1"/>
  <c r="K478" i="10"/>
  <c r="L478" i="10" s="1"/>
  <c r="K479" i="10"/>
  <c r="L479" i="10"/>
  <c r="K480" i="10"/>
  <c r="L480" i="10" s="1"/>
  <c r="K481" i="10"/>
  <c r="L481" i="10" s="1"/>
  <c r="K482" i="10"/>
  <c r="L482" i="10"/>
  <c r="K483" i="10"/>
  <c r="L483" i="10" s="1"/>
  <c r="K484" i="10"/>
  <c r="L484" i="10" s="1"/>
  <c r="K485" i="10"/>
  <c r="L485" i="10" s="1"/>
  <c r="K486" i="10"/>
  <c r="L486" i="10" s="1"/>
  <c r="K487" i="10"/>
  <c r="L487" i="10" s="1"/>
  <c r="K488" i="10"/>
  <c r="L488" i="10" s="1"/>
  <c r="K489" i="10"/>
  <c r="L489" i="10" s="1"/>
  <c r="K490" i="10"/>
  <c r="L490" i="10" s="1"/>
  <c r="K491" i="10"/>
  <c r="L491" i="10" s="1"/>
  <c r="K492" i="10"/>
  <c r="L492" i="10"/>
  <c r="K493" i="10"/>
  <c r="L493" i="10" s="1"/>
  <c r="K494" i="10"/>
  <c r="L494" i="10" s="1"/>
  <c r="K495" i="10"/>
  <c r="L495" i="10" s="1"/>
  <c r="K496" i="10"/>
  <c r="L496" i="10" s="1"/>
  <c r="K497" i="10"/>
  <c r="L497" i="10" s="1"/>
  <c r="K498" i="10"/>
  <c r="L498" i="10" s="1"/>
  <c r="K499" i="10"/>
  <c r="L499" i="10" s="1"/>
  <c r="K500" i="10"/>
  <c r="L500" i="10"/>
  <c r="K501" i="10"/>
  <c r="L501" i="10" s="1"/>
  <c r="K502" i="10"/>
  <c r="L502" i="10" s="1"/>
  <c r="K503" i="10"/>
  <c r="L503" i="10" s="1"/>
  <c r="K504" i="10"/>
  <c r="L504" i="10" s="1"/>
  <c r="K505" i="10"/>
  <c r="L505" i="10" s="1"/>
  <c r="K506" i="10"/>
  <c r="L506" i="10" s="1"/>
  <c r="K507" i="10"/>
  <c r="L507" i="10"/>
  <c r="K508" i="10"/>
  <c r="L508" i="10" s="1"/>
  <c r="K509" i="10"/>
  <c r="L509" i="10" s="1"/>
  <c r="K510" i="10"/>
  <c r="L510" i="10" s="1"/>
  <c r="K511" i="10"/>
  <c r="L511" i="10" s="1"/>
  <c r="K512" i="10"/>
  <c r="L512" i="10"/>
  <c r="K513" i="10"/>
  <c r="L513" i="10" s="1"/>
  <c r="K514" i="10"/>
  <c r="L514" i="10" s="1"/>
  <c r="K515" i="10"/>
  <c r="L515" i="10" s="1"/>
  <c r="K516" i="10"/>
  <c r="L516" i="10" s="1"/>
  <c r="K517" i="10"/>
  <c r="L517" i="10" s="1"/>
  <c r="K518" i="10"/>
  <c r="L518" i="10" s="1"/>
  <c r="K519" i="10"/>
  <c r="L519" i="10" s="1"/>
  <c r="K520" i="10"/>
  <c r="L520" i="10" s="1"/>
  <c r="K521" i="10"/>
  <c r="L521" i="10" s="1"/>
  <c r="K522" i="10"/>
  <c r="L522" i="10"/>
  <c r="K523" i="10"/>
  <c r="L523" i="10" s="1"/>
  <c r="K524" i="10"/>
  <c r="L524" i="10" s="1"/>
  <c r="K525" i="10"/>
  <c r="L525" i="10" s="1"/>
  <c r="K526" i="10"/>
  <c r="L526" i="10" s="1"/>
  <c r="K527" i="10"/>
  <c r="L527" i="10" s="1"/>
  <c r="K528" i="10"/>
  <c r="L528" i="10" s="1"/>
  <c r="K529" i="10"/>
  <c r="L529" i="10" s="1"/>
  <c r="K530" i="10"/>
  <c r="L530" i="10" s="1"/>
  <c r="K531" i="10"/>
  <c r="L531" i="10"/>
  <c r="K532" i="10"/>
  <c r="L532" i="10" s="1"/>
  <c r="K533" i="10"/>
  <c r="L533" i="10" s="1"/>
  <c r="K534" i="10"/>
  <c r="L534" i="10" s="1"/>
  <c r="K535" i="10"/>
  <c r="L535" i="10" s="1"/>
  <c r="K536" i="10"/>
  <c r="L536" i="10"/>
  <c r="K537" i="10"/>
  <c r="L537" i="10" s="1"/>
  <c r="K538" i="10"/>
  <c r="L538" i="10" s="1"/>
  <c r="K539" i="10"/>
  <c r="L539" i="10" s="1"/>
  <c r="K540" i="10"/>
  <c r="L540" i="10" s="1"/>
  <c r="K541" i="10"/>
  <c r="L541" i="10" s="1"/>
  <c r="K542" i="10"/>
  <c r="L542" i="10" s="1"/>
  <c r="K543" i="10"/>
  <c r="L543" i="10"/>
  <c r="K544" i="10"/>
  <c r="L544" i="10" s="1"/>
  <c r="K545" i="10"/>
  <c r="L545" i="10" s="1"/>
  <c r="K546" i="10"/>
  <c r="L546" i="10" s="1"/>
  <c r="K547" i="10"/>
  <c r="L547" i="10" s="1"/>
  <c r="K548" i="10"/>
  <c r="L548" i="10" s="1"/>
  <c r="K549" i="10"/>
  <c r="L549" i="10" s="1"/>
  <c r="K550" i="10"/>
  <c r="L550" i="10" s="1"/>
  <c r="K551" i="10"/>
  <c r="L551" i="10" s="1"/>
  <c r="K552" i="10"/>
  <c r="L552" i="10" s="1"/>
  <c r="K553" i="10"/>
  <c r="L553" i="10" s="1"/>
  <c r="K554" i="10"/>
  <c r="L554" i="10" s="1"/>
  <c r="K555" i="10"/>
  <c r="L555" i="10" s="1"/>
  <c r="K556" i="10"/>
  <c r="L556" i="10"/>
  <c r="K557" i="10"/>
  <c r="L557" i="10" s="1"/>
  <c r="K558" i="10"/>
  <c r="L558" i="10" s="1"/>
  <c r="K559" i="10"/>
  <c r="L559" i="10" s="1"/>
  <c r="K560" i="10"/>
  <c r="L560" i="10" s="1"/>
  <c r="K561" i="10"/>
  <c r="L561" i="10" s="1"/>
  <c r="K562" i="10"/>
  <c r="L562" i="10" s="1"/>
  <c r="K563" i="10"/>
  <c r="L563" i="10" s="1"/>
  <c r="K564" i="10"/>
  <c r="L564" i="10" s="1"/>
  <c r="K565" i="10"/>
  <c r="L565" i="10" s="1"/>
  <c r="K566" i="10"/>
  <c r="L566" i="10" s="1"/>
  <c r="K567" i="10"/>
  <c r="L567" i="10" s="1"/>
  <c r="K568" i="10"/>
  <c r="L568" i="10" s="1"/>
  <c r="K569" i="10"/>
  <c r="L569" i="10" s="1"/>
  <c r="E570" i="10"/>
  <c r="E1057" i="10" s="1"/>
  <c r="M570" i="10"/>
  <c r="M1057" i="10" s="1"/>
  <c r="K571" i="10"/>
  <c r="L571" i="10" s="1"/>
  <c r="K572" i="10"/>
  <c r="L572" i="10" s="1"/>
  <c r="K573" i="10"/>
  <c r="L573" i="10" s="1"/>
  <c r="K574" i="10"/>
  <c r="L574" i="10" s="1"/>
  <c r="K575" i="10"/>
  <c r="L575" i="10" s="1"/>
  <c r="K576" i="10"/>
  <c r="L576" i="10" s="1"/>
  <c r="K577" i="10"/>
  <c r="L577" i="10" s="1"/>
  <c r="K578" i="10"/>
  <c r="L578" i="10" s="1"/>
  <c r="E579" i="10"/>
  <c r="M579" i="10"/>
  <c r="K580" i="10"/>
  <c r="L580" i="10" s="1"/>
  <c r="K581" i="10"/>
  <c r="L581" i="10" s="1"/>
  <c r="K582" i="10"/>
  <c r="L582" i="10" s="1"/>
  <c r="K583" i="10"/>
  <c r="L583" i="10" s="1"/>
  <c r="K584" i="10"/>
  <c r="L584" i="10" s="1"/>
  <c r="K585" i="10"/>
  <c r="L585" i="10" s="1"/>
  <c r="K586" i="10"/>
  <c r="L586" i="10" s="1"/>
  <c r="K587" i="10"/>
  <c r="L587" i="10" s="1"/>
  <c r="K588" i="10"/>
  <c r="L588" i="10" s="1"/>
  <c r="K589" i="10"/>
  <c r="L589" i="10" s="1"/>
  <c r="K590" i="10"/>
  <c r="L590" i="10" s="1"/>
  <c r="K591" i="10"/>
  <c r="L591" i="10"/>
  <c r="K592" i="10"/>
  <c r="L592" i="10" s="1"/>
  <c r="K593" i="10"/>
  <c r="L593" i="10" s="1"/>
  <c r="K594" i="10"/>
  <c r="L594" i="10" s="1"/>
  <c r="K595" i="10"/>
  <c r="L595" i="10" s="1"/>
  <c r="K596" i="10"/>
  <c r="L596" i="10" s="1"/>
  <c r="K597" i="10"/>
  <c r="L597" i="10" s="1"/>
  <c r="K598" i="10"/>
  <c r="L598" i="10" s="1"/>
  <c r="K599" i="10"/>
  <c r="L599" i="10"/>
  <c r="K600" i="10"/>
  <c r="L600" i="10" s="1"/>
  <c r="K601" i="10"/>
  <c r="L601" i="10" s="1"/>
  <c r="K602" i="10"/>
  <c r="L602" i="10" s="1"/>
  <c r="K603" i="10"/>
  <c r="L603" i="10" s="1"/>
  <c r="K604" i="10"/>
  <c r="L604" i="10" s="1"/>
  <c r="K605" i="10"/>
  <c r="L605" i="10"/>
  <c r="K606" i="10"/>
  <c r="L606" i="10" s="1"/>
  <c r="K607" i="10"/>
  <c r="L607" i="10" s="1"/>
  <c r="K608" i="10"/>
  <c r="L608" i="10" s="1"/>
  <c r="K609" i="10"/>
  <c r="L609" i="10" s="1"/>
  <c r="K610" i="10"/>
  <c r="L610" i="10" s="1"/>
  <c r="K611" i="10"/>
  <c r="L611" i="10" s="1"/>
  <c r="E612" i="10"/>
  <c r="M612" i="10"/>
  <c r="K613" i="10"/>
  <c r="L613" i="10" s="1"/>
  <c r="K614" i="10"/>
  <c r="L614" i="10" s="1"/>
  <c r="K615" i="10"/>
  <c r="L615" i="10" s="1"/>
  <c r="K616" i="10"/>
  <c r="L616" i="10" s="1"/>
  <c r="K617" i="10"/>
  <c r="L617" i="10" s="1"/>
  <c r="K618" i="10"/>
  <c r="L618" i="10" s="1"/>
  <c r="K619" i="10"/>
  <c r="L619" i="10" s="1"/>
  <c r="K620" i="10"/>
  <c r="L620" i="10" s="1"/>
  <c r="K621" i="10"/>
  <c r="L621" i="10" s="1"/>
  <c r="K622" i="10"/>
  <c r="L622" i="10" s="1"/>
  <c r="K623" i="10"/>
  <c r="L623" i="10" s="1"/>
  <c r="K624" i="10"/>
  <c r="L624" i="10" s="1"/>
  <c r="K625" i="10"/>
  <c r="L625" i="10" s="1"/>
  <c r="K626" i="10"/>
  <c r="L626" i="10" s="1"/>
  <c r="K627" i="10"/>
  <c r="L627" i="10" s="1"/>
  <c r="K628" i="10"/>
  <c r="L628" i="10" s="1"/>
  <c r="K629" i="10"/>
  <c r="L629" i="10" s="1"/>
  <c r="K630" i="10"/>
  <c r="L630" i="10" s="1"/>
  <c r="K631" i="10"/>
  <c r="L631" i="10" s="1"/>
  <c r="K632" i="10"/>
  <c r="L632" i="10" s="1"/>
  <c r="E633" i="10"/>
  <c r="M633" i="10"/>
  <c r="K634" i="10"/>
  <c r="L634" i="10" s="1"/>
  <c r="K635" i="10"/>
  <c r="L635" i="10" s="1"/>
  <c r="E636" i="10"/>
  <c r="M636" i="10"/>
  <c r="K637" i="10"/>
  <c r="L637" i="10" s="1"/>
  <c r="K638" i="10"/>
  <c r="L638" i="10" s="1"/>
  <c r="K639" i="10"/>
  <c r="L639" i="10" s="1"/>
  <c r="K640" i="10"/>
  <c r="L640" i="10" s="1"/>
  <c r="K641" i="10"/>
  <c r="L641" i="10" s="1"/>
  <c r="K642" i="10"/>
  <c r="L642" i="10" s="1"/>
  <c r="K643" i="10"/>
  <c r="L643" i="10" s="1"/>
  <c r="K644" i="10"/>
  <c r="L644" i="10" s="1"/>
  <c r="K645" i="10"/>
  <c r="L645" i="10" s="1"/>
  <c r="K646" i="10"/>
  <c r="L646" i="10" s="1"/>
  <c r="K647" i="10"/>
  <c r="L647" i="10" s="1"/>
  <c r="K648" i="10"/>
  <c r="L648" i="10" s="1"/>
  <c r="K649" i="10"/>
  <c r="L649" i="10" s="1"/>
  <c r="K650" i="10"/>
  <c r="L650" i="10" s="1"/>
  <c r="K651" i="10"/>
  <c r="L651" i="10" s="1"/>
  <c r="K652" i="10"/>
  <c r="L652" i="10" s="1"/>
  <c r="K653" i="10"/>
  <c r="L653" i="10" s="1"/>
  <c r="K654" i="10"/>
  <c r="L654" i="10" s="1"/>
  <c r="K655" i="10"/>
  <c r="L655" i="10" s="1"/>
  <c r="K656" i="10"/>
  <c r="L656" i="10" s="1"/>
  <c r="K657" i="10"/>
  <c r="L657" i="10" s="1"/>
  <c r="K658" i="10"/>
  <c r="L658" i="10" s="1"/>
  <c r="K659" i="10"/>
  <c r="L659" i="10" s="1"/>
  <c r="K660" i="10"/>
  <c r="L660" i="10" s="1"/>
  <c r="K661" i="10"/>
  <c r="L661" i="10" s="1"/>
  <c r="K662" i="10"/>
  <c r="L662" i="10" s="1"/>
  <c r="K663" i="10"/>
  <c r="L663" i="10" s="1"/>
  <c r="K664" i="10"/>
  <c r="L664" i="10" s="1"/>
  <c r="K665" i="10"/>
  <c r="L665" i="10" s="1"/>
  <c r="K666" i="10"/>
  <c r="L666" i="10" s="1"/>
  <c r="K667" i="10"/>
  <c r="L667" i="10" s="1"/>
  <c r="K668" i="10"/>
  <c r="L668" i="10" s="1"/>
  <c r="K669" i="10"/>
  <c r="L669" i="10" s="1"/>
  <c r="K670" i="10"/>
  <c r="L670" i="10" s="1"/>
  <c r="K671" i="10"/>
  <c r="L671" i="10" s="1"/>
  <c r="K672" i="10"/>
  <c r="L672" i="10" s="1"/>
  <c r="K673" i="10"/>
  <c r="L673" i="10" s="1"/>
  <c r="K674" i="10"/>
  <c r="L674" i="10" s="1"/>
  <c r="K675" i="10"/>
  <c r="L675" i="10" s="1"/>
  <c r="K676" i="10"/>
  <c r="L676" i="10" s="1"/>
  <c r="K677" i="10"/>
  <c r="L677" i="10" s="1"/>
  <c r="K678" i="10"/>
  <c r="L678" i="10" s="1"/>
  <c r="K679" i="10"/>
  <c r="L679" i="10" s="1"/>
  <c r="K680" i="10"/>
  <c r="L680" i="10" s="1"/>
  <c r="K681" i="10"/>
  <c r="L681" i="10" s="1"/>
  <c r="K682" i="10"/>
  <c r="L682" i="10" s="1"/>
  <c r="K683" i="10"/>
  <c r="L683" i="10" s="1"/>
  <c r="K684" i="10"/>
  <c r="L684" i="10" s="1"/>
  <c r="K685" i="10"/>
  <c r="L685" i="10" s="1"/>
  <c r="K686" i="10"/>
  <c r="L686" i="10" s="1"/>
  <c r="K687" i="10"/>
  <c r="L687" i="10" s="1"/>
  <c r="K688" i="10"/>
  <c r="L688" i="10" s="1"/>
  <c r="K689" i="10"/>
  <c r="L689" i="10" s="1"/>
  <c r="K690" i="10"/>
  <c r="L690" i="10" s="1"/>
  <c r="K691" i="10"/>
  <c r="L691" i="10" s="1"/>
  <c r="K692" i="10"/>
  <c r="L692" i="10" s="1"/>
  <c r="K693" i="10"/>
  <c r="L693" i="10" s="1"/>
  <c r="K694" i="10"/>
  <c r="L694" i="10" s="1"/>
  <c r="K695" i="10"/>
  <c r="L695" i="10" s="1"/>
  <c r="K696" i="10"/>
  <c r="L696" i="10" s="1"/>
  <c r="K697" i="10"/>
  <c r="L697" i="10" s="1"/>
  <c r="K698" i="10"/>
  <c r="L698" i="10" s="1"/>
  <c r="K699" i="10"/>
  <c r="L699" i="10" s="1"/>
  <c r="K700" i="10"/>
  <c r="L700" i="10" s="1"/>
  <c r="K701" i="10"/>
  <c r="L701" i="10" s="1"/>
  <c r="K702" i="10"/>
  <c r="L702" i="10" s="1"/>
  <c r="K703" i="10"/>
  <c r="L703" i="10" s="1"/>
  <c r="E704" i="10"/>
  <c r="M704" i="10"/>
  <c r="K705" i="10"/>
  <c r="L705" i="10" s="1"/>
  <c r="K706" i="10"/>
  <c r="L706" i="10" s="1"/>
  <c r="K707" i="10"/>
  <c r="L707" i="10" s="1"/>
  <c r="E708" i="10"/>
  <c r="M708" i="10"/>
  <c r="K709" i="10"/>
  <c r="L709" i="10" s="1"/>
  <c r="K710" i="10"/>
  <c r="L710" i="10" s="1"/>
  <c r="K711" i="10"/>
  <c r="L711" i="10" s="1"/>
  <c r="K712" i="10"/>
  <c r="L712" i="10" s="1"/>
  <c r="K713" i="10"/>
  <c r="L713" i="10" s="1"/>
  <c r="K714" i="10"/>
  <c r="L714" i="10" s="1"/>
  <c r="K715" i="10"/>
  <c r="L715" i="10" s="1"/>
  <c r="K716" i="10"/>
  <c r="L716" i="10" s="1"/>
  <c r="K717" i="10"/>
  <c r="L717" i="10" s="1"/>
  <c r="K718" i="10"/>
  <c r="L718" i="10" s="1"/>
  <c r="K719" i="10"/>
  <c r="L719" i="10" s="1"/>
  <c r="K720" i="10"/>
  <c r="L720" i="10" s="1"/>
  <c r="K721" i="10"/>
  <c r="L721" i="10" s="1"/>
  <c r="K722" i="10"/>
  <c r="L722" i="10" s="1"/>
  <c r="K723" i="10"/>
  <c r="L723" i="10" s="1"/>
  <c r="K724" i="10"/>
  <c r="L724" i="10" s="1"/>
  <c r="K725" i="10"/>
  <c r="L725" i="10" s="1"/>
  <c r="K726" i="10"/>
  <c r="L726" i="10" s="1"/>
  <c r="K727" i="10"/>
  <c r="L727" i="10" s="1"/>
  <c r="K728" i="10"/>
  <c r="L728" i="10" s="1"/>
  <c r="K729" i="10"/>
  <c r="L729" i="10" s="1"/>
  <c r="K730" i="10"/>
  <c r="L730" i="10" s="1"/>
  <c r="K731" i="10"/>
  <c r="L731" i="10" s="1"/>
  <c r="K732" i="10"/>
  <c r="L732" i="10" s="1"/>
  <c r="K733" i="10"/>
  <c r="L733" i="10" s="1"/>
  <c r="K734" i="10"/>
  <c r="L734" i="10" s="1"/>
  <c r="K735" i="10"/>
  <c r="L735" i="10" s="1"/>
  <c r="K736" i="10"/>
  <c r="L736" i="10" s="1"/>
  <c r="K737" i="10"/>
  <c r="L737" i="10" s="1"/>
  <c r="K738" i="10"/>
  <c r="L738" i="10" s="1"/>
  <c r="K739" i="10"/>
  <c r="L739" i="10" s="1"/>
  <c r="K740" i="10"/>
  <c r="L740" i="10" s="1"/>
  <c r="K741" i="10"/>
  <c r="L741" i="10" s="1"/>
  <c r="K742" i="10"/>
  <c r="L742" i="10" s="1"/>
  <c r="K743" i="10"/>
  <c r="L743" i="10" s="1"/>
  <c r="K744" i="10"/>
  <c r="L744" i="10" s="1"/>
  <c r="K745" i="10"/>
  <c r="L745" i="10" s="1"/>
  <c r="K746" i="10"/>
  <c r="L746" i="10" s="1"/>
  <c r="K747" i="10"/>
  <c r="L747" i="10" s="1"/>
  <c r="K748" i="10"/>
  <c r="L748" i="10" s="1"/>
  <c r="K749" i="10"/>
  <c r="L749" i="10" s="1"/>
  <c r="K750" i="10"/>
  <c r="L750" i="10" s="1"/>
  <c r="K751" i="10"/>
  <c r="L751" i="10" s="1"/>
  <c r="K752" i="10"/>
  <c r="L752" i="10" s="1"/>
  <c r="K753" i="10"/>
  <c r="L753" i="10" s="1"/>
  <c r="K754" i="10"/>
  <c r="L754" i="10" s="1"/>
  <c r="K755" i="10"/>
  <c r="L755" i="10" s="1"/>
  <c r="K756" i="10"/>
  <c r="L756" i="10" s="1"/>
  <c r="K757" i="10"/>
  <c r="L757" i="10" s="1"/>
  <c r="K758" i="10"/>
  <c r="L758" i="10" s="1"/>
  <c r="K759" i="10"/>
  <c r="L759" i="10" s="1"/>
  <c r="K760" i="10"/>
  <c r="L760" i="10" s="1"/>
  <c r="K761" i="10"/>
  <c r="L761" i="10" s="1"/>
  <c r="K762" i="10"/>
  <c r="L762" i="10" s="1"/>
  <c r="K763" i="10"/>
  <c r="L763" i="10" s="1"/>
  <c r="K764" i="10"/>
  <c r="L764" i="10" s="1"/>
  <c r="K765" i="10"/>
  <c r="L765" i="10" s="1"/>
  <c r="K766" i="10"/>
  <c r="L766" i="10" s="1"/>
  <c r="K767" i="10"/>
  <c r="L767" i="10" s="1"/>
  <c r="K768" i="10"/>
  <c r="L768" i="10" s="1"/>
  <c r="K769" i="10"/>
  <c r="L769" i="10" s="1"/>
  <c r="K770" i="10"/>
  <c r="L770" i="10" s="1"/>
  <c r="K771" i="10"/>
  <c r="L771" i="10" s="1"/>
  <c r="K772" i="10"/>
  <c r="L772" i="10" s="1"/>
  <c r="K773" i="10"/>
  <c r="L773" i="10" s="1"/>
  <c r="K774" i="10"/>
  <c r="L774" i="10" s="1"/>
  <c r="K775" i="10"/>
  <c r="L775" i="10" s="1"/>
  <c r="K776" i="10"/>
  <c r="L776" i="10" s="1"/>
  <c r="K777" i="10"/>
  <c r="L777" i="10" s="1"/>
  <c r="K778" i="10"/>
  <c r="L778" i="10" s="1"/>
  <c r="K779" i="10"/>
  <c r="L779" i="10" s="1"/>
  <c r="K780" i="10"/>
  <c r="L780" i="10" s="1"/>
  <c r="K781" i="10"/>
  <c r="L781" i="10" s="1"/>
  <c r="K782" i="10"/>
  <c r="L782" i="10" s="1"/>
  <c r="K783" i="10"/>
  <c r="L783" i="10" s="1"/>
  <c r="K784" i="10"/>
  <c r="L784" i="10" s="1"/>
  <c r="K785" i="10"/>
  <c r="L785" i="10" s="1"/>
  <c r="K786" i="10"/>
  <c r="L786" i="10" s="1"/>
  <c r="K787" i="10"/>
  <c r="L787" i="10" s="1"/>
  <c r="K788" i="10"/>
  <c r="L788" i="10" s="1"/>
  <c r="K789" i="10"/>
  <c r="L789" i="10" s="1"/>
  <c r="E790" i="10"/>
  <c r="M790" i="10"/>
  <c r="K791" i="10"/>
  <c r="L791" i="10" s="1"/>
  <c r="K792" i="10"/>
  <c r="L792" i="10" s="1"/>
  <c r="K793" i="10"/>
  <c r="L793" i="10" s="1"/>
  <c r="K794" i="10"/>
  <c r="L794" i="10" s="1"/>
  <c r="K795" i="10"/>
  <c r="L795" i="10" s="1"/>
  <c r="E796" i="10"/>
  <c r="M796" i="10"/>
  <c r="K797" i="10"/>
  <c r="L797" i="10" s="1"/>
  <c r="K798" i="10"/>
  <c r="L798" i="10" s="1"/>
  <c r="K799" i="10"/>
  <c r="L799" i="10" s="1"/>
  <c r="E800" i="10"/>
  <c r="M800" i="10"/>
  <c r="K801" i="10"/>
  <c r="L801" i="10"/>
  <c r="L808" i="10" s="1"/>
  <c r="K802" i="10"/>
  <c r="L802" i="10"/>
  <c r="K803" i="10"/>
  <c r="L803" i="10"/>
  <c r="K804" i="10"/>
  <c r="L804" i="10"/>
  <c r="K805" i="10"/>
  <c r="L805" i="10"/>
  <c r="K806" i="10"/>
  <c r="L806" i="10"/>
  <c r="K807" i="10"/>
  <c r="L807" i="10"/>
  <c r="E808" i="10"/>
  <c r="M808" i="10"/>
  <c r="K809" i="10"/>
  <c r="L809" i="10" s="1"/>
  <c r="K810" i="10"/>
  <c r="L810" i="10" s="1"/>
  <c r="E811" i="10"/>
  <c r="M811" i="10"/>
  <c r="K812" i="10"/>
  <c r="L812" i="10" s="1"/>
  <c r="K813" i="10"/>
  <c r="L813" i="10" s="1"/>
  <c r="K814" i="10"/>
  <c r="L814" i="10" s="1"/>
  <c r="K815" i="10"/>
  <c r="L815" i="10" s="1"/>
  <c r="K816" i="10"/>
  <c r="L816" i="10" s="1"/>
  <c r="K817" i="10"/>
  <c r="L817" i="10" s="1"/>
  <c r="K818" i="10"/>
  <c r="L818" i="10" s="1"/>
  <c r="K819" i="10"/>
  <c r="L819" i="10" s="1"/>
  <c r="K820" i="10"/>
  <c r="L820" i="10" s="1"/>
  <c r="K821" i="10"/>
  <c r="L821" i="10" s="1"/>
  <c r="K822" i="10"/>
  <c r="L822" i="10" s="1"/>
  <c r="K823" i="10"/>
  <c r="L823" i="10" s="1"/>
  <c r="K824" i="10"/>
  <c r="L824" i="10" s="1"/>
  <c r="K825" i="10"/>
  <c r="L825" i="10" s="1"/>
  <c r="K826" i="10"/>
  <c r="L826" i="10" s="1"/>
  <c r="K827" i="10"/>
  <c r="L827" i="10" s="1"/>
  <c r="K828" i="10"/>
  <c r="L828" i="10" s="1"/>
  <c r="K829" i="10"/>
  <c r="L829" i="10" s="1"/>
  <c r="K830" i="10"/>
  <c r="L830" i="10" s="1"/>
  <c r="K831" i="10"/>
  <c r="L831" i="10" s="1"/>
  <c r="K832" i="10"/>
  <c r="L832" i="10" s="1"/>
  <c r="K833" i="10"/>
  <c r="L833" i="10" s="1"/>
  <c r="K834" i="10"/>
  <c r="L834" i="10" s="1"/>
  <c r="K835" i="10"/>
  <c r="L835" i="10" s="1"/>
  <c r="K836" i="10"/>
  <c r="L836" i="10" s="1"/>
  <c r="K837" i="10"/>
  <c r="L837" i="10" s="1"/>
  <c r="K838" i="10"/>
  <c r="L838" i="10" s="1"/>
  <c r="K839" i="10"/>
  <c r="L839" i="10" s="1"/>
  <c r="K840" i="10"/>
  <c r="L840" i="10" s="1"/>
  <c r="K841" i="10"/>
  <c r="L841" i="10" s="1"/>
  <c r="K842" i="10"/>
  <c r="L842" i="10" s="1"/>
  <c r="K843" i="10"/>
  <c r="L843" i="10" s="1"/>
  <c r="K844" i="10"/>
  <c r="L844" i="10" s="1"/>
  <c r="K845" i="10"/>
  <c r="L845" i="10" s="1"/>
  <c r="K846" i="10"/>
  <c r="L846" i="10" s="1"/>
  <c r="K847" i="10"/>
  <c r="L847" i="10" s="1"/>
  <c r="K848" i="10"/>
  <c r="L848" i="10" s="1"/>
  <c r="K849" i="10"/>
  <c r="L849" i="10" s="1"/>
  <c r="K850" i="10"/>
  <c r="L850" i="10" s="1"/>
  <c r="K851" i="10"/>
  <c r="L851" i="10" s="1"/>
  <c r="K852" i="10"/>
  <c r="L852" i="10" s="1"/>
  <c r="K853" i="10"/>
  <c r="L853" i="10" s="1"/>
  <c r="K854" i="10"/>
  <c r="L854" i="10" s="1"/>
  <c r="K855" i="10"/>
  <c r="L855" i="10" s="1"/>
  <c r="K856" i="10"/>
  <c r="L856" i="10" s="1"/>
  <c r="K857" i="10"/>
  <c r="L857" i="10" s="1"/>
  <c r="K858" i="10"/>
  <c r="L858" i="10" s="1"/>
  <c r="K859" i="10"/>
  <c r="L859" i="10" s="1"/>
  <c r="K860" i="10"/>
  <c r="L860" i="10" s="1"/>
  <c r="K861" i="10"/>
  <c r="L861" i="10" s="1"/>
  <c r="K862" i="10"/>
  <c r="L862" i="10" s="1"/>
  <c r="K863" i="10"/>
  <c r="L863" i="10" s="1"/>
  <c r="K864" i="10"/>
  <c r="L864" i="10" s="1"/>
  <c r="K865" i="10"/>
  <c r="L865" i="10" s="1"/>
  <c r="K866" i="10"/>
  <c r="L866" i="10" s="1"/>
  <c r="K867" i="10"/>
  <c r="L867" i="10" s="1"/>
  <c r="K868" i="10"/>
  <c r="L868" i="10" s="1"/>
  <c r="K869" i="10"/>
  <c r="L869" i="10" s="1"/>
  <c r="K870" i="10"/>
  <c r="L870" i="10" s="1"/>
  <c r="K871" i="10"/>
  <c r="L871" i="10" s="1"/>
  <c r="K872" i="10"/>
  <c r="L872" i="10" s="1"/>
  <c r="K873" i="10"/>
  <c r="L873" i="10" s="1"/>
  <c r="K874" i="10"/>
  <c r="L874" i="10" s="1"/>
  <c r="K875" i="10"/>
  <c r="L875" i="10" s="1"/>
  <c r="K876" i="10"/>
  <c r="L876" i="10" s="1"/>
  <c r="K877" i="10"/>
  <c r="L877" i="10" s="1"/>
  <c r="K878" i="10"/>
  <c r="L878" i="10" s="1"/>
  <c r="K879" i="10"/>
  <c r="L879" i="10" s="1"/>
  <c r="K880" i="10"/>
  <c r="L880" i="10" s="1"/>
  <c r="K881" i="10"/>
  <c r="L881" i="10" s="1"/>
  <c r="K882" i="10"/>
  <c r="L882" i="10" s="1"/>
  <c r="K883" i="10"/>
  <c r="L883" i="10" s="1"/>
  <c r="K884" i="10"/>
  <c r="L884" i="10" s="1"/>
  <c r="K885" i="10"/>
  <c r="L885" i="10" s="1"/>
  <c r="K886" i="10"/>
  <c r="L886" i="10" s="1"/>
  <c r="K887" i="10"/>
  <c r="L887" i="10" s="1"/>
  <c r="K888" i="10"/>
  <c r="L888" i="10" s="1"/>
  <c r="K889" i="10"/>
  <c r="L889" i="10" s="1"/>
  <c r="K890" i="10"/>
  <c r="L890" i="10" s="1"/>
  <c r="K891" i="10"/>
  <c r="L891" i="10" s="1"/>
  <c r="K892" i="10"/>
  <c r="L892" i="10" s="1"/>
  <c r="K893" i="10"/>
  <c r="L893" i="10" s="1"/>
  <c r="K894" i="10"/>
  <c r="L894" i="10" s="1"/>
  <c r="K895" i="10"/>
  <c r="L895" i="10" s="1"/>
  <c r="K896" i="10"/>
  <c r="L896" i="10" s="1"/>
  <c r="K897" i="10"/>
  <c r="L897" i="10" s="1"/>
  <c r="K898" i="10"/>
  <c r="L898" i="10" s="1"/>
  <c r="K899" i="10"/>
  <c r="L899" i="10" s="1"/>
  <c r="K900" i="10"/>
  <c r="L900" i="10" s="1"/>
  <c r="K901" i="10"/>
  <c r="L901" i="10" s="1"/>
  <c r="K902" i="10"/>
  <c r="L902" i="10" s="1"/>
  <c r="K903" i="10"/>
  <c r="L903" i="10" s="1"/>
  <c r="K904" i="10"/>
  <c r="L904" i="10" s="1"/>
  <c r="K905" i="10"/>
  <c r="L905" i="10" s="1"/>
  <c r="K906" i="10"/>
  <c r="L906" i="10" s="1"/>
  <c r="K907" i="10"/>
  <c r="L907" i="10" s="1"/>
  <c r="K908" i="10"/>
  <c r="L908" i="10" s="1"/>
  <c r="K909" i="10"/>
  <c r="L909" i="10" s="1"/>
  <c r="K910" i="10"/>
  <c r="L910" i="10" s="1"/>
  <c r="K911" i="10"/>
  <c r="L911" i="10" s="1"/>
  <c r="K912" i="10"/>
  <c r="L912" i="10" s="1"/>
  <c r="K913" i="10"/>
  <c r="L913" i="10" s="1"/>
  <c r="K914" i="10"/>
  <c r="L914" i="10" s="1"/>
  <c r="K915" i="10"/>
  <c r="L915" i="10" s="1"/>
  <c r="K916" i="10"/>
  <c r="L916" i="10" s="1"/>
  <c r="K917" i="10"/>
  <c r="L917" i="10" s="1"/>
  <c r="K918" i="10"/>
  <c r="L918" i="10" s="1"/>
  <c r="K919" i="10"/>
  <c r="L919" i="10" s="1"/>
  <c r="K920" i="10"/>
  <c r="L920" i="10" s="1"/>
  <c r="K921" i="10"/>
  <c r="L921" i="10" s="1"/>
  <c r="K922" i="10"/>
  <c r="L922" i="10" s="1"/>
  <c r="K923" i="10"/>
  <c r="L923" i="10" s="1"/>
  <c r="K924" i="10"/>
  <c r="L924" i="10" s="1"/>
  <c r="K925" i="10"/>
  <c r="L925" i="10" s="1"/>
  <c r="K926" i="10"/>
  <c r="L926" i="10" s="1"/>
  <c r="K927" i="10"/>
  <c r="L927" i="10" s="1"/>
  <c r="K928" i="10"/>
  <c r="L928" i="10" s="1"/>
  <c r="K929" i="10"/>
  <c r="L929" i="10" s="1"/>
  <c r="K930" i="10"/>
  <c r="L930" i="10" s="1"/>
  <c r="K931" i="10"/>
  <c r="L931" i="10" s="1"/>
  <c r="K932" i="10"/>
  <c r="L932" i="10" s="1"/>
  <c r="K933" i="10"/>
  <c r="L933" i="10" s="1"/>
  <c r="K934" i="10"/>
  <c r="L934" i="10" s="1"/>
  <c r="K935" i="10"/>
  <c r="L935" i="10" s="1"/>
  <c r="K936" i="10"/>
  <c r="L936" i="10" s="1"/>
  <c r="K937" i="10"/>
  <c r="L937" i="10" s="1"/>
  <c r="K938" i="10"/>
  <c r="L938" i="10" s="1"/>
  <c r="K939" i="10"/>
  <c r="L939" i="10" s="1"/>
  <c r="K940" i="10"/>
  <c r="L940" i="10" s="1"/>
  <c r="K941" i="10"/>
  <c r="L941" i="10" s="1"/>
  <c r="K942" i="10"/>
  <c r="L942" i="10" s="1"/>
  <c r="K943" i="10"/>
  <c r="L943" i="10" s="1"/>
  <c r="K944" i="10"/>
  <c r="L944" i="10" s="1"/>
  <c r="K945" i="10"/>
  <c r="L945" i="10" s="1"/>
  <c r="K946" i="10"/>
  <c r="L946" i="10" s="1"/>
  <c r="K947" i="10"/>
  <c r="L947" i="10" s="1"/>
  <c r="K948" i="10"/>
  <c r="L948" i="10" s="1"/>
  <c r="K949" i="10"/>
  <c r="L949" i="10" s="1"/>
  <c r="K950" i="10"/>
  <c r="L950" i="10" s="1"/>
  <c r="K951" i="10"/>
  <c r="L951" i="10" s="1"/>
  <c r="K952" i="10"/>
  <c r="L952" i="10" s="1"/>
  <c r="K953" i="10"/>
  <c r="L953" i="10" s="1"/>
  <c r="K954" i="10"/>
  <c r="L954" i="10" s="1"/>
  <c r="K955" i="10"/>
  <c r="L955" i="10" s="1"/>
  <c r="K956" i="10"/>
  <c r="L956" i="10" s="1"/>
  <c r="K957" i="10"/>
  <c r="L957" i="10" s="1"/>
  <c r="K958" i="10"/>
  <c r="L958" i="10" s="1"/>
  <c r="K959" i="10"/>
  <c r="L959" i="10" s="1"/>
  <c r="K960" i="10"/>
  <c r="L960" i="10" s="1"/>
  <c r="K961" i="10"/>
  <c r="L961" i="10" s="1"/>
  <c r="K962" i="10"/>
  <c r="L962" i="10" s="1"/>
  <c r="E963" i="10"/>
  <c r="M963" i="10"/>
  <c r="K964" i="10"/>
  <c r="L964" i="10" s="1"/>
  <c r="L965" i="10" s="1"/>
  <c r="E965" i="10"/>
  <c r="M965" i="10"/>
  <c r="K966" i="10"/>
  <c r="L966" i="10" s="1"/>
  <c r="K967" i="10"/>
  <c r="L967" i="10" s="1"/>
  <c r="K968" i="10"/>
  <c r="L968" i="10" s="1"/>
  <c r="K969" i="10"/>
  <c r="L969" i="10" s="1"/>
  <c r="K970" i="10"/>
  <c r="L970" i="10" s="1"/>
  <c r="E971" i="10"/>
  <c r="M971" i="10"/>
  <c r="K972" i="10"/>
  <c r="L972" i="10" s="1"/>
  <c r="K973" i="10"/>
  <c r="L973" i="10" s="1"/>
  <c r="K974" i="10"/>
  <c r="L974" i="10" s="1"/>
  <c r="K975" i="10"/>
  <c r="L975" i="10" s="1"/>
  <c r="K976" i="10"/>
  <c r="L976" i="10" s="1"/>
  <c r="K977" i="10"/>
  <c r="L977" i="10" s="1"/>
  <c r="K978" i="10"/>
  <c r="L978" i="10" s="1"/>
  <c r="K979" i="10"/>
  <c r="L979" i="10" s="1"/>
  <c r="K980" i="10"/>
  <c r="L980" i="10" s="1"/>
  <c r="K981" i="10"/>
  <c r="L981" i="10" s="1"/>
  <c r="K982" i="10"/>
  <c r="L982" i="10" s="1"/>
  <c r="K983" i="10"/>
  <c r="L983" i="10" s="1"/>
  <c r="K984" i="10"/>
  <c r="L984" i="10" s="1"/>
  <c r="E985" i="10"/>
  <c r="M985" i="10"/>
  <c r="K986" i="10"/>
  <c r="L986" i="10"/>
  <c r="K987" i="10"/>
  <c r="L987" i="10"/>
  <c r="K988" i="10"/>
  <c r="L988" i="10"/>
  <c r="K989" i="10"/>
  <c r="L989" i="10"/>
  <c r="K990" i="10"/>
  <c r="L990" i="10"/>
  <c r="K991" i="10"/>
  <c r="L991" i="10"/>
  <c r="K992" i="10"/>
  <c r="L992" i="10"/>
  <c r="K993" i="10"/>
  <c r="L993" i="10"/>
  <c r="K994" i="10"/>
  <c r="L994" i="10"/>
  <c r="K995" i="10"/>
  <c r="L995" i="10"/>
  <c r="K996" i="10"/>
  <c r="L996" i="10"/>
  <c r="K997" i="10"/>
  <c r="L997" i="10"/>
  <c r="K998" i="10"/>
  <c r="L998" i="10"/>
  <c r="K999" i="10"/>
  <c r="L999" i="10"/>
  <c r="K1000" i="10"/>
  <c r="L1000" i="10"/>
  <c r="K1001" i="10"/>
  <c r="L1001" i="10"/>
  <c r="K1002" i="10"/>
  <c r="L1002" i="10"/>
  <c r="K1003" i="10"/>
  <c r="L1003" i="10"/>
  <c r="K1004" i="10"/>
  <c r="L1004" i="10"/>
  <c r="K1005" i="10"/>
  <c r="L1005" i="10"/>
  <c r="K1006" i="10"/>
  <c r="L1006" i="10"/>
  <c r="K1007" i="10"/>
  <c r="L1007" i="10"/>
  <c r="K1008" i="10"/>
  <c r="L1008" i="10"/>
  <c r="K1009" i="10"/>
  <c r="L1009" i="10"/>
  <c r="K1010" i="10"/>
  <c r="L1010" i="10"/>
  <c r="K1011" i="10"/>
  <c r="L1011" i="10"/>
  <c r="K1012" i="10"/>
  <c r="L1012" i="10"/>
  <c r="K1013" i="10"/>
  <c r="L1013" i="10"/>
  <c r="K1014" i="10"/>
  <c r="L1014" i="10"/>
  <c r="K1015" i="10"/>
  <c r="L1015" i="10"/>
  <c r="K1016" i="10"/>
  <c r="L1016" i="10"/>
  <c r="K1017" i="10"/>
  <c r="L1017" i="10"/>
  <c r="K1018" i="10"/>
  <c r="L1018" i="10"/>
  <c r="K1019" i="10"/>
  <c r="L1019" i="10"/>
  <c r="K1020" i="10"/>
  <c r="L1020" i="10"/>
  <c r="K1021" i="10"/>
  <c r="L1021" i="10"/>
  <c r="K1022" i="10"/>
  <c r="L1022" i="10"/>
  <c r="K1023" i="10"/>
  <c r="L1023" i="10"/>
  <c r="K1024" i="10"/>
  <c r="L1024" i="10"/>
  <c r="K1025" i="10"/>
  <c r="L1025" i="10"/>
  <c r="K1026" i="10"/>
  <c r="L1026" i="10"/>
  <c r="K1027" i="10"/>
  <c r="L1027" i="10"/>
  <c r="K1028" i="10"/>
  <c r="L1028" i="10"/>
  <c r="K1029" i="10"/>
  <c r="L1029" i="10"/>
  <c r="K1030" i="10"/>
  <c r="L1030" i="10"/>
  <c r="K1031" i="10"/>
  <c r="L1031" i="10"/>
  <c r="K1032" i="10"/>
  <c r="L1032" i="10"/>
  <c r="K1033" i="10"/>
  <c r="L1033" i="10"/>
  <c r="K1034" i="10"/>
  <c r="L1034" i="10"/>
  <c r="K1035" i="10"/>
  <c r="L1035" i="10"/>
  <c r="K1036" i="10"/>
  <c r="L1036" i="10"/>
  <c r="K1037" i="10"/>
  <c r="L1037" i="10"/>
  <c r="K1038" i="10"/>
  <c r="L1038" i="10"/>
  <c r="K1039" i="10"/>
  <c r="L1039" i="10"/>
  <c r="K1040" i="10"/>
  <c r="L1040" i="10"/>
  <c r="K1041" i="10"/>
  <c r="L1041" i="10"/>
  <c r="K1042" i="10"/>
  <c r="L1042" i="10"/>
  <c r="K1043" i="10"/>
  <c r="L1043" i="10"/>
  <c r="K1044" i="10"/>
  <c r="L1044" i="10"/>
  <c r="K1045" i="10"/>
  <c r="L1045" i="10"/>
  <c r="K1046" i="10"/>
  <c r="L1046" i="10"/>
  <c r="K1047" i="10"/>
  <c r="L1047" i="10"/>
  <c r="K1048" i="10"/>
  <c r="L1048" i="10"/>
  <c r="K1049" i="10"/>
  <c r="L1049" i="10"/>
  <c r="K1050" i="10"/>
  <c r="L1050" i="10"/>
  <c r="K1051" i="10"/>
  <c r="L1051" i="10"/>
  <c r="K1052" i="10"/>
  <c r="L1052" i="10"/>
  <c r="K1053" i="10"/>
  <c r="L1053" i="10"/>
  <c r="K1054" i="10"/>
  <c r="L1054" i="10"/>
  <c r="E1055" i="10"/>
  <c r="M1055" i="10"/>
  <c r="L963" i="10" l="1"/>
  <c r="L1055" i="10"/>
  <c r="L636" i="10"/>
  <c r="L796" i="10"/>
  <c r="L267" i="10"/>
  <c r="L971" i="10"/>
  <c r="L708" i="10"/>
  <c r="L365" i="10"/>
  <c r="L704" i="10"/>
  <c r="L985" i="10"/>
  <c r="L790" i="10"/>
  <c r="L800" i="10"/>
  <c r="L811" i="10"/>
  <c r="L570" i="10"/>
  <c r="L633" i="10"/>
  <c r="L62" i="10"/>
  <c r="L579" i="10"/>
  <c r="L176" i="10"/>
  <c r="L612" i="10"/>
  <c r="L53" i="10"/>
  <c r="L1057" i="10" s="1"/>
  <c r="K4" i="8"/>
  <c r="L4" i="8"/>
  <c r="K5" i="8"/>
  <c r="L5" i="8" s="1"/>
  <c r="K6" i="8"/>
  <c r="L6" i="8" s="1"/>
  <c r="K7" i="8"/>
  <c r="L7" i="8"/>
  <c r="K8" i="8"/>
  <c r="L8" i="8"/>
  <c r="K9" i="8"/>
  <c r="L9" i="8" s="1"/>
  <c r="K10" i="8"/>
  <c r="L10" i="8" s="1"/>
  <c r="K11" i="8"/>
  <c r="L11" i="8"/>
  <c r="K12" i="8"/>
  <c r="L12" i="8"/>
  <c r="K13" i="8"/>
  <c r="L13" i="8" s="1"/>
  <c r="K14" i="8"/>
  <c r="L14" i="8" s="1"/>
  <c r="L47" i="8" s="1"/>
  <c r="K15" i="8"/>
  <c r="L15" i="8"/>
  <c r="K16" i="8"/>
  <c r="L16" i="8"/>
  <c r="K17" i="8"/>
  <c r="L17" i="8" s="1"/>
  <c r="K18" i="8"/>
  <c r="L18" i="8" s="1"/>
  <c r="K19" i="8"/>
  <c r="L19" i="8"/>
  <c r="K20" i="8"/>
  <c r="L20" i="8"/>
  <c r="K21" i="8"/>
  <c r="L21" i="8" s="1"/>
  <c r="K22" i="8"/>
  <c r="L22" i="8" s="1"/>
  <c r="K23" i="8"/>
  <c r="L23" i="8"/>
  <c r="K24" i="8"/>
  <c r="L24" i="8"/>
  <c r="K25" i="8"/>
  <c r="L25" i="8" s="1"/>
  <c r="K26" i="8"/>
  <c r="L26" i="8" s="1"/>
  <c r="K27" i="8"/>
  <c r="L27" i="8"/>
  <c r="K28" i="8"/>
  <c r="L28" i="8"/>
  <c r="K29" i="8"/>
  <c r="L29" i="8" s="1"/>
  <c r="K30" i="8"/>
  <c r="L30" i="8" s="1"/>
  <c r="K31" i="8"/>
  <c r="L31" i="8"/>
  <c r="K32" i="8"/>
  <c r="L32" i="8"/>
  <c r="K33" i="8"/>
  <c r="L33" i="8" s="1"/>
  <c r="K34" i="8"/>
  <c r="L34" i="8" s="1"/>
  <c r="K35" i="8"/>
  <c r="L35" i="8"/>
  <c r="K36" i="8"/>
  <c r="L36" i="8"/>
  <c r="K37" i="8"/>
  <c r="L37" i="8" s="1"/>
  <c r="K38" i="8"/>
  <c r="L38" i="8" s="1"/>
  <c r="K39" i="8"/>
  <c r="L39" i="8"/>
  <c r="K40" i="8"/>
  <c r="L40" i="8"/>
  <c r="K41" i="8"/>
  <c r="L41" i="8" s="1"/>
  <c r="K42" i="8"/>
  <c r="L42" i="8" s="1"/>
  <c r="K43" i="8"/>
  <c r="L43" i="8"/>
  <c r="K44" i="8"/>
  <c r="L44" i="8"/>
  <c r="K45" i="8"/>
  <c r="L45" i="8" s="1"/>
  <c r="K46" i="8"/>
  <c r="L46" i="8" s="1"/>
  <c r="E47" i="8"/>
  <c r="M47" i="8"/>
  <c r="K48" i="8"/>
  <c r="L48" i="8" s="1"/>
  <c r="L54" i="8" s="1"/>
  <c r="K49" i="8"/>
  <c r="L49" i="8"/>
  <c r="K50" i="8"/>
  <c r="L50" i="8"/>
  <c r="K51" i="8"/>
  <c r="L51" i="8" s="1"/>
  <c r="K52" i="8"/>
  <c r="L52" i="8"/>
  <c r="K53" i="8"/>
  <c r="L53" i="8"/>
  <c r="E54" i="8"/>
  <c r="M54" i="8"/>
  <c r="M928" i="8" s="1"/>
  <c r="K55" i="8"/>
  <c r="L55" i="8"/>
  <c r="K56" i="8"/>
  <c r="L56" i="8" s="1"/>
  <c r="K57" i="8"/>
  <c r="L57" i="8" s="1"/>
  <c r="K58" i="8"/>
  <c r="L58" i="8"/>
  <c r="K59" i="8"/>
  <c r="L59" i="8"/>
  <c r="L158" i="8" s="1"/>
  <c r="K60" i="8"/>
  <c r="L60" i="8" s="1"/>
  <c r="K61" i="8"/>
  <c r="L61" i="8" s="1"/>
  <c r="K62" i="8"/>
  <c r="L62" i="8"/>
  <c r="K63" i="8"/>
  <c r="L63" i="8"/>
  <c r="K64" i="8"/>
  <c r="L64" i="8" s="1"/>
  <c r="K65" i="8"/>
  <c r="L65" i="8" s="1"/>
  <c r="K66" i="8"/>
  <c r="L66" i="8"/>
  <c r="K67" i="8"/>
  <c r="L67" i="8"/>
  <c r="K68" i="8"/>
  <c r="L68" i="8" s="1"/>
  <c r="K69" i="8"/>
  <c r="L69" i="8" s="1"/>
  <c r="K70" i="8"/>
  <c r="L70" i="8"/>
  <c r="K71" i="8"/>
  <c r="L71" i="8"/>
  <c r="K72" i="8"/>
  <c r="L72" i="8" s="1"/>
  <c r="K73" i="8"/>
  <c r="L73" i="8" s="1"/>
  <c r="K74" i="8"/>
  <c r="L74" i="8"/>
  <c r="K75" i="8"/>
  <c r="L75" i="8"/>
  <c r="K76" i="8"/>
  <c r="L76" i="8" s="1"/>
  <c r="K77" i="8"/>
  <c r="L77" i="8" s="1"/>
  <c r="K78" i="8"/>
  <c r="L78" i="8"/>
  <c r="K79" i="8"/>
  <c r="L79" i="8"/>
  <c r="K80" i="8"/>
  <c r="L80" i="8" s="1"/>
  <c r="K81" i="8"/>
  <c r="L81" i="8" s="1"/>
  <c r="K82" i="8"/>
  <c r="L82" i="8"/>
  <c r="K83" i="8"/>
  <c r="L83" i="8"/>
  <c r="K84" i="8"/>
  <c r="L84" i="8" s="1"/>
  <c r="K85" i="8"/>
  <c r="L85" i="8" s="1"/>
  <c r="K86" i="8"/>
  <c r="L86" i="8"/>
  <c r="K87" i="8"/>
  <c r="L87" i="8"/>
  <c r="K88" i="8"/>
  <c r="L88" i="8" s="1"/>
  <c r="K89" i="8"/>
  <c r="L89" i="8" s="1"/>
  <c r="K90" i="8"/>
  <c r="L90" i="8"/>
  <c r="K91" i="8"/>
  <c r="L91" i="8"/>
  <c r="K92" i="8"/>
  <c r="L92" i="8" s="1"/>
  <c r="K93" i="8"/>
  <c r="L93" i="8" s="1"/>
  <c r="K94" i="8"/>
  <c r="L94" i="8"/>
  <c r="K95" i="8"/>
  <c r="L95" i="8"/>
  <c r="K96" i="8"/>
  <c r="L96" i="8" s="1"/>
  <c r="K97" i="8"/>
  <c r="L97" i="8" s="1"/>
  <c r="K98" i="8"/>
  <c r="L98" i="8"/>
  <c r="K99" i="8"/>
  <c r="L99" i="8"/>
  <c r="K100" i="8"/>
  <c r="L100" i="8" s="1"/>
  <c r="K101" i="8"/>
  <c r="L101" i="8" s="1"/>
  <c r="K102" i="8"/>
  <c r="L102" i="8"/>
  <c r="K103" i="8"/>
  <c r="L103" i="8"/>
  <c r="K104" i="8"/>
  <c r="L104" i="8" s="1"/>
  <c r="K105" i="8"/>
  <c r="L105" i="8" s="1"/>
  <c r="K106" i="8"/>
  <c r="L106" i="8"/>
  <c r="K107" i="8"/>
  <c r="L107" i="8"/>
  <c r="K108" i="8"/>
  <c r="L108" i="8" s="1"/>
  <c r="K109" i="8"/>
  <c r="L109" i="8" s="1"/>
  <c r="K110" i="8"/>
  <c r="L110" i="8"/>
  <c r="K111" i="8"/>
  <c r="L111" i="8"/>
  <c r="K112" i="8"/>
  <c r="L112" i="8" s="1"/>
  <c r="K113" i="8"/>
  <c r="L113" i="8" s="1"/>
  <c r="K114" i="8"/>
  <c r="L114" i="8"/>
  <c r="K115" i="8"/>
  <c r="L115" i="8"/>
  <c r="K116" i="8"/>
  <c r="L116" i="8" s="1"/>
  <c r="K117" i="8"/>
  <c r="L117" i="8" s="1"/>
  <c r="K118" i="8"/>
  <c r="L118" i="8"/>
  <c r="K119" i="8"/>
  <c r="L119" i="8"/>
  <c r="K120" i="8"/>
  <c r="L120" i="8" s="1"/>
  <c r="K121" i="8"/>
  <c r="L121" i="8" s="1"/>
  <c r="K122" i="8"/>
  <c r="L122" i="8"/>
  <c r="K123" i="8"/>
  <c r="L123" i="8"/>
  <c r="K124" i="8"/>
  <c r="L124" i="8" s="1"/>
  <c r="K125" i="8"/>
  <c r="L125" i="8" s="1"/>
  <c r="K126" i="8"/>
  <c r="L126" i="8"/>
  <c r="K127" i="8"/>
  <c r="L127" i="8"/>
  <c r="K128" i="8"/>
  <c r="L128" i="8" s="1"/>
  <c r="K129" i="8"/>
  <c r="L129" i="8" s="1"/>
  <c r="K130" i="8"/>
  <c r="L130" i="8"/>
  <c r="K131" i="8"/>
  <c r="L131" i="8"/>
  <c r="K132" i="8"/>
  <c r="L132" i="8" s="1"/>
  <c r="K133" i="8"/>
  <c r="L133" i="8" s="1"/>
  <c r="K134" i="8"/>
  <c r="L134" i="8"/>
  <c r="K135" i="8"/>
  <c r="L135" i="8"/>
  <c r="K136" i="8"/>
  <c r="L136" i="8" s="1"/>
  <c r="K137" i="8"/>
  <c r="L137" i="8" s="1"/>
  <c r="K138" i="8"/>
  <c r="L138" i="8"/>
  <c r="K139" i="8"/>
  <c r="L139" i="8"/>
  <c r="K140" i="8"/>
  <c r="L140" i="8" s="1"/>
  <c r="K141" i="8"/>
  <c r="L141" i="8" s="1"/>
  <c r="K142" i="8"/>
  <c r="L142" i="8"/>
  <c r="K143" i="8"/>
  <c r="L143" i="8"/>
  <c r="K144" i="8"/>
  <c r="L144" i="8" s="1"/>
  <c r="K145" i="8"/>
  <c r="L145" i="8" s="1"/>
  <c r="K146" i="8"/>
  <c r="L146" i="8"/>
  <c r="K147" i="8"/>
  <c r="L147" i="8"/>
  <c r="K148" i="8"/>
  <c r="L148" i="8" s="1"/>
  <c r="K149" i="8"/>
  <c r="L149" i="8" s="1"/>
  <c r="K150" i="8"/>
  <c r="L150" i="8"/>
  <c r="K151" i="8"/>
  <c r="L151" i="8"/>
  <c r="K152" i="8"/>
  <c r="L152" i="8" s="1"/>
  <c r="K153" i="8"/>
  <c r="L153" i="8" s="1"/>
  <c r="K154" i="8"/>
  <c r="L154" i="8"/>
  <c r="K155" i="8"/>
  <c r="L155" i="8"/>
  <c r="K156" i="8"/>
  <c r="L156" i="8" s="1"/>
  <c r="K157" i="8"/>
  <c r="L157" i="8" s="1"/>
  <c r="E158" i="8"/>
  <c r="M158" i="8"/>
  <c r="K159" i="8"/>
  <c r="L159" i="8" s="1"/>
  <c r="K160" i="8"/>
  <c r="L160" i="8"/>
  <c r="K161" i="8"/>
  <c r="L161" i="8"/>
  <c r="K162" i="8"/>
  <c r="L162" i="8" s="1"/>
  <c r="K163" i="8"/>
  <c r="L163" i="8"/>
  <c r="K164" i="8"/>
  <c r="L164" i="8"/>
  <c r="K165" i="8"/>
  <c r="L165" i="8"/>
  <c r="K166" i="8"/>
  <c r="L166" i="8" s="1"/>
  <c r="K167" i="8"/>
  <c r="L167" i="8" s="1"/>
  <c r="K168" i="8"/>
  <c r="L168" i="8"/>
  <c r="K169" i="8"/>
  <c r="L169" i="8"/>
  <c r="K170" i="8"/>
  <c r="L170" i="8" s="1"/>
  <c r="K171" i="8"/>
  <c r="L171" i="8"/>
  <c r="K172" i="8"/>
  <c r="L172" i="8"/>
  <c r="K173" i="8"/>
  <c r="L173" i="8"/>
  <c r="K174" i="8"/>
  <c r="L174" i="8" s="1"/>
  <c r="K175" i="8"/>
  <c r="L175" i="8" s="1"/>
  <c r="K176" i="8"/>
  <c r="L176" i="8"/>
  <c r="K177" i="8"/>
  <c r="L177" i="8"/>
  <c r="K178" i="8"/>
  <c r="L178" i="8" s="1"/>
  <c r="K179" i="8"/>
  <c r="L179" i="8"/>
  <c r="K180" i="8"/>
  <c r="L180" i="8"/>
  <c r="K181" i="8"/>
  <c r="L181" i="8"/>
  <c r="K182" i="8"/>
  <c r="L182" i="8" s="1"/>
  <c r="K183" i="8"/>
  <c r="L183" i="8" s="1"/>
  <c r="K184" i="8"/>
  <c r="L184" i="8"/>
  <c r="K185" i="8"/>
  <c r="L185" i="8"/>
  <c r="K186" i="8"/>
  <c r="L186" i="8" s="1"/>
  <c r="K187" i="8"/>
  <c r="L187" i="8"/>
  <c r="K188" i="8"/>
  <c r="L188" i="8"/>
  <c r="K189" i="8"/>
  <c r="L189" i="8"/>
  <c r="K190" i="8"/>
  <c r="L190" i="8" s="1"/>
  <c r="K191" i="8"/>
  <c r="L191" i="8" s="1"/>
  <c r="K192" i="8"/>
  <c r="L192" i="8"/>
  <c r="K193" i="8"/>
  <c r="L193" i="8"/>
  <c r="K194" i="8"/>
  <c r="L194" i="8" s="1"/>
  <c r="K195" i="8"/>
  <c r="L195" i="8"/>
  <c r="K196" i="8"/>
  <c r="L196" i="8"/>
  <c r="K197" i="8"/>
  <c r="L197" i="8"/>
  <c r="K198" i="8"/>
  <c r="L198" i="8" s="1"/>
  <c r="K199" i="8"/>
  <c r="L199" i="8" s="1"/>
  <c r="K200" i="8"/>
  <c r="L200" i="8"/>
  <c r="K201" i="8"/>
  <c r="L201" i="8"/>
  <c r="K202" i="8"/>
  <c r="L202" i="8" s="1"/>
  <c r="K203" i="8"/>
  <c r="L203" i="8"/>
  <c r="K204" i="8"/>
  <c r="L204" i="8"/>
  <c r="K205" i="8"/>
  <c r="L205" i="8"/>
  <c r="K206" i="8"/>
  <c r="L206" i="8" s="1"/>
  <c r="K207" i="8"/>
  <c r="L207" i="8" s="1"/>
  <c r="K208" i="8"/>
  <c r="L208" i="8"/>
  <c r="K209" i="8"/>
  <c r="L209" i="8"/>
  <c r="K210" i="8"/>
  <c r="L210" i="8" s="1"/>
  <c r="K211" i="8"/>
  <c r="L211" i="8"/>
  <c r="K212" i="8"/>
  <c r="L212" i="8"/>
  <c r="K213" i="8"/>
  <c r="L213" i="8"/>
  <c r="K214" i="8"/>
  <c r="L214" i="8" s="1"/>
  <c r="K215" i="8"/>
  <c r="L215" i="8" s="1"/>
  <c r="K216" i="8"/>
  <c r="L216" i="8"/>
  <c r="K217" i="8"/>
  <c r="L217" i="8"/>
  <c r="K218" i="8"/>
  <c r="L218" i="8" s="1"/>
  <c r="K219" i="8"/>
  <c r="L219" i="8"/>
  <c r="K220" i="8"/>
  <c r="L220" i="8"/>
  <c r="K221" i="8"/>
  <c r="L221" i="8"/>
  <c r="K222" i="8"/>
  <c r="L222" i="8" s="1"/>
  <c r="K223" i="8"/>
  <c r="L223" i="8" s="1"/>
  <c r="K224" i="8"/>
  <c r="L224" i="8"/>
  <c r="K225" i="8"/>
  <c r="L225" i="8"/>
  <c r="K226" i="8"/>
  <c r="L226" i="8" s="1"/>
  <c r="K227" i="8"/>
  <c r="L227" i="8"/>
  <c r="K228" i="8"/>
  <c r="L228" i="8"/>
  <c r="K229" i="8"/>
  <c r="L229" i="8"/>
  <c r="K230" i="8"/>
  <c r="L230" i="8" s="1"/>
  <c r="K231" i="8"/>
  <c r="L231" i="8" s="1"/>
  <c r="K232" i="8"/>
  <c r="L232" i="8"/>
  <c r="K233" i="8"/>
  <c r="L233" i="8"/>
  <c r="K234" i="8"/>
  <c r="L234" i="8" s="1"/>
  <c r="K235" i="8"/>
  <c r="L235" i="8"/>
  <c r="K236" i="8"/>
  <c r="L236" i="8"/>
  <c r="K237" i="8"/>
  <c r="L237" i="8"/>
  <c r="E238" i="8"/>
  <c r="M238" i="8"/>
  <c r="K239" i="8"/>
  <c r="L239" i="8" s="1"/>
  <c r="K240" i="8"/>
  <c r="L240" i="8" s="1"/>
  <c r="K241" i="8"/>
  <c r="L241" i="8"/>
  <c r="K242" i="8"/>
  <c r="L242" i="8"/>
  <c r="L325" i="8" s="1"/>
  <c r="K243" i="8"/>
  <c r="L243" i="8" s="1"/>
  <c r="K244" i="8"/>
  <c r="L244" i="8" s="1"/>
  <c r="K245" i="8"/>
  <c r="L245" i="8"/>
  <c r="K246" i="8"/>
  <c r="L246" i="8"/>
  <c r="K247" i="8"/>
  <c r="L247" i="8" s="1"/>
  <c r="K248" i="8"/>
  <c r="L248" i="8" s="1"/>
  <c r="K249" i="8"/>
  <c r="L249" i="8"/>
  <c r="K250" i="8"/>
  <c r="L250" i="8"/>
  <c r="K251" i="8"/>
  <c r="L251" i="8" s="1"/>
  <c r="K252" i="8"/>
  <c r="L252" i="8" s="1"/>
  <c r="K253" i="8"/>
  <c r="L253" i="8"/>
  <c r="K254" i="8"/>
  <c r="L254" i="8"/>
  <c r="K255" i="8"/>
  <c r="L255" i="8" s="1"/>
  <c r="K256" i="8"/>
  <c r="L256" i="8" s="1"/>
  <c r="K257" i="8"/>
  <c r="L257" i="8"/>
  <c r="K258" i="8"/>
  <c r="L258" i="8"/>
  <c r="K259" i="8"/>
  <c r="L259" i="8" s="1"/>
  <c r="K260" i="8"/>
  <c r="L260" i="8" s="1"/>
  <c r="K261" i="8"/>
  <c r="L261" i="8"/>
  <c r="K262" i="8"/>
  <c r="L262" i="8"/>
  <c r="K263" i="8"/>
  <c r="L263" i="8" s="1"/>
  <c r="K264" i="8"/>
  <c r="L264" i="8" s="1"/>
  <c r="K265" i="8"/>
  <c r="L265" i="8"/>
  <c r="K266" i="8"/>
  <c r="L266" i="8"/>
  <c r="K267" i="8"/>
  <c r="L267" i="8" s="1"/>
  <c r="K268" i="8"/>
  <c r="L268" i="8" s="1"/>
  <c r="K269" i="8"/>
  <c r="L269" i="8"/>
  <c r="K270" i="8"/>
  <c r="L270" i="8"/>
  <c r="K271" i="8"/>
  <c r="L271" i="8" s="1"/>
  <c r="K272" i="8"/>
  <c r="L272" i="8" s="1"/>
  <c r="K273" i="8"/>
  <c r="L273" i="8"/>
  <c r="K274" i="8"/>
  <c r="L274" i="8"/>
  <c r="K275" i="8"/>
  <c r="L275" i="8" s="1"/>
  <c r="K276" i="8"/>
  <c r="L276" i="8" s="1"/>
  <c r="K277" i="8"/>
  <c r="L277" i="8"/>
  <c r="K278" i="8"/>
  <c r="L278" i="8"/>
  <c r="K279" i="8"/>
  <c r="L279" i="8" s="1"/>
  <c r="K280" i="8"/>
  <c r="L280" i="8" s="1"/>
  <c r="K281" i="8"/>
  <c r="L281" i="8"/>
  <c r="K282" i="8"/>
  <c r="L282" i="8"/>
  <c r="K283" i="8"/>
  <c r="L283" i="8" s="1"/>
  <c r="K284" i="8"/>
  <c r="L284" i="8" s="1"/>
  <c r="K285" i="8"/>
  <c r="L285" i="8"/>
  <c r="K286" i="8"/>
  <c r="L286" i="8"/>
  <c r="K287" i="8"/>
  <c r="L287" i="8" s="1"/>
  <c r="K288" i="8"/>
  <c r="L288" i="8" s="1"/>
  <c r="K289" i="8"/>
  <c r="L289" i="8"/>
  <c r="K290" i="8"/>
  <c r="L290" i="8"/>
  <c r="K291" i="8"/>
  <c r="L291" i="8" s="1"/>
  <c r="K292" i="8"/>
  <c r="L292" i="8" s="1"/>
  <c r="K293" i="8"/>
  <c r="L293" i="8"/>
  <c r="K294" i="8"/>
  <c r="L294" i="8"/>
  <c r="K295" i="8"/>
  <c r="L295" i="8" s="1"/>
  <c r="K296" i="8"/>
  <c r="L296" i="8" s="1"/>
  <c r="K297" i="8"/>
  <c r="L297" i="8"/>
  <c r="K298" i="8"/>
  <c r="L298" i="8"/>
  <c r="K299" i="8"/>
  <c r="L299" i="8" s="1"/>
  <c r="K300" i="8"/>
  <c r="L300" i="8" s="1"/>
  <c r="K301" i="8"/>
  <c r="L301" i="8"/>
  <c r="K302" i="8"/>
  <c r="L302" i="8"/>
  <c r="K303" i="8"/>
  <c r="L303" i="8" s="1"/>
  <c r="K304" i="8"/>
  <c r="L304" i="8" s="1"/>
  <c r="K305" i="8"/>
  <c r="L305" i="8"/>
  <c r="K306" i="8"/>
  <c r="L306" i="8"/>
  <c r="K307" i="8"/>
  <c r="L307" i="8" s="1"/>
  <c r="K308" i="8"/>
  <c r="L308" i="8" s="1"/>
  <c r="K309" i="8"/>
  <c r="L309" i="8"/>
  <c r="K310" i="8"/>
  <c r="L310" i="8"/>
  <c r="K311" i="8"/>
  <c r="L311" i="8" s="1"/>
  <c r="K312" i="8"/>
  <c r="L312" i="8" s="1"/>
  <c r="K313" i="8"/>
  <c r="L313" i="8"/>
  <c r="K314" i="8"/>
  <c r="L314" i="8"/>
  <c r="K315" i="8"/>
  <c r="L315" i="8" s="1"/>
  <c r="K316" i="8"/>
  <c r="L316" i="8" s="1"/>
  <c r="K317" i="8"/>
  <c r="L317" i="8"/>
  <c r="K318" i="8"/>
  <c r="L318" i="8"/>
  <c r="K319" i="8"/>
  <c r="L319" i="8" s="1"/>
  <c r="K320" i="8"/>
  <c r="L320" i="8" s="1"/>
  <c r="K321" i="8"/>
  <c r="L321" i="8"/>
  <c r="K322" i="8"/>
  <c r="L322" i="8"/>
  <c r="K323" i="8"/>
  <c r="L323" i="8" s="1"/>
  <c r="K324" i="8"/>
  <c r="L324" i="8" s="1"/>
  <c r="E325" i="8"/>
  <c r="M325" i="8"/>
  <c r="K326" i="8"/>
  <c r="L326" i="8" s="1"/>
  <c r="L516" i="8" s="1"/>
  <c r="K327" i="8"/>
  <c r="L327" i="8"/>
  <c r="K328" i="8"/>
  <c r="L328" i="8"/>
  <c r="K329" i="8"/>
  <c r="L329" i="8" s="1"/>
  <c r="K330" i="8"/>
  <c r="L330" i="8"/>
  <c r="K331" i="8"/>
  <c r="L331" i="8"/>
  <c r="K332" i="8"/>
  <c r="L332" i="8"/>
  <c r="K333" i="8"/>
  <c r="L333" i="8" s="1"/>
  <c r="K334" i="8"/>
  <c r="L334" i="8" s="1"/>
  <c r="K335" i="8"/>
  <c r="L335" i="8"/>
  <c r="K336" i="8"/>
  <c r="L336" i="8"/>
  <c r="K337" i="8"/>
  <c r="L337" i="8" s="1"/>
  <c r="K338" i="8"/>
  <c r="L338" i="8"/>
  <c r="K339" i="8"/>
  <c r="L339" i="8"/>
  <c r="K340" i="8"/>
  <c r="L340" i="8"/>
  <c r="K341" i="8"/>
  <c r="L341" i="8" s="1"/>
  <c r="K342" i="8"/>
  <c r="L342" i="8" s="1"/>
  <c r="K343" i="8"/>
  <c r="L343" i="8"/>
  <c r="K344" i="8"/>
  <c r="L344" i="8"/>
  <c r="K345" i="8"/>
  <c r="L345" i="8" s="1"/>
  <c r="K346" i="8"/>
  <c r="L346" i="8"/>
  <c r="K347" i="8"/>
  <c r="L347" i="8"/>
  <c r="K348" i="8"/>
  <c r="L348" i="8"/>
  <c r="K349" i="8"/>
  <c r="L349" i="8" s="1"/>
  <c r="K350" i="8"/>
  <c r="L350" i="8" s="1"/>
  <c r="K351" i="8"/>
  <c r="L351" i="8"/>
  <c r="K352" i="8"/>
  <c r="L352" i="8"/>
  <c r="K353" i="8"/>
  <c r="L353" i="8" s="1"/>
  <c r="K354" i="8"/>
  <c r="L354" i="8"/>
  <c r="K355" i="8"/>
  <c r="L355" i="8"/>
  <c r="K356" i="8"/>
  <c r="L356" i="8"/>
  <c r="K357" i="8"/>
  <c r="L357" i="8" s="1"/>
  <c r="K358" i="8"/>
  <c r="L358" i="8" s="1"/>
  <c r="K359" i="8"/>
  <c r="L359" i="8"/>
  <c r="K360" i="8"/>
  <c r="L360" i="8"/>
  <c r="K361" i="8"/>
  <c r="L361" i="8" s="1"/>
  <c r="K362" i="8"/>
  <c r="L362" i="8"/>
  <c r="K363" i="8"/>
  <c r="L363" i="8"/>
  <c r="K364" i="8"/>
  <c r="L364" i="8"/>
  <c r="K365" i="8"/>
  <c r="L365" i="8" s="1"/>
  <c r="K366" i="8"/>
  <c r="L366" i="8" s="1"/>
  <c r="K367" i="8"/>
  <c r="L367" i="8"/>
  <c r="K368" i="8"/>
  <c r="L368" i="8"/>
  <c r="K369" i="8"/>
  <c r="L369" i="8" s="1"/>
  <c r="K370" i="8"/>
  <c r="L370" i="8"/>
  <c r="K371" i="8"/>
  <c r="L371" i="8"/>
  <c r="K372" i="8"/>
  <c r="L372" i="8"/>
  <c r="K373" i="8"/>
  <c r="L373" i="8" s="1"/>
  <c r="K374" i="8"/>
  <c r="L374" i="8" s="1"/>
  <c r="K375" i="8"/>
  <c r="L375" i="8"/>
  <c r="K376" i="8"/>
  <c r="L376" i="8"/>
  <c r="K377" i="8"/>
  <c r="L377" i="8" s="1"/>
  <c r="K378" i="8"/>
  <c r="L378" i="8"/>
  <c r="K379" i="8"/>
  <c r="L379" i="8"/>
  <c r="K380" i="8"/>
  <c r="L380" i="8"/>
  <c r="K381" i="8"/>
  <c r="L381" i="8" s="1"/>
  <c r="K382" i="8"/>
  <c r="L382" i="8" s="1"/>
  <c r="K383" i="8"/>
  <c r="L383" i="8"/>
  <c r="K384" i="8"/>
  <c r="L384" i="8"/>
  <c r="K385" i="8"/>
  <c r="L385" i="8" s="1"/>
  <c r="K386" i="8"/>
  <c r="L386" i="8"/>
  <c r="K387" i="8"/>
  <c r="L387" i="8"/>
  <c r="K388" i="8"/>
  <c r="L388" i="8"/>
  <c r="K389" i="8"/>
  <c r="L389" i="8" s="1"/>
  <c r="K390" i="8"/>
  <c r="L390" i="8" s="1"/>
  <c r="K391" i="8"/>
  <c r="L391" i="8"/>
  <c r="K392" i="8"/>
  <c r="L392" i="8"/>
  <c r="K393" i="8"/>
  <c r="L393" i="8" s="1"/>
  <c r="K394" i="8"/>
  <c r="L394" i="8"/>
  <c r="K395" i="8"/>
  <c r="L395" i="8"/>
  <c r="K396" i="8"/>
  <c r="L396" i="8"/>
  <c r="K397" i="8"/>
  <c r="L397" i="8" s="1"/>
  <c r="K398" i="8"/>
  <c r="L398" i="8" s="1"/>
  <c r="K399" i="8"/>
  <c r="L399" i="8"/>
  <c r="K400" i="8"/>
  <c r="L400" i="8"/>
  <c r="K401" i="8"/>
  <c r="L401" i="8" s="1"/>
  <c r="K402" i="8"/>
  <c r="L402" i="8"/>
  <c r="K403" i="8"/>
  <c r="L403" i="8"/>
  <c r="K404" i="8"/>
  <c r="L404" i="8"/>
  <c r="K405" i="8"/>
  <c r="L405" i="8" s="1"/>
  <c r="K406" i="8"/>
  <c r="L406" i="8" s="1"/>
  <c r="K407" i="8"/>
  <c r="L407" i="8"/>
  <c r="K408" i="8"/>
  <c r="L408" i="8"/>
  <c r="K409" i="8"/>
  <c r="L409" i="8" s="1"/>
  <c r="K410" i="8"/>
  <c r="L410" i="8"/>
  <c r="K411" i="8"/>
  <c r="L411" i="8"/>
  <c r="K412" i="8"/>
  <c r="L412" i="8"/>
  <c r="K413" i="8"/>
  <c r="L413" i="8" s="1"/>
  <c r="K414" i="8"/>
  <c r="L414" i="8" s="1"/>
  <c r="K415" i="8"/>
  <c r="L415" i="8"/>
  <c r="K416" i="8"/>
  <c r="L416" i="8"/>
  <c r="K417" i="8"/>
  <c r="L417" i="8" s="1"/>
  <c r="K418" i="8"/>
  <c r="L418" i="8"/>
  <c r="K419" i="8"/>
  <c r="L419" i="8"/>
  <c r="K420" i="8"/>
  <c r="L420" i="8"/>
  <c r="K421" i="8"/>
  <c r="L421" i="8" s="1"/>
  <c r="K422" i="8"/>
  <c r="L422" i="8" s="1"/>
  <c r="K423" i="8"/>
  <c r="L423" i="8"/>
  <c r="K424" i="8"/>
  <c r="L424" i="8"/>
  <c r="K425" i="8"/>
  <c r="L425" i="8" s="1"/>
  <c r="K426" i="8"/>
  <c r="L426" i="8"/>
  <c r="K427" i="8"/>
  <c r="L427" i="8"/>
  <c r="K428" i="8"/>
  <c r="L428" i="8"/>
  <c r="K429" i="8"/>
  <c r="L429" i="8" s="1"/>
  <c r="K430" i="8"/>
  <c r="L430" i="8" s="1"/>
  <c r="K431" i="8"/>
  <c r="L431" i="8"/>
  <c r="K432" i="8"/>
  <c r="L432" i="8"/>
  <c r="K433" i="8"/>
  <c r="L433" i="8" s="1"/>
  <c r="K434" i="8"/>
  <c r="L434" i="8"/>
  <c r="K435" i="8"/>
  <c r="L435" i="8"/>
  <c r="K436" i="8"/>
  <c r="L436" i="8"/>
  <c r="K437" i="8"/>
  <c r="L437" i="8" s="1"/>
  <c r="K438" i="8"/>
  <c r="L438" i="8" s="1"/>
  <c r="K439" i="8"/>
  <c r="L439" i="8"/>
  <c r="K440" i="8"/>
  <c r="L440" i="8"/>
  <c r="K441" i="8"/>
  <c r="L441" i="8" s="1"/>
  <c r="K442" i="8"/>
  <c r="L442" i="8"/>
  <c r="K443" i="8"/>
  <c r="L443" i="8"/>
  <c r="K444" i="8"/>
  <c r="L444" i="8"/>
  <c r="K445" i="8"/>
  <c r="L445" i="8" s="1"/>
  <c r="K446" i="8"/>
  <c r="L446" i="8" s="1"/>
  <c r="K447" i="8"/>
  <c r="L447" i="8"/>
  <c r="K448" i="8"/>
  <c r="L448" i="8"/>
  <c r="K449" i="8"/>
  <c r="L449" i="8" s="1"/>
  <c r="K450" i="8"/>
  <c r="L450" i="8"/>
  <c r="K451" i="8"/>
  <c r="L451" i="8"/>
  <c r="K452" i="8"/>
  <c r="L452" i="8"/>
  <c r="K453" i="8"/>
  <c r="L453" i="8" s="1"/>
  <c r="K454" i="8"/>
  <c r="L454" i="8" s="1"/>
  <c r="K455" i="8"/>
  <c r="L455" i="8"/>
  <c r="K456" i="8"/>
  <c r="L456" i="8"/>
  <c r="K457" i="8"/>
  <c r="L457" i="8" s="1"/>
  <c r="K458" i="8"/>
  <c r="L458" i="8"/>
  <c r="K459" i="8"/>
  <c r="L459" i="8"/>
  <c r="K460" i="8"/>
  <c r="L460" i="8"/>
  <c r="K461" i="8"/>
  <c r="L461" i="8" s="1"/>
  <c r="K462" i="8"/>
  <c r="L462" i="8" s="1"/>
  <c r="K463" i="8"/>
  <c r="L463" i="8"/>
  <c r="K464" i="8"/>
  <c r="L464" i="8"/>
  <c r="K465" i="8"/>
  <c r="L465" i="8" s="1"/>
  <c r="K466" i="8"/>
  <c r="L466" i="8"/>
  <c r="K467" i="8"/>
  <c r="L467" i="8"/>
  <c r="K468" i="8"/>
  <c r="L468" i="8"/>
  <c r="K469" i="8"/>
  <c r="L469" i="8" s="1"/>
  <c r="K470" i="8"/>
  <c r="L470" i="8" s="1"/>
  <c r="K471" i="8"/>
  <c r="L471" i="8"/>
  <c r="K472" i="8"/>
  <c r="L472" i="8"/>
  <c r="K473" i="8"/>
  <c r="L473" i="8" s="1"/>
  <c r="K474" i="8"/>
  <c r="L474" i="8"/>
  <c r="K475" i="8"/>
  <c r="L475" i="8"/>
  <c r="K476" i="8"/>
  <c r="L476" i="8"/>
  <c r="K477" i="8"/>
  <c r="L477" i="8" s="1"/>
  <c r="K478" i="8"/>
  <c r="L478" i="8" s="1"/>
  <c r="K479" i="8"/>
  <c r="L479" i="8"/>
  <c r="K480" i="8"/>
  <c r="L480" i="8"/>
  <c r="K481" i="8"/>
  <c r="L481" i="8" s="1"/>
  <c r="K482" i="8"/>
  <c r="L482" i="8"/>
  <c r="K483" i="8"/>
  <c r="L483" i="8"/>
  <c r="K484" i="8"/>
  <c r="L484" i="8"/>
  <c r="K485" i="8"/>
  <c r="L485" i="8" s="1"/>
  <c r="K486" i="8"/>
  <c r="L486" i="8" s="1"/>
  <c r="K487" i="8"/>
  <c r="L487" i="8"/>
  <c r="K488" i="8"/>
  <c r="L488" i="8"/>
  <c r="K489" i="8"/>
  <c r="L489" i="8" s="1"/>
  <c r="K490" i="8"/>
  <c r="L490" i="8"/>
  <c r="K491" i="8"/>
  <c r="L491" i="8"/>
  <c r="K492" i="8"/>
  <c r="L492" i="8"/>
  <c r="K493" i="8"/>
  <c r="L493" i="8" s="1"/>
  <c r="K494" i="8"/>
  <c r="L494" i="8" s="1"/>
  <c r="K495" i="8"/>
  <c r="L495" i="8"/>
  <c r="K496" i="8"/>
  <c r="L496" i="8"/>
  <c r="K497" i="8"/>
  <c r="L497" i="8" s="1"/>
  <c r="K498" i="8"/>
  <c r="L498" i="8"/>
  <c r="K499" i="8"/>
  <c r="L499" i="8"/>
  <c r="K500" i="8"/>
  <c r="L500" i="8"/>
  <c r="K501" i="8"/>
  <c r="L501" i="8" s="1"/>
  <c r="K502" i="8"/>
  <c r="L502" i="8" s="1"/>
  <c r="K503" i="8"/>
  <c r="L503" i="8"/>
  <c r="K504" i="8"/>
  <c r="L504" i="8"/>
  <c r="K505" i="8"/>
  <c r="L505" i="8" s="1"/>
  <c r="K506" i="8"/>
  <c r="L506" i="8"/>
  <c r="K507" i="8"/>
  <c r="L507" i="8"/>
  <c r="K508" i="8"/>
  <c r="L508" i="8"/>
  <c r="K509" i="8"/>
  <c r="L509" i="8" s="1"/>
  <c r="K510" i="8"/>
  <c r="L510" i="8" s="1"/>
  <c r="K511" i="8"/>
  <c r="L511" i="8"/>
  <c r="K512" i="8"/>
  <c r="L512" i="8"/>
  <c r="K513" i="8"/>
  <c r="L513" i="8" s="1"/>
  <c r="K514" i="8"/>
  <c r="L514" i="8"/>
  <c r="K515" i="8"/>
  <c r="L515" i="8"/>
  <c r="E516" i="8"/>
  <c r="M516" i="8"/>
  <c r="K517" i="8"/>
  <c r="L517" i="8"/>
  <c r="K518" i="8"/>
  <c r="L518" i="8" s="1"/>
  <c r="E519" i="8"/>
  <c r="M519" i="8"/>
  <c r="K520" i="8"/>
  <c r="L520" i="8" s="1"/>
  <c r="K521" i="8"/>
  <c r="L521" i="8" s="1"/>
  <c r="K522" i="8"/>
  <c r="L522" i="8"/>
  <c r="K523" i="8"/>
  <c r="L523" i="8"/>
  <c r="K524" i="8"/>
  <c r="L524" i="8" s="1"/>
  <c r="K525" i="8"/>
  <c r="L525" i="8"/>
  <c r="K526" i="8"/>
  <c r="L526" i="8"/>
  <c r="K527" i="8"/>
  <c r="L527" i="8"/>
  <c r="K528" i="8"/>
  <c r="L528" i="8" s="1"/>
  <c r="K529" i="8"/>
  <c r="L529" i="8" s="1"/>
  <c r="K530" i="8"/>
  <c r="L530" i="8"/>
  <c r="K531" i="8"/>
  <c r="L531" i="8"/>
  <c r="K532" i="8"/>
  <c r="L532" i="8" s="1"/>
  <c r="K533" i="8"/>
  <c r="L533" i="8"/>
  <c r="K534" i="8"/>
  <c r="L534" i="8"/>
  <c r="K535" i="8"/>
  <c r="L535" i="8"/>
  <c r="K536" i="8"/>
  <c r="L536" i="8" s="1"/>
  <c r="K537" i="8"/>
  <c r="L537" i="8" s="1"/>
  <c r="K538" i="8"/>
  <c r="L538" i="8"/>
  <c r="K539" i="8"/>
  <c r="L539" i="8"/>
  <c r="K540" i="8"/>
  <c r="L540" i="8" s="1"/>
  <c r="K541" i="8"/>
  <c r="L541" i="8"/>
  <c r="K542" i="8"/>
  <c r="L542" i="8"/>
  <c r="K543" i="8"/>
  <c r="L543" i="8"/>
  <c r="K544" i="8"/>
  <c r="L544" i="8" s="1"/>
  <c r="K545" i="8"/>
  <c r="L545" i="8" s="1"/>
  <c r="K546" i="8"/>
  <c r="L546" i="8"/>
  <c r="K547" i="8"/>
  <c r="L547" i="8"/>
  <c r="K548" i="8"/>
  <c r="L548" i="8" s="1"/>
  <c r="K549" i="8"/>
  <c r="L549" i="8"/>
  <c r="K550" i="8"/>
  <c r="L550" i="8"/>
  <c r="E551" i="8"/>
  <c r="M551" i="8"/>
  <c r="K552" i="8"/>
  <c r="L552" i="8"/>
  <c r="K553" i="8"/>
  <c r="L553" i="8" s="1"/>
  <c r="K554" i="8"/>
  <c r="L554" i="8" s="1"/>
  <c r="K555" i="8"/>
  <c r="L555" i="8" s="1"/>
  <c r="K556" i="8"/>
  <c r="L556" i="8"/>
  <c r="K557" i="8"/>
  <c r="L557" i="8" s="1"/>
  <c r="K558" i="8"/>
  <c r="L558" i="8" s="1"/>
  <c r="K559" i="8"/>
  <c r="L559" i="8" s="1"/>
  <c r="K560" i="8"/>
  <c r="L560" i="8"/>
  <c r="K561" i="8"/>
  <c r="L561" i="8" s="1"/>
  <c r="K562" i="8"/>
  <c r="L562" i="8" s="1"/>
  <c r="K563" i="8"/>
  <c r="L563" i="8" s="1"/>
  <c r="K564" i="8"/>
  <c r="L564" i="8"/>
  <c r="K565" i="8"/>
  <c r="L565" i="8" s="1"/>
  <c r="E566" i="8"/>
  <c r="M566" i="8"/>
  <c r="K567" i="8"/>
  <c r="L567" i="8" s="1"/>
  <c r="K568" i="8"/>
  <c r="L568" i="8" s="1"/>
  <c r="E569" i="8"/>
  <c r="M569" i="8"/>
  <c r="K570" i="8"/>
  <c r="L570" i="8"/>
  <c r="K571" i="8"/>
  <c r="L571" i="8"/>
  <c r="K572" i="8"/>
  <c r="L572" i="8" s="1"/>
  <c r="K573" i="8"/>
  <c r="L573" i="8" s="1"/>
  <c r="K574" i="8"/>
  <c r="L574" i="8"/>
  <c r="L623" i="8" s="1"/>
  <c r="K575" i="8"/>
  <c r="L575" i="8"/>
  <c r="K576" i="8"/>
  <c r="L576" i="8" s="1"/>
  <c r="K577" i="8"/>
  <c r="L577" i="8" s="1"/>
  <c r="K578" i="8"/>
  <c r="L578" i="8"/>
  <c r="K579" i="8"/>
  <c r="L579" i="8"/>
  <c r="K580" i="8"/>
  <c r="L580" i="8" s="1"/>
  <c r="K581" i="8"/>
  <c r="L581" i="8" s="1"/>
  <c r="K582" i="8"/>
  <c r="L582" i="8"/>
  <c r="K583" i="8"/>
  <c r="L583" i="8"/>
  <c r="K584" i="8"/>
  <c r="L584" i="8" s="1"/>
  <c r="K585" i="8"/>
  <c r="L585" i="8" s="1"/>
  <c r="K586" i="8"/>
  <c r="L586" i="8"/>
  <c r="K587" i="8"/>
  <c r="L587" i="8"/>
  <c r="K588" i="8"/>
  <c r="L588" i="8" s="1"/>
  <c r="K589" i="8"/>
  <c r="L589" i="8" s="1"/>
  <c r="K590" i="8"/>
  <c r="L590" i="8"/>
  <c r="K591" i="8"/>
  <c r="L591" i="8"/>
  <c r="K592" i="8"/>
  <c r="L592" i="8" s="1"/>
  <c r="K593" i="8"/>
  <c r="L593" i="8" s="1"/>
  <c r="K594" i="8"/>
  <c r="L594" i="8"/>
  <c r="K595" i="8"/>
  <c r="L595" i="8"/>
  <c r="K596" i="8"/>
  <c r="L596" i="8" s="1"/>
  <c r="K597" i="8"/>
  <c r="L597" i="8" s="1"/>
  <c r="K598" i="8"/>
  <c r="L598" i="8"/>
  <c r="K599" i="8"/>
  <c r="L599" i="8"/>
  <c r="K600" i="8"/>
  <c r="L600" i="8" s="1"/>
  <c r="K601" i="8"/>
  <c r="L601" i="8" s="1"/>
  <c r="K602" i="8"/>
  <c r="L602" i="8"/>
  <c r="K603" i="8"/>
  <c r="L603" i="8"/>
  <c r="K604" i="8"/>
  <c r="L604" i="8" s="1"/>
  <c r="K605" i="8"/>
  <c r="L605" i="8" s="1"/>
  <c r="K606" i="8"/>
  <c r="L606" i="8"/>
  <c r="K607" i="8"/>
  <c r="L607" i="8"/>
  <c r="K608" i="8"/>
  <c r="L608" i="8" s="1"/>
  <c r="K609" i="8"/>
  <c r="L609" i="8" s="1"/>
  <c r="K610" i="8"/>
  <c r="L610" i="8"/>
  <c r="K611" i="8"/>
  <c r="L611" i="8"/>
  <c r="K612" i="8"/>
  <c r="L612" i="8" s="1"/>
  <c r="K613" i="8"/>
  <c r="L613" i="8" s="1"/>
  <c r="K614" i="8"/>
  <c r="L614" i="8"/>
  <c r="K615" i="8"/>
  <c r="L615" i="8"/>
  <c r="K616" i="8"/>
  <c r="L616" i="8" s="1"/>
  <c r="K617" i="8"/>
  <c r="L617" i="8" s="1"/>
  <c r="K618" i="8"/>
  <c r="L618" i="8"/>
  <c r="K619" i="8"/>
  <c r="L619" i="8"/>
  <c r="K620" i="8"/>
  <c r="L620" i="8" s="1"/>
  <c r="K621" i="8"/>
  <c r="L621" i="8" s="1"/>
  <c r="K622" i="8"/>
  <c r="L622" i="8"/>
  <c r="E623" i="8"/>
  <c r="M623" i="8"/>
  <c r="K624" i="8"/>
  <c r="L624" i="8"/>
  <c r="K625" i="8"/>
  <c r="L625" i="8"/>
  <c r="K626" i="8"/>
  <c r="L626" i="8" s="1"/>
  <c r="L627" i="8" s="1"/>
  <c r="E627" i="8"/>
  <c r="M627" i="8"/>
  <c r="K628" i="8"/>
  <c r="L628" i="8" s="1"/>
  <c r="K629" i="8"/>
  <c r="L629" i="8" s="1"/>
  <c r="K630" i="8"/>
  <c r="L630" i="8" s="1"/>
  <c r="K631" i="8"/>
  <c r="L631" i="8" s="1"/>
  <c r="K632" i="8"/>
  <c r="L632" i="8" s="1"/>
  <c r="K633" i="8"/>
  <c r="L633" i="8" s="1"/>
  <c r="K634" i="8"/>
  <c r="L634" i="8" s="1"/>
  <c r="K635" i="8"/>
  <c r="L635" i="8" s="1"/>
  <c r="K636" i="8"/>
  <c r="L636" i="8" s="1"/>
  <c r="K637" i="8"/>
  <c r="L637" i="8" s="1"/>
  <c r="K638" i="8"/>
  <c r="L638" i="8" s="1"/>
  <c r="K639" i="8"/>
  <c r="L639" i="8" s="1"/>
  <c r="K640" i="8"/>
  <c r="L640" i="8" s="1"/>
  <c r="K641" i="8"/>
  <c r="L641" i="8" s="1"/>
  <c r="K642" i="8"/>
  <c r="L642" i="8" s="1"/>
  <c r="K643" i="8"/>
  <c r="L643" i="8" s="1"/>
  <c r="K644" i="8"/>
  <c r="L644" i="8" s="1"/>
  <c r="K645" i="8"/>
  <c r="L645" i="8" s="1"/>
  <c r="K646" i="8"/>
  <c r="L646" i="8" s="1"/>
  <c r="K647" i="8"/>
  <c r="L647" i="8" s="1"/>
  <c r="K648" i="8"/>
  <c r="L648" i="8" s="1"/>
  <c r="K649" i="8"/>
  <c r="L649" i="8" s="1"/>
  <c r="K650" i="8"/>
  <c r="L650" i="8" s="1"/>
  <c r="K651" i="8"/>
  <c r="L651" i="8" s="1"/>
  <c r="K652" i="8"/>
  <c r="L652" i="8" s="1"/>
  <c r="K653" i="8"/>
  <c r="L653" i="8" s="1"/>
  <c r="K654" i="8"/>
  <c r="L654" i="8" s="1"/>
  <c r="K655" i="8"/>
  <c r="L655" i="8" s="1"/>
  <c r="K656" i="8"/>
  <c r="L656" i="8" s="1"/>
  <c r="K657" i="8"/>
  <c r="L657" i="8" s="1"/>
  <c r="K658" i="8"/>
  <c r="L658" i="8" s="1"/>
  <c r="K659" i="8"/>
  <c r="L659" i="8" s="1"/>
  <c r="K660" i="8"/>
  <c r="L660" i="8"/>
  <c r="K661" i="8"/>
  <c r="L661" i="8"/>
  <c r="K662" i="8"/>
  <c r="L662" i="8"/>
  <c r="K663" i="8"/>
  <c r="L663" i="8"/>
  <c r="K664" i="8"/>
  <c r="L664" i="8"/>
  <c r="K665" i="8"/>
  <c r="L665" i="8"/>
  <c r="K666" i="8"/>
  <c r="L666" i="8"/>
  <c r="K667" i="8"/>
  <c r="L667" i="8"/>
  <c r="K668" i="8"/>
  <c r="L668" i="8"/>
  <c r="K669" i="8"/>
  <c r="L669" i="8"/>
  <c r="K670" i="8"/>
  <c r="L670" i="8"/>
  <c r="K671" i="8"/>
  <c r="L671" i="8"/>
  <c r="K672" i="8"/>
  <c r="L672" i="8"/>
  <c r="K673" i="8"/>
  <c r="L673" i="8"/>
  <c r="K674" i="8"/>
  <c r="L674" i="8"/>
  <c r="K675" i="8"/>
  <c r="L675" i="8"/>
  <c r="K676" i="8"/>
  <c r="L676" i="8"/>
  <c r="K677" i="8"/>
  <c r="L677" i="8"/>
  <c r="K678" i="8"/>
  <c r="L678" i="8"/>
  <c r="K679" i="8"/>
  <c r="L679" i="8"/>
  <c r="K680" i="8"/>
  <c r="L680" i="8"/>
  <c r="K681" i="8"/>
  <c r="L681" i="8"/>
  <c r="K682" i="8"/>
  <c r="L682" i="8"/>
  <c r="K683" i="8"/>
  <c r="L683" i="8"/>
  <c r="K684" i="8"/>
  <c r="L684" i="8"/>
  <c r="K685" i="8"/>
  <c r="L685" i="8"/>
  <c r="K686" i="8"/>
  <c r="L686" i="8"/>
  <c r="K687" i="8"/>
  <c r="L687" i="8"/>
  <c r="K688" i="8"/>
  <c r="L688" i="8"/>
  <c r="K689" i="8"/>
  <c r="L689" i="8"/>
  <c r="E690" i="8"/>
  <c r="M690" i="8"/>
  <c r="K691" i="8"/>
  <c r="L691" i="8" s="1"/>
  <c r="K692" i="8"/>
  <c r="L692" i="8" s="1"/>
  <c r="K693" i="8"/>
  <c r="L693" i="8" s="1"/>
  <c r="K694" i="8"/>
  <c r="L694" i="8" s="1"/>
  <c r="K695" i="8"/>
  <c r="L695" i="8" s="1"/>
  <c r="E696" i="8"/>
  <c r="M696" i="8"/>
  <c r="K697" i="8"/>
  <c r="L697" i="8"/>
  <c r="L699" i="8" s="1"/>
  <c r="K698" i="8"/>
  <c r="L698" i="8"/>
  <c r="E699" i="8"/>
  <c r="M699" i="8"/>
  <c r="K700" i="8"/>
  <c r="L700" i="8" s="1"/>
  <c r="K701" i="8"/>
  <c r="L701" i="8" s="1"/>
  <c r="K702" i="8"/>
  <c r="L702" i="8" s="1"/>
  <c r="K703" i="8"/>
  <c r="L703" i="8" s="1"/>
  <c r="K704" i="8"/>
  <c r="L704" i="8" s="1"/>
  <c r="K705" i="8"/>
  <c r="L705" i="8" s="1"/>
  <c r="K706" i="8"/>
  <c r="L706" i="8" s="1"/>
  <c r="E707" i="8"/>
  <c r="M707" i="8"/>
  <c r="K708" i="8"/>
  <c r="L708" i="8"/>
  <c r="L709" i="8" s="1"/>
  <c r="E709" i="8"/>
  <c r="M709" i="8"/>
  <c r="K710" i="8"/>
  <c r="L710" i="8" s="1"/>
  <c r="K711" i="8"/>
  <c r="L711" i="8" s="1"/>
  <c r="K712" i="8"/>
  <c r="L712" i="8" s="1"/>
  <c r="K713" i="8"/>
  <c r="L713" i="8" s="1"/>
  <c r="K714" i="8"/>
  <c r="L714" i="8" s="1"/>
  <c r="K715" i="8"/>
  <c r="L715" i="8" s="1"/>
  <c r="K716" i="8"/>
  <c r="L716" i="8" s="1"/>
  <c r="K717" i="8"/>
  <c r="L717" i="8" s="1"/>
  <c r="K718" i="8"/>
  <c r="L718" i="8" s="1"/>
  <c r="K719" i="8"/>
  <c r="L719" i="8" s="1"/>
  <c r="K720" i="8"/>
  <c r="L720" i="8" s="1"/>
  <c r="K721" i="8"/>
  <c r="L721" i="8" s="1"/>
  <c r="K722" i="8"/>
  <c r="L722" i="8" s="1"/>
  <c r="K723" i="8"/>
  <c r="L723" i="8" s="1"/>
  <c r="K724" i="8"/>
  <c r="L724" i="8" s="1"/>
  <c r="K725" i="8"/>
  <c r="L725" i="8" s="1"/>
  <c r="K726" i="8"/>
  <c r="L726" i="8" s="1"/>
  <c r="K727" i="8"/>
  <c r="L727" i="8" s="1"/>
  <c r="K728" i="8"/>
  <c r="L728" i="8" s="1"/>
  <c r="K729" i="8"/>
  <c r="L729" i="8" s="1"/>
  <c r="K730" i="8"/>
  <c r="L730" i="8" s="1"/>
  <c r="K731" i="8"/>
  <c r="L731" i="8" s="1"/>
  <c r="K732" i="8"/>
  <c r="L732" i="8" s="1"/>
  <c r="K733" i="8"/>
  <c r="L733" i="8" s="1"/>
  <c r="K734" i="8"/>
  <c r="L734" i="8" s="1"/>
  <c r="K735" i="8"/>
  <c r="L735" i="8" s="1"/>
  <c r="K736" i="8"/>
  <c r="L736" i="8" s="1"/>
  <c r="K737" i="8"/>
  <c r="L737" i="8" s="1"/>
  <c r="K738" i="8"/>
  <c r="L738" i="8" s="1"/>
  <c r="K739" i="8"/>
  <c r="L739" i="8" s="1"/>
  <c r="K740" i="8"/>
  <c r="L740" i="8" s="1"/>
  <c r="K741" i="8"/>
  <c r="L741" i="8" s="1"/>
  <c r="K742" i="8"/>
  <c r="L742" i="8" s="1"/>
  <c r="K743" i="8"/>
  <c r="L743" i="8" s="1"/>
  <c r="K744" i="8"/>
  <c r="L744" i="8" s="1"/>
  <c r="K745" i="8"/>
  <c r="L745" i="8" s="1"/>
  <c r="K746" i="8"/>
  <c r="L746" i="8" s="1"/>
  <c r="K747" i="8"/>
  <c r="L747" i="8" s="1"/>
  <c r="K748" i="8"/>
  <c r="L748" i="8" s="1"/>
  <c r="K749" i="8"/>
  <c r="L749" i="8" s="1"/>
  <c r="K750" i="8"/>
  <c r="L750" i="8" s="1"/>
  <c r="K751" i="8"/>
  <c r="L751" i="8" s="1"/>
  <c r="K752" i="8"/>
  <c r="L752" i="8" s="1"/>
  <c r="K753" i="8"/>
  <c r="L753" i="8" s="1"/>
  <c r="K754" i="8"/>
  <c r="L754" i="8" s="1"/>
  <c r="K755" i="8"/>
  <c r="L755" i="8" s="1"/>
  <c r="K756" i="8"/>
  <c r="L756" i="8" s="1"/>
  <c r="K757" i="8"/>
  <c r="L757" i="8" s="1"/>
  <c r="K758" i="8"/>
  <c r="L758" i="8" s="1"/>
  <c r="K759" i="8"/>
  <c r="L759" i="8" s="1"/>
  <c r="K760" i="8"/>
  <c r="L760" i="8" s="1"/>
  <c r="K761" i="8"/>
  <c r="L761" i="8" s="1"/>
  <c r="K762" i="8"/>
  <c r="L762" i="8" s="1"/>
  <c r="K763" i="8"/>
  <c r="L763" i="8" s="1"/>
  <c r="K764" i="8"/>
  <c r="L764" i="8" s="1"/>
  <c r="K765" i="8"/>
  <c r="L765" i="8" s="1"/>
  <c r="K766" i="8"/>
  <c r="L766" i="8" s="1"/>
  <c r="K767" i="8"/>
  <c r="L767" i="8" s="1"/>
  <c r="K768" i="8"/>
  <c r="L768" i="8" s="1"/>
  <c r="K769" i="8"/>
  <c r="L769" i="8" s="1"/>
  <c r="K770" i="8"/>
  <c r="L770" i="8" s="1"/>
  <c r="K771" i="8"/>
  <c r="L771" i="8" s="1"/>
  <c r="K772" i="8"/>
  <c r="L772" i="8" s="1"/>
  <c r="K773" i="8"/>
  <c r="L773" i="8" s="1"/>
  <c r="K774" i="8"/>
  <c r="L774" i="8" s="1"/>
  <c r="K775" i="8"/>
  <c r="L775" i="8" s="1"/>
  <c r="K776" i="8"/>
  <c r="L776" i="8" s="1"/>
  <c r="K777" i="8"/>
  <c r="L777" i="8" s="1"/>
  <c r="K778" i="8"/>
  <c r="L778" i="8" s="1"/>
  <c r="K779" i="8"/>
  <c r="L779" i="8" s="1"/>
  <c r="K780" i="8"/>
  <c r="L780" i="8" s="1"/>
  <c r="K781" i="8"/>
  <c r="L781" i="8" s="1"/>
  <c r="K782" i="8"/>
  <c r="L782" i="8" s="1"/>
  <c r="K783" i="8"/>
  <c r="L783" i="8" s="1"/>
  <c r="K784" i="8"/>
  <c r="L784" i="8" s="1"/>
  <c r="K785" i="8"/>
  <c r="L785" i="8" s="1"/>
  <c r="K786" i="8"/>
  <c r="L786" i="8" s="1"/>
  <c r="K787" i="8"/>
  <c r="L787" i="8" s="1"/>
  <c r="K788" i="8"/>
  <c r="L788" i="8" s="1"/>
  <c r="K789" i="8"/>
  <c r="L789" i="8" s="1"/>
  <c r="K790" i="8"/>
  <c r="L790" i="8" s="1"/>
  <c r="K791" i="8"/>
  <c r="L791" i="8" s="1"/>
  <c r="K792" i="8"/>
  <c r="L792" i="8" s="1"/>
  <c r="K793" i="8"/>
  <c r="L793" i="8" s="1"/>
  <c r="K794" i="8"/>
  <c r="L794" i="8" s="1"/>
  <c r="K795" i="8"/>
  <c r="L795" i="8" s="1"/>
  <c r="K796" i="8"/>
  <c r="L796" i="8" s="1"/>
  <c r="K797" i="8"/>
  <c r="L797" i="8" s="1"/>
  <c r="K798" i="8"/>
  <c r="L798" i="8" s="1"/>
  <c r="K799" i="8"/>
  <c r="L799" i="8" s="1"/>
  <c r="K800" i="8"/>
  <c r="L800" i="8" s="1"/>
  <c r="K801" i="8"/>
  <c r="L801" i="8" s="1"/>
  <c r="K802" i="8"/>
  <c r="L802" i="8" s="1"/>
  <c r="K803" i="8"/>
  <c r="L803" i="8" s="1"/>
  <c r="K804" i="8"/>
  <c r="L804" i="8" s="1"/>
  <c r="K805" i="8"/>
  <c r="L805" i="8" s="1"/>
  <c r="K806" i="8"/>
  <c r="L806" i="8" s="1"/>
  <c r="K807" i="8"/>
  <c r="L807" i="8" s="1"/>
  <c r="K808" i="8"/>
  <c r="L808" i="8" s="1"/>
  <c r="K809" i="8"/>
  <c r="L809" i="8" s="1"/>
  <c r="K810" i="8"/>
  <c r="L810" i="8" s="1"/>
  <c r="K811" i="8"/>
  <c r="L811" i="8" s="1"/>
  <c r="K812" i="8"/>
  <c r="L812" i="8" s="1"/>
  <c r="K813" i="8"/>
  <c r="L813" i="8" s="1"/>
  <c r="K814" i="8"/>
  <c r="L814" i="8" s="1"/>
  <c r="K815" i="8"/>
  <c r="L815" i="8" s="1"/>
  <c r="K816" i="8"/>
  <c r="L816" i="8" s="1"/>
  <c r="K817" i="8"/>
  <c r="L817" i="8" s="1"/>
  <c r="K818" i="8"/>
  <c r="L818" i="8" s="1"/>
  <c r="K819" i="8"/>
  <c r="L819" i="8" s="1"/>
  <c r="K820" i="8"/>
  <c r="L820" i="8" s="1"/>
  <c r="K821" i="8"/>
  <c r="L821" i="8" s="1"/>
  <c r="K822" i="8"/>
  <c r="L822" i="8" s="1"/>
  <c r="K823" i="8"/>
  <c r="L823" i="8" s="1"/>
  <c r="K824" i="8"/>
  <c r="L824" i="8" s="1"/>
  <c r="K825" i="8"/>
  <c r="L825" i="8" s="1"/>
  <c r="K826" i="8"/>
  <c r="L826" i="8" s="1"/>
  <c r="K827" i="8"/>
  <c r="L827" i="8" s="1"/>
  <c r="K828" i="8"/>
  <c r="L828" i="8" s="1"/>
  <c r="K829" i="8"/>
  <c r="L829" i="8" s="1"/>
  <c r="K830" i="8"/>
  <c r="L830" i="8" s="1"/>
  <c r="K831" i="8"/>
  <c r="L831" i="8" s="1"/>
  <c r="K832" i="8"/>
  <c r="L832" i="8" s="1"/>
  <c r="K833" i="8"/>
  <c r="L833" i="8" s="1"/>
  <c r="K834" i="8"/>
  <c r="L834" i="8" s="1"/>
  <c r="K835" i="8"/>
  <c r="L835" i="8" s="1"/>
  <c r="K836" i="8"/>
  <c r="L836" i="8" s="1"/>
  <c r="K837" i="8"/>
  <c r="L837" i="8" s="1"/>
  <c r="K838" i="8"/>
  <c r="L838" i="8" s="1"/>
  <c r="K839" i="8"/>
  <c r="L839" i="8" s="1"/>
  <c r="E840" i="8"/>
  <c r="M840" i="8"/>
  <c r="K841" i="8"/>
  <c r="L841" i="8"/>
  <c r="E842" i="8"/>
  <c r="L842" i="8"/>
  <c r="M842" i="8"/>
  <c r="K843" i="8"/>
  <c r="L843" i="8" s="1"/>
  <c r="K844" i="8"/>
  <c r="L844" i="8" s="1"/>
  <c r="K845" i="8"/>
  <c r="L845" i="8" s="1"/>
  <c r="K846" i="8"/>
  <c r="L846" i="8" s="1"/>
  <c r="E847" i="8"/>
  <c r="M847" i="8"/>
  <c r="K848" i="8"/>
  <c r="L848" i="8"/>
  <c r="K849" i="8"/>
  <c r="L849" i="8"/>
  <c r="L860" i="8" s="1"/>
  <c r="K850" i="8"/>
  <c r="L850" i="8"/>
  <c r="K851" i="8"/>
  <c r="L851" i="8"/>
  <c r="K852" i="8"/>
  <c r="L852" i="8"/>
  <c r="K853" i="8"/>
  <c r="L853" i="8"/>
  <c r="K854" i="8"/>
  <c r="L854" i="8"/>
  <c r="K855" i="8"/>
  <c r="L855" i="8"/>
  <c r="K856" i="8"/>
  <c r="L856" i="8"/>
  <c r="K857" i="8"/>
  <c r="L857" i="8"/>
  <c r="K858" i="8"/>
  <c r="L858" i="8"/>
  <c r="K859" i="8"/>
  <c r="L859" i="8"/>
  <c r="E860" i="8"/>
  <c r="M860" i="8"/>
  <c r="K861" i="8"/>
  <c r="L861" i="8" s="1"/>
  <c r="K862" i="8"/>
  <c r="L862" i="8" s="1"/>
  <c r="K863" i="8"/>
  <c r="L863" i="8" s="1"/>
  <c r="K864" i="8"/>
  <c r="L864" i="8" s="1"/>
  <c r="K865" i="8"/>
  <c r="L865" i="8" s="1"/>
  <c r="K866" i="8"/>
  <c r="L866" i="8" s="1"/>
  <c r="K867" i="8"/>
  <c r="L867" i="8" s="1"/>
  <c r="K868" i="8"/>
  <c r="L868" i="8" s="1"/>
  <c r="K869" i="8"/>
  <c r="L869" i="8" s="1"/>
  <c r="K870" i="8"/>
  <c r="L870" i="8" s="1"/>
  <c r="K871" i="8"/>
  <c r="L871" i="8" s="1"/>
  <c r="K872" i="8"/>
  <c r="L872" i="8" s="1"/>
  <c r="K873" i="8"/>
  <c r="L873" i="8" s="1"/>
  <c r="K874" i="8"/>
  <c r="L874" i="8" s="1"/>
  <c r="K875" i="8"/>
  <c r="L875" i="8" s="1"/>
  <c r="K876" i="8"/>
  <c r="L876" i="8" s="1"/>
  <c r="K877" i="8"/>
  <c r="L877" i="8" s="1"/>
  <c r="K878" i="8"/>
  <c r="L878" i="8" s="1"/>
  <c r="K879" i="8"/>
  <c r="L879" i="8" s="1"/>
  <c r="K880" i="8"/>
  <c r="L880" i="8" s="1"/>
  <c r="K881" i="8"/>
  <c r="L881" i="8" s="1"/>
  <c r="K882" i="8"/>
  <c r="L882" i="8" s="1"/>
  <c r="K883" i="8"/>
  <c r="L883" i="8" s="1"/>
  <c r="K884" i="8"/>
  <c r="L884" i="8" s="1"/>
  <c r="K885" i="8"/>
  <c r="L885" i="8" s="1"/>
  <c r="K886" i="8"/>
  <c r="L886" i="8" s="1"/>
  <c r="K887" i="8"/>
  <c r="L887" i="8" s="1"/>
  <c r="K888" i="8"/>
  <c r="L888" i="8" s="1"/>
  <c r="K889" i="8"/>
  <c r="L889" i="8" s="1"/>
  <c r="K890" i="8"/>
  <c r="L890" i="8" s="1"/>
  <c r="K891" i="8"/>
  <c r="L891" i="8" s="1"/>
  <c r="K892" i="8"/>
  <c r="L892" i="8" s="1"/>
  <c r="K893" i="8"/>
  <c r="L893" i="8" s="1"/>
  <c r="K894" i="8"/>
  <c r="L894" i="8" s="1"/>
  <c r="K895" i="8"/>
  <c r="L895" i="8" s="1"/>
  <c r="K896" i="8"/>
  <c r="L896" i="8" s="1"/>
  <c r="K897" i="8"/>
  <c r="L897" i="8" s="1"/>
  <c r="K898" i="8"/>
  <c r="L898" i="8" s="1"/>
  <c r="K899" i="8"/>
  <c r="L899" i="8" s="1"/>
  <c r="K900" i="8"/>
  <c r="L900" i="8" s="1"/>
  <c r="K901" i="8"/>
  <c r="L901" i="8" s="1"/>
  <c r="K902" i="8"/>
  <c r="L902" i="8" s="1"/>
  <c r="K903" i="8"/>
  <c r="L903" i="8" s="1"/>
  <c r="K904" i="8"/>
  <c r="L904" i="8" s="1"/>
  <c r="K905" i="8"/>
  <c r="L905" i="8" s="1"/>
  <c r="K906" i="8"/>
  <c r="L906" i="8" s="1"/>
  <c r="K907" i="8"/>
  <c r="L907" i="8" s="1"/>
  <c r="K908" i="8"/>
  <c r="L908" i="8" s="1"/>
  <c r="K909" i="8"/>
  <c r="L909" i="8" s="1"/>
  <c r="K910" i="8"/>
  <c r="L910" i="8" s="1"/>
  <c r="K911" i="8"/>
  <c r="L911" i="8" s="1"/>
  <c r="K912" i="8"/>
  <c r="L912" i="8" s="1"/>
  <c r="K913" i="8"/>
  <c r="L913" i="8" s="1"/>
  <c r="K914" i="8"/>
  <c r="L914" i="8" s="1"/>
  <c r="K915" i="8"/>
  <c r="L915" i="8" s="1"/>
  <c r="K916" i="8"/>
  <c r="L916" i="8" s="1"/>
  <c r="K917" i="8"/>
  <c r="L917" i="8" s="1"/>
  <c r="K918" i="8"/>
  <c r="L918" i="8" s="1"/>
  <c r="K919" i="8"/>
  <c r="L919" i="8" s="1"/>
  <c r="K920" i="8"/>
  <c r="L920" i="8" s="1"/>
  <c r="K921" i="8"/>
  <c r="L921" i="8" s="1"/>
  <c r="K922" i="8"/>
  <c r="L922" i="8" s="1"/>
  <c r="K923" i="8"/>
  <c r="L923" i="8" s="1"/>
  <c r="K924" i="8"/>
  <c r="L924" i="8" s="1"/>
  <c r="K925" i="8"/>
  <c r="L925" i="8" s="1"/>
  <c r="E926" i="8"/>
  <c r="M926" i="8"/>
  <c r="E928" i="8"/>
  <c r="L696" i="8" l="1"/>
  <c r="L551" i="8"/>
  <c r="L928" i="8"/>
  <c r="L707" i="8"/>
  <c r="L569" i="8"/>
  <c r="L238" i="8"/>
  <c r="L847" i="8"/>
  <c r="L690" i="8"/>
  <c r="L926" i="8"/>
  <c r="L840" i="8"/>
  <c r="L519" i="8"/>
  <c r="L566" i="8"/>
  <c r="K4" i="4"/>
  <c r="L4" i="4" s="1"/>
  <c r="K5" i="4"/>
  <c r="L5" i="4" s="1"/>
  <c r="K6" i="4"/>
  <c r="L6" i="4"/>
  <c r="K7" i="4"/>
  <c r="L7" i="4"/>
  <c r="K8" i="4"/>
  <c r="L8" i="4"/>
  <c r="K9" i="4"/>
  <c r="L9" i="4" s="1"/>
  <c r="K10" i="4"/>
  <c r="L10" i="4"/>
  <c r="K11" i="4"/>
  <c r="L11" i="4"/>
  <c r="K12" i="4"/>
  <c r="L12" i="4"/>
  <c r="K13" i="4"/>
  <c r="L13" i="4" s="1"/>
  <c r="K14" i="4"/>
  <c r="L14" i="4"/>
  <c r="K15" i="4"/>
  <c r="L15" i="4"/>
  <c r="K16" i="4"/>
  <c r="L16" i="4"/>
  <c r="K17" i="4"/>
  <c r="L17" i="4" s="1"/>
  <c r="K18" i="4"/>
  <c r="L18" i="4"/>
  <c r="K19" i="4"/>
  <c r="L19" i="4"/>
  <c r="K20" i="4"/>
  <c r="L20" i="4"/>
  <c r="K21" i="4"/>
  <c r="L21" i="4" s="1"/>
  <c r="K22" i="4"/>
  <c r="L22" i="4"/>
  <c r="K23" i="4"/>
  <c r="L23" i="4"/>
  <c r="K24" i="4"/>
  <c r="L24" i="4"/>
  <c r="K25" i="4"/>
  <c r="L25" i="4" s="1"/>
  <c r="K26" i="4"/>
  <c r="L26" i="4"/>
  <c r="K27" i="4"/>
  <c r="L27" i="4"/>
  <c r="K28" i="4"/>
  <c r="L28" i="4"/>
  <c r="K29" i="4"/>
  <c r="L29" i="4" s="1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E40" i="4"/>
  <c r="M40" i="4"/>
  <c r="K41" i="4"/>
  <c r="L41" i="4" s="1"/>
  <c r="K42" i="4"/>
  <c r="L42" i="4" s="1"/>
  <c r="K43" i="4"/>
  <c r="L43" i="4" s="1"/>
  <c r="K44" i="4"/>
  <c r="L44" i="4"/>
  <c r="K45" i="4"/>
  <c r="L45" i="4" s="1"/>
  <c r="E46" i="4"/>
  <c r="E728" i="4" s="1"/>
  <c r="M46" i="4"/>
  <c r="K47" i="4"/>
  <c r="L47" i="4" s="1"/>
  <c r="K48" i="4"/>
  <c r="L48" i="4" s="1"/>
  <c r="K49" i="4"/>
  <c r="L49" i="4"/>
  <c r="K50" i="4"/>
  <c r="L50" i="4"/>
  <c r="K51" i="4"/>
  <c r="L51" i="4" s="1"/>
  <c r="K52" i="4"/>
  <c r="L52" i="4" s="1"/>
  <c r="K53" i="4"/>
  <c r="L53" i="4"/>
  <c r="K54" i="4"/>
  <c r="L54" i="4"/>
  <c r="K55" i="4"/>
  <c r="L55" i="4" s="1"/>
  <c r="K56" i="4"/>
  <c r="L56" i="4" s="1"/>
  <c r="K57" i="4"/>
  <c r="L57" i="4"/>
  <c r="K58" i="4"/>
  <c r="L58" i="4"/>
  <c r="K59" i="4"/>
  <c r="L59" i="4" s="1"/>
  <c r="K60" i="4"/>
  <c r="L60" i="4" s="1"/>
  <c r="K61" i="4"/>
  <c r="L61" i="4"/>
  <c r="K62" i="4"/>
  <c r="L62" i="4"/>
  <c r="K63" i="4"/>
  <c r="L63" i="4" s="1"/>
  <c r="K64" i="4"/>
  <c r="L64" i="4" s="1"/>
  <c r="K65" i="4"/>
  <c r="L65" i="4"/>
  <c r="K66" i="4"/>
  <c r="L66" i="4"/>
  <c r="K67" i="4"/>
  <c r="L67" i="4" s="1"/>
  <c r="K68" i="4"/>
  <c r="L68" i="4" s="1"/>
  <c r="K69" i="4"/>
  <c r="L69" i="4"/>
  <c r="K70" i="4"/>
  <c r="L70" i="4"/>
  <c r="K71" i="4"/>
  <c r="L71" i="4" s="1"/>
  <c r="K72" i="4"/>
  <c r="L72" i="4" s="1"/>
  <c r="K73" i="4"/>
  <c r="L73" i="4"/>
  <c r="K74" i="4"/>
  <c r="L74" i="4"/>
  <c r="K75" i="4"/>
  <c r="L75" i="4" s="1"/>
  <c r="K76" i="4"/>
  <c r="L76" i="4" s="1"/>
  <c r="K77" i="4"/>
  <c r="L77" i="4"/>
  <c r="K78" i="4"/>
  <c r="L78" i="4"/>
  <c r="K79" i="4"/>
  <c r="L79" i="4" s="1"/>
  <c r="K80" i="4"/>
  <c r="L80" i="4" s="1"/>
  <c r="K81" i="4"/>
  <c r="L81" i="4"/>
  <c r="K82" i="4"/>
  <c r="L82" i="4"/>
  <c r="K83" i="4"/>
  <c r="L83" i="4" s="1"/>
  <c r="K84" i="4"/>
  <c r="L84" i="4" s="1"/>
  <c r="K85" i="4"/>
  <c r="L85" i="4"/>
  <c r="K86" i="4"/>
  <c r="L86" i="4"/>
  <c r="K87" i="4"/>
  <c r="L87" i="4" s="1"/>
  <c r="K88" i="4"/>
  <c r="L88" i="4" s="1"/>
  <c r="K89" i="4"/>
  <c r="L89" i="4"/>
  <c r="K90" i="4"/>
  <c r="L90" i="4"/>
  <c r="K91" i="4"/>
  <c r="L91" i="4" s="1"/>
  <c r="K92" i="4"/>
  <c r="L92" i="4" s="1"/>
  <c r="K93" i="4"/>
  <c r="L93" i="4"/>
  <c r="K94" i="4"/>
  <c r="L94" i="4"/>
  <c r="K95" i="4"/>
  <c r="L95" i="4" s="1"/>
  <c r="K96" i="4"/>
  <c r="L96" i="4" s="1"/>
  <c r="K97" i="4"/>
  <c r="L97" i="4"/>
  <c r="K98" i="4"/>
  <c r="L98" i="4"/>
  <c r="K99" i="4"/>
  <c r="L99" i="4" s="1"/>
  <c r="K100" i="4"/>
  <c r="L100" i="4" s="1"/>
  <c r="K101" i="4"/>
  <c r="L101" i="4"/>
  <c r="K102" i="4"/>
  <c r="L102" i="4"/>
  <c r="K103" i="4"/>
  <c r="L103" i="4" s="1"/>
  <c r="K104" i="4"/>
  <c r="L104" i="4" s="1"/>
  <c r="K105" i="4"/>
  <c r="L105" i="4"/>
  <c r="K106" i="4"/>
  <c r="L106" i="4"/>
  <c r="K107" i="4"/>
  <c r="L107" i="4" s="1"/>
  <c r="K108" i="4"/>
  <c r="L108" i="4" s="1"/>
  <c r="K109" i="4"/>
  <c r="L109" i="4"/>
  <c r="K110" i="4"/>
  <c r="L110" i="4"/>
  <c r="K111" i="4"/>
  <c r="L111" i="4" s="1"/>
  <c r="K112" i="4"/>
  <c r="L112" i="4" s="1"/>
  <c r="K113" i="4"/>
  <c r="L113" i="4"/>
  <c r="K114" i="4"/>
  <c r="L114" i="4"/>
  <c r="E115" i="4"/>
  <c r="M115" i="4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/>
  <c r="K124" i="4"/>
  <c r="L124" i="4" s="1"/>
  <c r="K125" i="4"/>
  <c r="L125" i="4" s="1"/>
  <c r="K126" i="4"/>
  <c r="L126" i="4" s="1"/>
  <c r="K127" i="4"/>
  <c r="L127" i="4"/>
  <c r="K128" i="4"/>
  <c r="L128" i="4" s="1"/>
  <c r="K129" i="4"/>
  <c r="L129" i="4" s="1"/>
  <c r="K130" i="4"/>
  <c r="L130" i="4" s="1"/>
  <c r="K131" i="4"/>
  <c r="L131" i="4"/>
  <c r="K132" i="4"/>
  <c r="L132" i="4"/>
  <c r="K133" i="4"/>
  <c r="L133" i="4" s="1"/>
  <c r="K134" i="4"/>
  <c r="L134" i="4" s="1"/>
  <c r="K135" i="4"/>
  <c r="L135" i="4"/>
  <c r="K136" i="4"/>
  <c r="L136" i="4"/>
  <c r="K137" i="4"/>
  <c r="L137" i="4" s="1"/>
  <c r="K138" i="4"/>
  <c r="L138" i="4" s="1"/>
  <c r="K139" i="4"/>
  <c r="L139" i="4"/>
  <c r="K140" i="4"/>
  <c r="L140" i="4"/>
  <c r="K141" i="4"/>
  <c r="L141" i="4" s="1"/>
  <c r="K142" i="4"/>
  <c r="L142" i="4" s="1"/>
  <c r="K143" i="4"/>
  <c r="L143" i="4"/>
  <c r="K144" i="4"/>
  <c r="L144" i="4"/>
  <c r="K145" i="4"/>
  <c r="L145" i="4" s="1"/>
  <c r="K146" i="4"/>
  <c r="L146" i="4" s="1"/>
  <c r="K147" i="4"/>
  <c r="L147" i="4"/>
  <c r="K148" i="4"/>
  <c r="L148" i="4"/>
  <c r="K149" i="4"/>
  <c r="L149" i="4" s="1"/>
  <c r="K150" i="4"/>
  <c r="L150" i="4" s="1"/>
  <c r="K151" i="4"/>
  <c r="L151" i="4"/>
  <c r="K152" i="4"/>
  <c r="L152" i="4"/>
  <c r="K153" i="4"/>
  <c r="L153" i="4" s="1"/>
  <c r="K154" i="4"/>
  <c r="L154" i="4" s="1"/>
  <c r="K155" i="4"/>
  <c r="L155" i="4"/>
  <c r="K156" i="4"/>
  <c r="L156" i="4"/>
  <c r="K157" i="4"/>
  <c r="L157" i="4" s="1"/>
  <c r="K158" i="4"/>
  <c r="L158" i="4" s="1"/>
  <c r="K159" i="4"/>
  <c r="L159" i="4"/>
  <c r="K160" i="4"/>
  <c r="L160" i="4"/>
  <c r="K161" i="4"/>
  <c r="L161" i="4" s="1"/>
  <c r="K162" i="4"/>
  <c r="L162" i="4" s="1"/>
  <c r="K163" i="4"/>
  <c r="L163" i="4"/>
  <c r="K164" i="4"/>
  <c r="L164" i="4"/>
  <c r="K165" i="4"/>
  <c r="L165" i="4" s="1"/>
  <c r="K166" i="4"/>
  <c r="L166" i="4" s="1"/>
  <c r="K167" i="4"/>
  <c r="L167" i="4"/>
  <c r="K168" i="4"/>
  <c r="L168" i="4"/>
  <c r="K169" i="4"/>
  <c r="L169" i="4" s="1"/>
  <c r="K170" i="4"/>
  <c r="L170" i="4" s="1"/>
  <c r="K171" i="4"/>
  <c r="L171" i="4"/>
  <c r="K172" i="4"/>
  <c r="L172" i="4"/>
  <c r="K173" i="4"/>
  <c r="L173" i="4" s="1"/>
  <c r="K174" i="4"/>
  <c r="L174" i="4" s="1"/>
  <c r="E175" i="4"/>
  <c r="M175" i="4"/>
  <c r="K176" i="4"/>
  <c r="L176" i="4"/>
  <c r="L252" i="4" s="1"/>
  <c r="K177" i="4"/>
  <c r="L177" i="4"/>
  <c r="K178" i="4"/>
  <c r="L178" i="4" s="1"/>
  <c r="K179" i="4"/>
  <c r="L179" i="4" s="1"/>
  <c r="K180" i="4"/>
  <c r="L180" i="4"/>
  <c r="K181" i="4"/>
  <c r="L181" i="4"/>
  <c r="K182" i="4"/>
  <c r="L182" i="4" s="1"/>
  <c r="K183" i="4"/>
  <c r="L183" i="4" s="1"/>
  <c r="K184" i="4"/>
  <c r="L184" i="4"/>
  <c r="K185" i="4"/>
  <c r="L185" i="4"/>
  <c r="K186" i="4"/>
  <c r="L186" i="4"/>
  <c r="K187" i="4"/>
  <c r="L187" i="4" s="1"/>
  <c r="K188" i="4"/>
  <c r="L188" i="4"/>
  <c r="K189" i="4"/>
  <c r="L189" i="4"/>
  <c r="K190" i="4"/>
  <c r="L190" i="4"/>
  <c r="K191" i="4"/>
  <c r="L191" i="4" s="1"/>
  <c r="K192" i="4"/>
  <c r="L192" i="4"/>
  <c r="K193" i="4"/>
  <c r="L193" i="4"/>
  <c r="K194" i="4"/>
  <c r="L194" i="4"/>
  <c r="K195" i="4"/>
  <c r="L195" i="4" s="1"/>
  <c r="K196" i="4"/>
  <c r="L196" i="4"/>
  <c r="K197" i="4"/>
  <c r="L197" i="4"/>
  <c r="K198" i="4"/>
  <c r="L198" i="4"/>
  <c r="K199" i="4"/>
  <c r="L199" i="4" s="1"/>
  <c r="K200" i="4"/>
  <c r="L200" i="4"/>
  <c r="K201" i="4"/>
  <c r="L201" i="4"/>
  <c r="K202" i="4"/>
  <c r="L202" i="4"/>
  <c r="K203" i="4"/>
  <c r="L203" i="4" s="1"/>
  <c r="K204" i="4"/>
  <c r="L204" i="4"/>
  <c r="K205" i="4"/>
  <c r="L205" i="4"/>
  <c r="K206" i="4"/>
  <c r="L206" i="4"/>
  <c r="K207" i="4"/>
  <c r="L207" i="4" s="1"/>
  <c r="K208" i="4"/>
  <c r="L208" i="4"/>
  <c r="K209" i="4"/>
  <c r="L209" i="4"/>
  <c r="K210" i="4"/>
  <c r="L210" i="4"/>
  <c r="K211" i="4"/>
  <c r="L211" i="4" s="1"/>
  <c r="K212" i="4"/>
  <c r="L212" i="4"/>
  <c r="K213" i="4"/>
  <c r="L213" i="4"/>
  <c r="K214" i="4"/>
  <c r="L214" i="4"/>
  <c r="K215" i="4"/>
  <c r="L215" i="4" s="1"/>
  <c r="K216" i="4"/>
  <c r="L216" i="4"/>
  <c r="K217" i="4"/>
  <c r="L217" i="4"/>
  <c r="K218" i="4"/>
  <c r="L218" i="4"/>
  <c r="K219" i="4"/>
  <c r="L219" i="4" s="1"/>
  <c r="K220" i="4"/>
  <c r="L220" i="4"/>
  <c r="K221" i="4"/>
  <c r="L221" i="4"/>
  <c r="K222" i="4"/>
  <c r="L222" i="4"/>
  <c r="K223" i="4"/>
  <c r="L223" i="4" s="1"/>
  <c r="K224" i="4"/>
  <c r="L224" i="4"/>
  <c r="K225" i="4"/>
  <c r="L225" i="4"/>
  <c r="K226" i="4"/>
  <c r="L226" i="4"/>
  <c r="K227" i="4"/>
  <c r="L227" i="4" s="1"/>
  <c r="K228" i="4"/>
  <c r="L228" i="4"/>
  <c r="K229" i="4"/>
  <c r="L229" i="4"/>
  <c r="K230" i="4"/>
  <c r="L230" i="4"/>
  <c r="K231" i="4"/>
  <c r="L231" i="4" s="1"/>
  <c r="K232" i="4"/>
  <c r="L232" i="4"/>
  <c r="K233" i="4"/>
  <c r="L233" i="4"/>
  <c r="K234" i="4"/>
  <c r="L234" i="4"/>
  <c r="K235" i="4"/>
  <c r="L235" i="4" s="1"/>
  <c r="K236" i="4"/>
  <c r="L236" i="4"/>
  <c r="K237" i="4"/>
  <c r="L237" i="4"/>
  <c r="K238" i="4"/>
  <c r="L238" i="4"/>
  <c r="K239" i="4"/>
  <c r="L239" i="4" s="1"/>
  <c r="K240" i="4"/>
  <c r="L240" i="4"/>
  <c r="K241" i="4"/>
  <c r="L241" i="4"/>
  <c r="K242" i="4"/>
  <c r="L242" i="4"/>
  <c r="K243" i="4"/>
  <c r="L243" i="4" s="1"/>
  <c r="K244" i="4"/>
  <c r="L244" i="4"/>
  <c r="K245" i="4"/>
  <c r="L245" i="4"/>
  <c r="K246" i="4"/>
  <c r="L246" i="4"/>
  <c r="K247" i="4"/>
  <c r="L247" i="4" s="1"/>
  <c r="K248" i="4"/>
  <c r="L248" i="4"/>
  <c r="K249" i="4"/>
  <c r="L249" i="4"/>
  <c r="K250" i="4"/>
  <c r="L250" i="4"/>
  <c r="K251" i="4"/>
  <c r="L251" i="4" s="1"/>
  <c r="E252" i="4"/>
  <c r="M252" i="4"/>
  <c r="K253" i="4"/>
  <c r="L253" i="4" s="1"/>
  <c r="K254" i="4"/>
  <c r="L254" i="4" s="1"/>
  <c r="K255" i="4"/>
  <c r="L255" i="4"/>
  <c r="K256" i="4"/>
  <c r="L256" i="4" s="1"/>
  <c r="K257" i="4"/>
  <c r="L257" i="4" s="1"/>
  <c r="K258" i="4"/>
  <c r="L258" i="4" s="1"/>
  <c r="K259" i="4"/>
  <c r="L259" i="4"/>
  <c r="K260" i="4"/>
  <c r="L260" i="4" s="1"/>
  <c r="K261" i="4"/>
  <c r="L261" i="4" s="1"/>
  <c r="K262" i="4"/>
  <c r="L262" i="4" s="1"/>
  <c r="K263" i="4"/>
  <c r="L263" i="4"/>
  <c r="K264" i="4"/>
  <c r="L264" i="4" s="1"/>
  <c r="K265" i="4"/>
  <c r="L265" i="4" s="1"/>
  <c r="K266" i="4"/>
  <c r="L266" i="4" s="1"/>
  <c r="K267" i="4"/>
  <c r="L267" i="4"/>
  <c r="K268" i="4"/>
  <c r="L268" i="4" s="1"/>
  <c r="K269" i="4"/>
  <c r="L269" i="4" s="1"/>
  <c r="K270" i="4"/>
  <c r="L270" i="4" s="1"/>
  <c r="K271" i="4"/>
  <c r="L271" i="4"/>
  <c r="K272" i="4"/>
  <c r="L272" i="4" s="1"/>
  <c r="K273" i="4"/>
  <c r="L273" i="4" s="1"/>
  <c r="K274" i="4"/>
  <c r="L274" i="4" s="1"/>
  <c r="K275" i="4"/>
  <c r="L275" i="4"/>
  <c r="K276" i="4"/>
  <c r="L276" i="4" s="1"/>
  <c r="K277" i="4"/>
  <c r="L277" i="4" s="1"/>
  <c r="K278" i="4"/>
  <c r="L278" i="4" s="1"/>
  <c r="K279" i="4"/>
  <c r="L279" i="4"/>
  <c r="K280" i="4"/>
  <c r="L280" i="4" s="1"/>
  <c r="K281" i="4"/>
  <c r="L281" i="4" s="1"/>
  <c r="K282" i="4"/>
  <c r="L282" i="4" s="1"/>
  <c r="K283" i="4"/>
  <c r="L283" i="4"/>
  <c r="K284" i="4"/>
  <c r="L284" i="4" s="1"/>
  <c r="K285" i="4"/>
  <c r="L285" i="4" s="1"/>
  <c r="K286" i="4"/>
  <c r="L286" i="4" s="1"/>
  <c r="K287" i="4"/>
  <c r="L287" i="4"/>
  <c r="K288" i="4"/>
  <c r="L288" i="4" s="1"/>
  <c r="K289" i="4"/>
  <c r="L289" i="4" s="1"/>
  <c r="K290" i="4"/>
  <c r="L290" i="4" s="1"/>
  <c r="K291" i="4"/>
  <c r="L291" i="4"/>
  <c r="K292" i="4"/>
  <c r="L292" i="4" s="1"/>
  <c r="K293" i="4"/>
  <c r="L293" i="4" s="1"/>
  <c r="K294" i="4"/>
  <c r="L294" i="4" s="1"/>
  <c r="K295" i="4"/>
  <c r="L295" i="4"/>
  <c r="K296" i="4"/>
  <c r="L296" i="4" s="1"/>
  <c r="K297" i="4"/>
  <c r="L297" i="4" s="1"/>
  <c r="K298" i="4"/>
  <c r="L298" i="4" s="1"/>
  <c r="K299" i="4"/>
  <c r="L299" i="4"/>
  <c r="K300" i="4"/>
  <c r="L300" i="4" s="1"/>
  <c r="K301" i="4"/>
  <c r="L301" i="4" s="1"/>
  <c r="K302" i="4"/>
  <c r="L302" i="4"/>
  <c r="K303" i="4"/>
  <c r="L303" i="4"/>
  <c r="K304" i="4"/>
  <c r="L304" i="4" s="1"/>
  <c r="K305" i="4"/>
  <c r="L305" i="4" s="1"/>
  <c r="K306" i="4"/>
  <c r="L306" i="4"/>
  <c r="K307" i="4"/>
  <c r="L307" i="4"/>
  <c r="K308" i="4"/>
  <c r="L308" i="4" s="1"/>
  <c r="K309" i="4"/>
  <c r="L309" i="4" s="1"/>
  <c r="K310" i="4"/>
  <c r="L310" i="4"/>
  <c r="K311" i="4"/>
  <c r="L311" i="4"/>
  <c r="K312" i="4"/>
  <c r="L312" i="4" s="1"/>
  <c r="K313" i="4"/>
  <c r="L313" i="4" s="1"/>
  <c r="K314" i="4"/>
  <c r="L314" i="4"/>
  <c r="K315" i="4"/>
  <c r="L315" i="4"/>
  <c r="K316" i="4"/>
  <c r="L316" i="4" s="1"/>
  <c r="K317" i="4"/>
  <c r="L317" i="4" s="1"/>
  <c r="K318" i="4"/>
  <c r="L318" i="4"/>
  <c r="K319" i="4"/>
  <c r="L319" i="4"/>
  <c r="K320" i="4"/>
  <c r="L320" i="4" s="1"/>
  <c r="K321" i="4"/>
  <c r="L321" i="4" s="1"/>
  <c r="K322" i="4"/>
  <c r="L322" i="4"/>
  <c r="K323" i="4"/>
  <c r="L323" i="4"/>
  <c r="K324" i="4"/>
  <c r="L324" i="4" s="1"/>
  <c r="K325" i="4"/>
  <c r="L325" i="4" s="1"/>
  <c r="K326" i="4"/>
  <c r="L326" i="4"/>
  <c r="K327" i="4"/>
  <c r="L327" i="4"/>
  <c r="K328" i="4"/>
  <c r="L328" i="4" s="1"/>
  <c r="K329" i="4"/>
  <c r="L329" i="4" s="1"/>
  <c r="K330" i="4"/>
  <c r="L330" i="4"/>
  <c r="K331" i="4"/>
  <c r="L331" i="4"/>
  <c r="K332" i="4"/>
  <c r="L332" i="4" s="1"/>
  <c r="K333" i="4"/>
  <c r="L333" i="4" s="1"/>
  <c r="K334" i="4"/>
  <c r="L334" i="4"/>
  <c r="K335" i="4"/>
  <c r="L335" i="4"/>
  <c r="K336" i="4"/>
  <c r="L336" i="4" s="1"/>
  <c r="K337" i="4"/>
  <c r="L337" i="4" s="1"/>
  <c r="K338" i="4"/>
  <c r="L338" i="4"/>
  <c r="K339" i="4"/>
  <c r="L339" i="4"/>
  <c r="K340" i="4"/>
  <c r="L340" i="4" s="1"/>
  <c r="K341" i="4"/>
  <c r="L341" i="4" s="1"/>
  <c r="K342" i="4"/>
  <c r="L342" i="4"/>
  <c r="K343" i="4"/>
  <c r="L343" i="4"/>
  <c r="K344" i="4"/>
  <c r="L344" i="4" s="1"/>
  <c r="K345" i="4"/>
  <c r="L345" i="4" s="1"/>
  <c r="K346" i="4"/>
  <c r="L346" i="4"/>
  <c r="K347" i="4"/>
  <c r="L347" i="4"/>
  <c r="K348" i="4"/>
  <c r="L348" i="4" s="1"/>
  <c r="K349" i="4"/>
  <c r="L349" i="4" s="1"/>
  <c r="K350" i="4"/>
  <c r="L350" i="4"/>
  <c r="K351" i="4"/>
  <c r="L351" i="4"/>
  <c r="K352" i="4"/>
  <c r="L352" i="4" s="1"/>
  <c r="K353" i="4"/>
  <c r="L353" i="4" s="1"/>
  <c r="K354" i="4"/>
  <c r="L354" i="4"/>
  <c r="K355" i="4"/>
  <c r="L355" i="4"/>
  <c r="K356" i="4"/>
  <c r="L356" i="4" s="1"/>
  <c r="K357" i="4"/>
  <c r="L357" i="4" s="1"/>
  <c r="K358" i="4"/>
  <c r="L358" i="4"/>
  <c r="K359" i="4"/>
  <c r="L359" i="4"/>
  <c r="K360" i="4"/>
  <c r="L360" i="4" s="1"/>
  <c r="K361" i="4"/>
  <c r="L361" i="4" s="1"/>
  <c r="K362" i="4"/>
  <c r="L362" i="4"/>
  <c r="K363" i="4"/>
  <c r="L363" i="4"/>
  <c r="K364" i="4"/>
  <c r="L364" i="4" s="1"/>
  <c r="K365" i="4"/>
  <c r="L365" i="4" s="1"/>
  <c r="K366" i="4"/>
  <c r="L366" i="4"/>
  <c r="K367" i="4"/>
  <c r="L367" i="4"/>
  <c r="K368" i="4"/>
  <c r="L368" i="4" s="1"/>
  <c r="K369" i="4"/>
  <c r="L369" i="4" s="1"/>
  <c r="K370" i="4"/>
  <c r="L370" i="4"/>
  <c r="K371" i="4"/>
  <c r="L371" i="4"/>
  <c r="K372" i="4"/>
  <c r="L372" i="4" s="1"/>
  <c r="K373" i="4"/>
  <c r="L373" i="4" s="1"/>
  <c r="K374" i="4"/>
  <c r="L374" i="4"/>
  <c r="K375" i="4"/>
  <c r="L375" i="4"/>
  <c r="K376" i="4"/>
  <c r="L376" i="4" s="1"/>
  <c r="K377" i="4"/>
  <c r="L377" i="4" s="1"/>
  <c r="K378" i="4"/>
  <c r="L378" i="4"/>
  <c r="K379" i="4"/>
  <c r="L379" i="4"/>
  <c r="K380" i="4"/>
  <c r="L380" i="4" s="1"/>
  <c r="K381" i="4"/>
  <c r="L381" i="4" s="1"/>
  <c r="K382" i="4"/>
  <c r="L382" i="4"/>
  <c r="K383" i="4"/>
  <c r="L383" i="4"/>
  <c r="K384" i="4"/>
  <c r="L384" i="4" s="1"/>
  <c r="K385" i="4"/>
  <c r="L385" i="4" s="1"/>
  <c r="K386" i="4"/>
  <c r="L386" i="4"/>
  <c r="K387" i="4"/>
  <c r="L387" i="4"/>
  <c r="K388" i="4"/>
  <c r="L388" i="4" s="1"/>
  <c r="K389" i="4"/>
  <c r="L389" i="4" s="1"/>
  <c r="K390" i="4"/>
  <c r="L390" i="4"/>
  <c r="K391" i="4"/>
  <c r="L391" i="4"/>
  <c r="K392" i="4"/>
  <c r="L392" i="4" s="1"/>
  <c r="K393" i="4"/>
  <c r="L393" i="4" s="1"/>
  <c r="K394" i="4"/>
  <c r="L394" i="4"/>
  <c r="K395" i="4"/>
  <c r="L395" i="4"/>
  <c r="K396" i="4"/>
  <c r="L396" i="4" s="1"/>
  <c r="K397" i="4"/>
  <c r="L397" i="4" s="1"/>
  <c r="K398" i="4"/>
  <c r="L398" i="4"/>
  <c r="K399" i="4"/>
  <c r="L399" i="4"/>
  <c r="K400" i="4"/>
  <c r="L400" i="4" s="1"/>
  <c r="K401" i="4"/>
  <c r="L401" i="4" s="1"/>
  <c r="K402" i="4"/>
  <c r="L402" i="4"/>
  <c r="K403" i="4"/>
  <c r="L403" i="4"/>
  <c r="E404" i="4"/>
  <c r="M404" i="4"/>
  <c r="K405" i="4"/>
  <c r="L405" i="4" s="1"/>
  <c r="L406" i="4" s="1"/>
  <c r="E406" i="4"/>
  <c r="M406" i="4"/>
  <c r="K407" i="4"/>
  <c r="L407" i="4" s="1"/>
  <c r="K408" i="4"/>
  <c r="L408" i="4" s="1"/>
  <c r="K409" i="4"/>
  <c r="L409" i="4"/>
  <c r="K410" i="4"/>
  <c r="L410" i="4"/>
  <c r="K411" i="4"/>
  <c r="L411" i="4" s="1"/>
  <c r="K412" i="4"/>
  <c r="L412" i="4" s="1"/>
  <c r="K413" i="4"/>
  <c r="L413" i="4"/>
  <c r="K414" i="4"/>
  <c r="L414" i="4"/>
  <c r="K415" i="4"/>
  <c r="L415" i="4" s="1"/>
  <c r="K416" i="4"/>
  <c r="L416" i="4" s="1"/>
  <c r="K417" i="4"/>
  <c r="L417" i="4"/>
  <c r="K418" i="4"/>
  <c r="L418" i="4"/>
  <c r="K419" i="4"/>
  <c r="L419" i="4" s="1"/>
  <c r="K420" i="4"/>
  <c r="L420" i="4" s="1"/>
  <c r="K421" i="4"/>
  <c r="L421" i="4"/>
  <c r="K422" i="4"/>
  <c r="L422" i="4"/>
  <c r="K423" i="4"/>
  <c r="L423" i="4" s="1"/>
  <c r="K424" i="4"/>
  <c r="L424" i="4" s="1"/>
  <c r="K425" i="4"/>
  <c r="L425" i="4"/>
  <c r="K426" i="4"/>
  <c r="L426" i="4"/>
  <c r="K427" i="4"/>
  <c r="L427" i="4" s="1"/>
  <c r="K428" i="4"/>
  <c r="L428" i="4" s="1"/>
  <c r="K429" i="4"/>
  <c r="L429" i="4"/>
  <c r="K430" i="4"/>
  <c r="L430" i="4"/>
  <c r="K431" i="4"/>
  <c r="L431" i="4" s="1"/>
  <c r="K432" i="4"/>
  <c r="L432" i="4" s="1"/>
  <c r="K433" i="4"/>
  <c r="L433" i="4"/>
  <c r="K434" i="4"/>
  <c r="L434" i="4"/>
  <c r="K435" i="4"/>
  <c r="L435" i="4" s="1"/>
  <c r="E436" i="4"/>
  <c r="M436" i="4"/>
  <c r="K437" i="4"/>
  <c r="L437" i="4" s="1"/>
  <c r="K438" i="4"/>
  <c r="L438" i="4"/>
  <c r="K439" i="4"/>
  <c r="L439" i="4"/>
  <c r="K440" i="4"/>
  <c r="L440" i="4" s="1"/>
  <c r="K441" i="4"/>
  <c r="L441" i="4" s="1"/>
  <c r="K442" i="4"/>
  <c r="L442" i="4"/>
  <c r="K443" i="4"/>
  <c r="L443" i="4"/>
  <c r="K444" i="4"/>
  <c r="L444" i="4" s="1"/>
  <c r="K445" i="4"/>
  <c r="L445" i="4" s="1"/>
  <c r="K446" i="4"/>
  <c r="L446" i="4"/>
  <c r="K447" i="4"/>
  <c r="L447" i="4"/>
  <c r="K448" i="4"/>
  <c r="L448" i="4"/>
  <c r="E449" i="4"/>
  <c r="M449" i="4"/>
  <c r="K450" i="4"/>
  <c r="L450" i="4" s="1"/>
  <c r="K451" i="4"/>
  <c r="L451" i="4" s="1"/>
  <c r="E452" i="4"/>
  <c r="M452" i="4"/>
  <c r="K453" i="4"/>
  <c r="L453" i="4"/>
  <c r="L495" i="4" s="1"/>
  <c r="K454" i="4"/>
  <c r="L454" i="4"/>
  <c r="K455" i="4"/>
  <c r="L455" i="4"/>
  <c r="K456" i="4"/>
  <c r="L456" i="4" s="1"/>
  <c r="K457" i="4"/>
  <c r="L457" i="4"/>
  <c r="K458" i="4"/>
  <c r="L458" i="4"/>
  <c r="K459" i="4"/>
  <c r="L459" i="4"/>
  <c r="K460" i="4"/>
  <c r="L460" i="4" s="1"/>
  <c r="K461" i="4"/>
  <c r="L461" i="4"/>
  <c r="K462" i="4"/>
  <c r="L462" i="4"/>
  <c r="K463" i="4"/>
  <c r="L463" i="4"/>
  <c r="K464" i="4"/>
  <c r="L464" i="4" s="1"/>
  <c r="K465" i="4"/>
  <c r="L465" i="4"/>
  <c r="K466" i="4"/>
  <c r="L466" i="4"/>
  <c r="K467" i="4"/>
  <c r="L467" i="4"/>
  <c r="K468" i="4"/>
  <c r="L468" i="4" s="1"/>
  <c r="K469" i="4"/>
  <c r="L469" i="4"/>
  <c r="K470" i="4"/>
  <c r="L470" i="4"/>
  <c r="K471" i="4"/>
  <c r="L471" i="4"/>
  <c r="K472" i="4"/>
  <c r="L472" i="4" s="1"/>
  <c r="K473" i="4"/>
  <c r="L473" i="4"/>
  <c r="K474" i="4"/>
  <c r="L474" i="4"/>
  <c r="K475" i="4"/>
  <c r="L475" i="4"/>
  <c r="K476" i="4"/>
  <c r="L476" i="4" s="1"/>
  <c r="K477" i="4"/>
  <c r="L477" i="4"/>
  <c r="K478" i="4"/>
  <c r="L478" i="4"/>
  <c r="K479" i="4"/>
  <c r="L479" i="4"/>
  <c r="K480" i="4"/>
  <c r="L480" i="4" s="1"/>
  <c r="K481" i="4"/>
  <c r="L481" i="4"/>
  <c r="K482" i="4"/>
  <c r="L482" i="4"/>
  <c r="K483" i="4"/>
  <c r="L483" i="4"/>
  <c r="K484" i="4"/>
  <c r="L484" i="4" s="1"/>
  <c r="K485" i="4"/>
  <c r="L485" i="4"/>
  <c r="K486" i="4"/>
  <c r="L486" i="4"/>
  <c r="K487" i="4"/>
  <c r="L487" i="4"/>
  <c r="K488" i="4"/>
  <c r="L488" i="4" s="1"/>
  <c r="K489" i="4"/>
  <c r="L489" i="4"/>
  <c r="K490" i="4"/>
  <c r="L490" i="4"/>
  <c r="K491" i="4"/>
  <c r="L491" i="4"/>
  <c r="K492" i="4"/>
  <c r="L492" i="4" s="1"/>
  <c r="K493" i="4"/>
  <c r="L493" i="4"/>
  <c r="K494" i="4"/>
  <c r="L494" i="4"/>
  <c r="E495" i="4"/>
  <c r="M495" i="4"/>
  <c r="K496" i="4"/>
  <c r="L496" i="4"/>
  <c r="K497" i="4"/>
  <c r="L497" i="4" s="1"/>
  <c r="L499" i="4" s="1"/>
  <c r="K498" i="4"/>
  <c r="L498" i="4" s="1"/>
  <c r="E499" i="4"/>
  <c r="M499" i="4"/>
  <c r="K500" i="4"/>
  <c r="L500" i="4"/>
  <c r="K501" i="4"/>
  <c r="L501" i="4"/>
  <c r="L544" i="4" s="1"/>
  <c r="K502" i="4"/>
  <c r="L502" i="4"/>
  <c r="K503" i="4"/>
  <c r="L503" i="4" s="1"/>
  <c r="K504" i="4"/>
  <c r="L504" i="4"/>
  <c r="K505" i="4"/>
  <c r="L505" i="4"/>
  <c r="K506" i="4"/>
  <c r="L506" i="4"/>
  <c r="K507" i="4"/>
  <c r="L507" i="4" s="1"/>
  <c r="K508" i="4"/>
  <c r="L508" i="4"/>
  <c r="K509" i="4"/>
  <c r="L509" i="4"/>
  <c r="K510" i="4"/>
  <c r="L510" i="4"/>
  <c r="K511" i="4"/>
  <c r="L511" i="4" s="1"/>
  <c r="K512" i="4"/>
  <c r="L512" i="4"/>
  <c r="K513" i="4"/>
  <c r="L513" i="4"/>
  <c r="K514" i="4"/>
  <c r="L514" i="4"/>
  <c r="K515" i="4"/>
  <c r="L515" i="4" s="1"/>
  <c r="K516" i="4"/>
  <c r="L516" i="4"/>
  <c r="K517" i="4"/>
  <c r="L517" i="4"/>
  <c r="K518" i="4"/>
  <c r="L518" i="4"/>
  <c r="K519" i="4"/>
  <c r="L519" i="4" s="1"/>
  <c r="K520" i="4"/>
  <c r="L520" i="4"/>
  <c r="K521" i="4"/>
  <c r="L521" i="4"/>
  <c r="K522" i="4"/>
  <c r="L522" i="4"/>
  <c r="K523" i="4"/>
  <c r="L523" i="4" s="1"/>
  <c r="K524" i="4"/>
  <c r="L524" i="4"/>
  <c r="K525" i="4"/>
  <c r="L525" i="4"/>
  <c r="K526" i="4"/>
  <c r="L526" i="4"/>
  <c r="K527" i="4"/>
  <c r="L527" i="4" s="1"/>
  <c r="K528" i="4"/>
  <c r="L528" i="4"/>
  <c r="K529" i="4"/>
  <c r="L529" i="4"/>
  <c r="K530" i="4"/>
  <c r="L530" i="4"/>
  <c r="K531" i="4"/>
  <c r="L531" i="4" s="1"/>
  <c r="K532" i="4"/>
  <c r="L532" i="4"/>
  <c r="K533" i="4"/>
  <c r="L533" i="4"/>
  <c r="K534" i="4"/>
  <c r="L534" i="4"/>
  <c r="K535" i="4"/>
  <c r="L535" i="4" s="1"/>
  <c r="K536" i="4"/>
  <c r="L536" i="4"/>
  <c r="K537" i="4"/>
  <c r="L537" i="4"/>
  <c r="K538" i="4"/>
  <c r="L538" i="4"/>
  <c r="K539" i="4"/>
  <c r="L539" i="4" s="1"/>
  <c r="K540" i="4"/>
  <c r="L540" i="4"/>
  <c r="K541" i="4"/>
  <c r="L541" i="4"/>
  <c r="K542" i="4"/>
  <c r="L542" i="4"/>
  <c r="K543" i="4"/>
  <c r="L543" i="4" s="1"/>
  <c r="E544" i="4"/>
  <c r="M544" i="4"/>
  <c r="K545" i="4"/>
  <c r="L545" i="4" s="1"/>
  <c r="K546" i="4"/>
  <c r="L546" i="4" s="1"/>
  <c r="K547" i="4"/>
  <c r="L547" i="4"/>
  <c r="K548" i="4"/>
  <c r="L548" i="4" s="1"/>
  <c r="E549" i="4"/>
  <c r="M549" i="4"/>
  <c r="K550" i="4"/>
  <c r="L550" i="4" s="1"/>
  <c r="L552" i="4" s="1"/>
  <c r="K551" i="4"/>
  <c r="L551" i="4"/>
  <c r="E552" i="4"/>
  <c r="M552" i="4"/>
  <c r="K553" i="4"/>
  <c r="L553" i="4" s="1"/>
  <c r="L559" i="4" s="1"/>
  <c r="K554" i="4"/>
  <c r="L554" i="4"/>
  <c r="K555" i="4"/>
  <c r="L555" i="4" s="1"/>
  <c r="K556" i="4"/>
  <c r="L556" i="4" s="1"/>
  <c r="K557" i="4"/>
  <c r="L557" i="4" s="1"/>
  <c r="K558" i="4"/>
  <c r="L558" i="4"/>
  <c r="E559" i="4"/>
  <c r="M559" i="4"/>
  <c r="K560" i="4"/>
  <c r="L560" i="4"/>
  <c r="L561" i="4" s="1"/>
  <c r="E561" i="4"/>
  <c r="M561" i="4"/>
  <c r="K562" i="4"/>
  <c r="L562" i="4" s="1"/>
  <c r="K563" i="4"/>
  <c r="L563" i="4" s="1"/>
  <c r="K564" i="4"/>
  <c r="L564" i="4" s="1"/>
  <c r="K565" i="4"/>
  <c r="L565" i="4"/>
  <c r="K566" i="4"/>
  <c r="L566" i="4" s="1"/>
  <c r="K567" i="4"/>
  <c r="L567" i="4" s="1"/>
  <c r="K568" i="4"/>
  <c r="L568" i="4" s="1"/>
  <c r="K569" i="4"/>
  <c r="L569" i="4"/>
  <c r="K570" i="4"/>
  <c r="L570" i="4" s="1"/>
  <c r="K571" i="4"/>
  <c r="L571" i="4" s="1"/>
  <c r="K572" i="4"/>
  <c r="L572" i="4" s="1"/>
  <c r="K573" i="4"/>
  <c r="L573" i="4"/>
  <c r="K574" i="4"/>
  <c r="L574" i="4" s="1"/>
  <c r="K575" i="4"/>
  <c r="L575" i="4" s="1"/>
  <c r="K576" i="4"/>
  <c r="L576" i="4" s="1"/>
  <c r="K577" i="4"/>
  <c r="L577" i="4"/>
  <c r="K578" i="4"/>
  <c r="L578" i="4" s="1"/>
  <c r="K579" i="4"/>
  <c r="L579" i="4" s="1"/>
  <c r="K580" i="4"/>
  <c r="L580" i="4" s="1"/>
  <c r="K581" i="4"/>
  <c r="L581" i="4"/>
  <c r="K582" i="4"/>
  <c r="L582" i="4" s="1"/>
  <c r="K583" i="4"/>
  <c r="L583" i="4" s="1"/>
  <c r="K584" i="4"/>
  <c r="L584" i="4" s="1"/>
  <c r="K585" i="4"/>
  <c r="L585" i="4"/>
  <c r="K586" i="4"/>
  <c r="L586" i="4" s="1"/>
  <c r="K587" i="4"/>
  <c r="L587" i="4" s="1"/>
  <c r="K588" i="4"/>
  <c r="L588" i="4" s="1"/>
  <c r="K589" i="4"/>
  <c r="L589" i="4"/>
  <c r="K590" i="4"/>
  <c r="L590" i="4" s="1"/>
  <c r="K591" i="4"/>
  <c r="L591" i="4" s="1"/>
  <c r="K592" i="4"/>
  <c r="L592" i="4" s="1"/>
  <c r="K593" i="4"/>
  <c r="L593" i="4"/>
  <c r="K594" i="4"/>
  <c r="L594" i="4" s="1"/>
  <c r="K595" i="4"/>
  <c r="L595" i="4" s="1"/>
  <c r="K596" i="4"/>
  <c r="L596" i="4" s="1"/>
  <c r="K597" i="4"/>
  <c r="L597" i="4"/>
  <c r="K598" i="4"/>
  <c r="L598" i="4" s="1"/>
  <c r="K599" i="4"/>
  <c r="L599" i="4" s="1"/>
  <c r="K600" i="4"/>
  <c r="L600" i="4" s="1"/>
  <c r="K601" i="4"/>
  <c r="L601" i="4"/>
  <c r="K602" i="4"/>
  <c r="L602" i="4" s="1"/>
  <c r="K603" i="4"/>
  <c r="L603" i="4" s="1"/>
  <c r="K604" i="4"/>
  <c r="L604" i="4" s="1"/>
  <c r="K605" i="4"/>
  <c r="L605" i="4"/>
  <c r="K606" i="4"/>
  <c r="L606" i="4" s="1"/>
  <c r="K607" i="4"/>
  <c r="L607" i="4" s="1"/>
  <c r="K608" i="4"/>
  <c r="L608" i="4" s="1"/>
  <c r="K609" i="4"/>
  <c r="L609" i="4"/>
  <c r="K610" i="4"/>
  <c r="L610" i="4" s="1"/>
  <c r="K611" i="4"/>
  <c r="L611" i="4" s="1"/>
  <c r="K612" i="4"/>
  <c r="L612" i="4" s="1"/>
  <c r="K613" i="4"/>
  <c r="L613" i="4"/>
  <c r="K614" i="4"/>
  <c r="L614" i="4" s="1"/>
  <c r="K615" i="4"/>
  <c r="L615" i="4" s="1"/>
  <c r="K616" i="4"/>
  <c r="L616" i="4" s="1"/>
  <c r="K617" i="4"/>
  <c r="L617" i="4"/>
  <c r="K618" i="4"/>
  <c r="L618" i="4" s="1"/>
  <c r="K619" i="4"/>
  <c r="L619" i="4" s="1"/>
  <c r="K620" i="4"/>
  <c r="L620" i="4" s="1"/>
  <c r="K621" i="4"/>
  <c r="L621" i="4" s="1"/>
  <c r="K622" i="4"/>
  <c r="L622" i="4" s="1"/>
  <c r="K623" i="4"/>
  <c r="L623" i="4" s="1"/>
  <c r="K624" i="4"/>
  <c r="L624" i="4" s="1"/>
  <c r="K625" i="4"/>
  <c r="L625" i="4" s="1"/>
  <c r="K626" i="4"/>
  <c r="L626" i="4" s="1"/>
  <c r="K627" i="4"/>
  <c r="L627" i="4" s="1"/>
  <c r="K628" i="4"/>
  <c r="L628" i="4" s="1"/>
  <c r="K629" i="4"/>
  <c r="L629" i="4" s="1"/>
  <c r="K630" i="4"/>
  <c r="L630" i="4"/>
  <c r="K631" i="4"/>
  <c r="L631" i="4" s="1"/>
  <c r="K632" i="4"/>
  <c r="L632" i="4" s="1"/>
  <c r="K633" i="4"/>
  <c r="L633" i="4" s="1"/>
  <c r="K634" i="4"/>
  <c r="L634" i="4" s="1"/>
  <c r="K635" i="4"/>
  <c r="L635" i="4" s="1"/>
  <c r="K636" i="4"/>
  <c r="L636" i="4" s="1"/>
  <c r="K637" i="4"/>
  <c r="L637" i="4" s="1"/>
  <c r="K638" i="4"/>
  <c r="L638" i="4" s="1"/>
  <c r="K639" i="4"/>
  <c r="L639" i="4" s="1"/>
  <c r="K640" i="4"/>
  <c r="L640" i="4" s="1"/>
  <c r="K641" i="4"/>
  <c r="L641" i="4" s="1"/>
  <c r="K642" i="4"/>
  <c r="L642" i="4" s="1"/>
  <c r="K643" i="4"/>
  <c r="L643" i="4" s="1"/>
  <c r="K644" i="4"/>
  <c r="L644" i="4" s="1"/>
  <c r="K645" i="4"/>
  <c r="L645" i="4" s="1"/>
  <c r="K646" i="4"/>
  <c r="L646" i="4"/>
  <c r="K647" i="4"/>
  <c r="L647" i="4" s="1"/>
  <c r="K648" i="4"/>
  <c r="L648" i="4"/>
  <c r="K649" i="4"/>
  <c r="L649" i="4" s="1"/>
  <c r="K650" i="4"/>
  <c r="L650" i="4"/>
  <c r="K651" i="4"/>
  <c r="L651" i="4" s="1"/>
  <c r="K652" i="4"/>
  <c r="L652" i="4"/>
  <c r="K653" i="4"/>
  <c r="L653" i="4" s="1"/>
  <c r="K654" i="4"/>
  <c r="L654" i="4"/>
  <c r="K655" i="4"/>
  <c r="L655" i="4" s="1"/>
  <c r="K656" i="4"/>
  <c r="L656" i="4"/>
  <c r="K657" i="4"/>
  <c r="L657" i="4" s="1"/>
  <c r="K658" i="4"/>
  <c r="L658" i="4"/>
  <c r="E659" i="4"/>
  <c r="M659" i="4"/>
  <c r="K660" i="4"/>
  <c r="L660" i="4" s="1"/>
  <c r="L661" i="4" s="1"/>
  <c r="E661" i="4"/>
  <c r="M661" i="4"/>
  <c r="K662" i="4"/>
  <c r="L662" i="4" s="1"/>
  <c r="K663" i="4"/>
  <c r="L663" i="4"/>
  <c r="K664" i="4"/>
  <c r="L664" i="4" s="1"/>
  <c r="K665" i="4"/>
  <c r="L665" i="4"/>
  <c r="E666" i="4"/>
  <c r="M666" i="4"/>
  <c r="K667" i="4"/>
  <c r="L667" i="4" s="1"/>
  <c r="K668" i="4"/>
  <c r="L668" i="4" s="1"/>
  <c r="K669" i="4"/>
  <c r="L669" i="4" s="1"/>
  <c r="K670" i="4"/>
  <c r="L670" i="4"/>
  <c r="K671" i="4"/>
  <c r="L671" i="4" s="1"/>
  <c r="K672" i="4"/>
  <c r="L672" i="4" s="1"/>
  <c r="K673" i="4"/>
  <c r="L673" i="4" s="1"/>
  <c r="K674" i="4"/>
  <c r="L674" i="4"/>
  <c r="K675" i="4"/>
  <c r="L675" i="4" s="1"/>
  <c r="K676" i="4"/>
  <c r="L676" i="4" s="1"/>
  <c r="K677" i="4"/>
  <c r="L677" i="4" s="1"/>
  <c r="K678" i="4"/>
  <c r="L678" i="4"/>
  <c r="E679" i="4"/>
  <c r="M679" i="4"/>
  <c r="K680" i="4"/>
  <c r="L680" i="4"/>
  <c r="K681" i="4"/>
  <c r="L681" i="4" s="1"/>
  <c r="L726" i="4" s="1"/>
  <c r="K682" i="4"/>
  <c r="L682" i="4"/>
  <c r="K683" i="4"/>
  <c r="L683" i="4" s="1"/>
  <c r="K684" i="4"/>
  <c r="L684" i="4"/>
  <c r="K685" i="4"/>
  <c r="L685" i="4" s="1"/>
  <c r="K686" i="4"/>
  <c r="L686" i="4"/>
  <c r="K687" i="4"/>
  <c r="L687" i="4" s="1"/>
  <c r="K688" i="4"/>
  <c r="L688" i="4"/>
  <c r="K689" i="4"/>
  <c r="L689" i="4" s="1"/>
  <c r="K690" i="4"/>
  <c r="L690" i="4"/>
  <c r="K691" i="4"/>
  <c r="L691" i="4" s="1"/>
  <c r="K692" i="4"/>
  <c r="L692" i="4"/>
  <c r="K693" i="4"/>
  <c r="L693" i="4" s="1"/>
  <c r="K694" i="4"/>
  <c r="L694" i="4"/>
  <c r="K695" i="4"/>
  <c r="L695" i="4" s="1"/>
  <c r="K696" i="4"/>
  <c r="L696" i="4"/>
  <c r="K697" i="4"/>
  <c r="L697" i="4" s="1"/>
  <c r="K698" i="4"/>
  <c r="L698" i="4"/>
  <c r="K699" i="4"/>
  <c r="L699" i="4" s="1"/>
  <c r="K700" i="4"/>
  <c r="L700" i="4"/>
  <c r="K701" i="4"/>
  <c r="L701" i="4" s="1"/>
  <c r="K702" i="4"/>
  <c r="L702" i="4"/>
  <c r="K703" i="4"/>
  <c r="L703" i="4" s="1"/>
  <c r="K704" i="4"/>
  <c r="L704" i="4"/>
  <c r="K705" i="4"/>
  <c r="L705" i="4" s="1"/>
  <c r="K706" i="4"/>
  <c r="L706" i="4"/>
  <c r="K707" i="4"/>
  <c r="L707" i="4" s="1"/>
  <c r="K708" i="4"/>
  <c r="L708" i="4"/>
  <c r="K709" i="4"/>
  <c r="L709" i="4" s="1"/>
  <c r="K710" i="4"/>
  <c r="L710" i="4"/>
  <c r="K711" i="4"/>
  <c r="L711" i="4" s="1"/>
  <c r="K712" i="4"/>
  <c r="L712" i="4"/>
  <c r="K713" i="4"/>
  <c r="L713" i="4" s="1"/>
  <c r="K714" i="4"/>
  <c r="L714" i="4"/>
  <c r="K715" i="4"/>
  <c r="L715" i="4" s="1"/>
  <c r="K716" i="4"/>
  <c r="L716" i="4"/>
  <c r="K717" i="4"/>
  <c r="L717" i="4" s="1"/>
  <c r="K718" i="4"/>
  <c r="L718" i="4"/>
  <c r="K719" i="4"/>
  <c r="L719" i="4" s="1"/>
  <c r="K720" i="4"/>
  <c r="L720" i="4"/>
  <c r="K721" i="4"/>
  <c r="L721" i="4" s="1"/>
  <c r="K722" i="4"/>
  <c r="L722" i="4"/>
  <c r="K723" i="4"/>
  <c r="L723" i="4" s="1"/>
  <c r="K724" i="4"/>
  <c r="L724" i="4"/>
  <c r="K725" i="4"/>
  <c r="L725" i="4" s="1"/>
  <c r="E726" i="4"/>
  <c r="M726" i="4"/>
  <c r="M728" i="4"/>
  <c r="L679" i="4" l="1"/>
  <c r="L666" i="4"/>
  <c r="L659" i="4"/>
  <c r="L40" i="4"/>
  <c r="L728" i="4"/>
  <c r="L449" i="4"/>
  <c r="L404" i="4"/>
  <c r="L452" i="4"/>
  <c r="L175" i="4"/>
  <c r="L115" i="4"/>
  <c r="L46" i="4"/>
  <c r="L549" i="4"/>
  <c r="L436" i="4"/>
  <c r="K4" i="3"/>
  <c r="L4" i="3" s="1"/>
  <c r="K5" i="3"/>
  <c r="L5" i="3" s="1"/>
  <c r="K6" i="3"/>
  <c r="L6" i="3"/>
  <c r="K7" i="3"/>
  <c r="L7" i="3"/>
  <c r="K8" i="3"/>
  <c r="L8" i="3" s="1"/>
  <c r="K9" i="3"/>
  <c r="L9" i="3"/>
  <c r="K10" i="3"/>
  <c r="L10" i="3"/>
  <c r="K11" i="3"/>
  <c r="L11" i="3"/>
  <c r="K12" i="3"/>
  <c r="L12" i="3" s="1"/>
  <c r="K13" i="3"/>
  <c r="L13" i="3"/>
  <c r="K14" i="3"/>
  <c r="L14" i="3"/>
  <c r="K15" i="3"/>
  <c r="L15" i="3"/>
  <c r="K16" i="3"/>
  <c r="L16" i="3" s="1"/>
  <c r="K17" i="3"/>
  <c r="L17" i="3"/>
  <c r="K18" i="3"/>
  <c r="L18" i="3"/>
  <c r="K19" i="3"/>
  <c r="L19" i="3"/>
  <c r="K20" i="3"/>
  <c r="L20" i="3" s="1"/>
  <c r="K21" i="3"/>
  <c r="L21" i="3"/>
  <c r="K22" i="3"/>
  <c r="L22" i="3"/>
  <c r="K23" i="3"/>
  <c r="L23" i="3"/>
  <c r="K24" i="3"/>
  <c r="L24" i="3" s="1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E38" i="3"/>
  <c r="M38" i="3"/>
  <c r="K39" i="3"/>
  <c r="L39" i="3" s="1"/>
  <c r="L44" i="3" s="1"/>
  <c r="K40" i="3"/>
  <c r="L40" i="3" s="1"/>
  <c r="K41" i="3"/>
  <c r="L41" i="3"/>
  <c r="K42" i="3"/>
  <c r="L42" i="3" s="1"/>
  <c r="K43" i="3"/>
  <c r="L43" i="3" s="1"/>
  <c r="E44" i="3"/>
  <c r="M44" i="3"/>
  <c r="K45" i="3"/>
  <c r="L45" i="3"/>
  <c r="K46" i="3"/>
  <c r="L46" i="3"/>
  <c r="L105" i="3" s="1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E105" i="3"/>
  <c r="M105" i="3"/>
  <c r="K106" i="3"/>
  <c r="L106" i="3" s="1"/>
  <c r="K107" i="3"/>
  <c r="L107" i="3" s="1"/>
  <c r="K108" i="3"/>
  <c r="L108" i="3"/>
  <c r="K109" i="3"/>
  <c r="L109" i="3" s="1"/>
  <c r="K110" i="3"/>
  <c r="L110" i="3" s="1"/>
  <c r="K111" i="3"/>
  <c r="L111" i="3" s="1"/>
  <c r="K112" i="3"/>
  <c r="L112" i="3"/>
  <c r="K113" i="3"/>
  <c r="L113" i="3" s="1"/>
  <c r="K114" i="3"/>
  <c r="L114" i="3" s="1"/>
  <c r="K115" i="3"/>
  <c r="L115" i="3" s="1"/>
  <c r="K116" i="3"/>
  <c r="L116" i="3"/>
  <c r="K117" i="3"/>
  <c r="L117" i="3" s="1"/>
  <c r="K118" i="3"/>
  <c r="L118" i="3" s="1"/>
  <c r="K119" i="3"/>
  <c r="L119" i="3" s="1"/>
  <c r="K120" i="3"/>
  <c r="L120" i="3"/>
  <c r="K121" i="3"/>
  <c r="L121" i="3" s="1"/>
  <c r="K122" i="3"/>
  <c r="L122" i="3" s="1"/>
  <c r="K123" i="3"/>
  <c r="L123" i="3" s="1"/>
  <c r="K124" i="3"/>
  <c r="L124" i="3"/>
  <c r="K125" i="3"/>
  <c r="L125" i="3" s="1"/>
  <c r="K126" i="3"/>
  <c r="L126" i="3" s="1"/>
  <c r="K127" i="3"/>
  <c r="L127" i="3" s="1"/>
  <c r="K128" i="3"/>
  <c r="L128" i="3"/>
  <c r="K129" i="3"/>
  <c r="L129" i="3" s="1"/>
  <c r="K130" i="3"/>
  <c r="L130" i="3" s="1"/>
  <c r="K131" i="3"/>
  <c r="L131" i="3" s="1"/>
  <c r="K132" i="3"/>
  <c r="L132" i="3"/>
  <c r="K133" i="3"/>
  <c r="L133" i="3" s="1"/>
  <c r="K134" i="3"/>
  <c r="L134" i="3" s="1"/>
  <c r="K135" i="3"/>
  <c r="L135" i="3" s="1"/>
  <c r="K136" i="3"/>
  <c r="L136" i="3"/>
  <c r="K137" i="3"/>
  <c r="L137" i="3" s="1"/>
  <c r="K138" i="3"/>
  <c r="L138" i="3" s="1"/>
  <c r="K139" i="3"/>
  <c r="L139" i="3" s="1"/>
  <c r="K140" i="3"/>
  <c r="L140" i="3"/>
  <c r="K141" i="3"/>
  <c r="L141" i="3" s="1"/>
  <c r="K142" i="3"/>
  <c r="L142" i="3" s="1"/>
  <c r="K143" i="3"/>
  <c r="L143" i="3" s="1"/>
  <c r="K144" i="3"/>
  <c r="L144" i="3"/>
  <c r="K145" i="3"/>
  <c r="L145" i="3" s="1"/>
  <c r="K146" i="3"/>
  <c r="L146" i="3" s="1"/>
  <c r="K147" i="3"/>
  <c r="L147" i="3" s="1"/>
  <c r="K148" i="3"/>
  <c r="L148" i="3"/>
  <c r="K149" i="3"/>
  <c r="L149" i="3" s="1"/>
  <c r="K150" i="3"/>
  <c r="L150" i="3" s="1"/>
  <c r="K151" i="3"/>
  <c r="L151" i="3" s="1"/>
  <c r="K152" i="3"/>
  <c r="L152" i="3"/>
  <c r="K153" i="3"/>
  <c r="L153" i="3" s="1"/>
  <c r="K154" i="3"/>
  <c r="L154" i="3" s="1"/>
  <c r="K155" i="3"/>
  <c r="L155" i="3" s="1"/>
  <c r="K156" i="3"/>
  <c r="L156" i="3"/>
  <c r="K157" i="3"/>
  <c r="L157" i="3" s="1"/>
  <c r="K158" i="3"/>
  <c r="L158" i="3" s="1"/>
  <c r="K159" i="3"/>
  <c r="L159" i="3" s="1"/>
  <c r="K160" i="3"/>
  <c r="L160" i="3"/>
  <c r="K161" i="3"/>
  <c r="L161" i="3" s="1"/>
  <c r="K162" i="3"/>
  <c r="L162" i="3" s="1"/>
  <c r="E163" i="3"/>
  <c r="M163" i="3"/>
  <c r="K164" i="3"/>
  <c r="L164" i="3"/>
  <c r="L234" i="3" s="1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E234" i="3"/>
  <c r="M234" i="3"/>
  <c r="K235" i="3"/>
  <c r="L235" i="3"/>
  <c r="K236" i="3"/>
  <c r="L236" i="3" s="1"/>
  <c r="K237" i="3"/>
  <c r="L237" i="3" s="1"/>
  <c r="K238" i="3"/>
  <c r="L238" i="3" s="1"/>
  <c r="K239" i="3"/>
  <c r="L239" i="3"/>
  <c r="K240" i="3"/>
  <c r="L240" i="3" s="1"/>
  <c r="K241" i="3"/>
  <c r="L241" i="3" s="1"/>
  <c r="K242" i="3"/>
  <c r="L242" i="3" s="1"/>
  <c r="K243" i="3"/>
  <c r="L243" i="3"/>
  <c r="K244" i="3"/>
  <c r="L244" i="3" s="1"/>
  <c r="K245" i="3"/>
  <c r="L245" i="3" s="1"/>
  <c r="K246" i="3"/>
  <c r="L246" i="3" s="1"/>
  <c r="K247" i="3"/>
  <c r="L247" i="3"/>
  <c r="K248" i="3"/>
  <c r="L248" i="3" s="1"/>
  <c r="K249" i="3"/>
  <c r="L249" i="3" s="1"/>
  <c r="K250" i="3"/>
  <c r="L250" i="3" s="1"/>
  <c r="K251" i="3"/>
  <c r="L251" i="3"/>
  <c r="K252" i="3"/>
  <c r="L252" i="3" s="1"/>
  <c r="K253" i="3"/>
  <c r="L253" i="3" s="1"/>
  <c r="K254" i="3"/>
  <c r="L254" i="3" s="1"/>
  <c r="K255" i="3"/>
  <c r="L255" i="3"/>
  <c r="K256" i="3"/>
  <c r="L256" i="3" s="1"/>
  <c r="K257" i="3"/>
  <c r="L257" i="3" s="1"/>
  <c r="K258" i="3"/>
  <c r="L258" i="3" s="1"/>
  <c r="K259" i="3"/>
  <c r="L259" i="3"/>
  <c r="K260" i="3"/>
  <c r="L260" i="3" s="1"/>
  <c r="K261" i="3"/>
  <c r="L261" i="3" s="1"/>
  <c r="K262" i="3"/>
  <c r="L262" i="3" s="1"/>
  <c r="K263" i="3"/>
  <c r="L263" i="3"/>
  <c r="K264" i="3"/>
  <c r="L264" i="3" s="1"/>
  <c r="K265" i="3"/>
  <c r="L265" i="3" s="1"/>
  <c r="K266" i="3"/>
  <c r="L266" i="3" s="1"/>
  <c r="K267" i="3"/>
  <c r="L267" i="3"/>
  <c r="K268" i="3"/>
  <c r="L268" i="3" s="1"/>
  <c r="K269" i="3"/>
  <c r="L269" i="3" s="1"/>
  <c r="K270" i="3"/>
  <c r="L270" i="3" s="1"/>
  <c r="K271" i="3"/>
  <c r="L271" i="3"/>
  <c r="K272" i="3"/>
  <c r="L272" i="3" s="1"/>
  <c r="K273" i="3"/>
  <c r="L273" i="3" s="1"/>
  <c r="K274" i="3"/>
  <c r="L274" i="3" s="1"/>
  <c r="K275" i="3"/>
  <c r="L275" i="3"/>
  <c r="K276" i="3"/>
  <c r="L276" i="3" s="1"/>
  <c r="K277" i="3"/>
  <c r="L277" i="3" s="1"/>
  <c r="K278" i="3"/>
  <c r="L278" i="3" s="1"/>
  <c r="K279" i="3"/>
  <c r="L279" i="3"/>
  <c r="K280" i="3"/>
  <c r="L280" i="3" s="1"/>
  <c r="K281" i="3"/>
  <c r="L281" i="3" s="1"/>
  <c r="K282" i="3"/>
  <c r="L282" i="3" s="1"/>
  <c r="K283" i="3"/>
  <c r="L283" i="3"/>
  <c r="K284" i="3"/>
  <c r="L284" i="3" s="1"/>
  <c r="K285" i="3"/>
  <c r="L285" i="3" s="1"/>
  <c r="K286" i="3"/>
  <c r="L286" i="3" s="1"/>
  <c r="K287" i="3"/>
  <c r="L287" i="3"/>
  <c r="K288" i="3"/>
  <c r="L288" i="3" s="1"/>
  <c r="K289" i="3"/>
  <c r="L289" i="3" s="1"/>
  <c r="K290" i="3"/>
  <c r="L290" i="3" s="1"/>
  <c r="K291" i="3"/>
  <c r="L291" i="3"/>
  <c r="K292" i="3"/>
  <c r="L292" i="3" s="1"/>
  <c r="K293" i="3"/>
  <c r="L293" i="3" s="1"/>
  <c r="K294" i="3"/>
  <c r="L294" i="3" s="1"/>
  <c r="K295" i="3"/>
  <c r="L295" i="3"/>
  <c r="K296" i="3"/>
  <c r="L296" i="3" s="1"/>
  <c r="K297" i="3"/>
  <c r="L297" i="3" s="1"/>
  <c r="K298" i="3"/>
  <c r="L298" i="3" s="1"/>
  <c r="K299" i="3"/>
  <c r="L299" i="3"/>
  <c r="K300" i="3"/>
  <c r="L300" i="3" s="1"/>
  <c r="K301" i="3"/>
  <c r="L301" i="3" s="1"/>
  <c r="K302" i="3"/>
  <c r="L302" i="3" s="1"/>
  <c r="K303" i="3"/>
  <c r="L303" i="3"/>
  <c r="K304" i="3"/>
  <c r="L304" i="3" s="1"/>
  <c r="K305" i="3"/>
  <c r="L305" i="3" s="1"/>
  <c r="K306" i="3"/>
  <c r="L306" i="3" s="1"/>
  <c r="K307" i="3"/>
  <c r="L307" i="3"/>
  <c r="K308" i="3"/>
  <c r="L308" i="3" s="1"/>
  <c r="K309" i="3"/>
  <c r="L309" i="3" s="1"/>
  <c r="K310" i="3"/>
  <c r="L310" i="3" s="1"/>
  <c r="K311" i="3"/>
  <c r="L311" i="3"/>
  <c r="K312" i="3"/>
  <c r="L312" i="3" s="1"/>
  <c r="K313" i="3"/>
  <c r="L313" i="3" s="1"/>
  <c r="K314" i="3"/>
  <c r="L314" i="3" s="1"/>
  <c r="K315" i="3"/>
  <c r="L315" i="3"/>
  <c r="K316" i="3"/>
  <c r="L316" i="3" s="1"/>
  <c r="K317" i="3"/>
  <c r="L317" i="3" s="1"/>
  <c r="K318" i="3"/>
  <c r="L318" i="3" s="1"/>
  <c r="K319" i="3"/>
  <c r="L319" i="3"/>
  <c r="K320" i="3"/>
  <c r="L320" i="3" s="1"/>
  <c r="K321" i="3"/>
  <c r="L321" i="3" s="1"/>
  <c r="K322" i="3"/>
  <c r="L322" i="3" s="1"/>
  <c r="K323" i="3"/>
  <c r="L323" i="3"/>
  <c r="K324" i="3"/>
  <c r="L324" i="3" s="1"/>
  <c r="K325" i="3"/>
  <c r="L325" i="3" s="1"/>
  <c r="K326" i="3"/>
  <c r="L326" i="3" s="1"/>
  <c r="K327" i="3"/>
  <c r="L327" i="3"/>
  <c r="K328" i="3"/>
  <c r="L328" i="3" s="1"/>
  <c r="K329" i="3"/>
  <c r="L329" i="3" s="1"/>
  <c r="K330" i="3"/>
  <c r="L330" i="3" s="1"/>
  <c r="K331" i="3"/>
  <c r="L331" i="3"/>
  <c r="K332" i="3"/>
  <c r="L332" i="3" s="1"/>
  <c r="K333" i="3"/>
  <c r="L333" i="3" s="1"/>
  <c r="K334" i="3"/>
  <c r="L334" i="3" s="1"/>
  <c r="K335" i="3"/>
  <c r="L335" i="3"/>
  <c r="K336" i="3"/>
  <c r="L336" i="3" s="1"/>
  <c r="K337" i="3"/>
  <c r="L337" i="3" s="1"/>
  <c r="K338" i="3"/>
  <c r="L338" i="3" s="1"/>
  <c r="K339" i="3"/>
  <c r="L339" i="3"/>
  <c r="K340" i="3"/>
  <c r="L340" i="3" s="1"/>
  <c r="K341" i="3"/>
  <c r="L341" i="3" s="1"/>
  <c r="K342" i="3"/>
  <c r="L342" i="3" s="1"/>
  <c r="K343" i="3"/>
  <c r="L343" i="3"/>
  <c r="K344" i="3"/>
  <c r="L344" i="3" s="1"/>
  <c r="K345" i="3"/>
  <c r="L345" i="3" s="1"/>
  <c r="K346" i="3"/>
  <c r="L346" i="3" s="1"/>
  <c r="K347" i="3"/>
  <c r="L347" i="3"/>
  <c r="K348" i="3"/>
  <c r="L348" i="3" s="1"/>
  <c r="K349" i="3"/>
  <c r="L349" i="3" s="1"/>
  <c r="K350" i="3"/>
  <c r="L350" i="3" s="1"/>
  <c r="K351" i="3"/>
  <c r="L351" i="3"/>
  <c r="K352" i="3"/>
  <c r="L352" i="3" s="1"/>
  <c r="K353" i="3"/>
  <c r="L353" i="3" s="1"/>
  <c r="K354" i="3"/>
  <c r="L354" i="3" s="1"/>
  <c r="K355" i="3"/>
  <c r="L355" i="3"/>
  <c r="K356" i="3"/>
  <c r="L356" i="3" s="1"/>
  <c r="K357" i="3"/>
  <c r="L357" i="3" s="1"/>
  <c r="K358" i="3"/>
  <c r="L358" i="3" s="1"/>
  <c r="K359" i="3"/>
  <c r="L359" i="3"/>
  <c r="K360" i="3"/>
  <c r="L360" i="3" s="1"/>
  <c r="K361" i="3"/>
  <c r="L361" i="3" s="1"/>
  <c r="K362" i="3"/>
  <c r="L362" i="3" s="1"/>
  <c r="K363" i="3"/>
  <c r="L363" i="3"/>
  <c r="K364" i="3"/>
  <c r="L364" i="3" s="1"/>
  <c r="K365" i="3"/>
  <c r="L365" i="3" s="1"/>
  <c r="K366" i="3"/>
  <c r="L366" i="3" s="1"/>
  <c r="K367" i="3"/>
  <c r="L367" i="3"/>
  <c r="K368" i="3"/>
  <c r="L368" i="3" s="1"/>
  <c r="K369" i="3"/>
  <c r="L369" i="3" s="1"/>
  <c r="K370" i="3"/>
  <c r="L370" i="3" s="1"/>
  <c r="K371" i="3"/>
  <c r="L371" i="3"/>
  <c r="E372" i="3"/>
  <c r="M372" i="3"/>
  <c r="M670" i="3" s="1"/>
  <c r="K373" i="3"/>
  <c r="L373" i="3"/>
  <c r="E374" i="3"/>
  <c r="L374" i="3"/>
  <c r="M374" i="3"/>
  <c r="K375" i="3"/>
  <c r="L375" i="3" s="1"/>
  <c r="K376" i="3"/>
  <c r="L376" i="3" s="1"/>
  <c r="K377" i="3"/>
  <c r="L377" i="3" s="1"/>
  <c r="K378" i="3"/>
  <c r="L378" i="3"/>
  <c r="K379" i="3"/>
  <c r="L379" i="3" s="1"/>
  <c r="K380" i="3"/>
  <c r="L380" i="3" s="1"/>
  <c r="K381" i="3"/>
  <c r="L381" i="3" s="1"/>
  <c r="K382" i="3"/>
  <c r="L382" i="3"/>
  <c r="K383" i="3"/>
  <c r="L383" i="3" s="1"/>
  <c r="K384" i="3"/>
  <c r="L384" i="3" s="1"/>
  <c r="K385" i="3"/>
  <c r="L385" i="3" s="1"/>
  <c r="K386" i="3"/>
  <c r="L386" i="3"/>
  <c r="K387" i="3"/>
  <c r="L387" i="3" s="1"/>
  <c r="K388" i="3"/>
  <c r="L388" i="3" s="1"/>
  <c r="K389" i="3"/>
  <c r="L389" i="3" s="1"/>
  <c r="K390" i="3"/>
  <c r="L390" i="3"/>
  <c r="K391" i="3"/>
  <c r="L391" i="3" s="1"/>
  <c r="K392" i="3"/>
  <c r="L392" i="3" s="1"/>
  <c r="K393" i="3"/>
  <c r="L393" i="3" s="1"/>
  <c r="K394" i="3"/>
  <c r="L394" i="3"/>
  <c r="K395" i="3"/>
  <c r="L395" i="3" s="1"/>
  <c r="K396" i="3"/>
  <c r="L396" i="3" s="1"/>
  <c r="K397" i="3"/>
  <c r="L397" i="3" s="1"/>
  <c r="K398" i="3"/>
  <c r="L398" i="3"/>
  <c r="K399" i="3"/>
  <c r="L399" i="3" s="1"/>
  <c r="K400" i="3"/>
  <c r="L400" i="3" s="1"/>
  <c r="K401" i="3"/>
  <c r="L401" i="3" s="1"/>
  <c r="K402" i="3"/>
  <c r="L402" i="3"/>
  <c r="E403" i="3"/>
  <c r="M403" i="3"/>
  <c r="K404" i="3"/>
  <c r="L404" i="3"/>
  <c r="K405" i="3"/>
  <c r="L405" i="3"/>
  <c r="L416" i="3" s="1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E416" i="3"/>
  <c r="M416" i="3"/>
  <c r="K417" i="3"/>
  <c r="L417" i="3"/>
  <c r="L419" i="3" s="1"/>
  <c r="K418" i="3"/>
  <c r="L418" i="3" s="1"/>
  <c r="E419" i="3"/>
  <c r="M419" i="3"/>
  <c r="K420" i="3"/>
  <c r="L420" i="3"/>
  <c r="K421" i="3"/>
  <c r="L421" i="3"/>
  <c r="K422" i="3"/>
  <c r="L422" i="3"/>
  <c r="L457" i="3" s="1"/>
  <c r="K423" i="3"/>
  <c r="L423" i="3"/>
  <c r="K424" i="3"/>
  <c r="L424" i="3"/>
  <c r="K425" i="3"/>
  <c r="L425" i="3"/>
  <c r="K426" i="3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K451" i="3"/>
  <c r="L451" i="3"/>
  <c r="K452" i="3"/>
  <c r="L452" i="3"/>
  <c r="K453" i="3"/>
  <c r="L453" i="3"/>
  <c r="K454" i="3"/>
  <c r="L454" i="3"/>
  <c r="K455" i="3"/>
  <c r="L455" i="3"/>
  <c r="K456" i="3"/>
  <c r="L456" i="3"/>
  <c r="E457" i="3"/>
  <c r="M457" i="3"/>
  <c r="K458" i="3"/>
  <c r="L458" i="3" s="1"/>
  <c r="L461" i="3" s="1"/>
  <c r="K459" i="3"/>
  <c r="L459" i="3" s="1"/>
  <c r="K460" i="3"/>
  <c r="L460" i="3"/>
  <c r="E461" i="3"/>
  <c r="M461" i="3"/>
  <c r="K462" i="3"/>
  <c r="L462" i="3"/>
  <c r="K463" i="3"/>
  <c r="L463" i="3"/>
  <c r="K464" i="3"/>
  <c r="L464" i="3"/>
  <c r="K465" i="3"/>
  <c r="L465" i="3"/>
  <c r="L500" i="3" s="1"/>
  <c r="K466" i="3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K499" i="3"/>
  <c r="L499" i="3"/>
  <c r="E500" i="3"/>
  <c r="M500" i="3"/>
  <c r="K501" i="3"/>
  <c r="L501" i="3" s="1"/>
  <c r="L505" i="3" s="1"/>
  <c r="K502" i="3"/>
  <c r="L502" i="3" s="1"/>
  <c r="K503" i="3"/>
  <c r="L503" i="3"/>
  <c r="K504" i="3"/>
  <c r="L504" i="3" s="1"/>
  <c r="E505" i="3"/>
  <c r="M505" i="3"/>
  <c r="K506" i="3"/>
  <c r="L506" i="3"/>
  <c r="K507" i="3"/>
  <c r="L507" i="3"/>
  <c r="E508" i="3"/>
  <c r="L508" i="3"/>
  <c r="M508" i="3"/>
  <c r="K509" i="3"/>
  <c r="L509" i="3" s="1"/>
  <c r="L515" i="3" s="1"/>
  <c r="K510" i="3"/>
  <c r="L510" i="3"/>
  <c r="K511" i="3"/>
  <c r="L511" i="3" s="1"/>
  <c r="K512" i="3"/>
  <c r="L512" i="3" s="1"/>
  <c r="K513" i="3"/>
  <c r="L513" i="3" s="1"/>
  <c r="K514" i="3"/>
  <c r="L514" i="3"/>
  <c r="E515" i="3"/>
  <c r="M515" i="3"/>
  <c r="K516" i="3"/>
  <c r="L516" i="3"/>
  <c r="K517" i="3"/>
  <c r="L517" i="3"/>
  <c r="K518" i="3"/>
  <c r="L518" i="3"/>
  <c r="K519" i="3"/>
  <c r="L519" i="3"/>
  <c r="L606" i="3" s="1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E606" i="3"/>
  <c r="M606" i="3"/>
  <c r="K607" i="3"/>
  <c r="L607" i="3" s="1"/>
  <c r="L608" i="3" s="1"/>
  <c r="E608" i="3"/>
  <c r="M608" i="3"/>
  <c r="K609" i="3"/>
  <c r="L609" i="3"/>
  <c r="L613" i="3" s="1"/>
  <c r="K610" i="3"/>
  <c r="L610" i="3"/>
  <c r="K611" i="3"/>
  <c r="L611" i="3"/>
  <c r="K612" i="3"/>
  <c r="L612" i="3"/>
  <c r="E613" i="3"/>
  <c r="M613" i="3"/>
  <c r="K614" i="3"/>
  <c r="L614" i="3" s="1"/>
  <c r="K615" i="3"/>
  <c r="L615" i="3" s="1"/>
  <c r="K616" i="3"/>
  <c r="L616" i="3"/>
  <c r="K617" i="3"/>
  <c r="L617" i="3" s="1"/>
  <c r="K618" i="3"/>
  <c r="L618" i="3" s="1"/>
  <c r="K619" i="3"/>
  <c r="L619" i="3" s="1"/>
  <c r="K620" i="3"/>
  <c r="L620" i="3"/>
  <c r="K621" i="3"/>
  <c r="L621" i="3" s="1"/>
  <c r="K622" i="3"/>
  <c r="L622" i="3" s="1"/>
  <c r="K623" i="3"/>
  <c r="L623" i="3" s="1"/>
  <c r="K624" i="3"/>
  <c r="L624" i="3"/>
  <c r="K625" i="3"/>
  <c r="L625" i="3" s="1"/>
  <c r="E626" i="3"/>
  <c r="M626" i="3"/>
  <c r="K627" i="3"/>
  <c r="L627" i="3"/>
  <c r="K628" i="3"/>
  <c r="L628" i="3"/>
  <c r="K629" i="3"/>
  <c r="L629" i="3"/>
  <c r="L668" i="3" s="1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L666" i="3"/>
  <c r="K667" i="3"/>
  <c r="L667" i="3"/>
  <c r="E668" i="3"/>
  <c r="M668" i="3"/>
  <c r="E670" i="3"/>
  <c r="L403" i="3" l="1"/>
  <c r="L626" i="3"/>
  <c r="L372" i="3"/>
  <c r="L163" i="3"/>
  <c r="L38" i="3"/>
  <c r="L670" i="3" s="1"/>
  <c r="K4" i="2"/>
  <c r="L4" i="2" s="1"/>
  <c r="K5" i="2"/>
  <c r="L5" i="2" s="1"/>
  <c r="K6" i="2"/>
  <c r="L6" i="2" s="1"/>
  <c r="K7" i="2"/>
  <c r="L7" i="2"/>
  <c r="K8" i="2"/>
  <c r="L8" i="2" s="1"/>
  <c r="K9" i="2"/>
  <c r="L9" i="2" s="1"/>
  <c r="K10" i="2"/>
  <c r="L10" i="2" s="1"/>
  <c r="K11" i="2"/>
  <c r="L11" i="2"/>
  <c r="K12" i="2"/>
  <c r="L12" i="2" s="1"/>
  <c r="K13" i="2"/>
  <c r="L13" i="2" s="1"/>
  <c r="K14" i="2"/>
  <c r="L14" i="2" s="1"/>
  <c r="K15" i="2"/>
  <c r="L15" i="2"/>
  <c r="K16" i="2"/>
  <c r="L16" i="2" s="1"/>
  <c r="K17" i="2"/>
  <c r="L17" i="2" s="1"/>
  <c r="K18" i="2"/>
  <c r="L18" i="2" s="1"/>
  <c r="K19" i="2"/>
  <c r="L19" i="2"/>
  <c r="K20" i="2"/>
  <c r="L20" i="2" s="1"/>
  <c r="K21" i="2"/>
  <c r="L21" i="2" s="1"/>
  <c r="K22" i="2"/>
  <c r="L22" i="2" s="1"/>
  <c r="K23" i="2"/>
  <c r="L23" i="2"/>
  <c r="K24" i="2"/>
  <c r="L24" i="2" s="1"/>
  <c r="K25" i="2"/>
  <c r="L25" i="2" s="1"/>
  <c r="K26" i="2"/>
  <c r="L26" i="2" s="1"/>
  <c r="K27" i="2"/>
  <c r="L27" i="2"/>
  <c r="K28" i="2"/>
  <c r="L28" i="2" s="1"/>
  <c r="K29" i="2"/>
  <c r="L29" i="2" s="1"/>
  <c r="K30" i="2"/>
  <c r="L30" i="2" s="1"/>
  <c r="K31" i="2"/>
  <c r="L31" i="2"/>
  <c r="K32" i="2"/>
  <c r="L32" i="2" s="1"/>
  <c r="K33" i="2"/>
  <c r="L33" i="2" s="1"/>
  <c r="K34" i="2"/>
  <c r="L34" i="2" s="1"/>
  <c r="E35" i="2"/>
  <c r="E611" i="2" s="1"/>
  <c r="M35" i="2"/>
  <c r="K36" i="2"/>
  <c r="L36" i="2" s="1"/>
  <c r="K37" i="2"/>
  <c r="L37" i="2" s="1"/>
  <c r="K38" i="2"/>
  <c r="L38" i="2"/>
  <c r="K39" i="2"/>
  <c r="L39" i="2" s="1"/>
  <c r="K40" i="2"/>
  <c r="L40" i="2"/>
  <c r="E41" i="2"/>
  <c r="M41" i="2"/>
  <c r="K42" i="2"/>
  <c r="L42" i="2"/>
  <c r="K43" i="2"/>
  <c r="L43" i="2" s="1"/>
  <c r="K44" i="2"/>
  <c r="L44" i="2"/>
  <c r="K45" i="2"/>
  <c r="L45" i="2" s="1"/>
  <c r="K46" i="2"/>
  <c r="L46" i="2"/>
  <c r="K47" i="2"/>
  <c r="L47" i="2" s="1"/>
  <c r="K48" i="2"/>
  <c r="L48" i="2"/>
  <c r="K49" i="2"/>
  <c r="L49" i="2" s="1"/>
  <c r="K50" i="2"/>
  <c r="L50" i="2"/>
  <c r="K51" i="2"/>
  <c r="L51" i="2" s="1"/>
  <c r="K52" i="2"/>
  <c r="L52" i="2"/>
  <c r="K53" i="2"/>
  <c r="L53" i="2" s="1"/>
  <c r="K54" i="2"/>
  <c r="L54" i="2"/>
  <c r="K55" i="2"/>
  <c r="L55" i="2" s="1"/>
  <c r="K56" i="2"/>
  <c r="L56" i="2"/>
  <c r="K57" i="2"/>
  <c r="L57" i="2" s="1"/>
  <c r="K58" i="2"/>
  <c r="L58" i="2"/>
  <c r="K59" i="2"/>
  <c r="L59" i="2" s="1"/>
  <c r="K60" i="2"/>
  <c r="L60" i="2"/>
  <c r="K61" i="2"/>
  <c r="L61" i="2" s="1"/>
  <c r="K62" i="2"/>
  <c r="L62" i="2"/>
  <c r="K63" i="2"/>
  <c r="L63" i="2" s="1"/>
  <c r="K64" i="2"/>
  <c r="L64" i="2"/>
  <c r="K65" i="2"/>
  <c r="L65" i="2" s="1"/>
  <c r="K66" i="2"/>
  <c r="L66" i="2"/>
  <c r="K67" i="2"/>
  <c r="L67" i="2" s="1"/>
  <c r="K68" i="2"/>
  <c r="L68" i="2"/>
  <c r="K69" i="2"/>
  <c r="L69" i="2" s="1"/>
  <c r="K70" i="2"/>
  <c r="L70" i="2"/>
  <c r="K71" i="2"/>
  <c r="L71" i="2" s="1"/>
  <c r="K72" i="2"/>
  <c r="L72" i="2"/>
  <c r="K73" i="2"/>
  <c r="L73" i="2" s="1"/>
  <c r="K74" i="2"/>
  <c r="L74" i="2"/>
  <c r="K75" i="2"/>
  <c r="L75" i="2" s="1"/>
  <c r="K76" i="2"/>
  <c r="L76" i="2"/>
  <c r="K77" i="2"/>
  <c r="L77" i="2"/>
  <c r="K78" i="2"/>
  <c r="L78" i="2"/>
  <c r="K79" i="2"/>
  <c r="L79" i="2" s="1"/>
  <c r="K80" i="2"/>
  <c r="L80" i="2"/>
  <c r="K81" i="2"/>
  <c r="L81" i="2"/>
  <c r="K82" i="2"/>
  <c r="L82" i="2"/>
  <c r="K83" i="2"/>
  <c r="L83" i="2" s="1"/>
  <c r="K84" i="2"/>
  <c r="L84" i="2"/>
  <c r="K85" i="2"/>
  <c r="L85" i="2"/>
  <c r="K86" i="2"/>
  <c r="L86" i="2"/>
  <c r="K87" i="2"/>
  <c r="L87" i="2" s="1"/>
  <c r="K88" i="2"/>
  <c r="L88" i="2"/>
  <c r="K89" i="2"/>
  <c r="L89" i="2"/>
  <c r="K90" i="2"/>
  <c r="L90" i="2"/>
  <c r="K91" i="2"/>
  <c r="L91" i="2" s="1"/>
  <c r="K92" i="2"/>
  <c r="L92" i="2"/>
  <c r="K93" i="2"/>
  <c r="L93" i="2"/>
  <c r="K94" i="2"/>
  <c r="L94" i="2"/>
  <c r="K95" i="2"/>
  <c r="L95" i="2" s="1"/>
  <c r="E96" i="2"/>
  <c r="M96" i="2"/>
  <c r="K97" i="2"/>
  <c r="L97" i="2"/>
  <c r="K98" i="2"/>
  <c r="L98" i="2" s="1"/>
  <c r="K99" i="2"/>
  <c r="L99" i="2"/>
  <c r="K100" i="2"/>
  <c r="L100" i="2" s="1"/>
  <c r="K101" i="2"/>
  <c r="L101" i="2"/>
  <c r="K102" i="2"/>
  <c r="L102" i="2" s="1"/>
  <c r="K103" i="2"/>
  <c r="L103" i="2"/>
  <c r="K104" i="2"/>
  <c r="L104" i="2" s="1"/>
  <c r="K105" i="2"/>
  <c r="L105" i="2"/>
  <c r="K106" i="2"/>
  <c r="L106" i="2" s="1"/>
  <c r="K107" i="2"/>
  <c r="L107" i="2"/>
  <c r="K108" i="2"/>
  <c r="L108" i="2" s="1"/>
  <c r="K109" i="2"/>
  <c r="L109" i="2"/>
  <c r="K110" i="2"/>
  <c r="L110" i="2" s="1"/>
  <c r="K111" i="2"/>
  <c r="L111" i="2"/>
  <c r="K112" i="2"/>
  <c r="L112" i="2" s="1"/>
  <c r="K113" i="2"/>
  <c r="L113" i="2"/>
  <c r="K114" i="2"/>
  <c r="L114" i="2" s="1"/>
  <c r="K115" i="2"/>
  <c r="L115" i="2"/>
  <c r="K116" i="2"/>
  <c r="L116" i="2" s="1"/>
  <c r="K117" i="2"/>
  <c r="L117" i="2"/>
  <c r="K118" i="2"/>
  <c r="L118" i="2" s="1"/>
  <c r="K119" i="2"/>
  <c r="L119" i="2"/>
  <c r="K120" i="2"/>
  <c r="L120" i="2" s="1"/>
  <c r="K121" i="2"/>
  <c r="L121" i="2"/>
  <c r="K122" i="2"/>
  <c r="L122" i="2" s="1"/>
  <c r="K123" i="2"/>
  <c r="L123" i="2"/>
  <c r="K124" i="2"/>
  <c r="L124" i="2" s="1"/>
  <c r="K125" i="2"/>
  <c r="L125" i="2"/>
  <c r="K126" i="2"/>
  <c r="L126" i="2" s="1"/>
  <c r="K127" i="2"/>
  <c r="L127" i="2"/>
  <c r="K128" i="2"/>
  <c r="L128" i="2" s="1"/>
  <c r="K129" i="2"/>
  <c r="L129" i="2"/>
  <c r="K130" i="2"/>
  <c r="L130" i="2" s="1"/>
  <c r="K131" i="2"/>
  <c r="L131" i="2"/>
  <c r="K132" i="2"/>
  <c r="L132" i="2" s="1"/>
  <c r="K133" i="2"/>
  <c r="L133" i="2"/>
  <c r="K134" i="2"/>
  <c r="L134" i="2" s="1"/>
  <c r="K135" i="2"/>
  <c r="L135" i="2"/>
  <c r="K136" i="2"/>
  <c r="L136" i="2" s="1"/>
  <c r="K137" i="2"/>
  <c r="L137" i="2"/>
  <c r="K138" i="2"/>
  <c r="L138" i="2" s="1"/>
  <c r="K139" i="2"/>
  <c r="L139" i="2"/>
  <c r="K140" i="2"/>
  <c r="L140" i="2" s="1"/>
  <c r="K141" i="2"/>
  <c r="L141" i="2"/>
  <c r="K142" i="2"/>
  <c r="L142" i="2" s="1"/>
  <c r="K143" i="2"/>
  <c r="L143" i="2"/>
  <c r="K144" i="2"/>
  <c r="L144" i="2" s="1"/>
  <c r="K145" i="2"/>
  <c r="L145" i="2"/>
  <c r="K146" i="2"/>
  <c r="L146" i="2" s="1"/>
  <c r="K147" i="2"/>
  <c r="L147" i="2"/>
  <c r="K148" i="2"/>
  <c r="L148" i="2" s="1"/>
  <c r="K149" i="2"/>
  <c r="L149" i="2"/>
  <c r="K150" i="2"/>
  <c r="L150" i="2" s="1"/>
  <c r="K151" i="2"/>
  <c r="L151" i="2"/>
  <c r="E152" i="2"/>
  <c r="M152" i="2"/>
  <c r="K153" i="2"/>
  <c r="L153" i="2"/>
  <c r="K154" i="2"/>
  <c r="L154" i="2" s="1"/>
  <c r="K155" i="2"/>
  <c r="L155" i="2"/>
  <c r="K156" i="2"/>
  <c r="L156" i="2"/>
  <c r="K157" i="2"/>
  <c r="L157" i="2"/>
  <c r="K158" i="2"/>
  <c r="L158" i="2" s="1"/>
  <c r="K159" i="2"/>
  <c r="L159" i="2"/>
  <c r="K160" i="2"/>
  <c r="L160" i="2"/>
  <c r="K161" i="2"/>
  <c r="L161" i="2"/>
  <c r="K162" i="2"/>
  <c r="L162" i="2" s="1"/>
  <c r="K163" i="2"/>
  <c r="L163" i="2"/>
  <c r="K164" i="2"/>
  <c r="L164" i="2"/>
  <c r="K165" i="2"/>
  <c r="L165" i="2"/>
  <c r="K166" i="2"/>
  <c r="L166" i="2" s="1"/>
  <c r="K167" i="2"/>
  <c r="L167" i="2"/>
  <c r="K168" i="2"/>
  <c r="L168" i="2"/>
  <c r="K169" i="2"/>
  <c r="L169" i="2"/>
  <c r="K170" i="2"/>
  <c r="L170" i="2" s="1"/>
  <c r="K171" i="2"/>
  <c r="L171" i="2"/>
  <c r="K172" i="2"/>
  <c r="L172" i="2"/>
  <c r="K173" i="2"/>
  <c r="L173" i="2"/>
  <c r="K174" i="2"/>
  <c r="L174" i="2" s="1"/>
  <c r="K175" i="2"/>
  <c r="L175" i="2"/>
  <c r="K176" i="2"/>
  <c r="L176" i="2"/>
  <c r="K177" i="2"/>
  <c r="L177" i="2"/>
  <c r="K178" i="2"/>
  <c r="L178" i="2" s="1"/>
  <c r="K179" i="2"/>
  <c r="L179" i="2"/>
  <c r="K180" i="2"/>
  <c r="L180" i="2"/>
  <c r="K181" i="2"/>
  <c r="L181" i="2"/>
  <c r="K182" i="2"/>
  <c r="L182" i="2" s="1"/>
  <c r="K183" i="2"/>
  <c r="L183" i="2"/>
  <c r="K184" i="2"/>
  <c r="L184" i="2"/>
  <c r="K185" i="2"/>
  <c r="L185" i="2"/>
  <c r="K186" i="2"/>
  <c r="L186" i="2" s="1"/>
  <c r="K187" i="2"/>
  <c r="L187" i="2"/>
  <c r="K188" i="2"/>
  <c r="L188" i="2"/>
  <c r="K189" i="2"/>
  <c r="L189" i="2"/>
  <c r="K190" i="2"/>
  <c r="L190" i="2" s="1"/>
  <c r="K191" i="2"/>
  <c r="L191" i="2"/>
  <c r="K192" i="2"/>
  <c r="L192" i="2"/>
  <c r="K193" i="2"/>
  <c r="L193" i="2"/>
  <c r="K194" i="2"/>
  <c r="L194" i="2" s="1"/>
  <c r="K195" i="2"/>
  <c r="L195" i="2"/>
  <c r="K196" i="2"/>
  <c r="L196" i="2"/>
  <c r="K197" i="2"/>
  <c r="L197" i="2"/>
  <c r="K198" i="2"/>
  <c r="L198" i="2" s="1"/>
  <c r="K199" i="2"/>
  <c r="L199" i="2"/>
  <c r="K200" i="2"/>
  <c r="L200" i="2"/>
  <c r="K201" i="2"/>
  <c r="L201" i="2"/>
  <c r="K202" i="2"/>
  <c r="L202" i="2" s="1"/>
  <c r="K203" i="2"/>
  <c r="L203" i="2"/>
  <c r="K204" i="2"/>
  <c r="L204" i="2"/>
  <c r="K205" i="2"/>
  <c r="L205" i="2"/>
  <c r="K206" i="2"/>
  <c r="L206" i="2" s="1"/>
  <c r="K207" i="2"/>
  <c r="L207" i="2"/>
  <c r="K208" i="2"/>
  <c r="L208" i="2"/>
  <c r="K209" i="2"/>
  <c r="L209" i="2"/>
  <c r="K210" i="2"/>
  <c r="L210" i="2" s="1"/>
  <c r="K211" i="2"/>
  <c r="L211" i="2"/>
  <c r="K212" i="2"/>
  <c r="L212" i="2"/>
  <c r="E213" i="2"/>
  <c r="M213" i="2"/>
  <c r="K214" i="2"/>
  <c r="L214" i="2"/>
  <c r="K215" i="2"/>
  <c r="L215" i="2" s="1"/>
  <c r="K216" i="2"/>
  <c r="L216" i="2"/>
  <c r="K217" i="2"/>
  <c r="L217" i="2" s="1"/>
  <c r="K218" i="2"/>
  <c r="L218" i="2"/>
  <c r="K219" i="2"/>
  <c r="L219" i="2" s="1"/>
  <c r="K220" i="2"/>
  <c r="L220" i="2"/>
  <c r="K221" i="2"/>
  <c r="L221" i="2" s="1"/>
  <c r="K222" i="2"/>
  <c r="L222" i="2"/>
  <c r="K223" i="2"/>
  <c r="L223" i="2" s="1"/>
  <c r="K224" i="2"/>
  <c r="L224" i="2"/>
  <c r="K225" i="2"/>
  <c r="L225" i="2" s="1"/>
  <c r="K226" i="2"/>
  <c r="L226" i="2"/>
  <c r="K227" i="2"/>
  <c r="L227" i="2" s="1"/>
  <c r="K228" i="2"/>
  <c r="L228" i="2"/>
  <c r="K229" i="2"/>
  <c r="L229" i="2" s="1"/>
  <c r="K230" i="2"/>
  <c r="L230" i="2"/>
  <c r="K231" i="2"/>
  <c r="L231" i="2" s="1"/>
  <c r="K232" i="2"/>
  <c r="L232" i="2"/>
  <c r="K233" i="2"/>
  <c r="L233" i="2" s="1"/>
  <c r="K234" i="2"/>
  <c r="L234" i="2"/>
  <c r="K235" i="2"/>
  <c r="L235" i="2" s="1"/>
  <c r="K236" i="2"/>
  <c r="L236" i="2"/>
  <c r="K237" i="2"/>
  <c r="L237" i="2" s="1"/>
  <c r="K238" i="2"/>
  <c r="L238" i="2"/>
  <c r="K239" i="2"/>
  <c r="L239" i="2" s="1"/>
  <c r="K240" i="2"/>
  <c r="L240" i="2"/>
  <c r="K241" i="2"/>
  <c r="L241" i="2" s="1"/>
  <c r="K242" i="2"/>
  <c r="L242" i="2"/>
  <c r="K243" i="2"/>
  <c r="L243" i="2" s="1"/>
  <c r="K244" i="2"/>
  <c r="L244" i="2"/>
  <c r="K245" i="2"/>
  <c r="L245" i="2" s="1"/>
  <c r="K246" i="2"/>
  <c r="L246" i="2"/>
  <c r="K247" i="2"/>
  <c r="L247" i="2" s="1"/>
  <c r="K248" i="2"/>
  <c r="L248" i="2"/>
  <c r="K249" i="2"/>
  <c r="L249" i="2" s="1"/>
  <c r="K250" i="2"/>
  <c r="L250" i="2"/>
  <c r="K251" i="2"/>
  <c r="L251" i="2" s="1"/>
  <c r="K252" i="2"/>
  <c r="L252" i="2"/>
  <c r="K253" i="2"/>
  <c r="L253" i="2" s="1"/>
  <c r="K254" i="2"/>
  <c r="L254" i="2"/>
  <c r="K255" i="2"/>
  <c r="L255" i="2" s="1"/>
  <c r="K256" i="2"/>
  <c r="L256" i="2"/>
  <c r="K257" i="2"/>
  <c r="L257" i="2" s="1"/>
  <c r="K258" i="2"/>
  <c r="L258" i="2"/>
  <c r="K259" i="2"/>
  <c r="L259" i="2" s="1"/>
  <c r="K260" i="2"/>
  <c r="L260" i="2"/>
  <c r="K261" i="2"/>
  <c r="L261" i="2" s="1"/>
  <c r="K262" i="2"/>
  <c r="L262" i="2"/>
  <c r="K263" i="2"/>
  <c r="L263" i="2" s="1"/>
  <c r="K264" i="2"/>
  <c r="L264" i="2"/>
  <c r="K265" i="2"/>
  <c r="L265" i="2" s="1"/>
  <c r="K266" i="2"/>
  <c r="L266" i="2"/>
  <c r="K267" i="2"/>
  <c r="L267" i="2" s="1"/>
  <c r="K268" i="2"/>
  <c r="L268" i="2"/>
  <c r="K269" i="2"/>
  <c r="L269" i="2" s="1"/>
  <c r="K270" i="2"/>
  <c r="L270" i="2"/>
  <c r="K271" i="2"/>
  <c r="L271" i="2" s="1"/>
  <c r="K272" i="2"/>
  <c r="L272" i="2"/>
  <c r="K273" i="2"/>
  <c r="L273" i="2" s="1"/>
  <c r="K274" i="2"/>
  <c r="L274" i="2"/>
  <c r="K275" i="2"/>
  <c r="L275" i="2" s="1"/>
  <c r="K276" i="2"/>
  <c r="L276" i="2"/>
  <c r="K277" i="2"/>
  <c r="L277" i="2" s="1"/>
  <c r="K278" i="2"/>
  <c r="L278" i="2"/>
  <c r="K279" i="2"/>
  <c r="L279" i="2" s="1"/>
  <c r="K280" i="2"/>
  <c r="L280" i="2"/>
  <c r="K281" i="2"/>
  <c r="L281" i="2" s="1"/>
  <c r="K282" i="2"/>
  <c r="L282" i="2"/>
  <c r="K283" i="2"/>
  <c r="L283" i="2" s="1"/>
  <c r="K284" i="2"/>
  <c r="L284" i="2"/>
  <c r="K285" i="2"/>
  <c r="L285" i="2" s="1"/>
  <c r="K286" i="2"/>
  <c r="L286" i="2"/>
  <c r="K287" i="2"/>
  <c r="L287" i="2" s="1"/>
  <c r="K288" i="2"/>
  <c r="L288" i="2"/>
  <c r="K289" i="2"/>
  <c r="L289" i="2" s="1"/>
  <c r="K290" i="2"/>
  <c r="L290" i="2"/>
  <c r="K291" i="2"/>
  <c r="L291" i="2" s="1"/>
  <c r="K292" i="2"/>
  <c r="L292" i="2"/>
  <c r="K293" i="2"/>
  <c r="L293" i="2" s="1"/>
  <c r="K294" i="2"/>
  <c r="L294" i="2"/>
  <c r="K295" i="2"/>
  <c r="L295" i="2" s="1"/>
  <c r="K296" i="2"/>
  <c r="L296" i="2"/>
  <c r="K297" i="2"/>
  <c r="L297" i="2" s="1"/>
  <c r="K298" i="2"/>
  <c r="L298" i="2"/>
  <c r="K299" i="2"/>
  <c r="L299" i="2" s="1"/>
  <c r="K300" i="2"/>
  <c r="L300" i="2"/>
  <c r="K301" i="2"/>
  <c r="L301" i="2" s="1"/>
  <c r="K302" i="2"/>
  <c r="L302" i="2"/>
  <c r="K303" i="2"/>
  <c r="L303" i="2" s="1"/>
  <c r="K304" i="2"/>
  <c r="L304" i="2"/>
  <c r="K305" i="2"/>
  <c r="L305" i="2" s="1"/>
  <c r="K306" i="2"/>
  <c r="L306" i="2"/>
  <c r="K307" i="2"/>
  <c r="L307" i="2" s="1"/>
  <c r="K308" i="2"/>
  <c r="L308" i="2"/>
  <c r="K309" i="2"/>
  <c r="L309" i="2" s="1"/>
  <c r="K310" i="2"/>
  <c r="L310" i="2"/>
  <c r="K311" i="2"/>
  <c r="L311" i="2" s="1"/>
  <c r="K312" i="2"/>
  <c r="L312" i="2"/>
  <c r="K313" i="2"/>
  <c r="L313" i="2" s="1"/>
  <c r="K314" i="2"/>
  <c r="L314" i="2"/>
  <c r="K315" i="2"/>
  <c r="L315" i="2" s="1"/>
  <c r="K316" i="2"/>
  <c r="L316" i="2"/>
  <c r="K317" i="2"/>
  <c r="L317" i="2" s="1"/>
  <c r="K318" i="2"/>
  <c r="L318" i="2"/>
  <c r="K319" i="2"/>
  <c r="L319" i="2" s="1"/>
  <c r="K320" i="2"/>
  <c r="L320" i="2"/>
  <c r="K321" i="2"/>
  <c r="L321" i="2" s="1"/>
  <c r="K322" i="2"/>
  <c r="L322" i="2"/>
  <c r="K323" i="2"/>
  <c r="L323" i="2" s="1"/>
  <c r="K324" i="2"/>
  <c r="L324" i="2"/>
  <c r="K325" i="2"/>
  <c r="L325" i="2" s="1"/>
  <c r="K326" i="2"/>
  <c r="L326" i="2"/>
  <c r="K327" i="2"/>
  <c r="L327" i="2" s="1"/>
  <c r="K328" i="2"/>
  <c r="L328" i="2"/>
  <c r="K329" i="2"/>
  <c r="L329" i="2" s="1"/>
  <c r="K330" i="2"/>
  <c r="L330" i="2"/>
  <c r="K331" i="2"/>
  <c r="L331" i="2" s="1"/>
  <c r="K332" i="2"/>
  <c r="L332" i="2"/>
  <c r="K333" i="2"/>
  <c r="L333" i="2" s="1"/>
  <c r="K334" i="2"/>
  <c r="L334" i="2"/>
  <c r="K335" i="2"/>
  <c r="L335" i="2" s="1"/>
  <c r="K336" i="2"/>
  <c r="L336" i="2"/>
  <c r="K337" i="2"/>
  <c r="L337" i="2" s="1"/>
  <c r="K338" i="2"/>
  <c r="L338" i="2"/>
  <c r="K339" i="2"/>
  <c r="L339" i="2" s="1"/>
  <c r="E340" i="2"/>
  <c r="M340" i="2"/>
  <c r="M611" i="2" s="1"/>
  <c r="K341" i="2"/>
  <c r="L341" i="2" s="1"/>
  <c r="L342" i="2" s="1"/>
  <c r="E342" i="2"/>
  <c r="M342" i="2"/>
  <c r="K343" i="2"/>
  <c r="L343" i="2"/>
  <c r="K344" i="2"/>
  <c r="L344" i="2" s="1"/>
  <c r="K345" i="2"/>
  <c r="L345" i="2"/>
  <c r="K346" i="2"/>
  <c r="L346" i="2" s="1"/>
  <c r="K347" i="2"/>
  <c r="L347" i="2"/>
  <c r="K348" i="2"/>
  <c r="L348" i="2" s="1"/>
  <c r="K349" i="2"/>
  <c r="L349" i="2"/>
  <c r="K350" i="2"/>
  <c r="L350" i="2" s="1"/>
  <c r="K351" i="2"/>
  <c r="L351" i="2"/>
  <c r="K352" i="2"/>
  <c r="L352" i="2" s="1"/>
  <c r="K353" i="2"/>
  <c r="L353" i="2"/>
  <c r="K354" i="2"/>
  <c r="L354" i="2" s="1"/>
  <c r="K355" i="2"/>
  <c r="L355" i="2"/>
  <c r="K356" i="2"/>
  <c r="L356" i="2" s="1"/>
  <c r="K357" i="2"/>
  <c r="L357" i="2"/>
  <c r="K358" i="2"/>
  <c r="L358" i="2" s="1"/>
  <c r="K359" i="2"/>
  <c r="L359" i="2"/>
  <c r="K360" i="2"/>
  <c r="L360" i="2" s="1"/>
  <c r="K361" i="2"/>
  <c r="L361" i="2"/>
  <c r="K362" i="2"/>
  <c r="L362" i="2" s="1"/>
  <c r="K363" i="2"/>
  <c r="L363" i="2"/>
  <c r="K364" i="2"/>
  <c r="L364" i="2" s="1"/>
  <c r="K365" i="2"/>
  <c r="L365" i="2"/>
  <c r="K366" i="2"/>
  <c r="L366" i="2" s="1"/>
  <c r="K367" i="2"/>
  <c r="L367" i="2"/>
  <c r="K368" i="2"/>
  <c r="L368" i="2" s="1"/>
  <c r="K369" i="2"/>
  <c r="L369" i="2"/>
  <c r="E370" i="2"/>
  <c r="M370" i="2"/>
  <c r="K371" i="2"/>
  <c r="L371" i="2"/>
  <c r="K372" i="2"/>
  <c r="L372" i="2" s="1"/>
  <c r="K373" i="2"/>
  <c r="L373" i="2" s="1"/>
  <c r="K374" i="2"/>
  <c r="L374" i="2"/>
  <c r="K375" i="2"/>
  <c r="L375" i="2"/>
  <c r="K376" i="2"/>
  <c r="L376" i="2" s="1"/>
  <c r="K377" i="2"/>
  <c r="L377" i="2" s="1"/>
  <c r="K378" i="2"/>
  <c r="L378" i="2"/>
  <c r="K379" i="2"/>
  <c r="L379" i="2"/>
  <c r="K380" i="2"/>
  <c r="L380" i="2" s="1"/>
  <c r="K381" i="2"/>
  <c r="L381" i="2" s="1"/>
  <c r="K382" i="2"/>
  <c r="L382" i="2"/>
  <c r="E383" i="2"/>
  <c r="M383" i="2"/>
  <c r="K384" i="2"/>
  <c r="L384" i="2"/>
  <c r="K385" i="2"/>
  <c r="L385" i="2" s="1"/>
  <c r="L386" i="2" s="1"/>
  <c r="E386" i="2"/>
  <c r="M386" i="2"/>
  <c r="K387" i="2"/>
  <c r="L387" i="2" s="1"/>
  <c r="L421" i="2" s="1"/>
  <c r="K388" i="2"/>
  <c r="L388" i="2" s="1"/>
  <c r="K389" i="2"/>
  <c r="L389" i="2"/>
  <c r="K390" i="2"/>
  <c r="L390" i="2"/>
  <c r="K391" i="2"/>
  <c r="L391" i="2" s="1"/>
  <c r="K392" i="2"/>
  <c r="L392" i="2" s="1"/>
  <c r="K393" i="2"/>
  <c r="L393" i="2"/>
  <c r="K394" i="2"/>
  <c r="L394" i="2"/>
  <c r="K395" i="2"/>
  <c r="L395" i="2" s="1"/>
  <c r="K396" i="2"/>
  <c r="L396" i="2" s="1"/>
  <c r="K397" i="2"/>
  <c r="L397" i="2"/>
  <c r="K398" i="2"/>
  <c r="L398" i="2"/>
  <c r="K399" i="2"/>
  <c r="L399" i="2" s="1"/>
  <c r="K400" i="2"/>
  <c r="L400" i="2" s="1"/>
  <c r="K401" i="2"/>
  <c r="L401" i="2"/>
  <c r="K402" i="2"/>
  <c r="L402" i="2"/>
  <c r="K403" i="2"/>
  <c r="L403" i="2" s="1"/>
  <c r="K404" i="2"/>
  <c r="L404" i="2" s="1"/>
  <c r="K405" i="2"/>
  <c r="L405" i="2"/>
  <c r="K406" i="2"/>
  <c r="L406" i="2"/>
  <c r="K407" i="2"/>
  <c r="L407" i="2" s="1"/>
  <c r="K408" i="2"/>
  <c r="L408" i="2" s="1"/>
  <c r="K409" i="2"/>
  <c r="L409" i="2"/>
  <c r="K410" i="2"/>
  <c r="L410" i="2"/>
  <c r="K411" i="2"/>
  <c r="L411" i="2" s="1"/>
  <c r="K412" i="2"/>
  <c r="L412" i="2" s="1"/>
  <c r="K413" i="2"/>
  <c r="L413" i="2"/>
  <c r="K414" i="2"/>
  <c r="L414" i="2"/>
  <c r="K415" i="2"/>
  <c r="L415" i="2" s="1"/>
  <c r="K416" i="2"/>
  <c r="L416" i="2" s="1"/>
  <c r="K417" i="2"/>
  <c r="L417" i="2"/>
  <c r="K418" i="2"/>
  <c r="L418" i="2"/>
  <c r="K419" i="2"/>
  <c r="L419" i="2" s="1"/>
  <c r="K420" i="2"/>
  <c r="L420" i="2" s="1"/>
  <c r="E421" i="2"/>
  <c r="M421" i="2"/>
  <c r="K422" i="2"/>
  <c r="L422" i="2" s="1"/>
  <c r="K423" i="2"/>
  <c r="L423" i="2"/>
  <c r="K424" i="2"/>
  <c r="L424" i="2" s="1"/>
  <c r="E425" i="2"/>
  <c r="M425" i="2"/>
  <c r="K426" i="2"/>
  <c r="L426" i="2" s="1"/>
  <c r="K427" i="2"/>
  <c r="L427" i="2" s="1"/>
  <c r="K428" i="2"/>
  <c r="L428" i="2"/>
  <c r="K429" i="2"/>
  <c r="L429" i="2"/>
  <c r="K430" i="2"/>
  <c r="L430" i="2" s="1"/>
  <c r="K431" i="2"/>
  <c r="L431" i="2" s="1"/>
  <c r="K432" i="2"/>
  <c r="L432" i="2"/>
  <c r="K433" i="2"/>
  <c r="L433" i="2"/>
  <c r="K434" i="2"/>
  <c r="L434" i="2" s="1"/>
  <c r="K435" i="2"/>
  <c r="L435" i="2" s="1"/>
  <c r="K436" i="2"/>
  <c r="L436" i="2"/>
  <c r="K437" i="2"/>
  <c r="L437" i="2"/>
  <c r="K438" i="2"/>
  <c r="L438" i="2" s="1"/>
  <c r="K439" i="2"/>
  <c r="L439" i="2" s="1"/>
  <c r="K440" i="2"/>
  <c r="L440" i="2"/>
  <c r="K441" i="2"/>
  <c r="L441" i="2"/>
  <c r="K442" i="2"/>
  <c r="L442" i="2" s="1"/>
  <c r="K443" i="2"/>
  <c r="L443" i="2" s="1"/>
  <c r="K444" i="2"/>
  <c r="L444" i="2"/>
  <c r="K445" i="2"/>
  <c r="L445" i="2"/>
  <c r="K446" i="2"/>
  <c r="L446" i="2" s="1"/>
  <c r="K447" i="2"/>
  <c r="L447" i="2" s="1"/>
  <c r="K448" i="2"/>
  <c r="L448" i="2"/>
  <c r="K449" i="2"/>
  <c r="L449" i="2"/>
  <c r="K450" i="2"/>
  <c r="L450" i="2" s="1"/>
  <c r="K451" i="2"/>
  <c r="L451" i="2" s="1"/>
  <c r="K452" i="2"/>
  <c r="L452" i="2"/>
  <c r="K453" i="2"/>
  <c r="L453" i="2"/>
  <c r="K454" i="2"/>
  <c r="L454" i="2" s="1"/>
  <c r="K455" i="2"/>
  <c r="L455" i="2" s="1"/>
  <c r="K456" i="2"/>
  <c r="L456" i="2"/>
  <c r="K457" i="2"/>
  <c r="L457" i="2"/>
  <c r="E458" i="2"/>
  <c r="M458" i="2"/>
  <c r="K459" i="2"/>
  <c r="L459" i="2" s="1"/>
  <c r="K460" i="2"/>
  <c r="L460" i="2"/>
  <c r="K461" i="2"/>
  <c r="L461" i="2" s="1"/>
  <c r="K462" i="2"/>
  <c r="L462" i="2"/>
  <c r="E463" i="2"/>
  <c r="M463" i="2"/>
  <c r="K464" i="2"/>
  <c r="L464" i="2"/>
  <c r="L466" i="2" s="1"/>
  <c r="K465" i="2"/>
  <c r="L465" i="2"/>
  <c r="E466" i="2"/>
  <c r="M466" i="2"/>
  <c r="K467" i="2"/>
  <c r="L467" i="2"/>
  <c r="K468" i="2"/>
  <c r="L468" i="2" s="1"/>
  <c r="K469" i="2"/>
  <c r="L469" i="2"/>
  <c r="K470" i="2"/>
  <c r="L470" i="2" s="1"/>
  <c r="K471" i="2"/>
  <c r="L471" i="2"/>
  <c r="K472" i="2"/>
  <c r="L472" i="2" s="1"/>
  <c r="E473" i="2"/>
  <c r="M473" i="2"/>
  <c r="K474" i="2"/>
  <c r="L474" i="2"/>
  <c r="K475" i="2"/>
  <c r="L475" i="2"/>
  <c r="L553" i="2" s="1"/>
  <c r="K476" i="2"/>
  <c r="L476" i="2"/>
  <c r="K477" i="2"/>
  <c r="L477" i="2" s="1"/>
  <c r="K478" i="2"/>
  <c r="L478" i="2"/>
  <c r="K479" i="2"/>
  <c r="L479" i="2"/>
  <c r="K480" i="2"/>
  <c r="L480" i="2"/>
  <c r="K481" i="2"/>
  <c r="L481" i="2" s="1"/>
  <c r="K482" i="2"/>
  <c r="L482" i="2"/>
  <c r="K483" i="2"/>
  <c r="L483" i="2"/>
  <c r="K484" i="2"/>
  <c r="L484" i="2"/>
  <c r="K485" i="2"/>
  <c r="L485" i="2" s="1"/>
  <c r="K486" i="2"/>
  <c r="L486" i="2"/>
  <c r="K487" i="2"/>
  <c r="L487" i="2"/>
  <c r="K488" i="2"/>
  <c r="L488" i="2"/>
  <c r="K489" i="2"/>
  <c r="L489" i="2" s="1"/>
  <c r="K490" i="2"/>
  <c r="L490" i="2"/>
  <c r="K491" i="2"/>
  <c r="L491" i="2"/>
  <c r="K492" i="2"/>
  <c r="L492" i="2"/>
  <c r="K493" i="2"/>
  <c r="L493" i="2" s="1"/>
  <c r="K494" i="2"/>
  <c r="L494" i="2"/>
  <c r="K495" i="2"/>
  <c r="L495" i="2"/>
  <c r="K496" i="2"/>
  <c r="L496" i="2"/>
  <c r="K497" i="2"/>
  <c r="L497" i="2" s="1"/>
  <c r="K498" i="2"/>
  <c r="L498" i="2"/>
  <c r="K499" i="2"/>
  <c r="L499" i="2"/>
  <c r="K500" i="2"/>
  <c r="L500" i="2"/>
  <c r="K501" i="2"/>
  <c r="L501" i="2" s="1"/>
  <c r="K502" i="2"/>
  <c r="L502" i="2"/>
  <c r="K503" i="2"/>
  <c r="L503" i="2"/>
  <c r="K504" i="2"/>
  <c r="L504" i="2"/>
  <c r="K505" i="2"/>
  <c r="L505" i="2" s="1"/>
  <c r="K506" i="2"/>
  <c r="L506" i="2"/>
  <c r="K507" i="2"/>
  <c r="L507" i="2"/>
  <c r="K508" i="2"/>
  <c r="L508" i="2"/>
  <c r="K509" i="2"/>
  <c r="L509" i="2" s="1"/>
  <c r="K510" i="2"/>
  <c r="L510" i="2"/>
  <c r="K511" i="2"/>
  <c r="L511" i="2"/>
  <c r="K512" i="2"/>
  <c r="L512" i="2"/>
  <c r="K513" i="2"/>
  <c r="L513" i="2" s="1"/>
  <c r="K514" i="2"/>
  <c r="L514" i="2"/>
  <c r="K515" i="2"/>
  <c r="L515" i="2"/>
  <c r="K516" i="2"/>
  <c r="L516" i="2"/>
  <c r="K517" i="2"/>
  <c r="L517" i="2" s="1"/>
  <c r="K518" i="2"/>
  <c r="L518" i="2"/>
  <c r="K519" i="2"/>
  <c r="L519" i="2"/>
  <c r="K520" i="2"/>
  <c r="L520" i="2"/>
  <c r="K521" i="2"/>
  <c r="L521" i="2" s="1"/>
  <c r="K522" i="2"/>
  <c r="L522" i="2"/>
  <c r="K523" i="2"/>
  <c r="L523" i="2"/>
  <c r="K524" i="2"/>
  <c r="L524" i="2"/>
  <c r="K525" i="2"/>
  <c r="L525" i="2" s="1"/>
  <c r="K526" i="2"/>
  <c r="L526" i="2"/>
  <c r="K527" i="2"/>
  <c r="L527" i="2"/>
  <c r="K528" i="2"/>
  <c r="L528" i="2"/>
  <c r="K529" i="2"/>
  <c r="L529" i="2" s="1"/>
  <c r="K530" i="2"/>
  <c r="L530" i="2"/>
  <c r="K531" i="2"/>
  <c r="L531" i="2"/>
  <c r="K532" i="2"/>
  <c r="L532" i="2"/>
  <c r="K533" i="2"/>
  <c r="L533" i="2" s="1"/>
  <c r="K534" i="2"/>
  <c r="L534" i="2"/>
  <c r="K535" i="2"/>
  <c r="L535" i="2"/>
  <c r="K536" i="2"/>
  <c r="L536" i="2"/>
  <c r="K537" i="2"/>
  <c r="L537" i="2" s="1"/>
  <c r="K538" i="2"/>
  <c r="L538" i="2"/>
  <c r="K539" i="2"/>
  <c r="L539" i="2"/>
  <c r="K540" i="2"/>
  <c r="L540" i="2"/>
  <c r="K541" i="2"/>
  <c r="L541" i="2" s="1"/>
  <c r="K542" i="2"/>
  <c r="L542" i="2"/>
  <c r="K543" i="2"/>
  <c r="L543" i="2"/>
  <c r="K544" i="2"/>
  <c r="L544" i="2"/>
  <c r="K545" i="2"/>
  <c r="L545" i="2" s="1"/>
  <c r="K546" i="2"/>
  <c r="L546" i="2"/>
  <c r="K547" i="2"/>
  <c r="L547" i="2"/>
  <c r="K548" i="2"/>
  <c r="L548" i="2"/>
  <c r="K549" i="2"/>
  <c r="L549" i="2" s="1"/>
  <c r="K550" i="2"/>
  <c r="L550" i="2"/>
  <c r="K551" i="2"/>
  <c r="L551" i="2"/>
  <c r="K552" i="2"/>
  <c r="L552" i="2"/>
  <c r="E553" i="2"/>
  <c r="M553" i="2"/>
  <c r="K554" i="2"/>
  <c r="L554" i="2"/>
  <c r="L555" i="2" s="1"/>
  <c r="E555" i="2"/>
  <c r="M555" i="2"/>
  <c r="K556" i="2"/>
  <c r="L556" i="2" s="1"/>
  <c r="L560" i="2" s="1"/>
  <c r="K557" i="2"/>
  <c r="L557" i="2"/>
  <c r="K558" i="2"/>
  <c r="L558" i="2"/>
  <c r="K559" i="2"/>
  <c r="L559" i="2"/>
  <c r="E560" i="2"/>
  <c r="M560" i="2"/>
  <c r="K561" i="2"/>
  <c r="L561" i="2"/>
  <c r="L573" i="2" s="1"/>
  <c r="K562" i="2"/>
  <c r="L562" i="2" s="1"/>
  <c r="K563" i="2"/>
  <c r="L563" i="2"/>
  <c r="K564" i="2"/>
  <c r="L564" i="2" s="1"/>
  <c r="K565" i="2"/>
  <c r="L565" i="2"/>
  <c r="K566" i="2"/>
  <c r="L566" i="2" s="1"/>
  <c r="K567" i="2"/>
  <c r="L567" i="2"/>
  <c r="K568" i="2"/>
  <c r="L568" i="2" s="1"/>
  <c r="K569" i="2"/>
  <c r="L569" i="2"/>
  <c r="K570" i="2"/>
  <c r="L570" i="2" s="1"/>
  <c r="K571" i="2"/>
  <c r="L571" i="2"/>
  <c r="K572" i="2"/>
  <c r="L572" i="2" s="1"/>
  <c r="E573" i="2"/>
  <c r="M573" i="2"/>
  <c r="K574" i="2"/>
  <c r="L574" i="2"/>
  <c r="K575" i="2"/>
  <c r="L575" i="2" s="1"/>
  <c r="K576" i="2"/>
  <c r="L576" i="2"/>
  <c r="K577" i="2"/>
  <c r="L577" i="2"/>
  <c r="K578" i="2"/>
  <c r="L578" i="2"/>
  <c r="K579" i="2"/>
  <c r="L579" i="2" s="1"/>
  <c r="K580" i="2"/>
  <c r="L580" i="2"/>
  <c r="K581" i="2"/>
  <c r="L581" i="2"/>
  <c r="K582" i="2"/>
  <c r="L582" i="2"/>
  <c r="K583" i="2"/>
  <c r="L583" i="2" s="1"/>
  <c r="K584" i="2"/>
  <c r="L584" i="2"/>
  <c r="K585" i="2"/>
  <c r="L585" i="2"/>
  <c r="K586" i="2"/>
  <c r="L586" i="2"/>
  <c r="K587" i="2"/>
  <c r="L587" i="2" s="1"/>
  <c r="K588" i="2"/>
  <c r="L588" i="2"/>
  <c r="K589" i="2"/>
  <c r="L589" i="2"/>
  <c r="K590" i="2"/>
  <c r="L590" i="2"/>
  <c r="K591" i="2"/>
  <c r="L591" i="2" s="1"/>
  <c r="K592" i="2"/>
  <c r="L592" i="2"/>
  <c r="K593" i="2"/>
  <c r="L593" i="2"/>
  <c r="K594" i="2"/>
  <c r="L594" i="2"/>
  <c r="K595" i="2"/>
  <c r="L595" i="2" s="1"/>
  <c r="K596" i="2"/>
  <c r="L596" i="2"/>
  <c r="K597" i="2"/>
  <c r="L597" i="2"/>
  <c r="K598" i="2"/>
  <c r="L598" i="2"/>
  <c r="K599" i="2"/>
  <c r="L599" i="2" s="1"/>
  <c r="K600" i="2"/>
  <c r="L600" i="2"/>
  <c r="K601" i="2"/>
  <c r="L601" i="2"/>
  <c r="K602" i="2"/>
  <c r="L602" i="2"/>
  <c r="K603" i="2"/>
  <c r="L603" i="2" s="1"/>
  <c r="K604" i="2"/>
  <c r="L604" i="2"/>
  <c r="K605" i="2"/>
  <c r="L605" i="2"/>
  <c r="K606" i="2"/>
  <c r="L606" i="2"/>
  <c r="K607" i="2"/>
  <c r="L607" i="2" s="1"/>
  <c r="K608" i="2"/>
  <c r="L608" i="2"/>
  <c r="E609" i="2"/>
  <c r="M609" i="2"/>
  <c r="L609" i="2" l="1"/>
  <c r="L370" i="2"/>
  <c r="L425" i="2"/>
  <c r="L340" i="2"/>
  <c r="L463" i="2"/>
  <c r="L473" i="2"/>
  <c r="L152" i="2"/>
  <c r="L96" i="2"/>
  <c r="L458" i="2"/>
  <c r="L383" i="2"/>
  <c r="L213" i="2"/>
  <c r="L41" i="2"/>
  <c r="L35" i="2"/>
  <c r="L611" i="2" s="1"/>
  <c r="M540" i="1"/>
  <c r="E540" i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L516" i="1"/>
  <c r="K516" i="1"/>
  <c r="K515" i="1"/>
  <c r="L515" i="1" s="1"/>
  <c r="L514" i="1"/>
  <c r="K514" i="1"/>
  <c r="K513" i="1"/>
  <c r="L513" i="1" s="1"/>
  <c r="L512" i="1"/>
  <c r="K512" i="1"/>
  <c r="K511" i="1"/>
  <c r="L511" i="1" s="1"/>
  <c r="M510" i="1"/>
  <c r="E510" i="1"/>
  <c r="L509" i="1"/>
  <c r="K509" i="1"/>
  <c r="K508" i="1"/>
  <c r="L508" i="1" s="1"/>
  <c r="L507" i="1"/>
  <c r="K507" i="1"/>
  <c r="K506" i="1"/>
  <c r="L506" i="1" s="1"/>
  <c r="L505" i="1"/>
  <c r="K505" i="1"/>
  <c r="K504" i="1"/>
  <c r="L504" i="1" s="1"/>
  <c r="K503" i="1"/>
  <c r="L503" i="1" s="1"/>
  <c r="K502" i="1"/>
  <c r="L502" i="1" s="1"/>
  <c r="K501" i="1"/>
  <c r="L501" i="1" s="1"/>
  <c r="K500" i="1"/>
  <c r="L500" i="1" s="1"/>
  <c r="L499" i="1"/>
  <c r="K499" i="1"/>
  <c r="M498" i="1"/>
  <c r="E498" i="1"/>
  <c r="L497" i="1"/>
  <c r="K497" i="1"/>
  <c r="K496" i="1"/>
  <c r="L496" i="1" s="1"/>
  <c r="K495" i="1"/>
  <c r="L495" i="1" s="1"/>
  <c r="K494" i="1"/>
  <c r="L494" i="1" s="1"/>
  <c r="M493" i="1"/>
  <c r="E493" i="1"/>
  <c r="L492" i="1"/>
  <c r="L493" i="1" s="1"/>
  <c r="K492" i="1"/>
  <c r="M491" i="1"/>
  <c r="E491" i="1"/>
  <c r="L490" i="1"/>
  <c r="K490" i="1"/>
  <c r="K489" i="1"/>
  <c r="L489" i="1" s="1"/>
  <c r="K488" i="1"/>
  <c r="L488" i="1" s="1"/>
  <c r="K487" i="1"/>
  <c r="L487" i="1" s="1"/>
  <c r="L486" i="1"/>
  <c r="K486" i="1"/>
  <c r="K485" i="1"/>
  <c r="L485" i="1" s="1"/>
  <c r="K484" i="1"/>
  <c r="L484" i="1" s="1"/>
  <c r="K483" i="1"/>
  <c r="L483" i="1" s="1"/>
  <c r="L482" i="1"/>
  <c r="K482" i="1"/>
  <c r="K481" i="1"/>
  <c r="L481" i="1" s="1"/>
  <c r="L480" i="1"/>
  <c r="K480" i="1"/>
  <c r="K479" i="1"/>
  <c r="L479" i="1" s="1"/>
  <c r="K478" i="1"/>
  <c r="L478" i="1" s="1"/>
  <c r="K477" i="1"/>
  <c r="L477" i="1" s="1"/>
  <c r="K476" i="1"/>
  <c r="L476" i="1" s="1"/>
  <c r="K475" i="1"/>
  <c r="L475" i="1" s="1"/>
  <c r="L474" i="1"/>
  <c r="K474" i="1"/>
  <c r="K473" i="1"/>
  <c r="L473" i="1" s="1"/>
  <c r="K472" i="1"/>
  <c r="L472" i="1" s="1"/>
  <c r="K471" i="1"/>
  <c r="L471" i="1" s="1"/>
  <c r="L470" i="1"/>
  <c r="K470" i="1"/>
  <c r="K469" i="1"/>
  <c r="L469" i="1" s="1"/>
  <c r="K468" i="1"/>
  <c r="L468" i="1" s="1"/>
  <c r="K467" i="1"/>
  <c r="L467" i="1" s="1"/>
  <c r="L466" i="1"/>
  <c r="K466" i="1"/>
  <c r="K465" i="1"/>
  <c r="L465" i="1" s="1"/>
  <c r="L464" i="1"/>
  <c r="K464" i="1"/>
  <c r="K463" i="1"/>
  <c r="L463" i="1" s="1"/>
  <c r="K462" i="1"/>
  <c r="L462" i="1" s="1"/>
  <c r="K461" i="1"/>
  <c r="L461" i="1" s="1"/>
  <c r="K460" i="1"/>
  <c r="L460" i="1" s="1"/>
  <c r="K459" i="1"/>
  <c r="L459" i="1" s="1"/>
  <c r="L458" i="1"/>
  <c r="K458" i="1"/>
  <c r="K457" i="1"/>
  <c r="L457" i="1" s="1"/>
  <c r="K456" i="1"/>
  <c r="L456" i="1" s="1"/>
  <c r="K455" i="1"/>
  <c r="L455" i="1" s="1"/>
  <c r="L454" i="1"/>
  <c r="K454" i="1"/>
  <c r="K453" i="1"/>
  <c r="L453" i="1" s="1"/>
  <c r="K452" i="1"/>
  <c r="L452" i="1" s="1"/>
  <c r="K451" i="1"/>
  <c r="L451" i="1" s="1"/>
  <c r="L450" i="1"/>
  <c r="K450" i="1"/>
  <c r="K449" i="1"/>
  <c r="L449" i="1" s="1"/>
  <c r="L448" i="1"/>
  <c r="K448" i="1"/>
  <c r="K447" i="1"/>
  <c r="L447" i="1" s="1"/>
  <c r="K446" i="1"/>
  <c r="L446" i="1" s="1"/>
  <c r="K445" i="1"/>
  <c r="L445" i="1" s="1"/>
  <c r="K444" i="1"/>
  <c r="L444" i="1" s="1"/>
  <c r="K443" i="1"/>
  <c r="L443" i="1" s="1"/>
  <c r="L442" i="1"/>
  <c r="K442" i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L434" i="1"/>
  <c r="K434" i="1"/>
  <c r="K433" i="1"/>
  <c r="L433" i="1" s="1"/>
  <c r="L432" i="1"/>
  <c r="K432" i="1"/>
  <c r="K431" i="1"/>
  <c r="L431" i="1" s="1"/>
  <c r="K430" i="1"/>
  <c r="L430" i="1" s="1"/>
  <c r="K429" i="1"/>
  <c r="L429" i="1" s="1"/>
  <c r="K428" i="1"/>
  <c r="L428" i="1" s="1"/>
  <c r="K427" i="1"/>
  <c r="L427" i="1" s="1"/>
  <c r="L426" i="1"/>
  <c r="K426" i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M418" i="1"/>
  <c r="E418" i="1"/>
  <c r="K417" i="1"/>
  <c r="L417" i="1" s="1"/>
  <c r="K416" i="1"/>
  <c r="L416" i="1" s="1"/>
  <c r="K415" i="1"/>
  <c r="L415" i="1" s="1"/>
  <c r="K414" i="1"/>
  <c r="L414" i="1" s="1"/>
  <c r="M413" i="1"/>
  <c r="L413" i="1"/>
  <c r="E413" i="1"/>
  <c r="K412" i="1"/>
  <c r="L412" i="1" s="1"/>
  <c r="M411" i="1"/>
  <c r="E411" i="1"/>
  <c r="K410" i="1"/>
  <c r="L410" i="1" s="1"/>
  <c r="K409" i="1"/>
  <c r="L409" i="1" s="1"/>
  <c r="K408" i="1"/>
  <c r="L408" i="1" s="1"/>
  <c r="M407" i="1"/>
  <c r="E407" i="1"/>
  <c r="L406" i="1"/>
  <c r="K406" i="1"/>
  <c r="K405" i="1"/>
  <c r="L405" i="1" s="1"/>
  <c r="K404" i="1"/>
  <c r="L404" i="1" s="1"/>
  <c r="K403" i="1"/>
  <c r="L403" i="1" s="1"/>
  <c r="K402" i="1"/>
  <c r="L402" i="1" s="1"/>
  <c r="K401" i="1"/>
  <c r="L401" i="1" s="1"/>
  <c r="L400" i="1"/>
  <c r="K400" i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L392" i="1"/>
  <c r="K392" i="1"/>
  <c r="K391" i="1"/>
  <c r="L391" i="1" s="1"/>
  <c r="L390" i="1"/>
  <c r="K390" i="1"/>
  <c r="K389" i="1"/>
  <c r="L389" i="1" s="1"/>
  <c r="K388" i="1"/>
  <c r="L388" i="1" s="1"/>
  <c r="K387" i="1"/>
  <c r="L387" i="1" s="1"/>
  <c r="K386" i="1"/>
  <c r="L386" i="1" s="1"/>
  <c r="K385" i="1"/>
  <c r="L385" i="1" s="1"/>
  <c r="L384" i="1"/>
  <c r="K384" i="1"/>
  <c r="K383" i="1"/>
  <c r="L383" i="1" s="1"/>
  <c r="K382" i="1"/>
  <c r="L382" i="1" s="1"/>
  <c r="K381" i="1"/>
  <c r="L381" i="1" s="1"/>
  <c r="K380" i="1"/>
  <c r="L380" i="1" s="1"/>
  <c r="M379" i="1"/>
  <c r="E379" i="1"/>
  <c r="K378" i="1"/>
  <c r="L378" i="1" s="1"/>
  <c r="K377" i="1"/>
  <c r="L377" i="1" s="1"/>
  <c r="K376" i="1"/>
  <c r="L376" i="1" s="1"/>
  <c r="M375" i="1"/>
  <c r="E375" i="1"/>
  <c r="K374" i="1"/>
  <c r="L374" i="1" s="1"/>
  <c r="K373" i="1"/>
  <c r="L373" i="1" s="1"/>
  <c r="K372" i="1"/>
  <c r="L372" i="1" s="1"/>
  <c r="L371" i="1"/>
  <c r="K371" i="1"/>
  <c r="K370" i="1"/>
  <c r="L370" i="1" s="1"/>
  <c r="L369" i="1"/>
  <c r="K369" i="1"/>
  <c r="K368" i="1"/>
  <c r="L368" i="1" s="1"/>
  <c r="K367" i="1"/>
  <c r="L367" i="1" s="1"/>
  <c r="K366" i="1"/>
  <c r="L366" i="1" s="1"/>
  <c r="L365" i="1"/>
  <c r="K365" i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L355" i="1"/>
  <c r="K355" i="1"/>
  <c r="K354" i="1"/>
  <c r="L354" i="1" s="1"/>
  <c r="L353" i="1"/>
  <c r="K353" i="1"/>
  <c r="K352" i="1"/>
  <c r="L352" i="1" s="1"/>
  <c r="M351" i="1"/>
  <c r="E351" i="1"/>
  <c r="L350" i="1"/>
  <c r="K350" i="1"/>
  <c r="K349" i="1"/>
  <c r="L349" i="1" s="1"/>
  <c r="M348" i="1"/>
  <c r="E348" i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M335" i="1"/>
  <c r="E335" i="1"/>
  <c r="L334" i="1"/>
  <c r="K334" i="1"/>
  <c r="K333" i="1"/>
  <c r="L333" i="1" s="1"/>
  <c r="K332" i="1"/>
  <c r="L332" i="1" s="1"/>
  <c r="L331" i="1"/>
  <c r="K331" i="1"/>
  <c r="L330" i="1"/>
  <c r="K330" i="1"/>
  <c r="K329" i="1"/>
  <c r="L329" i="1" s="1"/>
  <c r="K328" i="1"/>
  <c r="L328" i="1" s="1"/>
  <c r="L327" i="1"/>
  <c r="K327" i="1"/>
  <c r="L326" i="1"/>
  <c r="K326" i="1"/>
  <c r="K325" i="1"/>
  <c r="L325" i="1" s="1"/>
  <c r="K324" i="1"/>
  <c r="L324" i="1" s="1"/>
  <c r="L323" i="1"/>
  <c r="K323" i="1"/>
  <c r="L322" i="1"/>
  <c r="K322" i="1"/>
  <c r="K321" i="1"/>
  <c r="L321" i="1" s="1"/>
  <c r="K320" i="1"/>
  <c r="L320" i="1" s="1"/>
  <c r="L319" i="1"/>
  <c r="K319" i="1"/>
  <c r="L318" i="1"/>
  <c r="K318" i="1"/>
  <c r="K317" i="1"/>
  <c r="L317" i="1" s="1"/>
  <c r="K316" i="1"/>
  <c r="L316" i="1" s="1"/>
  <c r="L315" i="1"/>
  <c r="K315" i="1"/>
  <c r="L314" i="1"/>
  <c r="K314" i="1"/>
  <c r="K313" i="1"/>
  <c r="L313" i="1" s="1"/>
  <c r="K312" i="1"/>
  <c r="L312" i="1" s="1"/>
  <c r="L311" i="1"/>
  <c r="K311" i="1"/>
  <c r="L310" i="1"/>
  <c r="K310" i="1"/>
  <c r="M309" i="1"/>
  <c r="E309" i="1"/>
  <c r="K308" i="1"/>
  <c r="L308" i="1" s="1"/>
  <c r="L309" i="1" s="1"/>
  <c r="M307" i="1"/>
  <c r="E307" i="1"/>
  <c r="K306" i="1"/>
  <c r="L306" i="1" s="1"/>
  <c r="K305" i="1"/>
  <c r="L305" i="1" s="1"/>
  <c r="L304" i="1"/>
  <c r="K304" i="1"/>
  <c r="K303" i="1"/>
  <c r="L303" i="1" s="1"/>
  <c r="K302" i="1"/>
  <c r="L302" i="1" s="1"/>
  <c r="K301" i="1"/>
  <c r="L301" i="1" s="1"/>
  <c r="L300" i="1"/>
  <c r="K300" i="1"/>
  <c r="K299" i="1"/>
  <c r="L299" i="1" s="1"/>
  <c r="K298" i="1"/>
  <c r="L298" i="1" s="1"/>
  <c r="K297" i="1"/>
  <c r="L297" i="1" s="1"/>
  <c r="L296" i="1"/>
  <c r="K296" i="1"/>
  <c r="K295" i="1"/>
  <c r="L295" i="1" s="1"/>
  <c r="K294" i="1"/>
  <c r="L294" i="1" s="1"/>
  <c r="K293" i="1"/>
  <c r="L293" i="1" s="1"/>
  <c r="L292" i="1"/>
  <c r="K292" i="1"/>
  <c r="K291" i="1"/>
  <c r="L291" i="1" s="1"/>
  <c r="K290" i="1"/>
  <c r="L290" i="1" s="1"/>
  <c r="K289" i="1"/>
  <c r="L289" i="1" s="1"/>
  <c r="L288" i="1"/>
  <c r="K288" i="1"/>
  <c r="K287" i="1"/>
  <c r="L287" i="1" s="1"/>
  <c r="K286" i="1"/>
  <c r="L286" i="1" s="1"/>
  <c r="K285" i="1"/>
  <c r="L285" i="1" s="1"/>
  <c r="L284" i="1"/>
  <c r="K284" i="1"/>
  <c r="K283" i="1"/>
  <c r="L283" i="1" s="1"/>
  <c r="K282" i="1"/>
  <c r="L282" i="1" s="1"/>
  <c r="K281" i="1"/>
  <c r="L281" i="1" s="1"/>
  <c r="L280" i="1"/>
  <c r="K280" i="1"/>
  <c r="K279" i="1"/>
  <c r="L279" i="1" s="1"/>
  <c r="K278" i="1"/>
  <c r="L278" i="1" s="1"/>
  <c r="K277" i="1"/>
  <c r="L277" i="1" s="1"/>
  <c r="L276" i="1"/>
  <c r="K276" i="1"/>
  <c r="K275" i="1"/>
  <c r="L275" i="1" s="1"/>
  <c r="K274" i="1"/>
  <c r="L274" i="1" s="1"/>
  <c r="K273" i="1"/>
  <c r="L273" i="1" s="1"/>
  <c r="L272" i="1"/>
  <c r="K272" i="1"/>
  <c r="K271" i="1"/>
  <c r="L271" i="1" s="1"/>
  <c r="K270" i="1"/>
  <c r="L270" i="1" s="1"/>
  <c r="K269" i="1"/>
  <c r="L269" i="1" s="1"/>
  <c r="L268" i="1"/>
  <c r="K268" i="1"/>
  <c r="K267" i="1"/>
  <c r="L267" i="1" s="1"/>
  <c r="K266" i="1"/>
  <c r="L266" i="1" s="1"/>
  <c r="K265" i="1"/>
  <c r="L265" i="1" s="1"/>
  <c r="L264" i="1"/>
  <c r="K264" i="1"/>
  <c r="K263" i="1"/>
  <c r="L263" i="1" s="1"/>
  <c r="K262" i="1"/>
  <c r="L262" i="1" s="1"/>
  <c r="K261" i="1"/>
  <c r="L261" i="1" s="1"/>
  <c r="L260" i="1"/>
  <c r="K260" i="1"/>
  <c r="K259" i="1"/>
  <c r="L259" i="1" s="1"/>
  <c r="K258" i="1"/>
  <c r="L258" i="1" s="1"/>
  <c r="K257" i="1"/>
  <c r="L257" i="1" s="1"/>
  <c r="L256" i="1"/>
  <c r="K256" i="1"/>
  <c r="K255" i="1"/>
  <c r="L255" i="1" s="1"/>
  <c r="K254" i="1"/>
  <c r="L254" i="1" s="1"/>
  <c r="K253" i="1"/>
  <c r="L253" i="1" s="1"/>
  <c r="L252" i="1"/>
  <c r="K252" i="1"/>
  <c r="K251" i="1"/>
  <c r="L251" i="1" s="1"/>
  <c r="K250" i="1"/>
  <c r="L250" i="1" s="1"/>
  <c r="K249" i="1"/>
  <c r="L249" i="1" s="1"/>
  <c r="L248" i="1"/>
  <c r="K248" i="1"/>
  <c r="K247" i="1"/>
  <c r="L247" i="1" s="1"/>
  <c r="K246" i="1"/>
  <c r="L246" i="1" s="1"/>
  <c r="K245" i="1"/>
  <c r="L245" i="1" s="1"/>
  <c r="L244" i="1"/>
  <c r="K244" i="1"/>
  <c r="K243" i="1"/>
  <c r="L243" i="1" s="1"/>
  <c r="K242" i="1"/>
  <c r="L242" i="1" s="1"/>
  <c r="K241" i="1"/>
  <c r="L241" i="1" s="1"/>
  <c r="L240" i="1"/>
  <c r="K240" i="1"/>
  <c r="K239" i="1"/>
  <c r="L239" i="1" s="1"/>
  <c r="K238" i="1"/>
  <c r="L238" i="1" s="1"/>
  <c r="K237" i="1"/>
  <c r="L237" i="1" s="1"/>
  <c r="L236" i="1"/>
  <c r="K236" i="1"/>
  <c r="K235" i="1"/>
  <c r="L235" i="1" s="1"/>
  <c r="K234" i="1"/>
  <c r="L234" i="1" s="1"/>
  <c r="K233" i="1"/>
  <c r="L233" i="1" s="1"/>
  <c r="L232" i="1"/>
  <c r="K232" i="1"/>
  <c r="K231" i="1"/>
  <c r="L231" i="1" s="1"/>
  <c r="K230" i="1"/>
  <c r="L230" i="1" s="1"/>
  <c r="K229" i="1"/>
  <c r="L229" i="1" s="1"/>
  <c r="L228" i="1"/>
  <c r="K228" i="1"/>
  <c r="K227" i="1"/>
  <c r="L227" i="1" s="1"/>
  <c r="K226" i="1"/>
  <c r="L226" i="1" s="1"/>
  <c r="K225" i="1"/>
  <c r="L225" i="1" s="1"/>
  <c r="L224" i="1"/>
  <c r="K224" i="1"/>
  <c r="K223" i="1"/>
  <c r="L223" i="1" s="1"/>
  <c r="K222" i="1"/>
  <c r="L222" i="1" s="1"/>
  <c r="K221" i="1"/>
  <c r="L221" i="1" s="1"/>
  <c r="L220" i="1"/>
  <c r="K220" i="1"/>
  <c r="K219" i="1"/>
  <c r="L219" i="1" s="1"/>
  <c r="K218" i="1"/>
  <c r="L218" i="1" s="1"/>
  <c r="K217" i="1"/>
  <c r="L217" i="1" s="1"/>
  <c r="L216" i="1"/>
  <c r="K216" i="1"/>
  <c r="K215" i="1"/>
  <c r="L215" i="1" s="1"/>
  <c r="K214" i="1"/>
  <c r="L214" i="1" s="1"/>
  <c r="K213" i="1"/>
  <c r="L213" i="1" s="1"/>
  <c r="L212" i="1"/>
  <c r="K212" i="1"/>
  <c r="K211" i="1"/>
  <c r="L211" i="1" s="1"/>
  <c r="K210" i="1"/>
  <c r="L210" i="1" s="1"/>
  <c r="K209" i="1"/>
  <c r="L209" i="1" s="1"/>
  <c r="L208" i="1"/>
  <c r="K208" i="1"/>
  <c r="K207" i="1"/>
  <c r="L207" i="1" s="1"/>
  <c r="K206" i="1"/>
  <c r="L206" i="1" s="1"/>
  <c r="K205" i="1"/>
  <c r="L205" i="1" s="1"/>
  <c r="L204" i="1"/>
  <c r="K204" i="1"/>
  <c r="K203" i="1"/>
  <c r="L203" i="1" s="1"/>
  <c r="K202" i="1"/>
  <c r="L202" i="1" s="1"/>
  <c r="K201" i="1"/>
  <c r="L201" i="1" s="1"/>
  <c r="L200" i="1"/>
  <c r="K200" i="1"/>
  <c r="K199" i="1"/>
  <c r="L199" i="1" s="1"/>
  <c r="K198" i="1"/>
  <c r="L198" i="1" s="1"/>
  <c r="K197" i="1"/>
  <c r="L197" i="1" s="1"/>
  <c r="L196" i="1"/>
  <c r="K196" i="1"/>
  <c r="K195" i="1"/>
  <c r="L195" i="1" s="1"/>
  <c r="L307" i="1" s="1"/>
  <c r="M194" i="1"/>
  <c r="E194" i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M145" i="1"/>
  <c r="E145" i="1"/>
  <c r="L144" i="1"/>
  <c r="K144" i="1"/>
  <c r="K143" i="1"/>
  <c r="L143" i="1" s="1"/>
  <c r="K142" i="1"/>
  <c r="L142" i="1" s="1"/>
  <c r="K141" i="1"/>
  <c r="L141" i="1" s="1"/>
  <c r="L140" i="1"/>
  <c r="K140" i="1"/>
  <c r="K139" i="1"/>
  <c r="L139" i="1" s="1"/>
  <c r="K138" i="1"/>
  <c r="L138" i="1" s="1"/>
  <c r="K137" i="1"/>
  <c r="L137" i="1" s="1"/>
  <c r="L136" i="1"/>
  <c r="K136" i="1"/>
  <c r="K135" i="1"/>
  <c r="L135" i="1" s="1"/>
  <c r="K134" i="1"/>
  <c r="L134" i="1" s="1"/>
  <c r="K133" i="1"/>
  <c r="L133" i="1" s="1"/>
  <c r="L132" i="1"/>
  <c r="K132" i="1"/>
  <c r="K131" i="1"/>
  <c r="L131" i="1" s="1"/>
  <c r="K130" i="1"/>
  <c r="L130" i="1" s="1"/>
  <c r="K129" i="1"/>
  <c r="L129" i="1" s="1"/>
  <c r="L128" i="1"/>
  <c r="K128" i="1"/>
  <c r="K127" i="1"/>
  <c r="L127" i="1" s="1"/>
  <c r="K126" i="1"/>
  <c r="L126" i="1" s="1"/>
  <c r="K125" i="1"/>
  <c r="L125" i="1" s="1"/>
  <c r="L124" i="1"/>
  <c r="K124" i="1"/>
  <c r="K123" i="1"/>
  <c r="L123" i="1" s="1"/>
  <c r="K122" i="1"/>
  <c r="L122" i="1" s="1"/>
  <c r="K121" i="1"/>
  <c r="L121" i="1" s="1"/>
  <c r="L120" i="1"/>
  <c r="K120" i="1"/>
  <c r="K119" i="1"/>
  <c r="L119" i="1" s="1"/>
  <c r="K118" i="1"/>
  <c r="L118" i="1" s="1"/>
  <c r="K117" i="1"/>
  <c r="L117" i="1" s="1"/>
  <c r="L116" i="1"/>
  <c r="K116" i="1"/>
  <c r="K115" i="1"/>
  <c r="L115" i="1" s="1"/>
  <c r="K114" i="1"/>
  <c r="L114" i="1" s="1"/>
  <c r="K113" i="1"/>
  <c r="L113" i="1" s="1"/>
  <c r="L112" i="1"/>
  <c r="K112" i="1"/>
  <c r="K111" i="1"/>
  <c r="L111" i="1" s="1"/>
  <c r="K110" i="1"/>
  <c r="L110" i="1" s="1"/>
  <c r="K109" i="1"/>
  <c r="L109" i="1" s="1"/>
  <c r="L108" i="1"/>
  <c r="K108" i="1"/>
  <c r="K107" i="1"/>
  <c r="L107" i="1" s="1"/>
  <c r="K106" i="1"/>
  <c r="L106" i="1" s="1"/>
  <c r="K105" i="1"/>
  <c r="L105" i="1" s="1"/>
  <c r="L104" i="1"/>
  <c r="K104" i="1"/>
  <c r="K103" i="1"/>
  <c r="L103" i="1" s="1"/>
  <c r="K102" i="1"/>
  <c r="L102" i="1" s="1"/>
  <c r="K101" i="1"/>
  <c r="L101" i="1" s="1"/>
  <c r="L100" i="1"/>
  <c r="K100" i="1"/>
  <c r="K99" i="1"/>
  <c r="L99" i="1" s="1"/>
  <c r="K98" i="1"/>
  <c r="L98" i="1" s="1"/>
  <c r="K97" i="1"/>
  <c r="L97" i="1" s="1"/>
  <c r="L96" i="1"/>
  <c r="K96" i="1"/>
  <c r="K95" i="1"/>
  <c r="L95" i="1" s="1"/>
  <c r="K94" i="1"/>
  <c r="L94" i="1" s="1"/>
  <c r="K93" i="1"/>
  <c r="L93" i="1" s="1"/>
  <c r="L92" i="1"/>
  <c r="K92" i="1"/>
  <c r="M91" i="1"/>
  <c r="E91" i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M41" i="1"/>
  <c r="E41" i="1"/>
  <c r="K40" i="1"/>
  <c r="L40" i="1" s="1"/>
  <c r="K39" i="1"/>
  <c r="L39" i="1" s="1"/>
  <c r="L38" i="1"/>
  <c r="K38" i="1"/>
  <c r="K37" i="1"/>
  <c r="L37" i="1" s="1"/>
  <c r="L41" i="1" s="1"/>
  <c r="K36" i="1"/>
  <c r="L36" i="1" s="1"/>
  <c r="M35" i="1"/>
  <c r="E35" i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L407" i="1" l="1"/>
  <c r="L335" i="1"/>
  <c r="L375" i="1"/>
  <c r="L411" i="1"/>
  <c r="L510" i="1"/>
  <c r="L348" i="1"/>
  <c r="L145" i="1"/>
  <c r="M542" i="1"/>
  <c r="L379" i="1"/>
  <c r="L91" i="1"/>
  <c r="L35" i="1"/>
  <c r="L542" i="1" s="1"/>
  <c r="L194" i="1"/>
  <c r="L418" i="1"/>
  <c r="L491" i="1"/>
  <c r="E542" i="1"/>
  <c r="L351" i="1"/>
  <c r="L540" i="1"/>
  <c r="L498" i="1"/>
</calcChain>
</file>

<file path=xl/sharedStrings.xml><?xml version="1.0" encoding="utf-8"?>
<sst xmlns="http://schemas.openxmlformats.org/spreadsheetml/2006/main" count="39352" uniqueCount="478">
  <si>
    <t>申請月份:</t>
    <phoneticPr fontId="4" type="noConversion"/>
  </si>
  <si>
    <t>單位：元</t>
    <phoneticPr fontId="2" type="noConversion"/>
  </si>
  <si>
    <t>銀行代號
及名稱</t>
    <phoneticPr fontId="4" type="noConversion"/>
  </si>
  <si>
    <t>編號</t>
    <phoneticPr fontId="4" type="noConversion"/>
  </si>
  <si>
    <t>借款人姓名</t>
    <phoneticPr fontId="4" type="noConversion"/>
  </si>
  <si>
    <t>統一編號</t>
    <phoneticPr fontId="4" type="noConversion"/>
  </si>
  <si>
    <t>原貸金額</t>
    <phoneticPr fontId="4" type="noConversion"/>
  </si>
  <si>
    <t>初貸日期</t>
    <phoneticPr fontId="4" type="noConversion"/>
  </si>
  <si>
    <t>實際
貸款餘額</t>
    <phoneticPr fontId="4" type="noConversion"/>
  </si>
  <si>
    <t>年利率</t>
    <phoneticPr fontId="4" type="noConversion"/>
  </si>
  <si>
    <t>起日</t>
    <phoneticPr fontId="4" type="noConversion"/>
  </si>
  <si>
    <t>迄日</t>
    <phoneticPr fontId="4" type="noConversion"/>
  </si>
  <si>
    <t>實際貸
放天數</t>
    <phoneticPr fontId="4" type="noConversion"/>
  </si>
  <si>
    <t>手續費
金額</t>
    <phoneticPr fontId="4" type="noConversion"/>
  </si>
  <si>
    <t>月底
餘額</t>
    <phoneticPr fontId="4" type="noConversion"/>
  </si>
  <si>
    <t>004_台灣銀行</t>
  </si>
  <si>
    <t>1</t>
  </si>
  <si>
    <t>長亨精密(股)公司</t>
  </si>
  <si>
    <t>22540430</t>
  </si>
  <si>
    <t>10</t>
  </si>
  <si>
    <t>穩懋半導體(股)公司</t>
  </si>
  <si>
    <t>70752257</t>
  </si>
  <si>
    <t>11</t>
  </si>
  <si>
    <t>恩德科技(股)公司</t>
  </si>
  <si>
    <t>11551634</t>
  </si>
  <si>
    <t>12</t>
  </si>
  <si>
    <t>13</t>
  </si>
  <si>
    <t>輝庭企業(股)公司</t>
  </si>
  <si>
    <t>23276373</t>
  </si>
  <si>
    <t>14</t>
  </si>
  <si>
    <t>閎康科技(股)公司</t>
  </si>
  <si>
    <t>79959286</t>
  </si>
  <si>
    <t>15</t>
  </si>
  <si>
    <t>16</t>
  </si>
  <si>
    <t>17</t>
  </si>
  <si>
    <t>18</t>
  </si>
  <si>
    <t>19</t>
  </si>
  <si>
    <t>禾伸堂企業(股)公司</t>
  </si>
  <si>
    <t>20891326</t>
  </si>
  <si>
    <t>2</t>
  </si>
  <si>
    <t>20</t>
  </si>
  <si>
    <t>21</t>
  </si>
  <si>
    <t>22</t>
  </si>
  <si>
    <t>23</t>
  </si>
  <si>
    <t>24</t>
  </si>
  <si>
    <t>大銀微系統(股)公司</t>
  </si>
  <si>
    <t>97413843</t>
  </si>
  <si>
    <t>25</t>
  </si>
  <si>
    <t>台灣卜蜂企業(股)公司</t>
  </si>
  <si>
    <t>36514783</t>
  </si>
  <si>
    <t>26</t>
  </si>
  <si>
    <t>27</t>
  </si>
  <si>
    <t>28</t>
  </si>
  <si>
    <t>29</t>
  </si>
  <si>
    <t>3</t>
  </si>
  <si>
    <t>至盈實業(股)公司</t>
  </si>
  <si>
    <t>07931248</t>
  </si>
  <si>
    <t>30</t>
  </si>
  <si>
    <t>31</t>
  </si>
  <si>
    <t>4</t>
  </si>
  <si>
    <t>牧德科技(股)公司</t>
  </si>
  <si>
    <t>16522758</t>
  </si>
  <si>
    <t>5</t>
  </si>
  <si>
    <t>6</t>
  </si>
  <si>
    <t>7</t>
  </si>
  <si>
    <t>8</t>
  </si>
  <si>
    <t>東隆興業(股)公司</t>
  </si>
  <si>
    <t>18770509</t>
  </si>
  <si>
    <t>9</t>
  </si>
  <si>
    <t>004_台灣銀行 合計</t>
  </si>
  <si>
    <t>005_土地銀行</t>
  </si>
  <si>
    <t>天陽航太科技(股)公司</t>
  </si>
  <si>
    <t>28631817</t>
  </si>
  <si>
    <t>台灣之星電信(股)公司</t>
  </si>
  <si>
    <t>70769567</t>
  </si>
  <si>
    <t>誠遠科技(股)公司</t>
  </si>
  <si>
    <t>86567588</t>
  </si>
  <si>
    <t>005_土地銀行 合計</t>
  </si>
  <si>
    <t>006_合作金庫</t>
  </si>
  <si>
    <t>全球傳動科技(股)公司</t>
  </si>
  <si>
    <t>29168533</t>
  </si>
  <si>
    <t>龍德造船工業(股)公司</t>
  </si>
  <si>
    <t>40607762</t>
  </si>
  <si>
    <t>全智科技(股)公司</t>
  </si>
  <si>
    <t>70716371</t>
  </si>
  <si>
    <t>樹德企業(股)公司</t>
  </si>
  <si>
    <t>12780635</t>
  </si>
  <si>
    <t>鐿鈦科技(股)公司</t>
  </si>
  <si>
    <t>27473348</t>
  </si>
  <si>
    <t>健豪印刷事業(股)公司</t>
  </si>
  <si>
    <t>16332027</t>
  </si>
  <si>
    <t>義美食品(股)公司</t>
  </si>
  <si>
    <t>11768704</t>
  </si>
  <si>
    <t>福和生鮮農產(股)公司</t>
  </si>
  <si>
    <t>80142086</t>
  </si>
  <si>
    <t>台灣積層工業(股)公司</t>
  </si>
  <si>
    <t>35875366</t>
  </si>
  <si>
    <t>昇陽國際半導體(股)公司</t>
  </si>
  <si>
    <t>84149884</t>
  </si>
  <si>
    <t>32</t>
  </si>
  <si>
    <t>33</t>
  </si>
  <si>
    <t>34</t>
  </si>
  <si>
    <t>35</t>
  </si>
  <si>
    <t>36</t>
  </si>
  <si>
    <t>37</t>
  </si>
  <si>
    <t>38</t>
  </si>
  <si>
    <t>39</t>
  </si>
  <si>
    <t>006_合作金庫 合計</t>
  </si>
  <si>
    <t>007_第一銀行</t>
  </si>
  <si>
    <t>晨州塑膠工業(股)公司</t>
  </si>
  <si>
    <t>86365865</t>
  </si>
  <si>
    <t>福華明鏡(股)公司</t>
  </si>
  <si>
    <t>58580218</t>
  </si>
  <si>
    <t>安得烈(股)公司</t>
  </si>
  <si>
    <t>97425469</t>
  </si>
  <si>
    <t>柏文健康事業(股)公司</t>
  </si>
  <si>
    <t>27693238</t>
  </si>
  <si>
    <t>廈興國際(股)公司</t>
  </si>
  <si>
    <t>28861417</t>
  </si>
  <si>
    <t>007_第一銀行 合計</t>
  </si>
  <si>
    <t>008_華南銀行</t>
  </si>
  <si>
    <t>易華電子(股)公司</t>
  </si>
  <si>
    <t>76025826</t>
  </si>
  <si>
    <t>銘榮元實業(股)公司</t>
  </si>
  <si>
    <t>86764223</t>
  </si>
  <si>
    <t>汎銓科技(股)公司</t>
  </si>
  <si>
    <t>27853425</t>
  </si>
  <si>
    <t>長亨精密電子(股)公司</t>
  </si>
  <si>
    <t>達輝光電(股)公司</t>
  </si>
  <si>
    <t>28230046</t>
  </si>
  <si>
    <t>麥豐密封科技(股)公司</t>
  </si>
  <si>
    <t>04702329</t>
  </si>
  <si>
    <t>鉅明(股)公司</t>
  </si>
  <si>
    <t>85634075</t>
  </si>
  <si>
    <t>富惟工業(股)公司</t>
  </si>
  <si>
    <t>35820948</t>
  </si>
  <si>
    <t>40</t>
  </si>
  <si>
    <t>41</t>
  </si>
  <si>
    <t>42</t>
  </si>
  <si>
    <t>43</t>
  </si>
  <si>
    <t>44</t>
  </si>
  <si>
    <t>008_華南銀行 合計</t>
  </si>
  <si>
    <t>009_彰化銀行</t>
  </si>
  <si>
    <t>華美光學科技(股)公司</t>
  </si>
  <si>
    <t>69314511</t>
  </si>
  <si>
    <t>100</t>
  </si>
  <si>
    <t>昕琦科技(股)公司</t>
  </si>
  <si>
    <t>70354764</t>
  </si>
  <si>
    <t>101</t>
  </si>
  <si>
    <t>天聲工業(股)公司</t>
  </si>
  <si>
    <t>12275995</t>
  </si>
  <si>
    <t>102</t>
  </si>
  <si>
    <t>103</t>
  </si>
  <si>
    <t>104</t>
  </si>
  <si>
    <t>105</t>
  </si>
  <si>
    <t>巧新科技工業(股)公司</t>
  </si>
  <si>
    <t>84980915</t>
  </si>
  <si>
    <t>106</t>
  </si>
  <si>
    <t>107</t>
  </si>
  <si>
    <t>108</t>
  </si>
  <si>
    <t>天聲工業股份有限公司</t>
  </si>
  <si>
    <t>台灣穗高科技(股)公司</t>
  </si>
  <si>
    <t>80347834</t>
  </si>
  <si>
    <t>八貫企業(股)公司</t>
  </si>
  <si>
    <t>12386676</t>
  </si>
  <si>
    <t>科定企業(股)公司</t>
  </si>
  <si>
    <t>80214519</t>
  </si>
  <si>
    <t>晟田科技工業(股)公司</t>
  </si>
  <si>
    <t>86263092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</si>
  <si>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</si>
  <si>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</si>
  <si>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</si>
  <si>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</si>
  <si>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</si>
  <si>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</si>
  <si>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</si>
  <si>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</si>
  <si>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</si>
  <si>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</si>
  <si>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</si>
  <si>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</si>
  <si>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</si>
  <si>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</si>
  <si>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</si>
  <si>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</si>
  <si>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</si>
  <si>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</si>
  <si>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川益科技(股)公司</t>
  </si>
  <si>
    <t>28556009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</si>
  <si>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</si>
  <si>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</si>
  <si>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</si>
  <si>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</si>
  <si>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</si>
  <si>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</si>
  <si>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</si>
  <si>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</si>
  <si>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</si>
  <si>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</si>
  <si>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</si>
  <si>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</si>
  <si>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</si>
  <si>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</si>
  <si>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</si>
  <si>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</si>
  <si>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</si>
  <si>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</si>
  <si>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</si>
  <si>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</si>
  <si>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</si>
  <si>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</si>
  <si>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</si>
  <si>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</si>
  <si>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</si>
  <si>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</si>
  <si>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</si>
  <si>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</si>
  <si>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</si>
  <si>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</si>
  <si>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武漢機械(股)公司</t>
  </si>
  <si>
    <t>84345014</t>
  </si>
  <si>
    <t>93</t>
  </si>
  <si>
    <t>94</t>
  </si>
  <si>
    <t>95</t>
  </si>
  <si>
    <t>96</t>
  </si>
  <si>
    <t>97</t>
  </si>
  <si>
    <t>98</t>
  </si>
  <si>
    <t>99</t>
  </si>
  <si>
    <t>009_彰化銀行 合計</t>
  </si>
  <si>
    <t>011_上海商銀</t>
  </si>
  <si>
    <t>011_上海商銀 合計</t>
  </si>
  <si>
    <t>012_台北富邦</t>
  </si>
  <si>
    <t>上品綜合工業(股)公司</t>
  </si>
  <si>
    <t>36075449</t>
  </si>
  <si>
    <t>012_台北富邦 合計</t>
  </si>
  <si>
    <t>013_國泰世華</t>
  </si>
  <si>
    <t>013_國泰世華 合計</t>
  </si>
  <si>
    <t>015_輸出入銀行</t>
  </si>
  <si>
    <t>015_輸出入銀行 合計</t>
  </si>
  <si>
    <t>017_兆豐商銀</t>
  </si>
  <si>
    <t>鴻谷科技(股)公司</t>
  </si>
  <si>
    <t>16005023</t>
  </si>
  <si>
    <t>煜益鋁業(股)公司</t>
  </si>
  <si>
    <t>16425398</t>
  </si>
  <si>
    <t>富田電機(股)公司</t>
  </si>
  <si>
    <t>22802861</t>
  </si>
  <si>
    <t>台星科企業(股)公司</t>
  </si>
  <si>
    <t>27925949</t>
  </si>
  <si>
    <t>啟德機械起重工程(股)公司</t>
  </si>
  <si>
    <t>47159867</t>
  </si>
  <si>
    <t>佳凌科技(股)公司</t>
  </si>
  <si>
    <t>70848492</t>
  </si>
  <si>
    <t>達興材料(股)公司</t>
  </si>
  <si>
    <t>28357108</t>
  </si>
  <si>
    <t>017_兆豐商銀 合計</t>
  </si>
  <si>
    <t>018_全國農金</t>
  </si>
  <si>
    <t>018_全國農金 合計</t>
  </si>
  <si>
    <t>050_臺灣企銀</t>
  </si>
  <si>
    <t>俊侑(股）公司</t>
  </si>
  <si>
    <t>97272999</t>
  </si>
  <si>
    <t>佳和實業(股)公司</t>
  </si>
  <si>
    <t>72055019</t>
  </si>
  <si>
    <t>俊侑(股)公司</t>
  </si>
  <si>
    <t>050_臺灣企銀 合計</t>
  </si>
  <si>
    <t>053_台中銀行</t>
  </si>
  <si>
    <t>053_台中銀行 合計</t>
  </si>
  <si>
    <t>803_聯邦銀行</t>
  </si>
  <si>
    <t>803_聯邦銀行 合計</t>
  </si>
  <si>
    <t>805_遠東銀行</t>
  </si>
  <si>
    <t>805_遠東銀行 合計</t>
  </si>
  <si>
    <t>808_玉山銀行</t>
  </si>
  <si>
    <t>台灣精銳(股)公司</t>
  </si>
  <si>
    <t>70647919</t>
  </si>
  <si>
    <t>台灣精銳科技(股)公司</t>
  </si>
  <si>
    <t>巨輪興業(股)公司</t>
  </si>
  <si>
    <t>23677285</t>
  </si>
  <si>
    <t>虎山實業(股)公司</t>
  </si>
  <si>
    <t>34556891</t>
  </si>
  <si>
    <t>大瓏企業(股)公司</t>
  </si>
  <si>
    <t>65445701</t>
  </si>
  <si>
    <t>采鈺科技(股)公司</t>
  </si>
  <si>
    <t>80601119</t>
  </si>
  <si>
    <t>808_玉山銀行 合計</t>
  </si>
  <si>
    <t>809_凱基銀行</t>
  </si>
  <si>
    <t>生展生物科技(股)公司</t>
  </si>
  <si>
    <t>16130471</t>
  </si>
  <si>
    <t>809_凱基銀行 合計</t>
  </si>
  <si>
    <t>810_星展銀行</t>
  </si>
  <si>
    <t>810_星展銀行 合計</t>
  </si>
  <si>
    <t>812_台新銀行</t>
  </si>
  <si>
    <t>全日物流(股)公司</t>
  </si>
  <si>
    <t>84184798</t>
  </si>
  <si>
    <t>812_台新銀行 合計</t>
  </si>
  <si>
    <t>822_中國信託</t>
  </si>
  <si>
    <t>美超微電腦(股)公司</t>
  </si>
  <si>
    <t>12729477</t>
  </si>
  <si>
    <t>822_中國信託 合計</t>
  </si>
  <si>
    <t>總計</t>
  </si>
  <si>
    <t>經辦：</t>
    <phoneticPr fontId="2" type="noConversion"/>
  </si>
  <si>
    <r>
      <t>襄理</t>
    </r>
    <r>
      <rPr>
        <sz val="14"/>
        <rFont val="新細明體"/>
        <family val="1"/>
        <charset val="136"/>
      </rPr>
      <t>：</t>
    </r>
    <phoneticPr fontId="2" type="noConversion"/>
  </si>
  <si>
    <t>協(副)理：</t>
    <phoneticPr fontId="2" type="noConversion"/>
  </si>
  <si>
    <t>16877131</t>
  </si>
  <si>
    <t>韋僑科技(股)公司</t>
  </si>
  <si>
    <t>56676194</t>
  </si>
  <si>
    <t>華元食品(股)公司</t>
  </si>
  <si>
    <t>16638110</t>
  </si>
  <si>
    <t>旭德科技(股)公司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</si>
  <si>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</si>
  <si>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</si>
  <si>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</si>
  <si>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</si>
  <si>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</si>
  <si>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</si>
  <si>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</si>
  <si>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</si>
  <si>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</si>
  <si>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</si>
  <si>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</si>
  <si>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</si>
  <si>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</si>
  <si>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</si>
  <si>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22280997</t>
  </si>
  <si>
    <t>廣翰實業(股)公司</t>
  </si>
  <si>
    <t>86524717</t>
  </si>
  <si>
    <t>亞獵士科技(股)公司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</si>
  <si>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</si>
  <si>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</si>
  <si>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</si>
  <si>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</si>
  <si>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</si>
  <si>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</si>
  <si>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</si>
  <si>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</si>
  <si>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</si>
  <si>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</si>
  <si>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</si>
  <si>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59142547</t>
  </si>
  <si>
    <t>延陵實業(股)公司</t>
  </si>
  <si>
    <t>86306206</t>
  </si>
  <si>
    <t>邦特生物科技(股)公司</t>
  </si>
  <si>
    <t>70776899</t>
  </si>
  <si>
    <t>達邁科技(股)公司</t>
  </si>
  <si>
    <t>807_永豐銀行 合計</t>
  </si>
  <si>
    <t>807_永豐銀行</t>
  </si>
  <si>
    <t>04226986</t>
  </si>
  <si>
    <t>同欣電子工業(股)公司</t>
  </si>
  <si>
    <t>147</t>
  </si>
  <si>
    <t>146</t>
  </si>
  <si>
    <t>145</t>
  </si>
  <si>
    <t>144</t>
  </si>
  <si>
    <t>22977236</t>
  </si>
  <si>
    <t>梧濟工業(股)公司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</si>
  <si>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</si>
  <si>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</si>
  <si>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</si>
  <si>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</si>
  <si>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</si>
  <si>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</si>
  <si>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</si>
  <si>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</si>
  <si>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</si>
  <si>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</si>
  <si>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70697332</t>
  </si>
  <si>
    <t>惠特科技(股)公司</t>
  </si>
  <si>
    <t>28288026</t>
  </si>
  <si>
    <t>明揚國際科技(股)公司</t>
  </si>
  <si>
    <t>59175568</t>
  </si>
  <si>
    <t>二億企業(股)公司</t>
  </si>
  <si>
    <t>153</t>
  </si>
  <si>
    <t>152</t>
  </si>
  <si>
    <t>151</t>
  </si>
  <si>
    <t>150</t>
  </si>
  <si>
    <t>149</t>
  </si>
  <si>
    <t>148</t>
  </si>
  <si>
    <t>襄理：</t>
    <phoneticPr fontId="2" type="noConversion"/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</si>
  <si>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</si>
  <si>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</si>
  <si>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</si>
  <si>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</si>
  <si>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</si>
  <si>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</si>
  <si>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</si>
  <si>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</si>
  <si>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</si>
  <si>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</si>
  <si>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</si>
  <si>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</si>
  <si>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</si>
  <si>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</si>
  <si>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175</t>
  </si>
  <si>
    <t>174</t>
  </si>
  <si>
    <t>173</t>
  </si>
  <si>
    <t>172</t>
  </si>
  <si>
    <t>171</t>
  </si>
  <si>
    <t>170</t>
  </si>
  <si>
    <t>169</t>
  </si>
  <si>
    <t>168</t>
  </si>
  <si>
    <t>84569908</t>
  </si>
  <si>
    <t>新廣業(股)公司</t>
  </si>
  <si>
    <t>179</t>
  </si>
  <si>
    <t>178</t>
  </si>
  <si>
    <t>177</t>
  </si>
  <si>
    <t>176</t>
  </si>
  <si>
    <t>12828053</t>
  </si>
  <si>
    <t>興普科技(股)公司</t>
  </si>
  <si>
    <t>23313187</t>
  </si>
  <si>
    <t>翔聯企業(股)公司</t>
  </si>
  <si>
    <t>23140643</t>
  </si>
  <si>
    <t>華福食品(股)公司</t>
  </si>
  <si>
    <t>12262675</t>
  </si>
  <si>
    <t>芳泉工業(股)公司</t>
  </si>
  <si>
    <t>86953195</t>
  </si>
  <si>
    <t>崧泉企業(股)公司</t>
  </si>
  <si>
    <t>16606102</t>
  </si>
  <si>
    <t>網路家庭國際資訊(股)公司</t>
  </si>
  <si>
    <t>185</t>
  </si>
  <si>
    <t>184</t>
  </si>
  <si>
    <t>183</t>
  </si>
  <si>
    <t>182</t>
  </si>
  <si>
    <t>181</t>
  </si>
  <si>
    <t>180</t>
  </si>
  <si>
    <t>23347270</t>
  </si>
  <si>
    <t>寶凱電子企業(股)公司</t>
  </si>
  <si>
    <t>補貼迄日</t>
    <phoneticPr fontId="4" type="noConversion"/>
  </si>
  <si>
    <t>20747385</t>
  </si>
  <si>
    <t>亞洲聚合(股)公司</t>
  </si>
  <si>
    <t>56065601</t>
  </si>
  <si>
    <t>永信藥品工業(股)公司</t>
  </si>
  <si>
    <t>11917107</t>
  </si>
  <si>
    <t>台灣聚合化學品(股)公司</t>
  </si>
  <si>
    <t xml:space="preserve">武漢機械(股)公司	</t>
  </si>
  <si>
    <t>23250583</t>
  </si>
  <si>
    <t>建新國際(股)公司</t>
  </si>
  <si>
    <t>193</t>
  </si>
  <si>
    <t>192</t>
  </si>
  <si>
    <t>191</t>
  </si>
  <si>
    <t>190</t>
  </si>
  <si>
    <t>189</t>
  </si>
  <si>
    <t>188</t>
  </si>
  <si>
    <t>187</t>
  </si>
  <si>
    <t>186</t>
  </si>
  <si>
    <t>28997300</t>
  </si>
  <si>
    <t>元晶太陽能科技(股)公司</t>
  </si>
  <si>
    <r>
      <t>備註：台北富邦銀行客戶閎康科技(股)公司(ID</t>
    </r>
    <r>
      <rPr>
        <b/>
        <sz val="12"/>
        <rFont val="新細明體"/>
        <family val="1"/>
        <charset val="136"/>
      </rPr>
      <t>：</t>
    </r>
    <r>
      <rPr>
        <b/>
        <sz val="12"/>
        <rFont val="標楷體"/>
        <family val="4"/>
        <charset val="136"/>
      </rPr>
      <t>79959286)於2021/4/9動撥新台幣50,000,000元，該行遺漏申請，於2021/11補申請。</t>
    </r>
    <phoneticPr fontId="2" type="noConversion"/>
  </si>
  <si>
    <t>22671299</t>
  </si>
  <si>
    <t>瑞昱半導體(股)公司</t>
  </si>
  <si>
    <t>12999372</t>
  </si>
  <si>
    <t>成偉食品(股)公司</t>
  </si>
  <si>
    <t>啓德機械起重工程(股)公司</t>
  </si>
  <si>
    <t>55174031</t>
  </si>
  <si>
    <t>保勝光學(股)公司</t>
  </si>
  <si>
    <t>23236751</t>
  </si>
  <si>
    <t>統亞電子科技(股)公司</t>
  </si>
  <si>
    <t>199</t>
  </si>
  <si>
    <t>198</t>
  </si>
  <si>
    <t>197</t>
  </si>
  <si>
    <t>196</t>
  </si>
  <si>
    <t>195</t>
  </si>
  <si>
    <t>194</t>
  </si>
  <si>
    <t>207</t>
  </si>
  <si>
    <t>206</t>
  </si>
  <si>
    <t>22721208</t>
  </si>
  <si>
    <t>鬍鬚張(股)公司</t>
  </si>
  <si>
    <t>205</t>
  </si>
  <si>
    <t>204</t>
  </si>
  <si>
    <t>203</t>
  </si>
  <si>
    <t>202</t>
  </si>
  <si>
    <t>201</t>
  </si>
  <si>
    <t>200</t>
  </si>
  <si>
    <t>18868215</t>
  </si>
  <si>
    <t>桂冠實業(股)公司</t>
  </si>
  <si>
    <t>05644305</t>
  </si>
  <si>
    <t>飛綠(股)公司</t>
  </si>
  <si>
    <t>22601576</t>
  </si>
  <si>
    <t>昇銳電子(股)公司</t>
  </si>
  <si>
    <t>50290503</t>
  </si>
  <si>
    <t>台灣保來得(股)公司</t>
  </si>
  <si>
    <r>
      <t>襄理</t>
    </r>
    <r>
      <rPr>
        <sz val="10"/>
        <rFont val="新細明體"/>
        <family val="1"/>
        <charset val="136"/>
      </rPr>
      <t>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</si>
</sst>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16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9"/>
      <name val="標楷體"/>
      <family val="4"/>
      <charset val="136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14"/>
      <name val="新細明體"/>
      <family val="1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標楷體"/>
      <family val="4"/>
      <charset val="136"/>
    </font>
    <font>
      <sz val="1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76" fontId="0" fillId="0" borderId="0">
      <alignment vertical="center"/>
    </xf>
  </cellStyleXfs>
  <cellXfs count="101">
    <xf numFmtId="176" fontId="0" fillId="0" borderId="0" xfId="0">
      <alignment vertical="center"/>
    </xf>
    <xf numFmtId="176" fontId="1" fillId="0" borderId="0" xfId="0" applyFont="1" applyAlignment="1">
      <alignment vertical="center" shrinkToFit="1"/>
    </xf>
    <xf numFmtId="177" fontId="1" fillId="0" borderId="0" xfId="0" applyNumberFormat="1" applyFont="1" applyAlignment="1">
      <alignment horizontal="right" vertical="center" shrinkToFit="1"/>
    </xf>
    <xf numFmtId="176" fontId="1" fillId="0" borderId="0" xfId="0" applyFont="1" applyAlignment="1">
      <alignment horizontal="center" vertical="center" shrinkToFit="1"/>
    </xf>
    <xf numFmtId="178" fontId="1" fillId="0" borderId="0" xfId="0" applyNumberFormat="1" applyFont="1" applyAlignment="1">
      <alignment vertical="center" shrinkToFit="1"/>
    </xf>
    <xf numFmtId="176" fontId="1" fillId="0" borderId="0" xfId="0" applyFont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shrinkToFit="1"/>
    </xf>
    <xf numFmtId="176" fontId="5" fillId="2" borderId="3" xfId="0" applyFont="1" applyFill="1" applyBorder="1" applyAlignment="1">
      <alignment horizontal="left" vertical="center" shrinkToFit="1"/>
    </xf>
    <xf numFmtId="177" fontId="5" fillId="2" borderId="3" xfId="0" applyNumberFormat="1" applyFont="1" applyFill="1" applyBorder="1" applyAlignment="1">
      <alignment horizontal="right" vertical="center" shrinkToFit="1"/>
    </xf>
    <xf numFmtId="176" fontId="5" fillId="2" borderId="3" xfId="0" applyFont="1" applyFill="1" applyBorder="1" applyAlignment="1">
      <alignment horizontal="center" vertical="center" shrinkToFit="1"/>
    </xf>
    <xf numFmtId="178" fontId="5" fillId="2" borderId="3" xfId="0" applyNumberFormat="1" applyFont="1" applyFill="1" applyBorder="1" applyAlignment="1">
      <alignment horizontal="center" vertical="center" shrinkToFit="1"/>
    </xf>
    <xf numFmtId="176" fontId="5" fillId="3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 shrinkToFit="1"/>
    </xf>
    <xf numFmtId="176" fontId="5" fillId="3" borderId="3" xfId="0" applyFont="1" applyFill="1" applyBorder="1" applyAlignment="1">
      <alignment horizontal="left" vertical="center" shrinkToFit="1"/>
    </xf>
    <xf numFmtId="177" fontId="5" fillId="3" borderId="3" xfId="0" applyNumberFormat="1" applyFont="1" applyFill="1" applyBorder="1" applyAlignment="1">
      <alignment horizontal="right" vertical="center" shrinkToFit="1"/>
    </xf>
    <xf numFmtId="176" fontId="5" fillId="3" borderId="3" xfId="0" applyFont="1" applyFill="1" applyBorder="1" applyAlignment="1">
      <alignment horizontal="center" vertical="center" shrinkToFit="1"/>
    </xf>
    <xf numFmtId="178" fontId="5" fillId="3" borderId="3" xfId="0" applyNumberFormat="1" applyFont="1" applyFill="1" applyBorder="1" applyAlignment="1">
      <alignment horizontal="center" vertical="center" shrinkToFit="1"/>
    </xf>
    <xf numFmtId="176" fontId="1" fillId="3" borderId="0" xfId="0" applyFont="1" applyFill="1" applyAlignment="1">
      <alignment horizontal="center" vertical="center" wrapText="1"/>
    </xf>
    <xf numFmtId="176" fontId="3" fillId="0" borderId="0" xfId="0" applyFont="1">
      <alignment vertical="center"/>
    </xf>
    <xf numFmtId="176" fontId="3" fillId="0" borderId="0" xfId="0" applyFont="1" applyAlignment="1">
      <alignment horizontal="right" vertical="center"/>
    </xf>
    <xf numFmtId="178" fontId="3" fillId="0" borderId="0" xfId="0" applyNumberFormat="1" applyFont="1">
      <alignment vertical="center"/>
    </xf>
    <xf numFmtId="176" fontId="3" fillId="0" borderId="0" xfId="0" applyFont="1" applyAlignment="1">
      <alignment horizontal="center" vertical="center"/>
    </xf>
    <xf numFmtId="176" fontId="9" fillId="0" borderId="2" xfId="0" applyFont="1" applyBorder="1" applyAlignment="1">
      <alignment horizontal="center" vertical="center" wrapText="1"/>
    </xf>
    <xf numFmtId="178" fontId="9" fillId="0" borderId="3" xfId="0" applyNumberFormat="1" applyFont="1" applyBorder="1" applyAlignment="1">
      <alignment horizontal="center" vertical="center" shrinkToFit="1"/>
    </xf>
    <xf numFmtId="177" fontId="9" fillId="0" borderId="3" xfId="0" applyNumberFormat="1" applyFont="1" applyBorder="1" applyAlignment="1">
      <alignment horizontal="right" vertical="center" shrinkToFit="1"/>
    </xf>
    <xf numFmtId="0" fontId="9" fillId="0" borderId="0" xfId="0" applyNumberFormat="1" applyFont="1" applyAlignment="1">
      <alignment horizontal="center" vertical="center" shrinkToFit="1"/>
    </xf>
    <xf numFmtId="49" fontId="9" fillId="0" borderId="0" xfId="0" applyNumberFormat="1" applyFont="1">
      <alignment vertical="center"/>
    </xf>
    <xf numFmtId="176" fontId="9" fillId="0" borderId="0" xfId="0" applyFont="1" applyAlignment="1">
      <alignment vertical="center" shrinkToFit="1"/>
    </xf>
    <xf numFmtId="176" fontId="9" fillId="0" borderId="1" xfId="0" applyFont="1" applyBorder="1" applyAlignment="1">
      <alignment horizontal="right" vertical="center"/>
    </xf>
    <xf numFmtId="58" fontId="10" fillId="0" borderId="0" xfId="0" applyNumberFormat="1" applyFont="1" applyAlignment="1">
      <alignment horizontal="left" vertical="center" shrinkToFit="1"/>
    </xf>
    <xf numFmtId="0" fontId="9" fillId="0" borderId="0" xfId="0" applyNumberFormat="1" applyFont="1" applyAlignment="1">
      <alignment vertical="center" shrinkToFit="1"/>
    </xf>
    <xf numFmtId="177" fontId="9" fillId="0" borderId="0" xfId="0" applyNumberFormat="1" applyFont="1" applyAlignment="1">
      <alignment horizontal="right" vertical="center" shrinkToFit="1"/>
    </xf>
    <xf numFmtId="176" fontId="9" fillId="0" borderId="0" xfId="0" applyFont="1" applyAlignment="1">
      <alignment horizontal="center" vertical="center" shrinkToFit="1"/>
    </xf>
    <xf numFmtId="178" fontId="9" fillId="0" borderId="0" xfId="0" applyNumberFormat="1" applyFont="1" applyAlignment="1">
      <alignment vertical="center" shrinkToFit="1"/>
    </xf>
    <xf numFmtId="49" fontId="9" fillId="0" borderId="2" xfId="0" applyNumberFormat="1" applyFont="1" applyBorder="1" applyAlignment="1">
      <alignment horizontal="center" vertical="center" wrapText="1"/>
    </xf>
    <xf numFmtId="176" fontId="9" fillId="0" borderId="2" xfId="0" applyFont="1" applyBorder="1" applyAlignment="1">
      <alignment horizontal="center" vertical="center" shrinkToFit="1"/>
    </xf>
    <xf numFmtId="177" fontId="9" fillId="0" borderId="2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 shrinkToFit="1"/>
    </xf>
    <xf numFmtId="178" fontId="9" fillId="0" borderId="2" xfId="0" applyNumberFormat="1" applyFont="1" applyBorder="1" applyAlignment="1">
      <alignment horizontal="center" vertical="center" wrapText="1" shrinkToFit="1"/>
    </xf>
    <xf numFmtId="176" fontId="9" fillId="0" borderId="3" xfId="0" applyFont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shrinkToFit="1"/>
    </xf>
    <xf numFmtId="176" fontId="9" fillId="0" borderId="3" xfId="0" applyFont="1" applyBorder="1" applyAlignment="1">
      <alignment horizontal="left" vertical="center" shrinkToFit="1"/>
    </xf>
    <xf numFmtId="176" fontId="10" fillId="2" borderId="3" xfId="0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center" vertical="center" shrinkToFit="1"/>
    </xf>
    <xf numFmtId="176" fontId="10" fillId="2" borderId="3" xfId="0" applyFont="1" applyFill="1" applyBorder="1" applyAlignment="1">
      <alignment horizontal="left" vertical="center" shrinkToFit="1"/>
    </xf>
    <xf numFmtId="177" fontId="10" fillId="2" borderId="3" xfId="0" applyNumberFormat="1" applyFont="1" applyFill="1" applyBorder="1" applyAlignment="1">
      <alignment horizontal="right" vertical="center" shrinkToFit="1"/>
    </xf>
    <xf numFmtId="176" fontId="10" fillId="2" borderId="3" xfId="0" applyFont="1" applyFill="1" applyBorder="1" applyAlignment="1">
      <alignment horizontal="center" vertical="center" shrinkToFit="1"/>
    </xf>
    <xf numFmtId="178" fontId="10" fillId="2" borderId="3" xfId="0" applyNumberFormat="1" applyFont="1" applyFill="1" applyBorder="1" applyAlignment="1">
      <alignment horizontal="center" vertical="center" shrinkToFit="1"/>
    </xf>
    <xf numFmtId="176" fontId="9" fillId="0" borderId="0" xfId="0" applyFont="1" applyAlignment="1">
      <alignment horizontal="center" vertical="center" wrapText="1"/>
    </xf>
    <xf numFmtId="176" fontId="10" fillId="3" borderId="3" xfId="0" applyFont="1" applyFill="1" applyBorder="1" applyAlignment="1">
      <alignment horizontal="left" vertical="center"/>
    </xf>
    <xf numFmtId="49" fontId="10" fillId="3" borderId="3" xfId="0" applyNumberFormat="1" applyFont="1" applyFill="1" applyBorder="1" applyAlignment="1">
      <alignment horizontal="center" vertical="center" shrinkToFit="1"/>
    </xf>
    <xf numFmtId="176" fontId="10" fillId="3" borderId="3" xfId="0" applyFont="1" applyFill="1" applyBorder="1" applyAlignment="1">
      <alignment horizontal="left" vertical="center" shrinkToFit="1"/>
    </xf>
    <xf numFmtId="177" fontId="10" fillId="3" borderId="3" xfId="0" applyNumberFormat="1" applyFont="1" applyFill="1" applyBorder="1" applyAlignment="1">
      <alignment horizontal="right" vertical="center" shrinkToFit="1"/>
    </xf>
    <xf numFmtId="176" fontId="10" fillId="3" borderId="3" xfId="0" applyFont="1" applyFill="1" applyBorder="1" applyAlignment="1">
      <alignment horizontal="center" vertical="center" shrinkToFit="1"/>
    </xf>
    <xf numFmtId="178" fontId="10" fillId="3" borderId="3" xfId="0" applyNumberFormat="1" applyFont="1" applyFill="1" applyBorder="1" applyAlignment="1">
      <alignment horizontal="center" vertical="center" shrinkToFit="1"/>
    </xf>
    <xf numFmtId="176" fontId="9" fillId="3" borderId="0" xfId="0" applyFont="1" applyFill="1" applyAlignment="1">
      <alignment horizontal="center" vertical="center" wrapText="1"/>
    </xf>
    <xf numFmtId="176" fontId="9" fillId="0" borderId="0" xfId="0" applyFont="1">
      <alignment vertical="center"/>
    </xf>
    <xf numFmtId="176" fontId="9" fillId="0" borderId="0" xfId="0" applyFont="1" applyAlignment="1">
      <alignment horizontal="right" vertical="center"/>
    </xf>
    <xf numFmtId="178" fontId="9" fillId="0" borderId="0" xfId="0" applyNumberFormat="1" applyFont="1">
      <alignment vertical="center"/>
    </xf>
    <xf numFmtId="176" fontId="9" fillId="0" borderId="0" xfId="0" applyFont="1" applyAlignment="1">
      <alignment horizontal="center" vertical="center"/>
    </xf>
    <xf numFmtId="176" fontId="3" fillId="2" borderId="3" xfId="0" applyFont="1" applyFill="1" applyBorder="1" applyAlignment="1">
      <alignment horizontal="center" vertical="center" shrinkToFit="1"/>
    </xf>
    <xf numFmtId="177" fontId="3" fillId="2" borderId="3" xfId="0" applyNumberFormat="1" applyFont="1" applyFill="1" applyBorder="1" applyAlignment="1">
      <alignment horizontal="right" vertical="center" shrinkToFit="1"/>
    </xf>
    <xf numFmtId="178" fontId="3" fillId="2" borderId="3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176" fontId="3" fillId="2" borderId="3" xfId="0" applyFont="1" applyFill="1" applyBorder="1" applyAlignment="1">
      <alignment horizontal="left" vertical="center" shrinkToFit="1"/>
    </xf>
    <xf numFmtId="176" fontId="3" fillId="3" borderId="3" xfId="0" applyFont="1" applyFill="1" applyBorder="1" applyAlignment="1">
      <alignment horizontal="center" vertical="center" shrinkToFit="1"/>
    </xf>
    <xf numFmtId="177" fontId="3" fillId="3" borderId="3" xfId="0" applyNumberFormat="1" applyFont="1" applyFill="1" applyBorder="1" applyAlignment="1">
      <alignment horizontal="right" vertical="center" shrinkToFit="1"/>
    </xf>
    <xf numFmtId="178" fontId="3" fillId="3" borderId="3" xfId="0" applyNumberFormat="1" applyFont="1" applyFill="1" applyBorder="1" applyAlignment="1">
      <alignment horizontal="center" vertical="center" shrinkToFit="1"/>
    </xf>
    <xf numFmtId="49" fontId="3" fillId="3" borderId="3" xfId="0" applyNumberFormat="1" applyFont="1" applyFill="1" applyBorder="1" applyAlignment="1">
      <alignment horizontal="center" vertical="center" shrinkToFit="1"/>
    </xf>
    <xf numFmtId="176" fontId="3" fillId="3" borderId="3" xfId="0" applyFont="1" applyFill="1" applyBorder="1" applyAlignment="1">
      <alignment horizontal="left" vertical="center" shrinkToFit="1"/>
    </xf>
    <xf numFmtId="49" fontId="9" fillId="2" borderId="3" xfId="0" applyNumberFormat="1" applyFont="1" applyFill="1" applyBorder="1" applyAlignment="1">
      <alignment horizontal="center" vertical="center" shrinkToFit="1"/>
    </xf>
    <xf numFmtId="176" fontId="9" fillId="2" borderId="3" xfId="0" applyFont="1" applyFill="1" applyBorder="1" applyAlignment="1">
      <alignment horizontal="left" vertical="center" shrinkToFit="1"/>
    </xf>
    <xf numFmtId="177" fontId="9" fillId="2" borderId="3" xfId="0" applyNumberFormat="1" applyFont="1" applyFill="1" applyBorder="1" applyAlignment="1">
      <alignment horizontal="right" vertical="center" shrinkToFit="1"/>
    </xf>
    <xf numFmtId="176" fontId="9" fillId="2" borderId="3" xfId="0" applyFont="1" applyFill="1" applyBorder="1" applyAlignment="1">
      <alignment horizontal="center" vertical="center" shrinkToFit="1"/>
    </xf>
    <xf numFmtId="178" fontId="9" fillId="2" borderId="3" xfId="0" applyNumberFormat="1" applyFont="1" applyFill="1" applyBorder="1" applyAlignment="1">
      <alignment horizontal="center" vertical="center" shrinkToFit="1"/>
    </xf>
    <xf numFmtId="176" fontId="5" fillId="0" borderId="0" xfId="0" applyFont="1">
      <alignment vertical="center"/>
    </xf>
    <xf numFmtId="176" fontId="11" fillId="0" borderId="0" xfId="0" applyFont="1">
      <alignment vertical="center"/>
    </xf>
    <xf numFmtId="176" fontId="8" fillId="2" borderId="3" xfId="0" applyFont="1" applyFill="1" applyBorder="1" applyAlignment="1">
      <alignment horizontal="center" vertical="center" shrinkToFit="1"/>
    </xf>
    <xf numFmtId="177" fontId="8" fillId="2" borderId="3" xfId="0" applyNumberFormat="1" applyFont="1" applyFill="1" applyBorder="1" applyAlignment="1">
      <alignment horizontal="right" vertical="center" shrinkToFit="1"/>
    </xf>
    <xf numFmtId="176" fontId="13" fillId="0" borderId="0" xfId="0" applyFont="1" applyAlignment="1">
      <alignment vertical="center" shrinkToFit="1"/>
    </xf>
    <xf numFmtId="176" fontId="13" fillId="0" borderId="0" xfId="0" applyFont="1" applyAlignment="1">
      <alignment horizontal="center" vertical="center" wrapText="1"/>
    </xf>
    <xf numFmtId="176" fontId="14" fillId="3" borderId="3" xfId="0" applyFont="1" applyFill="1" applyBorder="1" applyAlignment="1">
      <alignment horizontal="left" vertical="center"/>
    </xf>
    <xf numFmtId="49" fontId="14" fillId="3" borderId="3" xfId="0" applyNumberFormat="1" applyFont="1" applyFill="1" applyBorder="1" applyAlignment="1">
      <alignment horizontal="center" vertical="center" shrinkToFit="1"/>
    </xf>
    <xf numFmtId="176" fontId="14" fillId="3" borderId="3" xfId="0" applyFont="1" applyFill="1" applyBorder="1" applyAlignment="1">
      <alignment horizontal="left" vertical="center" shrinkToFit="1"/>
    </xf>
    <xf numFmtId="177" fontId="14" fillId="3" borderId="3" xfId="0" applyNumberFormat="1" applyFont="1" applyFill="1" applyBorder="1" applyAlignment="1">
      <alignment horizontal="right" vertical="center" shrinkToFit="1"/>
    </xf>
    <xf numFmtId="176" fontId="14" fillId="3" borderId="3" xfId="0" applyFont="1" applyFill="1" applyBorder="1" applyAlignment="1">
      <alignment horizontal="center" vertical="center" shrinkToFit="1"/>
    </xf>
    <xf numFmtId="178" fontId="14" fillId="3" borderId="3" xfId="0" applyNumberFormat="1" applyFont="1" applyFill="1" applyBorder="1" applyAlignment="1">
      <alignment horizontal="center" vertical="center" shrinkToFit="1"/>
    </xf>
    <xf numFmtId="176" fontId="13" fillId="3" borderId="0" xfId="0" applyFont="1" applyFill="1" applyAlignment="1">
      <alignment horizontal="center" vertical="center" wrapText="1"/>
    </xf>
    <xf numFmtId="176" fontId="14" fillId="2" borderId="3" xfId="0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176" fontId="14" fillId="2" borderId="3" xfId="0" applyFont="1" applyFill="1" applyBorder="1" applyAlignment="1">
      <alignment horizontal="left" vertical="center" shrinkToFit="1"/>
    </xf>
    <xf numFmtId="177" fontId="14" fillId="2" borderId="3" xfId="0" applyNumberFormat="1" applyFont="1" applyFill="1" applyBorder="1" applyAlignment="1">
      <alignment horizontal="right" vertical="center" shrinkToFit="1"/>
    </xf>
    <xf numFmtId="178" fontId="14" fillId="2" borderId="3" xfId="0" applyNumberFormat="1" applyFont="1" applyFill="1" applyBorder="1" applyAlignment="1">
      <alignment horizontal="center" vertical="center" shrinkToFit="1"/>
    </xf>
    <xf numFmtId="176" fontId="15" fillId="0" borderId="0" xfId="0" applyFont="1">
      <alignment vertical="center"/>
    </xf>
    <xf numFmtId="176" fontId="6" fillId="0" borderId="0" xfId="0" applyFont="1">
      <alignment vertical="center"/>
    </xf>
    <xf numFmtId="176" fontId="6" fillId="0" borderId="0" xfId="0" applyFont="1" applyAlignment="1">
      <alignment horizontal="right" vertical="center"/>
    </xf>
    <xf numFmtId="176" fontId="13" fillId="0" borderId="0" xfId="0" applyFont="1" applyAlignment="1">
      <alignment horizontal="center" vertical="center" shrinkToFit="1"/>
    </xf>
    <xf numFmtId="178" fontId="6" fillId="0" borderId="0" xfId="0" applyNumberFormat="1" applyFont="1">
      <alignment vertical="center"/>
    </xf>
    <xf numFmtId="176" fontId="6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right" vertical="center" shrinkToFit="1"/>
    </xf>
    <xf numFmtId="178" fontId="13" fillId="0" borderId="0" xfId="0" applyNumberFormat="1" applyFont="1" applyAlignment="1">
      <alignment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P845"/>
  <sheetViews>
    <sheetView tabSelected="1" zoomScaleNormal="100" workbookViewId="0">
      <selection activeCell="I12" sqref="I12"/>
    </sheetView>
  </sheetViews>
  <sheetFormatPr defaultColWidth="5.375" defaultRowHeight="13.5" outlineLevelRow="2"/>
  <cols>
    <col min="1" max="1" width="17.75" style="27" bestFit="1" customWidth="1"/>
    <col min="2" max="2" width="8.75" style="27" bestFit="1" customWidth="1"/>
    <col min="3" max="3" width="21.5" style="27" bestFit="1" customWidth="1"/>
    <col min="4" max="4" width="12" style="27" bestFit="1" customWidth="1"/>
    <col min="5" max="5" width="14.75" style="31" bestFit="1" customWidth="1"/>
    <col min="6" max="6" width="12" style="32" bestFit="1" customWidth="1"/>
    <col min="7" max="7" width="13.5" style="31" bestFit="1" customWidth="1"/>
    <col min="8" max="8" width="10.375" style="33" bestFit="1" customWidth="1"/>
    <col min="9" max="10" width="8.75" style="27" bestFit="1" customWidth="1"/>
    <col min="11" max="11" width="10.375" style="27" bestFit="1" customWidth="1"/>
    <col min="12" max="12" width="10.375" style="31" bestFit="1" customWidth="1"/>
    <col min="13" max="13" width="14.75" style="27" bestFit="1" customWidth="1"/>
    <col min="14" max="16384" width="5.375" style="27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B2" s="28" t="s">
        <v>0</v>
      </c>
      <c r="C2" s="29">
        <v>44227</v>
      </c>
      <c r="D2" s="30"/>
      <c r="L2" s="31" t="s">
        <v>1</v>
      </c>
    </row>
    <row r="3" spans="1:13" s="48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48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44197</v>
      </c>
      <c r="J4" s="39">
        <v>44227</v>
      </c>
      <c r="K4" s="24">
        <f t="shared" ref="K4:K34" si="0">J4-I4+1</f>
        <v>31</v>
      </c>
      <c r="L4" s="24">
        <f t="shared" ref="L4:L34" si="1">ROUND(G4*H4*K4/365,0)</f>
        <v>69007</v>
      </c>
      <c r="M4" s="24">
        <v>162500000</v>
      </c>
    </row>
    <row r="5" spans="1:13" s="48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44197</v>
      </c>
      <c r="J5" s="39">
        <v>44227</v>
      </c>
      <c r="K5" s="24">
        <f t="shared" si="0"/>
        <v>31</v>
      </c>
      <c r="L5" s="24">
        <f t="shared" si="1"/>
        <v>612</v>
      </c>
      <c r="M5" s="24">
        <v>2400000</v>
      </c>
    </row>
    <row r="6" spans="1:13" s="48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44197</v>
      </c>
      <c r="J6" s="39">
        <v>44227</v>
      </c>
      <c r="K6" s="24">
        <f t="shared" si="0"/>
        <v>31</v>
      </c>
      <c r="L6" s="24">
        <f t="shared" si="1"/>
        <v>3130</v>
      </c>
      <c r="M6" s="24">
        <v>7370000</v>
      </c>
    </row>
    <row r="7" spans="1:13" s="48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44197</v>
      </c>
      <c r="J7" s="39">
        <v>44227</v>
      </c>
      <c r="K7" s="24">
        <f t="shared" si="0"/>
        <v>31</v>
      </c>
      <c r="L7" s="24">
        <f t="shared" si="1"/>
        <v>2501</v>
      </c>
      <c r="M7" s="24">
        <v>5890000</v>
      </c>
    </row>
    <row r="8" spans="1:13" s="48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44197</v>
      </c>
      <c r="J8" s="39">
        <v>44227</v>
      </c>
      <c r="K8" s="24">
        <f t="shared" si="0"/>
        <v>31</v>
      </c>
      <c r="L8" s="24">
        <f t="shared" si="1"/>
        <v>1282</v>
      </c>
      <c r="M8" s="24">
        <v>3020000</v>
      </c>
    </row>
    <row r="9" spans="1:13" s="48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44197</v>
      </c>
      <c r="J9" s="39">
        <v>44227</v>
      </c>
      <c r="K9" s="24">
        <f t="shared" si="0"/>
        <v>31</v>
      </c>
      <c r="L9" s="24">
        <f t="shared" si="1"/>
        <v>35926</v>
      </c>
      <c r="M9" s="24">
        <v>84600000</v>
      </c>
    </row>
    <row r="10" spans="1:13" s="48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44197</v>
      </c>
      <c r="J10" s="39">
        <v>44227</v>
      </c>
      <c r="K10" s="24">
        <f t="shared" si="0"/>
        <v>31</v>
      </c>
      <c r="L10" s="24">
        <f t="shared" si="1"/>
        <v>25479</v>
      </c>
      <c r="M10" s="24">
        <v>60000000</v>
      </c>
    </row>
    <row r="11" spans="1:13" s="48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44197</v>
      </c>
      <c r="J11" s="39">
        <v>44227</v>
      </c>
      <c r="K11" s="24">
        <f t="shared" si="0"/>
        <v>31</v>
      </c>
      <c r="L11" s="24">
        <f t="shared" si="1"/>
        <v>41277</v>
      </c>
      <c r="M11" s="24">
        <v>162000000</v>
      </c>
    </row>
    <row r="12" spans="1:13" s="48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44197</v>
      </c>
      <c r="J12" s="39">
        <v>44227</v>
      </c>
      <c r="K12" s="24">
        <f t="shared" si="0"/>
        <v>31</v>
      </c>
      <c r="L12" s="24">
        <f t="shared" si="1"/>
        <v>1761</v>
      </c>
      <c r="M12" s="24">
        <v>4147000</v>
      </c>
    </row>
    <row r="13" spans="1:13" s="48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44197</v>
      </c>
      <c r="J13" s="39">
        <v>44227</v>
      </c>
      <c r="K13" s="24">
        <f t="shared" si="0"/>
        <v>31</v>
      </c>
      <c r="L13" s="24">
        <f t="shared" si="1"/>
        <v>314</v>
      </c>
      <c r="M13" s="24">
        <v>740000</v>
      </c>
    </row>
    <row r="14" spans="1:13" s="48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44197</v>
      </c>
      <c r="J14" s="39">
        <v>44227</v>
      </c>
      <c r="K14" s="24">
        <f t="shared" si="0"/>
        <v>31</v>
      </c>
      <c r="L14" s="24">
        <f t="shared" si="1"/>
        <v>74838</v>
      </c>
      <c r="M14" s="24">
        <v>176232000</v>
      </c>
    </row>
    <row r="15" spans="1:13" s="48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44197</v>
      </c>
      <c r="J15" s="39">
        <v>44227</v>
      </c>
      <c r="K15" s="24">
        <f t="shared" si="0"/>
        <v>31</v>
      </c>
      <c r="L15" s="24">
        <f t="shared" si="1"/>
        <v>2731</v>
      </c>
      <c r="M15" s="24">
        <v>6430000</v>
      </c>
    </row>
    <row r="16" spans="1:13" s="48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44197</v>
      </c>
      <c r="J16" s="39">
        <v>44227</v>
      </c>
      <c r="K16" s="24">
        <f t="shared" si="0"/>
        <v>31</v>
      </c>
      <c r="L16" s="24">
        <f t="shared" si="1"/>
        <v>2293</v>
      </c>
      <c r="M16" s="24">
        <v>5400000</v>
      </c>
    </row>
    <row r="17" spans="1:13" s="48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44197</v>
      </c>
      <c r="J17" s="39">
        <v>44227</v>
      </c>
      <c r="K17" s="24">
        <f t="shared" si="0"/>
        <v>31</v>
      </c>
      <c r="L17" s="24">
        <f t="shared" si="1"/>
        <v>161</v>
      </c>
      <c r="M17" s="24">
        <v>380000</v>
      </c>
    </row>
    <row r="18" spans="1:13" s="48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44197</v>
      </c>
      <c r="J18" s="39">
        <v>44227</v>
      </c>
      <c r="K18" s="24">
        <f t="shared" si="0"/>
        <v>31</v>
      </c>
      <c r="L18" s="24">
        <f t="shared" si="1"/>
        <v>1019</v>
      </c>
      <c r="M18" s="24">
        <v>2400000</v>
      </c>
    </row>
    <row r="19" spans="1:13" s="48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44197</v>
      </c>
      <c r="J19" s="39">
        <v>44227</v>
      </c>
      <c r="K19" s="24">
        <f t="shared" si="0"/>
        <v>31</v>
      </c>
      <c r="L19" s="24">
        <f t="shared" si="1"/>
        <v>425</v>
      </c>
      <c r="M19" s="24">
        <v>1000000</v>
      </c>
    </row>
    <row r="20" spans="1:13" s="48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44197</v>
      </c>
      <c r="J20" s="39">
        <v>44227</v>
      </c>
      <c r="K20" s="24">
        <f t="shared" si="0"/>
        <v>31</v>
      </c>
      <c r="L20" s="24">
        <f t="shared" si="1"/>
        <v>4247</v>
      </c>
      <c r="M20" s="24">
        <v>10000000</v>
      </c>
    </row>
    <row r="21" spans="1:13" s="48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44197</v>
      </c>
      <c r="J21" s="39">
        <v>44227</v>
      </c>
      <c r="K21" s="24">
        <f t="shared" si="0"/>
        <v>31</v>
      </c>
      <c r="L21" s="24">
        <f t="shared" si="1"/>
        <v>106164</v>
      </c>
      <c r="M21" s="24">
        <v>250000000</v>
      </c>
    </row>
    <row r="22" spans="1:13" s="48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44197</v>
      </c>
      <c r="J22" s="39">
        <v>44227</v>
      </c>
      <c r="K22" s="24">
        <f t="shared" si="0"/>
        <v>31</v>
      </c>
      <c r="L22" s="24">
        <f t="shared" si="1"/>
        <v>84932</v>
      </c>
      <c r="M22" s="24">
        <v>200000000</v>
      </c>
    </row>
    <row r="23" spans="1:13" s="48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44197</v>
      </c>
      <c r="J23" s="39">
        <v>44227</v>
      </c>
      <c r="K23" s="24">
        <f t="shared" si="0"/>
        <v>31</v>
      </c>
      <c r="L23" s="24">
        <f t="shared" si="1"/>
        <v>3652</v>
      </c>
      <c r="M23" s="24">
        <v>8600000</v>
      </c>
    </row>
    <row r="24" spans="1:13" s="48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44197</v>
      </c>
      <c r="J24" s="39">
        <v>44227</v>
      </c>
      <c r="K24" s="24">
        <f t="shared" si="0"/>
        <v>31</v>
      </c>
      <c r="L24" s="24">
        <f t="shared" si="1"/>
        <v>704</v>
      </c>
      <c r="M24" s="24">
        <v>1657000</v>
      </c>
    </row>
    <row r="25" spans="1:13" s="48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44197</v>
      </c>
      <c r="J25" s="39">
        <v>44227</v>
      </c>
      <c r="K25" s="24">
        <f t="shared" si="0"/>
        <v>31</v>
      </c>
      <c r="L25" s="24">
        <f t="shared" si="1"/>
        <v>849</v>
      </c>
      <c r="M25" s="24">
        <v>2000000</v>
      </c>
    </row>
    <row r="26" spans="1:13" s="48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44197</v>
      </c>
      <c r="J26" s="39">
        <v>44227</v>
      </c>
      <c r="K26" s="24">
        <f t="shared" si="0"/>
        <v>31</v>
      </c>
      <c r="L26" s="24">
        <f t="shared" si="1"/>
        <v>12145</v>
      </c>
      <c r="M26" s="24">
        <v>28600000</v>
      </c>
    </row>
    <row r="27" spans="1:13" s="48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44200</v>
      </c>
      <c r="J27" s="39">
        <v>44227</v>
      </c>
      <c r="K27" s="24">
        <f t="shared" si="0"/>
        <v>28</v>
      </c>
      <c r="L27" s="24">
        <f t="shared" si="1"/>
        <v>230</v>
      </c>
      <c r="M27" s="24">
        <v>600000</v>
      </c>
    </row>
    <row r="28" spans="1:13" s="48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44217</v>
      </c>
      <c r="J28" s="39">
        <v>44227</v>
      </c>
      <c r="K28" s="24">
        <f t="shared" si="0"/>
        <v>11</v>
      </c>
      <c r="L28" s="24">
        <f t="shared" si="1"/>
        <v>5425</v>
      </c>
      <c r="M28" s="24">
        <v>60000000</v>
      </c>
    </row>
    <row r="29" spans="1:13" s="48" customFormat="1" outlineLevel="2">
      <c r="A29" s="39" t="s">
        <v>15</v>
      </c>
      <c r="B29" s="40" t="s">
        <v>59</v>
      </c>
      <c r="C29" s="41" t="s">
        <v>60</v>
      </c>
      <c r="D29" s="40" t="s">
        <v>61</v>
      </c>
      <c r="E29" s="24">
        <v>20000000</v>
      </c>
      <c r="F29" s="39">
        <v>43922</v>
      </c>
      <c r="G29" s="24">
        <v>20000000</v>
      </c>
      <c r="H29" s="23">
        <v>5.0000000000000001E-3</v>
      </c>
      <c r="I29" s="39">
        <v>44197</v>
      </c>
      <c r="J29" s="39">
        <v>44227</v>
      </c>
      <c r="K29" s="24">
        <f t="shared" si="0"/>
        <v>31</v>
      </c>
      <c r="L29" s="24">
        <f t="shared" si="1"/>
        <v>8493</v>
      </c>
      <c r="M29" s="24">
        <v>20000000</v>
      </c>
    </row>
    <row r="30" spans="1:13" s="48" customFormat="1" outlineLevel="2">
      <c r="A30" s="39" t="s">
        <v>15</v>
      </c>
      <c r="B30" s="40" t="s">
        <v>62</v>
      </c>
      <c r="C30" s="41" t="s">
        <v>55</v>
      </c>
      <c r="D30" s="40" t="s">
        <v>56</v>
      </c>
      <c r="E30" s="24">
        <v>10000000</v>
      </c>
      <c r="F30" s="39">
        <v>43934</v>
      </c>
      <c r="G30" s="24">
        <v>10000000</v>
      </c>
      <c r="H30" s="23">
        <v>5.0000000000000001E-3</v>
      </c>
      <c r="I30" s="39">
        <v>44197</v>
      </c>
      <c r="J30" s="39">
        <v>44227</v>
      </c>
      <c r="K30" s="24">
        <f t="shared" si="0"/>
        <v>31</v>
      </c>
      <c r="L30" s="24">
        <f t="shared" si="1"/>
        <v>4247</v>
      </c>
      <c r="M30" s="24">
        <v>10000000</v>
      </c>
    </row>
    <row r="31" spans="1:13" s="48" customFormat="1" outlineLevel="2">
      <c r="A31" s="39" t="s">
        <v>15</v>
      </c>
      <c r="B31" s="40" t="s">
        <v>63</v>
      </c>
      <c r="C31" s="41" t="s">
        <v>55</v>
      </c>
      <c r="D31" s="40" t="s">
        <v>56</v>
      </c>
      <c r="E31" s="24">
        <v>30000000</v>
      </c>
      <c r="F31" s="39">
        <v>43937</v>
      </c>
      <c r="G31" s="24">
        <v>30000000</v>
      </c>
      <c r="H31" s="23">
        <v>5.0000000000000001E-3</v>
      </c>
      <c r="I31" s="39">
        <v>44197</v>
      </c>
      <c r="J31" s="39">
        <v>44227</v>
      </c>
      <c r="K31" s="24">
        <f t="shared" si="0"/>
        <v>31</v>
      </c>
      <c r="L31" s="24">
        <f t="shared" si="1"/>
        <v>12740</v>
      </c>
      <c r="M31" s="24">
        <v>30000000</v>
      </c>
    </row>
    <row r="32" spans="1:13" s="48" customFormat="1" outlineLevel="2">
      <c r="A32" s="39" t="s">
        <v>15</v>
      </c>
      <c r="B32" s="40" t="s">
        <v>64</v>
      </c>
      <c r="C32" s="41" t="s">
        <v>55</v>
      </c>
      <c r="D32" s="40" t="s">
        <v>56</v>
      </c>
      <c r="E32" s="24">
        <v>58360000</v>
      </c>
      <c r="F32" s="39">
        <v>43929</v>
      </c>
      <c r="G32" s="24">
        <v>58360000</v>
      </c>
      <c r="H32" s="23">
        <v>5.0000000000000001E-3</v>
      </c>
      <c r="I32" s="39">
        <v>44197</v>
      </c>
      <c r="J32" s="39">
        <v>44227</v>
      </c>
      <c r="K32" s="24">
        <f t="shared" si="0"/>
        <v>31</v>
      </c>
      <c r="L32" s="24">
        <f t="shared" si="1"/>
        <v>24783</v>
      </c>
      <c r="M32" s="24">
        <v>58360000</v>
      </c>
    </row>
    <row r="33" spans="1:13" s="48" customFormat="1" outlineLevel="2">
      <c r="A33" s="39" t="s">
        <v>15</v>
      </c>
      <c r="B33" s="40" t="s">
        <v>65</v>
      </c>
      <c r="C33" s="41" t="s">
        <v>66</v>
      </c>
      <c r="D33" s="40" t="s">
        <v>67</v>
      </c>
      <c r="E33" s="24">
        <v>64000000</v>
      </c>
      <c r="F33" s="39">
        <v>43966</v>
      </c>
      <c r="G33" s="24">
        <v>64000000</v>
      </c>
      <c r="H33" s="23">
        <v>5.0000000000000001E-3</v>
      </c>
      <c r="I33" s="39">
        <v>44197</v>
      </c>
      <c r="J33" s="39">
        <v>44227</v>
      </c>
      <c r="K33" s="24">
        <f t="shared" si="0"/>
        <v>31</v>
      </c>
      <c r="L33" s="24">
        <f t="shared" si="1"/>
        <v>27178</v>
      </c>
      <c r="M33" s="24">
        <v>64000000</v>
      </c>
    </row>
    <row r="34" spans="1:13" s="48" customFormat="1" outlineLevel="2">
      <c r="A34" s="39" t="s">
        <v>15</v>
      </c>
      <c r="B34" s="40" t="s">
        <v>68</v>
      </c>
      <c r="C34" s="41" t="s">
        <v>55</v>
      </c>
      <c r="D34" s="40" t="s">
        <v>56</v>
      </c>
      <c r="E34" s="24">
        <v>11400000</v>
      </c>
      <c r="F34" s="39">
        <v>43962</v>
      </c>
      <c r="G34" s="24">
        <v>11400000</v>
      </c>
      <c r="H34" s="23">
        <v>5.0000000000000001E-3</v>
      </c>
      <c r="I34" s="39">
        <v>44197</v>
      </c>
      <c r="J34" s="39">
        <v>44227</v>
      </c>
      <c r="K34" s="24">
        <f t="shared" si="0"/>
        <v>31</v>
      </c>
      <c r="L34" s="24">
        <f t="shared" si="1"/>
        <v>4841</v>
      </c>
      <c r="M34" s="24">
        <v>11400000</v>
      </c>
    </row>
    <row r="35" spans="1:13" s="48" customFormat="1" outlineLevel="1">
      <c r="A35" s="42" t="s">
        <v>69</v>
      </c>
      <c r="B35" s="43"/>
      <c r="C35" s="44"/>
      <c r="D35" s="43"/>
      <c r="E35" s="45">
        <f>SUBTOTAL(9,E4:E34)</f>
        <v>1439726000</v>
      </c>
      <c r="F35" s="46"/>
      <c r="G35" s="45"/>
      <c r="H35" s="47"/>
      <c r="I35" s="46"/>
      <c r="J35" s="46"/>
      <c r="K35" s="45"/>
      <c r="L35" s="45">
        <f>SUBTOTAL(9,L4:L34)</f>
        <v>563386</v>
      </c>
      <c r="M35" s="45">
        <f>SUBTOTAL(9,M4:M34)</f>
        <v>1439726000</v>
      </c>
    </row>
    <row r="36" spans="1:13" s="48" customFormat="1" outlineLevel="2">
      <c r="A36" s="39" t="s">
        <v>70</v>
      </c>
      <c r="B36" s="40" t="s">
        <v>16</v>
      </c>
      <c r="C36" s="41" t="s">
        <v>27</v>
      </c>
      <c r="D36" s="40" t="s">
        <v>28</v>
      </c>
      <c r="E36" s="24">
        <v>21330000</v>
      </c>
      <c r="F36" s="39">
        <v>44046</v>
      </c>
      <c r="G36" s="24">
        <v>21330000</v>
      </c>
      <c r="H36" s="23">
        <v>5.0000000000000001E-3</v>
      </c>
      <c r="I36" s="39">
        <v>44197</v>
      </c>
      <c r="J36" s="39">
        <v>44227</v>
      </c>
      <c r="K36" s="24">
        <f>J36-I36+1</f>
        <v>31</v>
      </c>
      <c r="L36" s="24">
        <f>ROUND(G36*H36*K36/365,0)</f>
        <v>9058</v>
      </c>
      <c r="M36" s="24">
        <v>21330000</v>
      </c>
    </row>
    <row r="37" spans="1:13" s="48" customFormat="1" outlineLevel="2">
      <c r="A37" s="39" t="s">
        <v>70</v>
      </c>
      <c r="B37" s="40" t="s">
        <v>39</v>
      </c>
      <c r="C37" s="41" t="s">
        <v>27</v>
      </c>
      <c r="D37" s="40" t="s">
        <v>28</v>
      </c>
      <c r="E37" s="24">
        <v>8670000</v>
      </c>
      <c r="F37" s="39">
        <v>44060</v>
      </c>
      <c r="G37" s="24">
        <v>8670000</v>
      </c>
      <c r="H37" s="23">
        <v>5.0000000000000001E-3</v>
      </c>
      <c r="I37" s="39">
        <v>44197</v>
      </c>
      <c r="J37" s="39">
        <v>44227</v>
      </c>
      <c r="K37" s="24">
        <f>J37-I37+1</f>
        <v>31</v>
      </c>
      <c r="L37" s="24">
        <f>ROUND(G37*H37*K37/365,0)</f>
        <v>3682</v>
      </c>
      <c r="M37" s="24">
        <v>8670000</v>
      </c>
    </row>
    <row r="38" spans="1:13" s="48" customFormat="1" outlineLevel="2">
      <c r="A38" s="39" t="s">
        <v>70</v>
      </c>
      <c r="B38" s="40" t="s">
        <v>54</v>
      </c>
      <c r="C38" s="41" t="s">
        <v>71</v>
      </c>
      <c r="D38" s="40" t="s">
        <v>72</v>
      </c>
      <c r="E38" s="24">
        <v>10600000</v>
      </c>
      <c r="F38" s="39">
        <v>44085</v>
      </c>
      <c r="G38" s="24">
        <v>10600000</v>
      </c>
      <c r="H38" s="23">
        <v>5.0000000000000001E-3</v>
      </c>
      <c r="I38" s="39">
        <v>44197</v>
      </c>
      <c r="J38" s="39">
        <v>44227</v>
      </c>
      <c r="K38" s="24">
        <f>J38-I38+1</f>
        <v>31</v>
      </c>
      <c r="L38" s="24">
        <f>ROUND(G38*H38*K38/365,0)</f>
        <v>4501</v>
      </c>
      <c r="M38" s="24">
        <v>10600000</v>
      </c>
    </row>
    <row r="39" spans="1:13" s="48" customFormat="1" outlineLevel="2">
      <c r="A39" s="39" t="s">
        <v>70</v>
      </c>
      <c r="B39" s="40" t="s">
        <v>59</v>
      </c>
      <c r="C39" s="41" t="s">
        <v>73</v>
      </c>
      <c r="D39" s="40" t="s">
        <v>74</v>
      </c>
      <c r="E39" s="24">
        <v>40170000</v>
      </c>
      <c r="F39" s="39">
        <v>44172</v>
      </c>
      <c r="G39" s="24">
        <v>40170000</v>
      </c>
      <c r="H39" s="23">
        <v>5.0000000000000001E-3</v>
      </c>
      <c r="I39" s="39">
        <v>44197</v>
      </c>
      <c r="J39" s="39">
        <v>44227</v>
      </c>
      <c r="K39" s="24">
        <f>J39-I39+1</f>
        <v>31</v>
      </c>
      <c r="L39" s="24">
        <f>ROUND(G39*H39*K39/365,0)</f>
        <v>17058</v>
      </c>
      <c r="M39" s="24">
        <v>40170000</v>
      </c>
    </row>
    <row r="40" spans="1:13" s="48" customFormat="1" outlineLevel="2">
      <c r="A40" s="39" t="s">
        <v>70</v>
      </c>
      <c r="B40" s="40" t="s">
        <v>62</v>
      </c>
      <c r="C40" s="41" t="s">
        <v>75</v>
      </c>
      <c r="D40" s="40" t="s">
        <v>76</v>
      </c>
      <c r="E40" s="24">
        <v>5170000</v>
      </c>
      <c r="F40" s="39">
        <v>44166</v>
      </c>
      <c r="G40" s="24">
        <v>5170000</v>
      </c>
      <c r="H40" s="23">
        <v>5.0000000000000001E-3</v>
      </c>
      <c r="I40" s="39">
        <v>44197</v>
      </c>
      <c r="J40" s="39">
        <v>44227</v>
      </c>
      <c r="K40" s="24">
        <f>J40-I40+1</f>
        <v>31</v>
      </c>
      <c r="L40" s="24">
        <f>ROUND(G40*H40*K40/365,0)</f>
        <v>2195</v>
      </c>
      <c r="M40" s="24">
        <v>5170000</v>
      </c>
    </row>
    <row r="41" spans="1:13" s="48" customFormat="1" outlineLevel="1">
      <c r="A41" s="42" t="s">
        <v>77</v>
      </c>
      <c r="B41" s="43"/>
      <c r="C41" s="44"/>
      <c r="D41" s="43"/>
      <c r="E41" s="45">
        <f>SUBTOTAL(9,E36:E40)</f>
        <v>85940000</v>
      </c>
      <c r="F41" s="46"/>
      <c r="G41" s="45"/>
      <c r="H41" s="47"/>
      <c r="I41" s="46"/>
      <c r="J41" s="46"/>
      <c r="K41" s="45"/>
      <c r="L41" s="45">
        <f>SUBTOTAL(9,L36:L40)</f>
        <v>36494</v>
      </c>
      <c r="M41" s="45">
        <f>SUBTOTAL(9,M36:M40)</f>
        <v>85940000</v>
      </c>
    </row>
    <row r="42" spans="1:13" s="48" customFormat="1" outlineLevel="2">
      <c r="A42" s="39" t="s">
        <v>78</v>
      </c>
      <c r="B42" s="40" t="s">
        <v>16</v>
      </c>
      <c r="C42" s="41" t="s">
        <v>55</v>
      </c>
      <c r="D42" s="40" t="s">
        <v>56</v>
      </c>
      <c r="E42" s="24">
        <v>26500000</v>
      </c>
      <c r="F42" s="39">
        <v>43907</v>
      </c>
      <c r="G42" s="24">
        <v>23660716</v>
      </c>
      <c r="H42" s="23">
        <v>5.0000000000000001E-3</v>
      </c>
      <c r="I42" s="39">
        <v>44197</v>
      </c>
      <c r="J42" s="39">
        <v>44210</v>
      </c>
      <c r="K42" s="24">
        <f t="shared" ref="K42:K90" si="2">J42-I42+1</f>
        <v>14</v>
      </c>
      <c r="L42" s="24">
        <f t="shared" ref="L42:L90" si="3">ROUND(G42*H42*K42/365,0)</f>
        <v>4538</v>
      </c>
      <c r="M42" s="24">
        <v>23345240</v>
      </c>
    </row>
    <row r="43" spans="1:13" s="48" customFormat="1" outlineLevel="2">
      <c r="A43" s="39" t="s">
        <v>78</v>
      </c>
      <c r="B43" s="40" t="s">
        <v>16</v>
      </c>
      <c r="C43" s="41" t="s">
        <v>55</v>
      </c>
      <c r="D43" s="40"/>
      <c r="E43" s="24"/>
      <c r="F43" s="39"/>
      <c r="G43" s="24">
        <v>23345240</v>
      </c>
      <c r="H43" s="23">
        <v>5.0000000000000001E-3</v>
      </c>
      <c r="I43" s="39">
        <v>44211</v>
      </c>
      <c r="J43" s="39">
        <v>44227</v>
      </c>
      <c r="K43" s="24">
        <f t="shared" si="2"/>
        <v>17</v>
      </c>
      <c r="L43" s="24">
        <f t="shared" si="3"/>
        <v>5437</v>
      </c>
      <c r="M43" s="24"/>
    </row>
    <row r="44" spans="1:13" s="48" customFormat="1" outlineLevel="2">
      <c r="A44" s="39" t="s">
        <v>78</v>
      </c>
      <c r="B44" s="40" t="s">
        <v>19</v>
      </c>
      <c r="C44" s="41" t="s">
        <v>79</v>
      </c>
      <c r="D44" s="40" t="s">
        <v>80</v>
      </c>
      <c r="E44" s="24">
        <v>130000000</v>
      </c>
      <c r="F44" s="39">
        <v>44013</v>
      </c>
      <c r="G44" s="24">
        <v>130000000</v>
      </c>
      <c r="H44" s="23">
        <v>5.0000000000000001E-3</v>
      </c>
      <c r="I44" s="39">
        <v>44197</v>
      </c>
      <c r="J44" s="39">
        <v>44227</v>
      </c>
      <c r="K44" s="24">
        <f t="shared" si="2"/>
        <v>31</v>
      </c>
      <c r="L44" s="24">
        <f t="shared" si="3"/>
        <v>55205</v>
      </c>
      <c r="M44" s="24">
        <v>130000000</v>
      </c>
    </row>
    <row r="45" spans="1:13" s="48" customFormat="1" outlineLevel="2">
      <c r="A45" s="39" t="s">
        <v>78</v>
      </c>
      <c r="B45" s="40" t="s">
        <v>22</v>
      </c>
      <c r="C45" s="41" t="s">
        <v>81</v>
      </c>
      <c r="D45" s="40" t="s">
        <v>82</v>
      </c>
      <c r="E45" s="24">
        <v>3400000</v>
      </c>
      <c r="F45" s="39">
        <v>44063</v>
      </c>
      <c r="G45" s="24">
        <v>3165520</v>
      </c>
      <c r="H45" s="23">
        <v>5.0000000000000001E-3</v>
      </c>
      <c r="I45" s="39">
        <v>44197</v>
      </c>
      <c r="J45" s="39">
        <v>44210</v>
      </c>
      <c r="K45" s="24">
        <f t="shared" si="2"/>
        <v>14</v>
      </c>
      <c r="L45" s="24">
        <f t="shared" si="3"/>
        <v>607</v>
      </c>
      <c r="M45" s="24">
        <v>3106900</v>
      </c>
    </row>
    <row r="46" spans="1:13" s="48" customFormat="1" outlineLevel="2">
      <c r="A46" s="39" t="s">
        <v>78</v>
      </c>
      <c r="B46" s="40" t="s">
        <v>22</v>
      </c>
      <c r="C46" s="41" t="s">
        <v>81</v>
      </c>
      <c r="D46" s="40"/>
      <c r="E46" s="24"/>
      <c r="F46" s="39"/>
      <c r="G46" s="24">
        <v>3106900</v>
      </c>
      <c r="H46" s="23">
        <v>5.0000000000000001E-3</v>
      </c>
      <c r="I46" s="39">
        <v>44211</v>
      </c>
      <c r="J46" s="39">
        <v>44227</v>
      </c>
      <c r="K46" s="24">
        <f t="shared" si="2"/>
        <v>17</v>
      </c>
      <c r="L46" s="24">
        <f t="shared" si="3"/>
        <v>724</v>
      </c>
      <c r="M46" s="24"/>
    </row>
    <row r="47" spans="1:13" s="48" customFormat="1" outlineLevel="2">
      <c r="A47" s="39" t="s">
        <v>78</v>
      </c>
      <c r="B47" s="40" t="s">
        <v>25</v>
      </c>
      <c r="C47" s="41" t="s">
        <v>81</v>
      </c>
      <c r="D47" s="40" t="s">
        <v>82</v>
      </c>
      <c r="E47" s="24">
        <v>9800000</v>
      </c>
      <c r="F47" s="39">
        <v>44071</v>
      </c>
      <c r="G47" s="24">
        <v>9124132</v>
      </c>
      <c r="H47" s="23">
        <v>5.0000000000000001E-3</v>
      </c>
      <c r="I47" s="39">
        <v>44197</v>
      </c>
      <c r="J47" s="39">
        <v>44210</v>
      </c>
      <c r="K47" s="24">
        <f t="shared" si="2"/>
        <v>14</v>
      </c>
      <c r="L47" s="24">
        <f t="shared" si="3"/>
        <v>1750</v>
      </c>
      <c r="M47" s="24">
        <v>8955165</v>
      </c>
    </row>
    <row r="48" spans="1:13" s="48" customFormat="1" outlineLevel="2">
      <c r="A48" s="39" t="s">
        <v>78</v>
      </c>
      <c r="B48" s="40" t="s">
        <v>25</v>
      </c>
      <c r="C48" s="41" t="s">
        <v>81</v>
      </c>
      <c r="D48" s="40"/>
      <c r="E48" s="24"/>
      <c r="F48" s="39"/>
      <c r="G48" s="24">
        <v>8955165</v>
      </c>
      <c r="H48" s="23">
        <v>5.0000000000000001E-3</v>
      </c>
      <c r="I48" s="39">
        <v>44211</v>
      </c>
      <c r="J48" s="39">
        <v>44227</v>
      </c>
      <c r="K48" s="24">
        <f t="shared" si="2"/>
        <v>17</v>
      </c>
      <c r="L48" s="24">
        <f t="shared" si="3"/>
        <v>2085</v>
      </c>
      <c r="M48" s="24"/>
    </row>
    <row r="49" spans="1:13" s="48" customFormat="1" outlineLevel="2">
      <c r="A49" s="39" t="s">
        <v>78</v>
      </c>
      <c r="B49" s="40" t="s">
        <v>26</v>
      </c>
      <c r="C49" s="41" t="s">
        <v>83</v>
      </c>
      <c r="D49" s="40" t="s">
        <v>84</v>
      </c>
      <c r="E49" s="24">
        <v>201000000</v>
      </c>
      <c r="F49" s="39">
        <v>44064</v>
      </c>
      <c r="G49" s="24">
        <v>201000000</v>
      </c>
      <c r="H49" s="23">
        <v>5.0000000000000001E-3</v>
      </c>
      <c r="I49" s="39">
        <v>44197</v>
      </c>
      <c r="J49" s="39">
        <v>44227</v>
      </c>
      <c r="K49" s="24">
        <f t="shared" si="2"/>
        <v>31</v>
      </c>
      <c r="L49" s="24">
        <f t="shared" si="3"/>
        <v>85356</v>
      </c>
      <c r="M49" s="24">
        <v>201000000</v>
      </c>
    </row>
    <row r="50" spans="1:13" s="48" customFormat="1" outlineLevel="2">
      <c r="A50" s="39" t="s">
        <v>78</v>
      </c>
      <c r="B50" s="40" t="s">
        <v>29</v>
      </c>
      <c r="C50" s="41" t="s">
        <v>85</v>
      </c>
      <c r="D50" s="40" t="s">
        <v>86</v>
      </c>
      <c r="E50" s="24">
        <v>211550000</v>
      </c>
      <c r="F50" s="39">
        <v>44078</v>
      </c>
      <c r="G50" s="24">
        <v>211550000</v>
      </c>
      <c r="H50" s="23">
        <v>5.0000000000000001E-3</v>
      </c>
      <c r="I50" s="39">
        <v>44197</v>
      </c>
      <c r="J50" s="39">
        <v>44227</v>
      </c>
      <c r="K50" s="24">
        <f t="shared" si="2"/>
        <v>31</v>
      </c>
      <c r="L50" s="24">
        <f t="shared" si="3"/>
        <v>89836</v>
      </c>
      <c r="M50" s="24">
        <v>211550000</v>
      </c>
    </row>
    <row r="51" spans="1:13" s="48" customFormat="1" outlineLevel="2">
      <c r="A51" s="39" t="s">
        <v>78</v>
      </c>
      <c r="B51" s="40" t="s">
        <v>32</v>
      </c>
      <c r="C51" s="41" t="s">
        <v>85</v>
      </c>
      <c r="D51" s="40" t="s">
        <v>86</v>
      </c>
      <c r="E51" s="24">
        <v>91330000</v>
      </c>
      <c r="F51" s="39">
        <v>44120</v>
      </c>
      <c r="G51" s="24">
        <v>91330000</v>
      </c>
      <c r="H51" s="23">
        <v>5.0000000000000001E-3</v>
      </c>
      <c r="I51" s="39">
        <v>44197</v>
      </c>
      <c r="J51" s="39">
        <v>44227</v>
      </c>
      <c r="K51" s="24">
        <f t="shared" si="2"/>
        <v>31</v>
      </c>
      <c r="L51" s="24">
        <f t="shared" si="3"/>
        <v>38784</v>
      </c>
      <c r="M51" s="24">
        <v>91330000</v>
      </c>
    </row>
    <row r="52" spans="1:13" s="48" customFormat="1" outlineLevel="2">
      <c r="A52" s="39" t="s">
        <v>78</v>
      </c>
      <c r="B52" s="40" t="s">
        <v>33</v>
      </c>
      <c r="C52" s="41" t="s">
        <v>45</v>
      </c>
      <c r="D52" s="40" t="s">
        <v>46</v>
      </c>
      <c r="E52" s="24">
        <v>10000000</v>
      </c>
      <c r="F52" s="39">
        <v>44120</v>
      </c>
      <c r="G52" s="24">
        <v>10000000</v>
      </c>
      <c r="H52" s="23">
        <v>5.0000000000000001E-3</v>
      </c>
      <c r="I52" s="39">
        <v>44197</v>
      </c>
      <c r="J52" s="39">
        <v>44227</v>
      </c>
      <c r="K52" s="24">
        <f t="shared" si="2"/>
        <v>31</v>
      </c>
      <c r="L52" s="24">
        <f t="shared" si="3"/>
        <v>4247</v>
      </c>
      <c r="M52" s="24">
        <v>10000000</v>
      </c>
    </row>
    <row r="53" spans="1:13" s="48" customFormat="1" outlineLevel="2">
      <c r="A53" s="39" t="s">
        <v>78</v>
      </c>
      <c r="B53" s="40" t="s">
        <v>34</v>
      </c>
      <c r="C53" s="41" t="s">
        <v>87</v>
      </c>
      <c r="D53" s="40" t="s">
        <v>88</v>
      </c>
      <c r="E53" s="24">
        <v>40000000</v>
      </c>
      <c r="F53" s="39">
        <v>44131</v>
      </c>
      <c r="G53" s="24">
        <v>40000000</v>
      </c>
      <c r="H53" s="23">
        <v>5.0000000000000001E-3</v>
      </c>
      <c r="I53" s="39">
        <v>44197</v>
      </c>
      <c r="J53" s="39">
        <v>44227</v>
      </c>
      <c r="K53" s="24">
        <f t="shared" si="2"/>
        <v>31</v>
      </c>
      <c r="L53" s="24">
        <f t="shared" si="3"/>
        <v>16986</v>
      </c>
      <c r="M53" s="24">
        <v>40000000</v>
      </c>
    </row>
    <row r="54" spans="1:13" s="48" customFormat="1" outlineLevel="2">
      <c r="A54" s="39" t="s">
        <v>78</v>
      </c>
      <c r="B54" s="40" t="s">
        <v>35</v>
      </c>
      <c r="C54" s="41" t="s">
        <v>89</v>
      </c>
      <c r="D54" s="40" t="s">
        <v>90</v>
      </c>
      <c r="E54" s="24">
        <v>88000000</v>
      </c>
      <c r="F54" s="39">
        <v>44119</v>
      </c>
      <c r="G54" s="24">
        <v>88000000</v>
      </c>
      <c r="H54" s="23">
        <v>5.0000000000000001E-3</v>
      </c>
      <c r="I54" s="39">
        <v>44197</v>
      </c>
      <c r="J54" s="39">
        <v>44227</v>
      </c>
      <c r="K54" s="24">
        <f t="shared" si="2"/>
        <v>31</v>
      </c>
      <c r="L54" s="24">
        <f t="shared" si="3"/>
        <v>37370</v>
      </c>
      <c r="M54" s="24">
        <v>88000000</v>
      </c>
    </row>
    <row r="55" spans="1:13" s="48" customFormat="1" outlineLevel="2">
      <c r="A55" s="39" t="s">
        <v>78</v>
      </c>
      <c r="B55" s="40" t="s">
        <v>36</v>
      </c>
      <c r="C55" s="41" t="s">
        <v>91</v>
      </c>
      <c r="D55" s="40" t="s">
        <v>92</v>
      </c>
      <c r="E55" s="24">
        <v>65800000</v>
      </c>
      <c r="F55" s="39">
        <v>44119</v>
      </c>
      <c r="G55" s="24">
        <v>65800000</v>
      </c>
      <c r="H55" s="23">
        <v>5.0000000000000001E-3</v>
      </c>
      <c r="I55" s="39">
        <v>44197</v>
      </c>
      <c r="J55" s="39">
        <v>44227</v>
      </c>
      <c r="K55" s="24">
        <f t="shared" si="2"/>
        <v>31</v>
      </c>
      <c r="L55" s="24">
        <f t="shared" si="3"/>
        <v>27942</v>
      </c>
      <c r="M55" s="24">
        <v>65800000</v>
      </c>
    </row>
    <row r="56" spans="1:13" s="48" customFormat="1" outlineLevel="2">
      <c r="A56" s="39" t="s">
        <v>78</v>
      </c>
      <c r="B56" s="40" t="s">
        <v>39</v>
      </c>
      <c r="C56" s="41" t="s">
        <v>60</v>
      </c>
      <c r="D56" s="40" t="s">
        <v>61</v>
      </c>
      <c r="E56" s="24">
        <v>90000000</v>
      </c>
      <c r="F56" s="39">
        <v>43913</v>
      </c>
      <c r="G56" s="24">
        <v>90000000</v>
      </c>
      <c r="H56" s="23">
        <v>5.0000000000000001E-3</v>
      </c>
      <c r="I56" s="39">
        <v>44197</v>
      </c>
      <c r="J56" s="39">
        <v>44227</v>
      </c>
      <c r="K56" s="24">
        <f t="shared" si="2"/>
        <v>31</v>
      </c>
      <c r="L56" s="24">
        <f t="shared" si="3"/>
        <v>38219</v>
      </c>
      <c r="M56" s="24">
        <v>90000000</v>
      </c>
    </row>
    <row r="57" spans="1:13" s="48" customFormat="1" outlineLevel="2">
      <c r="A57" s="39" t="s">
        <v>78</v>
      </c>
      <c r="B57" s="40" t="s">
        <v>40</v>
      </c>
      <c r="C57" s="41" t="s">
        <v>93</v>
      </c>
      <c r="D57" s="40" t="s">
        <v>94</v>
      </c>
      <c r="E57" s="24">
        <v>7611996</v>
      </c>
      <c r="F57" s="39">
        <v>44151</v>
      </c>
      <c r="G57" s="24">
        <v>7611996</v>
      </c>
      <c r="H57" s="23">
        <v>5.0000000000000001E-3</v>
      </c>
      <c r="I57" s="39">
        <v>44197</v>
      </c>
      <c r="J57" s="39">
        <v>44227</v>
      </c>
      <c r="K57" s="24">
        <f t="shared" si="2"/>
        <v>31</v>
      </c>
      <c r="L57" s="24">
        <f t="shared" si="3"/>
        <v>3232</v>
      </c>
      <c r="M57" s="24">
        <v>7611996</v>
      </c>
    </row>
    <row r="58" spans="1:13" s="48" customFormat="1" outlineLevel="2">
      <c r="A58" s="39" t="s">
        <v>78</v>
      </c>
      <c r="B58" s="40" t="s">
        <v>41</v>
      </c>
      <c r="C58" s="41" t="s">
        <v>93</v>
      </c>
      <c r="D58" s="40" t="s">
        <v>94</v>
      </c>
      <c r="E58" s="24">
        <v>4900000</v>
      </c>
      <c r="F58" s="39">
        <v>44151</v>
      </c>
      <c r="G58" s="24">
        <v>4900000</v>
      </c>
      <c r="H58" s="23">
        <v>5.0000000000000001E-3</v>
      </c>
      <c r="I58" s="39">
        <v>44197</v>
      </c>
      <c r="J58" s="39">
        <v>44227</v>
      </c>
      <c r="K58" s="24">
        <f t="shared" si="2"/>
        <v>31</v>
      </c>
      <c r="L58" s="24">
        <f t="shared" si="3"/>
        <v>2081</v>
      </c>
      <c r="M58" s="24">
        <v>4900000</v>
      </c>
    </row>
    <row r="59" spans="1:13" s="48" customFormat="1" outlineLevel="2">
      <c r="A59" s="39" t="s">
        <v>78</v>
      </c>
      <c r="B59" s="40" t="s">
        <v>42</v>
      </c>
      <c r="C59" s="41" t="s">
        <v>93</v>
      </c>
      <c r="D59" s="40" t="s">
        <v>94</v>
      </c>
      <c r="E59" s="24">
        <v>21838392</v>
      </c>
      <c r="F59" s="39">
        <v>44151</v>
      </c>
      <c r="G59" s="24">
        <v>21838392</v>
      </c>
      <c r="H59" s="23">
        <v>5.0000000000000001E-3</v>
      </c>
      <c r="I59" s="39">
        <v>44197</v>
      </c>
      <c r="J59" s="39">
        <v>44227</v>
      </c>
      <c r="K59" s="24">
        <f t="shared" si="2"/>
        <v>31</v>
      </c>
      <c r="L59" s="24">
        <f t="shared" si="3"/>
        <v>9274</v>
      </c>
      <c r="M59" s="24">
        <v>21838392</v>
      </c>
    </row>
    <row r="60" spans="1:13" s="48" customFormat="1" outlineLevel="2">
      <c r="A60" s="39" t="s">
        <v>78</v>
      </c>
      <c r="B60" s="40" t="s">
        <v>43</v>
      </c>
      <c r="C60" s="41" t="s">
        <v>95</v>
      </c>
      <c r="D60" s="40" t="s">
        <v>96</v>
      </c>
      <c r="E60" s="24">
        <v>41950000</v>
      </c>
      <c r="F60" s="39">
        <v>44154</v>
      </c>
      <c r="G60" s="24">
        <v>41950000</v>
      </c>
      <c r="H60" s="23">
        <v>5.0000000000000001E-3</v>
      </c>
      <c r="I60" s="39">
        <v>44197</v>
      </c>
      <c r="J60" s="39">
        <v>44227</v>
      </c>
      <c r="K60" s="24">
        <f t="shared" si="2"/>
        <v>31</v>
      </c>
      <c r="L60" s="24">
        <f t="shared" si="3"/>
        <v>17814</v>
      </c>
      <c r="M60" s="24">
        <v>41950000</v>
      </c>
    </row>
    <row r="61" spans="1:13" s="48" customFormat="1" outlineLevel="2">
      <c r="A61" s="39" t="s">
        <v>78</v>
      </c>
      <c r="B61" s="40" t="s">
        <v>44</v>
      </c>
      <c r="C61" s="41" t="s">
        <v>95</v>
      </c>
      <c r="D61" s="40" t="s">
        <v>96</v>
      </c>
      <c r="E61" s="24">
        <v>30000000</v>
      </c>
      <c r="F61" s="39">
        <v>44154</v>
      </c>
      <c r="G61" s="24">
        <v>29642857</v>
      </c>
      <c r="H61" s="23">
        <v>5.0000000000000001E-3</v>
      </c>
      <c r="I61" s="39">
        <v>44197</v>
      </c>
      <c r="J61" s="39">
        <v>44210</v>
      </c>
      <c r="K61" s="24">
        <f t="shared" si="2"/>
        <v>14</v>
      </c>
      <c r="L61" s="24">
        <f t="shared" si="3"/>
        <v>5685</v>
      </c>
      <c r="M61" s="24">
        <v>29285714</v>
      </c>
    </row>
    <row r="62" spans="1:13" s="48" customFormat="1" outlineLevel="2">
      <c r="A62" s="39" t="s">
        <v>78</v>
      </c>
      <c r="B62" s="40" t="s">
        <v>44</v>
      </c>
      <c r="C62" s="41" t="s">
        <v>95</v>
      </c>
      <c r="D62" s="40"/>
      <c r="E62" s="24"/>
      <c r="F62" s="39"/>
      <c r="G62" s="24">
        <v>29285714</v>
      </c>
      <c r="H62" s="23">
        <v>5.0000000000000001E-3</v>
      </c>
      <c r="I62" s="39">
        <v>44211</v>
      </c>
      <c r="J62" s="39">
        <v>44227</v>
      </c>
      <c r="K62" s="24">
        <f t="shared" si="2"/>
        <v>17</v>
      </c>
      <c r="L62" s="24">
        <f t="shared" si="3"/>
        <v>6820</v>
      </c>
      <c r="M62" s="24"/>
    </row>
    <row r="63" spans="1:13" s="48" customFormat="1" outlineLevel="2">
      <c r="A63" s="39" t="s">
        <v>78</v>
      </c>
      <c r="B63" s="40" t="s">
        <v>47</v>
      </c>
      <c r="C63" s="41" t="s">
        <v>81</v>
      </c>
      <c r="D63" s="40" t="s">
        <v>82</v>
      </c>
      <c r="E63" s="24">
        <v>3490000</v>
      </c>
      <c r="F63" s="39">
        <v>44138</v>
      </c>
      <c r="G63" s="24">
        <v>3426545</v>
      </c>
      <c r="H63" s="23">
        <v>5.0000000000000001E-3</v>
      </c>
      <c r="I63" s="39">
        <v>44197</v>
      </c>
      <c r="J63" s="39">
        <v>44210</v>
      </c>
      <c r="K63" s="24">
        <f t="shared" si="2"/>
        <v>14</v>
      </c>
      <c r="L63" s="24">
        <f t="shared" si="3"/>
        <v>657</v>
      </c>
      <c r="M63" s="24">
        <v>3363090</v>
      </c>
    </row>
    <row r="64" spans="1:13" s="48" customFormat="1" outlineLevel="2">
      <c r="A64" s="39" t="s">
        <v>78</v>
      </c>
      <c r="B64" s="40" t="s">
        <v>47</v>
      </c>
      <c r="C64" s="41" t="s">
        <v>81</v>
      </c>
      <c r="D64" s="40"/>
      <c r="E64" s="24"/>
      <c r="F64" s="39"/>
      <c r="G64" s="24">
        <v>3363090</v>
      </c>
      <c r="H64" s="23">
        <v>5.0000000000000001E-3</v>
      </c>
      <c r="I64" s="39">
        <v>44211</v>
      </c>
      <c r="J64" s="39">
        <v>44227</v>
      </c>
      <c r="K64" s="24">
        <f t="shared" si="2"/>
        <v>17</v>
      </c>
      <c r="L64" s="24">
        <f t="shared" si="3"/>
        <v>783</v>
      </c>
      <c r="M64" s="24"/>
    </row>
    <row r="65" spans="1:13" s="48" customFormat="1" outlineLevel="2">
      <c r="A65" s="39" t="s">
        <v>78</v>
      </c>
      <c r="B65" s="40" t="s">
        <v>50</v>
      </c>
      <c r="C65" s="41" t="s">
        <v>81</v>
      </c>
      <c r="D65" s="40" t="s">
        <v>82</v>
      </c>
      <c r="E65" s="24">
        <v>1970000</v>
      </c>
      <c r="F65" s="39">
        <v>44147</v>
      </c>
      <c r="G65" s="24">
        <v>1934181</v>
      </c>
      <c r="H65" s="23">
        <v>5.0000000000000001E-3</v>
      </c>
      <c r="I65" s="39">
        <v>44197</v>
      </c>
      <c r="J65" s="39">
        <v>44210</v>
      </c>
      <c r="K65" s="24">
        <f t="shared" si="2"/>
        <v>14</v>
      </c>
      <c r="L65" s="24">
        <f t="shared" si="3"/>
        <v>371</v>
      </c>
      <c r="M65" s="24">
        <v>1898362</v>
      </c>
    </row>
    <row r="66" spans="1:13" s="48" customFormat="1" outlineLevel="2">
      <c r="A66" s="39" t="s">
        <v>78</v>
      </c>
      <c r="B66" s="40" t="s">
        <v>50</v>
      </c>
      <c r="C66" s="41" t="s">
        <v>81</v>
      </c>
      <c r="D66" s="40"/>
      <c r="E66" s="24"/>
      <c r="F66" s="39"/>
      <c r="G66" s="24">
        <v>1898362</v>
      </c>
      <c r="H66" s="23">
        <v>5.0000000000000001E-3</v>
      </c>
      <c r="I66" s="39">
        <v>44211</v>
      </c>
      <c r="J66" s="39">
        <v>44227</v>
      </c>
      <c r="K66" s="24">
        <f t="shared" si="2"/>
        <v>17</v>
      </c>
      <c r="L66" s="24">
        <f t="shared" si="3"/>
        <v>442</v>
      </c>
      <c r="M66" s="24"/>
    </row>
    <row r="67" spans="1:13" s="48" customFormat="1" outlineLevel="2">
      <c r="A67" s="39" t="s">
        <v>78</v>
      </c>
      <c r="B67" s="40" t="s">
        <v>51</v>
      </c>
      <c r="C67" s="41" t="s">
        <v>93</v>
      </c>
      <c r="D67" s="40" t="s">
        <v>94</v>
      </c>
      <c r="E67" s="24">
        <v>20979731</v>
      </c>
      <c r="F67" s="39">
        <v>44167</v>
      </c>
      <c r="G67" s="24">
        <v>20979731</v>
      </c>
      <c r="H67" s="23">
        <v>5.0000000000000001E-3</v>
      </c>
      <c r="I67" s="39">
        <v>44197</v>
      </c>
      <c r="J67" s="39">
        <v>44227</v>
      </c>
      <c r="K67" s="24">
        <f t="shared" si="2"/>
        <v>31</v>
      </c>
      <c r="L67" s="24">
        <f t="shared" si="3"/>
        <v>8909</v>
      </c>
      <c r="M67" s="24">
        <v>20979731</v>
      </c>
    </row>
    <row r="68" spans="1:13" s="48" customFormat="1" outlineLevel="2">
      <c r="A68" s="39" t="s">
        <v>78</v>
      </c>
      <c r="B68" s="40" t="s">
        <v>52</v>
      </c>
      <c r="C68" s="41" t="s">
        <v>93</v>
      </c>
      <c r="D68" s="40" t="s">
        <v>94</v>
      </c>
      <c r="E68" s="24">
        <v>15036832</v>
      </c>
      <c r="F68" s="39">
        <v>44181</v>
      </c>
      <c r="G68" s="24">
        <v>15036832</v>
      </c>
      <c r="H68" s="23">
        <v>5.0000000000000001E-3</v>
      </c>
      <c r="I68" s="39">
        <v>44197</v>
      </c>
      <c r="J68" s="39">
        <v>44227</v>
      </c>
      <c r="K68" s="24">
        <f t="shared" si="2"/>
        <v>31</v>
      </c>
      <c r="L68" s="24">
        <f t="shared" si="3"/>
        <v>6386</v>
      </c>
      <c r="M68" s="24">
        <v>15036832</v>
      </c>
    </row>
    <row r="69" spans="1:13" s="48" customFormat="1" outlineLevel="2">
      <c r="A69" s="39" t="s">
        <v>78</v>
      </c>
      <c r="B69" s="40" t="s">
        <v>53</v>
      </c>
      <c r="C69" s="41" t="s">
        <v>93</v>
      </c>
      <c r="D69" s="40" t="s">
        <v>94</v>
      </c>
      <c r="E69" s="24">
        <v>2070415</v>
      </c>
      <c r="F69" s="39">
        <v>44193</v>
      </c>
      <c r="G69" s="24">
        <v>2070415</v>
      </c>
      <c r="H69" s="23">
        <v>5.0000000000000001E-3</v>
      </c>
      <c r="I69" s="39">
        <v>44197</v>
      </c>
      <c r="J69" s="39">
        <v>44227</v>
      </c>
      <c r="K69" s="24">
        <f t="shared" si="2"/>
        <v>31</v>
      </c>
      <c r="L69" s="24">
        <f t="shared" si="3"/>
        <v>879</v>
      </c>
      <c r="M69" s="24">
        <v>2070415</v>
      </c>
    </row>
    <row r="70" spans="1:13" s="48" customFormat="1" outlineLevel="2">
      <c r="A70" s="39" t="s">
        <v>78</v>
      </c>
      <c r="B70" s="40" t="s">
        <v>54</v>
      </c>
      <c r="C70" s="41" t="s">
        <v>55</v>
      </c>
      <c r="D70" s="40" t="s">
        <v>56</v>
      </c>
      <c r="E70" s="24">
        <v>23500000</v>
      </c>
      <c r="F70" s="39">
        <v>43928</v>
      </c>
      <c r="G70" s="24">
        <v>20982133</v>
      </c>
      <c r="H70" s="23">
        <v>5.0000000000000001E-3</v>
      </c>
      <c r="I70" s="39">
        <v>44197</v>
      </c>
      <c r="J70" s="39">
        <v>44210</v>
      </c>
      <c r="K70" s="24">
        <f t="shared" si="2"/>
        <v>14</v>
      </c>
      <c r="L70" s="24">
        <f t="shared" si="3"/>
        <v>4024</v>
      </c>
      <c r="M70" s="24">
        <v>20702370</v>
      </c>
    </row>
    <row r="71" spans="1:13" s="48" customFormat="1" outlineLevel="2">
      <c r="A71" s="39" t="s">
        <v>78</v>
      </c>
      <c r="B71" s="40" t="s">
        <v>54</v>
      </c>
      <c r="C71" s="41" t="s">
        <v>55</v>
      </c>
      <c r="D71" s="40"/>
      <c r="E71" s="24"/>
      <c r="F71" s="39"/>
      <c r="G71" s="24">
        <v>20702370</v>
      </c>
      <c r="H71" s="23">
        <v>5.0000000000000001E-3</v>
      </c>
      <c r="I71" s="39">
        <v>44211</v>
      </c>
      <c r="J71" s="39">
        <v>44227</v>
      </c>
      <c r="K71" s="24">
        <f t="shared" si="2"/>
        <v>17</v>
      </c>
      <c r="L71" s="24">
        <f t="shared" si="3"/>
        <v>4821</v>
      </c>
      <c r="M71" s="24"/>
    </row>
    <row r="72" spans="1:13" s="48" customFormat="1" outlineLevel="2">
      <c r="A72" s="39" t="s">
        <v>78</v>
      </c>
      <c r="B72" s="40" t="s">
        <v>57</v>
      </c>
      <c r="C72" s="41" t="s">
        <v>83</v>
      </c>
      <c r="D72" s="40" t="s">
        <v>84</v>
      </c>
      <c r="E72" s="24">
        <v>125000000</v>
      </c>
      <c r="F72" s="39">
        <v>44189</v>
      </c>
      <c r="G72" s="24">
        <v>125000000</v>
      </c>
      <c r="H72" s="23">
        <v>5.0000000000000001E-3</v>
      </c>
      <c r="I72" s="39">
        <v>44197</v>
      </c>
      <c r="J72" s="39">
        <v>44227</v>
      </c>
      <c r="K72" s="24">
        <f t="shared" si="2"/>
        <v>31</v>
      </c>
      <c r="L72" s="24">
        <f t="shared" si="3"/>
        <v>53082</v>
      </c>
      <c r="M72" s="24">
        <v>125000000</v>
      </c>
    </row>
    <row r="73" spans="1:13" s="48" customFormat="1" outlineLevel="2">
      <c r="A73" s="39" t="s">
        <v>78</v>
      </c>
      <c r="B73" s="40" t="s">
        <v>58</v>
      </c>
      <c r="C73" s="41" t="s">
        <v>97</v>
      </c>
      <c r="D73" s="40" t="s">
        <v>98</v>
      </c>
      <c r="E73" s="24">
        <v>51800000</v>
      </c>
      <c r="F73" s="39">
        <v>44180</v>
      </c>
      <c r="G73" s="24">
        <v>51800000</v>
      </c>
      <c r="H73" s="23">
        <v>5.0000000000000001E-3</v>
      </c>
      <c r="I73" s="39">
        <v>44197</v>
      </c>
      <c r="J73" s="39">
        <v>44227</v>
      </c>
      <c r="K73" s="24">
        <f t="shared" si="2"/>
        <v>31</v>
      </c>
      <c r="L73" s="24">
        <f t="shared" si="3"/>
        <v>21997</v>
      </c>
      <c r="M73" s="24">
        <v>51800000</v>
      </c>
    </row>
    <row r="74" spans="1:13" s="48" customFormat="1" outlineLevel="2">
      <c r="A74" s="39" t="s">
        <v>78</v>
      </c>
      <c r="B74" s="40" t="s">
        <v>99</v>
      </c>
      <c r="C74" s="41" t="s">
        <v>91</v>
      </c>
      <c r="D74" s="40" t="s">
        <v>92</v>
      </c>
      <c r="E74" s="24">
        <v>25000000</v>
      </c>
      <c r="F74" s="39">
        <v>44180</v>
      </c>
      <c r="G74" s="24">
        <v>25000000</v>
      </c>
      <c r="H74" s="23">
        <v>5.0000000000000001E-3</v>
      </c>
      <c r="I74" s="39">
        <v>44197</v>
      </c>
      <c r="J74" s="39">
        <v>44227</v>
      </c>
      <c r="K74" s="24">
        <f t="shared" si="2"/>
        <v>31</v>
      </c>
      <c r="L74" s="24">
        <f t="shared" si="3"/>
        <v>10616</v>
      </c>
      <c r="M74" s="24">
        <v>25000000</v>
      </c>
    </row>
    <row r="75" spans="1:13" s="48" customFormat="1" outlineLevel="2">
      <c r="A75" s="39" t="s">
        <v>78</v>
      </c>
      <c r="B75" s="40" t="s">
        <v>100</v>
      </c>
      <c r="C75" s="41" t="s">
        <v>91</v>
      </c>
      <c r="D75" s="40" t="s">
        <v>92</v>
      </c>
      <c r="E75" s="24">
        <v>44000000</v>
      </c>
      <c r="F75" s="39">
        <v>44180</v>
      </c>
      <c r="G75" s="24">
        <v>44000000</v>
      </c>
      <c r="H75" s="23">
        <v>5.0000000000000001E-3</v>
      </c>
      <c r="I75" s="39">
        <v>44197</v>
      </c>
      <c r="J75" s="39">
        <v>44227</v>
      </c>
      <c r="K75" s="24">
        <f t="shared" si="2"/>
        <v>31</v>
      </c>
      <c r="L75" s="24">
        <f t="shared" si="3"/>
        <v>18685</v>
      </c>
      <c r="M75" s="24">
        <v>44000000</v>
      </c>
    </row>
    <row r="76" spans="1:13" s="48" customFormat="1" outlineLevel="2">
      <c r="A76" s="39" t="s">
        <v>78</v>
      </c>
      <c r="B76" s="40" t="s">
        <v>101</v>
      </c>
      <c r="C76" s="41" t="s">
        <v>95</v>
      </c>
      <c r="D76" s="40" t="s">
        <v>96</v>
      </c>
      <c r="E76" s="24">
        <v>129650000</v>
      </c>
      <c r="F76" s="39">
        <v>44195</v>
      </c>
      <c r="G76" s="24">
        <v>129650000</v>
      </c>
      <c r="H76" s="23">
        <v>5.0000000000000001E-3</v>
      </c>
      <c r="I76" s="39">
        <v>44197</v>
      </c>
      <c r="J76" s="39">
        <v>44227</v>
      </c>
      <c r="K76" s="24">
        <f t="shared" si="2"/>
        <v>31</v>
      </c>
      <c r="L76" s="24">
        <f t="shared" si="3"/>
        <v>55057</v>
      </c>
      <c r="M76" s="24">
        <v>129650000</v>
      </c>
    </row>
    <row r="77" spans="1:13" s="48" customFormat="1" outlineLevel="2">
      <c r="A77" s="39" t="s">
        <v>78</v>
      </c>
      <c r="B77" s="40" t="s">
        <v>102</v>
      </c>
      <c r="C77" s="41" t="s">
        <v>95</v>
      </c>
      <c r="D77" s="40" t="s">
        <v>96</v>
      </c>
      <c r="E77" s="24">
        <v>12000000</v>
      </c>
      <c r="F77" s="39">
        <v>44195</v>
      </c>
      <c r="G77" s="24">
        <v>12000000</v>
      </c>
      <c r="H77" s="23">
        <v>5.0000000000000001E-3</v>
      </c>
      <c r="I77" s="39">
        <v>44197</v>
      </c>
      <c r="J77" s="39">
        <v>44210</v>
      </c>
      <c r="K77" s="24">
        <f t="shared" si="2"/>
        <v>14</v>
      </c>
      <c r="L77" s="24">
        <f t="shared" si="3"/>
        <v>2301</v>
      </c>
      <c r="M77" s="24">
        <v>11855421</v>
      </c>
    </row>
    <row r="78" spans="1:13" s="48" customFormat="1" outlineLevel="2">
      <c r="A78" s="39" t="s">
        <v>78</v>
      </c>
      <c r="B78" s="40" t="s">
        <v>102</v>
      </c>
      <c r="C78" s="41" t="s">
        <v>95</v>
      </c>
      <c r="D78" s="40"/>
      <c r="E78" s="24"/>
      <c r="F78" s="39"/>
      <c r="G78" s="24">
        <v>11855421</v>
      </c>
      <c r="H78" s="23">
        <v>5.0000000000000001E-3</v>
      </c>
      <c r="I78" s="39">
        <v>44211</v>
      </c>
      <c r="J78" s="39">
        <v>44227</v>
      </c>
      <c r="K78" s="24">
        <f t="shared" si="2"/>
        <v>17</v>
      </c>
      <c r="L78" s="24">
        <f t="shared" si="3"/>
        <v>2761</v>
      </c>
      <c r="M78" s="24"/>
    </row>
    <row r="79" spans="1:13" s="48" customFormat="1" outlineLevel="2">
      <c r="A79" s="39" t="s">
        <v>78</v>
      </c>
      <c r="B79" s="40" t="s">
        <v>103</v>
      </c>
      <c r="C79" s="41" t="s">
        <v>66</v>
      </c>
      <c r="D79" s="40" t="s">
        <v>67</v>
      </c>
      <c r="E79" s="24">
        <v>144000000</v>
      </c>
      <c r="F79" s="39">
        <v>44196</v>
      </c>
      <c r="G79" s="24">
        <v>144000000</v>
      </c>
      <c r="H79" s="23">
        <v>5.0000000000000001E-3</v>
      </c>
      <c r="I79" s="39">
        <v>44197</v>
      </c>
      <c r="J79" s="39">
        <v>44227</v>
      </c>
      <c r="K79" s="24">
        <f t="shared" si="2"/>
        <v>31</v>
      </c>
      <c r="L79" s="24">
        <f t="shared" si="3"/>
        <v>61151</v>
      </c>
      <c r="M79" s="24">
        <v>144000000</v>
      </c>
    </row>
    <row r="80" spans="1:13" s="48" customFormat="1" outlineLevel="2">
      <c r="A80" s="39" t="s">
        <v>78</v>
      </c>
      <c r="B80" s="40" t="s">
        <v>104</v>
      </c>
      <c r="C80" s="41" t="s">
        <v>91</v>
      </c>
      <c r="D80" s="40" t="s">
        <v>92</v>
      </c>
      <c r="E80" s="24">
        <v>45000000</v>
      </c>
      <c r="F80" s="39">
        <v>44211</v>
      </c>
      <c r="G80" s="24">
        <v>45000000</v>
      </c>
      <c r="H80" s="23">
        <v>5.0000000000000001E-3</v>
      </c>
      <c r="I80" s="39">
        <v>44211</v>
      </c>
      <c r="J80" s="39">
        <v>44227</v>
      </c>
      <c r="K80" s="24">
        <f t="shared" si="2"/>
        <v>17</v>
      </c>
      <c r="L80" s="24">
        <f t="shared" si="3"/>
        <v>10479</v>
      </c>
      <c r="M80" s="24">
        <v>45000000</v>
      </c>
    </row>
    <row r="81" spans="1:13" s="48" customFormat="1" outlineLevel="2">
      <c r="A81" s="39" t="s">
        <v>78</v>
      </c>
      <c r="B81" s="40" t="s">
        <v>105</v>
      </c>
      <c r="C81" s="41" t="s">
        <v>91</v>
      </c>
      <c r="D81" s="40" t="s">
        <v>92</v>
      </c>
      <c r="E81" s="24">
        <v>31000000</v>
      </c>
      <c r="F81" s="39">
        <v>44211</v>
      </c>
      <c r="G81" s="24">
        <v>31000000</v>
      </c>
      <c r="H81" s="23">
        <v>5.0000000000000001E-3</v>
      </c>
      <c r="I81" s="39">
        <v>44211</v>
      </c>
      <c r="J81" s="39">
        <v>44227</v>
      </c>
      <c r="K81" s="24">
        <f t="shared" si="2"/>
        <v>17</v>
      </c>
      <c r="L81" s="24">
        <f t="shared" si="3"/>
        <v>7219</v>
      </c>
      <c r="M81" s="24">
        <v>31000000</v>
      </c>
    </row>
    <row r="82" spans="1:13" s="48" customFormat="1" outlineLevel="2">
      <c r="A82" s="39" t="s">
        <v>78</v>
      </c>
      <c r="B82" s="40" t="s">
        <v>106</v>
      </c>
      <c r="C82" s="41" t="s">
        <v>93</v>
      </c>
      <c r="D82" s="40" t="s">
        <v>94</v>
      </c>
      <c r="E82" s="24">
        <v>7174630</v>
      </c>
      <c r="F82" s="39">
        <v>44203</v>
      </c>
      <c r="G82" s="24">
        <v>7174630</v>
      </c>
      <c r="H82" s="23">
        <v>5.0000000000000001E-3</v>
      </c>
      <c r="I82" s="39">
        <v>44203</v>
      </c>
      <c r="J82" s="39">
        <v>44227</v>
      </c>
      <c r="K82" s="24">
        <f t="shared" si="2"/>
        <v>25</v>
      </c>
      <c r="L82" s="24">
        <f t="shared" si="3"/>
        <v>2457</v>
      </c>
      <c r="M82" s="24">
        <v>7174630</v>
      </c>
    </row>
    <row r="83" spans="1:13" s="48" customFormat="1" outlineLevel="2">
      <c r="A83" s="39" t="s">
        <v>78</v>
      </c>
      <c r="B83" s="40" t="s">
        <v>59</v>
      </c>
      <c r="C83" s="41" t="s">
        <v>81</v>
      </c>
      <c r="D83" s="40" t="s">
        <v>82</v>
      </c>
      <c r="E83" s="24">
        <v>7000000</v>
      </c>
      <c r="F83" s="39">
        <v>44004</v>
      </c>
      <c r="G83" s="24">
        <v>6299998</v>
      </c>
      <c r="H83" s="23">
        <v>5.0000000000000001E-3</v>
      </c>
      <c r="I83" s="39">
        <v>44197</v>
      </c>
      <c r="J83" s="39">
        <v>44210</v>
      </c>
      <c r="K83" s="24">
        <f t="shared" si="2"/>
        <v>14</v>
      </c>
      <c r="L83" s="24">
        <f t="shared" si="3"/>
        <v>1208</v>
      </c>
      <c r="M83" s="24">
        <v>6183331</v>
      </c>
    </row>
    <row r="84" spans="1:13" s="48" customFormat="1" outlineLevel="2">
      <c r="A84" s="39" t="s">
        <v>78</v>
      </c>
      <c r="B84" s="40" t="s">
        <v>59</v>
      </c>
      <c r="C84" s="41" t="s">
        <v>81</v>
      </c>
      <c r="D84" s="40"/>
      <c r="E84" s="24"/>
      <c r="F84" s="39"/>
      <c r="G84" s="24">
        <v>6183331</v>
      </c>
      <c r="H84" s="23">
        <v>5.0000000000000001E-3</v>
      </c>
      <c r="I84" s="39">
        <v>44211</v>
      </c>
      <c r="J84" s="39">
        <v>44227</v>
      </c>
      <c r="K84" s="24">
        <f t="shared" si="2"/>
        <v>17</v>
      </c>
      <c r="L84" s="24">
        <f t="shared" si="3"/>
        <v>1440</v>
      </c>
      <c r="M84" s="24"/>
    </row>
    <row r="85" spans="1:13" s="48" customFormat="1" outlineLevel="2">
      <c r="A85" s="39" t="s">
        <v>78</v>
      </c>
      <c r="B85" s="40" t="s">
        <v>62</v>
      </c>
      <c r="C85" s="41" t="s">
        <v>83</v>
      </c>
      <c r="D85" s="40" t="s">
        <v>84</v>
      </c>
      <c r="E85" s="24">
        <v>298410000</v>
      </c>
      <c r="F85" s="39">
        <v>44006</v>
      </c>
      <c r="G85" s="24">
        <v>298410000</v>
      </c>
      <c r="H85" s="23">
        <v>5.0000000000000001E-3</v>
      </c>
      <c r="I85" s="39">
        <v>44197</v>
      </c>
      <c r="J85" s="39">
        <v>44227</v>
      </c>
      <c r="K85" s="24">
        <f t="shared" si="2"/>
        <v>31</v>
      </c>
      <c r="L85" s="24">
        <f t="shared" si="3"/>
        <v>126722</v>
      </c>
      <c r="M85" s="24">
        <v>298410000</v>
      </c>
    </row>
    <row r="86" spans="1:13" s="48" customFormat="1" outlineLevel="2">
      <c r="A86" s="39" t="s">
        <v>78</v>
      </c>
      <c r="B86" s="40" t="s">
        <v>63</v>
      </c>
      <c r="C86" s="41" t="s">
        <v>83</v>
      </c>
      <c r="D86" s="40" t="s">
        <v>84</v>
      </c>
      <c r="E86" s="24">
        <v>95370000</v>
      </c>
      <c r="F86" s="39">
        <v>44006</v>
      </c>
      <c r="G86" s="24">
        <v>95370000</v>
      </c>
      <c r="H86" s="23">
        <v>5.0000000000000001E-3</v>
      </c>
      <c r="I86" s="39">
        <v>44197</v>
      </c>
      <c r="J86" s="39">
        <v>44227</v>
      </c>
      <c r="K86" s="24">
        <f t="shared" si="2"/>
        <v>31</v>
      </c>
      <c r="L86" s="24">
        <f t="shared" si="3"/>
        <v>40500</v>
      </c>
      <c r="M86" s="24">
        <v>95370000</v>
      </c>
    </row>
    <row r="87" spans="1:13" s="48" customFormat="1" outlineLevel="2">
      <c r="A87" s="39" t="s">
        <v>78</v>
      </c>
      <c r="B87" s="40" t="s">
        <v>64</v>
      </c>
      <c r="C87" s="41" t="s">
        <v>83</v>
      </c>
      <c r="D87" s="40" t="s">
        <v>84</v>
      </c>
      <c r="E87" s="24">
        <v>73910000</v>
      </c>
      <c r="F87" s="39">
        <v>44032</v>
      </c>
      <c r="G87" s="24">
        <v>73910000</v>
      </c>
      <c r="H87" s="23">
        <v>5.0000000000000001E-3</v>
      </c>
      <c r="I87" s="39">
        <v>44197</v>
      </c>
      <c r="J87" s="39">
        <v>44227</v>
      </c>
      <c r="K87" s="24">
        <f t="shared" si="2"/>
        <v>31</v>
      </c>
      <c r="L87" s="24">
        <f t="shared" si="3"/>
        <v>31386</v>
      </c>
      <c r="M87" s="24">
        <v>73910000</v>
      </c>
    </row>
    <row r="88" spans="1:13" s="48" customFormat="1" outlineLevel="2">
      <c r="A88" s="39" t="s">
        <v>78</v>
      </c>
      <c r="B88" s="40" t="s">
        <v>65</v>
      </c>
      <c r="C88" s="41" t="s">
        <v>83</v>
      </c>
      <c r="D88" s="40" t="s">
        <v>84</v>
      </c>
      <c r="E88" s="24">
        <v>291200000</v>
      </c>
      <c r="F88" s="39">
        <v>44032</v>
      </c>
      <c r="G88" s="24">
        <v>291200000</v>
      </c>
      <c r="H88" s="23">
        <v>3.0000000000000001E-3</v>
      </c>
      <c r="I88" s="39">
        <v>44197</v>
      </c>
      <c r="J88" s="39">
        <v>44227</v>
      </c>
      <c r="K88" s="24">
        <f t="shared" si="2"/>
        <v>31</v>
      </c>
      <c r="L88" s="24">
        <f t="shared" si="3"/>
        <v>74196</v>
      </c>
      <c r="M88" s="24">
        <v>291200000</v>
      </c>
    </row>
    <row r="89" spans="1:13" s="48" customFormat="1" outlineLevel="2">
      <c r="A89" s="39" t="s">
        <v>78</v>
      </c>
      <c r="B89" s="40" t="s">
        <v>68</v>
      </c>
      <c r="C89" s="41" t="s">
        <v>81</v>
      </c>
      <c r="D89" s="40" t="s">
        <v>82</v>
      </c>
      <c r="E89" s="24">
        <v>10000000</v>
      </c>
      <c r="F89" s="39">
        <v>44025</v>
      </c>
      <c r="G89" s="24">
        <v>9152540</v>
      </c>
      <c r="H89" s="23">
        <v>5.0000000000000001E-3</v>
      </c>
      <c r="I89" s="39">
        <v>44197</v>
      </c>
      <c r="J89" s="39">
        <v>44210</v>
      </c>
      <c r="K89" s="24">
        <f t="shared" si="2"/>
        <v>14</v>
      </c>
      <c r="L89" s="24">
        <f t="shared" si="3"/>
        <v>1755</v>
      </c>
      <c r="M89" s="24">
        <v>8983048</v>
      </c>
    </row>
    <row r="90" spans="1:13" s="48" customFormat="1" outlineLevel="2">
      <c r="A90" s="39" t="s">
        <v>78</v>
      </c>
      <c r="B90" s="40" t="s">
        <v>68</v>
      </c>
      <c r="C90" s="41" t="s">
        <v>81</v>
      </c>
      <c r="D90" s="40"/>
      <c r="E90" s="24"/>
      <c r="F90" s="39"/>
      <c r="G90" s="24">
        <v>8983048</v>
      </c>
      <c r="H90" s="23">
        <v>5.0000000000000001E-3</v>
      </c>
      <c r="I90" s="39">
        <v>44211</v>
      </c>
      <c r="J90" s="39">
        <v>44227</v>
      </c>
      <c r="K90" s="24">
        <f t="shared" si="2"/>
        <v>17</v>
      </c>
      <c r="L90" s="24">
        <f t="shared" si="3"/>
        <v>2092</v>
      </c>
      <c r="M90" s="24"/>
    </row>
    <row r="91" spans="1:13" s="48" customFormat="1" outlineLevel="1">
      <c r="A91" s="42" t="s">
        <v>107</v>
      </c>
      <c r="B91" s="43"/>
      <c r="C91" s="44"/>
      <c r="D91" s="43"/>
      <c r="E91" s="45">
        <f>SUBTOTAL(9,E42:E90)</f>
        <v>2531241996</v>
      </c>
      <c r="F91" s="46"/>
      <c r="G91" s="45"/>
      <c r="H91" s="47"/>
      <c r="I91" s="46"/>
      <c r="J91" s="46"/>
      <c r="K91" s="45"/>
      <c r="L91" s="45">
        <f>SUBTOTAL(9,L42:L90)</f>
        <v>1006368</v>
      </c>
      <c r="M91" s="45">
        <f>SUBTOTAL(9,M42:M90)</f>
        <v>2521260637</v>
      </c>
    </row>
    <row r="92" spans="1:13" s="48" customFormat="1" outlineLevel="2">
      <c r="A92" s="39" t="s">
        <v>108</v>
      </c>
      <c r="B92" s="40" t="s">
        <v>16</v>
      </c>
      <c r="C92" s="41" t="s">
        <v>109</v>
      </c>
      <c r="D92" s="40" t="s">
        <v>110</v>
      </c>
      <c r="E92" s="24">
        <v>81465386</v>
      </c>
      <c r="F92" s="39">
        <v>43900</v>
      </c>
      <c r="G92" s="24">
        <v>81465386</v>
      </c>
      <c r="H92" s="23">
        <v>5.0000000000000001E-3</v>
      </c>
      <c r="I92" s="39">
        <v>44197</v>
      </c>
      <c r="J92" s="39">
        <v>44227</v>
      </c>
      <c r="K92" s="24">
        <f t="shared" ref="K92:K144" si="4">J92-I92+1</f>
        <v>31</v>
      </c>
      <c r="L92" s="24">
        <f t="shared" ref="L92:L144" si="5">ROUND(G92*H92*K92/365,0)</f>
        <v>34595</v>
      </c>
      <c r="M92" s="24">
        <v>81465386</v>
      </c>
    </row>
    <row r="93" spans="1:13" s="48" customFormat="1" outlineLevel="2">
      <c r="A93" s="39" t="s">
        <v>108</v>
      </c>
      <c r="B93" s="40" t="s">
        <v>19</v>
      </c>
      <c r="C93" s="41" t="s">
        <v>111</v>
      </c>
      <c r="D93" s="40" t="s">
        <v>112</v>
      </c>
      <c r="E93" s="24">
        <v>8860000</v>
      </c>
      <c r="F93" s="39">
        <v>43997</v>
      </c>
      <c r="G93" s="24">
        <v>8860000</v>
      </c>
      <c r="H93" s="23">
        <v>5.0000000000000001E-3</v>
      </c>
      <c r="I93" s="39">
        <v>44197</v>
      </c>
      <c r="J93" s="39">
        <v>44227</v>
      </c>
      <c r="K93" s="24">
        <f t="shared" si="4"/>
        <v>31</v>
      </c>
      <c r="L93" s="24">
        <f t="shared" si="5"/>
        <v>3762</v>
      </c>
      <c r="M93" s="24">
        <v>8860000</v>
      </c>
    </row>
    <row r="94" spans="1:13" s="48" customFormat="1" outlineLevel="2">
      <c r="A94" s="39" t="s">
        <v>108</v>
      </c>
      <c r="B94" s="40" t="s">
        <v>22</v>
      </c>
      <c r="C94" s="41" t="s">
        <v>113</v>
      </c>
      <c r="D94" s="40" t="s">
        <v>114</v>
      </c>
      <c r="E94" s="24">
        <v>20390000</v>
      </c>
      <c r="F94" s="39">
        <v>43997</v>
      </c>
      <c r="G94" s="24">
        <v>18898052</v>
      </c>
      <c r="H94" s="23">
        <v>5.0000000000000001E-3</v>
      </c>
      <c r="I94" s="39">
        <v>44197</v>
      </c>
      <c r="J94" s="39">
        <v>44210</v>
      </c>
      <c r="K94" s="24">
        <f t="shared" si="4"/>
        <v>14</v>
      </c>
      <c r="L94" s="24">
        <f t="shared" si="5"/>
        <v>3624</v>
      </c>
      <c r="M94" s="24">
        <v>18649394</v>
      </c>
    </row>
    <row r="95" spans="1:13" s="48" customFormat="1" outlineLevel="2">
      <c r="A95" s="39" t="s">
        <v>108</v>
      </c>
      <c r="B95" s="40" t="s">
        <v>22</v>
      </c>
      <c r="C95" s="41" t="s">
        <v>113</v>
      </c>
      <c r="D95" s="40"/>
      <c r="E95" s="24"/>
      <c r="F95" s="39"/>
      <c r="G95" s="24">
        <v>18649394</v>
      </c>
      <c r="H95" s="23">
        <v>5.0000000000000001E-3</v>
      </c>
      <c r="I95" s="39">
        <v>44211</v>
      </c>
      <c r="J95" s="39">
        <v>44227</v>
      </c>
      <c r="K95" s="24">
        <f t="shared" si="4"/>
        <v>17</v>
      </c>
      <c r="L95" s="24">
        <f t="shared" si="5"/>
        <v>4343</v>
      </c>
      <c r="M95" s="24"/>
    </row>
    <row r="96" spans="1:13" s="48" customFormat="1" outlineLevel="2">
      <c r="A96" s="39" t="s">
        <v>108</v>
      </c>
      <c r="B96" s="40" t="s">
        <v>25</v>
      </c>
      <c r="C96" s="41" t="s">
        <v>113</v>
      </c>
      <c r="D96" s="40" t="s">
        <v>114</v>
      </c>
      <c r="E96" s="24">
        <v>69600000</v>
      </c>
      <c r="F96" s="39">
        <v>43997</v>
      </c>
      <c r="G96" s="24">
        <v>66120000</v>
      </c>
      <c r="H96" s="23">
        <v>5.0000000000000001E-3</v>
      </c>
      <c r="I96" s="39">
        <v>44197</v>
      </c>
      <c r="J96" s="39">
        <v>44210</v>
      </c>
      <c r="K96" s="24">
        <f t="shared" si="4"/>
        <v>14</v>
      </c>
      <c r="L96" s="24">
        <f t="shared" si="5"/>
        <v>12681</v>
      </c>
      <c r="M96" s="24">
        <v>65540000</v>
      </c>
    </row>
    <row r="97" spans="1:13" s="48" customFormat="1" outlineLevel="2">
      <c r="A97" s="39" t="s">
        <v>108</v>
      </c>
      <c r="B97" s="40" t="s">
        <v>25</v>
      </c>
      <c r="C97" s="41" t="s">
        <v>113</v>
      </c>
      <c r="D97" s="40"/>
      <c r="E97" s="24"/>
      <c r="F97" s="39"/>
      <c r="G97" s="24">
        <v>65540000</v>
      </c>
      <c r="H97" s="23">
        <v>5.0000000000000001E-3</v>
      </c>
      <c r="I97" s="39">
        <v>44211</v>
      </c>
      <c r="J97" s="39">
        <v>44227</v>
      </c>
      <c r="K97" s="24">
        <f t="shared" si="4"/>
        <v>17</v>
      </c>
      <c r="L97" s="24">
        <f t="shared" si="5"/>
        <v>15263</v>
      </c>
      <c r="M97" s="24"/>
    </row>
    <row r="98" spans="1:13" s="48" customFormat="1" outlineLevel="2">
      <c r="A98" s="39" t="s">
        <v>108</v>
      </c>
      <c r="B98" s="40" t="s">
        <v>26</v>
      </c>
      <c r="C98" s="41" t="s">
        <v>109</v>
      </c>
      <c r="D98" s="40" t="s">
        <v>110</v>
      </c>
      <c r="E98" s="24">
        <v>16630000</v>
      </c>
      <c r="F98" s="39">
        <v>44011</v>
      </c>
      <c r="G98" s="24">
        <v>16630000</v>
      </c>
      <c r="H98" s="23">
        <v>5.0000000000000001E-3</v>
      </c>
      <c r="I98" s="39">
        <v>44197</v>
      </c>
      <c r="J98" s="39">
        <v>44227</v>
      </c>
      <c r="K98" s="24">
        <f t="shared" si="4"/>
        <v>31</v>
      </c>
      <c r="L98" s="24">
        <f t="shared" si="5"/>
        <v>7062</v>
      </c>
      <c r="M98" s="24">
        <v>16630000</v>
      </c>
    </row>
    <row r="99" spans="1:13" s="48" customFormat="1" outlineLevel="2">
      <c r="A99" s="39" t="s">
        <v>108</v>
      </c>
      <c r="B99" s="40" t="s">
        <v>29</v>
      </c>
      <c r="C99" s="41" t="s">
        <v>111</v>
      </c>
      <c r="D99" s="40" t="s">
        <v>112</v>
      </c>
      <c r="E99" s="24">
        <v>4650000</v>
      </c>
      <c r="F99" s="39">
        <v>44027</v>
      </c>
      <c r="G99" s="24">
        <v>4650000</v>
      </c>
      <c r="H99" s="23">
        <v>5.0000000000000001E-3</v>
      </c>
      <c r="I99" s="39">
        <v>44197</v>
      </c>
      <c r="J99" s="39">
        <v>44227</v>
      </c>
      <c r="K99" s="24">
        <f t="shared" si="4"/>
        <v>31</v>
      </c>
      <c r="L99" s="24">
        <f t="shared" si="5"/>
        <v>1975</v>
      </c>
      <c r="M99" s="24">
        <v>4650000</v>
      </c>
    </row>
    <row r="100" spans="1:13" s="48" customFormat="1" outlineLevel="2">
      <c r="A100" s="39" t="s">
        <v>108</v>
      </c>
      <c r="B100" s="40" t="s">
        <v>32</v>
      </c>
      <c r="C100" s="41" t="s">
        <v>113</v>
      </c>
      <c r="D100" s="40" t="s">
        <v>114</v>
      </c>
      <c r="E100" s="24">
        <v>10860000</v>
      </c>
      <c r="F100" s="39">
        <v>44027</v>
      </c>
      <c r="G100" s="24">
        <v>10189630</v>
      </c>
      <c r="H100" s="23">
        <v>5.0000000000000001E-3</v>
      </c>
      <c r="I100" s="39">
        <v>44197</v>
      </c>
      <c r="J100" s="39">
        <v>44210</v>
      </c>
      <c r="K100" s="24">
        <f t="shared" si="4"/>
        <v>14</v>
      </c>
      <c r="L100" s="24">
        <f t="shared" si="5"/>
        <v>1954</v>
      </c>
      <c r="M100" s="24">
        <v>10055556</v>
      </c>
    </row>
    <row r="101" spans="1:13" s="48" customFormat="1" outlineLevel="2">
      <c r="A101" s="39" t="s">
        <v>108</v>
      </c>
      <c r="B101" s="40" t="s">
        <v>32</v>
      </c>
      <c r="C101" s="41" t="s">
        <v>113</v>
      </c>
      <c r="D101" s="40"/>
      <c r="E101" s="24"/>
      <c r="F101" s="39"/>
      <c r="G101" s="24">
        <v>10055556</v>
      </c>
      <c r="H101" s="23">
        <v>5.0000000000000001E-3</v>
      </c>
      <c r="I101" s="39">
        <v>44211</v>
      </c>
      <c r="J101" s="39">
        <v>44227</v>
      </c>
      <c r="K101" s="24">
        <f t="shared" si="4"/>
        <v>17</v>
      </c>
      <c r="L101" s="24">
        <f t="shared" si="5"/>
        <v>2342</v>
      </c>
      <c r="M101" s="24"/>
    </row>
    <row r="102" spans="1:13" s="48" customFormat="1" outlineLevel="2">
      <c r="A102" s="39" t="s">
        <v>108</v>
      </c>
      <c r="B102" s="40" t="s">
        <v>33</v>
      </c>
      <c r="C102" s="41" t="s">
        <v>113</v>
      </c>
      <c r="D102" s="40" t="s">
        <v>114</v>
      </c>
      <c r="E102" s="24">
        <v>11600000</v>
      </c>
      <c r="F102" s="39">
        <v>44027</v>
      </c>
      <c r="G102" s="24">
        <v>11112610</v>
      </c>
      <c r="H102" s="23">
        <v>5.0000000000000001E-3</v>
      </c>
      <c r="I102" s="39">
        <v>44197</v>
      </c>
      <c r="J102" s="39">
        <v>44210</v>
      </c>
      <c r="K102" s="24">
        <f t="shared" si="4"/>
        <v>14</v>
      </c>
      <c r="L102" s="24">
        <f t="shared" si="5"/>
        <v>2131</v>
      </c>
      <c r="M102" s="24">
        <v>11015132</v>
      </c>
    </row>
    <row r="103" spans="1:13" s="48" customFormat="1" outlineLevel="2">
      <c r="A103" s="39" t="s">
        <v>108</v>
      </c>
      <c r="B103" s="40" t="s">
        <v>33</v>
      </c>
      <c r="C103" s="41" t="s">
        <v>113</v>
      </c>
      <c r="D103" s="40"/>
      <c r="E103" s="24"/>
      <c r="F103" s="39"/>
      <c r="G103" s="24">
        <v>11015132</v>
      </c>
      <c r="H103" s="23">
        <v>5.0000000000000001E-3</v>
      </c>
      <c r="I103" s="39">
        <v>44211</v>
      </c>
      <c r="J103" s="39">
        <v>44227</v>
      </c>
      <c r="K103" s="24">
        <f t="shared" si="4"/>
        <v>17</v>
      </c>
      <c r="L103" s="24">
        <f t="shared" si="5"/>
        <v>2565</v>
      </c>
      <c r="M103" s="24"/>
    </row>
    <row r="104" spans="1:13" s="48" customFormat="1" outlineLevel="2">
      <c r="A104" s="39" t="s">
        <v>108</v>
      </c>
      <c r="B104" s="40" t="s">
        <v>34</v>
      </c>
      <c r="C104" s="41" t="s">
        <v>23</v>
      </c>
      <c r="D104" s="40" t="s">
        <v>24</v>
      </c>
      <c r="E104" s="24">
        <v>18700000</v>
      </c>
      <c r="F104" s="39">
        <v>44032</v>
      </c>
      <c r="G104" s="24">
        <v>18700000</v>
      </c>
      <c r="H104" s="23">
        <v>5.0000000000000001E-3</v>
      </c>
      <c r="I104" s="39">
        <v>44197</v>
      </c>
      <c r="J104" s="39">
        <v>44227</v>
      </c>
      <c r="K104" s="24">
        <f t="shared" si="4"/>
        <v>31</v>
      </c>
      <c r="L104" s="24">
        <f t="shared" si="5"/>
        <v>7941</v>
      </c>
      <c r="M104" s="24">
        <v>18700000</v>
      </c>
    </row>
    <row r="105" spans="1:13" s="48" customFormat="1" outlineLevel="2">
      <c r="A105" s="39" t="s">
        <v>108</v>
      </c>
      <c r="B105" s="40" t="s">
        <v>35</v>
      </c>
      <c r="C105" s="41" t="s">
        <v>111</v>
      </c>
      <c r="D105" s="40" t="s">
        <v>112</v>
      </c>
      <c r="E105" s="24">
        <v>2950000</v>
      </c>
      <c r="F105" s="39">
        <v>44060</v>
      </c>
      <c r="G105" s="24">
        <v>2950000</v>
      </c>
      <c r="H105" s="23">
        <v>5.0000000000000001E-3</v>
      </c>
      <c r="I105" s="39">
        <v>44197</v>
      </c>
      <c r="J105" s="39">
        <v>44227</v>
      </c>
      <c r="K105" s="24">
        <f t="shared" si="4"/>
        <v>31</v>
      </c>
      <c r="L105" s="24">
        <f t="shared" si="5"/>
        <v>1253</v>
      </c>
      <c r="M105" s="24">
        <v>2950000</v>
      </c>
    </row>
    <row r="106" spans="1:13" s="48" customFormat="1" outlineLevel="2">
      <c r="A106" s="39" t="s">
        <v>108</v>
      </c>
      <c r="B106" s="40" t="s">
        <v>36</v>
      </c>
      <c r="C106" s="41" t="s">
        <v>109</v>
      </c>
      <c r="D106" s="40" t="s">
        <v>110</v>
      </c>
      <c r="E106" s="24">
        <v>15120000</v>
      </c>
      <c r="F106" s="39">
        <v>44091</v>
      </c>
      <c r="G106" s="24">
        <v>15120000</v>
      </c>
      <c r="H106" s="23">
        <v>5.0000000000000001E-3</v>
      </c>
      <c r="I106" s="39">
        <v>44197</v>
      </c>
      <c r="J106" s="39">
        <v>44227</v>
      </c>
      <c r="K106" s="24">
        <f t="shared" si="4"/>
        <v>31</v>
      </c>
      <c r="L106" s="24">
        <f t="shared" si="5"/>
        <v>6421</v>
      </c>
      <c r="M106" s="24">
        <v>15120000</v>
      </c>
    </row>
    <row r="107" spans="1:13" s="48" customFormat="1" outlineLevel="2">
      <c r="A107" s="39" t="s">
        <v>108</v>
      </c>
      <c r="B107" s="40" t="s">
        <v>39</v>
      </c>
      <c r="C107" s="41" t="s">
        <v>111</v>
      </c>
      <c r="D107" s="40" t="s">
        <v>112</v>
      </c>
      <c r="E107" s="24">
        <v>6200000</v>
      </c>
      <c r="F107" s="39">
        <v>43929</v>
      </c>
      <c r="G107" s="24">
        <v>6200000</v>
      </c>
      <c r="H107" s="23">
        <v>5.0000000000000001E-3</v>
      </c>
      <c r="I107" s="39">
        <v>44197</v>
      </c>
      <c r="J107" s="39">
        <v>44227</v>
      </c>
      <c r="K107" s="24">
        <f t="shared" si="4"/>
        <v>31</v>
      </c>
      <c r="L107" s="24">
        <f t="shared" si="5"/>
        <v>2633</v>
      </c>
      <c r="M107" s="24">
        <v>6200000</v>
      </c>
    </row>
    <row r="108" spans="1:13" s="48" customFormat="1" outlineLevel="2">
      <c r="A108" s="39" t="s">
        <v>108</v>
      </c>
      <c r="B108" s="40" t="s">
        <v>40</v>
      </c>
      <c r="C108" s="41" t="s">
        <v>27</v>
      </c>
      <c r="D108" s="40" t="s">
        <v>28</v>
      </c>
      <c r="E108" s="24">
        <v>10000000</v>
      </c>
      <c r="F108" s="39">
        <v>44111</v>
      </c>
      <c r="G108" s="24">
        <v>9500002</v>
      </c>
      <c r="H108" s="23">
        <v>5.0000000000000001E-3</v>
      </c>
      <c r="I108" s="39">
        <v>44197</v>
      </c>
      <c r="J108" s="39">
        <v>44210</v>
      </c>
      <c r="K108" s="24">
        <f t="shared" si="4"/>
        <v>14</v>
      </c>
      <c r="L108" s="24">
        <f t="shared" si="5"/>
        <v>1822</v>
      </c>
      <c r="M108" s="24">
        <v>9333336</v>
      </c>
    </row>
    <row r="109" spans="1:13" s="48" customFormat="1" outlineLevel="2">
      <c r="A109" s="39" t="s">
        <v>108</v>
      </c>
      <c r="B109" s="40" t="s">
        <v>40</v>
      </c>
      <c r="C109" s="41" t="s">
        <v>27</v>
      </c>
      <c r="D109" s="40"/>
      <c r="E109" s="24"/>
      <c r="F109" s="39"/>
      <c r="G109" s="24">
        <v>9333336</v>
      </c>
      <c r="H109" s="23">
        <v>5.0000000000000001E-3</v>
      </c>
      <c r="I109" s="39">
        <v>44211</v>
      </c>
      <c r="J109" s="39">
        <v>44227</v>
      </c>
      <c r="K109" s="24">
        <f t="shared" si="4"/>
        <v>17</v>
      </c>
      <c r="L109" s="24">
        <f t="shared" si="5"/>
        <v>2174</v>
      </c>
      <c r="M109" s="24"/>
    </row>
    <row r="110" spans="1:13" s="48" customFormat="1" outlineLevel="2">
      <c r="A110" s="39" t="s">
        <v>108</v>
      </c>
      <c r="B110" s="40" t="s">
        <v>41</v>
      </c>
      <c r="C110" s="41" t="s">
        <v>27</v>
      </c>
      <c r="D110" s="40" t="s">
        <v>28</v>
      </c>
      <c r="E110" s="24">
        <v>24450000</v>
      </c>
      <c r="F110" s="39">
        <v>44120</v>
      </c>
      <c r="G110" s="24">
        <v>23621188</v>
      </c>
      <c r="H110" s="23">
        <v>5.0000000000000001E-3</v>
      </c>
      <c r="I110" s="39">
        <v>44197</v>
      </c>
      <c r="J110" s="39">
        <v>44210</v>
      </c>
      <c r="K110" s="24">
        <f t="shared" si="4"/>
        <v>14</v>
      </c>
      <c r="L110" s="24">
        <f t="shared" si="5"/>
        <v>4530</v>
      </c>
      <c r="M110" s="24">
        <v>23206782</v>
      </c>
    </row>
    <row r="111" spans="1:13" s="48" customFormat="1" outlineLevel="2">
      <c r="A111" s="39" t="s">
        <v>108</v>
      </c>
      <c r="B111" s="40" t="s">
        <v>41</v>
      </c>
      <c r="C111" s="41" t="s">
        <v>27</v>
      </c>
      <c r="D111" s="40"/>
      <c r="E111" s="24"/>
      <c r="F111" s="39"/>
      <c r="G111" s="24">
        <v>23206782</v>
      </c>
      <c r="H111" s="23">
        <v>5.0000000000000001E-3</v>
      </c>
      <c r="I111" s="39">
        <v>44211</v>
      </c>
      <c r="J111" s="39">
        <v>44227</v>
      </c>
      <c r="K111" s="24">
        <f t="shared" si="4"/>
        <v>17</v>
      </c>
      <c r="L111" s="24">
        <f t="shared" si="5"/>
        <v>5404</v>
      </c>
      <c r="M111" s="24"/>
    </row>
    <row r="112" spans="1:13" s="48" customFormat="1" outlineLevel="2">
      <c r="A112" s="39" t="s">
        <v>108</v>
      </c>
      <c r="B112" s="40" t="s">
        <v>42</v>
      </c>
      <c r="C112" s="41" t="s">
        <v>23</v>
      </c>
      <c r="D112" s="40" t="s">
        <v>24</v>
      </c>
      <c r="E112" s="24">
        <v>26100000</v>
      </c>
      <c r="F112" s="39">
        <v>44124</v>
      </c>
      <c r="G112" s="24">
        <v>26100000</v>
      </c>
      <c r="H112" s="23">
        <v>5.0000000000000001E-3</v>
      </c>
      <c r="I112" s="39">
        <v>44197</v>
      </c>
      <c r="J112" s="39">
        <v>44227</v>
      </c>
      <c r="K112" s="24">
        <f t="shared" si="4"/>
        <v>31</v>
      </c>
      <c r="L112" s="24">
        <f t="shared" si="5"/>
        <v>11084</v>
      </c>
      <c r="M112" s="24">
        <v>26100000</v>
      </c>
    </row>
    <row r="113" spans="1:13" s="48" customFormat="1" outlineLevel="2">
      <c r="A113" s="39" t="s">
        <v>108</v>
      </c>
      <c r="B113" s="40" t="s">
        <v>43</v>
      </c>
      <c r="C113" s="41" t="s">
        <v>27</v>
      </c>
      <c r="D113" s="40" t="s">
        <v>28</v>
      </c>
      <c r="E113" s="24">
        <v>25800000</v>
      </c>
      <c r="F113" s="39">
        <v>44137</v>
      </c>
      <c r="G113" s="24">
        <v>24925424</v>
      </c>
      <c r="H113" s="23">
        <v>5.0000000000000001E-3</v>
      </c>
      <c r="I113" s="39">
        <v>44197</v>
      </c>
      <c r="J113" s="39">
        <v>44210</v>
      </c>
      <c r="K113" s="24">
        <f t="shared" si="4"/>
        <v>14</v>
      </c>
      <c r="L113" s="24">
        <f t="shared" si="5"/>
        <v>4780</v>
      </c>
      <c r="M113" s="24">
        <v>24488136</v>
      </c>
    </row>
    <row r="114" spans="1:13" s="48" customFormat="1" outlineLevel="2">
      <c r="A114" s="39" t="s">
        <v>108</v>
      </c>
      <c r="B114" s="40" t="s">
        <v>43</v>
      </c>
      <c r="C114" s="41" t="s">
        <v>27</v>
      </c>
      <c r="D114" s="40"/>
      <c r="E114" s="24"/>
      <c r="F114" s="39"/>
      <c r="G114" s="24">
        <v>24488136</v>
      </c>
      <c r="H114" s="23">
        <v>5.0000000000000001E-3</v>
      </c>
      <c r="I114" s="39">
        <v>44211</v>
      </c>
      <c r="J114" s="39">
        <v>44227</v>
      </c>
      <c r="K114" s="24">
        <f t="shared" si="4"/>
        <v>17</v>
      </c>
      <c r="L114" s="24">
        <f t="shared" si="5"/>
        <v>5703</v>
      </c>
      <c r="M114" s="24"/>
    </row>
    <row r="115" spans="1:13" s="48" customFormat="1" outlineLevel="2">
      <c r="A115" s="39" t="s">
        <v>108</v>
      </c>
      <c r="B115" s="40" t="s">
        <v>44</v>
      </c>
      <c r="C115" s="41" t="s">
        <v>115</v>
      </c>
      <c r="D115" s="40" t="s">
        <v>116</v>
      </c>
      <c r="E115" s="24">
        <v>1200000</v>
      </c>
      <c r="F115" s="39">
        <v>44138</v>
      </c>
      <c r="G115" s="24">
        <v>1200000</v>
      </c>
      <c r="H115" s="23">
        <v>5.0000000000000001E-3</v>
      </c>
      <c r="I115" s="39">
        <v>44197</v>
      </c>
      <c r="J115" s="39">
        <v>44227</v>
      </c>
      <c r="K115" s="24">
        <f t="shared" si="4"/>
        <v>31</v>
      </c>
      <c r="L115" s="24">
        <f t="shared" si="5"/>
        <v>510</v>
      </c>
      <c r="M115" s="24">
        <v>1200000</v>
      </c>
    </row>
    <row r="116" spans="1:13" s="48" customFormat="1" outlineLevel="2">
      <c r="A116" s="39" t="s">
        <v>108</v>
      </c>
      <c r="B116" s="40" t="s">
        <v>47</v>
      </c>
      <c r="C116" s="41" t="s">
        <v>115</v>
      </c>
      <c r="D116" s="40" t="s">
        <v>116</v>
      </c>
      <c r="E116" s="24">
        <v>2350000</v>
      </c>
      <c r="F116" s="39">
        <v>44138</v>
      </c>
      <c r="G116" s="24">
        <v>2350000</v>
      </c>
      <c r="H116" s="23">
        <v>5.0000000000000001E-3</v>
      </c>
      <c r="I116" s="39">
        <v>44197</v>
      </c>
      <c r="J116" s="39">
        <v>44227</v>
      </c>
      <c r="K116" s="24">
        <f t="shared" si="4"/>
        <v>31</v>
      </c>
      <c r="L116" s="24">
        <f t="shared" si="5"/>
        <v>998</v>
      </c>
      <c r="M116" s="24">
        <v>2350000</v>
      </c>
    </row>
    <row r="117" spans="1:13" s="48" customFormat="1" outlineLevel="2">
      <c r="A117" s="39" t="s">
        <v>108</v>
      </c>
      <c r="B117" s="40" t="s">
        <v>50</v>
      </c>
      <c r="C117" s="41" t="s">
        <v>113</v>
      </c>
      <c r="D117" s="40" t="s">
        <v>114</v>
      </c>
      <c r="E117" s="24">
        <v>23200000</v>
      </c>
      <c r="F117" s="39">
        <v>44151</v>
      </c>
      <c r="G117" s="24">
        <v>22998261</v>
      </c>
      <c r="H117" s="23">
        <v>5.0000000000000001E-3</v>
      </c>
      <c r="I117" s="39">
        <v>44197</v>
      </c>
      <c r="J117" s="39">
        <v>44210</v>
      </c>
      <c r="K117" s="24">
        <f t="shared" si="4"/>
        <v>14</v>
      </c>
      <c r="L117" s="24">
        <f t="shared" si="5"/>
        <v>4411</v>
      </c>
      <c r="M117" s="24">
        <v>22796522</v>
      </c>
    </row>
    <row r="118" spans="1:13" s="48" customFormat="1" outlineLevel="2">
      <c r="A118" s="39" t="s">
        <v>108</v>
      </c>
      <c r="B118" s="40" t="s">
        <v>50</v>
      </c>
      <c r="C118" s="41" t="s">
        <v>113</v>
      </c>
      <c r="D118" s="40"/>
      <c r="E118" s="24"/>
      <c r="F118" s="39"/>
      <c r="G118" s="24">
        <v>22796522</v>
      </c>
      <c r="H118" s="23">
        <v>5.0000000000000001E-3</v>
      </c>
      <c r="I118" s="39">
        <v>44211</v>
      </c>
      <c r="J118" s="39">
        <v>44227</v>
      </c>
      <c r="K118" s="24">
        <f t="shared" si="4"/>
        <v>17</v>
      </c>
      <c r="L118" s="24">
        <f t="shared" si="5"/>
        <v>5309</v>
      </c>
      <c r="M118" s="24"/>
    </row>
    <row r="119" spans="1:13" s="48" customFormat="1" outlineLevel="2">
      <c r="A119" s="39" t="s">
        <v>108</v>
      </c>
      <c r="B119" s="40" t="s">
        <v>51</v>
      </c>
      <c r="C119" s="41" t="s">
        <v>111</v>
      </c>
      <c r="D119" s="40" t="s">
        <v>112</v>
      </c>
      <c r="E119" s="24">
        <v>5910000</v>
      </c>
      <c r="F119" s="39">
        <v>44151</v>
      </c>
      <c r="G119" s="24">
        <v>5910000</v>
      </c>
      <c r="H119" s="23">
        <v>5.0000000000000001E-3</v>
      </c>
      <c r="I119" s="39">
        <v>44197</v>
      </c>
      <c r="J119" s="39">
        <v>44227</v>
      </c>
      <c r="K119" s="24">
        <f t="shared" si="4"/>
        <v>31</v>
      </c>
      <c r="L119" s="24">
        <f t="shared" si="5"/>
        <v>2510</v>
      </c>
      <c r="M119" s="24">
        <v>5910000</v>
      </c>
    </row>
    <row r="120" spans="1:13" s="48" customFormat="1" outlineLevel="2">
      <c r="A120" s="39" t="s">
        <v>108</v>
      </c>
      <c r="B120" s="40" t="s">
        <v>52</v>
      </c>
      <c r="C120" s="41" t="s">
        <v>117</v>
      </c>
      <c r="D120" s="40" t="s">
        <v>118</v>
      </c>
      <c r="E120" s="24">
        <v>26000000</v>
      </c>
      <c r="F120" s="39">
        <v>44162</v>
      </c>
      <c r="G120" s="24">
        <v>25769912</v>
      </c>
      <c r="H120" s="23">
        <v>5.0000000000000001E-3</v>
      </c>
      <c r="I120" s="39">
        <v>44197</v>
      </c>
      <c r="J120" s="39">
        <v>44210</v>
      </c>
      <c r="K120" s="24">
        <f t="shared" si="4"/>
        <v>14</v>
      </c>
      <c r="L120" s="24">
        <f t="shared" si="5"/>
        <v>4942</v>
      </c>
      <c r="M120" s="24">
        <v>25539824</v>
      </c>
    </row>
    <row r="121" spans="1:13" s="48" customFormat="1" outlineLevel="2">
      <c r="A121" s="39" t="s">
        <v>108</v>
      </c>
      <c r="B121" s="40" t="s">
        <v>52</v>
      </c>
      <c r="C121" s="41" t="s">
        <v>117</v>
      </c>
      <c r="D121" s="40"/>
      <c r="E121" s="24"/>
      <c r="F121" s="39"/>
      <c r="G121" s="24">
        <v>25539824</v>
      </c>
      <c r="H121" s="23">
        <v>5.0000000000000001E-3</v>
      </c>
      <c r="I121" s="39">
        <v>44211</v>
      </c>
      <c r="J121" s="39">
        <v>44227</v>
      </c>
      <c r="K121" s="24">
        <f t="shared" si="4"/>
        <v>17</v>
      </c>
      <c r="L121" s="24">
        <f t="shared" si="5"/>
        <v>5948</v>
      </c>
      <c r="M121" s="24"/>
    </row>
    <row r="122" spans="1:13" s="48" customFormat="1" outlineLevel="2">
      <c r="A122" s="39" t="s">
        <v>108</v>
      </c>
      <c r="B122" s="40" t="s">
        <v>53</v>
      </c>
      <c r="C122" s="41" t="s">
        <v>27</v>
      </c>
      <c r="D122" s="40" t="s">
        <v>28</v>
      </c>
      <c r="E122" s="24">
        <v>9280000</v>
      </c>
      <c r="F122" s="39">
        <v>44167</v>
      </c>
      <c r="G122" s="24">
        <v>9120000</v>
      </c>
      <c r="H122" s="23">
        <v>5.0000000000000001E-3</v>
      </c>
      <c r="I122" s="39">
        <v>44197</v>
      </c>
      <c r="J122" s="39">
        <v>44210</v>
      </c>
      <c r="K122" s="24">
        <f t="shared" si="4"/>
        <v>14</v>
      </c>
      <c r="L122" s="24">
        <f t="shared" si="5"/>
        <v>1749</v>
      </c>
      <c r="M122" s="24">
        <v>8960000</v>
      </c>
    </row>
    <row r="123" spans="1:13" s="48" customFormat="1" outlineLevel="2">
      <c r="A123" s="39" t="s">
        <v>108</v>
      </c>
      <c r="B123" s="40" t="s">
        <v>53</v>
      </c>
      <c r="C123" s="41" t="s">
        <v>27</v>
      </c>
      <c r="D123" s="40"/>
      <c r="E123" s="24"/>
      <c r="F123" s="39"/>
      <c r="G123" s="24">
        <v>8960000</v>
      </c>
      <c r="H123" s="23">
        <v>5.0000000000000001E-3</v>
      </c>
      <c r="I123" s="39">
        <v>44211</v>
      </c>
      <c r="J123" s="39">
        <v>44227</v>
      </c>
      <c r="K123" s="24">
        <f t="shared" si="4"/>
        <v>17</v>
      </c>
      <c r="L123" s="24">
        <f t="shared" si="5"/>
        <v>2087</v>
      </c>
      <c r="M123" s="24"/>
    </row>
    <row r="124" spans="1:13" s="48" customFormat="1" outlineLevel="2">
      <c r="A124" s="39" t="s">
        <v>108</v>
      </c>
      <c r="B124" s="40" t="s">
        <v>54</v>
      </c>
      <c r="C124" s="41" t="s">
        <v>111</v>
      </c>
      <c r="D124" s="40" t="s">
        <v>112</v>
      </c>
      <c r="E124" s="24">
        <v>23630000</v>
      </c>
      <c r="F124" s="39">
        <v>43936</v>
      </c>
      <c r="G124" s="24">
        <v>23630000</v>
      </c>
      <c r="H124" s="23">
        <v>5.0000000000000001E-3</v>
      </c>
      <c r="I124" s="39">
        <v>44197</v>
      </c>
      <c r="J124" s="39">
        <v>44227</v>
      </c>
      <c r="K124" s="24">
        <f t="shared" si="4"/>
        <v>31</v>
      </c>
      <c r="L124" s="24">
        <f t="shared" si="5"/>
        <v>10035</v>
      </c>
      <c r="M124" s="24">
        <v>23630000</v>
      </c>
    </row>
    <row r="125" spans="1:13" s="48" customFormat="1" outlineLevel="2">
      <c r="A125" s="39" t="s">
        <v>108</v>
      </c>
      <c r="B125" s="40" t="s">
        <v>57</v>
      </c>
      <c r="C125" s="41" t="s">
        <v>27</v>
      </c>
      <c r="D125" s="40" t="s">
        <v>28</v>
      </c>
      <c r="E125" s="24">
        <v>10470000</v>
      </c>
      <c r="F125" s="39">
        <v>44181</v>
      </c>
      <c r="G125" s="24">
        <v>10470000</v>
      </c>
      <c r="H125" s="23">
        <v>5.0000000000000001E-3</v>
      </c>
      <c r="I125" s="39">
        <v>44197</v>
      </c>
      <c r="J125" s="39">
        <v>44210</v>
      </c>
      <c r="K125" s="24">
        <f t="shared" si="4"/>
        <v>14</v>
      </c>
      <c r="L125" s="24">
        <f t="shared" si="5"/>
        <v>2008</v>
      </c>
      <c r="M125" s="24">
        <v>10286316</v>
      </c>
    </row>
    <row r="126" spans="1:13" s="48" customFormat="1" outlineLevel="2">
      <c r="A126" s="39" t="s">
        <v>108</v>
      </c>
      <c r="B126" s="40" t="s">
        <v>57</v>
      </c>
      <c r="C126" s="41" t="s">
        <v>27</v>
      </c>
      <c r="D126" s="40"/>
      <c r="E126" s="24"/>
      <c r="F126" s="39"/>
      <c r="G126" s="24">
        <v>10286316</v>
      </c>
      <c r="H126" s="23">
        <v>5.0000000000000001E-3</v>
      </c>
      <c r="I126" s="39">
        <v>44211</v>
      </c>
      <c r="J126" s="39">
        <v>44227</v>
      </c>
      <c r="K126" s="24">
        <f t="shared" si="4"/>
        <v>17</v>
      </c>
      <c r="L126" s="24">
        <f t="shared" si="5"/>
        <v>2395</v>
      </c>
      <c r="M126" s="24"/>
    </row>
    <row r="127" spans="1:13" s="48" customFormat="1" outlineLevel="2">
      <c r="A127" s="39" t="s">
        <v>108</v>
      </c>
      <c r="B127" s="40" t="s">
        <v>58</v>
      </c>
      <c r="C127" s="41" t="s">
        <v>111</v>
      </c>
      <c r="D127" s="40" t="s">
        <v>112</v>
      </c>
      <c r="E127" s="24">
        <v>2950000</v>
      </c>
      <c r="F127" s="39">
        <v>44180</v>
      </c>
      <c r="G127" s="24">
        <v>2950000</v>
      </c>
      <c r="H127" s="23">
        <v>5.0000000000000001E-3</v>
      </c>
      <c r="I127" s="39">
        <v>44197</v>
      </c>
      <c r="J127" s="39">
        <v>44227</v>
      </c>
      <c r="K127" s="24">
        <f t="shared" si="4"/>
        <v>31</v>
      </c>
      <c r="L127" s="24">
        <f t="shared" si="5"/>
        <v>1253</v>
      </c>
      <c r="M127" s="24">
        <v>2950000</v>
      </c>
    </row>
    <row r="128" spans="1:13" s="48" customFormat="1" outlineLevel="2">
      <c r="A128" s="39" t="s">
        <v>108</v>
      </c>
      <c r="B128" s="40" t="s">
        <v>99</v>
      </c>
      <c r="C128" s="41" t="s">
        <v>115</v>
      </c>
      <c r="D128" s="40" t="s">
        <v>116</v>
      </c>
      <c r="E128" s="24">
        <v>24400000</v>
      </c>
      <c r="F128" s="39">
        <v>44193</v>
      </c>
      <c r="G128" s="24">
        <v>24400000</v>
      </c>
      <c r="H128" s="23">
        <v>5.0000000000000001E-3</v>
      </c>
      <c r="I128" s="39">
        <v>44197</v>
      </c>
      <c r="J128" s="39">
        <v>44227</v>
      </c>
      <c r="K128" s="24">
        <f t="shared" si="4"/>
        <v>31</v>
      </c>
      <c r="L128" s="24">
        <f t="shared" si="5"/>
        <v>10362</v>
      </c>
      <c r="M128" s="24">
        <v>24400000</v>
      </c>
    </row>
    <row r="129" spans="1:13" s="48" customFormat="1" outlineLevel="2">
      <c r="A129" s="39" t="s">
        <v>108</v>
      </c>
      <c r="B129" s="40" t="s">
        <v>100</v>
      </c>
      <c r="C129" s="41" t="s">
        <v>115</v>
      </c>
      <c r="D129" s="40" t="s">
        <v>116</v>
      </c>
      <c r="E129" s="24">
        <v>5500000</v>
      </c>
      <c r="F129" s="39">
        <v>44193</v>
      </c>
      <c r="G129" s="24">
        <v>5500000</v>
      </c>
      <c r="H129" s="23">
        <v>5.0000000000000001E-3</v>
      </c>
      <c r="I129" s="39">
        <v>44197</v>
      </c>
      <c r="J129" s="39">
        <v>44227</v>
      </c>
      <c r="K129" s="24">
        <f t="shared" si="4"/>
        <v>31</v>
      </c>
      <c r="L129" s="24">
        <f t="shared" si="5"/>
        <v>2336</v>
      </c>
      <c r="M129" s="24">
        <v>5500000</v>
      </c>
    </row>
    <row r="130" spans="1:13" s="48" customFormat="1" outlineLevel="2">
      <c r="A130" s="39" t="s">
        <v>108</v>
      </c>
      <c r="B130" s="40" t="s">
        <v>101</v>
      </c>
      <c r="C130" s="41" t="s">
        <v>115</v>
      </c>
      <c r="D130" s="40" t="s">
        <v>116</v>
      </c>
      <c r="E130" s="24">
        <v>28050000</v>
      </c>
      <c r="F130" s="39">
        <v>44193</v>
      </c>
      <c r="G130" s="24">
        <v>28050000</v>
      </c>
      <c r="H130" s="23">
        <v>5.0000000000000001E-3</v>
      </c>
      <c r="I130" s="39">
        <v>44197</v>
      </c>
      <c r="J130" s="39">
        <v>44227</v>
      </c>
      <c r="K130" s="24">
        <f t="shared" si="4"/>
        <v>31</v>
      </c>
      <c r="L130" s="24">
        <f t="shared" si="5"/>
        <v>11912</v>
      </c>
      <c r="M130" s="24">
        <v>28050000</v>
      </c>
    </row>
    <row r="131" spans="1:13" s="48" customFormat="1" outlineLevel="2">
      <c r="A131" s="39" t="s">
        <v>108</v>
      </c>
      <c r="B131" s="40" t="s">
        <v>102</v>
      </c>
      <c r="C131" s="41" t="s">
        <v>115</v>
      </c>
      <c r="D131" s="40" t="s">
        <v>116</v>
      </c>
      <c r="E131" s="24">
        <v>5000000</v>
      </c>
      <c r="F131" s="39">
        <v>44193</v>
      </c>
      <c r="G131" s="24">
        <v>5000000</v>
      </c>
      <c r="H131" s="23">
        <v>5.0000000000000001E-3</v>
      </c>
      <c r="I131" s="39">
        <v>44197</v>
      </c>
      <c r="J131" s="39">
        <v>44227</v>
      </c>
      <c r="K131" s="24">
        <f t="shared" si="4"/>
        <v>31</v>
      </c>
      <c r="L131" s="24">
        <f t="shared" si="5"/>
        <v>2123</v>
      </c>
      <c r="M131" s="24">
        <v>5000000</v>
      </c>
    </row>
    <row r="132" spans="1:13" s="48" customFormat="1" outlineLevel="2">
      <c r="A132" s="39" t="s">
        <v>108</v>
      </c>
      <c r="B132" s="40" t="s">
        <v>103</v>
      </c>
      <c r="C132" s="41" t="s">
        <v>111</v>
      </c>
      <c r="D132" s="40" t="s">
        <v>112</v>
      </c>
      <c r="E132" s="24">
        <v>4920000</v>
      </c>
      <c r="F132" s="39">
        <v>44211</v>
      </c>
      <c r="G132" s="24">
        <v>4920000</v>
      </c>
      <c r="H132" s="23">
        <v>5.0000000000000001E-3</v>
      </c>
      <c r="I132" s="39">
        <v>44211</v>
      </c>
      <c r="J132" s="39">
        <v>44227</v>
      </c>
      <c r="K132" s="24">
        <f t="shared" si="4"/>
        <v>17</v>
      </c>
      <c r="L132" s="24">
        <f t="shared" si="5"/>
        <v>1146</v>
      </c>
      <c r="M132" s="24">
        <v>4920000</v>
      </c>
    </row>
    <row r="133" spans="1:13" s="48" customFormat="1" outlineLevel="2">
      <c r="A133" s="39" t="s">
        <v>108</v>
      </c>
      <c r="B133" s="40" t="s">
        <v>104</v>
      </c>
      <c r="C133" s="41" t="s">
        <v>115</v>
      </c>
      <c r="D133" s="40" t="s">
        <v>116</v>
      </c>
      <c r="E133" s="24">
        <v>7300000</v>
      </c>
      <c r="F133" s="39">
        <v>44224</v>
      </c>
      <c r="G133" s="24">
        <v>7300000</v>
      </c>
      <c r="H133" s="23">
        <v>5.0000000000000001E-3</v>
      </c>
      <c r="I133" s="39">
        <v>44224</v>
      </c>
      <c r="J133" s="39">
        <v>44227</v>
      </c>
      <c r="K133" s="24">
        <f t="shared" si="4"/>
        <v>4</v>
      </c>
      <c r="L133" s="24">
        <f t="shared" si="5"/>
        <v>400</v>
      </c>
      <c r="M133" s="24">
        <v>7300000</v>
      </c>
    </row>
    <row r="134" spans="1:13" s="48" customFormat="1" outlineLevel="2">
      <c r="A134" s="39" t="s">
        <v>108</v>
      </c>
      <c r="B134" s="40" t="s">
        <v>105</v>
      </c>
      <c r="C134" s="41" t="s">
        <v>115</v>
      </c>
      <c r="D134" s="40" t="s">
        <v>116</v>
      </c>
      <c r="E134" s="24">
        <v>15000000</v>
      </c>
      <c r="F134" s="39">
        <v>44224</v>
      </c>
      <c r="G134" s="24">
        <v>15000000</v>
      </c>
      <c r="H134" s="23">
        <v>5.0000000000000001E-3</v>
      </c>
      <c r="I134" s="39">
        <v>44224</v>
      </c>
      <c r="J134" s="39">
        <v>44227</v>
      </c>
      <c r="K134" s="24">
        <f t="shared" si="4"/>
        <v>4</v>
      </c>
      <c r="L134" s="24">
        <f t="shared" si="5"/>
        <v>822</v>
      </c>
      <c r="M134" s="24">
        <v>15000000</v>
      </c>
    </row>
    <row r="135" spans="1:13" s="48" customFormat="1" outlineLevel="2">
      <c r="A135" s="39" t="s">
        <v>108</v>
      </c>
      <c r="B135" s="40" t="s">
        <v>59</v>
      </c>
      <c r="C135" s="41" t="s">
        <v>117</v>
      </c>
      <c r="D135" s="40" t="s">
        <v>118</v>
      </c>
      <c r="E135" s="24">
        <v>24000000</v>
      </c>
      <c r="F135" s="39">
        <v>43937</v>
      </c>
      <c r="G135" s="24">
        <v>22400000</v>
      </c>
      <c r="H135" s="23">
        <v>5.0000000000000001E-3</v>
      </c>
      <c r="I135" s="39">
        <v>44197</v>
      </c>
      <c r="J135" s="39">
        <v>44210</v>
      </c>
      <c r="K135" s="24">
        <f t="shared" si="4"/>
        <v>14</v>
      </c>
      <c r="L135" s="24">
        <f t="shared" si="5"/>
        <v>4296</v>
      </c>
      <c r="M135" s="24">
        <v>22200000</v>
      </c>
    </row>
    <row r="136" spans="1:13" s="48" customFormat="1" outlineLevel="2">
      <c r="A136" s="39" t="s">
        <v>108</v>
      </c>
      <c r="B136" s="40" t="s">
        <v>59</v>
      </c>
      <c r="C136" s="41" t="s">
        <v>117</v>
      </c>
      <c r="D136" s="40"/>
      <c r="E136" s="24"/>
      <c r="F136" s="39"/>
      <c r="G136" s="24">
        <v>22200000</v>
      </c>
      <c r="H136" s="23">
        <v>5.0000000000000001E-3</v>
      </c>
      <c r="I136" s="39">
        <v>44211</v>
      </c>
      <c r="J136" s="39">
        <v>44227</v>
      </c>
      <c r="K136" s="24">
        <f t="shared" si="4"/>
        <v>17</v>
      </c>
      <c r="L136" s="24">
        <f t="shared" si="5"/>
        <v>5170</v>
      </c>
      <c r="M136" s="24"/>
    </row>
    <row r="137" spans="1:13" s="48" customFormat="1" outlineLevel="2">
      <c r="A137" s="39" t="s">
        <v>108</v>
      </c>
      <c r="B137" s="40" t="s">
        <v>62</v>
      </c>
      <c r="C137" s="41" t="s">
        <v>113</v>
      </c>
      <c r="D137" s="40" t="s">
        <v>114</v>
      </c>
      <c r="E137" s="24">
        <v>28240000</v>
      </c>
      <c r="F137" s="39">
        <v>43951</v>
      </c>
      <c r="G137" s="24">
        <v>25550480</v>
      </c>
      <c r="H137" s="23">
        <v>5.0000000000000001E-3</v>
      </c>
      <c r="I137" s="39">
        <v>44197</v>
      </c>
      <c r="J137" s="39">
        <v>44210</v>
      </c>
      <c r="K137" s="24">
        <f t="shared" si="4"/>
        <v>14</v>
      </c>
      <c r="L137" s="24">
        <f t="shared" si="5"/>
        <v>4900</v>
      </c>
      <c r="M137" s="24">
        <v>25214290</v>
      </c>
    </row>
    <row r="138" spans="1:13" s="48" customFormat="1" outlineLevel="2">
      <c r="A138" s="39" t="s">
        <v>108</v>
      </c>
      <c r="B138" s="40" t="s">
        <v>62</v>
      </c>
      <c r="C138" s="41" t="s">
        <v>113</v>
      </c>
      <c r="D138" s="40"/>
      <c r="E138" s="24"/>
      <c r="F138" s="39"/>
      <c r="G138" s="24">
        <v>25214290</v>
      </c>
      <c r="H138" s="23">
        <v>5.0000000000000001E-3</v>
      </c>
      <c r="I138" s="39">
        <v>44211</v>
      </c>
      <c r="J138" s="39">
        <v>44227</v>
      </c>
      <c r="K138" s="24">
        <f t="shared" si="4"/>
        <v>17</v>
      </c>
      <c r="L138" s="24">
        <f t="shared" si="5"/>
        <v>5872</v>
      </c>
      <c r="M138" s="24"/>
    </row>
    <row r="139" spans="1:13" s="48" customFormat="1" outlineLevel="2">
      <c r="A139" s="39" t="s">
        <v>108</v>
      </c>
      <c r="B139" s="40" t="s">
        <v>63</v>
      </c>
      <c r="C139" s="41" t="s">
        <v>111</v>
      </c>
      <c r="D139" s="40" t="s">
        <v>112</v>
      </c>
      <c r="E139" s="24">
        <v>8000000</v>
      </c>
      <c r="F139" s="39">
        <v>43957</v>
      </c>
      <c r="G139" s="24">
        <v>6933336</v>
      </c>
      <c r="H139" s="23">
        <v>5.0000000000000001E-3</v>
      </c>
      <c r="I139" s="39">
        <v>44197</v>
      </c>
      <c r="J139" s="39">
        <v>44210</v>
      </c>
      <c r="K139" s="24">
        <f t="shared" si="4"/>
        <v>14</v>
      </c>
      <c r="L139" s="24">
        <f t="shared" si="5"/>
        <v>1330</v>
      </c>
      <c r="M139" s="24">
        <v>6800003</v>
      </c>
    </row>
    <row r="140" spans="1:13" s="48" customFormat="1" outlineLevel="2">
      <c r="A140" s="39" t="s">
        <v>108</v>
      </c>
      <c r="B140" s="40" t="s">
        <v>63</v>
      </c>
      <c r="C140" s="41" t="s">
        <v>111</v>
      </c>
      <c r="D140" s="40"/>
      <c r="E140" s="24"/>
      <c r="F140" s="39"/>
      <c r="G140" s="24">
        <v>6800003</v>
      </c>
      <c r="H140" s="23">
        <v>5.0000000000000001E-3</v>
      </c>
      <c r="I140" s="39">
        <v>44211</v>
      </c>
      <c r="J140" s="39">
        <v>44227</v>
      </c>
      <c r="K140" s="24">
        <f t="shared" si="4"/>
        <v>17</v>
      </c>
      <c r="L140" s="24">
        <f t="shared" si="5"/>
        <v>1584</v>
      </c>
      <c r="M140" s="24"/>
    </row>
    <row r="141" spans="1:13" s="48" customFormat="1" outlineLevel="2">
      <c r="A141" s="39" t="s">
        <v>108</v>
      </c>
      <c r="B141" s="40" t="s">
        <v>64</v>
      </c>
      <c r="C141" s="41" t="s">
        <v>111</v>
      </c>
      <c r="D141" s="40" t="s">
        <v>112</v>
      </c>
      <c r="E141" s="24">
        <v>5910000</v>
      </c>
      <c r="F141" s="39">
        <v>43966</v>
      </c>
      <c r="G141" s="24">
        <v>5910000</v>
      </c>
      <c r="H141" s="23">
        <v>5.0000000000000001E-3</v>
      </c>
      <c r="I141" s="39">
        <v>44197</v>
      </c>
      <c r="J141" s="39">
        <v>44227</v>
      </c>
      <c r="K141" s="24">
        <f t="shared" si="4"/>
        <v>31</v>
      </c>
      <c r="L141" s="24">
        <f t="shared" si="5"/>
        <v>2510</v>
      </c>
      <c r="M141" s="24">
        <v>5910000</v>
      </c>
    </row>
    <row r="142" spans="1:13" s="48" customFormat="1" outlineLevel="2">
      <c r="A142" s="39" t="s">
        <v>108</v>
      </c>
      <c r="B142" s="40" t="s">
        <v>65</v>
      </c>
      <c r="C142" s="41" t="s">
        <v>113</v>
      </c>
      <c r="D142" s="40" t="s">
        <v>114</v>
      </c>
      <c r="E142" s="24">
        <v>20510000</v>
      </c>
      <c r="F142" s="39">
        <v>43966</v>
      </c>
      <c r="G142" s="24">
        <v>18780244</v>
      </c>
      <c r="H142" s="23">
        <v>5.0000000000000001E-3</v>
      </c>
      <c r="I142" s="39">
        <v>44197</v>
      </c>
      <c r="J142" s="39">
        <v>44210</v>
      </c>
      <c r="K142" s="24">
        <f t="shared" si="4"/>
        <v>14</v>
      </c>
      <c r="L142" s="24">
        <f t="shared" si="5"/>
        <v>3602</v>
      </c>
      <c r="M142" s="24">
        <v>18533136</v>
      </c>
    </row>
    <row r="143" spans="1:13" s="48" customFormat="1" outlineLevel="2">
      <c r="A143" s="39" t="s">
        <v>108</v>
      </c>
      <c r="B143" s="40" t="s">
        <v>65</v>
      </c>
      <c r="C143" s="41" t="s">
        <v>113</v>
      </c>
      <c r="D143" s="40"/>
      <c r="E143" s="24"/>
      <c r="F143" s="39"/>
      <c r="G143" s="24">
        <v>18533136</v>
      </c>
      <c r="H143" s="23">
        <v>5.0000000000000001E-3</v>
      </c>
      <c r="I143" s="39">
        <v>44211</v>
      </c>
      <c r="J143" s="39">
        <v>44227</v>
      </c>
      <c r="K143" s="24">
        <f t="shared" si="4"/>
        <v>17</v>
      </c>
      <c r="L143" s="24">
        <f t="shared" si="5"/>
        <v>4316</v>
      </c>
      <c r="M143" s="24"/>
    </row>
    <row r="144" spans="1:13" s="48" customFormat="1" outlineLevel="2">
      <c r="A144" s="39" t="s">
        <v>108</v>
      </c>
      <c r="B144" s="40" t="s">
        <v>68</v>
      </c>
      <c r="C144" s="41" t="s">
        <v>109</v>
      </c>
      <c r="D144" s="40" t="s">
        <v>110</v>
      </c>
      <c r="E144" s="24">
        <v>33960000</v>
      </c>
      <c r="F144" s="39">
        <v>43978</v>
      </c>
      <c r="G144" s="24">
        <v>33960000</v>
      </c>
      <c r="H144" s="23">
        <v>5.0000000000000001E-3</v>
      </c>
      <c r="I144" s="39">
        <v>44197</v>
      </c>
      <c r="J144" s="39">
        <v>44227</v>
      </c>
      <c r="K144" s="24">
        <f t="shared" si="4"/>
        <v>31</v>
      </c>
      <c r="L144" s="24">
        <f t="shared" si="5"/>
        <v>14421</v>
      </c>
      <c r="M144" s="24">
        <v>33960000</v>
      </c>
    </row>
    <row r="145" spans="1:13" s="48" customFormat="1" outlineLevel="1">
      <c r="A145" s="42" t="s">
        <v>119</v>
      </c>
      <c r="B145" s="43"/>
      <c r="C145" s="44"/>
      <c r="D145" s="43"/>
      <c r="E145" s="45">
        <f>SUBTOTAL(9,E92:E144)</f>
        <v>669155386</v>
      </c>
      <c r="F145" s="46"/>
      <c r="G145" s="45"/>
      <c r="H145" s="47"/>
      <c r="I145" s="46"/>
      <c r="J145" s="46"/>
      <c r="K145" s="45"/>
      <c r="L145" s="45">
        <f>SUBTOTAL(9,L92:L144)</f>
        <v>267299</v>
      </c>
      <c r="M145" s="45">
        <f>SUBTOTAL(9,M92:M144)</f>
        <v>649373813</v>
      </c>
    </row>
    <row r="146" spans="1:13" s="48" customFormat="1" outlineLevel="2">
      <c r="A146" s="39" t="s">
        <v>120</v>
      </c>
      <c r="B146" s="40" t="s">
        <v>16</v>
      </c>
      <c r="C146" s="41" t="s">
        <v>121</v>
      </c>
      <c r="D146" s="40" t="s">
        <v>122</v>
      </c>
      <c r="E146" s="24">
        <v>69000000</v>
      </c>
      <c r="F146" s="39">
        <v>43822</v>
      </c>
      <c r="G146" s="24">
        <v>69000000</v>
      </c>
      <c r="H146" s="23">
        <v>5.0000000000000001E-3</v>
      </c>
      <c r="I146" s="39">
        <v>44197</v>
      </c>
      <c r="J146" s="39">
        <v>44227</v>
      </c>
      <c r="K146" s="24">
        <f t="shared" ref="K146:K193" si="6">J146-I146+1</f>
        <v>31</v>
      </c>
      <c r="L146" s="24">
        <f t="shared" ref="L146:L193" si="7">ROUND(G146*H146*K146/365,0)</f>
        <v>29301</v>
      </c>
      <c r="M146" s="24">
        <v>69000000</v>
      </c>
    </row>
    <row r="147" spans="1:13" s="48" customFormat="1" outlineLevel="2">
      <c r="A147" s="39" t="s">
        <v>120</v>
      </c>
      <c r="B147" s="40" t="s">
        <v>19</v>
      </c>
      <c r="C147" s="41" t="s">
        <v>37</v>
      </c>
      <c r="D147" s="40" t="s">
        <v>38</v>
      </c>
      <c r="E147" s="24">
        <v>247700000</v>
      </c>
      <c r="F147" s="39">
        <v>43985</v>
      </c>
      <c r="G147" s="24">
        <v>247700000</v>
      </c>
      <c r="H147" s="23">
        <v>5.0000000000000001E-3</v>
      </c>
      <c r="I147" s="39">
        <v>44197</v>
      </c>
      <c r="J147" s="39">
        <v>44227</v>
      </c>
      <c r="K147" s="24">
        <f t="shared" si="6"/>
        <v>31</v>
      </c>
      <c r="L147" s="24">
        <f t="shared" si="7"/>
        <v>105188</v>
      </c>
      <c r="M147" s="24">
        <v>247700000</v>
      </c>
    </row>
    <row r="148" spans="1:13" s="48" customFormat="1" outlineLevel="2">
      <c r="A148" s="39" t="s">
        <v>120</v>
      </c>
      <c r="B148" s="40" t="s">
        <v>22</v>
      </c>
      <c r="C148" s="41" t="s">
        <v>123</v>
      </c>
      <c r="D148" s="40" t="s">
        <v>124</v>
      </c>
      <c r="E148" s="24">
        <v>18612000</v>
      </c>
      <c r="F148" s="39">
        <v>43997</v>
      </c>
      <c r="G148" s="24">
        <v>3722400</v>
      </c>
      <c r="H148" s="23">
        <v>5.0000000000000001E-3</v>
      </c>
      <c r="I148" s="39">
        <v>44197</v>
      </c>
      <c r="J148" s="39">
        <v>44227</v>
      </c>
      <c r="K148" s="24">
        <f t="shared" si="6"/>
        <v>31</v>
      </c>
      <c r="L148" s="24">
        <f t="shared" si="7"/>
        <v>1581</v>
      </c>
      <c r="M148" s="24">
        <v>3722400</v>
      </c>
    </row>
    <row r="149" spans="1:13" s="48" customFormat="1" outlineLevel="2">
      <c r="A149" s="39" t="s">
        <v>120</v>
      </c>
      <c r="B149" s="40" t="s">
        <v>25</v>
      </c>
      <c r="C149" s="41" t="s">
        <v>20</v>
      </c>
      <c r="D149" s="40" t="s">
        <v>21</v>
      </c>
      <c r="E149" s="24">
        <v>624000000</v>
      </c>
      <c r="F149" s="39">
        <v>44014</v>
      </c>
      <c r="G149" s="24">
        <v>624000000</v>
      </c>
      <c r="H149" s="23">
        <v>5.0000000000000001E-3</v>
      </c>
      <c r="I149" s="39">
        <v>44197</v>
      </c>
      <c r="J149" s="39">
        <v>44227</v>
      </c>
      <c r="K149" s="24">
        <f t="shared" si="6"/>
        <v>31</v>
      </c>
      <c r="L149" s="24">
        <f t="shared" si="7"/>
        <v>264986</v>
      </c>
      <c r="M149" s="24">
        <v>624000000</v>
      </c>
    </row>
    <row r="150" spans="1:13" s="48" customFormat="1" outlineLevel="2">
      <c r="A150" s="39" t="s">
        <v>120</v>
      </c>
      <c r="B150" s="40" t="s">
        <v>26</v>
      </c>
      <c r="C150" s="41" t="s">
        <v>20</v>
      </c>
      <c r="D150" s="40" t="s">
        <v>21</v>
      </c>
      <c r="E150" s="24">
        <v>82000000</v>
      </c>
      <c r="F150" s="39">
        <v>44042</v>
      </c>
      <c r="G150" s="24">
        <v>82000000</v>
      </c>
      <c r="H150" s="23">
        <v>5.0000000000000001E-3</v>
      </c>
      <c r="I150" s="39">
        <v>44197</v>
      </c>
      <c r="J150" s="39">
        <v>44227</v>
      </c>
      <c r="K150" s="24">
        <f t="shared" si="6"/>
        <v>31</v>
      </c>
      <c r="L150" s="24">
        <f t="shared" si="7"/>
        <v>34822</v>
      </c>
      <c r="M150" s="24">
        <v>82000000</v>
      </c>
    </row>
    <row r="151" spans="1:13" s="48" customFormat="1" outlineLevel="2">
      <c r="A151" s="39" t="s">
        <v>120</v>
      </c>
      <c r="B151" s="40" t="s">
        <v>29</v>
      </c>
      <c r="C151" s="41" t="s">
        <v>20</v>
      </c>
      <c r="D151" s="40" t="s">
        <v>21</v>
      </c>
      <c r="E151" s="24">
        <v>406400000</v>
      </c>
      <c r="F151" s="39">
        <v>44042</v>
      </c>
      <c r="G151" s="24">
        <v>406400000</v>
      </c>
      <c r="H151" s="23">
        <v>3.0000000000000001E-3</v>
      </c>
      <c r="I151" s="39">
        <v>44197</v>
      </c>
      <c r="J151" s="39">
        <v>44227</v>
      </c>
      <c r="K151" s="24">
        <f t="shared" si="6"/>
        <v>31</v>
      </c>
      <c r="L151" s="24">
        <f t="shared" si="7"/>
        <v>103548</v>
      </c>
      <c r="M151" s="24">
        <v>406400000</v>
      </c>
    </row>
    <row r="152" spans="1:13" s="48" customFormat="1" outlineLevel="2">
      <c r="A152" s="39" t="s">
        <v>120</v>
      </c>
      <c r="B152" s="40" t="s">
        <v>32</v>
      </c>
      <c r="C152" s="41" t="s">
        <v>20</v>
      </c>
      <c r="D152" s="40" t="s">
        <v>21</v>
      </c>
      <c r="E152" s="24">
        <v>51600000</v>
      </c>
      <c r="F152" s="39">
        <v>44042</v>
      </c>
      <c r="G152" s="24">
        <v>51600000</v>
      </c>
      <c r="H152" s="23">
        <v>3.0000000000000001E-3</v>
      </c>
      <c r="I152" s="39">
        <v>44197</v>
      </c>
      <c r="J152" s="39">
        <v>44227</v>
      </c>
      <c r="K152" s="24">
        <f t="shared" si="6"/>
        <v>31</v>
      </c>
      <c r="L152" s="24">
        <f t="shared" si="7"/>
        <v>13147</v>
      </c>
      <c r="M152" s="24">
        <v>51600000</v>
      </c>
    </row>
    <row r="153" spans="1:13" s="48" customFormat="1" outlineLevel="2">
      <c r="A153" s="39" t="s">
        <v>120</v>
      </c>
      <c r="B153" s="40" t="s">
        <v>33</v>
      </c>
      <c r="C153" s="41" t="s">
        <v>125</v>
      </c>
      <c r="D153" s="40" t="s">
        <v>126</v>
      </c>
      <c r="E153" s="24">
        <v>1850000</v>
      </c>
      <c r="F153" s="39">
        <v>44018</v>
      </c>
      <c r="G153" s="24">
        <v>1850000</v>
      </c>
      <c r="H153" s="23">
        <v>5.0000000000000001E-3</v>
      </c>
      <c r="I153" s="39">
        <v>44197</v>
      </c>
      <c r="J153" s="39">
        <v>44227</v>
      </c>
      <c r="K153" s="24">
        <f t="shared" si="6"/>
        <v>31</v>
      </c>
      <c r="L153" s="24">
        <f t="shared" si="7"/>
        <v>786</v>
      </c>
      <c r="M153" s="24">
        <v>1850000</v>
      </c>
    </row>
    <row r="154" spans="1:13" s="48" customFormat="1" outlineLevel="2">
      <c r="A154" s="39" t="s">
        <v>120</v>
      </c>
      <c r="B154" s="40" t="s">
        <v>34</v>
      </c>
      <c r="C154" s="41" t="s">
        <v>125</v>
      </c>
      <c r="D154" s="40" t="s">
        <v>126</v>
      </c>
      <c r="E154" s="24">
        <v>5400000</v>
      </c>
      <c r="F154" s="39">
        <v>44019</v>
      </c>
      <c r="G154" s="24">
        <v>5400000</v>
      </c>
      <c r="H154" s="23">
        <v>5.0000000000000001E-3</v>
      </c>
      <c r="I154" s="39">
        <v>44197</v>
      </c>
      <c r="J154" s="39">
        <v>44227</v>
      </c>
      <c r="K154" s="24">
        <f t="shared" si="6"/>
        <v>31</v>
      </c>
      <c r="L154" s="24">
        <f t="shared" si="7"/>
        <v>2293</v>
      </c>
      <c r="M154" s="24">
        <v>5400000</v>
      </c>
    </row>
    <row r="155" spans="1:13" s="48" customFormat="1" outlineLevel="2">
      <c r="A155" s="39" t="s">
        <v>120</v>
      </c>
      <c r="B155" s="40" t="s">
        <v>35</v>
      </c>
      <c r="C155" s="41" t="s">
        <v>125</v>
      </c>
      <c r="D155" s="40" t="s">
        <v>126</v>
      </c>
      <c r="E155" s="24">
        <v>2300000</v>
      </c>
      <c r="F155" s="39">
        <v>44027</v>
      </c>
      <c r="G155" s="24">
        <v>2300000</v>
      </c>
      <c r="H155" s="23">
        <v>5.0000000000000001E-3</v>
      </c>
      <c r="I155" s="39">
        <v>44197</v>
      </c>
      <c r="J155" s="39">
        <v>44227</v>
      </c>
      <c r="K155" s="24">
        <f t="shared" si="6"/>
        <v>31</v>
      </c>
      <c r="L155" s="24">
        <f t="shared" si="7"/>
        <v>977</v>
      </c>
      <c r="M155" s="24">
        <v>2300000</v>
      </c>
    </row>
    <row r="156" spans="1:13" s="48" customFormat="1" outlineLevel="2">
      <c r="A156" s="39" t="s">
        <v>120</v>
      </c>
      <c r="B156" s="40" t="s">
        <v>36</v>
      </c>
      <c r="C156" s="41" t="s">
        <v>125</v>
      </c>
      <c r="D156" s="40" t="s">
        <v>126</v>
      </c>
      <c r="E156" s="24">
        <v>16280000</v>
      </c>
      <c r="F156" s="39">
        <v>44041</v>
      </c>
      <c r="G156" s="24">
        <v>16280000</v>
      </c>
      <c r="H156" s="23">
        <v>5.0000000000000001E-3</v>
      </c>
      <c r="I156" s="39">
        <v>44197</v>
      </c>
      <c r="J156" s="39">
        <v>44227</v>
      </c>
      <c r="K156" s="24">
        <f t="shared" si="6"/>
        <v>31</v>
      </c>
      <c r="L156" s="24">
        <f t="shared" si="7"/>
        <v>6913</v>
      </c>
      <c r="M156" s="24">
        <v>16280000</v>
      </c>
    </row>
    <row r="157" spans="1:13" s="48" customFormat="1" outlineLevel="2">
      <c r="A157" s="39" t="s">
        <v>120</v>
      </c>
      <c r="B157" s="40" t="s">
        <v>39</v>
      </c>
      <c r="C157" s="41" t="s">
        <v>127</v>
      </c>
      <c r="D157" s="40" t="s">
        <v>18</v>
      </c>
      <c r="E157" s="24">
        <v>162300000</v>
      </c>
      <c r="F157" s="39">
        <v>43829</v>
      </c>
      <c r="G157" s="24">
        <v>129840000</v>
      </c>
      <c r="H157" s="23">
        <v>5.0000000000000001E-3</v>
      </c>
      <c r="I157" s="39">
        <v>44197</v>
      </c>
      <c r="J157" s="39">
        <v>44210</v>
      </c>
      <c r="K157" s="24">
        <f t="shared" si="6"/>
        <v>14</v>
      </c>
      <c r="L157" s="24">
        <f t="shared" si="7"/>
        <v>24901</v>
      </c>
      <c r="M157" s="24">
        <v>127135000</v>
      </c>
    </row>
    <row r="158" spans="1:13" s="48" customFormat="1" outlineLevel="2">
      <c r="A158" s="39" t="s">
        <v>120</v>
      </c>
      <c r="B158" s="40" t="s">
        <v>39</v>
      </c>
      <c r="C158" s="41" t="s">
        <v>127</v>
      </c>
      <c r="D158" s="40"/>
      <c r="E158" s="24"/>
      <c r="F158" s="39"/>
      <c r="G158" s="24">
        <v>127135000</v>
      </c>
      <c r="H158" s="23">
        <v>5.0000000000000001E-3</v>
      </c>
      <c r="I158" s="39">
        <v>44211</v>
      </c>
      <c r="J158" s="39">
        <v>44227</v>
      </c>
      <c r="K158" s="24">
        <f t="shared" si="6"/>
        <v>17</v>
      </c>
      <c r="L158" s="24">
        <f t="shared" si="7"/>
        <v>29607</v>
      </c>
      <c r="M158" s="24"/>
    </row>
    <row r="159" spans="1:13" s="48" customFormat="1" outlineLevel="2">
      <c r="A159" s="39" t="s">
        <v>120</v>
      </c>
      <c r="B159" s="40" t="s">
        <v>40</v>
      </c>
      <c r="C159" s="41" t="s">
        <v>71</v>
      </c>
      <c r="D159" s="40" t="s">
        <v>72</v>
      </c>
      <c r="E159" s="24">
        <v>30000000</v>
      </c>
      <c r="F159" s="39">
        <v>44020</v>
      </c>
      <c r="G159" s="24">
        <v>30000000</v>
      </c>
      <c r="H159" s="23">
        <v>5.0000000000000001E-3</v>
      </c>
      <c r="I159" s="39">
        <v>44197</v>
      </c>
      <c r="J159" s="39">
        <v>44227</v>
      </c>
      <c r="K159" s="24">
        <f t="shared" si="6"/>
        <v>31</v>
      </c>
      <c r="L159" s="24">
        <f t="shared" si="7"/>
        <v>12740</v>
      </c>
      <c r="M159" s="24">
        <v>30000000</v>
      </c>
    </row>
    <row r="160" spans="1:13" s="48" customFormat="1" outlineLevel="2">
      <c r="A160" s="39" t="s">
        <v>120</v>
      </c>
      <c r="B160" s="40" t="s">
        <v>41</v>
      </c>
      <c r="C160" s="41" t="s">
        <v>27</v>
      </c>
      <c r="D160" s="40" t="s">
        <v>28</v>
      </c>
      <c r="E160" s="24">
        <v>35100000</v>
      </c>
      <c r="F160" s="39">
        <v>44013</v>
      </c>
      <c r="G160" s="24">
        <v>35100000</v>
      </c>
      <c r="H160" s="23">
        <v>5.0000000000000001E-3</v>
      </c>
      <c r="I160" s="39">
        <v>44197</v>
      </c>
      <c r="J160" s="39">
        <v>44227</v>
      </c>
      <c r="K160" s="24">
        <f t="shared" si="6"/>
        <v>31</v>
      </c>
      <c r="L160" s="24">
        <f t="shared" si="7"/>
        <v>14905</v>
      </c>
      <c r="M160" s="24">
        <v>35100000</v>
      </c>
    </row>
    <row r="161" spans="1:13" s="48" customFormat="1" outlineLevel="2">
      <c r="A161" s="39" t="s">
        <v>120</v>
      </c>
      <c r="B161" s="40" t="s">
        <v>42</v>
      </c>
      <c r="C161" s="41" t="s">
        <v>27</v>
      </c>
      <c r="D161" s="40" t="s">
        <v>28</v>
      </c>
      <c r="E161" s="24">
        <v>14900000</v>
      </c>
      <c r="F161" s="39">
        <v>44021</v>
      </c>
      <c r="G161" s="24">
        <v>14900000</v>
      </c>
      <c r="H161" s="23">
        <v>5.0000000000000001E-3</v>
      </c>
      <c r="I161" s="39">
        <v>44197</v>
      </c>
      <c r="J161" s="39">
        <v>44227</v>
      </c>
      <c r="K161" s="24">
        <f t="shared" si="6"/>
        <v>31</v>
      </c>
      <c r="L161" s="24">
        <f t="shared" si="7"/>
        <v>6327</v>
      </c>
      <c r="M161" s="24">
        <v>14900000</v>
      </c>
    </row>
    <row r="162" spans="1:13" s="48" customFormat="1" outlineLevel="2">
      <c r="A162" s="39" t="s">
        <v>120</v>
      </c>
      <c r="B162" s="40" t="s">
        <v>43</v>
      </c>
      <c r="C162" s="41" t="s">
        <v>71</v>
      </c>
      <c r="D162" s="40" t="s">
        <v>72</v>
      </c>
      <c r="E162" s="24">
        <v>30000000</v>
      </c>
      <c r="F162" s="39">
        <v>44050</v>
      </c>
      <c r="G162" s="24">
        <v>30000000</v>
      </c>
      <c r="H162" s="23">
        <v>5.0000000000000001E-3</v>
      </c>
      <c r="I162" s="39">
        <v>44197</v>
      </c>
      <c r="J162" s="39">
        <v>44227</v>
      </c>
      <c r="K162" s="24">
        <f t="shared" si="6"/>
        <v>31</v>
      </c>
      <c r="L162" s="24">
        <f t="shared" si="7"/>
        <v>12740</v>
      </c>
      <c r="M162" s="24">
        <v>30000000</v>
      </c>
    </row>
    <row r="163" spans="1:13" s="48" customFormat="1" outlineLevel="2">
      <c r="A163" s="39" t="s">
        <v>120</v>
      </c>
      <c r="B163" s="40" t="s">
        <v>44</v>
      </c>
      <c r="C163" s="41" t="s">
        <v>83</v>
      </c>
      <c r="D163" s="40" t="s">
        <v>84</v>
      </c>
      <c r="E163" s="24">
        <v>72450000</v>
      </c>
      <c r="F163" s="39">
        <v>44064</v>
      </c>
      <c r="G163" s="24">
        <v>72450000</v>
      </c>
      <c r="H163" s="23">
        <v>5.0000000000000001E-3</v>
      </c>
      <c r="I163" s="39">
        <v>44197</v>
      </c>
      <c r="J163" s="39">
        <v>44227</v>
      </c>
      <c r="K163" s="24">
        <f t="shared" si="6"/>
        <v>31</v>
      </c>
      <c r="L163" s="24">
        <f t="shared" si="7"/>
        <v>30766</v>
      </c>
      <c r="M163" s="24">
        <v>72450000</v>
      </c>
    </row>
    <row r="164" spans="1:13" s="48" customFormat="1" outlineLevel="2">
      <c r="A164" s="39" t="s">
        <v>120</v>
      </c>
      <c r="B164" s="40" t="s">
        <v>47</v>
      </c>
      <c r="C164" s="41" t="s">
        <v>97</v>
      </c>
      <c r="D164" s="40" t="s">
        <v>98</v>
      </c>
      <c r="E164" s="24">
        <v>77500000</v>
      </c>
      <c r="F164" s="39">
        <v>44060</v>
      </c>
      <c r="G164" s="24">
        <v>77500000</v>
      </c>
      <c r="H164" s="23">
        <v>5.0000000000000001E-3</v>
      </c>
      <c r="I164" s="39">
        <v>44197</v>
      </c>
      <c r="J164" s="39">
        <v>44227</v>
      </c>
      <c r="K164" s="24">
        <f t="shared" si="6"/>
        <v>31</v>
      </c>
      <c r="L164" s="24">
        <f t="shared" si="7"/>
        <v>32911</v>
      </c>
      <c r="M164" s="24">
        <v>77500000</v>
      </c>
    </row>
    <row r="165" spans="1:13" s="48" customFormat="1" outlineLevel="2">
      <c r="A165" s="39" t="s">
        <v>120</v>
      </c>
      <c r="B165" s="40" t="s">
        <v>50</v>
      </c>
      <c r="C165" s="41" t="s">
        <v>83</v>
      </c>
      <c r="D165" s="40" t="s">
        <v>84</v>
      </c>
      <c r="E165" s="24">
        <v>160000000</v>
      </c>
      <c r="F165" s="39">
        <v>44098</v>
      </c>
      <c r="G165" s="24">
        <v>160000000</v>
      </c>
      <c r="H165" s="23">
        <v>5.0000000000000001E-3</v>
      </c>
      <c r="I165" s="39">
        <v>44197</v>
      </c>
      <c r="J165" s="39">
        <v>44227</v>
      </c>
      <c r="K165" s="24">
        <f t="shared" si="6"/>
        <v>31</v>
      </c>
      <c r="L165" s="24">
        <f t="shared" si="7"/>
        <v>67945</v>
      </c>
      <c r="M165" s="24">
        <v>160000000</v>
      </c>
    </row>
    <row r="166" spans="1:13" s="48" customFormat="1" outlineLevel="2">
      <c r="A166" s="39" t="s">
        <v>120</v>
      </c>
      <c r="B166" s="40" t="s">
        <v>51</v>
      </c>
      <c r="C166" s="41" t="s">
        <v>128</v>
      </c>
      <c r="D166" s="40" t="s">
        <v>129</v>
      </c>
      <c r="E166" s="24">
        <v>73100000</v>
      </c>
      <c r="F166" s="39">
        <v>44095</v>
      </c>
      <c r="G166" s="24">
        <v>73100000</v>
      </c>
      <c r="H166" s="23">
        <v>5.0000000000000001E-3</v>
      </c>
      <c r="I166" s="39">
        <v>44197</v>
      </c>
      <c r="J166" s="39">
        <v>44227</v>
      </c>
      <c r="K166" s="24">
        <f t="shared" si="6"/>
        <v>31</v>
      </c>
      <c r="L166" s="24">
        <f t="shared" si="7"/>
        <v>31042</v>
      </c>
      <c r="M166" s="24">
        <v>73100000</v>
      </c>
    </row>
    <row r="167" spans="1:13" s="48" customFormat="1" outlineLevel="2">
      <c r="A167" s="39" t="s">
        <v>120</v>
      </c>
      <c r="B167" s="40" t="s">
        <v>52</v>
      </c>
      <c r="C167" s="41" t="s">
        <v>125</v>
      </c>
      <c r="D167" s="40" t="s">
        <v>126</v>
      </c>
      <c r="E167" s="24">
        <v>3000000</v>
      </c>
      <c r="F167" s="39">
        <v>44132</v>
      </c>
      <c r="G167" s="24">
        <v>3000000</v>
      </c>
      <c r="H167" s="23">
        <v>5.0000000000000001E-3</v>
      </c>
      <c r="I167" s="39">
        <v>44197</v>
      </c>
      <c r="J167" s="39">
        <v>44227</v>
      </c>
      <c r="K167" s="24">
        <f t="shared" si="6"/>
        <v>31</v>
      </c>
      <c r="L167" s="24">
        <f t="shared" si="7"/>
        <v>1274</v>
      </c>
      <c r="M167" s="24">
        <v>3000000</v>
      </c>
    </row>
    <row r="168" spans="1:13" s="48" customFormat="1" outlineLevel="2">
      <c r="A168" s="39" t="s">
        <v>120</v>
      </c>
      <c r="B168" s="40" t="s">
        <v>53</v>
      </c>
      <c r="C168" s="41" t="s">
        <v>97</v>
      </c>
      <c r="D168" s="40" t="s">
        <v>98</v>
      </c>
      <c r="E168" s="24">
        <v>141000000</v>
      </c>
      <c r="F168" s="39">
        <v>44119</v>
      </c>
      <c r="G168" s="24">
        <v>141000000</v>
      </c>
      <c r="H168" s="23">
        <v>5.0000000000000001E-3</v>
      </c>
      <c r="I168" s="39">
        <v>44197</v>
      </c>
      <c r="J168" s="39">
        <v>44227</v>
      </c>
      <c r="K168" s="24">
        <f t="shared" si="6"/>
        <v>31</v>
      </c>
      <c r="L168" s="24">
        <f t="shared" si="7"/>
        <v>59877</v>
      </c>
      <c r="M168" s="24">
        <v>141000000</v>
      </c>
    </row>
    <row r="169" spans="1:13" s="48" customFormat="1" outlineLevel="2">
      <c r="A169" s="39" t="s">
        <v>120</v>
      </c>
      <c r="B169" s="40" t="s">
        <v>54</v>
      </c>
      <c r="C169" s="41" t="s">
        <v>20</v>
      </c>
      <c r="D169" s="40" t="s">
        <v>21</v>
      </c>
      <c r="E169" s="24">
        <v>60000000</v>
      </c>
      <c r="F169" s="39">
        <v>43922</v>
      </c>
      <c r="G169" s="24">
        <v>60000000</v>
      </c>
      <c r="H169" s="23">
        <v>3.0000000000000001E-3</v>
      </c>
      <c r="I169" s="39">
        <v>44197</v>
      </c>
      <c r="J169" s="39">
        <v>44227</v>
      </c>
      <c r="K169" s="24">
        <f t="shared" si="6"/>
        <v>31</v>
      </c>
      <c r="L169" s="24">
        <f t="shared" si="7"/>
        <v>15288</v>
      </c>
      <c r="M169" s="24">
        <v>60000000</v>
      </c>
    </row>
    <row r="170" spans="1:13" s="48" customFormat="1" outlineLevel="2">
      <c r="A170" s="39" t="s">
        <v>120</v>
      </c>
      <c r="B170" s="40" t="s">
        <v>57</v>
      </c>
      <c r="C170" s="41" t="s">
        <v>125</v>
      </c>
      <c r="D170" s="40" t="s">
        <v>126</v>
      </c>
      <c r="E170" s="24">
        <v>2500000</v>
      </c>
      <c r="F170" s="39">
        <v>44146</v>
      </c>
      <c r="G170" s="24">
        <v>2500000</v>
      </c>
      <c r="H170" s="23">
        <v>5.0000000000000001E-3</v>
      </c>
      <c r="I170" s="39">
        <v>44197</v>
      </c>
      <c r="J170" s="39">
        <v>44227</v>
      </c>
      <c r="K170" s="24">
        <f t="shared" si="6"/>
        <v>31</v>
      </c>
      <c r="L170" s="24">
        <f t="shared" si="7"/>
        <v>1062</v>
      </c>
      <c r="M170" s="24">
        <v>2500000</v>
      </c>
    </row>
    <row r="171" spans="1:13" s="48" customFormat="1" outlineLevel="2">
      <c r="A171" s="39" t="s">
        <v>120</v>
      </c>
      <c r="B171" s="40" t="s">
        <v>58</v>
      </c>
      <c r="C171" s="41" t="s">
        <v>71</v>
      </c>
      <c r="D171" s="40" t="s">
        <v>72</v>
      </c>
      <c r="E171" s="24">
        <v>11610900</v>
      </c>
      <c r="F171" s="39">
        <v>44137</v>
      </c>
      <c r="G171" s="24">
        <v>11610900</v>
      </c>
      <c r="H171" s="23">
        <v>5.0000000000000001E-3</v>
      </c>
      <c r="I171" s="39">
        <v>44197</v>
      </c>
      <c r="J171" s="39">
        <v>44227</v>
      </c>
      <c r="K171" s="24">
        <f t="shared" si="6"/>
        <v>31</v>
      </c>
      <c r="L171" s="24">
        <f t="shared" si="7"/>
        <v>4931</v>
      </c>
      <c r="M171" s="24">
        <v>11610900</v>
      </c>
    </row>
    <row r="172" spans="1:13" s="48" customFormat="1" outlineLevel="2">
      <c r="A172" s="39" t="s">
        <v>120</v>
      </c>
      <c r="B172" s="40" t="s">
        <v>99</v>
      </c>
      <c r="C172" s="41" t="s">
        <v>130</v>
      </c>
      <c r="D172" s="40" t="s">
        <v>131</v>
      </c>
      <c r="E172" s="24">
        <v>12000000</v>
      </c>
      <c r="F172" s="39">
        <v>44145</v>
      </c>
      <c r="G172" s="24">
        <v>12000000</v>
      </c>
      <c r="H172" s="23">
        <v>5.0000000000000001E-3</v>
      </c>
      <c r="I172" s="39">
        <v>44197</v>
      </c>
      <c r="J172" s="39">
        <v>44227</v>
      </c>
      <c r="K172" s="24">
        <f t="shared" si="6"/>
        <v>31</v>
      </c>
      <c r="L172" s="24">
        <f t="shared" si="7"/>
        <v>5096</v>
      </c>
      <c r="M172" s="24">
        <v>12000000</v>
      </c>
    </row>
    <row r="173" spans="1:13" s="48" customFormat="1" outlineLevel="2">
      <c r="A173" s="39" t="s">
        <v>120</v>
      </c>
      <c r="B173" s="40" t="s">
        <v>100</v>
      </c>
      <c r="C173" s="41" t="s">
        <v>132</v>
      </c>
      <c r="D173" s="40" t="s">
        <v>133</v>
      </c>
      <c r="E173" s="24">
        <v>23000000</v>
      </c>
      <c r="F173" s="39">
        <v>44137</v>
      </c>
      <c r="G173" s="24">
        <v>22233334</v>
      </c>
      <c r="H173" s="23">
        <v>5.0000000000000001E-3</v>
      </c>
      <c r="I173" s="39">
        <v>44197</v>
      </c>
      <c r="J173" s="39">
        <v>44210</v>
      </c>
      <c r="K173" s="24">
        <f t="shared" si="6"/>
        <v>14</v>
      </c>
      <c r="L173" s="24">
        <f t="shared" si="7"/>
        <v>4264</v>
      </c>
      <c r="M173" s="24">
        <v>21850001</v>
      </c>
    </row>
    <row r="174" spans="1:13" s="48" customFormat="1" outlineLevel="2">
      <c r="A174" s="39" t="s">
        <v>120</v>
      </c>
      <c r="B174" s="40" t="s">
        <v>100</v>
      </c>
      <c r="C174" s="41" t="s">
        <v>132</v>
      </c>
      <c r="D174" s="40"/>
      <c r="E174" s="24"/>
      <c r="F174" s="39"/>
      <c r="G174" s="24">
        <v>21850001</v>
      </c>
      <c r="H174" s="23">
        <v>5.0000000000000001E-3</v>
      </c>
      <c r="I174" s="39">
        <v>44211</v>
      </c>
      <c r="J174" s="39">
        <v>44227</v>
      </c>
      <c r="K174" s="24">
        <f t="shared" si="6"/>
        <v>17</v>
      </c>
      <c r="L174" s="24">
        <f t="shared" si="7"/>
        <v>5088</v>
      </c>
      <c r="M174" s="24"/>
    </row>
    <row r="175" spans="1:13" s="48" customFormat="1" outlineLevel="2">
      <c r="A175" s="39" t="s">
        <v>120</v>
      </c>
      <c r="B175" s="40" t="s">
        <v>101</v>
      </c>
      <c r="C175" s="41" t="s">
        <v>132</v>
      </c>
      <c r="D175" s="40" t="s">
        <v>133</v>
      </c>
      <c r="E175" s="24">
        <v>17000000</v>
      </c>
      <c r="F175" s="39">
        <v>44145</v>
      </c>
      <c r="G175" s="24">
        <v>16433334</v>
      </c>
      <c r="H175" s="23">
        <v>5.0000000000000001E-3</v>
      </c>
      <c r="I175" s="39">
        <v>44197</v>
      </c>
      <c r="J175" s="39">
        <v>44210</v>
      </c>
      <c r="K175" s="24">
        <f t="shared" si="6"/>
        <v>14</v>
      </c>
      <c r="L175" s="24">
        <f t="shared" si="7"/>
        <v>3152</v>
      </c>
      <c r="M175" s="24">
        <v>16150001</v>
      </c>
    </row>
    <row r="176" spans="1:13" s="48" customFormat="1" outlineLevel="2">
      <c r="A176" s="39" t="s">
        <v>120</v>
      </c>
      <c r="B176" s="40" t="s">
        <v>101</v>
      </c>
      <c r="C176" s="41" t="s">
        <v>132</v>
      </c>
      <c r="D176" s="40"/>
      <c r="E176" s="24"/>
      <c r="F176" s="39"/>
      <c r="G176" s="24">
        <v>16150001</v>
      </c>
      <c r="H176" s="23">
        <v>5.0000000000000001E-3</v>
      </c>
      <c r="I176" s="39">
        <v>44211</v>
      </c>
      <c r="J176" s="39">
        <v>44227</v>
      </c>
      <c r="K176" s="24">
        <f t="shared" si="6"/>
        <v>17</v>
      </c>
      <c r="L176" s="24">
        <f t="shared" si="7"/>
        <v>3761</v>
      </c>
      <c r="M176" s="24"/>
    </row>
    <row r="177" spans="1:13" s="48" customFormat="1" outlineLevel="2">
      <c r="A177" s="39" t="s">
        <v>120</v>
      </c>
      <c r="B177" s="40" t="s">
        <v>102</v>
      </c>
      <c r="C177" s="41" t="s">
        <v>17</v>
      </c>
      <c r="D177" s="40" t="s">
        <v>18</v>
      </c>
      <c r="E177" s="24">
        <v>4591000</v>
      </c>
      <c r="F177" s="39">
        <v>44160</v>
      </c>
      <c r="G177" s="24">
        <v>4514483</v>
      </c>
      <c r="H177" s="23">
        <v>5.0000000000000001E-3</v>
      </c>
      <c r="I177" s="39">
        <v>44197</v>
      </c>
      <c r="J177" s="39">
        <v>44210</v>
      </c>
      <c r="K177" s="24">
        <f t="shared" si="6"/>
        <v>14</v>
      </c>
      <c r="L177" s="24">
        <f t="shared" si="7"/>
        <v>866</v>
      </c>
      <c r="M177" s="24">
        <v>4437966</v>
      </c>
    </row>
    <row r="178" spans="1:13" s="48" customFormat="1" outlineLevel="2">
      <c r="A178" s="39" t="s">
        <v>120</v>
      </c>
      <c r="B178" s="40" t="s">
        <v>102</v>
      </c>
      <c r="C178" s="41" t="s">
        <v>17</v>
      </c>
      <c r="D178" s="40"/>
      <c r="E178" s="24"/>
      <c r="F178" s="39"/>
      <c r="G178" s="24">
        <v>4437966</v>
      </c>
      <c r="H178" s="23">
        <v>5.0000000000000001E-3</v>
      </c>
      <c r="I178" s="39">
        <v>44211</v>
      </c>
      <c r="J178" s="39">
        <v>44227</v>
      </c>
      <c r="K178" s="24">
        <f t="shared" si="6"/>
        <v>17</v>
      </c>
      <c r="L178" s="24">
        <f t="shared" si="7"/>
        <v>1033</v>
      </c>
      <c r="M178" s="24"/>
    </row>
    <row r="179" spans="1:13" s="48" customFormat="1" outlineLevel="2">
      <c r="A179" s="39" t="s">
        <v>120</v>
      </c>
      <c r="B179" s="40" t="s">
        <v>103</v>
      </c>
      <c r="C179" s="41" t="s">
        <v>83</v>
      </c>
      <c r="D179" s="40" t="s">
        <v>84</v>
      </c>
      <c r="E179" s="24">
        <v>238000000</v>
      </c>
      <c r="F179" s="39">
        <v>44189</v>
      </c>
      <c r="G179" s="24">
        <v>238000000</v>
      </c>
      <c r="H179" s="23">
        <v>5.0000000000000001E-3</v>
      </c>
      <c r="I179" s="39">
        <v>44197</v>
      </c>
      <c r="J179" s="39">
        <v>44227</v>
      </c>
      <c r="K179" s="24">
        <f t="shared" si="6"/>
        <v>31</v>
      </c>
      <c r="L179" s="24">
        <f t="shared" si="7"/>
        <v>101068</v>
      </c>
      <c r="M179" s="24">
        <v>238000000</v>
      </c>
    </row>
    <row r="180" spans="1:13" s="48" customFormat="1" outlineLevel="2">
      <c r="A180" s="39" t="s">
        <v>120</v>
      </c>
      <c r="B180" s="40" t="s">
        <v>104</v>
      </c>
      <c r="C180" s="41" t="s">
        <v>97</v>
      </c>
      <c r="D180" s="40" t="s">
        <v>98</v>
      </c>
      <c r="E180" s="24">
        <v>17000000</v>
      </c>
      <c r="F180" s="39">
        <v>44180</v>
      </c>
      <c r="G180" s="24">
        <v>17000000</v>
      </c>
      <c r="H180" s="23">
        <v>5.0000000000000001E-3</v>
      </c>
      <c r="I180" s="39">
        <v>44197</v>
      </c>
      <c r="J180" s="39">
        <v>44227</v>
      </c>
      <c r="K180" s="24">
        <f t="shared" si="6"/>
        <v>31</v>
      </c>
      <c r="L180" s="24">
        <f t="shared" si="7"/>
        <v>7219</v>
      </c>
      <c r="M180" s="24">
        <v>17000000</v>
      </c>
    </row>
    <row r="181" spans="1:13" s="48" customFormat="1" outlineLevel="2">
      <c r="A181" s="39" t="s">
        <v>120</v>
      </c>
      <c r="B181" s="40" t="s">
        <v>105</v>
      </c>
      <c r="C181" s="41" t="s">
        <v>134</v>
      </c>
      <c r="D181" s="40" t="s">
        <v>135</v>
      </c>
      <c r="E181" s="24">
        <v>8000000</v>
      </c>
      <c r="F181" s="39">
        <v>44169</v>
      </c>
      <c r="G181" s="24">
        <v>8000000</v>
      </c>
      <c r="H181" s="23">
        <v>5.0000000000000001E-3</v>
      </c>
      <c r="I181" s="39">
        <v>44197</v>
      </c>
      <c r="J181" s="39">
        <v>44227</v>
      </c>
      <c r="K181" s="24">
        <f t="shared" si="6"/>
        <v>31</v>
      </c>
      <c r="L181" s="24">
        <f t="shared" si="7"/>
        <v>3397</v>
      </c>
      <c r="M181" s="24">
        <v>8000000</v>
      </c>
    </row>
    <row r="182" spans="1:13" s="48" customFormat="1" outlineLevel="2">
      <c r="A182" s="39" t="s">
        <v>120</v>
      </c>
      <c r="B182" s="40" t="s">
        <v>106</v>
      </c>
      <c r="C182" s="41" t="s">
        <v>134</v>
      </c>
      <c r="D182" s="40" t="s">
        <v>135</v>
      </c>
      <c r="E182" s="24">
        <v>15000000</v>
      </c>
      <c r="F182" s="39">
        <v>44169</v>
      </c>
      <c r="G182" s="24">
        <v>15000000</v>
      </c>
      <c r="H182" s="23">
        <v>5.0000000000000001E-3</v>
      </c>
      <c r="I182" s="39">
        <v>44197</v>
      </c>
      <c r="J182" s="39">
        <v>44227</v>
      </c>
      <c r="K182" s="24">
        <f t="shared" si="6"/>
        <v>31</v>
      </c>
      <c r="L182" s="24">
        <f t="shared" si="7"/>
        <v>6370</v>
      </c>
      <c r="M182" s="24">
        <v>15000000</v>
      </c>
    </row>
    <row r="183" spans="1:13" s="48" customFormat="1" outlineLevel="2">
      <c r="A183" s="39" t="s">
        <v>120</v>
      </c>
      <c r="B183" s="40" t="s">
        <v>59</v>
      </c>
      <c r="C183" s="41" t="s">
        <v>20</v>
      </c>
      <c r="D183" s="40" t="s">
        <v>21</v>
      </c>
      <c r="E183" s="24">
        <v>144000000</v>
      </c>
      <c r="F183" s="39">
        <v>43922</v>
      </c>
      <c r="G183" s="24">
        <v>144000000</v>
      </c>
      <c r="H183" s="23">
        <v>5.0000000000000001E-3</v>
      </c>
      <c r="I183" s="39">
        <v>44197</v>
      </c>
      <c r="J183" s="39">
        <v>44227</v>
      </c>
      <c r="K183" s="24">
        <f t="shared" si="6"/>
        <v>31</v>
      </c>
      <c r="L183" s="24">
        <f t="shared" si="7"/>
        <v>61151</v>
      </c>
      <c r="M183" s="24">
        <v>144000000</v>
      </c>
    </row>
    <row r="184" spans="1:13" s="48" customFormat="1" outlineLevel="2">
      <c r="A184" s="39" t="s">
        <v>120</v>
      </c>
      <c r="B184" s="40" t="s">
        <v>136</v>
      </c>
      <c r="C184" s="41" t="s">
        <v>125</v>
      </c>
      <c r="D184" s="40" t="s">
        <v>126</v>
      </c>
      <c r="E184" s="24">
        <v>7000000</v>
      </c>
      <c r="F184" s="39">
        <v>44202</v>
      </c>
      <c r="G184" s="24">
        <v>7000000</v>
      </c>
      <c r="H184" s="23">
        <v>5.0000000000000001E-3</v>
      </c>
      <c r="I184" s="39">
        <v>44202</v>
      </c>
      <c r="J184" s="39">
        <v>44227</v>
      </c>
      <c r="K184" s="24">
        <f t="shared" si="6"/>
        <v>26</v>
      </c>
      <c r="L184" s="24">
        <f t="shared" si="7"/>
        <v>2493</v>
      </c>
      <c r="M184" s="24">
        <v>7000000</v>
      </c>
    </row>
    <row r="185" spans="1:13" s="48" customFormat="1" outlineLevel="2">
      <c r="A185" s="39" t="s">
        <v>120</v>
      </c>
      <c r="B185" s="40" t="s">
        <v>137</v>
      </c>
      <c r="C185" s="41" t="s">
        <v>125</v>
      </c>
      <c r="D185" s="40" t="s">
        <v>126</v>
      </c>
      <c r="E185" s="24">
        <v>26000000</v>
      </c>
      <c r="F185" s="39">
        <v>44218</v>
      </c>
      <c r="G185" s="24">
        <v>26000000</v>
      </c>
      <c r="H185" s="23">
        <v>5.0000000000000001E-3</v>
      </c>
      <c r="I185" s="39">
        <v>44218</v>
      </c>
      <c r="J185" s="39">
        <v>44227</v>
      </c>
      <c r="K185" s="24">
        <f t="shared" si="6"/>
        <v>10</v>
      </c>
      <c r="L185" s="24">
        <f t="shared" si="7"/>
        <v>3562</v>
      </c>
      <c r="M185" s="24">
        <v>26000000</v>
      </c>
    </row>
    <row r="186" spans="1:13" s="48" customFormat="1" outlineLevel="2">
      <c r="A186" s="39" t="s">
        <v>120</v>
      </c>
      <c r="B186" s="40" t="s">
        <v>138</v>
      </c>
      <c r="C186" s="41" t="s">
        <v>134</v>
      </c>
      <c r="D186" s="40" t="s">
        <v>135</v>
      </c>
      <c r="E186" s="24">
        <v>15000000</v>
      </c>
      <c r="F186" s="39">
        <v>44200</v>
      </c>
      <c r="G186" s="24">
        <v>15000000</v>
      </c>
      <c r="H186" s="23">
        <v>5.0000000000000001E-3</v>
      </c>
      <c r="I186" s="39">
        <v>44200</v>
      </c>
      <c r="J186" s="39">
        <v>44227</v>
      </c>
      <c r="K186" s="24">
        <f t="shared" si="6"/>
        <v>28</v>
      </c>
      <c r="L186" s="24">
        <f t="shared" si="7"/>
        <v>5753</v>
      </c>
      <c r="M186" s="24">
        <v>15000000</v>
      </c>
    </row>
    <row r="187" spans="1:13" s="48" customFormat="1" outlineLevel="2">
      <c r="A187" s="39" t="s">
        <v>120</v>
      </c>
      <c r="B187" s="40" t="s">
        <v>139</v>
      </c>
      <c r="C187" s="41" t="s">
        <v>134</v>
      </c>
      <c r="D187" s="40" t="s">
        <v>135</v>
      </c>
      <c r="E187" s="24">
        <v>6000000</v>
      </c>
      <c r="F187" s="39">
        <v>44203</v>
      </c>
      <c r="G187" s="24">
        <v>6000000</v>
      </c>
      <c r="H187" s="23">
        <v>5.0000000000000001E-3</v>
      </c>
      <c r="I187" s="39">
        <v>44203</v>
      </c>
      <c r="J187" s="39">
        <v>44227</v>
      </c>
      <c r="K187" s="24">
        <f t="shared" si="6"/>
        <v>25</v>
      </c>
      <c r="L187" s="24">
        <f t="shared" si="7"/>
        <v>2055</v>
      </c>
      <c r="M187" s="24">
        <v>6000000</v>
      </c>
    </row>
    <row r="188" spans="1:13" s="48" customFormat="1" outlineLevel="2">
      <c r="A188" s="39" t="s">
        <v>120</v>
      </c>
      <c r="B188" s="40" t="s">
        <v>140</v>
      </c>
      <c r="C188" s="41" t="s">
        <v>134</v>
      </c>
      <c r="D188" s="40" t="s">
        <v>135</v>
      </c>
      <c r="E188" s="24">
        <v>9000000</v>
      </c>
      <c r="F188" s="39">
        <v>44216</v>
      </c>
      <c r="G188" s="24">
        <v>9000000</v>
      </c>
      <c r="H188" s="23">
        <v>5.0000000000000001E-3</v>
      </c>
      <c r="I188" s="39">
        <v>44216</v>
      </c>
      <c r="J188" s="39">
        <v>44227</v>
      </c>
      <c r="K188" s="24">
        <f t="shared" si="6"/>
        <v>12</v>
      </c>
      <c r="L188" s="24">
        <f t="shared" si="7"/>
        <v>1479</v>
      </c>
      <c r="M188" s="24">
        <v>9000000</v>
      </c>
    </row>
    <row r="189" spans="1:13" s="48" customFormat="1" outlineLevel="2">
      <c r="A189" s="39" t="s">
        <v>120</v>
      </c>
      <c r="B189" s="40" t="s">
        <v>62</v>
      </c>
      <c r="C189" s="41" t="s">
        <v>125</v>
      </c>
      <c r="D189" s="40" t="s">
        <v>126</v>
      </c>
      <c r="E189" s="24">
        <v>34480000</v>
      </c>
      <c r="F189" s="39">
        <v>43980</v>
      </c>
      <c r="G189" s="24">
        <v>34480000</v>
      </c>
      <c r="H189" s="23">
        <v>5.0000000000000001E-3</v>
      </c>
      <c r="I189" s="39">
        <v>44197</v>
      </c>
      <c r="J189" s="39">
        <v>44227</v>
      </c>
      <c r="K189" s="24">
        <f t="shared" si="6"/>
        <v>31</v>
      </c>
      <c r="L189" s="24">
        <f t="shared" si="7"/>
        <v>14642</v>
      </c>
      <c r="M189" s="24">
        <v>34480000</v>
      </c>
    </row>
    <row r="190" spans="1:13" s="48" customFormat="1" outlineLevel="2">
      <c r="A190" s="39" t="s">
        <v>120</v>
      </c>
      <c r="B190" s="40" t="s">
        <v>63</v>
      </c>
      <c r="C190" s="41" t="s">
        <v>66</v>
      </c>
      <c r="D190" s="40" t="s">
        <v>67</v>
      </c>
      <c r="E190" s="24">
        <v>56000000</v>
      </c>
      <c r="F190" s="39">
        <v>43966</v>
      </c>
      <c r="G190" s="24">
        <v>56000000</v>
      </c>
      <c r="H190" s="23">
        <v>5.0000000000000001E-3</v>
      </c>
      <c r="I190" s="39">
        <v>44197</v>
      </c>
      <c r="J190" s="39">
        <v>44227</v>
      </c>
      <c r="K190" s="24">
        <f t="shared" si="6"/>
        <v>31</v>
      </c>
      <c r="L190" s="24">
        <f t="shared" si="7"/>
        <v>23781</v>
      </c>
      <c r="M190" s="24">
        <v>56000000</v>
      </c>
    </row>
    <row r="191" spans="1:13" s="48" customFormat="1" outlineLevel="2">
      <c r="A191" s="39" t="s">
        <v>120</v>
      </c>
      <c r="B191" s="40" t="s">
        <v>64</v>
      </c>
      <c r="C191" s="41" t="s">
        <v>20</v>
      </c>
      <c r="D191" s="40" t="s">
        <v>21</v>
      </c>
      <c r="E191" s="24">
        <v>150000000</v>
      </c>
      <c r="F191" s="39">
        <v>43958</v>
      </c>
      <c r="G191" s="24">
        <v>150000000</v>
      </c>
      <c r="H191" s="23">
        <v>5.0000000000000001E-3</v>
      </c>
      <c r="I191" s="39">
        <v>44197</v>
      </c>
      <c r="J191" s="39">
        <v>44227</v>
      </c>
      <c r="K191" s="24">
        <f t="shared" si="6"/>
        <v>31</v>
      </c>
      <c r="L191" s="24">
        <f t="shared" si="7"/>
        <v>63699</v>
      </c>
      <c r="M191" s="24">
        <v>150000000</v>
      </c>
    </row>
    <row r="192" spans="1:13" s="48" customFormat="1" outlineLevel="2">
      <c r="A192" s="39" t="s">
        <v>120</v>
      </c>
      <c r="B192" s="40" t="s">
        <v>65</v>
      </c>
      <c r="C192" s="41" t="s">
        <v>125</v>
      </c>
      <c r="D192" s="40" t="s">
        <v>126</v>
      </c>
      <c r="E192" s="24">
        <v>5000000</v>
      </c>
      <c r="F192" s="39">
        <v>43998</v>
      </c>
      <c r="G192" s="24">
        <v>5000000</v>
      </c>
      <c r="H192" s="23">
        <v>5.0000000000000001E-3</v>
      </c>
      <c r="I192" s="39">
        <v>44197</v>
      </c>
      <c r="J192" s="39">
        <v>44227</v>
      </c>
      <c r="K192" s="24">
        <f t="shared" si="6"/>
        <v>31</v>
      </c>
      <c r="L192" s="24">
        <f t="shared" si="7"/>
        <v>2123</v>
      </c>
      <c r="M192" s="24">
        <v>5000000</v>
      </c>
    </row>
    <row r="193" spans="1:13" s="48" customFormat="1" outlineLevel="2">
      <c r="A193" s="39" t="s">
        <v>120</v>
      </c>
      <c r="B193" s="40" t="s">
        <v>68</v>
      </c>
      <c r="C193" s="41" t="s">
        <v>125</v>
      </c>
      <c r="D193" s="40" t="s">
        <v>126</v>
      </c>
      <c r="E193" s="24">
        <v>17292000</v>
      </c>
      <c r="F193" s="39">
        <v>44002</v>
      </c>
      <c r="G193" s="24">
        <v>17292000</v>
      </c>
      <c r="H193" s="23">
        <v>5.0000000000000001E-3</v>
      </c>
      <c r="I193" s="39">
        <v>44197</v>
      </c>
      <c r="J193" s="39">
        <v>44227</v>
      </c>
      <c r="K193" s="24">
        <f t="shared" si="6"/>
        <v>31</v>
      </c>
      <c r="L193" s="24">
        <f t="shared" si="7"/>
        <v>7343</v>
      </c>
      <c r="M193" s="24">
        <v>17292000</v>
      </c>
    </row>
    <row r="194" spans="1:13" s="48" customFormat="1" outlineLevel="1">
      <c r="A194" s="42" t="s">
        <v>141</v>
      </c>
      <c r="B194" s="43"/>
      <c r="C194" s="44"/>
      <c r="D194" s="43"/>
      <c r="E194" s="45">
        <f>SUBTOTAL(9,E146:E193)</f>
        <v>3202965900</v>
      </c>
      <c r="F194" s="46"/>
      <c r="G194" s="45"/>
      <c r="H194" s="47"/>
      <c r="I194" s="46"/>
      <c r="J194" s="46"/>
      <c r="K194" s="45"/>
      <c r="L194" s="45">
        <f>SUBTOTAL(9,L146:L193)</f>
        <v>1239253</v>
      </c>
      <c r="M194" s="45">
        <f>SUBTOTAL(9,M146:M193)</f>
        <v>3150758268</v>
      </c>
    </row>
    <row r="195" spans="1:13" s="48" customFormat="1" outlineLevel="2">
      <c r="A195" s="39" t="s">
        <v>142</v>
      </c>
      <c r="B195" s="40" t="s">
        <v>16</v>
      </c>
      <c r="C195" s="41" t="s">
        <v>143</v>
      </c>
      <c r="D195" s="40" t="s">
        <v>144</v>
      </c>
      <c r="E195" s="24">
        <v>38000000</v>
      </c>
      <c r="F195" s="39">
        <v>43762</v>
      </c>
      <c r="G195" s="24">
        <v>38000000</v>
      </c>
      <c r="H195" s="23">
        <v>5.0000000000000001E-3</v>
      </c>
      <c r="I195" s="39">
        <v>44197</v>
      </c>
      <c r="J195" s="39">
        <v>44227</v>
      </c>
      <c r="K195" s="24">
        <f t="shared" ref="K195:K258" si="8">J195-I195+1</f>
        <v>31</v>
      </c>
      <c r="L195" s="24">
        <f t="shared" ref="L195:L258" si="9">ROUND(G195*H195*K195/365,0)</f>
        <v>16137</v>
      </c>
      <c r="M195" s="24">
        <v>38000000</v>
      </c>
    </row>
    <row r="196" spans="1:13" s="48" customFormat="1" outlineLevel="2">
      <c r="A196" s="39" t="s">
        <v>142</v>
      </c>
      <c r="B196" s="40" t="s">
        <v>19</v>
      </c>
      <c r="C196" s="41" t="s">
        <v>60</v>
      </c>
      <c r="D196" s="40" t="s">
        <v>61</v>
      </c>
      <c r="E196" s="24">
        <v>110000000</v>
      </c>
      <c r="F196" s="39">
        <v>43913</v>
      </c>
      <c r="G196" s="24">
        <v>110000000</v>
      </c>
      <c r="H196" s="23">
        <v>5.0000000000000001E-3</v>
      </c>
      <c r="I196" s="39">
        <v>44197</v>
      </c>
      <c r="J196" s="39">
        <v>44227</v>
      </c>
      <c r="K196" s="24">
        <f t="shared" si="8"/>
        <v>31</v>
      </c>
      <c r="L196" s="24">
        <f t="shared" si="9"/>
        <v>46712</v>
      </c>
      <c r="M196" s="24">
        <v>110000000</v>
      </c>
    </row>
    <row r="197" spans="1:13" s="48" customFormat="1" outlineLevel="2">
      <c r="A197" s="39" t="s">
        <v>142</v>
      </c>
      <c r="B197" s="40" t="s">
        <v>145</v>
      </c>
      <c r="C197" s="41" t="s">
        <v>146</v>
      </c>
      <c r="D197" s="40" t="s">
        <v>147</v>
      </c>
      <c r="E197" s="24">
        <v>5000000</v>
      </c>
      <c r="F197" s="39">
        <v>44204</v>
      </c>
      <c r="G197" s="24">
        <v>5000000</v>
      </c>
      <c r="H197" s="23">
        <v>5.0000000000000001E-3</v>
      </c>
      <c r="I197" s="39">
        <v>44204</v>
      </c>
      <c r="J197" s="39">
        <v>44227</v>
      </c>
      <c r="K197" s="24">
        <f t="shared" si="8"/>
        <v>24</v>
      </c>
      <c r="L197" s="24">
        <f t="shared" si="9"/>
        <v>1644</v>
      </c>
      <c r="M197" s="24">
        <v>5000000</v>
      </c>
    </row>
    <row r="198" spans="1:13" s="48" customFormat="1" outlineLevel="2">
      <c r="A198" s="39" t="s">
        <v>142</v>
      </c>
      <c r="B198" s="40" t="s">
        <v>148</v>
      </c>
      <c r="C198" s="41" t="s">
        <v>149</v>
      </c>
      <c r="D198" s="40" t="s">
        <v>150</v>
      </c>
      <c r="E198" s="24">
        <v>3528000</v>
      </c>
      <c r="F198" s="39">
        <v>44207</v>
      </c>
      <c r="G198" s="24">
        <v>3528000</v>
      </c>
      <c r="H198" s="23">
        <v>5.0000000000000001E-3</v>
      </c>
      <c r="I198" s="39">
        <v>44207</v>
      </c>
      <c r="J198" s="39">
        <v>44227</v>
      </c>
      <c r="K198" s="24">
        <f t="shared" si="8"/>
        <v>21</v>
      </c>
      <c r="L198" s="24">
        <f t="shared" si="9"/>
        <v>1015</v>
      </c>
      <c r="M198" s="24">
        <v>3528000</v>
      </c>
    </row>
    <row r="199" spans="1:13" s="48" customFormat="1" outlineLevel="2">
      <c r="A199" s="39" t="s">
        <v>142</v>
      </c>
      <c r="B199" s="40" t="s">
        <v>151</v>
      </c>
      <c r="C199" s="41" t="s">
        <v>149</v>
      </c>
      <c r="D199" s="40" t="s">
        <v>150</v>
      </c>
      <c r="E199" s="24">
        <v>2520000</v>
      </c>
      <c r="F199" s="39">
        <v>44207</v>
      </c>
      <c r="G199" s="24">
        <v>2520000</v>
      </c>
      <c r="H199" s="23">
        <v>5.0000000000000001E-3</v>
      </c>
      <c r="I199" s="39">
        <v>44207</v>
      </c>
      <c r="J199" s="39">
        <v>44227</v>
      </c>
      <c r="K199" s="24">
        <f t="shared" si="8"/>
        <v>21</v>
      </c>
      <c r="L199" s="24">
        <f t="shared" si="9"/>
        <v>725</v>
      </c>
      <c r="M199" s="24">
        <v>2520000</v>
      </c>
    </row>
    <row r="200" spans="1:13" s="48" customFormat="1" outlineLevel="2">
      <c r="A200" s="39" t="s">
        <v>142</v>
      </c>
      <c r="B200" s="40" t="s">
        <v>152</v>
      </c>
      <c r="C200" s="41" t="s">
        <v>149</v>
      </c>
      <c r="D200" s="40" t="s">
        <v>150</v>
      </c>
      <c r="E200" s="24">
        <v>4368000</v>
      </c>
      <c r="F200" s="39">
        <v>44210</v>
      </c>
      <c r="G200" s="24">
        <v>4368000</v>
      </c>
      <c r="H200" s="23">
        <v>5.0000000000000001E-3</v>
      </c>
      <c r="I200" s="39">
        <v>44210</v>
      </c>
      <c r="J200" s="39">
        <v>44227</v>
      </c>
      <c r="K200" s="24">
        <f t="shared" si="8"/>
        <v>18</v>
      </c>
      <c r="L200" s="24">
        <f t="shared" si="9"/>
        <v>1077</v>
      </c>
      <c r="M200" s="24">
        <v>4368000</v>
      </c>
    </row>
    <row r="201" spans="1:13" s="48" customFormat="1" outlineLevel="2">
      <c r="A201" s="39" t="s">
        <v>142</v>
      </c>
      <c r="B201" s="40" t="s">
        <v>153</v>
      </c>
      <c r="C201" s="41" t="s">
        <v>149</v>
      </c>
      <c r="D201" s="40" t="s">
        <v>150</v>
      </c>
      <c r="E201" s="24">
        <v>95583736</v>
      </c>
      <c r="F201" s="39">
        <v>44225</v>
      </c>
      <c r="G201" s="24">
        <v>95583736</v>
      </c>
      <c r="H201" s="23">
        <v>5.0000000000000001E-3</v>
      </c>
      <c r="I201" s="39">
        <v>44225</v>
      </c>
      <c r="J201" s="39">
        <v>44227</v>
      </c>
      <c r="K201" s="24">
        <f t="shared" si="8"/>
        <v>3</v>
      </c>
      <c r="L201" s="24">
        <f t="shared" si="9"/>
        <v>3928</v>
      </c>
      <c r="M201" s="24">
        <v>95583736</v>
      </c>
    </row>
    <row r="202" spans="1:13" s="48" customFormat="1" outlineLevel="2">
      <c r="A202" s="39" t="s">
        <v>142</v>
      </c>
      <c r="B202" s="40" t="s">
        <v>154</v>
      </c>
      <c r="C202" s="41" t="s">
        <v>155</v>
      </c>
      <c r="D202" s="40" t="s">
        <v>156</v>
      </c>
      <c r="E202" s="24">
        <v>200000000</v>
      </c>
      <c r="F202" s="39">
        <v>44211</v>
      </c>
      <c r="G202" s="24">
        <v>200000000</v>
      </c>
      <c r="H202" s="23">
        <v>5.0000000000000001E-3</v>
      </c>
      <c r="I202" s="39">
        <v>44211</v>
      </c>
      <c r="J202" s="39">
        <v>44227</v>
      </c>
      <c r="K202" s="24">
        <f t="shared" si="8"/>
        <v>17</v>
      </c>
      <c r="L202" s="24">
        <f t="shared" si="9"/>
        <v>46575</v>
      </c>
      <c r="M202" s="24">
        <v>200000000</v>
      </c>
    </row>
    <row r="203" spans="1:13" s="48" customFormat="1" outlineLevel="2">
      <c r="A203" s="39" t="s">
        <v>142</v>
      </c>
      <c r="B203" s="40" t="s">
        <v>157</v>
      </c>
      <c r="C203" s="41" t="s">
        <v>125</v>
      </c>
      <c r="D203" s="40" t="s">
        <v>126</v>
      </c>
      <c r="E203" s="24">
        <v>3000000</v>
      </c>
      <c r="F203" s="39">
        <v>44216</v>
      </c>
      <c r="G203" s="24">
        <v>3000000</v>
      </c>
      <c r="H203" s="23">
        <v>5.0000000000000001E-3</v>
      </c>
      <c r="I203" s="39">
        <v>44216</v>
      </c>
      <c r="J203" s="39">
        <v>44227</v>
      </c>
      <c r="K203" s="24">
        <f t="shared" si="8"/>
        <v>12</v>
      </c>
      <c r="L203" s="24">
        <f t="shared" si="9"/>
        <v>493</v>
      </c>
      <c r="M203" s="24">
        <v>3000000</v>
      </c>
    </row>
    <row r="204" spans="1:13" s="48" customFormat="1" outlineLevel="2">
      <c r="A204" s="39" t="s">
        <v>142</v>
      </c>
      <c r="B204" s="40" t="s">
        <v>158</v>
      </c>
      <c r="C204" s="41" t="s">
        <v>125</v>
      </c>
      <c r="D204" s="40" t="s">
        <v>126</v>
      </c>
      <c r="E204" s="24">
        <v>10000000</v>
      </c>
      <c r="F204" s="39">
        <v>44216</v>
      </c>
      <c r="G204" s="24">
        <v>10000000</v>
      </c>
      <c r="H204" s="23">
        <v>5.0000000000000001E-3</v>
      </c>
      <c r="I204" s="39">
        <v>44216</v>
      </c>
      <c r="J204" s="39">
        <v>44227</v>
      </c>
      <c r="K204" s="24">
        <f t="shared" si="8"/>
        <v>12</v>
      </c>
      <c r="L204" s="24">
        <f t="shared" si="9"/>
        <v>1644</v>
      </c>
      <c r="M204" s="24">
        <v>10000000</v>
      </c>
    </row>
    <row r="205" spans="1:13" s="48" customFormat="1" outlineLevel="2">
      <c r="A205" s="39" t="s">
        <v>142</v>
      </c>
      <c r="B205" s="40" t="s">
        <v>159</v>
      </c>
      <c r="C205" s="41" t="s">
        <v>87</v>
      </c>
      <c r="D205" s="40" t="s">
        <v>88</v>
      </c>
      <c r="E205" s="24">
        <v>14776161</v>
      </c>
      <c r="F205" s="39">
        <v>44221</v>
      </c>
      <c r="G205" s="24">
        <v>14776161</v>
      </c>
      <c r="H205" s="23">
        <v>5.0000000000000001E-3</v>
      </c>
      <c r="I205" s="39">
        <v>44221</v>
      </c>
      <c r="J205" s="39">
        <v>44227</v>
      </c>
      <c r="K205" s="24">
        <f t="shared" si="8"/>
        <v>7</v>
      </c>
      <c r="L205" s="24">
        <f t="shared" si="9"/>
        <v>1417</v>
      </c>
      <c r="M205" s="24">
        <v>14776161</v>
      </c>
    </row>
    <row r="206" spans="1:13" s="48" customFormat="1" outlineLevel="2">
      <c r="A206" s="39" t="s">
        <v>142</v>
      </c>
      <c r="B206" s="40" t="s">
        <v>22</v>
      </c>
      <c r="C206" s="41" t="s">
        <v>149</v>
      </c>
      <c r="D206" s="40" t="s">
        <v>150</v>
      </c>
      <c r="E206" s="24">
        <v>95655336</v>
      </c>
      <c r="F206" s="39">
        <v>43951</v>
      </c>
      <c r="G206" s="24">
        <v>95655336</v>
      </c>
      <c r="H206" s="23">
        <v>5.0000000000000001E-3</v>
      </c>
      <c r="I206" s="39">
        <v>44197</v>
      </c>
      <c r="J206" s="39">
        <v>44227</v>
      </c>
      <c r="K206" s="24">
        <f t="shared" si="8"/>
        <v>31</v>
      </c>
      <c r="L206" s="24">
        <f t="shared" si="9"/>
        <v>40621</v>
      </c>
      <c r="M206" s="24">
        <v>95655336</v>
      </c>
    </row>
    <row r="207" spans="1:13" s="48" customFormat="1" outlineLevel="2">
      <c r="A207" s="39" t="s">
        <v>142</v>
      </c>
      <c r="B207" s="40" t="s">
        <v>25</v>
      </c>
      <c r="C207" s="41" t="s">
        <v>143</v>
      </c>
      <c r="D207" s="40" t="s">
        <v>144</v>
      </c>
      <c r="E207" s="24">
        <v>38000000</v>
      </c>
      <c r="F207" s="39">
        <v>43962</v>
      </c>
      <c r="G207" s="24">
        <v>38000000</v>
      </c>
      <c r="H207" s="23">
        <v>5.0000000000000001E-3</v>
      </c>
      <c r="I207" s="39">
        <v>44197</v>
      </c>
      <c r="J207" s="39">
        <v>44227</v>
      </c>
      <c r="K207" s="24">
        <f t="shared" si="8"/>
        <v>31</v>
      </c>
      <c r="L207" s="24">
        <f t="shared" si="9"/>
        <v>16137</v>
      </c>
      <c r="M207" s="24">
        <v>38000000</v>
      </c>
    </row>
    <row r="208" spans="1:13" s="48" customFormat="1" outlineLevel="2">
      <c r="A208" s="39" t="s">
        <v>142</v>
      </c>
      <c r="B208" s="40" t="s">
        <v>26</v>
      </c>
      <c r="C208" s="41" t="s">
        <v>143</v>
      </c>
      <c r="D208" s="40" t="s">
        <v>144</v>
      </c>
      <c r="E208" s="24">
        <v>10500000</v>
      </c>
      <c r="F208" s="39">
        <v>43962</v>
      </c>
      <c r="G208" s="24">
        <v>10500000</v>
      </c>
      <c r="H208" s="23">
        <v>5.0000000000000001E-3</v>
      </c>
      <c r="I208" s="39">
        <v>44197</v>
      </c>
      <c r="J208" s="39">
        <v>44227</v>
      </c>
      <c r="K208" s="24">
        <f t="shared" si="8"/>
        <v>31</v>
      </c>
      <c r="L208" s="24">
        <f t="shared" si="9"/>
        <v>4459</v>
      </c>
      <c r="M208" s="24">
        <v>10500000</v>
      </c>
    </row>
    <row r="209" spans="1:13" s="48" customFormat="1" outlineLevel="2">
      <c r="A209" s="39" t="s">
        <v>142</v>
      </c>
      <c r="B209" s="40" t="s">
        <v>29</v>
      </c>
      <c r="C209" s="41" t="s">
        <v>123</v>
      </c>
      <c r="D209" s="40" t="s">
        <v>124</v>
      </c>
      <c r="E209" s="24">
        <v>160000000</v>
      </c>
      <c r="F209" s="39">
        <v>43970</v>
      </c>
      <c r="G209" s="24">
        <v>160000000</v>
      </c>
      <c r="H209" s="23">
        <v>5.0000000000000001E-3</v>
      </c>
      <c r="I209" s="39">
        <v>44197</v>
      </c>
      <c r="J209" s="39">
        <v>44227</v>
      </c>
      <c r="K209" s="24">
        <f t="shared" si="8"/>
        <v>31</v>
      </c>
      <c r="L209" s="24">
        <f t="shared" si="9"/>
        <v>67945</v>
      </c>
      <c r="M209" s="24">
        <v>160000000</v>
      </c>
    </row>
    <row r="210" spans="1:13" s="48" customFormat="1" outlineLevel="2">
      <c r="A210" s="39" t="s">
        <v>142</v>
      </c>
      <c r="B210" s="40" t="s">
        <v>32</v>
      </c>
      <c r="C210" s="41" t="s">
        <v>160</v>
      </c>
      <c r="D210" s="40" t="s">
        <v>150</v>
      </c>
      <c r="E210" s="24">
        <v>13104000</v>
      </c>
      <c r="F210" s="39">
        <v>43979</v>
      </c>
      <c r="G210" s="24">
        <v>13104000</v>
      </c>
      <c r="H210" s="23">
        <v>5.0000000000000001E-3</v>
      </c>
      <c r="I210" s="39">
        <v>44197</v>
      </c>
      <c r="J210" s="39">
        <v>44227</v>
      </c>
      <c r="K210" s="24">
        <f t="shared" si="8"/>
        <v>31</v>
      </c>
      <c r="L210" s="24">
        <f t="shared" si="9"/>
        <v>5565</v>
      </c>
      <c r="M210" s="24">
        <v>13104000</v>
      </c>
    </row>
    <row r="211" spans="1:13" s="48" customFormat="1" outlineLevel="2">
      <c r="A211" s="39" t="s">
        <v>142</v>
      </c>
      <c r="B211" s="40" t="s">
        <v>33</v>
      </c>
      <c r="C211" s="41" t="s">
        <v>89</v>
      </c>
      <c r="D211" s="40" t="s">
        <v>90</v>
      </c>
      <c r="E211" s="24">
        <v>6550000</v>
      </c>
      <c r="F211" s="39">
        <v>43993</v>
      </c>
      <c r="G211" s="24">
        <v>6550000</v>
      </c>
      <c r="H211" s="23">
        <v>5.0000000000000001E-3</v>
      </c>
      <c r="I211" s="39">
        <v>44197</v>
      </c>
      <c r="J211" s="39">
        <v>44227</v>
      </c>
      <c r="K211" s="24">
        <f t="shared" si="8"/>
        <v>31</v>
      </c>
      <c r="L211" s="24">
        <f t="shared" si="9"/>
        <v>2782</v>
      </c>
      <c r="M211" s="24">
        <v>6550000</v>
      </c>
    </row>
    <row r="212" spans="1:13" s="48" customFormat="1" outlineLevel="2">
      <c r="A212" s="39" t="s">
        <v>142</v>
      </c>
      <c r="B212" s="40" t="s">
        <v>34</v>
      </c>
      <c r="C212" s="41" t="s">
        <v>89</v>
      </c>
      <c r="D212" s="40" t="s">
        <v>90</v>
      </c>
      <c r="E212" s="24">
        <v>19710000</v>
      </c>
      <c r="F212" s="39">
        <v>43993</v>
      </c>
      <c r="G212" s="24">
        <v>19710000</v>
      </c>
      <c r="H212" s="23">
        <v>5.0000000000000001E-3</v>
      </c>
      <c r="I212" s="39">
        <v>44197</v>
      </c>
      <c r="J212" s="39">
        <v>44227</v>
      </c>
      <c r="K212" s="24">
        <f t="shared" si="8"/>
        <v>31</v>
      </c>
      <c r="L212" s="24">
        <f t="shared" si="9"/>
        <v>8370</v>
      </c>
      <c r="M212" s="24">
        <v>19710000</v>
      </c>
    </row>
    <row r="213" spans="1:13" s="48" customFormat="1" outlineLevel="2">
      <c r="A213" s="39" t="s">
        <v>142</v>
      </c>
      <c r="B213" s="40" t="s">
        <v>35</v>
      </c>
      <c r="C213" s="41" t="s">
        <v>89</v>
      </c>
      <c r="D213" s="40" t="s">
        <v>90</v>
      </c>
      <c r="E213" s="24">
        <v>16860000</v>
      </c>
      <c r="F213" s="39">
        <v>43993</v>
      </c>
      <c r="G213" s="24">
        <v>16860000</v>
      </c>
      <c r="H213" s="23">
        <v>5.0000000000000001E-3</v>
      </c>
      <c r="I213" s="39">
        <v>44197</v>
      </c>
      <c r="J213" s="39">
        <v>44227</v>
      </c>
      <c r="K213" s="24">
        <f t="shared" si="8"/>
        <v>31</v>
      </c>
      <c r="L213" s="24">
        <f t="shared" si="9"/>
        <v>7160</v>
      </c>
      <c r="M213" s="24">
        <v>16860000</v>
      </c>
    </row>
    <row r="214" spans="1:13" s="48" customFormat="1" outlineLevel="2">
      <c r="A214" s="39" t="s">
        <v>142</v>
      </c>
      <c r="B214" s="40" t="s">
        <v>36</v>
      </c>
      <c r="C214" s="41" t="s">
        <v>161</v>
      </c>
      <c r="D214" s="40" t="s">
        <v>162</v>
      </c>
      <c r="E214" s="24">
        <v>240000000</v>
      </c>
      <c r="F214" s="39">
        <v>44000</v>
      </c>
      <c r="G214" s="24">
        <v>240000000</v>
      </c>
      <c r="H214" s="23">
        <v>5.0000000000000001E-3</v>
      </c>
      <c r="I214" s="39">
        <v>44197</v>
      </c>
      <c r="J214" s="39">
        <v>44227</v>
      </c>
      <c r="K214" s="24">
        <f t="shared" si="8"/>
        <v>31</v>
      </c>
      <c r="L214" s="24">
        <f t="shared" si="9"/>
        <v>101918</v>
      </c>
      <c r="M214" s="24">
        <v>240000000</v>
      </c>
    </row>
    <row r="215" spans="1:13" s="48" customFormat="1" outlineLevel="2">
      <c r="A215" s="39" t="s">
        <v>142</v>
      </c>
      <c r="B215" s="40" t="s">
        <v>39</v>
      </c>
      <c r="C215" s="41" t="s">
        <v>143</v>
      </c>
      <c r="D215" s="40" t="s">
        <v>144</v>
      </c>
      <c r="E215" s="24">
        <v>57000000</v>
      </c>
      <c r="F215" s="39">
        <v>43822</v>
      </c>
      <c r="G215" s="24">
        <v>57000000</v>
      </c>
      <c r="H215" s="23">
        <v>5.0000000000000001E-3</v>
      </c>
      <c r="I215" s="39">
        <v>44197</v>
      </c>
      <c r="J215" s="39">
        <v>44227</v>
      </c>
      <c r="K215" s="24">
        <f t="shared" si="8"/>
        <v>31</v>
      </c>
      <c r="L215" s="24">
        <f t="shared" si="9"/>
        <v>24205</v>
      </c>
      <c r="M215" s="24">
        <v>57000000</v>
      </c>
    </row>
    <row r="216" spans="1:13" s="48" customFormat="1" outlineLevel="2">
      <c r="A216" s="39" t="s">
        <v>142</v>
      </c>
      <c r="B216" s="40" t="s">
        <v>40</v>
      </c>
      <c r="C216" s="41" t="s">
        <v>123</v>
      </c>
      <c r="D216" s="40" t="s">
        <v>124</v>
      </c>
      <c r="E216" s="24">
        <v>55000000</v>
      </c>
      <c r="F216" s="39">
        <v>44001</v>
      </c>
      <c r="G216" s="24">
        <v>55000000</v>
      </c>
      <c r="H216" s="23">
        <v>5.0000000000000001E-3</v>
      </c>
      <c r="I216" s="39">
        <v>44197</v>
      </c>
      <c r="J216" s="39">
        <v>44227</v>
      </c>
      <c r="K216" s="24">
        <f t="shared" si="8"/>
        <v>31</v>
      </c>
      <c r="L216" s="24">
        <f t="shared" si="9"/>
        <v>23356</v>
      </c>
      <c r="M216" s="24">
        <v>55000000</v>
      </c>
    </row>
    <row r="217" spans="1:13" s="48" customFormat="1" outlineLevel="2">
      <c r="A217" s="39" t="s">
        <v>142</v>
      </c>
      <c r="B217" s="40" t="s">
        <v>41</v>
      </c>
      <c r="C217" s="41" t="s">
        <v>87</v>
      </c>
      <c r="D217" s="40" t="s">
        <v>88</v>
      </c>
      <c r="E217" s="24">
        <v>8907064</v>
      </c>
      <c r="F217" s="39">
        <v>44006</v>
      </c>
      <c r="G217" s="24">
        <v>8907064</v>
      </c>
      <c r="H217" s="23">
        <v>5.0000000000000001E-3</v>
      </c>
      <c r="I217" s="39">
        <v>44197</v>
      </c>
      <c r="J217" s="39">
        <v>44227</v>
      </c>
      <c r="K217" s="24">
        <f t="shared" si="8"/>
        <v>31</v>
      </c>
      <c r="L217" s="24">
        <f t="shared" si="9"/>
        <v>3782</v>
      </c>
      <c r="M217" s="24">
        <v>8907064</v>
      </c>
    </row>
    <row r="218" spans="1:13" s="48" customFormat="1" outlineLevel="2">
      <c r="A218" s="39" t="s">
        <v>142</v>
      </c>
      <c r="B218" s="40" t="s">
        <v>42</v>
      </c>
      <c r="C218" s="41" t="s">
        <v>149</v>
      </c>
      <c r="D218" s="40" t="s">
        <v>150</v>
      </c>
      <c r="E218" s="24">
        <v>7560000</v>
      </c>
      <c r="F218" s="39">
        <v>44018</v>
      </c>
      <c r="G218" s="24">
        <v>7560000</v>
      </c>
      <c r="H218" s="23">
        <v>5.0000000000000001E-3</v>
      </c>
      <c r="I218" s="39">
        <v>44197</v>
      </c>
      <c r="J218" s="39">
        <v>44227</v>
      </c>
      <c r="K218" s="24">
        <f t="shared" si="8"/>
        <v>31</v>
      </c>
      <c r="L218" s="24">
        <f t="shared" si="9"/>
        <v>3210</v>
      </c>
      <c r="M218" s="24">
        <v>7560000</v>
      </c>
    </row>
    <row r="219" spans="1:13" s="48" customFormat="1" outlineLevel="2">
      <c r="A219" s="39" t="s">
        <v>142</v>
      </c>
      <c r="B219" s="40" t="s">
        <v>43</v>
      </c>
      <c r="C219" s="41" t="s">
        <v>143</v>
      </c>
      <c r="D219" s="40" t="s">
        <v>144</v>
      </c>
      <c r="E219" s="24">
        <v>38000000</v>
      </c>
      <c r="F219" s="39">
        <v>44022</v>
      </c>
      <c r="G219" s="24">
        <v>38000000</v>
      </c>
      <c r="H219" s="23">
        <v>5.0000000000000001E-3</v>
      </c>
      <c r="I219" s="39">
        <v>44197</v>
      </c>
      <c r="J219" s="39">
        <v>44227</v>
      </c>
      <c r="K219" s="24">
        <f t="shared" si="8"/>
        <v>31</v>
      </c>
      <c r="L219" s="24">
        <f t="shared" si="9"/>
        <v>16137</v>
      </c>
      <c r="M219" s="24">
        <v>38000000</v>
      </c>
    </row>
    <row r="220" spans="1:13" s="48" customFormat="1" outlineLevel="2">
      <c r="A220" s="39" t="s">
        <v>142</v>
      </c>
      <c r="B220" s="40" t="s">
        <v>44</v>
      </c>
      <c r="C220" s="41" t="s">
        <v>143</v>
      </c>
      <c r="D220" s="40" t="s">
        <v>144</v>
      </c>
      <c r="E220" s="24">
        <v>10500000</v>
      </c>
      <c r="F220" s="39">
        <v>44022</v>
      </c>
      <c r="G220" s="24">
        <v>10500000</v>
      </c>
      <c r="H220" s="23">
        <v>5.0000000000000001E-3</v>
      </c>
      <c r="I220" s="39">
        <v>44197</v>
      </c>
      <c r="J220" s="39">
        <v>44227</v>
      </c>
      <c r="K220" s="24">
        <f t="shared" si="8"/>
        <v>31</v>
      </c>
      <c r="L220" s="24">
        <f t="shared" si="9"/>
        <v>4459</v>
      </c>
      <c r="M220" s="24">
        <v>10500000</v>
      </c>
    </row>
    <row r="221" spans="1:13" s="48" customFormat="1" outlineLevel="2">
      <c r="A221" s="39" t="s">
        <v>142</v>
      </c>
      <c r="B221" s="40" t="s">
        <v>47</v>
      </c>
      <c r="C221" s="41" t="s">
        <v>163</v>
      </c>
      <c r="D221" s="40" t="s">
        <v>164</v>
      </c>
      <c r="E221" s="24">
        <v>72000000</v>
      </c>
      <c r="F221" s="39">
        <v>44025</v>
      </c>
      <c r="G221" s="24">
        <v>68974790</v>
      </c>
      <c r="H221" s="23">
        <v>5.0000000000000001E-3</v>
      </c>
      <c r="I221" s="39">
        <v>44197</v>
      </c>
      <c r="J221" s="39">
        <v>44210</v>
      </c>
      <c r="K221" s="24">
        <f t="shared" si="8"/>
        <v>14</v>
      </c>
      <c r="L221" s="24">
        <f t="shared" si="9"/>
        <v>13228</v>
      </c>
      <c r="M221" s="24">
        <v>68369748</v>
      </c>
    </row>
    <row r="222" spans="1:13" s="48" customFormat="1" outlineLevel="2">
      <c r="A222" s="39" t="s">
        <v>142</v>
      </c>
      <c r="B222" s="40" t="s">
        <v>47</v>
      </c>
      <c r="C222" s="41" t="s">
        <v>163</v>
      </c>
      <c r="D222" s="40"/>
      <c r="E222" s="24"/>
      <c r="F222" s="39"/>
      <c r="G222" s="24">
        <v>68369748</v>
      </c>
      <c r="H222" s="23">
        <v>5.0000000000000001E-3</v>
      </c>
      <c r="I222" s="39">
        <v>44211</v>
      </c>
      <c r="J222" s="39">
        <v>44227</v>
      </c>
      <c r="K222" s="24">
        <f t="shared" si="8"/>
        <v>17</v>
      </c>
      <c r="L222" s="24">
        <f t="shared" si="9"/>
        <v>15922</v>
      </c>
      <c r="M222" s="24"/>
    </row>
    <row r="223" spans="1:13" s="48" customFormat="1" outlineLevel="2">
      <c r="A223" s="39" t="s">
        <v>142</v>
      </c>
      <c r="B223" s="40" t="s">
        <v>50</v>
      </c>
      <c r="C223" s="41" t="s">
        <v>97</v>
      </c>
      <c r="D223" s="40" t="s">
        <v>98</v>
      </c>
      <c r="E223" s="24">
        <v>87500000</v>
      </c>
      <c r="F223" s="39">
        <v>44027</v>
      </c>
      <c r="G223" s="24">
        <v>87500000</v>
      </c>
      <c r="H223" s="23">
        <v>5.0000000000000001E-3</v>
      </c>
      <c r="I223" s="39">
        <v>44197</v>
      </c>
      <c r="J223" s="39">
        <v>44227</v>
      </c>
      <c r="K223" s="24">
        <f t="shared" si="8"/>
        <v>31</v>
      </c>
      <c r="L223" s="24">
        <f t="shared" si="9"/>
        <v>37158</v>
      </c>
      <c r="M223" s="24">
        <v>87500000</v>
      </c>
    </row>
    <row r="224" spans="1:13" s="48" customFormat="1" outlineLevel="2">
      <c r="A224" s="39" t="s">
        <v>142</v>
      </c>
      <c r="B224" s="40" t="s">
        <v>51</v>
      </c>
      <c r="C224" s="41" t="s">
        <v>165</v>
      </c>
      <c r="D224" s="40" t="s">
        <v>166</v>
      </c>
      <c r="E224" s="24">
        <v>84000000</v>
      </c>
      <c r="F224" s="39">
        <v>44027</v>
      </c>
      <c r="G224" s="24">
        <v>84000000</v>
      </c>
      <c r="H224" s="23">
        <v>5.0000000000000001E-3</v>
      </c>
      <c r="I224" s="39">
        <v>44197</v>
      </c>
      <c r="J224" s="39">
        <v>44227</v>
      </c>
      <c r="K224" s="24">
        <f t="shared" si="8"/>
        <v>31</v>
      </c>
      <c r="L224" s="24">
        <f t="shared" si="9"/>
        <v>35671</v>
      </c>
      <c r="M224" s="24">
        <v>84000000</v>
      </c>
    </row>
    <row r="225" spans="1:13" s="48" customFormat="1" outlineLevel="2">
      <c r="A225" s="39" t="s">
        <v>142</v>
      </c>
      <c r="B225" s="40" t="s">
        <v>52</v>
      </c>
      <c r="C225" s="41" t="s">
        <v>30</v>
      </c>
      <c r="D225" s="40" t="s">
        <v>31</v>
      </c>
      <c r="E225" s="24">
        <v>12230000</v>
      </c>
      <c r="F225" s="39">
        <v>44034</v>
      </c>
      <c r="G225" s="24">
        <v>12230000</v>
      </c>
      <c r="H225" s="23">
        <v>5.0000000000000001E-3</v>
      </c>
      <c r="I225" s="39">
        <v>44197</v>
      </c>
      <c r="J225" s="39">
        <v>44227</v>
      </c>
      <c r="K225" s="24">
        <f t="shared" si="8"/>
        <v>31</v>
      </c>
      <c r="L225" s="24">
        <f t="shared" si="9"/>
        <v>5194</v>
      </c>
      <c r="M225" s="24">
        <v>12230000</v>
      </c>
    </row>
    <row r="226" spans="1:13" s="48" customFormat="1" outlineLevel="2">
      <c r="A226" s="39" t="s">
        <v>142</v>
      </c>
      <c r="B226" s="40" t="s">
        <v>53</v>
      </c>
      <c r="C226" s="41" t="s">
        <v>123</v>
      </c>
      <c r="D226" s="40" t="s">
        <v>124</v>
      </c>
      <c r="E226" s="24">
        <v>40000000</v>
      </c>
      <c r="F226" s="39">
        <v>44040</v>
      </c>
      <c r="G226" s="24">
        <v>40000000</v>
      </c>
      <c r="H226" s="23">
        <v>5.0000000000000001E-3</v>
      </c>
      <c r="I226" s="39">
        <v>44197</v>
      </c>
      <c r="J226" s="39">
        <v>44227</v>
      </c>
      <c r="K226" s="24">
        <f t="shared" si="8"/>
        <v>31</v>
      </c>
      <c r="L226" s="24">
        <f t="shared" si="9"/>
        <v>16986</v>
      </c>
      <c r="M226" s="24">
        <v>40000000</v>
      </c>
    </row>
    <row r="227" spans="1:13" s="48" customFormat="1" outlineLevel="2">
      <c r="A227" s="39" t="s">
        <v>142</v>
      </c>
      <c r="B227" s="40" t="s">
        <v>54</v>
      </c>
      <c r="C227" s="41" t="s">
        <v>121</v>
      </c>
      <c r="D227" s="40" t="s">
        <v>122</v>
      </c>
      <c r="E227" s="24">
        <v>171000000</v>
      </c>
      <c r="F227" s="39">
        <v>43822</v>
      </c>
      <c r="G227" s="24">
        <v>171000000</v>
      </c>
      <c r="H227" s="23">
        <v>5.0000000000000001E-3</v>
      </c>
      <c r="I227" s="39">
        <v>44197</v>
      </c>
      <c r="J227" s="39">
        <v>44227</v>
      </c>
      <c r="K227" s="24">
        <f t="shared" si="8"/>
        <v>31</v>
      </c>
      <c r="L227" s="24">
        <f t="shared" si="9"/>
        <v>72616</v>
      </c>
      <c r="M227" s="24">
        <v>171000000</v>
      </c>
    </row>
    <row r="228" spans="1:13" s="48" customFormat="1" outlineLevel="2">
      <c r="A228" s="39" t="s">
        <v>142</v>
      </c>
      <c r="B228" s="40" t="s">
        <v>57</v>
      </c>
      <c r="C228" s="41" t="s">
        <v>167</v>
      </c>
      <c r="D228" s="40" t="s">
        <v>168</v>
      </c>
      <c r="E228" s="24">
        <v>18000000</v>
      </c>
      <c r="F228" s="39">
        <v>44043</v>
      </c>
      <c r="G228" s="24">
        <v>18000000</v>
      </c>
      <c r="H228" s="23">
        <v>5.0000000000000001E-3</v>
      </c>
      <c r="I228" s="39">
        <v>44197</v>
      </c>
      <c r="J228" s="39">
        <v>44227</v>
      </c>
      <c r="K228" s="24">
        <f t="shared" si="8"/>
        <v>31</v>
      </c>
      <c r="L228" s="24">
        <f t="shared" si="9"/>
        <v>7644</v>
      </c>
      <c r="M228" s="24">
        <v>18000000</v>
      </c>
    </row>
    <row r="229" spans="1:13" s="48" customFormat="1" outlineLevel="2">
      <c r="A229" s="39" t="s">
        <v>142</v>
      </c>
      <c r="B229" s="40" t="s">
        <v>58</v>
      </c>
      <c r="C229" s="41" t="s">
        <v>167</v>
      </c>
      <c r="D229" s="40" t="s">
        <v>168</v>
      </c>
      <c r="E229" s="24">
        <v>21000000</v>
      </c>
      <c r="F229" s="39">
        <v>44043</v>
      </c>
      <c r="G229" s="24">
        <v>21000000</v>
      </c>
      <c r="H229" s="23">
        <v>5.0000000000000001E-3</v>
      </c>
      <c r="I229" s="39">
        <v>44197</v>
      </c>
      <c r="J229" s="39">
        <v>44227</v>
      </c>
      <c r="K229" s="24">
        <f t="shared" si="8"/>
        <v>31</v>
      </c>
      <c r="L229" s="24">
        <f t="shared" si="9"/>
        <v>8918</v>
      </c>
      <c r="M229" s="24">
        <v>21000000</v>
      </c>
    </row>
    <row r="230" spans="1:13" s="48" customFormat="1" outlineLevel="2">
      <c r="A230" s="39" t="s">
        <v>142</v>
      </c>
      <c r="B230" s="40" t="s">
        <v>99</v>
      </c>
      <c r="C230" s="41" t="s">
        <v>167</v>
      </c>
      <c r="D230" s="40" t="s">
        <v>168</v>
      </c>
      <c r="E230" s="24">
        <v>13600000</v>
      </c>
      <c r="F230" s="39">
        <v>44043</v>
      </c>
      <c r="G230" s="24">
        <v>13600000</v>
      </c>
      <c r="H230" s="23">
        <v>5.0000000000000001E-3</v>
      </c>
      <c r="I230" s="39">
        <v>44197</v>
      </c>
      <c r="J230" s="39">
        <v>44227</v>
      </c>
      <c r="K230" s="24">
        <f t="shared" si="8"/>
        <v>31</v>
      </c>
      <c r="L230" s="24">
        <f t="shared" si="9"/>
        <v>5775</v>
      </c>
      <c r="M230" s="24">
        <v>13600000</v>
      </c>
    </row>
    <row r="231" spans="1:13" s="48" customFormat="1" outlineLevel="2">
      <c r="A231" s="39" t="s">
        <v>142</v>
      </c>
      <c r="B231" s="40" t="s">
        <v>100</v>
      </c>
      <c r="C231" s="41" t="s">
        <v>143</v>
      </c>
      <c r="D231" s="40" t="s">
        <v>144</v>
      </c>
      <c r="E231" s="24">
        <v>28000000</v>
      </c>
      <c r="F231" s="39">
        <v>44046</v>
      </c>
      <c r="G231" s="24">
        <v>28000000</v>
      </c>
      <c r="H231" s="23">
        <v>5.0000000000000001E-3</v>
      </c>
      <c r="I231" s="39">
        <v>44197</v>
      </c>
      <c r="J231" s="39">
        <v>44227</v>
      </c>
      <c r="K231" s="24">
        <f t="shared" si="8"/>
        <v>31</v>
      </c>
      <c r="L231" s="24">
        <f t="shared" si="9"/>
        <v>11890</v>
      </c>
      <c r="M231" s="24">
        <v>28000000</v>
      </c>
    </row>
    <row r="232" spans="1:13" s="48" customFormat="1" outlineLevel="2">
      <c r="A232" s="39" t="s">
        <v>142</v>
      </c>
      <c r="B232" s="40" t="s">
        <v>101</v>
      </c>
      <c r="C232" s="41" t="s">
        <v>143</v>
      </c>
      <c r="D232" s="40" t="s">
        <v>144</v>
      </c>
      <c r="E232" s="24">
        <v>2700000</v>
      </c>
      <c r="F232" s="39">
        <v>44056</v>
      </c>
      <c r="G232" s="24">
        <v>2700000</v>
      </c>
      <c r="H232" s="23">
        <v>5.0000000000000001E-3</v>
      </c>
      <c r="I232" s="39">
        <v>44197</v>
      </c>
      <c r="J232" s="39">
        <v>44227</v>
      </c>
      <c r="K232" s="24">
        <f t="shared" si="8"/>
        <v>31</v>
      </c>
      <c r="L232" s="24">
        <f t="shared" si="9"/>
        <v>1147</v>
      </c>
      <c r="M232" s="24">
        <v>2700000</v>
      </c>
    </row>
    <row r="233" spans="1:13" s="48" customFormat="1" outlineLevel="2">
      <c r="A233" s="39" t="s">
        <v>142</v>
      </c>
      <c r="B233" s="40" t="s">
        <v>102</v>
      </c>
      <c r="C233" s="41" t="s">
        <v>143</v>
      </c>
      <c r="D233" s="40" t="s">
        <v>144</v>
      </c>
      <c r="E233" s="24">
        <v>29500000</v>
      </c>
      <c r="F233" s="39">
        <v>44074</v>
      </c>
      <c r="G233" s="24">
        <v>29500000</v>
      </c>
      <c r="H233" s="23">
        <v>5.0000000000000001E-3</v>
      </c>
      <c r="I233" s="39">
        <v>44197</v>
      </c>
      <c r="J233" s="39">
        <v>44227</v>
      </c>
      <c r="K233" s="24">
        <f t="shared" si="8"/>
        <v>31</v>
      </c>
      <c r="L233" s="24">
        <f t="shared" si="9"/>
        <v>12527</v>
      </c>
      <c r="M233" s="24">
        <v>29500000</v>
      </c>
    </row>
    <row r="234" spans="1:13" s="48" customFormat="1" outlineLevel="2">
      <c r="A234" s="39" t="s">
        <v>142</v>
      </c>
      <c r="B234" s="40" t="s">
        <v>103</v>
      </c>
      <c r="C234" s="41" t="s">
        <v>79</v>
      </c>
      <c r="D234" s="40" t="s">
        <v>80</v>
      </c>
      <c r="E234" s="24">
        <v>120000000</v>
      </c>
      <c r="F234" s="39">
        <v>44046</v>
      </c>
      <c r="G234" s="24">
        <v>120000000</v>
      </c>
      <c r="H234" s="23">
        <v>5.0000000000000001E-3</v>
      </c>
      <c r="I234" s="39">
        <v>44197</v>
      </c>
      <c r="J234" s="39">
        <v>44227</v>
      </c>
      <c r="K234" s="24">
        <f t="shared" si="8"/>
        <v>31</v>
      </c>
      <c r="L234" s="24">
        <f t="shared" si="9"/>
        <v>50959</v>
      </c>
      <c r="M234" s="24">
        <v>120000000</v>
      </c>
    </row>
    <row r="235" spans="1:13" s="48" customFormat="1" outlineLevel="2">
      <c r="A235" s="39" t="s">
        <v>142</v>
      </c>
      <c r="B235" s="40" t="s">
        <v>104</v>
      </c>
      <c r="C235" s="41" t="s">
        <v>149</v>
      </c>
      <c r="D235" s="40" t="s">
        <v>150</v>
      </c>
      <c r="E235" s="24">
        <v>8736000</v>
      </c>
      <c r="F235" s="39">
        <v>44047</v>
      </c>
      <c r="G235" s="24">
        <v>8736000</v>
      </c>
      <c r="H235" s="23">
        <v>5.0000000000000001E-3</v>
      </c>
      <c r="I235" s="39">
        <v>44197</v>
      </c>
      <c r="J235" s="39">
        <v>44227</v>
      </c>
      <c r="K235" s="24">
        <f t="shared" si="8"/>
        <v>31</v>
      </c>
      <c r="L235" s="24">
        <f t="shared" si="9"/>
        <v>3710</v>
      </c>
      <c r="M235" s="24">
        <v>8736000</v>
      </c>
    </row>
    <row r="236" spans="1:13" s="48" customFormat="1" outlineLevel="2">
      <c r="A236" s="39" t="s">
        <v>142</v>
      </c>
      <c r="B236" s="40" t="s">
        <v>105</v>
      </c>
      <c r="C236" s="41" t="s">
        <v>149</v>
      </c>
      <c r="D236" s="40" t="s">
        <v>150</v>
      </c>
      <c r="E236" s="24">
        <v>8988000</v>
      </c>
      <c r="F236" s="39">
        <v>44067</v>
      </c>
      <c r="G236" s="24">
        <v>8988000</v>
      </c>
      <c r="H236" s="23">
        <v>5.0000000000000001E-3</v>
      </c>
      <c r="I236" s="39">
        <v>44197</v>
      </c>
      <c r="J236" s="39">
        <v>44227</v>
      </c>
      <c r="K236" s="24">
        <f t="shared" si="8"/>
        <v>31</v>
      </c>
      <c r="L236" s="24">
        <f t="shared" si="9"/>
        <v>3817</v>
      </c>
      <c r="M236" s="24">
        <v>8988000</v>
      </c>
    </row>
    <row r="237" spans="1:13" s="48" customFormat="1" outlineLevel="2">
      <c r="A237" s="39" t="s">
        <v>142</v>
      </c>
      <c r="B237" s="40" t="s">
        <v>106</v>
      </c>
      <c r="C237" s="41" t="s">
        <v>149</v>
      </c>
      <c r="D237" s="40" t="s">
        <v>150</v>
      </c>
      <c r="E237" s="24">
        <v>34608000</v>
      </c>
      <c r="F237" s="39">
        <v>44070</v>
      </c>
      <c r="G237" s="24">
        <v>34608000</v>
      </c>
      <c r="H237" s="23">
        <v>5.0000000000000001E-3</v>
      </c>
      <c r="I237" s="39">
        <v>44197</v>
      </c>
      <c r="J237" s="39">
        <v>44227</v>
      </c>
      <c r="K237" s="24">
        <f t="shared" si="8"/>
        <v>31</v>
      </c>
      <c r="L237" s="24">
        <f t="shared" si="9"/>
        <v>14697</v>
      </c>
      <c r="M237" s="24">
        <v>34608000</v>
      </c>
    </row>
    <row r="238" spans="1:13" s="48" customFormat="1" outlineLevel="2">
      <c r="A238" s="39" t="s">
        <v>142</v>
      </c>
      <c r="B238" s="40" t="s">
        <v>59</v>
      </c>
      <c r="C238" s="41" t="s">
        <v>143</v>
      </c>
      <c r="D238" s="40" t="s">
        <v>144</v>
      </c>
      <c r="E238" s="24">
        <v>38000000</v>
      </c>
      <c r="F238" s="39">
        <v>43850</v>
      </c>
      <c r="G238" s="24">
        <v>38000000</v>
      </c>
      <c r="H238" s="23">
        <v>5.0000000000000001E-3</v>
      </c>
      <c r="I238" s="39">
        <v>44197</v>
      </c>
      <c r="J238" s="39">
        <v>44227</v>
      </c>
      <c r="K238" s="24">
        <f t="shared" si="8"/>
        <v>31</v>
      </c>
      <c r="L238" s="24">
        <f t="shared" si="9"/>
        <v>16137</v>
      </c>
      <c r="M238" s="24">
        <v>38000000</v>
      </c>
    </row>
    <row r="239" spans="1:13" s="48" customFormat="1" outlineLevel="2">
      <c r="A239" s="39" t="s">
        <v>142</v>
      </c>
      <c r="B239" s="40" t="s">
        <v>136</v>
      </c>
      <c r="C239" s="41" t="s">
        <v>146</v>
      </c>
      <c r="D239" s="40" t="s">
        <v>147</v>
      </c>
      <c r="E239" s="24">
        <v>13000000</v>
      </c>
      <c r="F239" s="39">
        <v>44047</v>
      </c>
      <c r="G239" s="24">
        <v>13000000</v>
      </c>
      <c r="H239" s="23">
        <v>5.0000000000000001E-3</v>
      </c>
      <c r="I239" s="39">
        <v>44197</v>
      </c>
      <c r="J239" s="39">
        <v>44227</v>
      </c>
      <c r="K239" s="24">
        <f t="shared" si="8"/>
        <v>31</v>
      </c>
      <c r="L239" s="24">
        <f t="shared" si="9"/>
        <v>5521</v>
      </c>
      <c r="M239" s="24">
        <v>13000000</v>
      </c>
    </row>
    <row r="240" spans="1:13" s="48" customFormat="1" outlineLevel="2">
      <c r="A240" s="39" t="s">
        <v>142</v>
      </c>
      <c r="B240" s="40" t="s">
        <v>137</v>
      </c>
      <c r="C240" s="41" t="s">
        <v>146</v>
      </c>
      <c r="D240" s="40" t="s">
        <v>147</v>
      </c>
      <c r="E240" s="24">
        <v>5000000</v>
      </c>
      <c r="F240" s="39">
        <v>44053</v>
      </c>
      <c r="G240" s="24">
        <v>5000000</v>
      </c>
      <c r="H240" s="23">
        <v>5.0000000000000001E-3</v>
      </c>
      <c r="I240" s="39">
        <v>44197</v>
      </c>
      <c r="J240" s="39">
        <v>44227</v>
      </c>
      <c r="K240" s="24">
        <f t="shared" si="8"/>
        <v>31</v>
      </c>
      <c r="L240" s="24">
        <f t="shared" si="9"/>
        <v>2123</v>
      </c>
      <c r="M240" s="24">
        <v>5000000</v>
      </c>
    </row>
    <row r="241" spans="1:13" s="48" customFormat="1" outlineLevel="2">
      <c r="A241" s="39" t="s">
        <v>142</v>
      </c>
      <c r="B241" s="40" t="s">
        <v>138</v>
      </c>
      <c r="C241" s="41" t="s">
        <v>163</v>
      </c>
      <c r="D241" s="40" t="s">
        <v>164</v>
      </c>
      <c r="E241" s="24">
        <v>5300000</v>
      </c>
      <c r="F241" s="39">
        <v>44050</v>
      </c>
      <c r="G241" s="24">
        <v>5120340</v>
      </c>
      <c r="H241" s="23">
        <v>5.0000000000000001E-3</v>
      </c>
      <c r="I241" s="39">
        <v>44197</v>
      </c>
      <c r="J241" s="39">
        <v>44210</v>
      </c>
      <c r="K241" s="24">
        <f t="shared" si="8"/>
        <v>14</v>
      </c>
      <c r="L241" s="24">
        <f t="shared" si="9"/>
        <v>982</v>
      </c>
      <c r="M241" s="24">
        <v>5075425</v>
      </c>
    </row>
    <row r="242" spans="1:13" s="48" customFormat="1" outlineLevel="2">
      <c r="A242" s="39" t="s">
        <v>142</v>
      </c>
      <c r="B242" s="40" t="s">
        <v>138</v>
      </c>
      <c r="C242" s="41" t="s">
        <v>163</v>
      </c>
      <c r="D242" s="40"/>
      <c r="E242" s="24"/>
      <c r="F242" s="39"/>
      <c r="G242" s="24">
        <v>5075425</v>
      </c>
      <c r="H242" s="23">
        <v>5.0000000000000001E-3</v>
      </c>
      <c r="I242" s="39">
        <v>44211</v>
      </c>
      <c r="J242" s="39">
        <v>44227</v>
      </c>
      <c r="K242" s="24">
        <f t="shared" si="8"/>
        <v>17</v>
      </c>
      <c r="L242" s="24">
        <f t="shared" si="9"/>
        <v>1182</v>
      </c>
      <c r="M242" s="24"/>
    </row>
    <row r="243" spans="1:13" s="48" customFormat="1" outlineLevel="2">
      <c r="A243" s="39" t="s">
        <v>142</v>
      </c>
      <c r="B243" s="40" t="s">
        <v>139</v>
      </c>
      <c r="C243" s="41" t="s">
        <v>117</v>
      </c>
      <c r="D243" s="40" t="s">
        <v>118</v>
      </c>
      <c r="E243" s="24">
        <v>40000000</v>
      </c>
      <c r="F243" s="39">
        <v>44060</v>
      </c>
      <c r="G243" s="24">
        <v>40000000</v>
      </c>
      <c r="H243" s="23">
        <v>5.0000000000000001E-3</v>
      </c>
      <c r="I243" s="39">
        <v>44197</v>
      </c>
      <c r="J243" s="39">
        <v>44227</v>
      </c>
      <c r="K243" s="24">
        <f t="shared" si="8"/>
        <v>31</v>
      </c>
      <c r="L243" s="24">
        <f t="shared" si="9"/>
        <v>16986</v>
      </c>
      <c r="M243" s="24">
        <v>40000000</v>
      </c>
    </row>
    <row r="244" spans="1:13" s="48" customFormat="1" outlineLevel="2">
      <c r="A244" s="39" t="s">
        <v>142</v>
      </c>
      <c r="B244" s="40" t="s">
        <v>140</v>
      </c>
      <c r="C244" s="41" t="s">
        <v>45</v>
      </c>
      <c r="D244" s="40" t="s">
        <v>46</v>
      </c>
      <c r="E244" s="24">
        <v>10000000</v>
      </c>
      <c r="F244" s="39">
        <v>44067</v>
      </c>
      <c r="G244" s="24">
        <v>10000000</v>
      </c>
      <c r="H244" s="23">
        <v>5.0000000000000001E-3</v>
      </c>
      <c r="I244" s="39">
        <v>44197</v>
      </c>
      <c r="J244" s="39">
        <v>44227</v>
      </c>
      <c r="K244" s="24">
        <f t="shared" si="8"/>
        <v>31</v>
      </c>
      <c r="L244" s="24">
        <f t="shared" si="9"/>
        <v>4247</v>
      </c>
      <c r="M244" s="24">
        <v>10000000</v>
      </c>
    </row>
    <row r="245" spans="1:13" s="48" customFormat="1" outlineLevel="2">
      <c r="A245" s="39" t="s">
        <v>142</v>
      </c>
      <c r="B245" s="40" t="s">
        <v>169</v>
      </c>
      <c r="C245" s="41" t="s">
        <v>79</v>
      </c>
      <c r="D245" s="40" t="s">
        <v>80</v>
      </c>
      <c r="E245" s="24">
        <v>125000000</v>
      </c>
      <c r="F245" s="39">
        <v>44075</v>
      </c>
      <c r="G245" s="24">
        <v>125000000</v>
      </c>
      <c r="H245" s="23">
        <v>5.0000000000000001E-3</v>
      </c>
      <c r="I245" s="39">
        <v>44197</v>
      </c>
      <c r="J245" s="39">
        <v>44227</v>
      </c>
      <c r="K245" s="24">
        <f t="shared" si="8"/>
        <v>31</v>
      </c>
      <c r="L245" s="24">
        <f t="shared" si="9"/>
        <v>53082</v>
      </c>
      <c r="M245" s="24">
        <v>125000000</v>
      </c>
    </row>
    <row r="246" spans="1:13" s="48" customFormat="1" outlineLevel="2">
      <c r="A246" s="39" t="s">
        <v>142</v>
      </c>
      <c r="B246" s="40" t="s">
        <v>170</v>
      </c>
      <c r="C246" s="41" t="s">
        <v>79</v>
      </c>
      <c r="D246" s="40" t="s">
        <v>80</v>
      </c>
      <c r="E246" s="24">
        <v>105000000</v>
      </c>
      <c r="F246" s="39">
        <v>44104</v>
      </c>
      <c r="G246" s="24">
        <v>105000000</v>
      </c>
      <c r="H246" s="23">
        <v>5.0000000000000001E-3</v>
      </c>
      <c r="I246" s="39">
        <v>44197</v>
      </c>
      <c r="J246" s="39">
        <v>44227</v>
      </c>
      <c r="K246" s="24">
        <f t="shared" si="8"/>
        <v>31</v>
      </c>
      <c r="L246" s="24">
        <f t="shared" si="9"/>
        <v>44589</v>
      </c>
      <c r="M246" s="24">
        <v>105000000</v>
      </c>
    </row>
    <row r="247" spans="1:13" s="48" customFormat="1" outlineLevel="2">
      <c r="A247" s="39" t="s">
        <v>142</v>
      </c>
      <c r="B247" s="40" t="s">
        <v>171</v>
      </c>
      <c r="C247" s="41" t="s">
        <v>146</v>
      </c>
      <c r="D247" s="40" t="s">
        <v>147</v>
      </c>
      <c r="E247" s="24">
        <v>13000000</v>
      </c>
      <c r="F247" s="39">
        <v>44077</v>
      </c>
      <c r="G247" s="24">
        <v>13000000</v>
      </c>
      <c r="H247" s="23">
        <v>5.0000000000000001E-3</v>
      </c>
      <c r="I247" s="39">
        <v>44197</v>
      </c>
      <c r="J247" s="39">
        <v>44227</v>
      </c>
      <c r="K247" s="24">
        <f t="shared" si="8"/>
        <v>31</v>
      </c>
      <c r="L247" s="24">
        <f t="shared" si="9"/>
        <v>5521</v>
      </c>
      <c r="M247" s="24">
        <v>13000000</v>
      </c>
    </row>
    <row r="248" spans="1:13" s="48" customFormat="1" outlineLevel="2">
      <c r="A248" s="39" t="s">
        <v>142</v>
      </c>
      <c r="B248" s="40" t="s">
        <v>172</v>
      </c>
      <c r="C248" s="41" t="s">
        <v>146</v>
      </c>
      <c r="D248" s="40" t="s">
        <v>147</v>
      </c>
      <c r="E248" s="24">
        <v>5800000</v>
      </c>
      <c r="F248" s="39">
        <v>44083</v>
      </c>
      <c r="G248" s="24">
        <v>5800000</v>
      </c>
      <c r="H248" s="23">
        <v>5.0000000000000001E-3</v>
      </c>
      <c r="I248" s="39">
        <v>44197</v>
      </c>
      <c r="J248" s="39">
        <v>44227</v>
      </c>
      <c r="K248" s="24">
        <f t="shared" si="8"/>
        <v>31</v>
      </c>
      <c r="L248" s="24">
        <f t="shared" si="9"/>
        <v>2463</v>
      </c>
      <c r="M248" s="24">
        <v>5800000</v>
      </c>
    </row>
    <row r="249" spans="1:13" s="48" customFormat="1" outlineLevel="2">
      <c r="A249" s="39" t="s">
        <v>142</v>
      </c>
      <c r="B249" s="40" t="s">
        <v>173</v>
      </c>
      <c r="C249" s="41" t="s">
        <v>149</v>
      </c>
      <c r="D249" s="40" t="s">
        <v>150</v>
      </c>
      <c r="E249" s="24">
        <v>4989600</v>
      </c>
      <c r="F249" s="39">
        <v>44088</v>
      </c>
      <c r="G249" s="24">
        <v>4989600</v>
      </c>
      <c r="H249" s="23">
        <v>5.0000000000000001E-3</v>
      </c>
      <c r="I249" s="39">
        <v>44197</v>
      </c>
      <c r="J249" s="39">
        <v>44227</v>
      </c>
      <c r="K249" s="24">
        <f t="shared" si="8"/>
        <v>31</v>
      </c>
      <c r="L249" s="24">
        <f t="shared" si="9"/>
        <v>2119</v>
      </c>
      <c r="M249" s="24">
        <v>4989600</v>
      </c>
    </row>
    <row r="250" spans="1:13" s="48" customFormat="1" outlineLevel="2">
      <c r="A250" s="39" t="s">
        <v>142</v>
      </c>
      <c r="B250" s="40" t="s">
        <v>62</v>
      </c>
      <c r="C250" s="41" t="s">
        <v>143</v>
      </c>
      <c r="D250" s="40" t="s">
        <v>144</v>
      </c>
      <c r="E250" s="24">
        <v>10000000</v>
      </c>
      <c r="F250" s="39">
        <v>43850</v>
      </c>
      <c r="G250" s="24">
        <v>10000000</v>
      </c>
      <c r="H250" s="23">
        <v>5.0000000000000001E-3</v>
      </c>
      <c r="I250" s="39">
        <v>44197</v>
      </c>
      <c r="J250" s="39">
        <v>44227</v>
      </c>
      <c r="K250" s="24">
        <f t="shared" si="8"/>
        <v>31</v>
      </c>
      <c r="L250" s="24">
        <f t="shared" si="9"/>
        <v>4247</v>
      </c>
      <c r="M250" s="24">
        <v>10000000</v>
      </c>
    </row>
    <row r="251" spans="1:13" s="48" customFormat="1" outlineLevel="2">
      <c r="A251" s="39" t="s">
        <v>142</v>
      </c>
      <c r="B251" s="40" t="s">
        <v>174</v>
      </c>
      <c r="C251" s="41" t="s">
        <v>66</v>
      </c>
      <c r="D251" s="40" t="s">
        <v>67</v>
      </c>
      <c r="E251" s="24">
        <v>96000000</v>
      </c>
      <c r="F251" s="39">
        <v>44089</v>
      </c>
      <c r="G251" s="24">
        <v>96000000</v>
      </c>
      <c r="H251" s="23">
        <v>5.0000000000000001E-3</v>
      </c>
      <c r="I251" s="39">
        <v>44197</v>
      </c>
      <c r="J251" s="39">
        <v>44227</v>
      </c>
      <c r="K251" s="24">
        <f t="shared" si="8"/>
        <v>31</v>
      </c>
      <c r="L251" s="24">
        <f t="shared" si="9"/>
        <v>40767</v>
      </c>
      <c r="M251" s="24">
        <v>96000000</v>
      </c>
    </row>
    <row r="252" spans="1:13" s="48" customFormat="1" outlineLevel="2">
      <c r="A252" s="39" t="s">
        <v>142</v>
      </c>
      <c r="B252" s="40" t="s">
        <v>175</v>
      </c>
      <c r="C252" s="41" t="s">
        <v>66</v>
      </c>
      <c r="D252" s="40" t="s">
        <v>67</v>
      </c>
      <c r="E252" s="24">
        <v>16000000</v>
      </c>
      <c r="F252" s="39">
        <v>44089</v>
      </c>
      <c r="G252" s="24">
        <v>16000000</v>
      </c>
      <c r="H252" s="23">
        <v>5.0000000000000001E-3</v>
      </c>
      <c r="I252" s="39">
        <v>44197</v>
      </c>
      <c r="J252" s="39">
        <v>44227</v>
      </c>
      <c r="K252" s="24">
        <f t="shared" si="8"/>
        <v>31</v>
      </c>
      <c r="L252" s="24">
        <f t="shared" si="9"/>
        <v>6795</v>
      </c>
      <c r="M252" s="24">
        <v>16000000</v>
      </c>
    </row>
    <row r="253" spans="1:13" s="48" customFormat="1" outlineLevel="2">
      <c r="A253" s="39" t="s">
        <v>142</v>
      </c>
      <c r="B253" s="40" t="s">
        <v>176</v>
      </c>
      <c r="C253" s="41" t="s">
        <v>143</v>
      </c>
      <c r="D253" s="40" t="s">
        <v>144</v>
      </c>
      <c r="E253" s="24">
        <v>21600000</v>
      </c>
      <c r="F253" s="39">
        <v>44095</v>
      </c>
      <c r="G253" s="24">
        <v>21600000</v>
      </c>
      <c r="H253" s="23">
        <v>5.0000000000000001E-3</v>
      </c>
      <c r="I253" s="39">
        <v>44197</v>
      </c>
      <c r="J253" s="39">
        <v>44227</v>
      </c>
      <c r="K253" s="24">
        <f t="shared" si="8"/>
        <v>31</v>
      </c>
      <c r="L253" s="24">
        <f t="shared" si="9"/>
        <v>9173</v>
      </c>
      <c r="M253" s="24">
        <v>21600000</v>
      </c>
    </row>
    <row r="254" spans="1:13" s="48" customFormat="1" outlineLevel="2">
      <c r="A254" s="39" t="s">
        <v>142</v>
      </c>
      <c r="B254" s="40" t="s">
        <v>177</v>
      </c>
      <c r="C254" s="41" t="s">
        <v>123</v>
      </c>
      <c r="D254" s="40" t="s">
        <v>124</v>
      </c>
      <c r="E254" s="24">
        <v>40000000</v>
      </c>
      <c r="F254" s="39">
        <v>44100</v>
      </c>
      <c r="G254" s="24">
        <v>40000000</v>
      </c>
      <c r="H254" s="23">
        <v>5.0000000000000001E-3</v>
      </c>
      <c r="I254" s="39">
        <v>44197</v>
      </c>
      <c r="J254" s="39">
        <v>44227</v>
      </c>
      <c r="K254" s="24">
        <f t="shared" si="8"/>
        <v>31</v>
      </c>
      <c r="L254" s="24">
        <f t="shared" si="9"/>
        <v>16986</v>
      </c>
      <c r="M254" s="24">
        <v>40000000</v>
      </c>
    </row>
    <row r="255" spans="1:13" s="48" customFormat="1" outlineLevel="2">
      <c r="A255" s="39" t="s">
        <v>142</v>
      </c>
      <c r="B255" s="40" t="s">
        <v>178</v>
      </c>
      <c r="C255" s="41" t="s">
        <v>125</v>
      </c>
      <c r="D255" s="40" t="s">
        <v>126</v>
      </c>
      <c r="E255" s="24">
        <v>2000000</v>
      </c>
      <c r="F255" s="39">
        <v>44103</v>
      </c>
      <c r="G255" s="24">
        <v>2000000</v>
      </c>
      <c r="H255" s="23">
        <v>5.0000000000000001E-3</v>
      </c>
      <c r="I255" s="39">
        <v>44197</v>
      </c>
      <c r="J255" s="39">
        <v>44227</v>
      </c>
      <c r="K255" s="24">
        <f t="shared" si="8"/>
        <v>31</v>
      </c>
      <c r="L255" s="24">
        <f t="shared" si="9"/>
        <v>849</v>
      </c>
      <c r="M255" s="24">
        <v>2000000</v>
      </c>
    </row>
    <row r="256" spans="1:13" s="48" customFormat="1" outlineLevel="2">
      <c r="A256" s="39" t="s">
        <v>142</v>
      </c>
      <c r="B256" s="40" t="s">
        <v>179</v>
      </c>
      <c r="C256" s="41" t="s">
        <v>146</v>
      </c>
      <c r="D256" s="40" t="s">
        <v>147</v>
      </c>
      <c r="E256" s="24">
        <v>13200000</v>
      </c>
      <c r="F256" s="39">
        <v>44109</v>
      </c>
      <c r="G256" s="24">
        <v>13200000</v>
      </c>
      <c r="H256" s="23">
        <v>5.0000000000000001E-3</v>
      </c>
      <c r="I256" s="39">
        <v>44197</v>
      </c>
      <c r="J256" s="39">
        <v>44227</v>
      </c>
      <c r="K256" s="24">
        <f t="shared" si="8"/>
        <v>31</v>
      </c>
      <c r="L256" s="24">
        <f t="shared" si="9"/>
        <v>5605</v>
      </c>
      <c r="M256" s="24">
        <v>13200000</v>
      </c>
    </row>
    <row r="257" spans="1:13" s="48" customFormat="1" outlineLevel="2">
      <c r="A257" s="39" t="s">
        <v>142</v>
      </c>
      <c r="B257" s="40" t="s">
        <v>180</v>
      </c>
      <c r="C257" s="41" t="s">
        <v>146</v>
      </c>
      <c r="D257" s="40" t="s">
        <v>147</v>
      </c>
      <c r="E257" s="24">
        <v>3000000</v>
      </c>
      <c r="F257" s="39">
        <v>44116</v>
      </c>
      <c r="G257" s="24">
        <v>3000000</v>
      </c>
      <c r="H257" s="23">
        <v>5.0000000000000001E-3</v>
      </c>
      <c r="I257" s="39">
        <v>44197</v>
      </c>
      <c r="J257" s="39">
        <v>44227</v>
      </c>
      <c r="K257" s="24">
        <f t="shared" si="8"/>
        <v>31</v>
      </c>
      <c r="L257" s="24">
        <f t="shared" si="9"/>
        <v>1274</v>
      </c>
      <c r="M257" s="24">
        <v>3000000</v>
      </c>
    </row>
    <row r="258" spans="1:13" s="48" customFormat="1" outlineLevel="2">
      <c r="A258" s="39" t="s">
        <v>142</v>
      </c>
      <c r="B258" s="40" t="s">
        <v>181</v>
      </c>
      <c r="C258" s="41" t="s">
        <v>149</v>
      </c>
      <c r="D258" s="40" t="s">
        <v>150</v>
      </c>
      <c r="E258" s="24">
        <v>8736000</v>
      </c>
      <c r="F258" s="39">
        <v>44109</v>
      </c>
      <c r="G258" s="24">
        <v>8736000</v>
      </c>
      <c r="H258" s="23">
        <v>5.0000000000000001E-3</v>
      </c>
      <c r="I258" s="39">
        <v>44197</v>
      </c>
      <c r="J258" s="39">
        <v>44227</v>
      </c>
      <c r="K258" s="24">
        <f t="shared" si="8"/>
        <v>31</v>
      </c>
      <c r="L258" s="24">
        <f t="shared" si="9"/>
        <v>3710</v>
      </c>
      <c r="M258" s="24">
        <v>8736000</v>
      </c>
    </row>
    <row r="259" spans="1:13" s="48" customFormat="1" outlineLevel="2">
      <c r="A259" s="39" t="s">
        <v>142</v>
      </c>
      <c r="B259" s="40" t="s">
        <v>182</v>
      </c>
      <c r="C259" s="41" t="s">
        <v>149</v>
      </c>
      <c r="D259" s="40" t="s">
        <v>150</v>
      </c>
      <c r="E259" s="24">
        <v>4273920</v>
      </c>
      <c r="F259" s="39">
        <v>44111</v>
      </c>
      <c r="G259" s="24">
        <v>4273920</v>
      </c>
      <c r="H259" s="23">
        <v>5.0000000000000001E-3</v>
      </c>
      <c r="I259" s="39">
        <v>44197</v>
      </c>
      <c r="J259" s="39">
        <v>44227</v>
      </c>
      <c r="K259" s="24">
        <f t="shared" ref="K259:K306" si="10">J259-I259+1</f>
        <v>31</v>
      </c>
      <c r="L259" s="24">
        <f t="shared" ref="L259:L306" si="11">ROUND(G259*H259*K259/365,0)</f>
        <v>1815</v>
      </c>
      <c r="M259" s="24">
        <v>4273920</v>
      </c>
    </row>
    <row r="260" spans="1:13" s="48" customFormat="1" outlineLevel="2">
      <c r="A260" s="39" t="s">
        <v>142</v>
      </c>
      <c r="B260" s="40" t="s">
        <v>183</v>
      </c>
      <c r="C260" s="41" t="s">
        <v>149</v>
      </c>
      <c r="D260" s="40" t="s">
        <v>150</v>
      </c>
      <c r="E260" s="24">
        <v>4368000</v>
      </c>
      <c r="F260" s="39">
        <v>44132</v>
      </c>
      <c r="G260" s="24">
        <v>4368000</v>
      </c>
      <c r="H260" s="23">
        <v>5.0000000000000001E-3</v>
      </c>
      <c r="I260" s="39">
        <v>44197</v>
      </c>
      <c r="J260" s="39">
        <v>44227</v>
      </c>
      <c r="K260" s="24">
        <f t="shared" si="10"/>
        <v>31</v>
      </c>
      <c r="L260" s="24">
        <f t="shared" si="11"/>
        <v>1855</v>
      </c>
      <c r="M260" s="24">
        <v>4368000</v>
      </c>
    </row>
    <row r="261" spans="1:13" s="48" customFormat="1" outlineLevel="2">
      <c r="A261" s="39" t="s">
        <v>142</v>
      </c>
      <c r="B261" s="40" t="s">
        <v>63</v>
      </c>
      <c r="C261" s="41" t="s">
        <v>149</v>
      </c>
      <c r="D261" s="40" t="s">
        <v>150</v>
      </c>
      <c r="E261" s="24">
        <v>96176976</v>
      </c>
      <c r="F261" s="39">
        <v>43861</v>
      </c>
      <c r="G261" s="24">
        <v>96176976</v>
      </c>
      <c r="H261" s="23">
        <v>5.0000000000000001E-3</v>
      </c>
      <c r="I261" s="39">
        <v>44197</v>
      </c>
      <c r="J261" s="39">
        <v>44227</v>
      </c>
      <c r="K261" s="24">
        <f t="shared" si="10"/>
        <v>31</v>
      </c>
      <c r="L261" s="24">
        <f t="shared" si="11"/>
        <v>40842</v>
      </c>
      <c r="M261" s="24">
        <v>96176976</v>
      </c>
    </row>
    <row r="262" spans="1:13" s="48" customFormat="1" outlineLevel="2">
      <c r="A262" s="39" t="s">
        <v>142</v>
      </c>
      <c r="B262" s="40" t="s">
        <v>184</v>
      </c>
      <c r="C262" s="41" t="s">
        <v>149</v>
      </c>
      <c r="D262" s="40" t="s">
        <v>150</v>
      </c>
      <c r="E262" s="24">
        <v>8064000</v>
      </c>
      <c r="F262" s="39">
        <v>44133</v>
      </c>
      <c r="G262" s="24">
        <v>8064000</v>
      </c>
      <c r="H262" s="23">
        <v>5.0000000000000001E-3</v>
      </c>
      <c r="I262" s="39">
        <v>44197</v>
      </c>
      <c r="J262" s="39">
        <v>44227</v>
      </c>
      <c r="K262" s="24">
        <f t="shared" si="10"/>
        <v>31</v>
      </c>
      <c r="L262" s="24">
        <f t="shared" si="11"/>
        <v>3424</v>
      </c>
      <c r="M262" s="24">
        <v>8064000</v>
      </c>
    </row>
    <row r="263" spans="1:13" s="48" customFormat="1" outlineLevel="2">
      <c r="A263" s="39" t="s">
        <v>142</v>
      </c>
      <c r="B263" s="40" t="s">
        <v>185</v>
      </c>
      <c r="C263" s="41" t="s">
        <v>149</v>
      </c>
      <c r="D263" s="40" t="s">
        <v>150</v>
      </c>
      <c r="E263" s="24">
        <v>113400</v>
      </c>
      <c r="F263" s="39">
        <v>44133</v>
      </c>
      <c r="G263" s="24">
        <v>113400</v>
      </c>
      <c r="H263" s="23">
        <v>5.0000000000000001E-3</v>
      </c>
      <c r="I263" s="39">
        <v>44197</v>
      </c>
      <c r="J263" s="39">
        <v>44227</v>
      </c>
      <c r="K263" s="24">
        <f t="shared" si="10"/>
        <v>31</v>
      </c>
      <c r="L263" s="24">
        <f t="shared" si="11"/>
        <v>48</v>
      </c>
      <c r="M263" s="24">
        <v>113400</v>
      </c>
    </row>
    <row r="264" spans="1:13" s="48" customFormat="1" outlineLevel="2">
      <c r="A264" s="39" t="s">
        <v>142</v>
      </c>
      <c r="B264" s="40" t="s">
        <v>186</v>
      </c>
      <c r="C264" s="41" t="s">
        <v>187</v>
      </c>
      <c r="D264" s="40" t="s">
        <v>188</v>
      </c>
      <c r="E264" s="24">
        <v>93700000</v>
      </c>
      <c r="F264" s="39">
        <v>44109</v>
      </c>
      <c r="G264" s="24">
        <v>93700000</v>
      </c>
      <c r="H264" s="23">
        <v>5.0000000000000001E-3</v>
      </c>
      <c r="I264" s="39">
        <v>44197</v>
      </c>
      <c r="J264" s="39">
        <v>44227</v>
      </c>
      <c r="K264" s="24">
        <f t="shared" si="10"/>
        <v>31</v>
      </c>
      <c r="L264" s="24">
        <f t="shared" si="11"/>
        <v>39790</v>
      </c>
      <c r="M264" s="24">
        <v>93700000</v>
      </c>
    </row>
    <row r="265" spans="1:13" s="48" customFormat="1" outlineLevel="2">
      <c r="A265" s="39" t="s">
        <v>142</v>
      </c>
      <c r="B265" s="40" t="s">
        <v>189</v>
      </c>
      <c r="C265" s="41" t="s">
        <v>187</v>
      </c>
      <c r="D265" s="40" t="s">
        <v>188</v>
      </c>
      <c r="E265" s="24">
        <v>21400000</v>
      </c>
      <c r="F265" s="39">
        <v>44109</v>
      </c>
      <c r="G265" s="24">
        <v>21400000</v>
      </c>
      <c r="H265" s="23">
        <v>5.0000000000000001E-3</v>
      </c>
      <c r="I265" s="39">
        <v>44197</v>
      </c>
      <c r="J265" s="39">
        <v>44227</v>
      </c>
      <c r="K265" s="24">
        <f t="shared" si="10"/>
        <v>31</v>
      </c>
      <c r="L265" s="24">
        <f t="shared" si="11"/>
        <v>9088</v>
      </c>
      <c r="M265" s="24">
        <v>21400000</v>
      </c>
    </row>
    <row r="266" spans="1:13" s="48" customFormat="1" outlineLevel="2">
      <c r="A266" s="39" t="s">
        <v>142</v>
      </c>
      <c r="B266" s="40" t="s">
        <v>190</v>
      </c>
      <c r="C266" s="41" t="s">
        <v>143</v>
      </c>
      <c r="D266" s="40" t="s">
        <v>144</v>
      </c>
      <c r="E266" s="24">
        <v>7150000</v>
      </c>
      <c r="F266" s="39">
        <v>44119</v>
      </c>
      <c r="G266" s="24">
        <v>7150000</v>
      </c>
      <c r="H266" s="23">
        <v>5.0000000000000001E-3</v>
      </c>
      <c r="I266" s="39">
        <v>44197</v>
      </c>
      <c r="J266" s="39">
        <v>44227</v>
      </c>
      <c r="K266" s="24">
        <f t="shared" si="10"/>
        <v>31</v>
      </c>
      <c r="L266" s="24">
        <f t="shared" si="11"/>
        <v>3036</v>
      </c>
      <c r="M266" s="24">
        <v>7150000</v>
      </c>
    </row>
    <row r="267" spans="1:13" s="48" customFormat="1" outlineLevel="2">
      <c r="A267" s="39" t="s">
        <v>142</v>
      </c>
      <c r="B267" s="40" t="s">
        <v>191</v>
      </c>
      <c r="C267" s="41" t="s">
        <v>143</v>
      </c>
      <c r="D267" s="40" t="s">
        <v>144</v>
      </c>
      <c r="E267" s="24">
        <v>14400000</v>
      </c>
      <c r="F267" s="39">
        <v>44124</v>
      </c>
      <c r="G267" s="24">
        <v>14400000</v>
      </c>
      <c r="H267" s="23">
        <v>5.0000000000000001E-3</v>
      </c>
      <c r="I267" s="39">
        <v>44197</v>
      </c>
      <c r="J267" s="39">
        <v>44227</v>
      </c>
      <c r="K267" s="24">
        <f t="shared" si="10"/>
        <v>31</v>
      </c>
      <c r="L267" s="24">
        <f t="shared" si="11"/>
        <v>6115</v>
      </c>
      <c r="M267" s="24">
        <v>14400000</v>
      </c>
    </row>
    <row r="268" spans="1:13" s="48" customFormat="1" outlineLevel="2">
      <c r="A268" s="39" t="s">
        <v>142</v>
      </c>
      <c r="B268" s="40" t="s">
        <v>192</v>
      </c>
      <c r="C268" s="41" t="s">
        <v>125</v>
      </c>
      <c r="D268" s="40" t="s">
        <v>126</v>
      </c>
      <c r="E268" s="24">
        <v>24000000</v>
      </c>
      <c r="F268" s="39">
        <v>44120</v>
      </c>
      <c r="G268" s="24">
        <v>24000000</v>
      </c>
      <c r="H268" s="23">
        <v>5.0000000000000001E-3</v>
      </c>
      <c r="I268" s="39">
        <v>44197</v>
      </c>
      <c r="J268" s="39">
        <v>44227</v>
      </c>
      <c r="K268" s="24">
        <f t="shared" si="10"/>
        <v>31</v>
      </c>
      <c r="L268" s="24">
        <f t="shared" si="11"/>
        <v>10192</v>
      </c>
      <c r="M268" s="24">
        <v>24000000</v>
      </c>
    </row>
    <row r="269" spans="1:13" s="48" customFormat="1" outlineLevel="2">
      <c r="A269" s="39" t="s">
        <v>142</v>
      </c>
      <c r="B269" s="40" t="s">
        <v>193</v>
      </c>
      <c r="C269" s="41" t="s">
        <v>125</v>
      </c>
      <c r="D269" s="40" t="s">
        <v>126</v>
      </c>
      <c r="E269" s="24">
        <v>24000000</v>
      </c>
      <c r="F269" s="39">
        <v>44127</v>
      </c>
      <c r="G269" s="24">
        <v>24000000</v>
      </c>
      <c r="H269" s="23">
        <v>5.0000000000000001E-3</v>
      </c>
      <c r="I269" s="39">
        <v>44197</v>
      </c>
      <c r="J269" s="39">
        <v>44227</v>
      </c>
      <c r="K269" s="24">
        <f t="shared" si="10"/>
        <v>31</v>
      </c>
      <c r="L269" s="24">
        <f t="shared" si="11"/>
        <v>10192</v>
      </c>
      <c r="M269" s="24">
        <v>24000000</v>
      </c>
    </row>
    <row r="270" spans="1:13" s="48" customFormat="1" outlineLevel="2">
      <c r="A270" s="39" t="s">
        <v>142</v>
      </c>
      <c r="B270" s="40" t="s">
        <v>194</v>
      </c>
      <c r="C270" s="41" t="s">
        <v>123</v>
      </c>
      <c r="D270" s="40" t="s">
        <v>124</v>
      </c>
      <c r="E270" s="24">
        <v>5000000</v>
      </c>
      <c r="F270" s="39">
        <v>44134</v>
      </c>
      <c r="G270" s="24">
        <v>5000000</v>
      </c>
      <c r="H270" s="23">
        <v>5.0000000000000001E-3</v>
      </c>
      <c r="I270" s="39">
        <v>44197</v>
      </c>
      <c r="J270" s="39">
        <v>44227</v>
      </c>
      <c r="K270" s="24">
        <f t="shared" si="10"/>
        <v>31</v>
      </c>
      <c r="L270" s="24">
        <f t="shared" si="11"/>
        <v>2123</v>
      </c>
      <c r="M270" s="24">
        <v>5000000</v>
      </c>
    </row>
    <row r="271" spans="1:13" s="48" customFormat="1" outlineLevel="2">
      <c r="A271" s="39" t="s">
        <v>142</v>
      </c>
      <c r="B271" s="40" t="s">
        <v>195</v>
      </c>
      <c r="C271" s="41" t="s">
        <v>146</v>
      </c>
      <c r="D271" s="40" t="s">
        <v>147</v>
      </c>
      <c r="E271" s="24">
        <v>16000000</v>
      </c>
      <c r="F271" s="39">
        <v>44139</v>
      </c>
      <c r="G271" s="24">
        <v>16000000</v>
      </c>
      <c r="H271" s="23">
        <v>5.0000000000000001E-3</v>
      </c>
      <c r="I271" s="39">
        <v>44197</v>
      </c>
      <c r="J271" s="39">
        <v>44227</v>
      </c>
      <c r="K271" s="24">
        <f t="shared" si="10"/>
        <v>31</v>
      </c>
      <c r="L271" s="24">
        <f t="shared" si="11"/>
        <v>6795</v>
      </c>
      <c r="M271" s="24">
        <v>16000000</v>
      </c>
    </row>
    <row r="272" spans="1:13" s="48" customFormat="1" outlineLevel="2">
      <c r="A272" s="39" t="s">
        <v>142</v>
      </c>
      <c r="B272" s="40" t="s">
        <v>64</v>
      </c>
      <c r="C272" s="41" t="s">
        <v>143</v>
      </c>
      <c r="D272" s="40" t="s">
        <v>144</v>
      </c>
      <c r="E272" s="24">
        <v>1800000</v>
      </c>
      <c r="F272" s="39">
        <v>43876</v>
      </c>
      <c r="G272" s="24">
        <v>1800000</v>
      </c>
      <c r="H272" s="23">
        <v>5.0000000000000001E-3</v>
      </c>
      <c r="I272" s="39">
        <v>44197</v>
      </c>
      <c r="J272" s="39">
        <v>44227</v>
      </c>
      <c r="K272" s="24">
        <f t="shared" si="10"/>
        <v>31</v>
      </c>
      <c r="L272" s="24">
        <f t="shared" si="11"/>
        <v>764</v>
      </c>
      <c r="M272" s="24">
        <v>1800000</v>
      </c>
    </row>
    <row r="273" spans="1:13" s="48" customFormat="1" outlineLevel="2">
      <c r="A273" s="39" t="s">
        <v>142</v>
      </c>
      <c r="B273" s="40" t="s">
        <v>196</v>
      </c>
      <c r="C273" s="41" t="s">
        <v>146</v>
      </c>
      <c r="D273" s="40" t="s">
        <v>147</v>
      </c>
      <c r="E273" s="24">
        <v>6000000</v>
      </c>
      <c r="F273" s="39">
        <v>44145</v>
      </c>
      <c r="G273" s="24">
        <v>6000000</v>
      </c>
      <c r="H273" s="23">
        <v>5.0000000000000001E-3</v>
      </c>
      <c r="I273" s="39">
        <v>44197</v>
      </c>
      <c r="J273" s="39">
        <v>44227</v>
      </c>
      <c r="K273" s="24">
        <f t="shared" si="10"/>
        <v>31</v>
      </c>
      <c r="L273" s="24">
        <f t="shared" si="11"/>
        <v>2548</v>
      </c>
      <c r="M273" s="24">
        <v>6000000</v>
      </c>
    </row>
    <row r="274" spans="1:13" s="48" customFormat="1" outlineLevel="2">
      <c r="A274" s="39" t="s">
        <v>142</v>
      </c>
      <c r="B274" s="40" t="s">
        <v>197</v>
      </c>
      <c r="C274" s="41" t="s">
        <v>143</v>
      </c>
      <c r="D274" s="40" t="s">
        <v>144</v>
      </c>
      <c r="E274" s="24">
        <v>19000000</v>
      </c>
      <c r="F274" s="39">
        <v>44140</v>
      </c>
      <c r="G274" s="24">
        <v>19000000</v>
      </c>
      <c r="H274" s="23">
        <v>5.0000000000000001E-3</v>
      </c>
      <c r="I274" s="39">
        <v>44197</v>
      </c>
      <c r="J274" s="39">
        <v>44227</v>
      </c>
      <c r="K274" s="24">
        <f t="shared" si="10"/>
        <v>31</v>
      </c>
      <c r="L274" s="24">
        <f t="shared" si="11"/>
        <v>8068</v>
      </c>
      <c r="M274" s="24">
        <v>19000000</v>
      </c>
    </row>
    <row r="275" spans="1:13" s="48" customFormat="1" outlineLevel="2">
      <c r="A275" s="39" t="s">
        <v>142</v>
      </c>
      <c r="B275" s="40" t="s">
        <v>198</v>
      </c>
      <c r="C275" s="41" t="s">
        <v>143</v>
      </c>
      <c r="D275" s="40" t="s">
        <v>144</v>
      </c>
      <c r="E275" s="24">
        <v>1800000</v>
      </c>
      <c r="F275" s="39">
        <v>44165</v>
      </c>
      <c r="G275" s="24">
        <v>1800000</v>
      </c>
      <c r="H275" s="23">
        <v>5.0000000000000001E-3</v>
      </c>
      <c r="I275" s="39">
        <v>44197</v>
      </c>
      <c r="J275" s="39">
        <v>44227</v>
      </c>
      <c r="K275" s="24">
        <f t="shared" si="10"/>
        <v>31</v>
      </c>
      <c r="L275" s="24">
        <f t="shared" si="11"/>
        <v>764</v>
      </c>
      <c r="M275" s="24">
        <v>1800000</v>
      </c>
    </row>
    <row r="276" spans="1:13" s="48" customFormat="1" outlineLevel="2">
      <c r="A276" s="39" t="s">
        <v>142</v>
      </c>
      <c r="B276" s="40" t="s">
        <v>199</v>
      </c>
      <c r="C276" s="41" t="s">
        <v>143</v>
      </c>
      <c r="D276" s="40" t="s">
        <v>144</v>
      </c>
      <c r="E276" s="24">
        <v>5500000</v>
      </c>
      <c r="F276" s="39">
        <v>44165</v>
      </c>
      <c r="G276" s="24">
        <v>5500000</v>
      </c>
      <c r="H276" s="23">
        <v>5.0000000000000001E-3</v>
      </c>
      <c r="I276" s="39">
        <v>44197</v>
      </c>
      <c r="J276" s="39">
        <v>44227</v>
      </c>
      <c r="K276" s="24">
        <f t="shared" si="10"/>
        <v>31</v>
      </c>
      <c r="L276" s="24">
        <f t="shared" si="11"/>
        <v>2336</v>
      </c>
      <c r="M276" s="24">
        <v>5500000</v>
      </c>
    </row>
    <row r="277" spans="1:13" s="48" customFormat="1" outlineLevel="2">
      <c r="A277" s="39" t="s">
        <v>142</v>
      </c>
      <c r="B277" s="40" t="s">
        <v>200</v>
      </c>
      <c r="C277" s="41" t="s">
        <v>143</v>
      </c>
      <c r="D277" s="40" t="s">
        <v>144</v>
      </c>
      <c r="E277" s="24">
        <v>8600000</v>
      </c>
      <c r="F277" s="39">
        <v>44165</v>
      </c>
      <c r="G277" s="24">
        <v>8600000</v>
      </c>
      <c r="H277" s="23">
        <v>5.0000000000000001E-3</v>
      </c>
      <c r="I277" s="39">
        <v>44197</v>
      </c>
      <c r="J277" s="39">
        <v>44227</v>
      </c>
      <c r="K277" s="24">
        <f t="shared" si="10"/>
        <v>31</v>
      </c>
      <c r="L277" s="24">
        <f t="shared" si="11"/>
        <v>3652</v>
      </c>
      <c r="M277" s="24">
        <v>8600000</v>
      </c>
    </row>
    <row r="278" spans="1:13" s="48" customFormat="1" outlineLevel="2">
      <c r="A278" s="39" t="s">
        <v>142</v>
      </c>
      <c r="B278" s="40" t="s">
        <v>201</v>
      </c>
      <c r="C278" s="41" t="s">
        <v>161</v>
      </c>
      <c r="D278" s="40" t="s">
        <v>162</v>
      </c>
      <c r="E278" s="24">
        <v>150000000</v>
      </c>
      <c r="F278" s="39">
        <v>44144</v>
      </c>
      <c r="G278" s="24">
        <v>150000000</v>
      </c>
      <c r="H278" s="23">
        <v>5.0000000000000001E-3</v>
      </c>
      <c r="I278" s="39">
        <v>44197</v>
      </c>
      <c r="J278" s="39">
        <v>44227</v>
      </c>
      <c r="K278" s="24">
        <f t="shared" si="10"/>
        <v>31</v>
      </c>
      <c r="L278" s="24">
        <f t="shared" si="11"/>
        <v>63699</v>
      </c>
      <c r="M278" s="24">
        <v>150000000</v>
      </c>
    </row>
    <row r="279" spans="1:13" s="48" customFormat="1" outlineLevel="2">
      <c r="A279" s="39" t="s">
        <v>142</v>
      </c>
      <c r="B279" s="40" t="s">
        <v>202</v>
      </c>
      <c r="C279" s="41" t="s">
        <v>125</v>
      </c>
      <c r="D279" s="40" t="s">
        <v>126</v>
      </c>
      <c r="E279" s="24">
        <v>2500000</v>
      </c>
      <c r="F279" s="39">
        <v>44147</v>
      </c>
      <c r="G279" s="24">
        <v>2500000</v>
      </c>
      <c r="H279" s="23">
        <v>5.0000000000000001E-3</v>
      </c>
      <c r="I279" s="39">
        <v>44197</v>
      </c>
      <c r="J279" s="39">
        <v>44227</v>
      </c>
      <c r="K279" s="24">
        <f t="shared" si="10"/>
        <v>31</v>
      </c>
      <c r="L279" s="24">
        <f t="shared" si="11"/>
        <v>1062</v>
      </c>
      <c r="M279" s="24">
        <v>2500000</v>
      </c>
    </row>
    <row r="280" spans="1:13" s="48" customFormat="1" outlineLevel="2">
      <c r="A280" s="39" t="s">
        <v>142</v>
      </c>
      <c r="B280" s="40" t="s">
        <v>203</v>
      </c>
      <c r="C280" s="41" t="s">
        <v>125</v>
      </c>
      <c r="D280" s="40" t="s">
        <v>126</v>
      </c>
      <c r="E280" s="24">
        <v>18000000</v>
      </c>
      <c r="F280" s="39">
        <v>44158</v>
      </c>
      <c r="G280" s="24">
        <v>18000000</v>
      </c>
      <c r="H280" s="23">
        <v>5.0000000000000001E-3</v>
      </c>
      <c r="I280" s="39">
        <v>44197</v>
      </c>
      <c r="J280" s="39">
        <v>44227</v>
      </c>
      <c r="K280" s="24">
        <f t="shared" si="10"/>
        <v>31</v>
      </c>
      <c r="L280" s="24">
        <f t="shared" si="11"/>
        <v>7644</v>
      </c>
      <c r="M280" s="24">
        <v>18000000</v>
      </c>
    </row>
    <row r="281" spans="1:13" s="48" customFormat="1" outlineLevel="2">
      <c r="A281" s="39" t="s">
        <v>142</v>
      </c>
      <c r="B281" s="40" t="s">
        <v>204</v>
      </c>
      <c r="C281" s="41" t="s">
        <v>149</v>
      </c>
      <c r="D281" s="40" t="s">
        <v>150</v>
      </c>
      <c r="E281" s="24">
        <v>1764000</v>
      </c>
      <c r="F281" s="39">
        <v>44147</v>
      </c>
      <c r="G281" s="24">
        <v>1764000</v>
      </c>
      <c r="H281" s="23">
        <v>5.0000000000000001E-3</v>
      </c>
      <c r="I281" s="39">
        <v>44197</v>
      </c>
      <c r="J281" s="39">
        <v>44227</v>
      </c>
      <c r="K281" s="24">
        <f t="shared" si="10"/>
        <v>31</v>
      </c>
      <c r="L281" s="24">
        <f t="shared" si="11"/>
        <v>749</v>
      </c>
      <c r="M281" s="24">
        <v>1764000</v>
      </c>
    </row>
    <row r="282" spans="1:13" s="48" customFormat="1" outlineLevel="2">
      <c r="A282" s="39" t="s">
        <v>142</v>
      </c>
      <c r="B282" s="40" t="s">
        <v>205</v>
      </c>
      <c r="C282" s="41" t="s">
        <v>163</v>
      </c>
      <c r="D282" s="40" t="s">
        <v>164</v>
      </c>
      <c r="E282" s="24">
        <v>15000000</v>
      </c>
      <c r="F282" s="39">
        <v>44153</v>
      </c>
      <c r="G282" s="24">
        <v>14869565</v>
      </c>
      <c r="H282" s="23">
        <v>5.0000000000000001E-3</v>
      </c>
      <c r="I282" s="39">
        <v>44197</v>
      </c>
      <c r="J282" s="39">
        <v>44210</v>
      </c>
      <c r="K282" s="24">
        <f t="shared" si="10"/>
        <v>14</v>
      </c>
      <c r="L282" s="24">
        <f t="shared" si="11"/>
        <v>2852</v>
      </c>
      <c r="M282" s="24">
        <v>14739130</v>
      </c>
    </row>
    <row r="283" spans="1:13" s="48" customFormat="1" outlineLevel="2">
      <c r="A283" s="39" t="s">
        <v>142</v>
      </c>
      <c r="B283" s="40" t="s">
        <v>205</v>
      </c>
      <c r="C283" s="41" t="s">
        <v>163</v>
      </c>
      <c r="D283" s="40"/>
      <c r="E283" s="24"/>
      <c r="F283" s="39"/>
      <c r="G283" s="24">
        <v>14739130</v>
      </c>
      <c r="H283" s="23">
        <v>5.0000000000000001E-3</v>
      </c>
      <c r="I283" s="39">
        <v>44211</v>
      </c>
      <c r="J283" s="39">
        <v>44227</v>
      </c>
      <c r="K283" s="24">
        <f t="shared" si="10"/>
        <v>17</v>
      </c>
      <c r="L283" s="24">
        <f t="shared" si="11"/>
        <v>3432</v>
      </c>
      <c r="M283" s="24"/>
    </row>
    <row r="284" spans="1:13" s="48" customFormat="1" outlineLevel="2">
      <c r="A284" s="39" t="s">
        <v>142</v>
      </c>
      <c r="B284" s="40" t="s">
        <v>65</v>
      </c>
      <c r="C284" s="41" t="s">
        <v>117</v>
      </c>
      <c r="D284" s="40" t="s">
        <v>118</v>
      </c>
      <c r="E284" s="24">
        <v>30000000</v>
      </c>
      <c r="F284" s="39">
        <v>43906</v>
      </c>
      <c r="G284" s="24">
        <v>30000000</v>
      </c>
      <c r="H284" s="23">
        <v>5.0000000000000001E-3</v>
      </c>
      <c r="I284" s="39">
        <v>44197</v>
      </c>
      <c r="J284" s="39">
        <v>44227</v>
      </c>
      <c r="K284" s="24">
        <f t="shared" si="10"/>
        <v>31</v>
      </c>
      <c r="L284" s="24">
        <f t="shared" si="11"/>
        <v>12740</v>
      </c>
      <c r="M284" s="24">
        <v>30000000</v>
      </c>
    </row>
    <row r="285" spans="1:13" s="48" customFormat="1" outlineLevel="2">
      <c r="A285" s="39" t="s">
        <v>142</v>
      </c>
      <c r="B285" s="40" t="s">
        <v>206</v>
      </c>
      <c r="C285" s="41" t="s">
        <v>87</v>
      </c>
      <c r="D285" s="40" t="s">
        <v>88</v>
      </c>
      <c r="E285" s="24">
        <v>13481921</v>
      </c>
      <c r="F285" s="39">
        <v>44158</v>
      </c>
      <c r="G285" s="24">
        <v>13481921</v>
      </c>
      <c r="H285" s="23">
        <v>5.0000000000000001E-3</v>
      </c>
      <c r="I285" s="39">
        <v>44197</v>
      </c>
      <c r="J285" s="39">
        <v>44227</v>
      </c>
      <c r="K285" s="24">
        <f t="shared" si="10"/>
        <v>31</v>
      </c>
      <c r="L285" s="24">
        <f t="shared" si="11"/>
        <v>5725</v>
      </c>
      <c r="M285" s="24">
        <v>13481921</v>
      </c>
    </row>
    <row r="286" spans="1:13" s="48" customFormat="1" outlineLevel="2">
      <c r="A286" s="39" t="s">
        <v>142</v>
      </c>
      <c r="B286" s="40" t="s">
        <v>207</v>
      </c>
      <c r="C286" s="41" t="s">
        <v>85</v>
      </c>
      <c r="D286" s="40" t="s">
        <v>86</v>
      </c>
      <c r="E286" s="24">
        <v>2682500</v>
      </c>
      <c r="F286" s="39">
        <v>44165</v>
      </c>
      <c r="G286" s="24">
        <v>2682500</v>
      </c>
      <c r="H286" s="23">
        <v>5.0000000000000001E-3</v>
      </c>
      <c r="I286" s="39">
        <v>44197</v>
      </c>
      <c r="J286" s="39">
        <v>44227</v>
      </c>
      <c r="K286" s="24">
        <f t="shared" si="10"/>
        <v>31</v>
      </c>
      <c r="L286" s="24">
        <f t="shared" si="11"/>
        <v>1139</v>
      </c>
      <c r="M286" s="24">
        <v>2682500</v>
      </c>
    </row>
    <row r="287" spans="1:13" s="48" customFormat="1" outlineLevel="2">
      <c r="A287" s="39" t="s">
        <v>142</v>
      </c>
      <c r="B287" s="40" t="s">
        <v>208</v>
      </c>
      <c r="C287" s="41" t="s">
        <v>85</v>
      </c>
      <c r="D287" s="40" t="s">
        <v>86</v>
      </c>
      <c r="E287" s="24">
        <v>8047500</v>
      </c>
      <c r="F287" s="39">
        <v>44165</v>
      </c>
      <c r="G287" s="24">
        <v>8047500</v>
      </c>
      <c r="H287" s="23">
        <v>5.0000000000000001E-3</v>
      </c>
      <c r="I287" s="39">
        <v>44197</v>
      </c>
      <c r="J287" s="39">
        <v>44227</v>
      </c>
      <c r="K287" s="24">
        <f t="shared" si="10"/>
        <v>31</v>
      </c>
      <c r="L287" s="24">
        <f t="shared" si="11"/>
        <v>3417</v>
      </c>
      <c r="M287" s="24">
        <v>8047500</v>
      </c>
    </row>
    <row r="288" spans="1:13" s="48" customFormat="1" outlineLevel="2">
      <c r="A288" s="39" t="s">
        <v>142</v>
      </c>
      <c r="B288" s="40" t="s">
        <v>209</v>
      </c>
      <c r="C288" s="41" t="s">
        <v>146</v>
      </c>
      <c r="D288" s="40" t="s">
        <v>147</v>
      </c>
      <c r="E288" s="24">
        <v>15600000</v>
      </c>
      <c r="F288" s="39">
        <v>44168</v>
      </c>
      <c r="G288" s="24">
        <v>15600000</v>
      </c>
      <c r="H288" s="23">
        <v>5.0000000000000001E-3</v>
      </c>
      <c r="I288" s="39">
        <v>44197</v>
      </c>
      <c r="J288" s="39">
        <v>44227</v>
      </c>
      <c r="K288" s="24">
        <f t="shared" si="10"/>
        <v>31</v>
      </c>
      <c r="L288" s="24">
        <f t="shared" si="11"/>
        <v>6625</v>
      </c>
      <c r="M288" s="24">
        <v>15600000</v>
      </c>
    </row>
    <row r="289" spans="1:13" s="48" customFormat="1" outlineLevel="2">
      <c r="A289" s="39" t="s">
        <v>142</v>
      </c>
      <c r="B289" s="40" t="s">
        <v>210</v>
      </c>
      <c r="C289" s="41" t="s">
        <v>146</v>
      </c>
      <c r="D289" s="40" t="s">
        <v>147</v>
      </c>
      <c r="E289" s="24">
        <v>4400000</v>
      </c>
      <c r="F289" s="39">
        <v>44173</v>
      </c>
      <c r="G289" s="24">
        <v>4400000</v>
      </c>
      <c r="H289" s="23">
        <v>5.0000000000000001E-3</v>
      </c>
      <c r="I289" s="39">
        <v>44197</v>
      </c>
      <c r="J289" s="39">
        <v>44227</v>
      </c>
      <c r="K289" s="24">
        <f t="shared" si="10"/>
        <v>31</v>
      </c>
      <c r="L289" s="24">
        <f t="shared" si="11"/>
        <v>1868</v>
      </c>
      <c r="M289" s="24">
        <v>4400000</v>
      </c>
    </row>
    <row r="290" spans="1:13" s="48" customFormat="1" outlineLevel="2">
      <c r="A290" s="39" t="s">
        <v>142</v>
      </c>
      <c r="B290" s="40" t="s">
        <v>211</v>
      </c>
      <c r="C290" s="41" t="s">
        <v>187</v>
      </c>
      <c r="D290" s="40" t="s">
        <v>188</v>
      </c>
      <c r="E290" s="24">
        <v>88900000</v>
      </c>
      <c r="F290" s="39">
        <v>44169</v>
      </c>
      <c r="G290" s="24">
        <v>88900000</v>
      </c>
      <c r="H290" s="23">
        <v>5.0000000000000001E-3</v>
      </c>
      <c r="I290" s="39">
        <v>44197</v>
      </c>
      <c r="J290" s="39">
        <v>44227</v>
      </c>
      <c r="K290" s="24">
        <f t="shared" si="10"/>
        <v>31</v>
      </c>
      <c r="L290" s="24">
        <f t="shared" si="11"/>
        <v>37752</v>
      </c>
      <c r="M290" s="24">
        <v>88900000</v>
      </c>
    </row>
    <row r="291" spans="1:13" s="48" customFormat="1" outlineLevel="2">
      <c r="A291" s="39" t="s">
        <v>142</v>
      </c>
      <c r="B291" s="40" t="s">
        <v>212</v>
      </c>
      <c r="C291" s="41" t="s">
        <v>163</v>
      </c>
      <c r="D291" s="40" t="s">
        <v>164</v>
      </c>
      <c r="E291" s="24">
        <v>7300000</v>
      </c>
      <c r="F291" s="39">
        <v>44173</v>
      </c>
      <c r="G291" s="24">
        <v>7300000</v>
      </c>
      <c r="H291" s="23">
        <v>5.0000000000000001E-3</v>
      </c>
      <c r="I291" s="39">
        <v>44197</v>
      </c>
      <c r="J291" s="39">
        <v>44210</v>
      </c>
      <c r="K291" s="24">
        <f t="shared" si="10"/>
        <v>14</v>
      </c>
      <c r="L291" s="24">
        <f t="shared" si="11"/>
        <v>1400</v>
      </c>
      <c r="M291" s="24">
        <v>7235965</v>
      </c>
    </row>
    <row r="292" spans="1:13" s="48" customFormat="1" outlineLevel="2">
      <c r="A292" s="39" t="s">
        <v>142</v>
      </c>
      <c r="B292" s="40" t="s">
        <v>212</v>
      </c>
      <c r="C292" s="41" t="s">
        <v>163</v>
      </c>
      <c r="D292" s="40"/>
      <c r="E292" s="24"/>
      <c r="F292" s="39"/>
      <c r="G292" s="24">
        <v>7235965</v>
      </c>
      <c r="H292" s="23">
        <v>5.0000000000000001E-3</v>
      </c>
      <c r="I292" s="39">
        <v>44211</v>
      </c>
      <c r="J292" s="39">
        <v>44227</v>
      </c>
      <c r="K292" s="24">
        <f t="shared" si="10"/>
        <v>17</v>
      </c>
      <c r="L292" s="24">
        <f t="shared" si="11"/>
        <v>1685</v>
      </c>
      <c r="M292" s="24"/>
    </row>
    <row r="293" spans="1:13" s="48" customFormat="1" outlineLevel="2">
      <c r="A293" s="39" t="s">
        <v>142</v>
      </c>
      <c r="B293" s="40" t="s">
        <v>213</v>
      </c>
      <c r="C293" s="41" t="s">
        <v>149</v>
      </c>
      <c r="D293" s="40" t="s">
        <v>150</v>
      </c>
      <c r="E293" s="24">
        <v>2184000</v>
      </c>
      <c r="F293" s="39">
        <v>44174</v>
      </c>
      <c r="G293" s="24">
        <v>2184000</v>
      </c>
      <c r="H293" s="23">
        <v>5.0000000000000001E-3</v>
      </c>
      <c r="I293" s="39">
        <v>44197</v>
      </c>
      <c r="J293" s="39">
        <v>44227</v>
      </c>
      <c r="K293" s="24">
        <f t="shared" si="10"/>
        <v>31</v>
      </c>
      <c r="L293" s="24">
        <f t="shared" si="11"/>
        <v>927</v>
      </c>
      <c r="M293" s="24">
        <v>2184000</v>
      </c>
    </row>
    <row r="294" spans="1:13" s="48" customFormat="1" outlineLevel="2">
      <c r="A294" s="39" t="s">
        <v>142</v>
      </c>
      <c r="B294" s="40" t="s">
        <v>214</v>
      </c>
      <c r="C294" s="41" t="s">
        <v>149</v>
      </c>
      <c r="D294" s="40" t="s">
        <v>150</v>
      </c>
      <c r="E294" s="24">
        <v>20764000</v>
      </c>
      <c r="F294" s="39">
        <v>44176</v>
      </c>
      <c r="G294" s="24">
        <v>20764000</v>
      </c>
      <c r="H294" s="23">
        <v>5.0000000000000001E-3</v>
      </c>
      <c r="I294" s="39">
        <v>44197</v>
      </c>
      <c r="J294" s="39">
        <v>44227</v>
      </c>
      <c r="K294" s="24">
        <f t="shared" si="10"/>
        <v>31</v>
      </c>
      <c r="L294" s="24">
        <f t="shared" si="11"/>
        <v>8818</v>
      </c>
      <c r="M294" s="24">
        <v>20764000</v>
      </c>
    </row>
    <row r="295" spans="1:13" s="48" customFormat="1" outlineLevel="2">
      <c r="A295" s="39" t="s">
        <v>142</v>
      </c>
      <c r="B295" s="40" t="s">
        <v>215</v>
      </c>
      <c r="C295" s="41" t="s">
        <v>149</v>
      </c>
      <c r="D295" s="40" t="s">
        <v>150</v>
      </c>
      <c r="E295" s="24">
        <v>2423030</v>
      </c>
      <c r="F295" s="39">
        <v>44190</v>
      </c>
      <c r="G295" s="24">
        <v>2423030</v>
      </c>
      <c r="H295" s="23">
        <v>5.0000000000000001E-3</v>
      </c>
      <c r="I295" s="39">
        <v>44197</v>
      </c>
      <c r="J295" s="39">
        <v>44227</v>
      </c>
      <c r="K295" s="24">
        <f t="shared" si="10"/>
        <v>31</v>
      </c>
      <c r="L295" s="24">
        <f t="shared" si="11"/>
        <v>1029</v>
      </c>
      <c r="M295" s="24">
        <v>2423030</v>
      </c>
    </row>
    <row r="296" spans="1:13" s="48" customFormat="1" outlineLevel="2">
      <c r="A296" s="39" t="s">
        <v>142</v>
      </c>
      <c r="B296" s="40" t="s">
        <v>68</v>
      </c>
      <c r="C296" s="41" t="s">
        <v>117</v>
      </c>
      <c r="D296" s="40" t="s">
        <v>118</v>
      </c>
      <c r="E296" s="24">
        <v>50000000</v>
      </c>
      <c r="F296" s="39">
        <v>43908</v>
      </c>
      <c r="G296" s="24">
        <v>50000000</v>
      </c>
      <c r="H296" s="23">
        <v>5.0000000000000001E-3</v>
      </c>
      <c r="I296" s="39">
        <v>44197</v>
      </c>
      <c r="J296" s="39">
        <v>44227</v>
      </c>
      <c r="K296" s="24">
        <f t="shared" si="10"/>
        <v>31</v>
      </c>
      <c r="L296" s="24">
        <f t="shared" si="11"/>
        <v>21233</v>
      </c>
      <c r="M296" s="24">
        <v>50000000</v>
      </c>
    </row>
    <row r="297" spans="1:13" s="48" customFormat="1" outlineLevel="2">
      <c r="A297" s="39" t="s">
        <v>142</v>
      </c>
      <c r="B297" s="40" t="s">
        <v>216</v>
      </c>
      <c r="C297" s="41" t="s">
        <v>149</v>
      </c>
      <c r="D297" s="40" t="s">
        <v>150</v>
      </c>
      <c r="E297" s="24">
        <v>5653738</v>
      </c>
      <c r="F297" s="39">
        <v>44196</v>
      </c>
      <c r="G297" s="24">
        <v>5653738</v>
      </c>
      <c r="H297" s="23">
        <v>5.0000000000000001E-3</v>
      </c>
      <c r="I297" s="39">
        <v>44197</v>
      </c>
      <c r="J297" s="39">
        <v>44227</v>
      </c>
      <c r="K297" s="24">
        <f t="shared" si="10"/>
        <v>31</v>
      </c>
      <c r="L297" s="24">
        <f t="shared" si="11"/>
        <v>2401</v>
      </c>
      <c r="M297" s="24">
        <v>5653738</v>
      </c>
    </row>
    <row r="298" spans="1:13" s="48" customFormat="1" outlineLevel="2">
      <c r="A298" s="39" t="s">
        <v>142</v>
      </c>
      <c r="B298" s="40" t="s">
        <v>217</v>
      </c>
      <c r="C298" s="41" t="s">
        <v>155</v>
      </c>
      <c r="D298" s="40" t="s">
        <v>156</v>
      </c>
      <c r="E298" s="24">
        <v>200000000</v>
      </c>
      <c r="F298" s="39">
        <v>44190</v>
      </c>
      <c r="G298" s="24">
        <v>200000000</v>
      </c>
      <c r="H298" s="23">
        <v>5.0000000000000001E-3</v>
      </c>
      <c r="I298" s="39">
        <v>44197</v>
      </c>
      <c r="J298" s="39">
        <v>44227</v>
      </c>
      <c r="K298" s="24">
        <f t="shared" si="10"/>
        <v>31</v>
      </c>
      <c r="L298" s="24">
        <f t="shared" si="11"/>
        <v>84932</v>
      </c>
      <c r="M298" s="24">
        <v>200000000</v>
      </c>
    </row>
    <row r="299" spans="1:13" s="48" customFormat="1" outlineLevel="2">
      <c r="A299" s="39" t="s">
        <v>142</v>
      </c>
      <c r="B299" s="40" t="s">
        <v>218</v>
      </c>
      <c r="C299" s="41" t="s">
        <v>219</v>
      </c>
      <c r="D299" s="40" t="s">
        <v>220</v>
      </c>
      <c r="E299" s="24">
        <v>14160000</v>
      </c>
      <c r="F299" s="39">
        <v>44190</v>
      </c>
      <c r="G299" s="24">
        <v>14160000</v>
      </c>
      <c r="H299" s="23">
        <v>5.0000000000000001E-3</v>
      </c>
      <c r="I299" s="39">
        <v>44197</v>
      </c>
      <c r="J299" s="39">
        <v>44227</v>
      </c>
      <c r="K299" s="24">
        <f t="shared" si="10"/>
        <v>31</v>
      </c>
      <c r="L299" s="24">
        <f t="shared" si="11"/>
        <v>6013</v>
      </c>
      <c r="M299" s="24">
        <v>14160000</v>
      </c>
    </row>
    <row r="300" spans="1:13" s="48" customFormat="1" outlineLevel="2">
      <c r="A300" s="39" t="s">
        <v>142</v>
      </c>
      <c r="B300" s="40" t="s">
        <v>221</v>
      </c>
      <c r="C300" s="41" t="s">
        <v>87</v>
      </c>
      <c r="D300" s="40" t="s">
        <v>88</v>
      </c>
      <c r="E300" s="24">
        <v>13481921</v>
      </c>
      <c r="F300" s="39">
        <v>44190</v>
      </c>
      <c r="G300" s="24">
        <v>13481921</v>
      </c>
      <c r="H300" s="23">
        <v>5.0000000000000001E-3</v>
      </c>
      <c r="I300" s="39">
        <v>44197</v>
      </c>
      <c r="J300" s="39">
        <v>44227</v>
      </c>
      <c r="K300" s="24">
        <f t="shared" si="10"/>
        <v>31</v>
      </c>
      <c r="L300" s="24">
        <f t="shared" si="11"/>
        <v>5725</v>
      </c>
      <c r="M300" s="24">
        <v>13481921</v>
      </c>
    </row>
    <row r="301" spans="1:13" s="48" customFormat="1" outlineLevel="2">
      <c r="A301" s="39" t="s">
        <v>142</v>
      </c>
      <c r="B301" s="40" t="s">
        <v>222</v>
      </c>
      <c r="C301" s="41" t="s">
        <v>143</v>
      </c>
      <c r="D301" s="40" t="s">
        <v>144</v>
      </c>
      <c r="E301" s="24">
        <v>1800000</v>
      </c>
      <c r="F301" s="39">
        <v>44190</v>
      </c>
      <c r="G301" s="24">
        <v>1800000</v>
      </c>
      <c r="H301" s="23">
        <v>5.0000000000000001E-3</v>
      </c>
      <c r="I301" s="39">
        <v>44197</v>
      </c>
      <c r="J301" s="39">
        <v>44227</v>
      </c>
      <c r="K301" s="24">
        <f t="shared" si="10"/>
        <v>31</v>
      </c>
      <c r="L301" s="24">
        <f t="shared" si="11"/>
        <v>764</v>
      </c>
      <c r="M301" s="24">
        <v>1800000</v>
      </c>
    </row>
    <row r="302" spans="1:13" s="48" customFormat="1" outlineLevel="2">
      <c r="A302" s="39" t="s">
        <v>142</v>
      </c>
      <c r="B302" s="40" t="s">
        <v>223</v>
      </c>
      <c r="C302" s="41" t="s">
        <v>143</v>
      </c>
      <c r="D302" s="40" t="s">
        <v>144</v>
      </c>
      <c r="E302" s="24">
        <v>8300000</v>
      </c>
      <c r="F302" s="39">
        <v>44196</v>
      </c>
      <c r="G302" s="24">
        <v>8300000</v>
      </c>
      <c r="H302" s="23">
        <v>5.0000000000000001E-3</v>
      </c>
      <c r="I302" s="39">
        <v>44197</v>
      </c>
      <c r="J302" s="39">
        <v>44227</v>
      </c>
      <c r="K302" s="24">
        <f t="shared" si="10"/>
        <v>31</v>
      </c>
      <c r="L302" s="24">
        <f t="shared" si="11"/>
        <v>3525</v>
      </c>
      <c r="M302" s="24">
        <v>8300000</v>
      </c>
    </row>
    <row r="303" spans="1:13" s="48" customFormat="1" outlineLevel="2">
      <c r="A303" s="39" t="s">
        <v>142</v>
      </c>
      <c r="B303" s="40" t="s">
        <v>224</v>
      </c>
      <c r="C303" s="41" t="s">
        <v>165</v>
      </c>
      <c r="D303" s="40" t="s">
        <v>166</v>
      </c>
      <c r="E303" s="24">
        <v>39740000</v>
      </c>
      <c r="F303" s="39">
        <v>44195</v>
      </c>
      <c r="G303" s="24">
        <v>39740000</v>
      </c>
      <c r="H303" s="23">
        <v>5.0000000000000001E-3</v>
      </c>
      <c r="I303" s="39">
        <v>44197</v>
      </c>
      <c r="J303" s="39">
        <v>44227</v>
      </c>
      <c r="K303" s="24">
        <f t="shared" si="10"/>
        <v>31</v>
      </c>
      <c r="L303" s="24">
        <f t="shared" si="11"/>
        <v>16876</v>
      </c>
      <c r="M303" s="24">
        <v>39740000</v>
      </c>
    </row>
    <row r="304" spans="1:13" s="48" customFormat="1" outlineLevel="2">
      <c r="A304" s="39" t="s">
        <v>142</v>
      </c>
      <c r="B304" s="40" t="s">
        <v>225</v>
      </c>
      <c r="C304" s="41" t="s">
        <v>85</v>
      </c>
      <c r="D304" s="40" t="s">
        <v>86</v>
      </c>
      <c r="E304" s="24">
        <v>4842500</v>
      </c>
      <c r="F304" s="39">
        <v>44202</v>
      </c>
      <c r="G304" s="24">
        <v>4842500</v>
      </c>
      <c r="H304" s="23">
        <v>5.0000000000000001E-3</v>
      </c>
      <c r="I304" s="39">
        <v>44202</v>
      </c>
      <c r="J304" s="39">
        <v>44227</v>
      </c>
      <c r="K304" s="24">
        <f t="shared" si="10"/>
        <v>26</v>
      </c>
      <c r="L304" s="24">
        <f t="shared" si="11"/>
        <v>1725</v>
      </c>
      <c r="M304" s="24">
        <v>4842500</v>
      </c>
    </row>
    <row r="305" spans="1:13" s="48" customFormat="1" outlineLevel="2">
      <c r="A305" s="39" t="s">
        <v>142</v>
      </c>
      <c r="B305" s="40" t="s">
        <v>226</v>
      </c>
      <c r="C305" s="41" t="s">
        <v>85</v>
      </c>
      <c r="D305" s="40" t="s">
        <v>86</v>
      </c>
      <c r="E305" s="24">
        <v>14527500</v>
      </c>
      <c r="F305" s="39">
        <v>44202</v>
      </c>
      <c r="G305" s="24">
        <v>14527500</v>
      </c>
      <c r="H305" s="23">
        <v>5.0000000000000001E-3</v>
      </c>
      <c r="I305" s="39">
        <v>44202</v>
      </c>
      <c r="J305" s="39">
        <v>44227</v>
      </c>
      <c r="K305" s="24">
        <f t="shared" si="10"/>
        <v>26</v>
      </c>
      <c r="L305" s="24">
        <f t="shared" si="11"/>
        <v>5174</v>
      </c>
      <c r="M305" s="24">
        <v>14527500</v>
      </c>
    </row>
    <row r="306" spans="1:13" s="48" customFormat="1" outlineLevel="2">
      <c r="A306" s="39" t="s">
        <v>142</v>
      </c>
      <c r="B306" s="40" t="s">
        <v>227</v>
      </c>
      <c r="C306" s="41" t="s">
        <v>143</v>
      </c>
      <c r="D306" s="40" t="s">
        <v>144</v>
      </c>
      <c r="E306" s="24">
        <v>4600000</v>
      </c>
      <c r="F306" s="39">
        <v>44204</v>
      </c>
      <c r="G306" s="24">
        <v>4600000</v>
      </c>
      <c r="H306" s="23">
        <v>5.0000000000000001E-3</v>
      </c>
      <c r="I306" s="39">
        <v>44204</v>
      </c>
      <c r="J306" s="39">
        <v>44227</v>
      </c>
      <c r="K306" s="24">
        <f t="shared" si="10"/>
        <v>24</v>
      </c>
      <c r="L306" s="24">
        <f t="shared" si="11"/>
        <v>1512</v>
      </c>
      <c r="M306" s="24">
        <v>4600000</v>
      </c>
    </row>
    <row r="307" spans="1:13" s="48" customFormat="1" outlineLevel="1">
      <c r="A307" s="42" t="s">
        <v>228</v>
      </c>
      <c r="B307" s="43"/>
      <c r="C307" s="44"/>
      <c r="D307" s="43"/>
      <c r="E307" s="45">
        <f>SUBTOTAL(9,E195:E306)</f>
        <v>3693108803</v>
      </c>
      <c r="F307" s="46"/>
      <c r="G307" s="45"/>
      <c r="H307" s="47"/>
      <c r="I307" s="46"/>
      <c r="J307" s="46"/>
      <c r="K307" s="45"/>
      <c r="L307" s="45">
        <f>SUBTOTAL(9,L195:L306)</f>
        <v>1479580</v>
      </c>
      <c r="M307" s="45">
        <f>SUBTOTAL(9,M195:M306)</f>
        <v>3688929071</v>
      </c>
    </row>
    <row r="308" spans="1:13" s="48" customFormat="1" outlineLevel="2">
      <c r="A308" s="39" t="s">
        <v>229</v>
      </c>
      <c r="B308" s="40" t="s">
        <v>16</v>
      </c>
      <c r="C308" s="41" t="s">
        <v>117</v>
      </c>
      <c r="D308" s="40" t="s">
        <v>118</v>
      </c>
      <c r="E308" s="24">
        <v>1210000</v>
      </c>
      <c r="F308" s="39">
        <v>44061</v>
      </c>
      <c r="G308" s="24">
        <v>1210000</v>
      </c>
      <c r="H308" s="23">
        <v>5.0000000000000001E-3</v>
      </c>
      <c r="I308" s="39">
        <v>44197</v>
      </c>
      <c r="J308" s="39">
        <v>44227</v>
      </c>
      <c r="K308" s="24">
        <f>J308-I308+1</f>
        <v>31</v>
      </c>
      <c r="L308" s="24">
        <f>ROUND(G308*H308*K308/365,0)</f>
        <v>514</v>
      </c>
      <c r="M308" s="24">
        <v>1210000</v>
      </c>
    </row>
    <row r="309" spans="1:13" s="48" customFormat="1" outlineLevel="1">
      <c r="A309" s="42" t="s">
        <v>230</v>
      </c>
      <c r="B309" s="43"/>
      <c r="C309" s="44"/>
      <c r="D309" s="43"/>
      <c r="E309" s="45">
        <f>SUBTOTAL(9,E308:E308)</f>
        <v>1210000</v>
      </c>
      <c r="F309" s="46"/>
      <c r="G309" s="45"/>
      <c r="H309" s="47"/>
      <c r="I309" s="46"/>
      <c r="J309" s="46"/>
      <c r="K309" s="45"/>
      <c r="L309" s="45">
        <f>SUBTOTAL(9,L308:L308)</f>
        <v>514</v>
      </c>
      <c r="M309" s="45">
        <f>SUBTOTAL(9,M308:M308)</f>
        <v>1210000</v>
      </c>
    </row>
    <row r="310" spans="1:13" s="48" customFormat="1" outlineLevel="2">
      <c r="A310" s="39" t="s">
        <v>231</v>
      </c>
      <c r="B310" s="40" t="s">
        <v>16</v>
      </c>
      <c r="C310" s="41" t="s">
        <v>17</v>
      </c>
      <c r="D310" s="40" t="s">
        <v>18</v>
      </c>
      <c r="E310" s="24">
        <v>150000000</v>
      </c>
      <c r="F310" s="39">
        <v>43829</v>
      </c>
      <c r="G310" s="24">
        <v>120000000</v>
      </c>
      <c r="H310" s="23">
        <v>5.0000000000000001E-3</v>
      </c>
      <c r="I310" s="39">
        <v>44197</v>
      </c>
      <c r="J310" s="39">
        <v>44210</v>
      </c>
      <c r="K310" s="24">
        <f t="shared" ref="K310:K334" si="12">J310-I310+1</f>
        <v>14</v>
      </c>
      <c r="L310" s="24">
        <f t="shared" ref="L310:L334" si="13">ROUND(G310*H310*K310/365,0)</f>
        <v>23014</v>
      </c>
      <c r="M310" s="24">
        <v>117500000</v>
      </c>
    </row>
    <row r="311" spans="1:13" s="48" customFormat="1" outlineLevel="2">
      <c r="A311" s="39" t="s">
        <v>231</v>
      </c>
      <c r="B311" s="40" t="s">
        <v>16</v>
      </c>
      <c r="C311" s="41" t="s">
        <v>17</v>
      </c>
      <c r="D311" s="40"/>
      <c r="E311" s="24"/>
      <c r="F311" s="39"/>
      <c r="G311" s="24">
        <v>117500000</v>
      </c>
      <c r="H311" s="23">
        <v>5.0000000000000001E-3</v>
      </c>
      <c r="I311" s="39">
        <v>44211</v>
      </c>
      <c r="J311" s="39">
        <v>44227</v>
      </c>
      <c r="K311" s="24">
        <f t="shared" si="12"/>
        <v>17</v>
      </c>
      <c r="L311" s="24">
        <f t="shared" si="13"/>
        <v>27363</v>
      </c>
      <c r="M311" s="24"/>
    </row>
    <row r="312" spans="1:13" s="48" customFormat="1" outlineLevel="2">
      <c r="A312" s="39" t="s">
        <v>231</v>
      </c>
      <c r="B312" s="40" t="s">
        <v>19</v>
      </c>
      <c r="C312" s="41" t="s">
        <v>17</v>
      </c>
      <c r="D312" s="40" t="s">
        <v>18</v>
      </c>
      <c r="E312" s="24">
        <v>9460000</v>
      </c>
      <c r="F312" s="39">
        <v>43990</v>
      </c>
      <c r="G312" s="24">
        <v>8256000</v>
      </c>
      <c r="H312" s="23">
        <v>5.0000000000000001E-3</v>
      </c>
      <c r="I312" s="39">
        <v>44197</v>
      </c>
      <c r="J312" s="39">
        <v>44210</v>
      </c>
      <c r="K312" s="24">
        <f t="shared" si="12"/>
        <v>14</v>
      </c>
      <c r="L312" s="24">
        <f t="shared" si="13"/>
        <v>1583</v>
      </c>
      <c r="M312" s="24">
        <v>8084000</v>
      </c>
    </row>
    <row r="313" spans="1:13" s="48" customFormat="1" outlineLevel="2">
      <c r="A313" s="39" t="s">
        <v>231</v>
      </c>
      <c r="B313" s="40" t="s">
        <v>19</v>
      </c>
      <c r="C313" s="41" t="s">
        <v>17</v>
      </c>
      <c r="D313" s="40"/>
      <c r="E313" s="24"/>
      <c r="F313" s="39"/>
      <c r="G313" s="24">
        <v>8084000</v>
      </c>
      <c r="H313" s="23">
        <v>5.0000000000000001E-3</v>
      </c>
      <c r="I313" s="39">
        <v>44211</v>
      </c>
      <c r="J313" s="39">
        <v>44227</v>
      </c>
      <c r="K313" s="24">
        <f t="shared" si="12"/>
        <v>17</v>
      </c>
      <c r="L313" s="24">
        <f t="shared" si="13"/>
        <v>1883</v>
      </c>
      <c r="M313" s="24"/>
    </row>
    <row r="314" spans="1:13" s="48" customFormat="1" outlineLevel="2">
      <c r="A314" s="39" t="s">
        <v>231</v>
      </c>
      <c r="B314" s="40" t="s">
        <v>22</v>
      </c>
      <c r="C314" s="41" t="s">
        <v>45</v>
      </c>
      <c r="D314" s="40" t="s">
        <v>46</v>
      </c>
      <c r="E314" s="24">
        <v>5000000</v>
      </c>
      <c r="F314" s="39">
        <v>44046</v>
      </c>
      <c r="G314" s="24">
        <v>5000000</v>
      </c>
      <c r="H314" s="23">
        <v>5.0000000000000001E-3</v>
      </c>
      <c r="I314" s="39">
        <v>44197</v>
      </c>
      <c r="J314" s="39">
        <v>44227</v>
      </c>
      <c r="K314" s="24">
        <f t="shared" si="12"/>
        <v>31</v>
      </c>
      <c r="L314" s="24">
        <f t="shared" si="13"/>
        <v>2123</v>
      </c>
      <c r="M314" s="24">
        <v>5000000</v>
      </c>
    </row>
    <row r="315" spans="1:13" s="48" customFormat="1" outlineLevel="2">
      <c r="A315" s="39" t="s">
        <v>231</v>
      </c>
      <c r="B315" s="40" t="s">
        <v>25</v>
      </c>
      <c r="C315" s="41" t="s">
        <v>143</v>
      </c>
      <c r="D315" s="40" t="s">
        <v>144</v>
      </c>
      <c r="E315" s="24">
        <v>20000000</v>
      </c>
      <c r="F315" s="39">
        <v>44155</v>
      </c>
      <c r="G315" s="24">
        <v>20000000</v>
      </c>
      <c r="H315" s="23">
        <v>5.0000000000000001E-3</v>
      </c>
      <c r="I315" s="39">
        <v>44197</v>
      </c>
      <c r="J315" s="39">
        <v>44227</v>
      </c>
      <c r="K315" s="24">
        <f t="shared" si="12"/>
        <v>31</v>
      </c>
      <c r="L315" s="24">
        <f t="shared" si="13"/>
        <v>8493</v>
      </c>
      <c r="M315" s="24">
        <v>20000000</v>
      </c>
    </row>
    <row r="316" spans="1:13" s="48" customFormat="1" outlineLevel="2">
      <c r="A316" s="39" t="s">
        <v>231</v>
      </c>
      <c r="B316" s="40" t="s">
        <v>26</v>
      </c>
      <c r="C316" s="41" t="s">
        <v>232</v>
      </c>
      <c r="D316" s="40" t="s">
        <v>233</v>
      </c>
      <c r="E316" s="24">
        <v>125000000</v>
      </c>
      <c r="F316" s="39">
        <v>44193</v>
      </c>
      <c r="G316" s="24">
        <v>125000000</v>
      </c>
      <c r="H316" s="23">
        <v>5.0000000000000001E-3</v>
      </c>
      <c r="I316" s="39">
        <v>44197</v>
      </c>
      <c r="J316" s="39">
        <v>44227</v>
      </c>
      <c r="K316" s="24">
        <f t="shared" si="12"/>
        <v>31</v>
      </c>
      <c r="L316" s="24">
        <f t="shared" si="13"/>
        <v>53082</v>
      </c>
      <c r="M316" s="24">
        <v>125000000</v>
      </c>
    </row>
    <row r="317" spans="1:13" s="48" customFormat="1" outlineLevel="2">
      <c r="A317" s="39" t="s">
        <v>231</v>
      </c>
      <c r="B317" s="40" t="s">
        <v>29</v>
      </c>
      <c r="C317" s="41" t="s">
        <v>143</v>
      </c>
      <c r="D317" s="40" t="s">
        <v>144</v>
      </c>
      <c r="E317" s="24">
        <v>20000000</v>
      </c>
      <c r="F317" s="39">
        <v>44194</v>
      </c>
      <c r="G317" s="24">
        <v>20000000</v>
      </c>
      <c r="H317" s="23">
        <v>5.0000000000000001E-3</v>
      </c>
      <c r="I317" s="39">
        <v>44197</v>
      </c>
      <c r="J317" s="39">
        <v>44227</v>
      </c>
      <c r="K317" s="24">
        <f t="shared" si="12"/>
        <v>31</v>
      </c>
      <c r="L317" s="24">
        <f t="shared" si="13"/>
        <v>8493</v>
      </c>
      <c r="M317" s="24">
        <v>20000000</v>
      </c>
    </row>
    <row r="318" spans="1:13" s="48" customFormat="1" outlineLevel="2">
      <c r="A318" s="39" t="s">
        <v>231</v>
      </c>
      <c r="B318" s="40" t="s">
        <v>32</v>
      </c>
      <c r="C318" s="41" t="s">
        <v>30</v>
      </c>
      <c r="D318" s="40" t="s">
        <v>31</v>
      </c>
      <c r="E318" s="24">
        <v>120000000</v>
      </c>
      <c r="F318" s="39">
        <v>44214</v>
      </c>
      <c r="G318" s="24">
        <v>120000000</v>
      </c>
      <c r="H318" s="23">
        <v>5.0000000000000001E-3</v>
      </c>
      <c r="I318" s="39">
        <v>44214</v>
      </c>
      <c r="J318" s="39">
        <v>44227</v>
      </c>
      <c r="K318" s="24">
        <f t="shared" si="12"/>
        <v>14</v>
      </c>
      <c r="L318" s="24">
        <f t="shared" si="13"/>
        <v>23014</v>
      </c>
      <c r="M318" s="24">
        <v>120000000</v>
      </c>
    </row>
    <row r="319" spans="1:13" s="48" customFormat="1" outlineLevel="2">
      <c r="A319" s="39" t="s">
        <v>231</v>
      </c>
      <c r="B319" s="40" t="s">
        <v>33</v>
      </c>
      <c r="C319" s="41" t="s">
        <v>143</v>
      </c>
      <c r="D319" s="40" t="s">
        <v>144</v>
      </c>
      <c r="E319" s="24">
        <v>20000000</v>
      </c>
      <c r="F319" s="39">
        <v>44225</v>
      </c>
      <c r="G319" s="24">
        <v>20000000</v>
      </c>
      <c r="H319" s="23">
        <v>5.0000000000000001E-3</v>
      </c>
      <c r="I319" s="39">
        <v>44225</v>
      </c>
      <c r="J319" s="39">
        <v>44227</v>
      </c>
      <c r="K319" s="24">
        <f t="shared" si="12"/>
        <v>3</v>
      </c>
      <c r="L319" s="24">
        <f t="shared" si="13"/>
        <v>822</v>
      </c>
      <c r="M319" s="24">
        <v>20000000</v>
      </c>
    </row>
    <row r="320" spans="1:13" s="48" customFormat="1" outlineLevel="2">
      <c r="A320" s="39" t="s">
        <v>231</v>
      </c>
      <c r="B320" s="40" t="s">
        <v>39</v>
      </c>
      <c r="C320" s="41" t="s">
        <v>17</v>
      </c>
      <c r="D320" s="40" t="s">
        <v>18</v>
      </c>
      <c r="E320" s="24">
        <v>32900000</v>
      </c>
      <c r="F320" s="39">
        <v>43829</v>
      </c>
      <c r="G320" s="24">
        <v>26320004</v>
      </c>
      <c r="H320" s="23">
        <v>5.0000000000000001E-3</v>
      </c>
      <c r="I320" s="39">
        <v>44197</v>
      </c>
      <c r="J320" s="39">
        <v>44210</v>
      </c>
      <c r="K320" s="24">
        <f t="shared" si="12"/>
        <v>14</v>
      </c>
      <c r="L320" s="24">
        <f t="shared" si="13"/>
        <v>5048</v>
      </c>
      <c r="M320" s="24">
        <v>25771671</v>
      </c>
    </row>
    <row r="321" spans="1:13" s="48" customFormat="1" outlineLevel="2">
      <c r="A321" s="39" t="s">
        <v>231</v>
      </c>
      <c r="B321" s="40" t="s">
        <v>39</v>
      </c>
      <c r="C321" s="41" t="s">
        <v>17</v>
      </c>
      <c r="D321" s="40"/>
      <c r="E321" s="24"/>
      <c r="F321" s="39"/>
      <c r="G321" s="24">
        <v>25771671</v>
      </c>
      <c r="H321" s="23">
        <v>5.0000000000000001E-3</v>
      </c>
      <c r="I321" s="39">
        <v>44211</v>
      </c>
      <c r="J321" s="39">
        <v>44227</v>
      </c>
      <c r="K321" s="24">
        <f t="shared" si="12"/>
        <v>17</v>
      </c>
      <c r="L321" s="24">
        <f t="shared" si="13"/>
        <v>6002</v>
      </c>
      <c r="M321" s="24"/>
    </row>
    <row r="322" spans="1:13" s="48" customFormat="1" outlineLevel="2">
      <c r="A322" s="39" t="s">
        <v>231</v>
      </c>
      <c r="B322" s="40" t="s">
        <v>54</v>
      </c>
      <c r="C322" s="41" t="s">
        <v>17</v>
      </c>
      <c r="D322" s="40" t="s">
        <v>18</v>
      </c>
      <c r="E322" s="24">
        <v>2790000</v>
      </c>
      <c r="F322" s="39">
        <v>43921</v>
      </c>
      <c r="G322" s="24">
        <v>2349477</v>
      </c>
      <c r="H322" s="23">
        <v>5.0000000000000001E-3</v>
      </c>
      <c r="I322" s="39">
        <v>44197</v>
      </c>
      <c r="J322" s="39">
        <v>44210</v>
      </c>
      <c r="K322" s="24">
        <f t="shared" si="12"/>
        <v>14</v>
      </c>
      <c r="L322" s="24">
        <f t="shared" si="13"/>
        <v>451</v>
      </c>
      <c r="M322" s="24">
        <v>2300530</v>
      </c>
    </row>
    <row r="323" spans="1:13" s="48" customFormat="1" outlineLevel="2">
      <c r="A323" s="39" t="s">
        <v>231</v>
      </c>
      <c r="B323" s="40" t="s">
        <v>54</v>
      </c>
      <c r="C323" s="41" t="s">
        <v>17</v>
      </c>
      <c r="D323" s="40"/>
      <c r="E323" s="24"/>
      <c r="F323" s="39"/>
      <c r="G323" s="24">
        <v>2300530</v>
      </c>
      <c r="H323" s="23">
        <v>5.0000000000000001E-3</v>
      </c>
      <c r="I323" s="39">
        <v>44211</v>
      </c>
      <c r="J323" s="39">
        <v>44227</v>
      </c>
      <c r="K323" s="24">
        <f t="shared" si="12"/>
        <v>17</v>
      </c>
      <c r="L323" s="24">
        <f t="shared" si="13"/>
        <v>536</v>
      </c>
      <c r="M323" s="24"/>
    </row>
    <row r="324" spans="1:13" s="48" customFormat="1" outlineLevel="2">
      <c r="A324" s="39" t="s">
        <v>231</v>
      </c>
      <c r="B324" s="40" t="s">
        <v>59</v>
      </c>
      <c r="C324" s="41" t="s">
        <v>55</v>
      </c>
      <c r="D324" s="40" t="s">
        <v>56</v>
      </c>
      <c r="E324" s="24">
        <v>12000000</v>
      </c>
      <c r="F324" s="39">
        <v>43948</v>
      </c>
      <c r="G324" s="24">
        <v>10400000</v>
      </c>
      <c r="H324" s="23">
        <v>5.0000000000000001E-3</v>
      </c>
      <c r="I324" s="39">
        <v>44197</v>
      </c>
      <c r="J324" s="39">
        <v>44210</v>
      </c>
      <c r="K324" s="24">
        <f t="shared" si="12"/>
        <v>14</v>
      </c>
      <c r="L324" s="24">
        <f t="shared" si="13"/>
        <v>1995</v>
      </c>
      <c r="M324" s="24">
        <v>10200000</v>
      </c>
    </row>
    <row r="325" spans="1:13" s="48" customFormat="1" outlineLevel="2">
      <c r="A325" s="39" t="s">
        <v>231</v>
      </c>
      <c r="B325" s="40" t="s">
        <v>59</v>
      </c>
      <c r="C325" s="41" t="s">
        <v>55</v>
      </c>
      <c r="D325" s="40"/>
      <c r="E325" s="24"/>
      <c r="F325" s="39"/>
      <c r="G325" s="24">
        <v>10200000</v>
      </c>
      <c r="H325" s="23">
        <v>5.0000000000000001E-3</v>
      </c>
      <c r="I325" s="39">
        <v>44211</v>
      </c>
      <c r="J325" s="39">
        <v>44227</v>
      </c>
      <c r="K325" s="24">
        <f t="shared" si="12"/>
        <v>17</v>
      </c>
      <c r="L325" s="24">
        <f t="shared" si="13"/>
        <v>2375</v>
      </c>
      <c r="M325" s="24"/>
    </row>
    <row r="326" spans="1:13" s="48" customFormat="1" outlineLevel="2">
      <c r="A326" s="39" t="s">
        <v>231</v>
      </c>
      <c r="B326" s="40" t="s">
        <v>62</v>
      </c>
      <c r="C326" s="41" t="s">
        <v>30</v>
      </c>
      <c r="D326" s="40" t="s">
        <v>31</v>
      </c>
      <c r="E326" s="24">
        <v>71750000</v>
      </c>
      <c r="F326" s="39">
        <v>43955</v>
      </c>
      <c r="G326" s="24">
        <v>71750000</v>
      </c>
      <c r="H326" s="23">
        <v>5.0000000000000001E-3</v>
      </c>
      <c r="I326" s="39">
        <v>44197</v>
      </c>
      <c r="J326" s="39">
        <v>44227</v>
      </c>
      <c r="K326" s="24">
        <f t="shared" si="12"/>
        <v>31</v>
      </c>
      <c r="L326" s="24">
        <f t="shared" si="13"/>
        <v>30469</v>
      </c>
      <c r="M326" s="24">
        <v>71750000</v>
      </c>
    </row>
    <row r="327" spans="1:13" s="48" customFormat="1" outlineLevel="2">
      <c r="A327" s="39" t="s">
        <v>231</v>
      </c>
      <c r="B327" s="40" t="s">
        <v>63</v>
      </c>
      <c r="C327" s="41" t="s">
        <v>55</v>
      </c>
      <c r="D327" s="40" t="s">
        <v>56</v>
      </c>
      <c r="E327" s="24">
        <v>10000000</v>
      </c>
      <c r="F327" s="39">
        <v>43963</v>
      </c>
      <c r="G327" s="24">
        <v>8666671</v>
      </c>
      <c r="H327" s="23">
        <v>5.0000000000000001E-3</v>
      </c>
      <c r="I327" s="39">
        <v>44197</v>
      </c>
      <c r="J327" s="39">
        <v>44210</v>
      </c>
      <c r="K327" s="24">
        <f t="shared" si="12"/>
        <v>14</v>
      </c>
      <c r="L327" s="24">
        <f t="shared" si="13"/>
        <v>1662</v>
      </c>
      <c r="M327" s="24">
        <v>8500005</v>
      </c>
    </row>
    <row r="328" spans="1:13" s="48" customFormat="1" outlineLevel="2">
      <c r="A328" s="39" t="s">
        <v>231</v>
      </c>
      <c r="B328" s="40" t="s">
        <v>63</v>
      </c>
      <c r="C328" s="41" t="s">
        <v>55</v>
      </c>
      <c r="D328" s="40"/>
      <c r="E328" s="24"/>
      <c r="F328" s="39"/>
      <c r="G328" s="24">
        <v>8500005</v>
      </c>
      <c r="H328" s="23">
        <v>5.0000000000000001E-3</v>
      </c>
      <c r="I328" s="39">
        <v>44211</v>
      </c>
      <c r="J328" s="39">
        <v>44227</v>
      </c>
      <c r="K328" s="24">
        <f t="shared" si="12"/>
        <v>17</v>
      </c>
      <c r="L328" s="24">
        <f t="shared" si="13"/>
        <v>1979</v>
      </c>
      <c r="M328" s="24"/>
    </row>
    <row r="329" spans="1:13" s="48" customFormat="1" outlineLevel="2">
      <c r="A329" s="39" t="s">
        <v>231</v>
      </c>
      <c r="B329" s="40" t="s">
        <v>64</v>
      </c>
      <c r="C329" s="41" t="s">
        <v>55</v>
      </c>
      <c r="D329" s="40" t="s">
        <v>56</v>
      </c>
      <c r="E329" s="24">
        <v>4000000</v>
      </c>
      <c r="F329" s="39">
        <v>43970</v>
      </c>
      <c r="G329" s="24">
        <v>3525428</v>
      </c>
      <c r="H329" s="23">
        <v>5.0000000000000001E-3</v>
      </c>
      <c r="I329" s="39">
        <v>44197</v>
      </c>
      <c r="J329" s="39">
        <v>44210</v>
      </c>
      <c r="K329" s="24">
        <f t="shared" si="12"/>
        <v>14</v>
      </c>
      <c r="L329" s="24">
        <f t="shared" si="13"/>
        <v>676</v>
      </c>
      <c r="M329" s="24">
        <v>3457632</v>
      </c>
    </row>
    <row r="330" spans="1:13" s="48" customFormat="1" outlineLevel="2">
      <c r="A330" s="39" t="s">
        <v>231</v>
      </c>
      <c r="B330" s="40" t="s">
        <v>64</v>
      </c>
      <c r="C330" s="41" t="s">
        <v>55</v>
      </c>
      <c r="D330" s="40"/>
      <c r="E330" s="24"/>
      <c r="F330" s="39"/>
      <c r="G330" s="24">
        <v>3457632</v>
      </c>
      <c r="H330" s="23">
        <v>5.0000000000000001E-3</v>
      </c>
      <c r="I330" s="39">
        <v>44211</v>
      </c>
      <c r="J330" s="39">
        <v>44227</v>
      </c>
      <c r="K330" s="24">
        <f t="shared" si="12"/>
        <v>17</v>
      </c>
      <c r="L330" s="24">
        <f t="shared" si="13"/>
        <v>805</v>
      </c>
      <c r="M330" s="24"/>
    </row>
    <row r="331" spans="1:13" s="48" customFormat="1" outlineLevel="2">
      <c r="A331" s="39" t="s">
        <v>231</v>
      </c>
      <c r="B331" s="40" t="s">
        <v>65</v>
      </c>
      <c r="C331" s="41" t="s">
        <v>55</v>
      </c>
      <c r="D331" s="40" t="s">
        <v>56</v>
      </c>
      <c r="E331" s="24">
        <v>18000000</v>
      </c>
      <c r="F331" s="39">
        <v>43977</v>
      </c>
      <c r="G331" s="24">
        <v>15864412</v>
      </c>
      <c r="H331" s="23">
        <v>5.0000000000000001E-3</v>
      </c>
      <c r="I331" s="39">
        <v>44197</v>
      </c>
      <c r="J331" s="39">
        <v>44210</v>
      </c>
      <c r="K331" s="24">
        <f t="shared" si="12"/>
        <v>14</v>
      </c>
      <c r="L331" s="24">
        <f t="shared" si="13"/>
        <v>3042</v>
      </c>
      <c r="M331" s="24">
        <v>15559328</v>
      </c>
    </row>
    <row r="332" spans="1:13" s="48" customFormat="1" outlineLevel="2">
      <c r="A332" s="39" t="s">
        <v>231</v>
      </c>
      <c r="B332" s="40" t="s">
        <v>65</v>
      </c>
      <c r="C332" s="41" t="s">
        <v>55</v>
      </c>
      <c r="D332" s="40"/>
      <c r="E332" s="24"/>
      <c r="F332" s="39"/>
      <c r="G332" s="24">
        <v>15559328</v>
      </c>
      <c r="H332" s="23">
        <v>5.0000000000000001E-3</v>
      </c>
      <c r="I332" s="39">
        <v>44211</v>
      </c>
      <c r="J332" s="39">
        <v>44227</v>
      </c>
      <c r="K332" s="24">
        <f t="shared" si="12"/>
        <v>17</v>
      </c>
      <c r="L332" s="24">
        <f t="shared" si="13"/>
        <v>3623</v>
      </c>
      <c r="M332" s="24"/>
    </row>
    <row r="333" spans="1:13" s="48" customFormat="1" outlineLevel="2">
      <c r="A333" s="39" t="s">
        <v>231</v>
      </c>
      <c r="B333" s="40" t="s">
        <v>68</v>
      </c>
      <c r="C333" s="41" t="s">
        <v>55</v>
      </c>
      <c r="D333" s="40" t="s">
        <v>56</v>
      </c>
      <c r="E333" s="24">
        <v>6000000</v>
      </c>
      <c r="F333" s="39">
        <v>43984</v>
      </c>
      <c r="G333" s="24">
        <v>5288142</v>
      </c>
      <c r="H333" s="23">
        <v>5.0000000000000001E-3</v>
      </c>
      <c r="I333" s="39">
        <v>44197</v>
      </c>
      <c r="J333" s="39">
        <v>44210</v>
      </c>
      <c r="K333" s="24">
        <f t="shared" si="12"/>
        <v>14</v>
      </c>
      <c r="L333" s="24">
        <f t="shared" si="13"/>
        <v>1014</v>
      </c>
      <c r="M333" s="24">
        <v>5186448</v>
      </c>
    </row>
    <row r="334" spans="1:13" s="48" customFormat="1" outlineLevel="2">
      <c r="A334" s="39" t="s">
        <v>231</v>
      </c>
      <c r="B334" s="40" t="s">
        <v>68</v>
      </c>
      <c r="C334" s="41" t="s">
        <v>55</v>
      </c>
      <c r="D334" s="40"/>
      <c r="E334" s="24"/>
      <c r="F334" s="39"/>
      <c r="G334" s="24">
        <v>5186448</v>
      </c>
      <c r="H334" s="23">
        <v>5.0000000000000001E-3</v>
      </c>
      <c r="I334" s="39">
        <v>44211</v>
      </c>
      <c r="J334" s="39">
        <v>44227</v>
      </c>
      <c r="K334" s="24">
        <f t="shared" si="12"/>
        <v>17</v>
      </c>
      <c r="L334" s="24">
        <f t="shared" si="13"/>
        <v>1208</v>
      </c>
      <c r="M334" s="24"/>
    </row>
    <row r="335" spans="1:13" s="48" customFormat="1" outlineLevel="1">
      <c r="A335" s="42" t="s">
        <v>234</v>
      </c>
      <c r="B335" s="43"/>
      <c r="C335" s="44"/>
      <c r="D335" s="43"/>
      <c r="E335" s="45">
        <f>SUBTOTAL(9,E310:E334)</f>
        <v>626900000</v>
      </c>
      <c r="F335" s="46"/>
      <c r="G335" s="45"/>
      <c r="H335" s="47"/>
      <c r="I335" s="46"/>
      <c r="J335" s="46"/>
      <c r="K335" s="45"/>
      <c r="L335" s="45">
        <f>SUBTOTAL(9,L310:L334)</f>
        <v>210755</v>
      </c>
      <c r="M335" s="45">
        <f>SUBTOTAL(9,M310:M334)</f>
        <v>578309614</v>
      </c>
    </row>
    <row r="336" spans="1:13" s="48" customFormat="1" outlineLevel="2">
      <c r="A336" s="39" t="s">
        <v>235</v>
      </c>
      <c r="B336" s="40" t="s">
        <v>16</v>
      </c>
      <c r="C336" s="41" t="s">
        <v>17</v>
      </c>
      <c r="D336" s="40" t="s">
        <v>18</v>
      </c>
      <c r="E336" s="24">
        <v>50000000</v>
      </c>
      <c r="F336" s="39">
        <v>43829</v>
      </c>
      <c r="G336" s="24">
        <v>39999992</v>
      </c>
      <c r="H336" s="23">
        <v>5.0000000000000001E-3</v>
      </c>
      <c r="I336" s="39">
        <v>44197</v>
      </c>
      <c r="J336" s="39">
        <v>44210</v>
      </c>
      <c r="K336" s="24">
        <f t="shared" ref="K336:K347" si="14">J336-I336+1</f>
        <v>14</v>
      </c>
      <c r="L336" s="24">
        <f t="shared" ref="L336:L347" si="15">ROUND(G336*H336*K336/365,0)</f>
        <v>7671</v>
      </c>
      <c r="M336" s="24">
        <v>39166658</v>
      </c>
    </row>
    <row r="337" spans="1:13" s="48" customFormat="1" outlineLevel="2">
      <c r="A337" s="39" t="s">
        <v>235</v>
      </c>
      <c r="B337" s="40" t="s">
        <v>16</v>
      </c>
      <c r="C337" s="41" t="s">
        <v>17</v>
      </c>
      <c r="D337" s="40"/>
      <c r="E337" s="24"/>
      <c r="F337" s="39"/>
      <c r="G337" s="24">
        <v>39166658</v>
      </c>
      <c r="H337" s="23">
        <v>5.0000000000000001E-3</v>
      </c>
      <c r="I337" s="39">
        <v>44211</v>
      </c>
      <c r="J337" s="39">
        <v>44227</v>
      </c>
      <c r="K337" s="24">
        <f t="shared" si="14"/>
        <v>17</v>
      </c>
      <c r="L337" s="24">
        <f t="shared" si="15"/>
        <v>9121</v>
      </c>
      <c r="M337" s="24"/>
    </row>
    <row r="338" spans="1:13" s="48" customFormat="1" outlineLevel="2">
      <c r="A338" s="39" t="s">
        <v>235</v>
      </c>
      <c r="B338" s="40" t="s">
        <v>39</v>
      </c>
      <c r="C338" s="41" t="s">
        <v>17</v>
      </c>
      <c r="D338" s="40" t="s">
        <v>18</v>
      </c>
      <c r="E338" s="24">
        <v>25200000</v>
      </c>
      <c r="F338" s="39">
        <v>43829</v>
      </c>
      <c r="G338" s="24">
        <v>20160000</v>
      </c>
      <c r="H338" s="23">
        <v>5.0000000000000001E-3</v>
      </c>
      <c r="I338" s="39">
        <v>44197</v>
      </c>
      <c r="J338" s="39">
        <v>44210</v>
      </c>
      <c r="K338" s="24">
        <f t="shared" si="14"/>
        <v>14</v>
      </c>
      <c r="L338" s="24">
        <f t="shared" si="15"/>
        <v>3866</v>
      </c>
      <c r="M338" s="24">
        <v>19740000</v>
      </c>
    </row>
    <row r="339" spans="1:13" s="48" customFormat="1" outlineLevel="2">
      <c r="A339" s="39" t="s">
        <v>235</v>
      </c>
      <c r="B339" s="40" t="s">
        <v>39</v>
      </c>
      <c r="C339" s="41" t="s">
        <v>17</v>
      </c>
      <c r="D339" s="40"/>
      <c r="E339" s="24"/>
      <c r="F339" s="39"/>
      <c r="G339" s="24">
        <v>19740000</v>
      </c>
      <c r="H339" s="23">
        <v>5.0000000000000001E-3</v>
      </c>
      <c r="I339" s="39">
        <v>44211</v>
      </c>
      <c r="J339" s="39">
        <v>44227</v>
      </c>
      <c r="K339" s="24">
        <f t="shared" si="14"/>
        <v>17</v>
      </c>
      <c r="L339" s="24">
        <f t="shared" si="15"/>
        <v>4597</v>
      </c>
      <c r="M339" s="24"/>
    </row>
    <row r="340" spans="1:13" s="48" customFormat="1" outlineLevel="2">
      <c r="A340" s="39" t="s">
        <v>235</v>
      </c>
      <c r="B340" s="40" t="s">
        <v>54</v>
      </c>
      <c r="C340" s="41" t="s">
        <v>17</v>
      </c>
      <c r="D340" s="40" t="s">
        <v>18</v>
      </c>
      <c r="E340" s="24">
        <v>11310000</v>
      </c>
      <c r="F340" s="39">
        <v>43920</v>
      </c>
      <c r="G340" s="24">
        <v>9524211</v>
      </c>
      <c r="H340" s="23">
        <v>5.0000000000000001E-3</v>
      </c>
      <c r="I340" s="39">
        <v>44197</v>
      </c>
      <c r="J340" s="39">
        <v>44210</v>
      </c>
      <c r="K340" s="24">
        <f t="shared" si="14"/>
        <v>14</v>
      </c>
      <c r="L340" s="24">
        <f t="shared" si="15"/>
        <v>1827</v>
      </c>
      <c r="M340" s="24">
        <v>9325790</v>
      </c>
    </row>
    <row r="341" spans="1:13" s="48" customFormat="1" outlineLevel="2">
      <c r="A341" s="39" t="s">
        <v>235</v>
      </c>
      <c r="B341" s="40" t="s">
        <v>54</v>
      </c>
      <c r="C341" s="41" t="s">
        <v>17</v>
      </c>
      <c r="D341" s="40"/>
      <c r="E341" s="24"/>
      <c r="F341" s="39"/>
      <c r="G341" s="24">
        <v>9325790</v>
      </c>
      <c r="H341" s="23">
        <v>5.0000000000000001E-3</v>
      </c>
      <c r="I341" s="39">
        <v>44211</v>
      </c>
      <c r="J341" s="39">
        <v>44227</v>
      </c>
      <c r="K341" s="24">
        <f t="shared" si="14"/>
        <v>17</v>
      </c>
      <c r="L341" s="24">
        <f t="shared" si="15"/>
        <v>2172</v>
      </c>
      <c r="M341" s="24"/>
    </row>
    <row r="342" spans="1:13" s="48" customFormat="1" outlineLevel="2">
      <c r="A342" s="39" t="s">
        <v>235</v>
      </c>
      <c r="B342" s="40" t="s">
        <v>59</v>
      </c>
      <c r="C342" s="41" t="s">
        <v>17</v>
      </c>
      <c r="D342" s="40" t="s">
        <v>18</v>
      </c>
      <c r="E342" s="24">
        <v>6050000</v>
      </c>
      <c r="F342" s="39">
        <v>43990</v>
      </c>
      <c r="G342" s="24">
        <v>5280000</v>
      </c>
      <c r="H342" s="23">
        <v>5.0000000000000001E-3</v>
      </c>
      <c r="I342" s="39">
        <v>44197</v>
      </c>
      <c r="J342" s="39">
        <v>44210</v>
      </c>
      <c r="K342" s="24">
        <f t="shared" si="14"/>
        <v>14</v>
      </c>
      <c r="L342" s="24">
        <f t="shared" si="15"/>
        <v>1013</v>
      </c>
      <c r="M342" s="24">
        <v>5170000</v>
      </c>
    </row>
    <row r="343" spans="1:13" s="48" customFormat="1" outlineLevel="2">
      <c r="A343" s="39" t="s">
        <v>235</v>
      </c>
      <c r="B343" s="40" t="s">
        <v>59</v>
      </c>
      <c r="C343" s="41" t="s">
        <v>17</v>
      </c>
      <c r="D343" s="40"/>
      <c r="E343" s="24"/>
      <c r="F343" s="39"/>
      <c r="G343" s="24">
        <v>5170000</v>
      </c>
      <c r="H343" s="23">
        <v>5.0000000000000001E-3</v>
      </c>
      <c r="I343" s="39">
        <v>44211</v>
      </c>
      <c r="J343" s="39">
        <v>44227</v>
      </c>
      <c r="K343" s="24">
        <f t="shared" si="14"/>
        <v>17</v>
      </c>
      <c r="L343" s="24">
        <f t="shared" si="15"/>
        <v>1204</v>
      </c>
      <c r="M343" s="24"/>
    </row>
    <row r="344" spans="1:13" s="48" customFormat="1" outlineLevel="2">
      <c r="A344" s="39" t="s">
        <v>235</v>
      </c>
      <c r="B344" s="40" t="s">
        <v>62</v>
      </c>
      <c r="C344" s="41" t="s">
        <v>17</v>
      </c>
      <c r="D344" s="40" t="s">
        <v>18</v>
      </c>
      <c r="E344" s="24">
        <v>7541000</v>
      </c>
      <c r="F344" s="39">
        <v>44074</v>
      </c>
      <c r="G344" s="24">
        <v>6960924</v>
      </c>
      <c r="H344" s="23">
        <v>5.0000000000000001E-3</v>
      </c>
      <c r="I344" s="39">
        <v>44197</v>
      </c>
      <c r="J344" s="39">
        <v>44210</v>
      </c>
      <c r="K344" s="24">
        <f t="shared" si="14"/>
        <v>14</v>
      </c>
      <c r="L344" s="24">
        <f t="shared" si="15"/>
        <v>1335</v>
      </c>
      <c r="M344" s="24">
        <v>6815905</v>
      </c>
    </row>
    <row r="345" spans="1:13" s="48" customFormat="1" outlineLevel="2">
      <c r="A345" s="39" t="s">
        <v>235</v>
      </c>
      <c r="B345" s="40" t="s">
        <v>62</v>
      </c>
      <c r="C345" s="41" t="s">
        <v>17</v>
      </c>
      <c r="D345" s="40"/>
      <c r="E345" s="24"/>
      <c r="F345" s="39"/>
      <c r="G345" s="24">
        <v>6815905</v>
      </c>
      <c r="H345" s="23">
        <v>5.0000000000000001E-3</v>
      </c>
      <c r="I345" s="39">
        <v>44211</v>
      </c>
      <c r="J345" s="39">
        <v>44227</v>
      </c>
      <c r="K345" s="24">
        <f t="shared" si="14"/>
        <v>17</v>
      </c>
      <c r="L345" s="24">
        <f t="shared" si="15"/>
        <v>1587</v>
      </c>
      <c r="M345" s="24"/>
    </row>
    <row r="346" spans="1:13" s="48" customFormat="1" outlineLevel="2">
      <c r="A346" s="39" t="s">
        <v>235</v>
      </c>
      <c r="B346" s="40" t="s">
        <v>63</v>
      </c>
      <c r="C346" s="41" t="s">
        <v>17</v>
      </c>
      <c r="D346" s="40" t="s">
        <v>18</v>
      </c>
      <c r="E346" s="24">
        <v>8986000</v>
      </c>
      <c r="F346" s="39">
        <v>44160</v>
      </c>
      <c r="G346" s="24">
        <v>8802612</v>
      </c>
      <c r="H346" s="23">
        <v>5.0000000000000001E-3</v>
      </c>
      <c r="I346" s="39">
        <v>44197</v>
      </c>
      <c r="J346" s="39">
        <v>44210</v>
      </c>
      <c r="K346" s="24">
        <f t="shared" si="14"/>
        <v>14</v>
      </c>
      <c r="L346" s="24">
        <f t="shared" si="15"/>
        <v>1688</v>
      </c>
      <c r="M346" s="24">
        <v>8619224</v>
      </c>
    </row>
    <row r="347" spans="1:13" s="48" customFormat="1" outlineLevel="2">
      <c r="A347" s="39" t="s">
        <v>235</v>
      </c>
      <c r="B347" s="40" t="s">
        <v>63</v>
      </c>
      <c r="C347" s="41" t="s">
        <v>17</v>
      </c>
      <c r="D347" s="40"/>
      <c r="E347" s="24"/>
      <c r="F347" s="39"/>
      <c r="G347" s="24">
        <v>8619224</v>
      </c>
      <c r="H347" s="23">
        <v>5.0000000000000001E-3</v>
      </c>
      <c r="I347" s="39">
        <v>44211</v>
      </c>
      <c r="J347" s="39">
        <v>44227</v>
      </c>
      <c r="K347" s="24">
        <f t="shared" si="14"/>
        <v>17</v>
      </c>
      <c r="L347" s="24">
        <f t="shared" si="15"/>
        <v>2007</v>
      </c>
      <c r="M347" s="24"/>
    </row>
    <row r="348" spans="1:13" s="48" customFormat="1" outlineLevel="1">
      <c r="A348" s="42" t="s">
        <v>236</v>
      </c>
      <c r="B348" s="43"/>
      <c r="C348" s="44"/>
      <c r="D348" s="43"/>
      <c r="E348" s="45">
        <f>SUBTOTAL(9,E336:E347)</f>
        <v>109087000</v>
      </c>
      <c r="F348" s="46"/>
      <c r="G348" s="45"/>
      <c r="H348" s="47"/>
      <c r="I348" s="46"/>
      <c r="J348" s="46"/>
      <c r="K348" s="45"/>
      <c r="L348" s="45">
        <f>SUBTOTAL(9,L336:L347)</f>
        <v>38088</v>
      </c>
      <c r="M348" s="45">
        <f>SUBTOTAL(9,M336:M347)</f>
        <v>88837577</v>
      </c>
    </row>
    <row r="349" spans="1:13" s="48" customFormat="1" outlineLevel="2">
      <c r="A349" s="39" t="s">
        <v>237</v>
      </c>
      <c r="B349" s="40" t="s">
        <v>16</v>
      </c>
      <c r="C349" s="41" t="s">
        <v>45</v>
      </c>
      <c r="D349" s="40" t="s">
        <v>46</v>
      </c>
      <c r="E349" s="24">
        <v>4300000</v>
      </c>
      <c r="F349" s="39">
        <v>43966</v>
      </c>
      <c r="G349" s="24">
        <v>4300000</v>
      </c>
      <c r="H349" s="23">
        <v>5.0000000000000001E-3</v>
      </c>
      <c r="I349" s="39">
        <v>44197</v>
      </c>
      <c r="J349" s="39">
        <v>44227</v>
      </c>
      <c r="K349" s="24">
        <f>J349-I349+1</f>
        <v>31</v>
      </c>
      <c r="L349" s="24">
        <f>ROUND(G349*H349*K349/365,0)</f>
        <v>1826</v>
      </c>
      <c r="M349" s="24">
        <v>4300000</v>
      </c>
    </row>
    <row r="350" spans="1:13" s="48" customFormat="1" outlineLevel="2">
      <c r="A350" s="39" t="s">
        <v>237</v>
      </c>
      <c r="B350" s="40" t="s">
        <v>39</v>
      </c>
      <c r="C350" s="41" t="s">
        <v>66</v>
      </c>
      <c r="D350" s="40" t="s">
        <v>67</v>
      </c>
      <c r="E350" s="24">
        <v>120000000</v>
      </c>
      <c r="F350" s="39">
        <v>44060</v>
      </c>
      <c r="G350" s="24">
        <v>120000000</v>
      </c>
      <c r="H350" s="23">
        <v>5.0000000000000001E-3</v>
      </c>
      <c r="I350" s="39">
        <v>44197</v>
      </c>
      <c r="J350" s="39">
        <v>44227</v>
      </c>
      <c r="K350" s="24">
        <f>J350-I350+1</f>
        <v>31</v>
      </c>
      <c r="L350" s="24">
        <f>ROUND(G350*H350*K350/365,0)</f>
        <v>50959</v>
      </c>
      <c r="M350" s="24">
        <v>120000000</v>
      </c>
    </row>
    <row r="351" spans="1:13" s="48" customFormat="1" outlineLevel="1">
      <c r="A351" s="42" t="s">
        <v>238</v>
      </c>
      <c r="B351" s="43"/>
      <c r="C351" s="44"/>
      <c r="D351" s="43"/>
      <c r="E351" s="45">
        <f>SUBTOTAL(9,E349:E350)</f>
        <v>124300000</v>
      </c>
      <c r="F351" s="46"/>
      <c r="G351" s="45"/>
      <c r="H351" s="47"/>
      <c r="I351" s="46"/>
      <c r="J351" s="46"/>
      <c r="K351" s="45"/>
      <c r="L351" s="45">
        <f>SUBTOTAL(9,L349:L350)</f>
        <v>52785</v>
      </c>
      <c r="M351" s="45">
        <f>SUBTOTAL(9,M349:M350)</f>
        <v>124300000</v>
      </c>
    </row>
    <row r="352" spans="1:13" s="48" customFormat="1" outlineLevel="2">
      <c r="A352" s="39" t="s">
        <v>239</v>
      </c>
      <c r="B352" s="40" t="s">
        <v>16</v>
      </c>
      <c r="C352" s="41" t="s">
        <v>109</v>
      </c>
      <c r="D352" s="40" t="s">
        <v>110</v>
      </c>
      <c r="E352" s="24">
        <v>38650000</v>
      </c>
      <c r="F352" s="39">
        <v>43986</v>
      </c>
      <c r="G352" s="24">
        <v>38650000</v>
      </c>
      <c r="H352" s="23">
        <v>5.0000000000000001E-3</v>
      </c>
      <c r="I352" s="39">
        <v>44197</v>
      </c>
      <c r="J352" s="39">
        <v>44227</v>
      </c>
      <c r="K352" s="24">
        <f t="shared" ref="K352:K374" si="16">J352-I352+1</f>
        <v>31</v>
      </c>
      <c r="L352" s="24">
        <f t="shared" ref="L352:L374" si="17">ROUND(G352*H352*K352/365,0)</f>
        <v>16413</v>
      </c>
      <c r="M352" s="24">
        <v>38650000</v>
      </c>
    </row>
    <row r="353" spans="1:13" s="48" customFormat="1" outlineLevel="2">
      <c r="A353" s="39" t="s">
        <v>239</v>
      </c>
      <c r="B353" s="40" t="s">
        <v>19</v>
      </c>
      <c r="C353" s="41" t="s">
        <v>125</v>
      </c>
      <c r="D353" s="40" t="s">
        <v>126</v>
      </c>
      <c r="E353" s="24">
        <v>23000000</v>
      </c>
      <c r="F353" s="39">
        <v>44155</v>
      </c>
      <c r="G353" s="24">
        <v>23000000</v>
      </c>
      <c r="H353" s="23">
        <v>5.0000000000000001E-3</v>
      </c>
      <c r="I353" s="39">
        <v>44197</v>
      </c>
      <c r="J353" s="39">
        <v>44227</v>
      </c>
      <c r="K353" s="24">
        <f t="shared" si="16"/>
        <v>31</v>
      </c>
      <c r="L353" s="24">
        <f t="shared" si="17"/>
        <v>9767</v>
      </c>
      <c r="M353" s="24">
        <v>23000000</v>
      </c>
    </row>
    <row r="354" spans="1:13" s="48" customFormat="1" outlineLevel="2">
      <c r="A354" s="39" t="s">
        <v>239</v>
      </c>
      <c r="B354" s="40" t="s">
        <v>22</v>
      </c>
      <c r="C354" s="41" t="s">
        <v>125</v>
      </c>
      <c r="D354" s="40" t="s">
        <v>126</v>
      </c>
      <c r="E354" s="24">
        <v>1000000</v>
      </c>
      <c r="F354" s="39">
        <v>44160</v>
      </c>
      <c r="G354" s="24">
        <v>1000000</v>
      </c>
      <c r="H354" s="23">
        <v>5.0000000000000001E-3</v>
      </c>
      <c r="I354" s="39">
        <v>44197</v>
      </c>
      <c r="J354" s="39">
        <v>44227</v>
      </c>
      <c r="K354" s="24">
        <f t="shared" si="16"/>
        <v>31</v>
      </c>
      <c r="L354" s="24">
        <f t="shared" si="17"/>
        <v>425</v>
      </c>
      <c r="M354" s="24">
        <v>1000000</v>
      </c>
    </row>
    <row r="355" spans="1:13" s="48" customFormat="1" outlineLevel="2">
      <c r="A355" s="39" t="s">
        <v>239</v>
      </c>
      <c r="B355" s="40" t="s">
        <v>25</v>
      </c>
      <c r="C355" s="41" t="s">
        <v>95</v>
      </c>
      <c r="D355" s="40" t="s">
        <v>96</v>
      </c>
      <c r="E355" s="24">
        <v>6030000</v>
      </c>
      <c r="F355" s="39">
        <v>44145</v>
      </c>
      <c r="G355" s="24">
        <v>6030000</v>
      </c>
      <c r="H355" s="23">
        <v>5.0000000000000001E-3</v>
      </c>
      <c r="I355" s="39">
        <v>44197</v>
      </c>
      <c r="J355" s="39">
        <v>44227</v>
      </c>
      <c r="K355" s="24">
        <f t="shared" si="16"/>
        <v>31</v>
      </c>
      <c r="L355" s="24">
        <f t="shared" si="17"/>
        <v>2561</v>
      </c>
      <c r="M355" s="24">
        <v>6030000</v>
      </c>
    </row>
    <row r="356" spans="1:13" s="48" customFormat="1" outlineLevel="2">
      <c r="A356" s="39" t="s">
        <v>239</v>
      </c>
      <c r="B356" s="40" t="s">
        <v>26</v>
      </c>
      <c r="C356" s="41" t="s">
        <v>240</v>
      </c>
      <c r="D356" s="40" t="s">
        <v>241</v>
      </c>
      <c r="E356" s="24">
        <v>16018839</v>
      </c>
      <c r="F356" s="39">
        <v>44188</v>
      </c>
      <c r="G356" s="24">
        <v>16018839</v>
      </c>
      <c r="H356" s="23">
        <v>5.0000000000000001E-3</v>
      </c>
      <c r="I356" s="39">
        <v>44197</v>
      </c>
      <c r="J356" s="39">
        <v>44227</v>
      </c>
      <c r="K356" s="24">
        <f t="shared" si="16"/>
        <v>31</v>
      </c>
      <c r="L356" s="24">
        <f t="shared" si="17"/>
        <v>6803</v>
      </c>
      <c r="M356" s="24">
        <v>16018839</v>
      </c>
    </row>
    <row r="357" spans="1:13" s="48" customFormat="1" outlineLevel="2">
      <c r="A357" s="39" t="s">
        <v>239</v>
      </c>
      <c r="B357" s="40" t="s">
        <v>29</v>
      </c>
      <c r="C357" s="41" t="s">
        <v>240</v>
      </c>
      <c r="D357" s="40" t="s">
        <v>241</v>
      </c>
      <c r="E357" s="24">
        <v>31481161</v>
      </c>
      <c r="F357" s="39">
        <v>44188</v>
      </c>
      <c r="G357" s="24">
        <v>31481161</v>
      </c>
      <c r="H357" s="23">
        <v>5.0000000000000001E-3</v>
      </c>
      <c r="I357" s="39">
        <v>44197</v>
      </c>
      <c r="J357" s="39">
        <v>44227</v>
      </c>
      <c r="K357" s="24">
        <f t="shared" si="16"/>
        <v>31</v>
      </c>
      <c r="L357" s="24">
        <f t="shared" si="17"/>
        <v>13369</v>
      </c>
      <c r="M357" s="24">
        <v>31481161</v>
      </c>
    </row>
    <row r="358" spans="1:13" s="48" customFormat="1" outlineLevel="2">
      <c r="A358" s="39" t="s">
        <v>239</v>
      </c>
      <c r="B358" s="40" t="s">
        <v>32</v>
      </c>
      <c r="C358" s="41" t="s">
        <v>242</v>
      </c>
      <c r="D358" s="40" t="s">
        <v>243</v>
      </c>
      <c r="E358" s="24">
        <v>10000000</v>
      </c>
      <c r="F358" s="39">
        <v>44172</v>
      </c>
      <c r="G358" s="24">
        <v>10000000</v>
      </c>
      <c r="H358" s="23">
        <v>5.0000000000000001E-3</v>
      </c>
      <c r="I358" s="39">
        <v>44197</v>
      </c>
      <c r="J358" s="39">
        <v>44227</v>
      </c>
      <c r="K358" s="24">
        <f t="shared" si="16"/>
        <v>31</v>
      </c>
      <c r="L358" s="24">
        <f t="shared" si="17"/>
        <v>4247</v>
      </c>
      <c r="M358" s="24">
        <v>10000000</v>
      </c>
    </row>
    <row r="359" spans="1:13" s="48" customFormat="1" outlineLevel="2">
      <c r="A359" s="39" t="s">
        <v>239</v>
      </c>
      <c r="B359" s="40" t="s">
        <v>33</v>
      </c>
      <c r="C359" s="41" t="s">
        <v>242</v>
      </c>
      <c r="D359" s="40" t="s">
        <v>243</v>
      </c>
      <c r="E359" s="24">
        <v>10000000</v>
      </c>
      <c r="F359" s="39">
        <v>44181</v>
      </c>
      <c r="G359" s="24">
        <v>10000000</v>
      </c>
      <c r="H359" s="23">
        <v>5.0000000000000001E-3</v>
      </c>
      <c r="I359" s="39">
        <v>44197</v>
      </c>
      <c r="J359" s="39">
        <v>44227</v>
      </c>
      <c r="K359" s="24">
        <f t="shared" si="16"/>
        <v>31</v>
      </c>
      <c r="L359" s="24">
        <f t="shared" si="17"/>
        <v>4247</v>
      </c>
      <c r="M359" s="24">
        <v>10000000</v>
      </c>
    </row>
    <row r="360" spans="1:13" s="48" customFormat="1" outlineLevel="2">
      <c r="A360" s="39" t="s">
        <v>239</v>
      </c>
      <c r="B360" s="40" t="s">
        <v>34</v>
      </c>
      <c r="C360" s="41" t="s">
        <v>244</v>
      </c>
      <c r="D360" s="40" t="s">
        <v>245</v>
      </c>
      <c r="E360" s="24">
        <v>210000000</v>
      </c>
      <c r="F360" s="39">
        <v>44172</v>
      </c>
      <c r="G360" s="24">
        <v>210000000</v>
      </c>
      <c r="H360" s="23">
        <v>5.0000000000000001E-3</v>
      </c>
      <c r="I360" s="39">
        <v>44197</v>
      </c>
      <c r="J360" s="39">
        <v>44227</v>
      </c>
      <c r="K360" s="24">
        <f t="shared" si="16"/>
        <v>31</v>
      </c>
      <c r="L360" s="24">
        <f t="shared" si="17"/>
        <v>89178</v>
      </c>
      <c r="M360" s="24">
        <v>210000000</v>
      </c>
    </row>
    <row r="361" spans="1:13" s="48" customFormat="1" outlineLevel="2">
      <c r="A361" s="39" t="s">
        <v>239</v>
      </c>
      <c r="B361" s="40" t="s">
        <v>35</v>
      </c>
      <c r="C361" s="41" t="s">
        <v>246</v>
      </c>
      <c r="D361" s="40" t="s">
        <v>247</v>
      </c>
      <c r="E361" s="24">
        <v>3000000</v>
      </c>
      <c r="F361" s="39">
        <v>44167</v>
      </c>
      <c r="G361" s="24">
        <v>3000000</v>
      </c>
      <c r="H361" s="23">
        <v>5.0000000000000001E-3</v>
      </c>
      <c r="I361" s="39">
        <v>44197</v>
      </c>
      <c r="J361" s="39">
        <v>44227</v>
      </c>
      <c r="K361" s="24">
        <f t="shared" si="16"/>
        <v>31</v>
      </c>
      <c r="L361" s="24">
        <f t="shared" si="17"/>
        <v>1274</v>
      </c>
      <c r="M361" s="24">
        <v>3000000</v>
      </c>
    </row>
    <row r="362" spans="1:13" s="48" customFormat="1" outlineLevel="2">
      <c r="A362" s="39" t="s">
        <v>239</v>
      </c>
      <c r="B362" s="40" t="s">
        <v>36</v>
      </c>
      <c r="C362" s="41" t="s">
        <v>95</v>
      </c>
      <c r="D362" s="40" t="s">
        <v>96</v>
      </c>
      <c r="E362" s="24">
        <v>5530000</v>
      </c>
      <c r="F362" s="39">
        <v>44168</v>
      </c>
      <c r="G362" s="24">
        <v>5530000</v>
      </c>
      <c r="H362" s="23">
        <v>5.0000000000000001E-3</v>
      </c>
      <c r="I362" s="39">
        <v>44197</v>
      </c>
      <c r="J362" s="39">
        <v>44227</v>
      </c>
      <c r="K362" s="24">
        <f t="shared" si="16"/>
        <v>31</v>
      </c>
      <c r="L362" s="24">
        <f t="shared" si="17"/>
        <v>2348</v>
      </c>
      <c r="M362" s="24">
        <v>5530000</v>
      </c>
    </row>
    <row r="363" spans="1:13" s="48" customFormat="1" outlineLevel="2">
      <c r="A363" s="39" t="s">
        <v>239</v>
      </c>
      <c r="B363" s="40" t="s">
        <v>39</v>
      </c>
      <c r="C363" s="41" t="s">
        <v>248</v>
      </c>
      <c r="D363" s="40" t="s">
        <v>249</v>
      </c>
      <c r="E363" s="24">
        <v>23530000</v>
      </c>
      <c r="F363" s="39">
        <v>44013</v>
      </c>
      <c r="G363" s="24">
        <v>23530000</v>
      </c>
      <c r="H363" s="23">
        <v>5.0000000000000001E-3</v>
      </c>
      <c r="I363" s="39">
        <v>44197</v>
      </c>
      <c r="J363" s="39">
        <v>44227</v>
      </c>
      <c r="K363" s="24">
        <f t="shared" si="16"/>
        <v>31</v>
      </c>
      <c r="L363" s="24">
        <f t="shared" si="17"/>
        <v>9992</v>
      </c>
      <c r="M363" s="24">
        <v>23530000</v>
      </c>
    </row>
    <row r="364" spans="1:13" s="48" customFormat="1" outlineLevel="2">
      <c r="A364" s="39" t="s">
        <v>239</v>
      </c>
      <c r="B364" s="40" t="s">
        <v>40</v>
      </c>
      <c r="C364" s="41" t="s">
        <v>242</v>
      </c>
      <c r="D364" s="40" t="s">
        <v>243</v>
      </c>
      <c r="E364" s="24">
        <v>10000000</v>
      </c>
      <c r="F364" s="39">
        <v>44208</v>
      </c>
      <c r="G364" s="24">
        <v>10000000</v>
      </c>
      <c r="H364" s="23">
        <v>5.0000000000000001E-3</v>
      </c>
      <c r="I364" s="39">
        <v>44208</v>
      </c>
      <c r="J364" s="39">
        <v>44227</v>
      </c>
      <c r="K364" s="24">
        <f t="shared" si="16"/>
        <v>20</v>
      </c>
      <c r="L364" s="24">
        <f t="shared" si="17"/>
        <v>2740</v>
      </c>
      <c r="M364" s="24">
        <v>10000000</v>
      </c>
    </row>
    <row r="365" spans="1:13" s="48" customFormat="1" outlineLevel="2">
      <c r="A365" s="39" t="s">
        <v>239</v>
      </c>
      <c r="B365" s="40" t="s">
        <v>41</v>
      </c>
      <c r="C365" s="41" t="s">
        <v>125</v>
      </c>
      <c r="D365" s="40" t="s">
        <v>126</v>
      </c>
      <c r="E365" s="24">
        <v>28000000</v>
      </c>
      <c r="F365" s="39">
        <v>44217</v>
      </c>
      <c r="G365" s="24">
        <v>28000000</v>
      </c>
      <c r="H365" s="23">
        <v>5.0000000000000001E-3</v>
      </c>
      <c r="I365" s="39">
        <v>44217</v>
      </c>
      <c r="J365" s="39">
        <v>44227</v>
      </c>
      <c r="K365" s="24">
        <f t="shared" si="16"/>
        <v>11</v>
      </c>
      <c r="L365" s="24">
        <f t="shared" si="17"/>
        <v>4219</v>
      </c>
      <c r="M365" s="24">
        <v>28000000</v>
      </c>
    </row>
    <row r="366" spans="1:13" s="48" customFormat="1" outlineLevel="2">
      <c r="A366" s="39" t="s">
        <v>239</v>
      </c>
      <c r="B366" s="40" t="s">
        <v>42</v>
      </c>
      <c r="C366" s="41" t="s">
        <v>250</v>
      </c>
      <c r="D366" s="40" t="s">
        <v>251</v>
      </c>
      <c r="E366" s="24">
        <v>22500000</v>
      </c>
      <c r="F366" s="39">
        <v>44215</v>
      </c>
      <c r="G366" s="24">
        <v>22500000</v>
      </c>
      <c r="H366" s="23">
        <v>5.0000000000000001E-3</v>
      </c>
      <c r="I366" s="39">
        <v>44215</v>
      </c>
      <c r="J366" s="39">
        <v>44227</v>
      </c>
      <c r="K366" s="24">
        <f t="shared" si="16"/>
        <v>13</v>
      </c>
      <c r="L366" s="24">
        <f t="shared" si="17"/>
        <v>4007</v>
      </c>
      <c r="M366" s="24">
        <v>22500000</v>
      </c>
    </row>
    <row r="367" spans="1:13" s="48" customFormat="1" outlineLevel="2">
      <c r="A367" s="39" t="s">
        <v>239</v>
      </c>
      <c r="B367" s="40" t="s">
        <v>43</v>
      </c>
      <c r="C367" s="41" t="s">
        <v>250</v>
      </c>
      <c r="D367" s="40" t="s">
        <v>251</v>
      </c>
      <c r="E367" s="24">
        <v>4950000</v>
      </c>
      <c r="F367" s="39">
        <v>44215</v>
      </c>
      <c r="G367" s="24">
        <v>4950000</v>
      </c>
      <c r="H367" s="23">
        <v>5.0000000000000001E-3</v>
      </c>
      <c r="I367" s="39">
        <v>44215</v>
      </c>
      <c r="J367" s="39">
        <v>44227</v>
      </c>
      <c r="K367" s="24">
        <f t="shared" si="16"/>
        <v>13</v>
      </c>
      <c r="L367" s="24">
        <f t="shared" si="17"/>
        <v>882</v>
      </c>
      <c r="M367" s="24">
        <v>4950000</v>
      </c>
    </row>
    <row r="368" spans="1:13" s="48" customFormat="1" outlineLevel="2">
      <c r="A368" s="39" t="s">
        <v>239</v>
      </c>
      <c r="B368" s="40" t="s">
        <v>54</v>
      </c>
      <c r="C368" s="41" t="s">
        <v>248</v>
      </c>
      <c r="D368" s="40" t="s">
        <v>249</v>
      </c>
      <c r="E368" s="24">
        <v>47470000</v>
      </c>
      <c r="F368" s="39">
        <v>44013</v>
      </c>
      <c r="G368" s="24">
        <v>47470000</v>
      </c>
      <c r="H368" s="23">
        <v>5.0000000000000001E-3</v>
      </c>
      <c r="I368" s="39">
        <v>44197</v>
      </c>
      <c r="J368" s="39">
        <v>44227</v>
      </c>
      <c r="K368" s="24">
        <f t="shared" si="16"/>
        <v>31</v>
      </c>
      <c r="L368" s="24">
        <f t="shared" si="17"/>
        <v>20158</v>
      </c>
      <c r="M368" s="24">
        <v>47470000</v>
      </c>
    </row>
    <row r="369" spans="1:13" s="48" customFormat="1" outlineLevel="2">
      <c r="A369" s="39" t="s">
        <v>239</v>
      </c>
      <c r="B369" s="40" t="s">
        <v>59</v>
      </c>
      <c r="C369" s="41" t="s">
        <v>240</v>
      </c>
      <c r="D369" s="40" t="s">
        <v>241</v>
      </c>
      <c r="E369" s="24">
        <v>6665394</v>
      </c>
      <c r="F369" s="39">
        <v>44029</v>
      </c>
      <c r="G369" s="24">
        <v>6665394</v>
      </c>
      <c r="H369" s="23">
        <v>5.0000000000000001E-3</v>
      </c>
      <c r="I369" s="39">
        <v>44197</v>
      </c>
      <c r="J369" s="39">
        <v>44227</v>
      </c>
      <c r="K369" s="24">
        <f t="shared" si="16"/>
        <v>31</v>
      </c>
      <c r="L369" s="24">
        <f t="shared" si="17"/>
        <v>2831</v>
      </c>
      <c r="M369" s="24">
        <v>6665394</v>
      </c>
    </row>
    <row r="370" spans="1:13" s="48" customFormat="1" outlineLevel="2">
      <c r="A370" s="39" t="s">
        <v>239</v>
      </c>
      <c r="B370" s="40" t="s">
        <v>62</v>
      </c>
      <c r="C370" s="41" t="s">
        <v>240</v>
      </c>
      <c r="D370" s="40" t="s">
        <v>241</v>
      </c>
      <c r="E370" s="24">
        <v>12334606</v>
      </c>
      <c r="F370" s="39">
        <v>44029</v>
      </c>
      <c r="G370" s="24">
        <v>12334606</v>
      </c>
      <c r="H370" s="23">
        <v>5.0000000000000001E-3</v>
      </c>
      <c r="I370" s="39">
        <v>44197</v>
      </c>
      <c r="J370" s="39">
        <v>44227</v>
      </c>
      <c r="K370" s="24">
        <f t="shared" si="16"/>
        <v>31</v>
      </c>
      <c r="L370" s="24">
        <f t="shared" si="17"/>
        <v>5238</v>
      </c>
      <c r="M370" s="24">
        <v>12334606</v>
      </c>
    </row>
    <row r="371" spans="1:13" s="48" customFormat="1" outlineLevel="2">
      <c r="A371" s="39" t="s">
        <v>239</v>
      </c>
      <c r="B371" s="40" t="s">
        <v>63</v>
      </c>
      <c r="C371" s="41" t="s">
        <v>252</v>
      </c>
      <c r="D371" s="40" t="s">
        <v>253</v>
      </c>
      <c r="E371" s="24">
        <v>131500000</v>
      </c>
      <c r="F371" s="39">
        <v>44089</v>
      </c>
      <c r="G371" s="24">
        <v>131500000</v>
      </c>
      <c r="H371" s="23">
        <v>5.0000000000000001E-3</v>
      </c>
      <c r="I371" s="39">
        <v>44197</v>
      </c>
      <c r="J371" s="39">
        <v>44227</v>
      </c>
      <c r="K371" s="24">
        <f t="shared" si="16"/>
        <v>31</v>
      </c>
      <c r="L371" s="24">
        <f t="shared" si="17"/>
        <v>55842</v>
      </c>
      <c r="M371" s="24">
        <v>131500000</v>
      </c>
    </row>
    <row r="372" spans="1:13" s="48" customFormat="1" outlineLevel="2">
      <c r="A372" s="39" t="s">
        <v>239</v>
      </c>
      <c r="B372" s="40" t="s">
        <v>64</v>
      </c>
      <c r="C372" s="41" t="s">
        <v>109</v>
      </c>
      <c r="D372" s="40" t="s">
        <v>110</v>
      </c>
      <c r="E372" s="24">
        <v>10400000</v>
      </c>
      <c r="F372" s="39">
        <v>44096</v>
      </c>
      <c r="G372" s="24">
        <v>10400000</v>
      </c>
      <c r="H372" s="23">
        <v>5.0000000000000001E-3</v>
      </c>
      <c r="I372" s="39">
        <v>44197</v>
      </c>
      <c r="J372" s="39">
        <v>44227</v>
      </c>
      <c r="K372" s="24">
        <f t="shared" si="16"/>
        <v>31</v>
      </c>
      <c r="L372" s="24">
        <f t="shared" si="17"/>
        <v>4416</v>
      </c>
      <c r="M372" s="24">
        <v>10400000</v>
      </c>
    </row>
    <row r="373" spans="1:13" s="48" customFormat="1" outlineLevel="2">
      <c r="A373" s="39" t="s">
        <v>239</v>
      </c>
      <c r="B373" s="40" t="s">
        <v>65</v>
      </c>
      <c r="C373" s="41" t="s">
        <v>242</v>
      </c>
      <c r="D373" s="40" t="s">
        <v>243</v>
      </c>
      <c r="E373" s="24">
        <v>10000000</v>
      </c>
      <c r="F373" s="39">
        <v>44139</v>
      </c>
      <c r="G373" s="24">
        <v>10000000</v>
      </c>
      <c r="H373" s="23">
        <v>5.0000000000000001E-3</v>
      </c>
      <c r="I373" s="39">
        <v>44197</v>
      </c>
      <c r="J373" s="39">
        <v>44227</v>
      </c>
      <c r="K373" s="24">
        <f t="shared" si="16"/>
        <v>31</v>
      </c>
      <c r="L373" s="24">
        <f t="shared" si="17"/>
        <v>4247</v>
      </c>
      <c r="M373" s="24">
        <v>10000000</v>
      </c>
    </row>
    <row r="374" spans="1:13" s="48" customFormat="1" outlineLevel="2">
      <c r="A374" s="39" t="s">
        <v>239</v>
      </c>
      <c r="B374" s="40" t="s">
        <v>68</v>
      </c>
      <c r="C374" s="41" t="s">
        <v>242</v>
      </c>
      <c r="D374" s="40" t="s">
        <v>243</v>
      </c>
      <c r="E374" s="24">
        <v>10000000</v>
      </c>
      <c r="F374" s="39">
        <v>44152</v>
      </c>
      <c r="G374" s="24">
        <v>10000000</v>
      </c>
      <c r="H374" s="23">
        <v>5.0000000000000001E-3</v>
      </c>
      <c r="I374" s="39">
        <v>44197</v>
      </c>
      <c r="J374" s="39">
        <v>44227</v>
      </c>
      <c r="K374" s="24">
        <f t="shared" si="16"/>
        <v>31</v>
      </c>
      <c r="L374" s="24">
        <f t="shared" si="17"/>
        <v>4247</v>
      </c>
      <c r="M374" s="24">
        <v>10000000</v>
      </c>
    </row>
    <row r="375" spans="1:13" s="48" customFormat="1" outlineLevel="1">
      <c r="A375" s="42" t="s">
        <v>254</v>
      </c>
      <c r="B375" s="43"/>
      <c r="C375" s="44"/>
      <c r="D375" s="43"/>
      <c r="E375" s="45">
        <f>SUBTOTAL(9,E352:E374)</f>
        <v>672060000</v>
      </c>
      <c r="F375" s="46"/>
      <c r="G375" s="45"/>
      <c r="H375" s="47"/>
      <c r="I375" s="46"/>
      <c r="J375" s="46"/>
      <c r="K375" s="45"/>
      <c r="L375" s="45">
        <f>SUBTOTAL(9,L352:L374)</f>
        <v>269451</v>
      </c>
      <c r="M375" s="45">
        <f>SUBTOTAL(9,M352:M374)</f>
        <v>672060000</v>
      </c>
    </row>
    <row r="376" spans="1:13" s="48" customFormat="1" outlineLevel="2">
      <c r="A376" s="39" t="s">
        <v>255</v>
      </c>
      <c r="B376" s="40" t="s">
        <v>16</v>
      </c>
      <c r="C376" s="41" t="s">
        <v>20</v>
      </c>
      <c r="D376" s="40" t="s">
        <v>21</v>
      </c>
      <c r="E376" s="24">
        <v>330000000</v>
      </c>
      <c r="F376" s="39">
        <v>43915</v>
      </c>
      <c r="G376" s="24">
        <v>330000000</v>
      </c>
      <c r="H376" s="23">
        <v>5.0000000000000001E-3</v>
      </c>
      <c r="I376" s="39">
        <v>44197</v>
      </c>
      <c r="J376" s="39">
        <v>44227</v>
      </c>
      <c r="K376" s="24">
        <f>J376-I376+1</f>
        <v>31</v>
      </c>
      <c r="L376" s="24">
        <f>ROUND(G376*H376*K376/365,0)</f>
        <v>140137</v>
      </c>
      <c r="M376" s="24">
        <v>330000000</v>
      </c>
    </row>
    <row r="377" spans="1:13" s="48" customFormat="1" outlineLevel="2">
      <c r="A377" s="39" t="s">
        <v>255</v>
      </c>
      <c r="B377" s="40" t="s">
        <v>39</v>
      </c>
      <c r="C377" s="41" t="s">
        <v>20</v>
      </c>
      <c r="D377" s="40" t="s">
        <v>21</v>
      </c>
      <c r="E377" s="24">
        <v>93600000</v>
      </c>
      <c r="F377" s="39">
        <v>43955</v>
      </c>
      <c r="G377" s="24">
        <v>93600000</v>
      </c>
      <c r="H377" s="23">
        <v>5.0000000000000001E-3</v>
      </c>
      <c r="I377" s="39">
        <v>44197</v>
      </c>
      <c r="J377" s="39">
        <v>44227</v>
      </c>
      <c r="K377" s="24">
        <f>J377-I377+1</f>
        <v>31</v>
      </c>
      <c r="L377" s="24">
        <f>ROUND(G377*H377*K377/365,0)</f>
        <v>39748</v>
      </c>
      <c r="M377" s="24">
        <v>93600000</v>
      </c>
    </row>
    <row r="378" spans="1:13" s="48" customFormat="1" outlineLevel="2">
      <c r="A378" s="39" t="s">
        <v>255</v>
      </c>
      <c r="B378" s="40" t="s">
        <v>54</v>
      </c>
      <c r="C378" s="41" t="s">
        <v>20</v>
      </c>
      <c r="D378" s="40" t="s">
        <v>21</v>
      </c>
      <c r="E378" s="24">
        <v>576400000</v>
      </c>
      <c r="F378" s="39">
        <v>44013</v>
      </c>
      <c r="G378" s="24">
        <v>576400000</v>
      </c>
      <c r="H378" s="23">
        <v>5.0000000000000001E-3</v>
      </c>
      <c r="I378" s="39">
        <v>44197</v>
      </c>
      <c r="J378" s="39">
        <v>44227</v>
      </c>
      <c r="K378" s="24">
        <f>J378-I378+1</f>
        <v>31</v>
      </c>
      <c r="L378" s="24">
        <f>ROUND(G378*H378*K378/365,0)</f>
        <v>244773</v>
      </c>
      <c r="M378" s="24">
        <v>576400000</v>
      </c>
    </row>
    <row r="379" spans="1:13" s="48" customFormat="1" outlineLevel="1">
      <c r="A379" s="42" t="s">
        <v>256</v>
      </c>
      <c r="B379" s="43"/>
      <c r="C379" s="44"/>
      <c r="D379" s="43"/>
      <c r="E379" s="45">
        <f>SUBTOTAL(9,E376:E378)</f>
        <v>1000000000</v>
      </c>
      <c r="F379" s="46"/>
      <c r="G379" s="45"/>
      <c r="H379" s="47"/>
      <c r="I379" s="46"/>
      <c r="J379" s="46"/>
      <c r="K379" s="45"/>
      <c r="L379" s="45">
        <f>SUBTOTAL(9,L376:L378)</f>
        <v>424658</v>
      </c>
      <c r="M379" s="45">
        <f>SUBTOTAL(9,M376:M378)</f>
        <v>1000000000</v>
      </c>
    </row>
    <row r="380" spans="1:13" s="48" customFormat="1" outlineLevel="2">
      <c r="A380" s="39" t="s">
        <v>257</v>
      </c>
      <c r="B380" s="40" t="s">
        <v>16</v>
      </c>
      <c r="C380" s="41" t="s">
        <v>258</v>
      </c>
      <c r="D380" s="40" t="s">
        <v>259</v>
      </c>
      <c r="E380" s="24">
        <v>3400000</v>
      </c>
      <c r="F380" s="39">
        <v>43927</v>
      </c>
      <c r="G380" s="24">
        <v>3400000</v>
      </c>
      <c r="H380" s="23">
        <v>5.0000000000000001E-3</v>
      </c>
      <c r="I380" s="39">
        <v>44197</v>
      </c>
      <c r="J380" s="39">
        <v>44227</v>
      </c>
      <c r="K380" s="24">
        <f t="shared" ref="K380:K406" si="18">J380-I380+1</f>
        <v>31</v>
      </c>
      <c r="L380" s="24">
        <f t="shared" ref="L380:L406" si="19">ROUND(G380*H380*K380/365,0)</f>
        <v>1444</v>
      </c>
      <c r="M380" s="24">
        <v>3400000</v>
      </c>
    </row>
    <row r="381" spans="1:13" s="48" customFormat="1" outlineLevel="2">
      <c r="A381" s="39" t="s">
        <v>257</v>
      </c>
      <c r="B381" s="40" t="s">
        <v>19</v>
      </c>
      <c r="C381" s="41" t="s">
        <v>260</v>
      </c>
      <c r="D381" s="40" t="s">
        <v>261</v>
      </c>
      <c r="E381" s="24">
        <v>620000</v>
      </c>
      <c r="F381" s="39">
        <v>44148</v>
      </c>
      <c r="G381" s="24">
        <v>560000</v>
      </c>
      <c r="H381" s="23">
        <v>5.0000000000000001E-3</v>
      </c>
      <c r="I381" s="39">
        <v>44197</v>
      </c>
      <c r="J381" s="39">
        <v>44210</v>
      </c>
      <c r="K381" s="24">
        <f t="shared" si="18"/>
        <v>14</v>
      </c>
      <c r="L381" s="24">
        <f t="shared" si="19"/>
        <v>107</v>
      </c>
      <c r="M381" s="24">
        <v>550000</v>
      </c>
    </row>
    <row r="382" spans="1:13" s="48" customFormat="1" outlineLevel="2">
      <c r="A382" s="39" t="s">
        <v>257</v>
      </c>
      <c r="B382" s="40" t="s">
        <v>19</v>
      </c>
      <c r="C382" s="41" t="s">
        <v>260</v>
      </c>
      <c r="D382" s="40"/>
      <c r="E382" s="24"/>
      <c r="F382" s="39"/>
      <c r="G382" s="24">
        <v>550000</v>
      </c>
      <c r="H382" s="23">
        <v>5.0000000000000001E-3</v>
      </c>
      <c r="I382" s="39">
        <v>44211</v>
      </c>
      <c r="J382" s="39">
        <v>44227</v>
      </c>
      <c r="K382" s="24">
        <f t="shared" si="18"/>
        <v>17</v>
      </c>
      <c r="L382" s="24">
        <f t="shared" si="19"/>
        <v>128</v>
      </c>
      <c r="M382" s="24"/>
    </row>
    <row r="383" spans="1:13" s="48" customFormat="1" outlineLevel="2">
      <c r="A383" s="39" t="s">
        <v>257</v>
      </c>
      <c r="B383" s="40" t="s">
        <v>22</v>
      </c>
      <c r="C383" s="41" t="s">
        <v>260</v>
      </c>
      <c r="D383" s="40" t="s">
        <v>261</v>
      </c>
      <c r="E383" s="24">
        <v>3910000</v>
      </c>
      <c r="F383" s="39">
        <v>44165</v>
      </c>
      <c r="G383" s="24">
        <v>3808000</v>
      </c>
      <c r="H383" s="23">
        <v>5.0000000000000001E-3</v>
      </c>
      <c r="I383" s="39">
        <v>44197</v>
      </c>
      <c r="J383" s="39">
        <v>44210</v>
      </c>
      <c r="K383" s="24">
        <f t="shared" si="18"/>
        <v>14</v>
      </c>
      <c r="L383" s="24">
        <f t="shared" si="19"/>
        <v>730</v>
      </c>
      <c r="M383" s="24">
        <v>3740000</v>
      </c>
    </row>
    <row r="384" spans="1:13" s="48" customFormat="1" outlineLevel="2">
      <c r="A384" s="39" t="s">
        <v>257</v>
      </c>
      <c r="B384" s="40" t="s">
        <v>22</v>
      </c>
      <c r="C384" s="41" t="s">
        <v>260</v>
      </c>
      <c r="D384" s="40"/>
      <c r="E384" s="24"/>
      <c r="F384" s="39"/>
      <c r="G384" s="24">
        <v>3740000</v>
      </c>
      <c r="H384" s="23">
        <v>5.0000000000000001E-3</v>
      </c>
      <c r="I384" s="39">
        <v>44211</v>
      </c>
      <c r="J384" s="39">
        <v>44227</v>
      </c>
      <c r="K384" s="24">
        <f t="shared" si="18"/>
        <v>17</v>
      </c>
      <c r="L384" s="24">
        <f t="shared" si="19"/>
        <v>871</v>
      </c>
      <c r="M384" s="24"/>
    </row>
    <row r="385" spans="1:13" s="48" customFormat="1" outlineLevel="2">
      <c r="A385" s="39" t="s">
        <v>257</v>
      </c>
      <c r="B385" s="40" t="s">
        <v>25</v>
      </c>
      <c r="C385" s="41" t="s">
        <v>260</v>
      </c>
      <c r="D385" s="40" t="s">
        <v>261</v>
      </c>
      <c r="E385" s="24">
        <v>4030000</v>
      </c>
      <c r="F385" s="39">
        <v>44165</v>
      </c>
      <c r="G385" s="24">
        <v>3920000</v>
      </c>
      <c r="H385" s="23">
        <v>5.0000000000000001E-3</v>
      </c>
      <c r="I385" s="39">
        <v>44197</v>
      </c>
      <c r="J385" s="39">
        <v>44210</v>
      </c>
      <c r="K385" s="24">
        <f t="shared" si="18"/>
        <v>14</v>
      </c>
      <c r="L385" s="24">
        <f t="shared" si="19"/>
        <v>752</v>
      </c>
      <c r="M385" s="24">
        <v>3850000</v>
      </c>
    </row>
    <row r="386" spans="1:13" s="48" customFormat="1" outlineLevel="2">
      <c r="A386" s="39" t="s">
        <v>257</v>
      </c>
      <c r="B386" s="40" t="s">
        <v>25</v>
      </c>
      <c r="C386" s="41" t="s">
        <v>260</v>
      </c>
      <c r="D386" s="40"/>
      <c r="E386" s="24"/>
      <c r="F386" s="39"/>
      <c r="G386" s="24">
        <v>3850000</v>
      </c>
      <c r="H386" s="23">
        <v>5.0000000000000001E-3</v>
      </c>
      <c r="I386" s="39">
        <v>44211</v>
      </c>
      <c r="J386" s="39">
        <v>44227</v>
      </c>
      <c r="K386" s="24">
        <f t="shared" si="18"/>
        <v>17</v>
      </c>
      <c r="L386" s="24">
        <f t="shared" si="19"/>
        <v>897</v>
      </c>
      <c r="M386" s="24"/>
    </row>
    <row r="387" spans="1:13" s="48" customFormat="1" outlineLevel="2">
      <c r="A387" s="39" t="s">
        <v>257</v>
      </c>
      <c r="B387" s="40" t="s">
        <v>26</v>
      </c>
      <c r="C387" s="41" t="s">
        <v>260</v>
      </c>
      <c r="D387" s="40" t="s">
        <v>261</v>
      </c>
      <c r="E387" s="24">
        <v>570000</v>
      </c>
      <c r="F387" s="39">
        <v>44155</v>
      </c>
      <c r="G387" s="24">
        <v>570000</v>
      </c>
      <c r="H387" s="23">
        <v>5.0000000000000001E-3</v>
      </c>
      <c r="I387" s="39">
        <v>44197</v>
      </c>
      <c r="J387" s="39">
        <v>44227</v>
      </c>
      <c r="K387" s="24">
        <f t="shared" si="18"/>
        <v>31</v>
      </c>
      <c r="L387" s="24">
        <f t="shared" si="19"/>
        <v>242</v>
      </c>
      <c r="M387" s="24">
        <v>570000</v>
      </c>
    </row>
    <row r="388" spans="1:13" s="48" customFormat="1" outlineLevel="2">
      <c r="A388" s="39" t="s">
        <v>257</v>
      </c>
      <c r="B388" s="40" t="s">
        <v>29</v>
      </c>
      <c r="C388" s="41" t="s">
        <v>260</v>
      </c>
      <c r="D388" s="40" t="s">
        <v>261</v>
      </c>
      <c r="E388" s="24">
        <v>6000000</v>
      </c>
      <c r="F388" s="39">
        <v>44155</v>
      </c>
      <c r="G388" s="24">
        <v>6000000</v>
      </c>
      <c r="H388" s="23">
        <v>5.0000000000000001E-3</v>
      </c>
      <c r="I388" s="39">
        <v>44197</v>
      </c>
      <c r="J388" s="39">
        <v>44227</v>
      </c>
      <c r="K388" s="24">
        <f t="shared" si="18"/>
        <v>31</v>
      </c>
      <c r="L388" s="24">
        <f t="shared" si="19"/>
        <v>2548</v>
      </c>
      <c r="M388" s="24">
        <v>6000000</v>
      </c>
    </row>
    <row r="389" spans="1:13" s="48" customFormat="1" outlineLevel="2">
      <c r="A389" s="39" t="s">
        <v>257</v>
      </c>
      <c r="B389" s="40" t="s">
        <v>32</v>
      </c>
      <c r="C389" s="41" t="s">
        <v>260</v>
      </c>
      <c r="D389" s="40" t="s">
        <v>261</v>
      </c>
      <c r="E389" s="24">
        <v>270000</v>
      </c>
      <c r="F389" s="39">
        <v>44181</v>
      </c>
      <c r="G389" s="24">
        <v>270000</v>
      </c>
      <c r="H389" s="23">
        <v>5.0000000000000001E-3</v>
      </c>
      <c r="I389" s="39">
        <v>44197</v>
      </c>
      <c r="J389" s="39">
        <v>44210</v>
      </c>
      <c r="K389" s="24">
        <f t="shared" si="18"/>
        <v>14</v>
      </c>
      <c r="L389" s="24">
        <f t="shared" si="19"/>
        <v>52</v>
      </c>
      <c r="M389" s="24">
        <v>220000</v>
      </c>
    </row>
    <row r="390" spans="1:13" s="48" customFormat="1" outlineLevel="2">
      <c r="A390" s="39" t="s">
        <v>257</v>
      </c>
      <c r="B390" s="40" t="s">
        <v>32</v>
      </c>
      <c r="C390" s="41" t="s">
        <v>260</v>
      </c>
      <c r="D390" s="40"/>
      <c r="E390" s="24"/>
      <c r="F390" s="39"/>
      <c r="G390" s="24">
        <v>220000</v>
      </c>
      <c r="H390" s="23">
        <v>5.0000000000000001E-3</v>
      </c>
      <c r="I390" s="39">
        <v>44211</v>
      </c>
      <c r="J390" s="39">
        <v>44227</v>
      </c>
      <c r="K390" s="24">
        <f t="shared" si="18"/>
        <v>17</v>
      </c>
      <c r="L390" s="24">
        <f t="shared" si="19"/>
        <v>51</v>
      </c>
      <c r="M390" s="24"/>
    </row>
    <row r="391" spans="1:13" s="48" customFormat="1" outlineLevel="2">
      <c r="A391" s="39" t="s">
        <v>257</v>
      </c>
      <c r="B391" s="40" t="s">
        <v>33</v>
      </c>
      <c r="C391" s="41" t="s">
        <v>260</v>
      </c>
      <c r="D391" s="40" t="s">
        <v>261</v>
      </c>
      <c r="E391" s="24">
        <v>2400000</v>
      </c>
      <c r="F391" s="39">
        <v>44181</v>
      </c>
      <c r="G391" s="24">
        <v>2400000</v>
      </c>
      <c r="H391" s="23">
        <v>5.0000000000000001E-3</v>
      </c>
      <c r="I391" s="39">
        <v>44197</v>
      </c>
      <c r="J391" s="39">
        <v>44227</v>
      </c>
      <c r="K391" s="24">
        <f t="shared" si="18"/>
        <v>31</v>
      </c>
      <c r="L391" s="24">
        <f t="shared" si="19"/>
        <v>1019</v>
      </c>
      <c r="M391" s="24">
        <v>2400000</v>
      </c>
    </row>
    <row r="392" spans="1:13" s="48" customFormat="1" outlineLevel="2">
      <c r="A392" s="39" t="s">
        <v>257</v>
      </c>
      <c r="B392" s="40" t="s">
        <v>34</v>
      </c>
      <c r="C392" s="41" t="s">
        <v>260</v>
      </c>
      <c r="D392" s="40" t="s">
        <v>261</v>
      </c>
      <c r="E392" s="24">
        <v>11000000</v>
      </c>
      <c r="F392" s="39">
        <v>44181</v>
      </c>
      <c r="G392" s="24">
        <v>11000000</v>
      </c>
      <c r="H392" s="23">
        <v>5.0000000000000001E-3</v>
      </c>
      <c r="I392" s="39">
        <v>44197</v>
      </c>
      <c r="J392" s="39">
        <v>44227</v>
      </c>
      <c r="K392" s="24">
        <f t="shared" si="18"/>
        <v>31</v>
      </c>
      <c r="L392" s="24">
        <f t="shared" si="19"/>
        <v>4671</v>
      </c>
      <c r="M392" s="24">
        <v>11000000</v>
      </c>
    </row>
    <row r="393" spans="1:13" s="48" customFormat="1" outlineLevel="2">
      <c r="A393" s="39" t="s">
        <v>257</v>
      </c>
      <c r="B393" s="40" t="s">
        <v>35</v>
      </c>
      <c r="C393" s="41" t="s">
        <v>260</v>
      </c>
      <c r="D393" s="40" t="s">
        <v>261</v>
      </c>
      <c r="E393" s="24">
        <v>220000</v>
      </c>
      <c r="F393" s="39">
        <v>44215</v>
      </c>
      <c r="G393" s="24">
        <v>220000</v>
      </c>
      <c r="H393" s="23">
        <v>5.0000000000000001E-3</v>
      </c>
      <c r="I393" s="39">
        <v>44215</v>
      </c>
      <c r="J393" s="39">
        <v>44227</v>
      </c>
      <c r="K393" s="24">
        <f t="shared" si="18"/>
        <v>13</v>
      </c>
      <c r="L393" s="24">
        <f t="shared" si="19"/>
        <v>39</v>
      </c>
      <c r="M393" s="24">
        <v>220000</v>
      </c>
    </row>
    <row r="394" spans="1:13" s="48" customFormat="1" outlineLevel="2">
      <c r="A394" s="39" t="s">
        <v>257</v>
      </c>
      <c r="B394" s="40" t="s">
        <v>36</v>
      </c>
      <c r="C394" s="41" t="s">
        <v>260</v>
      </c>
      <c r="D394" s="40" t="s">
        <v>261</v>
      </c>
      <c r="E394" s="24">
        <v>1000000</v>
      </c>
      <c r="F394" s="39">
        <v>44215</v>
      </c>
      <c r="G394" s="24">
        <v>1000000</v>
      </c>
      <c r="H394" s="23">
        <v>5.0000000000000001E-3</v>
      </c>
      <c r="I394" s="39">
        <v>44215</v>
      </c>
      <c r="J394" s="39">
        <v>44227</v>
      </c>
      <c r="K394" s="24">
        <f t="shared" si="18"/>
        <v>13</v>
      </c>
      <c r="L394" s="24">
        <f t="shared" si="19"/>
        <v>178</v>
      </c>
      <c r="M394" s="24">
        <v>1000000</v>
      </c>
    </row>
    <row r="395" spans="1:13" s="48" customFormat="1" outlineLevel="2">
      <c r="A395" s="39" t="s">
        <v>257</v>
      </c>
      <c r="B395" s="40" t="s">
        <v>39</v>
      </c>
      <c r="C395" s="41" t="s">
        <v>258</v>
      </c>
      <c r="D395" s="40" t="s">
        <v>259</v>
      </c>
      <c r="E395" s="24">
        <v>70440000</v>
      </c>
      <c r="F395" s="39">
        <v>43951</v>
      </c>
      <c r="G395" s="24">
        <v>70440000</v>
      </c>
      <c r="H395" s="23">
        <v>5.0000000000000001E-3</v>
      </c>
      <c r="I395" s="39">
        <v>44197</v>
      </c>
      <c r="J395" s="39">
        <v>44227</v>
      </c>
      <c r="K395" s="24">
        <f t="shared" si="18"/>
        <v>31</v>
      </c>
      <c r="L395" s="24">
        <f t="shared" si="19"/>
        <v>29913</v>
      </c>
      <c r="M395" s="24">
        <v>70440000</v>
      </c>
    </row>
    <row r="396" spans="1:13" s="48" customFormat="1" outlineLevel="2">
      <c r="A396" s="39" t="s">
        <v>257</v>
      </c>
      <c r="B396" s="40" t="s">
        <v>54</v>
      </c>
      <c r="C396" s="41" t="s">
        <v>248</v>
      </c>
      <c r="D396" s="40" t="s">
        <v>249</v>
      </c>
      <c r="E396" s="24">
        <v>182300000</v>
      </c>
      <c r="F396" s="39">
        <v>43959</v>
      </c>
      <c r="G396" s="24">
        <v>182300000</v>
      </c>
      <c r="H396" s="23">
        <v>5.0000000000000001E-3</v>
      </c>
      <c r="I396" s="39">
        <v>44197</v>
      </c>
      <c r="J396" s="39">
        <v>44227</v>
      </c>
      <c r="K396" s="24">
        <f t="shared" si="18"/>
        <v>31</v>
      </c>
      <c r="L396" s="24">
        <f t="shared" si="19"/>
        <v>77415</v>
      </c>
      <c r="M396" s="24">
        <v>182300000</v>
      </c>
    </row>
    <row r="397" spans="1:13" s="48" customFormat="1" outlineLevel="2">
      <c r="A397" s="39" t="s">
        <v>257</v>
      </c>
      <c r="B397" s="40" t="s">
        <v>59</v>
      </c>
      <c r="C397" s="41" t="s">
        <v>260</v>
      </c>
      <c r="D397" s="40" t="s">
        <v>261</v>
      </c>
      <c r="E397" s="24">
        <v>610000</v>
      </c>
      <c r="F397" s="39">
        <v>44085</v>
      </c>
      <c r="G397" s="24">
        <v>560000</v>
      </c>
      <c r="H397" s="23">
        <v>5.0000000000000001E-3</v>
      </c>
      <c r="I397" s="39">
        <v>44197</v>
      </c>
      <c r="J397" s="39">
        <v>44210</v>
      </c>
      <c r="K397" s="24">
        <f t="shared" si="18"/>
        <v>14</v>
      </c>
      <c r="L397" s="24">
        <f t="shared" si="19"/>
        <v>107</v>
      </c>
      <c r="M397" s="24">
        <v>550000</v>
      </c>
    </row>
    <row r="398" spans="1:13" s="48" customFormat="1" outlineLevel="2">
      <c r="A398" s="39" t="s">
        <v>257</v>
      </c>
      <c r="B398" s="40" t="s">
        <v>59</v>
      </c>
      <c r="C398" s="41" t="s">
        <v>260</v>
      </c>
      <c r="D398" s="40"/>
      <c r="E398" s="24"/>
      <c r="F398" s="39"/>
      <c r="G398" s="24">
        <v>550000</v>
      </c>
      <c r="H398" s="23">
        <v>5.0000000000000001E-3</v>
      </c>
      <c r="I398" s="39">
        <v>44211</v>
      </c>
      <c r="J398" s="39">
        <v>44227</v>
      </c>
      <c r="K398" s="24">
        <f t="shared" si="18"/>
        <v>17</v>
      </c>
      <c r="L398" s="24">
        <f t="shared" si="19"/>
        <v>128</v>
      </c>
      <c r="M398" s="24"/>
    </row>
    <row r="399" spans="1:13" s="48" customFormat="1" outlineLevel="2">
      <c r="A399" s="39" t="s">
        <v>257</v>
      </c>
      <c r="B399" s="40" t="s">
        <v>62</v>
      </c>
      <c r="C399" s="41" t="s">
        <v>262</v>
      </c>
      <c r="D399" s="40" t="s">
        <v>259</v>
      </c>
      <c r="E399" s="24">
        <v>18080000</v>
      </c>
      <c r="F399" s="39">
        <v>44102</v>
      </c>
      <c r="G399" s="24">
        <v>18080000</v>
      </c>
      <c r="H399" s="23">
        <v>5.0000000000000001E-3</v>
      </c>
      <c r="I399" s="39">
        <v>44197</v>
      </c>
      <c r="J399" s="39">
        <v>44227</v>
      </c>
      <c r="K399" s="24">
        <f t="shared" si="18"/>
        <v>31</v>
      </c>
      <c r="L399" s="24">
        <f t="shared" si="19"/>
        <v>7678</v>
      </c>
      <c r="M399" s="24">
        <v>18080000</v>
      </c>
    </row>
    <row r="400" spans="1:13" s="48" customFormat="1" outlineLevel="2">
      <c r="A400" s="39" t="s">
        <v>257</v>
      </c>
      <c r="B400" s="40" t="s">
        <v>63</v>
      </c>
      <c r="C400" s="41" t="s">
        <v>262</v>
      </c>
      <c r="D400" s="40" t="s">
        <v>259</v>
      </c>
      <c r="E400" s="24">
        <v>50630000</v>
      </c>
      <c r="F400" s="39">
        <v>44131</v>
      </c>
      <c r="G400" s="24">
        <v>50630000</v>
      </c>
      <c r="H400" s="23">
        <v>5.0000000000000001E-3</v>
      </c>
      <c r="I400" s="39">
        <v>44197</v>
      </c>
      <c r="J400" s="39">
        <v>44227</v>
      </c>
      <c r="K400" s="24">
        <f t="shared" si="18"/>
        <v>31</v>
      </c>
      <c r="L400" s="24">
        <f t="shared" si="19"/>
        <v>21500</v>
      </c>
      <c r="M400" s="24">
        <v>50630000</v>
      </c>
    </row>
    <row r="401" spans="1:13" s="48" customFormat="1" outlineLevel="2">
      <c r="A401" s="39" t="s">
        <v>257</v>
      </c>
      <c r="B401" s="40" t="s">
        <v>64</v>
      </c>
      <c r="C401" s="41" t="s">
        <v>260</v>
      </c>
      <c r="D401" s="40" t="s">
        <v>261</v>
      </c>
      <c r="E401" s="24">
        <v>710000</v>
      </c>
      <c r="F401" s="39">
        <v>44110</v>
      </c>
      <c r="G401" s="24">
        <v>672000</v>
      </c>
      <c r="H401" s="23">
        <v>5.0000000000000001E-3</v>
      </c>
      <c r="I401" s="39">
        <v>44197</v>
      </c>
      <c r="J401" s="39">
        <v>44210</v>
      </c>
      <c r="K401" s="24">
        <f t="shared" si="18"/>
        <v>14</v>
      </c>
      <c r="L401" s="24">
        <f t="shared" si="19"/>
        <v>129</v>
      </c>
      <c r="M401" s="24">
        <v>660000</v>
      </c>
    </row>
    <row r="402" spans="1:13" s="48" customFormat="1" outlineLevel="2">
      <c r="A402" s="39" t="s">
        <v>257</v>
      </c>
      <c r="B402" s="40" t="s">
        <v>64</v>
      </c>
      <c r="C402" s="41" t="s">
        <v>260</v>
      </c>
      <c r="D402" s="40"/>
      <c r="E402" s="24"/>
      <c r="F402" s="39"/>
      <c r="G402" s="24">
        <v>660000</v>
      </c>
      <c r="H402" s="23">
        <v>5.0000000000000001E-3</v>
      </c>
      <c r="I402" s="39">
        <v>44211</v>
      </c>
      <c r="J402" s="39">
        <v>44227</v>
      </c>
      <c r="K402" s="24">
        <f t="shared" si="18"/>
        <v>17</v>
      </c>
      <c r="L402" s="24">
        <f t="shared" si="19"/>
        <v>154</v>
      </c>
      <c r="M402" s="24"/>
    </row>
    <row r="403" spans="1:13" s="48" customFormat="1" outlineLevel="2">
      <c r="A403" s="39" t="s">
        <v>257</v>
      </c>
      <c r="B403" s="40" t="s">
        <v>65</v>
      </c>
      <c r="C403" s="41" t="s">
        <v>260</v>
      </c>
      <c r="D403" s="40" t="s">
        <v>261</v>
      </c>
      <c r="E403" s="24">
        <v>830000</v>
      </c>
      <c r="F403" s="39">
        <v>44137</v>
      </c>
      <c r="G403" s="24">
        <v>784000</v>
      </c>
      <c r="H403" s="23">
        <v>5.0000000000000001E-3</v>
      </c>
      <c r="I403" s="39">
        <v>44197</v>
      </c>
      <c r="J403" s="39">
        <v>44210</v>
      </c>
      <c r="K403" s="24">
        <f t="shared" si="18"/>
        <v>14</v>
      </c>
      <c r="L403" s="24">
        <f t="shared" si="19"/>
        <v>150</v>
      </c>
      <c r="M403" s="24">
        <v>770000</v>
      </c>
    </row>
    <row r="404" spans="1:13" s="48" customFormat="1" outlineLevel="2">
      <c r="A404" s="39" t="s">
        <v>257</v>
      </c>
      <c r="B404" s="40" t="s">
        <v>65</v>
      </c>
      <c r="C404" s="41" t="s">
        <v>260</v>
      </c>
      <c r="D404" s="40"/>
      <c r="E404" s="24"/>
      <c r="F404" s="39"/>
      <c r="G404" s="24">
        <v>770000</v>
      </c>
      <c r="H404" s="23">
        <v>5.0000000000000001E-3</v>
      </c>
      <c r="I404" s="39">
        <v>44211</v>
      </c>
      <c r="J404" s="39">
        <v>44227</v>
      </c>
      <c r="K404" s="24">
        <f t="shared" si="18"/>
        <v>17</v>
      </c>
      <c r="L404" s="24">
        <f t="shared" si="19"/>
        <v>179</v>
      </c>
      <c r="M404" s="24"/>
    </row>
    <row r="405" spans="1:13" s="48" customFormat="1" outlineLevel="2">
      <c r="A405" s="39" t="s">
        <v>257</v>
      </c>
      <c r="B405" s="40" t="s">
        <v>68</v>
      </c>
      <c r="C405" s="41" t="s">
        <v>260</v>
      </c>
      <c r="D405" s="40" t="s">
        <v>261</v>
      </c>
      <c r="E405" s="24">
        <v>180000</v>
      </c>
      <c r="F405" s="39">
        <v>44141</v>
      </c>
      <c r="G405" s="24">
        <v>168000</v>
      </c>
      <c r="H405" s="23">
        <v>5.0000000000000001E-3</v>
      </c>
      <c r="I405" s="39">
        <v>44197</v>
      </c>
      <c r="J405" s="39">
        <v>44210</v>
      </c>
      <c r="K405" s="24">
        <f t="shared" si="18"/>
        <v>14</v>
      </c>
      <c r="L405" s="24">
        <f t="shared" si="19"/>
        <v>32</v>
      </c>
      <c r="M405" s="24">
        <v>165000</v>
      </c>
    </row>
    <row r="406" spans="1:13" s="48" customFormat="1" outlineLevel="2">
      <c r="A406" s="39" t="s">
        <v>257</v>
      </c>
      <c r="B406" s="40" t="s">
        <v>68</v>
      </c>
      <c r="C406" s="41" t="s">
        <v>260</v>
      </c>
      <c r="D406" s="40"/>
      <c r="E406" s="24"/>
      <c r="F406" s="39"/>
      <c r="G406" s="24">
        <v>165000</v>
      </c>
      <c r="H406" s="23">
        <v>5.0000000000000001E-3</v>
      </c>
      <c r="I406" s="39">
        <v>44211</v>
      </c>
      <c r="J406" s="39">
        <v>44227</v>
      </c>
      <c r="K406" s="24">
        <f t="shared" si="18"/>
        <v>17</v>
      </c>
      <c r="L406" s="24">
        <f t="shared" si="19"/>
        <v>38</v>
      </c>
      <c r="M406" s="24"/>
    </row>
    <row r="407" spans="1:13" s="48" customFormat="1" outlineLevel="1">
      <c r="A407" s="42" t="s">
        <v>263</v>
      </c>
      <c r="B407" s="43"/>
      <c r="C407" s="44"/>
      <c r="D407" s="43"/>
      <c r="E407" s="45">
        <f>SUBTOTAL(9,E380:E406)</f>
        <v>357200000</v>
      </c>
      <c r="F407" s="46"/>
      <c r="G407" s="45"/>
      <c r="H407" s="47"/>
      <c r="I407" s="46"/>
      <c r="J407" s="46"/>
      <c r="K407" s="45"/>
      <c r="L407" s="45">
        <f>SUBTOTAL(9,L380:L406)</f>
        <v>151152</v>
      </c>
      <c r="M407" s="45">
        <f>SUBTOTAL(9,M380:M406)</f>
        <v>356545000</v>
      </c>
    </row>
    <row r="408" spans="1:13" s="48" customFormat="1" outlineLevel="2">
      <c r="A408" s="39" t="s">
        <v>264</v>
      </c>
      <c r="B408" s="40" t="s">
        <v>16</v>
      </c>
      <c r="C408" s="41" t="s">
        <v>27</v>
      </c>
      <c r="D408" s="40" t="s">
        <v>28</v>
      </c>
      <c r="E408" s="24">
        <v>26000000</v>
      </c>
      <c r="F408" s="39">
        <v>44140</v>
      </c>
      <c r="G408" s="24">
        <v>26000000</v>
      </c>
      <c r="H408" s="23">
        <v>5.0000000000000001E-3</v>
      </c>
      <c r="I408" s="39">
        <v>44197</v>
      </c>
      <c r="J408" s="39">
        <v>44227</v>
      </c>
      <c r="K408" s="24">
        <f>J408-I408+1</f>
        <v>31</v>
      </c>
      <c r="L408" s="24">
        <f>ROUND(G408*H408*K408/365,0)</f>
        <v>11041</v>
      </c>
      <c r="M408" s="24">
        <v>26000000</v>
      </c>
    </row>
    <row r="409" spans="1:13" s="48" customFormat="1" outlineLevel="2">
      <c r="A409" s="39" t="s">
        <v>264</v>
      </c>
      <c r="B409" s="40" t="s">
        <v>39</v>
      </c>
      <c r="C409" s="41" t="s">
        <v>27</v>
      </c>
      <c r="D409" s="40" t="s">
        <v>28</v>
      </c>
      <c r="E409" s="24">
        <v>10250000</v>
      </c>
      <c r="F409" s="39">
        <v>44140</v>
      </c>
      <c r="G409" s="24">
        <v>10250000</v>
      </c>
      <c r="H409" s="23">
        <v>5.0000000000000001E-3</v>
      </c>
      <c r="I409" s="39">
        <v>44197</v>
      </c>
      <c r="J409" s="39">
        <v>44227</v>
      </c>
      <c r="K409" s="24">
        <f>J409-I409+1</f>
        <v>31</v>
      </c>
      <c r="L409" s="24">
        <f>ROUND(G409*H409*K409/365,0)</f>
        <v>4353</v>
      </c>
      <c r="M409" s="24">
        <v>10250000</v>
      </c>
    </row>
    <row r="410" spans="1:13" s="48" customFormat="1" outlineLevel="2">
      <c r="A410" s="39" t="s">
        <v>264</v>
      </c>
      <c r="B410" s="40" t="s">
        <v>54</v>
      </c>
      <c r="C410" s="41" t="s">
        <v>27</v>
      </c>
      <c r="D410" s="40" t="s">
        <v>28</v>
      </c>
      <c r="E410" s="24">
        <v>3960000</v>
      </c>
      <c r="F410" s="39">
        <v>44148</v>
      </c>
      <c r="G410" s="24">
        <v>3960000</v>
      </c>
      <c r="H410" s="23">
        <v>5.0000000000000001E-3</v>
      </c>
      <c r="I410" s="39">
        <v>44197</v>
      </c>
      <c r="J410" s="39">
        <v>44227</v>
      </c>
      <c r="K410" s="24">
        <f>J410-I410+1</f>
        <v>31</v>
      </c>
      <c r="L410" s="24">
        <f>ROUND(G410*H410*K410/365,0)</f>
        <v>1682</v>
      </c>
      <c r="M410" s="24">
        <v>3960000</v>
      </c>
    </row>
    <row r="411" spans="1:13" s="48" customFormat="1" outlineLevel="1">
      <c r="A411" s="42" t="s">
        <v>265</v>
      </c>
      <c r="B411" s="43"/>
      <c r="C411" s="44"/>
      <c r="D411" s="43"/>
      <c r="E411" s="45">
        <f>SUBTOTAL(9,E408:E410)</f>
        <v>40210000</v>
      </c>
      <c r="F411" s="46"/>
      <c r="G411" s="45"/>
      <c r="H411" s="47"/>
      <c r="I411" s="46"/>
      <c r="J411" s="46"/>
      <c r="K411" s="45"/>
      <c r="L411" s="45">
        <f>SUBTOTAL(9,L408:L410)</f>
        <v>17076</v>
      </c>
      <c r="M411" s="45">
        <f>SUBTOTAL(9,M408:M410)</f>
        <v>40210000</v>
      </c>
    </row>
    <row r="412" spans="1:13" s="48" customFormat="1" outlineLevel="2">
      <c r="A412" s="39" t="s">
        <v>266</v>
      </c>
      <c r="B412" s="40" t="s">
        <v>16</v>
      </c>
      <c r="C412" s="41" t="s">
        <v>128</v>
      </c>
      <c r="D412" s="40" t="s">
        <v>129</v>
      </c>
      <c r="E412" s="24">
        <v>50000000</v>
      </c>
      <c r="F412" s="39">
        <v>44099</v>
      </c>
      <c r="G412" s="24">
        <v>50000000</v>
      </c>
      <c r="H412" s="23">
        <v>5.0000000000000001E-3</v>
      </c>
      <c r="I412" s="39">
        <v>44197</v>
      </c>
      <c r="J412" s="39">
        <v>44227</v>
      </c>
      <c r="K412" s="24">
        <f>J412-I412+1</f>
        <v>31</v>
      </c>
      <c r="L412" s="24">
        <f>ROUND(G412*H412*K412/365,0)</f>
        <v>21233</v>
      </c>
      <c r="M412" s="24">
        <v>50000000</v>
      </c>
    </row>
    <row r="413" spans="1:13" s="48" customFormat="1" outlineLevel="1">
      <c r="A413" s="42" t="s">
        <v>267</v>
      </c>
      <c r="B413" s="43"/>
      <c r="C413" s="44"/>
      <c r="D413" s="43"/>
      <c r="E413" s="45">
        <f>SUBTOTAL(9,E412:E412)</f>
        <v>50000000</v>
      </c>
      <c r="F413" s="46"/>
      <c r="G413" s="45"/>
      <c r="H413" s="47"/>
      <c r="I413" s="46"/>
      <c r="J413" s="46"/>
      <c r="K413" s="45"/>
      <c r="L413" s="45">
        <f>SUBTOTAL(9,L412:L412)</f>
        <v>21233</v>
      </c>
      <c r="M413" s="45">
        <f>SUBTOTAL(9,M412:M412)</f>
        <v>50000000</v>
      </c>
    </row>
    <row r="414" spans="1:13" s="48" customFormat="1" outlineLevel="2">
      <c r="A414" s="39" t="s">
        <v>268</v>
      </c>
      <c r="B414" s="40" t="s">
        <v>16</v>
      </c>
      <c r="C414" s="41" t="s">
        <v>20</v>
      </c>
      <c r="D414" s="40" t="s">
        <v>21</v>
      </c>
      <c r="E414" s="24">
        <v>43200000</v>
      </c>
      <c r="F414" s="39">
        <v>43937</v>
      </c>
      <c r="G414" s="24">
        <v>43200000</v>
      </c>
      <c r="H414" s="23">
        <v>3.0000000000000001E-3</v>
      </c>
      <c r="I414" s="39">
        <v>44197</v>
      </c>
      <c r="J414" s="39">
        <v>44227</v>
      </c>
      <c r="K414" s="24">
        <f>J414-I414+1</f>
        <v>31</v>
      </c>
      <c r="L414" s="24">
        <f>ROUND(G414*H414*K414/365,0)</f>
        <v>11007</v>
      </c>
      <c r="M414" s="24">
        <v>43200000</v>
      </c>
    </row>
    <row r="415" spans="1:13" s="48" customFormat="1" outlineLevel="2">
      <c r="A415" s="39" t="s">
        <v>268</v>
      </c>
      <c r="B415" s="40" t="s">
        <v>39</v>
      </c>
      <c r="C415" s="41" t="s">
        <v>20</v>
      </c>
      <c r="D415" s="40" t="s">
        <v>21</v>
      </c>
      <c r="E415" s="24">
        <v>330000000</v>
      </c>
      <c r="F415" s="39">
        <v>44013</v>
      </c>
      <c r="G415" s="24">
        <v>330000000</v>
      </c>
      <c r="H415" s="23">
        <v>3.0000000000000001E-3</v>
      </c>
      <c r="I415" s="39">
        <v>44197</v>
      </c>
      <c r="J415" s="39">
        <v>44227</v>
      </c>
      <c r="K415" s="24">
        <f>J415-I415+1</f>
        <v>31</v>
      </c>
      <c r="L415" s="24">
        <f>ROUND(G415*H415*K415/365,0)</f>
        <v>84082</v>
      </c>
      <c r="M415" s="24">
        <v>330000000</v>
      </c>
    </row>
    <row r="416" spans="1:13" s="48" customFormat="1" outlineLevel="2">
      <c r="A416" s="39" t="s">
        <v>268</v>
      </c>
      <c r="B416" s="40" t="s">
        <v>54</v>
      </c>
      <c r="C416" s="41" t="s">
        <v>20</v>
      </c>
      <c r="D416" s="40" t="s">
        <v>21</v>
      </c>
      <c r="E416" s="24">
        <v>120000000</v>
      </c>
      <c r="F416" s="39">
        <v>44049</v>
      </c>
      <c r="G416" s="24">
        <v>120000000</v>
      </c>
      <c r="H416" s="23">
        <v>3.0000000000000001E-3</v>
      </c>
      <c r="I416" s="39">
        <v>44197</v>
      </c>
      <c r="J416" s="39">
        <v>44227</v>
      </c>
      <c r="K416" s="24">
        <f>J416-I416+1</f>
        <v>31</v>
      </c>
      <c r="L416" s="24">
        <f>ROUND(G416*H416*K416/365,0)</f>
        <v>30575</v>
      </c>
      <c r="M416" s="24">
        <v>120000000</v>
      </c>
    </row>
    <row r="417" spans="1:13" s="48" customFormat="1" outlineLevel="2">
      <c r="A417" s="39" t="s">
        <v>268</v>
      </c>
      <c r="B417" s="40" t="s">
        <v>59</v>
      </c>
      <c r="C417" s="41" t="s">
        <v>20</v>
      </c>
      <c r="D417" s="40" t="s">
        <v>21</v>
      </c>
      <c r="E417" s="24">
        <v>39840000</v>
      </c>
      <c r="F417" s="39">
        <v>44111</v>
      </c>
      <c r="G417" s="24">
        <v>39840000</v>
      </c>
      <c r="H417" s="23">
        <v>3.0000000000000001E-3</v>
      </c>
      <c r="I417" s="39">
        <v>44197</v>
      </c>
      <c r="J417" s="39">
        <v>44227</v>
      </c>
      <c r="K417" s="24">
        <f>J417-I417+1</f>
        <v>31</v>
      </c>
      <c r="L417" s="24">
        <f>ROUND(G417*H417*K417/365,0)</f>
        <v>10151</v>
      </c>
      <c r="M417" s="24">
        <v>39840000</v>
      </c>
    </row>
    <row r="418" spans="1:13" s="48" customFormat="1" outlineLevel="1">
      <c r="A418" s="42" t="s">
        <v>269</v>
      </c>
      <c r="B418" s="43"/>
      <c r="C418" s="44"/>
      <c r="D418" s="43"/>
      <c r="E418" s="45">
        <f>SUBTOTAL(9,E414:E417)</f>
        <v>533040000</v>
      </c>
      <c r="F418" s="46"/>
      <c r="G418" s="45"/>
      <c r="H418" s="47"/>
      <c r="I418" s="46"/>
      <c r="J418" s="46"/>
      <c r="K418" s="45"/>
      <c r="L418" s="45">
        <f>SUBTOTAL(9,L414:L417)</f>
        <v>135815</v>
      </c>
      <c r="M418" s="45">
        <f>SUBTOTAL(9,M414:M417)</f>
        <v>533040000</v>
      </c>
    </row>
    <row r="419" spans="1:13" s="48" customFormat="1" outlineLevel="2">
      <c r="A419" s="39" t="s">
        <v>270</v>
      </c>
      <c r="B419" s="40" t="s">
        <v>16</v>
      </c>
      <c r="C419" s="41" t="s">
        <v>271</v>
      </c>
      <c r="D419" s="40" t="s">
        <v>272</v>
      </c>
      <c r="E419" s="24">
        <v>126000000</v>
      </c>
      <c r="F419" s="39">
        <v>43804</v>
      </c>
      <c r="G419" s="24">
        <v>126000000</v>
      </c>
      <c r="H419" s="23">
        <v>5.0000000000000001E-3</v>
      </c>
      <c r="I419" s="39">
        <v>44197</v>
      </c>
      <c r="J419" s="39">
        <v>44227</v>
      </c>
      <c r="K419" s="24">
        <f t="shared" ref="K419:K482" si="20">J419-I419+1</f>
        <v>31</v>
      </c>
      <c r="L419" s="24">
        <f t="shared" ref="L419:L482" si="21">ROUND(G419*H419*K419/365,0)</f>
        <v>53507</v>
      </c>
      <c r="M419" s="24">
        <v>126000000</v>
      </c>
    </row>
    <row r="420" spans="1:13" s="48" customFormat="1" outlineLevel="2">
      <c r="A420" s="39" t="s">
        <v>270</v>
      </c>
      <c r="B420" s="40" t="s">
        <v>19</v>
      </c>
      <c r="C420" s="41" t="s">
        <v>273</v>
      </c>
      <c r="D420" s="40" t="s">
        <v>272</v>
      </c>
      <c r="E420" s="24">
        <v>46600000</v>
      </c>
      <c r="F420" s="39">
        <v>43866</v>
      </c>
      <c r="G420" s="24">
        <v>46600000</v>
      </c>
      <c r="H420" s="23">
        <v>5.0000000000000001E-3</v>
      </c>
      <c r="I420" s="39">
        <v>44197</v>
      </c>
      <c r="J420" s="39">
        <v>44227</v>
      </c>
      <c r="K420" s="24">
        <f t="shared" si="20"/>
        <v>31</v>
      </c>
      <c r="L420" s="24">
        <f t="shared" si="21"/>
        <v>19789</v>
      </c>
      <c r="M420" s="24">
        <v>46600000</v>
      </c>
    </row>
    <row r="421" spans="1:13" s="48" customFormat="1" outlineLevel="2">
      <c r="A421" s="39" t="s">
        <v>270</v>
      </c>
      <c r="B421" s="40" t="s">
        <v>22</v>
      </c>
      <c r="C421" s="41" t="s">
        <v>273</v>
      </c>
      <c r="D421" s="40" t="s">
        <v>272</v>
      </c>
      <c r="E421" s="24">
        <v>1300000</v>
      </c>
      <c r="F421" s="39">
        <v>43866</v>
      </c>
      <c r="G421" s="24">
        <v>1300000</v>
      </c>
      <c r="H421" s="23">
        <v>5.0000000000000001E-3</v>
      </c>
      <c r="I421" s="39">
        <v>44197</v>
      </c>
      <c r="J421" s="39">
        <v>44227</v>
      </c>
      <c r="K421" s="24">
        <f t="shared" si="20"/>
        <v>31</v>
      </c>
      <c r="L421" s="24">
        <f t="shared" si="21"/>
        <v>552</v>
      </c>
      <c r="M421" s="24">
        <v>1300000</v>
      </c>
    </row>
    <row r="422" spans="1:13" s="48" customFormat="1" outlineLevel="2">
      <c r="A422" s="39" t="s">
        <v>270</v>
      </c>
      <c r="B422" s="40" t="s">
        <v>25</v>
      </c>
      <c r="C422" s="41" t="s">
        <v>274</v>
      </c>
      <c r="D422" s="40" t="s">
        <v>275</v>
      </c>
      <c r="E422" s="24">
        <v>9087600</v>
      </c>
      <c r="F422" s="39">
        <v>43901</v>
      </c>
      <c r="G422" s="24">
        <v>9087600</v>
      </c>
      <c r="H422" s="23">
        <v>5.0000000000000001E-3</v>
      </c>
      <c r="I422" s="39">
        <v>44197</v>
      </c>
      <c r="J422" s="39">
        <v>44227</v>
      </c>
      <c r="K422" s="24">
        <f t="shared" si="20"/>
        <v>31</v>
      </c>
      <c r="L422" s="24">
        <f t="shared" si="21"/>
        <v>3859</v>
      </c>
      <c r="M422" s="24">
        <v>9087600</v>
      </c>
    </row>
    <row r="423" spans="1:13" s="48" customFormat="1" outlineLevel="2">
      <c r="A423" s="39" t="s">
        <v>270</v>
      </c>
      <c r="B423" s="40" t="s">
        <v>26</v>
      </c>
      <c r="C423" s="41" t="s">
        <v>274</v>
      </c>
      <c r="D423" s="40" t="s">
        <v>275</v>
      </c>
      <c r="E423" s="24">
        <v>7270080</v>
      </c>
      <c r="F423" s="39">
        <v>43901</v>
      </c>
      <c r="G423" s="24">
        <v>7270080</v>
      </c>
      <c r="H423" s="23">
        <v>5.0000000000000001E-3</v>
      </c>
      <c r="I423" s="39">
        <v>44197</v>
      </c>
      <c r="J423" s="39">
        <v>44227</v>
      </c>
      <c r="K423" s="24">
        <f t="shared" si="20"/>
        <v>31</v>
      </c>
      <c r="L423" s="24">
        <f t="shared" si="21"/>
        <v>3087</v>
      </c>
      <c r="M423" s="24">
        <v>7270080</v>
      </c>
    </row>
    <row r="424" spans="1:13" s="48" customFormat="1" outlineLevel="2">
      <c r="A424" s="39" t="s">
        <v>270</v>
      </c>
      <c r="B424" s="40" t="s">
        <v>29</v>
      </c>
      <c r="C424" s="41" t="s">
        <v>273</v>
      </c>
      <c r="D424" s="40" t="s">
        <v>272</v>
      </c>
      <c r="E424" s="24">
        <v>99400000</v>
      </c>
      <c r="F424" s="39">
        <v>43917</v>
      </c>
      <c r="G424" s="24">
        <v>99400000</v>
      </c>
      <c r="H424" s="23">
        <v>5.0000000000000001E-3</v>
      </c>
      <c r="I424" s="39">
        <v>44197</v>
      </c>
      <c r="J424" s="39">
        <v>44227</v>
      </c>
      <c r="K424" s="24">
        <f t="shared" si="20"/>
        <v>31</v>
      </c>
      <c r="L424" s="24">
        <f t="shared" si="21"/>
        <v>42211</v>
      </c>
      <c r="M424" s="24">
        <v>99400000</v>
      </c>
    </row>
    <row r="425" spans="1:13" s="48" customFormat="1" outlineLevel="2">
      <c r="A425" s="39" t="s">
        <v>270</v>
      </c>
      <c r="B425" s="40" t="s">
        <v>32</v>
      </c>
      <c r="C425" s="41" t="s">
        <v>274</v>
      </c>
      <c r="D425" s="40" t="s">
        <v>275</v>
      </c>
      <c r="E425" s="24">
        <v>9087600</v>
      </c>
      <c r="F425" s="39">
        <v>43929</v>
      </c>
      <c r="G425" s="24">
        <v>9087600</v>
      </c>
      <c r="H425" s="23">
        <v>5.0000000000000001E-3</v>
      </c>
      <c r="I425" s="39">
        <v>44197</v>
      </c>
      <c r="J425" s="39">
        <v>44227</v>
      </c>
      <c r="K425" s="24">
        <f t="shared" si="20"/>
        <v>31</v>
      </c>
      <c r="L425" s="24">
        <f t="shared" si="21"/>
        <v>3859</v>
      </c>
      <c r="M425" s="24">
        <v>9087600</v>
      </c>
    </row>
    <row r="426" spans="1:13" s="48" customFormat="1" outlineLevel="2">
      <c r="A426" s="39" t="s">
        <v>270</v>
      </c>
      <c r="B426" s="40" t="s">
        <v>33</v>
      </c>
      <c r="C426" s="41" t="s">
        <v>274</v>
      </c>
      <c r="D426" s="40" t="s">
        <v>275</v>
      </c>
      <c r="E426" s="24">
        <v>13007640</v>
      </c>
      <c r="F426" s="39">
        <v>43929</v>
      </c>
      <c r="G426" s="24">
        <v>13007640</v>
      </c>
      <c r="H426" s="23">
        <v>5.0000000000000001E-3</v>
      </c>
      <c r="I426" s="39">
        <v>44197</v>
      </c>
      <c r="J426" s="39">
        <v>44227</v>
      </c>
      <c r="K426" s="24">
        <f t="shared" si="20"/>
        <v>31</v>
      </c>
      <c r="L426" s="24">
        <f t="shared" si="21"/>
        <v>5524</v>
      </c>
      <c r="M426" s="24">
        <v>13007640</v>
      </c>
    </row>
    <row r="427" spans="1:13" s="48" customFormat="1" outlineLevel="2">
      <c r="A427" s="39" t="s">
        <v>270</v>
      </c>
      <c r="B427" s="40" t="s">
        <v>34</v>
      </c>
      <c r="C427" s="41" t="s">
        <v>276</v>
      </c>
      <c r="D427" s="40" t="s">
        <v>277</v>
      </c>
      <c r="E427" s="24">
        <v>61668037</v>
      </c>
      <c r="F427" s="39">
        <v>43949</v>
      </c>
      <c r="G427" s="24">
        <v>61668037</v>
      </c>
      <c r="H427" s="23">
        <v>5.0000000000000001E-3</v>
      </c>
      <c r="I427" s="39">
        <v>44197</v>
      </c>
      <c r="J427" s="39">
        <v>44227</v>
      </c>
      <c r="K427" s="24">
        <f t="shared" si="20"/>
        <v>31</v>
      </c>
      <c r="L427" s="24">
        <f t="shared" si="21"/>
        <v>26188</v>
      </c>
      <c r="M427" s="24">
        <v>61668037</v>
      </c>
    </row>
    <row r="428" spans="1:13" s="48" customFormat="1" outlineLevel="2">
      <c r="A428" s="39" t="s">
        <v>270</v>
      </c>
      <c r="B428" s="40" t="s">
        <v>35</v>
      </c>
      <c r="C428" s="41" t="s">
        <v>274</v>
      </c>
      <c r="D428" s="40" t="s">
        <v>275</v>
      </c>
      <c r="E428" s="24">
        <v>13007640</v>
      </c>
      <c r="F428" s="39">
        <v>43964</v>
      </c>
      <c r="G428" s="24">
        <v>13007640</v>
      </c>
      <c r="H428" s="23">
        <v>5.0000000000000001E-3</v>
      </c>
      <c r="I428" s="39">
        <v>44197</v>
      </c>
      <c r="J428" s="39">
        <v>44227</v>
      </c>
      <c r="K428" s="24">
        <f t="shared" si="20"/>
        <v>31</v>
      </c>
      <c r="L428" s="24">
        <f t="shared" si="21"/>
        <v>5524</v>
      </c>
      <c r="M428" s="24">
        <v>13007640</v>
      </c>
    </row>
    <row r="429" spans="1:13" s="48" customFormat="1" outlineLevel="2">
      <c r="A429" s="39" t="s">
        <v>270</v>
      </c>
      <c r="B429" s="40" t="s">
        <v>36</v>
      </c>
      <c r="C429" s="41" t="s">
        <v>274</v>
      </c>
      <c r="D429" s="40" t="s">
        <v>275</v>
      </c>
      <c r="E429" s="24">
        <v>6361320</v>
      </c>
      <c r="F429" s="39">
        <v>43964</v>
      </c>
      <c r="G429" s="24">
        <v>6361320</v>
      </c>
      <c r="H429" s="23">
        <v>5.0000000000000001E-3</v>
      </c>
      <c r="I429" s="39">
        <v>44197</v>
      </c>
      <c r="J429" s="39">
        <v>44227</v>
      </c>
      <c r="K429" s="24">
        <f t="shared" si="20"/>
        <v>31</v>
      </c>
      <c r="L429" s="24">
        <f t="shared" si="21"/>
        <v>2701</v>
      </c>
      <c r="M429" s="24">
        <v>6361320</v>
      </c>
    </row>
    <row r="430" spans="1:13" s="48" customFormat="1" outlineLevel="2">
      <c r="A430" s="39" t="s">
        <v>270</v>
      </c>
      <c r="B430" s="40" t="s">
        <v>39</v>
      </c>
      <c r="C430" s="41" t="s">
        <v>274</v>
      </c>
      <c r="D430" s="40" t="s">
        <v>275</v>
      </c>
      <c r="E430" s="24">
        <v>5452560</v>
      </c>
      <c r="F430" s="39">
        <v>43810</v>
      </c>
      <c r="G430" s="24">
        <v>5452560</v>
      </c>
      <c r="H430" s="23">
        <v>5.0000000000000001E-3</v>
      </c>
      <c r="I430" s="39">
        <v>44197</v>
      </c>
      <c r="J430" s="39">
        <v>44227</v>
      </c>
      <c r="K430" s="24">
        <f t="shared" si="20"/>
        <v>31</v>
      </c>
      <c r="L430" s="24">
        <f t="shared" si="21"/>
        <v>2315</v>
      </c>
      <c r="M430" s="24">
        <v>5452560</v>
      </c>
    </row>
    <row r="431" spans="1:13" s="48" customFormat="1" outlineLevel="2">
      <c r="A431" s="39" t="s">
        <v>270</v>
      </c>
      <c r="B431" s="40" t="s">
        <v>40</v>
      </c>
      <c r="C431" s="41" t="s">
        <v>273</v>
      </c>
      <c r="D431" s="40" t="s">
        <v>272</v>
      </c>
      <c r="E431" s="24">
        <v>69800000</v>
      </c>
      <c r="F431" s="39">
        <v>43956</v>
      </c>
      <c r="G431" s="24">
        <v>69800000</v>
      </c>
      <c r="H431" s="23">
        <v>5.0000000000000001E-3</v>
      </c>
      <c r="I431" s="39">
        <v>44197</v>
      </c>
      <c r="J431" s="39">
        <v>44227</v>
      </c>
      <c r="K431" s="24">
        <f t="shared" si="20"/>
        <v>31</v>
      </c>
      <c r="L431" s="24">
        <f t="shared" si="21"/>
        <v>29641</v>
      </c>
      <c r="M431" s="24">
        <v>69800000</v>
      </c>
    </row>
    <row r="432" spans="1:13" s="48" customFormat="1" outlineLevel="2">
      <c r="A432" s="39" t="s">
        <v>270</v>
      </c>
      <c r="B432" s="40" t="s">
        <v>41</v>
      </c>
      <c r="C432" s="41" t="s">
        <v>273</v>
      </c>
      <c r="D432" s="40" t="s">
        <v>272</v>
      </c>
      <c r="E432" s="24">
        <v>1500000</v>
      </c>
      <c r="F432" s="39">
        <v>43956</v>
      </c>
      <c r="G432" s="24">
        <v>1500000</v>
      </c>
      <c r="H432" s="23">
        <v>5.0000000000000001E-3</v>
      </c>
      <c r="I432" s="39">
        <v>44197</v>
      </c>
      <c r="J432" s="39">
        <v>44227</v>
      </c>
      <c r="K432" s="24">
        <f t="shared" si="20"/>
        <v>31</v>
      </c>
      <c r="L432" s="24">
        <f t="shared" si="21"/>
        <v>637</v>
      </c>
      <c r="M432" s="24">
        <v>1500000</v>
      </c>
    </row>
    <row r="433" spans="1:13" s="48" customFormat="1" outlineLevel="2">
      <c r="A433" s="39" t="s">
        <v>270</v>
      </c>
      <c r="B433" s="40" t="s">
        <v>42</v>
      </c>
      <c r="C433" s="41" t="s">
        <v>30</v>
      </c>
      <c r="D433" s="40" t="s">
        <v>31</v>
      </c>
      <c r="E433" s="24">
        <v>50000000</v>
      </c>
      <c r="F433" s="39">
        <v>43976</v>
      </c>
      <c r="G433" s="24">
        <v>50000000</v>
      </c>
      <c r="H433" s="23">
        <v>5.0000000000000001E-3</v>
      </c>
      <c r="I433" s="39">
        <v>44197</v>
      </c>
      <c r="J433" s="39">
        <v>44227</v>
      </c>
      <c r="K433" s="24">
        <f t="shared" si="20"/>
        <v>31</v>
      </c>
      <c r="L433" s="24">
        <f t="shared" si="21"/>
        <v>21233</v>
      </c>
      <c r="M433" s="24">
        <v>50000000</v>
      </c>
    </row>
    <row r="434" spans="1:13" s="48" customFormat="1" outlineLevel="2">
      <c r="A434" s="39" t="s">
        <v>270</v>
      </c>
      <c r="B434" s="40" t="s">
        <v>43</v>
      </c>
      <c r="C434" s="41" t="s">
        <v>274</v>
      </c>
      <c r="D434" s="40" t="s">
        <v>275</v>
      </c>
      <c r="E434" s="24">
        <v>6657720</v>
      </c>
      <c r="F434" s="39">
        <v>43992</v>
      </c>
      <c r="G434" s="24">
        <v>6657720</v>
      </c>
      <c r="H434" s="23">
        <v>5.0000000000000001E-3</v>
      </c>
      <c r="I434" s="39">
        <v>44197</v>
      </c>
      <c r="J434" s="39">
        <v>44227</v>
      </c>
      <c r="K434" s="24">
        <f t="shared" si="20"/>
        <v>31</v>
      </c>
      <c r="L434" s="24">
        <f t="shared" si="21"/>
        <v>2827</v>
      </c>
      <c r="M434" s="24">
        <v>6657720</v>
      </c>
    </row>
    <row r="435" spans="1:13" s="48" customFormat="1" outlineLevel="2">
      <c r="A435" s="39" t="s">
        <v>270</v>
      </c>
      <c r="B435" s="40" t="s">
        <v>44</v>
      </c>
      <c r="C435" s="41" t="s">
        <v>274</v>
      </c>
      <c r="D435" s="40" t="s">
        <v>275</v>
      </c>
      <c r="E435" s="24">
        <v>6361320</v>
      </c>
      <c r="F435" s="39">
        <v>43992</v>
      </c>
      <c r="G435" s="24">
        <v>6361320</v>
      </c>
      <c r="H435" s="23">
        <v>5.0000000000000001E-3</v>
      </c>
      <c r="I435" s="39">
        <v>44197</v>
      </c>
      <c r="J435" s="39">
        <v>44227</v>
      </c>
      <c r="K435" s="24">
        <f t="shared" si="20"/>
        <v>31</v>
      </c>
      <c r="L435" s="24">
        <f t="shared" si="21"/>
        <v>2701</v>
      </c>
      <c r="M435" s="24">
        <v>6361320</v>
      </c>
    </row>
    <row r="436" spans="1:13" s="48" customFormat="1" outlineLevel="2">
      <c r="A436" s="39" t="s">
        <v>270</v>
      </c>
      <c r="B436" s="40" t="s">
        <v>47</v>
      </c>
      <c r="C436" s="41" t="s">
        <v>273</v>
      </c>
      <c r="D436" s="40" t="s">
        <v>272</v>
      </c>
      <c r="E436" s="24">
        <v>41200000</v>
      </c>
      <c r="F436" s="39">
        <v>43987</v>
      </c>
      <c r="G436" s="24">
        <v>41200000</v>
      </c>
      <c r="H436" s="23">
        <v>5.0000000000000001E-3</v>
      </c>
      <c r="I436" s="39">
        <v>44197</v>
      </c>
      <c r="J436" s="39">
        <v>44227</v>
      </c>
      <c r="K436" s="24">
        <f t="shared" si="20"/>
        <v>31</v>
      </c>
      <c r="L436" s="24">
        <f t="shared" si="21"/>
        <v>17496</v>
      </c>
      <c r="M436" s="24">
        <v>41200000</v>
      </c>
    </row>
    <row r="437" spans="1:13" s="48" customFormat="1" outlineLevel="2">
      <c r="A437" s="39" t="s">
        <v>270</v>
      </c>
      <c r="B437" s="40" t="s">
        <v>50</v>
      </c>
      <c r="C437" s="41" t="s">
        <v>274</v>
      </c>
      <c r="D437" s="40" t="s">
        <v>275</v>
      </c>
      <c r="E437" s="24">
        <v>6657720</v>
      </c>
      <c r="F437" s="39">
        <v>44020</v>
      </c>
      <c r="G437" s="24">
        <v>6657720</v>
      </c>
      <c r="H437" s="23">
        <v>5.0000000000000001E-3</v>
      </c>
      <c r="I437" s="39">
        <v>44197</v>
      </c>
      <c r="J437" s="39">
        <v>44227</v>
      </c>
      <c r="K437" s="24">
        <f t="shared" si="20"/>
        <v>31</v>
      </c>
      <c r="L437" s="24">
        <f t="shared" si="21"/>
        <v>2827</v>
      </c>
      <c r="M437" s="24">
        <v>6657720</v>
      </c>
    </row>
    <row r="438" spans="1:13" s="48" customFormat="1" outlineLevel="2">
      <c r="A438" s="39" t="s">
        <v>270</v>
      </c>
      <c r="B438" s="40" t="s">
        <v>51</v>
      </c>
      <c r="C438" s="41" t="s">
        <v>274</v>
      </c>
      <c r="D438" s="40" t="s">
        <v>275</v>
      </c>
      <c r="E438" s="24">
        <v>6657720</v>
      </c>
      <c r="F438" s="39">
        <v>44020</v>
      </c>
      <c r="G438" s="24">
        <v>6657720</v>
      </c>
      <c r="H438" s="23">
        <v>5.0000000000000001E-3</v>
      </c>
      <c r="I438" s="39">
        <v>44197</v>
      </c>
      <c r="J438" s="39">
        <v>44227</v>
      </c>
      <c r="K438" s="24">
        <f t="shared" si="20"/>
        <v>31</v>
      </c>
      <c r="L438" s="24">
        <f t="shared" si="21"/>
        <v>2827</v>
      </c>
      <c r="M438" s="24">
        <v>6657720</v>
      </c>
    </row>
    <row r="439" spans="1:13" s="48" customFormat="1" outlineLevel="2">
      <c r="A439" s="39" t="s">
        <v>270</v>
      </c>
      <c r="B439" s="40" t="s">
        <v>52</v>
      </c>
      <c r="C439" s="41" t="s">
        <v>273</v>
      </c>
      <c r="D439" s="40" t="s">
        <v>272</v>
      </c>
      <c r="E439" s="24">
        <v>11800000</v>
      </c>
      <c r="F439" s="39">
        <v>44015</v>
      </c>
      <c r="G439" s="24">
        <v>11800000</v>
      </c>
      <c r="H439" s="23">
        <v>5.0000000000000001E-3</v>
      </c>
      <c r="I439" s="39">
        <v>44197</v>
      </c>
      <c r="J439" s="39">
        <v>44227</v>
      </c>
      <c r="K439" s="24">
        <f t="shared" si="20"/>
        <v>31</v>
      </c>
      <c r="L439" s="24">
        <f t="shared" si="21"/>
        <v>5011</v>
      </c>
      <c r="M439" s="24">
        <v>11800000</v>
      </c>
    </row>
    <row r="440" spans="1:13" s="48" customFormat="1" outlineLevel="2">
      <c r="A440" s="39" t="s">
        <v>270</v>
      </c>
      <c r="B440" s="40" t="s">
        <v>53</v>
      </c>
      <c r="C440" s="41" t="s">
        <v>273</v>
      </c>
      <c r="D440" s="40" t="s">
        <v>272</v>
      </c>
      <c r="E440" s="24">
        <v>2600000</v>
      </c>
      <c r="F440" s="39">
        <v>44015</v>
      </c>
      <c r="G440" s="24">
        <v>2600000</v>
      </c>
      <c r="H440" s="23">
        <v>5.0000000000000001E-3</v>
      </c>
      <c r="I440" s="39">
        <v>44197</v>
      </c>
      <c r="J440" s="39">
        <v>44227</v>
      </c>
      <c r="K440" s="24">
        <f t="shared" si="20"/>
        <v>31</v>
      </c>
      <c r="L440" s="24">
        <f t="shared" si="21"/>
        <v>1104</v>
      </c>
      <c r="M440" s="24">
        <v>2600000</v>
      </c>
    </row>
    <row r="441" spans="1:13" s="48" customFormat="1" outlineLevel="2">
      <c r="A441" s="39" t="s">
        <v>270</v>
      </c>
      <c r="B441" s="40" t="s">
        <v>54</v>
      </c>
      <c r="C441" s="41" t="s">
        <v>278</v>
      </c>
      <c r="D441" s="40" t="s">
        <v>279</v>
      </c>
      <c r="E441" s="24">
        <v>220000000</v>
      </c>
      <c r="F441" s="39">
        <v>43815</v>
      </c>
      <c r="G441" s="24">
        <v>220000000</v>
      </c>
      <c r="H441" s="23">
        <v>5.0000000000000001E-3</v>
      </c>
      <c r="I441" s="39">
        <v>44197</v>
      </c>
      <c r="J441" s="39">
        <v>44227</v>
      </c>
      <c r="K441" s="24">
        <f t="shared" si="20"/>
        <v>31</v>
      </c>
      <c r="L441" s="24">
        <f t="shared" si="21"/>
        <v>93425</v>
      </c>
      <c r="M441" s="24">
        <v>220000000</v>
      </c>
    </row>
    <row r="442" spans="1:13" s="48" customFormat="1" outlineLevel="2">
      <c r="A442" s="39" t="s">
        <v>270</v>
      </c>
      <c r="B442" s="40" t="s">
        <v>57</v>
      </c>
      <c r="C442" s="41" t="s">
        <v>143</v>
      </c>
      <c r="D442" s="40" t="s">
        <v>144</v>
      </c>
      <c r="E442" s="24">
        <v>10400000</v>
      </c>
      <c r="F442" s="39">
        <v>44033</v>
      </c>
      <c r="G442" s="24">
        <v>10400000</v>
      </c>
      <c r="H442" s="23">
        <v>5.0000000000000001E-3</v>
      </c>
      <c r="I442" s="39">
        <v>44197</v>
      </c>
      <c r="J442" s="39">
        <v>44227</v>
      </c>
      <c r="K442" s="24">
        <f t="shared" si="20"/>
        <v>31</v>
      </c>
      <c r="L442" s="24">
        <f t="shared" si="21"/>
        <v>4416</v>
      </c>
      <c r="M442" s="24">
        <v>10400000</v>
      </c>
    </row>
    <row r="443" spans="1:13" s="48" customFormat="1" outlineLevel="2">
      <c r="A443" s="39" t="s">
        <v>270</v>
      </c>
      <c r="B443" s="40" t="s">
        <v>58</v>
      </c>
      <c r="C443" s="41" t="s">
        <v>97</v>
      </c>
      <c r="D443" s="40" t="s">
        <v>98</v>
      </c>
      <c r="E443" s="24">
        <v>28200000</v>
      </c>
      <c r="F443" s="39">
        <v>44027</v>
      </c>
      <c r="G443" s="24">
        <v>28200000</v>
      </c>
      <c r="H443" s="23">
        <v>5.0000000000000001E-3</v>
      </c>
      <c r="I443" s="39">
        <v>44197</v>
      </c>
      <c r="J443" s="39">
        <v>44227</v>
      </c>
      <c r="K443" s="24">
        <f t="shared" si="20"/>
        <v>31</v>
      </c>
      <c r="L443" s="24">
        <f t="shared" si="21"/>
        <v>11975</v>
      </c>
      <c r="M443" s="24">
        <v>28200000</v>
      </c>
    </row>
    <row r="444" spans="1:13" s="48" customFormat="1" outlineLevel="2">
      <c r="A444" s="39" t="s">
        <v>270</v>
      </c>
      <c r="B444" s="40" t="s">
        <v>99</v>
      </c>
      <c r="C444" s="41" t="s">
        <v>274</v>
      </c>
      <c r="D444" s="40" t="s">
        <v>275</v>
      </c>
      <c r="E444" s="24">
        <v>6657720</v>
      </c>
      <c r="F444" s="39">
        <v>44055</v>
      </c>
      <c r="G444" s="24">
        <v>6657720</v>
      </c>
      <c r="H444" s="23">
        <v>5.0000000000000001E-3</v>
      </c>
      <c r="I444" s="39">
        <v>44197</v>
      </c>
      <c r="J444" s="39">
        <v>44227</v>
      </c>
      <c r="K444" s="24">
        <f t="shared" si="20"/>
        <v>31</v>
      </c>
      <c r="L444" s="24">
        <f t="shared" si="21"/>
        <v>2827</v>
      </c>
      <c r="M444" s="24">
        <v>6657720</v>
      </c>
    </row>
    <row r="445" spans="1:13" s="48" customFormat="1" outlineLevel="2">
      <c r="A445" s="39" t="s">
        <v>270</v>
      </c>
      <c r="B445" s="40" t="s">
        <v>100</v>
      </c>
      <c r="C445" s="41" t="s">
        <v>274</v>
      </c>
      <c r="D445" s="40" t="s">
        <v>275</v>
      </c>
      <c r="E445" s="24">
        <v>6714720</v>
      </c>
      <c r="F445" s="39">
        <v>44055</v>
      </c>
      <c r="G445" s="24">
        <v>6714720</v>
      </c>
      <c r="H445" s="23">
        <v>5.0000000000000001E-3</v>
      </c>
      <c r="I445" s="39">
        <v>44197</v>
      </c>
      <c r="J445" s="39">
        <v>44227</v>
      </c>
      <c r="K445" s="24">
        <f t="shared" si="20"/>
        <v>31</v>
      </c>
      <c r="L445" s="24">
        <f t="shared" si="21"/>
        <v>2851</v>
      </c>
      <c r="M445" s="24">
        <v>6714720</v>
      </c>
    </row>
    <row r="446" spans="1:13" s="48" customFormat="1" outlineLevel="2">
      <c r="A446" s="39" t="s">
        <v>270</v>
      </c>
      <c r="B446" s="40" t="s">
        <v>101</v>
      </c>
      <c r="C446" s="41" t="s">
        <v>273</v>
      </c>
      <c r="D446" s="40" t="s">
        <v>272</v>
      </c>
      <c r="E446" s="24">
        <v>47630000</v>
      </c>
      <c r="F446" s="39">
        <v>44048</v>
      </c>
      <c r="G446" s="24">
        <v>47630000</v>
      </c>
      <c r="H446" s="23">
        <v>5.0000000000000001E-3</v>
      </c>
      <c r="I446" s="39">
        <v>44197</v>
      </c>
      <c r="J446" s="39">
        <v>44227</v>
      </c>
      <c r="K446" s="24">
        <f t="shared" si="20"/>
        <v>31</v>
      </c>
      <c r="L446" s="24">
        <f t="shared" si="21"/>
        <v>20226</v>
      </c>
      <c r="M446" s="24">
        <v>47630000</v>
      </c>
    </row>
    <row r="447" spans="1:13" s="48" customFormat="1" outlineLevel="2">
      <c r="A447" s="39" t="s">
        <v>270</v>
      </c>
      <c r="B447" s="40" t="s">
        <v>102</v>
      </c>
      <c r="C447" s="41" t="s">
        <v>273</v>
      </c>
      <c r="D447" s="40" t="s">
        <v>272</v>
      </c>
      <c r="E447" s="24">
        <v>1970000</v>
      </c>
      <c r="F447" s="39">
        <v>44048</v>
      </c>
      <c r="G447" s="24">
        <v>1970000</v>
      </c>
      <c r="H447" s="23">
        <v>5.0000000000000001E-3</v>
      </c>
      <c r="I447" s="39">
        <v>44197</v>
      </c>
      <c r="J447" s="39">
        <v>44227</v>
      </c>
      <c r="K447" s="24">
        <f t="shared" si="20"/>
        <v>31</v>
      </c>
      <c r="L447" s="24">
        <f t="shared" si="21"/>
        <v>837</v>
      </c>
      <c r="M447" s="24">
        <v>1970000</v>
      </c>
    </row>
    <row r="448" spans="1:13" s="48" customFormat="1" outlineLevel="2">
      <c r="A448" s="39" t="s">
        <v>270</v>
      </c>
      <c r="B448" s="40" t="s">
        <v>103</v>
      </c>
      <c r="C448" s="41" t="s">
        <v>252</v>
      </c>
      <c r="D448" s="40" t="s">
        <v>253</v>
      </c>
      <c r="E448" s="24">
        <v>27700000</v>
      </c>
      <c r="F448" s="39">
        <v>44071</v>
      </c>
      <c r="G448" s="24">
        <v>27700000</v>
      </c>
      <c r="H448" s="23">
        <v>5.0000000000000001E-3</v>
      </c>
      <c r="I448" s="39">
        <v>44197</v>
      </c>
      <c r="J448" s="39">
        <v>44227</v>
      </c>
      <c r="K448" s="24">
        <f t="shared" si="20"/>
        <v>31</v>
      </c>
      <c r="L448" s="24">
        <f t="shared" si="21"/>
        <v>11763</v>
      </c>
      <c r="M448" s="24">
        <v>27700000</v>
      </c>
    </row>
    <row r="449" spans="1:13" s="48" customFormat="1" outlineLevel="2">
      <c r="A449" s="39" t="s">
        <v>270</v>
      </c>
      <c r="B449" s="40" t="s">
        <v>104</v>
      </c>
      <c r="C449" s="41" t="s">
        <v>274</v>
      </c>
      <c r="D449" s="40" t="s">
        <v>275</v>
      </c>
      <c r="E449" s="24">
        <v>6714720</v>
      </c>
      <c r="F449" s="39">
        <v>44083</v>
      </c>
      <c r="G449" s="24">
        <v>6714720</v>
      </c>
      <c r="H449" s="23">
        <v>5.0000000000000001E-3</v>
      </c>
      <c r="I449" s="39">
        <v>44197</v>
      </c>
      <c r="J449" s="39">
        <v>44227</v>
      </c>
      <c r="K449" s="24">
        <f t="shared" si="20"/>
        <v>31</v>
      </c>
      <c r="L449" s="24">
        <f t="shared" si="21"/>
        <v>2851</v>
      </c>
      <c r="M449" s="24">
        <v>6714720</v>
      </c>
    </row>
    <row r="450" spans="1:13" s="48" customFormat="1" outlineLevel="2">
      <c r="A450" s="39" t="s">
        <v>270</v>
      </c>
      <c r="B450" s="40" t="s">
        <v>105</v>
      </c>
      <c r="C450" s="41" t="s">
        <v>274</v>
      </c>
      <c r="D450" s="40" t="s">
        <v>275</v>
      </c>
      <c r="E450" s="24">
        <v>5805960</v>
      </c>
      <c r="F450" s="39">
        <v>44083</v>
      </c>
      <c r="G450" s="24">
        <v>5805960</v>
      </c>
      <c r="H450" s="23">
        <v>5.0000000000000001E-3</v>
      </c>
      <c r="I450" s="39">
        <v>44197</v>
      </c>
      <c r="J450" s="39">
        <v>44227</v>
      </c>
      <c r="K450" s="24">
        <f t="shared" si="20"/>
        <v>31</v>
      </c>
      <c r="L450" s="24">
        <f t="shared" si="21"/>
        <v>2466</v>
      </c>
      <c r="M450" s="24">
        <v>5805960</v>
      </c>
    </row>
    <row r="451" spans="1:13" s="48" customFormat="1" outlineLevel="2">
      <c r="A451" s="39" t="s">
        <v>270</v>
      </c>
      <c r="B451" s="40" t="s">
        <v>106</v>
      </c>
      <c r="C451" s="41" t="s">
        <v>273</v>
      </c>
      <c r="D451" s="40" t="s">
        <v>272</v>
      </c>
      <c r="E451" s="24">
        <v>19100000</v>
      </c>
      <c r="F451" s="39">
        <v>44078</v>
      </c>
      <c r="G451" s="24">
        <v>19100000</v>
      </c>
      <c r="H451" s="23">
        <v>5.0000000000000001E-3</v>
      </c>
      <c r="I451" s="39">
        <v>44197</v>
      </c>
      <c r="J451" s="39">
        <v>44227</v>
      </c>
      <c r="K451" s="24">
        <f t="shared" si="20"/>
        <v>31</v>
      </c>
      <c r="L451" s="24">
        <f t="shared" si="21"/>
        <v>8111</v>
      </c>
      <c r="M451" s="24">
        <v>19100000</v>
      </c>
    </row>
    <row r="452" spans="1:13" s="48" customFormat="1" outlineLevel="2">
      <c r="A452" s="39" t="s">
        <v>270</v>
      </c>
      <c r="B452" s="40" t="s">
        <v>59</v>
      </c>
      <c r="C452" s="41" t="s">
        <v>274</v>
      </c>
      <c r="D452" s="40" t="s">
        <v>275</v>
      </c>
      <c r="E452" s="24">
        <v>5452560</v>
      </c>
      <c r="F452" s="39">
        <v>43838</v>
      </c>
      <c r="G452" s="24">
        <v>5452560</v>
      </c>
      <c r="H452" s="23">
        <v>5.0000000000000001E-3</v>
      </c>
      <c r="I452" s="39">
        <v>44197</v>
      </c>
      <c r="J452" s="39">
        <v>44227</v>
      </c>
      <c r="K452" s="24">
        <f t="shared" si="20"/>
        <v>31</v>
      </c>
      <c r="L452" s="24">
        <f t="shared" si="21"/>
        <v>2315</v>
      </c>
      <c r="M452" s="24">
        <v>5452560</v>
      </c>
    </row>
    <row r="453" spans="1:13" s="48" customFormat="1" outlineLevel="2">
      <c r="A453" s="39" t="s">
        <v>270</v>
      </c>
      <c r="B453" s="40" t="s">
        <v>136</v>
      </c>
      <c r="C453" s="41" t="s">
        <v>30</v>
      </c>
      <c r="D453" s="40" t="s">
        <v>31</v>
      </c>
      <c r="E453" s="24">
        <v>31000000</v>
      </c>
      <c r="F453" s="39">
        <v>44102</v>
      </c>
      <c r="G453" s="24">
        <v>31000000</v>
      </c>
      <c r="H453" s="23">
        <v>5.0000000000000001E-3</v>
      </c>
      <c r="I453" s="39">
        <v>44197</v>
      </c>
      <c r="J453" s="39">
        <v>44227</v>
      </c>
      <c r="K453" s="24">
        <f t="shared" si="20"/>
        <v>31</v>
      </c>
      <c r="L453" s="24">
        <f t="shared" si="21"/>
        <v>13164</v>
      </c>
      <c r="M453" s="24">
        <v>31000000</v>
      </c>
    </row>
    <row r="454" spans="1:13" s="48" customFormat="1" outlineLevel="2">
      <c r="A454" s="39" t="s">
        <v>270</v>
      </c>
      <c r="B454" s="40" t="s">
        <v>137</v>
      </c>
      <c r="C454" s="41" t="s">
        <v>143</v>
      </c>
      <c r="D454" s="40" t="s">
        <v>144</v>
      </c>
      <c r="E454" s="24">
        <v>10700000</v>
      </c>
      <c r="F454" s="39">
        <v>44104</v>
      </c>
      <c r="G454" s="24">
        <v>10700000</v>
      </c>
      <c r="H454" s="23">
        <v>5.0000000000000001E-3</v>
      </c>
      <c r="I454" s="39">
        <v>44197</v>
      </c>
      <c r="J454" s="39">
        <v>44227</v>
      </c>
      <c r="K454" s="24">
        <f t="shared" si="20"/>
        <v>31</v>
      </c>
      <c r="L454" s="24">
        <f t="shared" si="21"/>
        <v>4544</v>
      </c>
      <c r="M454" s="24">
        <v>10700000</v>
      </c>
    </row>
    <row r="455" spans="1:13" s="48" customFormat="1" outlineLevel="2">
      <c r="A455" s="39" t="s">
        <v>270</v>
      </c>
      <c r="B455" s="40" t="s">
        <v>138</v>
      </c>
      <c r="C455" s="41" t="s">
        <v>280</v>
      </c>
      <c r="D455" s="40" t="s">
        <v>281</v>
      </c>
      <c r="E455" s="24">
        <v>1000000000</v>
      </c>
      <c r="F455" s="39">
        <v>44102</v>
      </c>
      <c r="G455" s="24">
        <v>1000000000</v>
      </c>
      <c r="H455" s="23">
        <v>5.0000000000000001E-3</v>
      </c>
      <c r="I455" s="39">
        <v>44197</v>
      </c>
      <c r="J455" s="39">
        <v>44227</v>
      </c>
      <c r="K455" s="24">
        <f t="shared" si="20"/>
        <v>31</v>
      </c>
      <c r="L455" s="24">
        <f t="shared" si="21"/>
        <v>424658</v>
      </c>
      <c r="M455" s="24">
        <v>1000000000</v>
      </c>
    </row>
    <row r="456" spans="1:13" s="48" customFormat="1" outlineLevel="2">
      <c r="A456" s="39" t="s">
        <v>270</v>
      </c>
      <c r="B456" s="40" t="s">
        <v>139</v>
      </c>
      <c r="C456" s="41" t="s">
        <v>274</v>
      </c>
      <c r="D456" s="40" t="s">
        <v>275</v>
      </c>
      <c r="E456" s="24">
        <v>5805960</v>
      </c>
      <c r="F456" s="39">
        <v>44111</v>
      </c>
      <c r="G456" s="24">
        <v>5805960</v>
      </c>
      <c r="H456" s="23">
        <v>5.0000000000000001E-3</v>
      </c>
      <c r="I456" s="39">
        <v>44197</v>
      </c>
      <c r="J456" s="39">
        <v>44227</v>
      </c>
      <c r="K456" s="24">
        <f t="shared" si="20"/>
        <v>31</v>
      </c>
      <c r="L456" s="24">
        <f t="shared" si="21"/>
        <v>2466</v>
      </c>
      <c r="M456" s="24">
        <v>5805960</v>
      </c>
    </row>
    <row r="457" spans="1:13" s="48" customFormat="1" outlineLevel="2">
      <c r="A457" s="39" t="s">
        <v>270</v>
      </c>
      <c r="B457" s="40" t="s">
        <v>140</v>
      </c>
      <c r="C457" s="41" t="s">
        <v>274</v>
      </c>
      <c r="D457" s="40" t="s">
        <v>275</v>
      </c>
      <c r="E457" s="24">
        <v>5805960</v>
      </c>
      <c r="F457" s="39">
        <v>44111</v>
      </c>
      <c r="G457" s="24">
        <v>5805960</v>
      </c>
      <c r="H457" s="23">
        <v>5.0000000000000001E-3</v>
      </c>
      <c r="I457" s="39">
        <v>44197</v>
      </c>
      <c r="J457" s="39">
        <v>44227</v>
      </c>
      <c r="K457" s="24">
        <f t="shared" si="20"/>
        <v>31</v>
      </c>
      <c r="L457" s="24">
        <f t="shared" si="21"/>
        <v>2466</v>
      </c>
      <c r="M457" s="24">
        <v>5805960</v>
      </c>
    </row>
    <row r="458" spans="1:13" s="48" customFormat="1" outlineLevel="2">
      <c r="A458" s="39" t="s">
        <v>270</v>
      </c>
      <c r="B458" s="40" t="s">
        <v>169</v>
      </c>
      <c r="C458" s="41" t="s">
        <v>273</v>
      </c>
      <c r="D458" s="40" t="s">
        <v>272</v>
      </c>
      <c r="E458" s="24">
        <v>18400000</v>
      </c>
      <c r="F458" s="39">
        <v>44109</v>
      </c>
      <c r="G458" s="24">
        <v>18400000</v>
      </c>
      <c r="H458" s="23">
        <v>5.0000000000000001E-3</v>
      </c>
      <c r="I458" s="39">
        <v>44197</v>
      </c>
      <c r="J458" s="39">
        <v>44227</v>
      </c>
      <c r="K458" s="24">
        <f t="shared" si="20"/>
        <v>31</v>
      </c>
      <c r="L458" s="24">
        <f t="shared" si="21"/>
        <v>7814</v>
      </c>
      <c r="M458" s="24">
        <v>18400000</v>
      </c>
    </row>
    <row r="459" spans="1:13" s="48" customFormat="1" outlineLevel="2">
      <c r="A459" s="39" t="s">
        <v>270</v>
      </c>
      <c r="B459" s="40" t="s">
        <v>170</v>
      </c>
      <c r="C459" s="41" t="s">
        <v>273</v>
      </c>
      <c r="D459" s="40" t="s">
        <v>272</v>
      </c>
      <c r="E459" s="24">
        <v>1500000</v>
      </c>
      <c r="F459" s="39">
        <v>44109</v>
      </c>
      <c r="G459" s="24">
        <v>1500000</v>
      </c>
      <c r="H459" s="23">
        <v>5.0000000000000001E-3</v>
      </c>
      <c r="I459" s="39">
        <v>44197</v>
      </c>
      <c r="J459" s="39">
        <v>44227</v>
      </c>
      <c r="K459" s="24">
        <f t="shared" si="20"/>
        <v>31</v>
      </c>
      <c r="L459" s="24">
        <f t="shared" si="21"/>
        <v>637</v>
      </c>
      <c r="M459" s="24">
        <v>1500000</v>
      </c>
    </row>
    <row r="460" spans="1:13" s="48" customFormat="1" outlineLevel="2">
      <c r="A460" s="39" t="s">
        <v>270</v>
      </c>
      <c r="B460" s="40" t="s">
        <v>171</v>
      </c>
      <c r="C460" s="41" t="s">
        <v>125</v>
      </c>
      <c r="D460" s="40" t="s">
        <v>126</v>
      </c>
      <c r="E460" s="24">
        <v>3480000</v>
      </c>
      <c r="F460" s="39">
        <v>44125</v>
      </c>
      <c r="G460" s="24">
        <v>3480000</v>
      </c>
      <c r="H460" s="23">
        <v>5.0000000000000001E-3</v>
      </c>
      <c r="I460" s="39">
        <v>44197</v>
      </c>
      <c r="J460" s="39">
        <v>44227</v>
      </c>
      <c r="K460" s="24">
        <f t="shared" si="20"/>
        <v>31</v>
      </c>
      <c r="L460" s="24">
        <f t="shared" si="21"/>
        <v>1478</v>
      </c>
      <c r="M460" s="24">
        <v>3480000</v>
      </c>
    </row>
    <row r="461" spans="1:13" s="48" customFormat="1" outlineLevel="2">
      <c r="A461" s="39" t="s">
        <v>270</v>
      </c>
      <c r="B461" s="40" t="s">
        <v>172</v>
      </c>
      <c r="C461" s="41" t="s">
        <v>276</v>
      </c>
      <c r="D461" s="40" t="s">
        <v>277</v>
      </c>
      <c r="E461" s="24">
        <v>32000000</v>
      </c>
      <c r="F461" s="39">
        <v>44133</v>
      </c>
      <c r="G461" s="24">
        <v>32000000</v>
      </c>
      <c r="H461" s="23">
        <v>5.0000000000000001E-3</v>
      </c>
      <c r="I461" s="39">
        <v>44197</v>
      </c>
      <c r="J461" s="39">
        <v>44227</v>
      </c>
      <c r="K461" s="24">
        <f t="shared" si="20"/>
        <v>31</v>
      </c>
      <c r="L461" s="24">
        <f t="shared" si="21"/>
        <v>13589</v>
      </c>
      <c r="M461" s="24">
        <v>32000000</v>
      </c>
    </row>
    <row r="462" spans="1:13" s="48" customFormat="1" outlineLevel="2">
      <c r="A462" s="39" t="s">
        <v>270</v>
      </c>
      <c r="B462" s="40" t="s">
        <v>173</v>
      </c>
      <c r="C462" s="41" t="s">
        <v>274</v>
      </c>
      <c r="D462" s="40" t="s">
        <v>275</v>
      </c>
      <c r="E462" s="24">
        <v>5805960</v>
      </c>
      <c r="F462" s="39">
        <v>44146</v>
      </c>
      <c r="G462" s="24">
        <v>5805960</v>
      </c>
      <c r="H462" s="23">
        <v>5.0000000000000001E-3</v>
      </c>
      <c r="I462" s="39">
        <v>44197</v>
      </c>
      <c r="J462" s="39">
        <v>44227</v>
      </c>
      <c r="K462" s="24">
        <f t="shared" si="20"/>
        <v>31</v>
      </c>
      <c r="L462" s="24">
        <f t="shared" si="21"/>
        <v>2466</v>
      </c>
      <c r="M462" s="24">
        <v>5805960</v>
      </c>
    </row>
    <row r="463" spans="1:13" s="48" customFormat="1" outlineLevel="2">
      <c r="A463" s="39" t="s">
        <v>270</v>
      </c>
      <c r="B463" s="40" t="s">
        <v>62</v>
      </c>
      <c r="C463" s="41" t="s">
        <v>274</v>
      </c>
      <c r="D463" s="40" t="s">
        <v>275</v>
      </c>
      <c r="E463" s="24">
        <v>5452560</v>
      </c>
      <c r="F463" s="39">
        <v>43838</v>
      </c>
      <c r="G463" s="24">
        <v>5452560</v>
      </c>
      <c r="H463" s="23">
        <v>5.0000000000000001E-3</v>
      </c>
      <c r="I463" s="39">
        <v>44197</v>
      </c>
      <c r="J463" s="39">
        <v>44227</v>
      </c>
      <c r="K463" s="24">
        <f t="shared" si="20"/>
        <v>31</v>
      </c>
      <c r="L463" s="24">
        <f t="shared" si="21"/>
        <v>2315</v>
      </c>
      <c r="M463" s="24">
        <v>5452560</v>
      </c>
    </row>
    <row r="464" spans="1:13" s="48" customFormat="1" outlineLevel="2">
      <c r="A464" s="39" t="s">
        <v>270</v>
      </c>
      <c r="B464" s="40" t="s">
        <v>174</v>
      </c>
      <c r="C464" s="41" t="s">
        <v>274</v>
      </c>
      <c r="D464" s="40" t="s">
        <v>275</v>
      </c>
      <c r="E464" s="24">
        <v>14338200</v>
      </c>
      <c r="F464" s="39">
        <v>44146</v>
      </c>
      <c r="G464" s="24">
        <v>14338200</v>
      </c>
      <c r="H464" s="23">
        <v>5.0000000000000001E-3</v>
      </c>
      <c r="I464" s="39">
        <v>44197</v>
      </c>
      <c r="J464" s="39">
        <v>44227</v>
      </c>
      <c r="K464" s="24">
        <f t="shared" si="20"/>
        <v>31</v>
      </c>
      <c r="L464" s="24">
        <f t="shared" si="21"/>
        <v>6089</v>
      </c>
      <c r="M464" s="24">
        <v>14338200</v>
      </c>
    </row>
    <row r="465" spans="1:13" s="48" customFormat="1" outlineLevel="2">
      <c r="A465" s="39" t="s">
        <v>270</v>
      </c>
      <c r="B465" s="40" t="s">
        <v>175</v>
      </c>
      <c r="C465" s="41" t="s">
        <v>273</v>
      </c>
      <c r="D465" s="40" t="s">
        <v>272</v>
      </c>
      <c r="E465" s="24">
        <v>31500000</v>
      </c>
      <c r="F465" s="39">
        <v>44140</v>
      </c>
      <c r="G465" s="24">
        <v>31500000</v>
      </c>
      <c r="H465" s="23">
        <v>5.0000000000000001E-3</v>
      </c>
      <c r="I465" s="39">
        <v>44197</v>
      </c>
      <c r="J465" s="39">
        <v>44227</v>
      </c>
      <c r="K465" s="24">
        <f t="shared" si="20"/>
        <v>31</v>
      </c>
      <c r="L465" s="24">
        <f t="shared" si="21"/>
        <v>13377</v>
      </c>
      <c r="M465" s="24">
        <v>31500000</v>
      </c>
    </row>
    <row r="466" spans="1:13" s="48" customFormat="1" outlineLevel="2">
      <c r="A466" s="39" t="s">
        <v>270</v>
      </c>
      <c r="B466" s="40" t="s">
        <v>176</v>
      </c>
      <c r="C466" s="41" t="s">
        <v>125</v>
      </c>
      <c r="D466" s="40" t="s">
        <v>126</v>
      </c>
      <c r="E466" s="24">
        <v>2500000</v>
      </c>
      <c r="F466" s="39">
        <v>44146</v>
      </c>
      <c r="G466" s="24">
        <v>2500000</v>
      </c>
      <c r="H466" s="23">
        <v>5.0000000000000001E-3</v>
      </c>
      <c r="I466" s="39">
        <v>44197</v>
      </c>
      <c r="J466" s="39">
        <v>44227</v>
      </c>
      <c r="K466" s="24">
        <f t="shared" si="20"/>
        <v>31</v>
      </c>
      <c r="L466" s="24">
        <f t="shared" si="21"/>
        <v>1062</v>
      </c>
      <c r="M466" s="24">
        <v>2500000</v>
      </c>
    </row>
    <row r="467" spans="1:13" s="48" customFormat="1" outlineLevel="2">
      <c r="A467" s="39" t="s">
        <v>270</v>
      </c>
      <c r="B467" s="40" t="s">
        <v>177</v>
      </c>
      <c r="C467" s="41" t="s">
        <v>276</v>
      </c>
      <c r="D467" s="40" t="s">
        <v>277</v>
      </c>
      <c r="E467" s="24">
        <v>30000000</v>
      </c>
      <c r="F467" s="39">
        <v>44140</v>
      </c>
      <c r="G467" s="24">
        <v>30000000</v>
      </c>
      <c r="H467" s="23">
        <v>5.0000000000000001E-3</v>
      </c>
      <c r="I467" s="39">
        <v>44197</v>
      </c>
      <c r="J467" s="39">
        <v>44227</v>
      </c>
      <c r="K467" s="24">
        <f t="shared" si="20"/>
        <v>31</v>
      </c>
      <c r="L467" s="24">
        <f t="shared" si="21"/>
        <v>12740</v>
      </c>
      <c r="M467" s="24">
        <v>30000000</v>
      </c>
    </row>
    <row r="468" spans="1:13" s="48" customFormat="1" outlineLevel="2">
      <c r="A468" s="39" t="s">
        <v>270</v>
      </c>
      <c r="B468" s="40" t="s">
        <v>178</v>
      </c>
      <c r="C468" s="41" t="s">
        <v>115</v>
      </c>
      <c r="D468" s="40" t="s">
        <v>116</v>
      </c>
      <c r="E468" s="24">
        <v>6100000</v>
      </c>
      <c r="F468" s="39">
        <v>44138</v>
      </c>
      <c r="G468" s="24">
        <v>6100000</v>
      </c>
      <c r="H468" s="23">
        <v>5.0000000000000001E-3</v>
      </c>
      <c r="I468" s="39">
        <v>44197</v>
      </c>
      <c r="J468" s="39">
        <v>44227</v>
      </c>
      <c r="K468" s="24">
        <f t="shared" si="20"/>
        <v>31</v>
      </c>
      <c r="L468" s="24">
        <f t="shared" si="21"/>
        <v>2590</v>
      </c>
      <c r="M468" s="24">
        <v>6100000</v>
      </c>
    </row>
    <row r="469" spans="1:13" s="48" customFormat="1" outlineLevel="2">
      <c r="A469" s="39" t="s">
        <v>270</v>
      </c>
      <c r="B469" s="40" t="s">
        <v>179</v>
      </c>
      <c r="C469" s="41" t="s">
        <v>278</v>
      </c>
      <c r="D469" s="40" t="s">
        <v>279</v>
      </c>
      <c r="E469" s="24">
        <v>82036355</v>
      </c>
      <c r="F469" s="39">
        <v>44137</v>
      </c>
      <c r="G469" s="24">
        <v>82036355</v>
      </c>
      <c r="H469" s="23">
        <v>5.0000000000000001E-3</v>
      </c>
      <c r="I469" s="39">
        <v>44197</v>
      </c>
      <c r="J469" s="39">
        <v>44227</v>
      </c>
      <c r="K469" s="24">
        <f t="shared" si="20"/>
        <v>31</v>
      </c>
      <c r="L469" s="24">
        <f t="shared" si="21"/>
        <v>34837</v>
      </c>
      <c r="M469" s="24">
        <v>82036355</v>
      </c>
    </row>
    <row r="470" spans="1:13" s="48" customFormat="1" outlineLevel="2">
      <c r="A470" s="39" t="s">
        <v>270</v>
      </c>
      <c r="B470" s="40" t="s">
        <v>180</v>
      </c>
      <c r="C470" s="41" t="s">
        <v>280</v>
      </c>
      <c r="D470" s="40" t="s">
        <v>281</v>
      </c>
      <c r="E470" s="24">
        <v>1000000000</v>
      </c>
      <c r="F470" s="39">
        <v>44162</v>
      </c>
      <c r="G470" s="24">
        <v>1000000000</v>
      </c>
      <c r="H470" s="23">
        <v>5.0000000000000001E-3</v>
      </c>
      <c r="I470" s="39">
        <v>44197</v>
      </c>
      <c r="J470" s="39">
        <v>44227</v>
      </c>
      <c r="K470" s="24">
        <f t="shared" si="20"/>
        <v>31</v>
      </c>
      <c r="L470" s="24">
        <f t="shared" si="21"/>
        <v>424658</v>
      </c>
      <c r="M470" s="24">
        <v>1000000000</v>
      </c>
    </row>
    <row r="471" spans="1:13" s="48" customFormat="1" outlineLevel="2">
      <c r="A471" s="39" t="s">
        <v>270</v>
      </c>
      <c r="B471" s="40" t="s">
        <v>181</v>
      </c>
      <c r="C471" s="41" t="s">
        <v>75</v>
      </c>
      <c r="D471" s="40" t="s">
        <v>76</v>
      </c>
      <c r="E471" s="24">
        <v>47490000</v>
      </c>
      <c r="F471" s="39">
        <v>44137</v>
      </c>
      <c r="G471" s="24">
        <v>47490000</v>
      </c>
      <c r="H471" s="23">
        <v>5.0000000000000001E-3</v>
      </c>
      <c r="I471" s="39">
        <v>44197</v>
      </c>
      <c r="J471" s="39">
        <v>44227</v>
      </c>
      <c r="K471" s="24">
        <f t="shared" si="20"/>
        <v>31</v>
      </c>
      <c r="L471" s="24">
        <f t="shared" si="21"/>
        <v>20167</v>
      </c>
      <c r="M471" s="24">
        <v>47490000</v>
      </c>
    </row>
    <row r="472" spans="1:13" s="48" customFormat="1" outlineLevel="2">
      <c r="A472" s="39" t="s">
        <v>270</v>
      </c>
      <c r="B472" s="40" t="s">
        <v>182</v>
      </c>
      <c r="C472" s="41" t="s">
        <v>143</v>
      </c>
      <c r="D472" s="40" t="s">
        <v>144</v>
      </c>
      <c r="E472" s="24">
        <v>5300000</v>
      </c>
      <c r="F472" s="39">
        <v>44145</v>
      </c>
      <c r="G472" s="24">
        <v>5300000</v>
      </c>
      <c r="H472" s="23">
        <v>5.0000000000000001E-3</v>
      </c>
      <c r="I472" s="39">
        <v>44197</v>
      </c>
      <c r="J472" s="39">
        <v>44227</v>
      </c>
      <c r="K472" s="24">
        <f t="shared" si="20"/>
        <v>31</v>
      </c>
      <c r="L472" s="24">
        <f t="shared" si="21"/>
        <v>2251</v>
      </c>
      <c r="M472" s="24">
        <v>5300000</v>
      </c>
    </row>
    <row r="473" spans="1:13" s="48" customFormat="1" outlineLevel="2">
      <c r="A473" s="39" t="s">
        <v>270</v>
      </c>
      <c r="B473" s="40" t="s">
        <v>183</v>
      </c>
      <c r="C473" s="41" t="s">
        <v>143</v>
      </c>
      <c r="D473" s="40" t="s">
        <v>144</v>
      </c>
      <c r="E473" s="24">
        <v>4130000</v>
      </c>
      <c r="F473" s="39">
        <v>44151</v>
      </c>
      <c r="G473" s="24">
        <v>4130000</v>
      </c>
      <c r="H473" s="23">
        <v>5.0000000000000001E-3</v>
      </c>
      <c r="I473" s="39">
        <v>44197</v>
      </c>
      <c r="J473" s="39">
        <v>44227</v>
      </c>
      <c r="K473" s="24">
        <f t="shared" si="20"/>
        <v>31</v>
      </c>
      <c r="L473" s="24">
        <f t="shared" si="21"/>
        <v>1754</v>
      </c>
      <c r="M473" s="24">
        <v>4130000</v>
      </c>
    </row>
    <row r="474" spans="1:13" s="48" customFormat="1" outlineLevel="2">
      <c r="A474" s="39" t="s">
        <v>270</v>
      </c>
      <c r="B474" s="40" t="s">
        <v>63</v>
      </c>
      <c r="C474" s="41" t="s">
        <v>273</v>
      </c>
      <c r="D474" s="40" t="s">
        <v>272</v>
      </c>
      <c r="E474" s="24">
        <v>55600000</v>
      </c>
      <c r="F474" s="39">
        <v>43833</v>
      </c>
      <c r="G474" s="24">
        <v>55600000</v>
      </c>
      <c r="H474" s="23">
        <v>5.0000000000000001E-3</v>
      </c>
      <c r="I474" s="39">
        <v>44197</v>
      </c>
      <c r="J474" s="39">
        <v>44227</v>
      </c>
      <c r="K474" s="24">
        <f t="shared" si="20"/>
        <v>31</v>
      </c>
      <c r="L474" s="24">
        <f t="shared" si="21"/>
        <v>23611</v>
      </c>
      <c r="M474" s="24">
        <v>55600000</v>
      </c>
    </row>
    <row r="475" spans="1:13" s="48" customFormat="1" outlineLevel="2">
      <c r="A475" s="39" t="s">
        <v>270</v>
      </c>
      <c r="B475" s="40" t="s">
        <v>184</v>
      </c>
      <c r="C475" s="41" t="s">
        <v>143</v>
      </c>
      <c r="D475" s="40" t="s">
        <v>144</v>
      </c>
      <c r="E475" s="24">
        <v>6450000</v>
      </c>
      <c r="F475" s="39">
        <v>44165</v>
      </c>
      <c r="G475" s="24">
        <v>6450000</v>
      </c>
      <c r="H475" s="23">
        <v>5.0000000000000001E-3</v>
      </c>
      <c r="I475" s="39">
        <v>44197</v>
      </c>
      <c r="J475" s="39">
        <v>44227</v>
      </c>
      <c r="K475" s="24">
        <f t="shared" si="20"/>
        <v>31</v>
      </c>
      <c r="L475" s="24">
        <f t="shared" si="21"/>
        <v>2739</v>
      </c>
      <c r="M475" s="24">
        <v>6450000</v>
      </c>
    </row>
    <row r="476" spans="1:13" s="48" customFormat="1" outlineLevel="2">
      <c r="A476" s="39" t="s">
        <v>270</v>
      </c>
      <c r="B476" s="40" t="s">
        <v>185</v>
      </c>
      <c r="C476" s="41" t="s">
        <v>55</v>
      </c>
      <c r="D476" s="40" t="s">
        <v>56</v>
      </c>
      <c r="E476" s="24">
        <v>31466520</v>
      </c>
      <c r="F476" s="39">
        <v>44189</v>
      </c>
      <c r="G476" s="24">
        <v>31466520</v>
      </c>
      <c r="H476" s="23">
        <v>5.0000000000000001E-3</v>
      </c>
      <c r="I476" s="39">
        <v>44197</v>
      </c>
      <c r="J476" s="39">
        <v>44227</v>
      </c>
      <c r="K476" s="24">
        <f t="shared" si="20"/>
        <v>31</v>
      </c>
      <c r="L476" s="24">
        <f t="shared" si="21"/>
        <v>13362</v>
      </c>
      <c r="M476" s="24">
        <v>31466520</v>
      </c>
    </row>
    <row r="477" spans="1:13" s="48" customFormat="1" outlineLevel="2">
      <c r="A477" s="39" t="s">
        <v>270</v>
      </c>
      <c r="B477" s="40" t="s">
        <v>186</v>
      </c>
      <c r="C477" s="41" t="s">
        <v>274</v>
      </c>
      <c r="D477" s="40" t="s">
        <v>275</v>
      </c>
      <c r="E477" s="24">
        <v>14338200</v>
      </c>
      <c r="F477" s="39">
        <v>44174</v>
      </c>
      <c r="G477" s="24">
        <v>14338200</v>
      </c>
      <c r="H477" s="23">
        <v>5.0000000000000001E-3</v>
      </c>
      <c r="I477" s="39">
        <v>44197</v>
      </c>
      <c r="J477" s="39">
        <v>44227</v>
      </c>
      <c r="K477" s="24">
        <f t="shared" si="20"/>
        <v>31</v>
      </c>
      <c r="L477" s="24">
        <f t="shared" si="21"/>
        <v>6089</v>
      </c>
      <c r="M477" s="24">
        <v>14338200</v>
      </c>
    </row>
    <row r="478" spans="1:13" s="48" customFormat="1" outlineLevel="2">
      <c r="A478" s="39" t="s">
        <v>270</v>
      </c>
      <c r="B478" s="40" t="s">
        <v>189</v>
      </c>
      <c r="C478" s="41" t="s">
        <v>274</v>
      </c>
      <c r="D478" s="40" t="s">
        <v>275</v>
      </c>
      <c r="E478" s="24">
        <v>4977000</v>
      </c>
      <c r="F478" s="39">
        <v>44174</v>
      </c>
      <c r="G478" s="24">
        <v>4977000</v>
      </c>
      <c r="H478" s="23">
        <v>5.0000000000000001E-3</v>
      </c>
      <c r="I478" s="39">
        <v>44197</v>
      </c>
      <c r="J478" s="39">
        <v>44227</v>
      </c>
      <c r="K478" s="24">
        <f t="shared" si="20"/>
        <v>31</v>
      </c>
      <c r="L478" s="24">
        <f t="shared" si="21"/>
        <v>2114</v>
      </c>
      <c r="M478" s="24">
        <v>4977000</v>
      </c>
    </row>
    <row r="479" spans="1:13" s="48" customFormat="1" outlineLevel="2">
      <c r="A479" s="39" t="s">
        <v>270</v>
      </c>
      <c r="B479" s="40" t="s">
        <v>190</v>
      </c>
      <c r="C479" s="41" t="s">
        <v>115</v>
      </c>
      <c r="D479" s="40" t="s">
        <v>116</v>
      </c>
      <c r="E479" s="24">
        <v>40000000</v>
      </c>
      <c r="F479" s="39">
        <v>44193</v>
      </c>
      <c r="G479" s="24">
        <v>40000000</v>
      </c>
      <c r="H479" s="23">
        <v>5.0000000000000001E-3</v>
      </c>
      <c r="I479" s="39">
        <v>44197</v>
      </c>
      <c r="J479" s="39">
        <v>44227</v>
      </c>
      <c r="K479" s="24">
        <f t="shared" si="20"/>
        <v>31</v>
      </c>
      <c r="L479" s="24">
        <f t="shared" si="21"/>
        <v>16986</v>
      </c>
      <c r="M479" s="24">
        <v>40000000</v>
      </c>
    </row>
    <row r="480" spans="1:13" s="48" customFormat="1" outlineLevel="2">
      <c r="A480" s="39" t="s">
        <v>270</v>
      </c>
      <c r="B480" s="40" t="s">
        <v>191</v>
      </c>
      <c r="C480" s="41" t="s">
        <v>143</v>
      </c>
      <c r="D480" s="40" t="s">
        <v>144</v>
      </c>
      <c r="E480" s="24">
        <v>8890000</v>
      </c>
      <c r="F480" s="39">
        <v>44175</v>
      </c>
      <c r="G480" s="24">
        <v>8890000</v>
      </c>
      <c r="H480" s="23">
        <v>5.0000000000000001E-3</v>
      </c>
      <c r="I480" s="39">
        <v>44197</v>
      </c>
      <c r="J480" s="39">
        <v>44227</v>
      </c>
      <c r="K480" s="24">
        <f t="shared" si="20"/>
        <v>31</v>
      </c>
      <c r="L480" s="24">
        <f t="shared" si="21"/>
        <v>3775</v>
      </c>
      <c r="M480" s="24">
        <v>8890000</v>
      </c>
    </row>
    <row r="481" spans="1:13" s="48" customFormat="1" outlineLevel="2">
      <c r="A481" s="39" t="s">
        <v>270</v>
      </c>
      <c r="B481" s="40" t="s">
        <v>192</v>
      </c>
      <c r="C481" s="41" t="s">
        <v>143</v>
      </c>
      <c r="D481" s="40" t="s">
        <v>144</v>
      </c>
      <c r="E481" s="24">
        <v>4020000</v>
      </c>
      <c r="F481" s="39">
        <v>44196</v>
      </c>
      <c r="G481" s="24">
        <v>4020000</v>
      </c>
      <c r="H481" s="23">
        <v>5.0000000000000001E-3</v>
      </c>
      <c r="I481" s="39">
        <v>44197</v>
      </c>
      <c r="J481" s="39">
        <v>44227</v>
      </c>
      <c r="K481" s="24">
        <f t="shared" si="20"/>
        <v>31</v>
      </c>
      <c r="L481" s="24">
        <f t="shared" si="21"/>
        <v>1707</v>
      </c>
      <c r="M481" s="24">
        <v>4020000</v>
      </c>
    </row>
    <row r="482" spans="1:13" s="48" customFormat="1" outlineLevel="2">
      <c r="A482" s="39" t="s">
        <v>270</v>
      </c>
      <c r="B482" s="40" t="s">
        <v>193</v>
      </c>
      <c r="C482" s="41" t="s">
        <v>273</v>
      </c>
      <c r="D482" s="40" t="s">
        <v>272</v>
      </c>
      <c r="E482" s="24">
        <v>86700000</v>
      </c>
      <c r="F482" s="39">
        <v>44169</v>
      </c>
      <c r="G482" s="24">
        <v>86700000</v>
      </c>
      <c r="H482" s="23">
        <v>5.0000000000000001E-3</v>
      </c>
      <c r="I482" s="39">
        <v>44197</v>
      </c>
      <c r="J482" s="39">
        <v>44227</v>
      </c>
      <c r="K482" s="24">
        <f t="shared" si="20"/>
        <v>31</v>
      </c>
      <c r="L482" s="24">
        <f t="shared" si="21"/>
        <v>36818</v>
      </c>
      <c r="M482" s="24">
        <v>86700000</v>
      </c>
    </row>
    <row r="483" spans="1:13" s="48" customFormat="1" outlineLevel="2">
      <c r="A483" s="39" t="s">
        <v>270</v>
      </c>
      <c r="B483" s="40" t="s">
        <v>194</v>
      </c>
      <c r="C483" s="41" t="s">
        <v>274</v>
      </c>
      <c r="D483" s="40" t="s">
        <v>275</v>
      </c>
      <c r="E483" s="24">
        <v>4977000</v>
      </c>
      <c r="F483" s="39">
        <v>44209</v>
      </c>
      <c r="G483" s="24">
        <v>4977000</v>
      </c>
      <c r="H483" s="23">
        <v>5.0000000000000001E-3</v>
      </c>
      <c r="I483" s="39">
        <v>44209</v>
      </c>
      <c r="J483" s="39">
        <v>44227</v>
      </c>
      <c r="K483" s="24">
        <f t="shared" ref="K483:K490" si="22">J483-I483+1</f>
        <v>19</v>
      </c>
      <c r="L483" s="24">
        <f t="shared" ref="L483:L490" si="23">ROUND(G483*H483*K483/365,0)</f>
        <v>1295</v>
      </c>
      <c r="M483" s="24">
        <v>4977000</v>
      </c>
    </row>
    <row r="484" spans="1:13" s="48" customFormat="1" outlineLevel="2">
      <c r="A484" s="39" t="s">
        <v>270</v>
      </c>
      <c r="B484" s="40" t="s">
        <v>195</v>
      </c>
      <c r="C484" s="41" t="s">
        <v>274</v>
      </c>
      <c r="D484" s="40" t="s">
        <v>275</v>
      </c>
      <c r="E484" s="24">
        <v>9862800</v>
      </c>
      <c r="F484" s="39">
        <v>44209</v>
      </c>
      <c r="G484" s="24">
        <v>9862800</v>
      </c>
      <c r="H484" s="23">
        <v>5.0000000000000001E-3</v>
      </c>
      <c r="I484" s="39">
        <v>44209</v>
      </c>
      <c r="J484" s="39">
        <v>44227</v>
      </c>
      <c r="K484" s="24">
        <f t="shared" si="22"/>
        <v>19</v>
      </c>
      <c r="L484" s="24">
        <f t="shared" si="23"/>
        <v>2567</v>
      </c>
      <c r="M484" s="24">
        <v>9862800</v>
      </c>
    </row>
    <row r="485" spans="1:13" s="48" customFormat="1" outlineLevel="2">
      <c r="A485" s="39" t="s">
        <v>270</v>
      </c>
      <c r="B485" s="40" t="s">
        <v>64</v>
      </c>
      <c r="C485" s="41" t="s">
        <v>273</v>
      </c>
      <c r="D485" s="40" t="s">
        <v>272</v>
      </c>
      <c r="E485" s="24">
        <v>28400000</v>
      </c>
      <c r="F485" s="39">
        <v>43833</v>
      </c>
      <c r="G485" s="24">
        <v>28400000</v>
      </c>
      <c r="H485" s="23">
        <v>5.0000000000000001E-3</v>
      </c>
      <c r="I485" s="39">
        <v>44197</v>
      </c>
      <c r="J485" s="39">
        <v>44227</v>
      </c>
      <c r="K485" s="24">
        <f t="shared" si="22"/>
        <v>31</v>
      </c>
      <c r="L485" s="24">
        <f t="shared" si="23"/>
        <v>12060</v>
      </c>
      <c r="M485" s="24">
        <v>28400000</v>
      </c>
    </row>
    <row r="486" spans="1:13" s="48" customFormat="1" outlineLevel="2">
      <c r="A486" s="39" t="s">
        <v>270</v>
      </c>
      <c r="B486" s="40" t="s">
        <v>196</v>
      </c>
      <c r="C486" s="41" t="s">
        <v>143</v>
      </c>
      <c r="D486" s="40" t="s">
        <v>144</v>
      </c>
      <c r="E486" s="24">
        <v>3620000</v>
      </c>
      <c r="F486" s="39">
        <v>44207</v>
      </c>
      <c r="G486" s="24">
        <v>3620000</v>
      </c>
      <c r="H486" s="23">
        <v>5.0000000000000001E-3</v>
      </c>
      <c r="I486" s="39">
        <v>44207</v>
      </c>
      <c r="J486" s="39">
        <v>44227</v>
      </c>
      <c r="K486" s="24">
        <f t="shared" si="22"/>
        <v>21</v>
      </c>
      <c r="L486" s="24">
        <f t="shared" si="23"/>
        <v>1041</v>
      </c>
      <c r="M486" s="24">
        <v>3620000</v>
      </c>
    </row>
    <row r="487" spans="1:13" s="48" customFormat="1" outlineLevel="2">
      <c r="A487" s="39" t="s">
        <v>270</v>
      </c>
      <c r="B487" s="40" t="s">
        <v>197</v>
      </c>
      <c r="C487" s="41" t="s">
        <v>273</v>
      </c>
      <c r="D487" s="40" t="s">
        <v>272</v>
      </c>
      <c r="E487" s="24">
        <v>20600000</v>
      </c>
      <c r="F487" s="39">
        <v>44201</v>
      </c>
      <c r="G487" s="24">
        <v>20600000</v>
      </c>
      <c r="H487" s="23">
        <v>5.0000000000000001E-3</v>
      </c>
      <c r="I487" s="39">
        <v>44201</v>
      </c>
      <c r="J487" s="39">
        <v>44227</v>
      </c>
      <c r="K487" s="24">
        <f t="shared" si="22"/>
        <v>27</v>
      </c>
      <c r="L487" s="24">
        <f t="shared" si="23"/>
        <v>7619</v>
      </c>
      <c r="M487" s="24">
        <v>20600000</v>
      </c>
    </row>
    <row r="488" spans="1:13" s="48" customFormat="1" outlineLevel="2">
      <c r="A488" s="39" t="s">
        <v>270</v>
      </c>
      <c r="B488" s="40" t="s">
        <v>198</v>
      </c>
      <c r="C488" s="41" t="s">
        <v>75</v>
      </c>
      <c r="D488" s="40" t="s">
        <v>76</v>
      </c>
      <c r="E488" s="24">
        <v>53640000</v>
      </c>
      <c r="F488" s="39">
        <v>44203</v>
      </c>
      <c r="G488" s="24">
        <v>53640000</v>
      </c>
      <c r="H488" s="23">
        <v>5.0000000000000001E-3</v>
      </c>
      <c r="I488" s="39">
        <v>44203</v>
      </c>
      <c r="J488" s="39">
        <v>44227</v>
      </c>
      <c r="K488" s="24">
        <f t="shared" si="22"/>
        <v>25</v>
      </c>
      <c r="L488" s="24">
        <f t="shared" si="23"/>
        <v>18370</v>
      </c>
      <c r="M488" s="24">
        <v>53640000</v>
      </c>
    </row>
    <row r="489" spans="1:13" s="48" customFormat="1" outlineLevel="2">
      <c r="A489" s="39" t="s">
        <v>270</v>
      </c>
      <c r="B489" s="40" t="s">
        <v>65</v>
      </c>
      <c r="C489" s="41" t="s">
        <v>274</v>
      </c>
      <c r="D489" s="40" t="s">
        <v>275</v>
      </c>
      <c r="E489" s="24">
        <v>5452560</v>
      </c>
      <c r="F489" s="39">
        <v>43873</v>
      </c>
      <c r="G489" s="24">
        <v>5452560</v>
      </c>
      <c r="H489" s="23">
        <v>5.0000000000000001E-3</v>
      </c>
      <c r="I489" s="39">
        <v>44197</v>
      </c>
      <c r="J489" s="39">
        <v>44227</v>
      </c>
      <c r="K489" s="24">
        <f t="shared" si="22"/>
        <v>31</v>
      </c>
      <c r="L489" s="24">
        <f t="shared" si="23"/>
        <v>2315</v>
      </c>
      <c r="M489" s="24">
        <v>5452560</v>
      </c>
    </row>
    <row r="490" spans="1:13" s="48" customFormat="1" outlineLevel="2">
      <c r="A490" s="39" t="s">
        <v>270</v>
      </c>
      <c r="B490" s="40" t="s">
        <v>68</v>
      </c>
      <c r="C490" s="41" t="s">
        <v>274</v>
      </c>
      <c r="D490" s="40" t="s">
        <v>275</v>
      </c>
      <c r="E490" s="24">
        <v>7270080</v>
      </c>
      <c r="F490" s="39">
        <v>43873</v>
      </c>
      <c r="G490" s="24">
        <v>7270080</v>
      </c>
      <c r="H490" s="23">
        <v>5.0000000000000001E-3</v>
      </c>
      <c r="I490" s="39">
        <v>44197</v>
      </c>
      <c r="J490" s="39">
        <v>44227</v>
      </c>
      <c r="K490" s="24">
        <f t="shared" si="22"/>
        <v>31</v>
      </c>
      <c r="L490" s="24">
        <f t="shared" si="23"/>
        <v>3087</v>
      </c>
      <c r="M490" s="24">
        <v>7270080</v>
      </c>
    </row>
    <row r="491" spans="1:13" s="48" customFormat="1" outlineLevel="1">
      <c r="A491" s="42" t="s">
        <v>282</v>
      </c>
      <c r="B491" s="43"/>
      <c r="C491" s="44"/>
      <c r="D491" s="43"/>
      <c r="E491" s="45">
        <f>SUBTOTAL(9,E419:E490)</f>
        <v>3717431792</v>
      </c>
      <c r="F491" s="46"/>
      <c r="G491" s="45"/>
      <c r="H491" s="47"/>
      <c r="I491" s="46"/>
      <c r="J491" s="46"/>
      <c r="K491" s="45"/>
      <c r="L491" s="45">
        <f>SUBTOTAL(9,L419:L490)</f>
        <v>1570160</v>
      </c>
      <c r="M491" s="45">
        <f>SUBTOTAL(9,M419:M490)</f>
        <v>3717431792</v>
      </c>
    </row>
    <row r="492" spans="1:13" s="48" customFormat="1" outlineLevel="2">
      <c r="A492" s="39" t="s">
        <v>283</v>
      </c>
      <c r="B492" s="40" t="s">
        <v>16</v>
      </c>
      <c r="C492" s="41" t="s">
        <v>284</v>
      </c>
      <c r="D492" s="40" t="s">
        <v>285</v>
      </c>
      <c r="E492" s="24">
        <v>50000000</v>
      </c>
      <c r="F492" s="39">
        <v>44211</v>
      </c>
      <c r="G492" s="24">
        <v>50000000</v>
      </c>
      <c r="H492" s="23">
        <v>5.0000000000000001E-3</v>
      </c>
      <c r="I492" s="39">
        <v>44211</v>
      </c>
      <c r="J492" s="39">
        <v>44227</v>
      </c>
      <c r="K492" s="24">
        <f>J492-I492+1</f>
        <v>17</v>
      </c>
      <c r="L492" s="24">
        <f>ROUND(G492*H492*K492/365,0)</f>
        <v>11644</v>
      </c>
      <c r="M492" s="24">
        <v>50000000</v>
      </c>
    </row>
    <row r="493" spans="1:13" s="48" customFormat="1" outlineLevel="1">
      <c r="A493" s="42" t="s">
        <v>286</v>
      </c>
      <c r="B493" s="43"/>
      <c r="C493" s="44"/>
      <c r="D493" s="43"/>
      <c r="E493" s="45">
        <f>SUBTOTAL(9,E492:E492)</f>
        <v>50000000</v>
      </c>
      <c r="F493" s="46"/>
      <c r="G493" s="45"/>
      <c r="H493" s="47"/>
      <c r="I493" s="46"/>
      <c r="J493" s="46"/>
      <c r="K493" s="45"/>
      <c r="L493" s="45">
        <f>SUBTOTAL(9,L492:L492)</f>
        <v>11644</v>
      </c>
      <c r="M493" s="45">
        <f>SUBTOTAL(9,M492:M492)</f>
        <v>50000000</v>
      </c>
    </row>
    <row r="494" spans="1:13" s="48" customFormat="1" outlineLevel="2">
      <c r="A494" s="39" t="s">
        <v>287</v>
      </c>
      <c r="B494" s="40" t="s">
        <v>16</v>
      </c>
      <c r="C494" s="41" t="s">
        <v>30</v>
      </c>
      <c r="D494" s="40" t="s">
        <v>31</v>
      </c>
      <c r="E494" s="24">
        <v>20000000</v>
      </c>
      <c r="F494" s="39">
        <v>43985</v>
      </c>
      <c r="G494" s="24">
        <v>20000000</v>
      </c>
      <c r="H494" s="23">
        <v>5.0000000000000001E-3</v>
      </c>
      <c r="I494" s="39">
        <v>44197</v>
      </c>
      <c r="J494" s="39">
        <v>44227</v>
      </c>
      <c r="K494" s="24">
        <f>J494-I494+1</f>
        <v>31</v>
      </c>
      <c r="L494" s="24">
        <f>ROUND(G494*H494*K494/365,0)</f>
        <v>8493</v>
      </c>
      <c r="M494" s="24">
        <v>20000000</v>
      </c>
    </row>
    <row r="495" spans="1:13" s="48" customFormat="1" outlineLevel="2">
      <c r="A495" s="39" t="s">
        <v>287</v>
      </c>
      <c r="B495" s="40" t="s">
        <v>39</v>
      </c>
      <c r="C495" s="41" t="s">
        <v>30</v>
      </c>
      <c r="D495" s="40" t="s">
        <v>31</v>
      </c>
      <c r="E495" s="24">
        <v>13800000</v>
      </c>
      <c r="F495" s="39">
        <v>44034</v>
      </c>
      <c r="G495" s="24">
        <v>13800000</v>
      </c>
      <c r="H495" s="23">
        <v>5.0000000000000001E-3</v>
      </c>
      <c r="I495" s="39">
        <v>44197</v>
      </c>
      <c r="J495" s="39">
        <v>44227</v>
      </c>
      <c r="K495" s="24">
        <f>J495-I495+1</f>
        <v>31</v>
      </c>
      <c r="L495" s="24">
        <f>ROUND(G495*H495*K495/365,0)</f>
        <v>5860</v>
      </c>
      <c r="M495" s="24">
        <v>13800000</v>
      </c>
    </row>
    <row r="496" spans="1:13" s="48" customFormat="1" outlineLevel="2">
      <c r="A496" s="39" t="s">
        <v>287</v>
      </c>
      <c r="B496" s="40" t="s">
        <v>54</v>
      </c>
      <c r="C496" s="41" t="s">
        <v>30</v>
      </c>
      <c r="D496" s="40" t="s">
        <v>31</v>
      </c>
      <c r="E496" s="24">
        <v>25000000</v>
      </c>
      <c r="F496" s="39">
        <v>44102</v>
      </c>
      <c r="G496" s="24">
        <v>25000000</v>
      </c>
      <c r="H496" s="23">
        <v>5.0000000000000001E-3</v>
      </c>
      <c r="I496" s="39">
        <v>44197</v>
      </c>
      <c r="J496" s="39">
        <v>44227</v>
      </c>
      <c r="K496" s="24">
        <f>J496-I496+1</f>
        <v>31</v>
      </c>
      <c r="L496" s="24">
        <f>ROUND(G496*H496*K496/365,0)</f>
        <v>10616</v>
      </c>
      <c r="M496" s="24">
        <v>25000000</v>
      </c>
    </row>
    <row r="497" spans="1:13" s="48" customFormat="1" outlineLevel="2">
      <c r="A497" s="39" t="s">
        <v>287</v>
      </c>
      <c r="B497" s="40" t="s">
        <v>59</v>
      </c>
      <c r="C497" s="41" t="s">
        <v>30</v>
      </c>
      <c r="D497" s="40" t="s">
        <v>31</v>
      </c>
      <c r="E497" s="24">
        <v>5600000</v>
      </c>
      <c r="F497" s="39">
        <v>44103</v>
      </c>
      <c r="G497" s="24">
        <v>5600000</v>
      </c>
      <c r="H497" s="23">
        <v>5.0000000000000001E-3</v>
      </c>
      <c r="I497" s="39">
        <v>44197</v>
      </c>
      <c r="J497" s="39">
        <v>44227</v>
      </c>
      <c r="K497" s="24">
        <f>J497-I497+1</f>
        <v>31</v>
      </c>
      <c r="L497" s="24">
        <f>ROUND(G497*H497*K497/365,0)</f>
        <v>2378</v>
      </c>
      <c r="M497" s="24">
        <v>5600000</v>
      </c>
    </row>
    <row r="498" spans="1:13" s="48" customFormat="1" outlineLevel="1">
      <c r="A498" s="42" t="s">
        <v>288</v>
      </c>
      <c r="B498" s="43"/>
      <c r="C498" s="44"/>
      <c r="D498" s="43"/>
      <c r="E498" s="45">
        <f>SUBTOTAL(9,E494:E497)</f>
        <v>64400000</v>
      </c>
      <c r="F498" s="46"/>
      <c r="G498" s="45"/>
      <c r="H498" s="47"/>
      <c r="I498" s="46"/>
      <c r="J498" s="46"/>
      <c r="K498" s="45"/>
      <c r="L498" s="45">
        <f>SUBTOTAL(9,L494:L497)</f>
        <v>27347</v>
      </c>
      <c r="M498" s="45">
        <f>SUBTOTAL(9,M494:M497)</f>
        <v>64400000</v>
      </c>
    </row>
    <row r="499" spans="1:13" s="48" customFormat="1" outlineLevel="2">
      <c r="A499" s="39" t="s">
        <v>289</v>
      </c>
      <c r="B499" s="40" t="s">
        <v>16</v>
      </c>
      <c r="C499" s="41" t="s">
        <v>121</v>
      </c>
      <c r="D499" s="40" t="s">
        <v>122</v>
      </c>
      <c r="E499" s="24">
        <v>72000000</v>
      </c>
      <c r="F499" s="39">
        <v>43917</v>
      </c>
      <c r="G499" s="24">
        <v>72000000</v>
      </c>
      <c r="H499" s="23">
        <v>5.0000000000000001E-3</v>
      </c>
      <c r="I499" s="39">
        <v>44197</v>
      </c>
      <c r="J499" s="39">
        <v>44227</v>
      </c>
      <c r="K499" s="24">
        <f t="shared" ref="K499:K509" si="24">J499-I499+1</f>
        <v>31</v>
      </c>
      <c r="L499" s="24">
        <f t="shared" ref="L499:L509" si="25">ROUND(G499*H499*K499/365,0)</f>
        <v>30575</v>
      </c>
      <c r="M499" s="24">
        <v>72000000</v>
      </c>
    </row>
    <row r="500" spans="1:13" s="48" customFormat="1" outlineLevel="2">
      <c r="A500" s="39" t="s">
        <v>289</v>
      </c>
      <c r="B500" s="40" t="s">
        <v>39</v>
      </c>
      <c r="C500" s="41" t="s">
        <v>121</v>
      </c>
      <c r="D500" s="40" t="s">
        <v>122</v>
      </c>
      <c r="E500" s="24">
        <v>144000000</v>
      </c>
      <c r="F500" s="39">
        <v>44018</v>
      </c>
      <c r="G500" s="24">
        <v>144000000</v>
      </c>
      <c r="H500" s="23">
        <v>5.0000000000000001E-3</v>
      </c>
      <c r="I500" s="39">
        <v>44197</v>
      </c>
      <c r="J500" s="39">
        <v>44227</v>
      </c>
      <c r="K500" s="24">
        <f t="shared" si="24"/>
        <v>31</v>
      </c>
      <c r="L500" s="24">
        <f t="shared" si="25"/>
        <v>61151</v>
      </c>
      <c r="M500" s="24">
        <v>144000000</v>
      </c>
    </row>
    <row r="501" spans="1:13" s="48" customFormat="1" outlineLevel="2">
      <c r="A501" s="39" t="s">
        <v>289</v>
      </c>
      <c r="B501" s="40" t="s">
        <v>54</v>
      </c>
      <c r="C501" s="41" t="s">
        <v>290</v>
      </c>
      <c r="D501" s="40" t="s">
        <v>291</v>
      </c>
      <c r="E501" s="24">
        <v>6820000</v>
      </c>
      <c r="F501" s="39">
        <v>44092</v>
      </c>
      <c r="G501" s="24">
        <v>6478999</v>
      </c>
      <c r="H501" s="23">
        <v>5.0000000000000001E-3</v>
      </c>
      <c r="I501" s="39">
        <v>44197</v>
      </c>
      <c r="J501" s="39">
        <v>44210</v>
      </c>
      <c r="K501" s="24">
        <f t="shared" si="24"/>
        <v>14</v>
      </c>
      <c r="L501" s="24">
        <f t="shared" si="25"/>
        <v>1243</v>
      </c>
      <c r="M501" s="24">
        <v>6365332</v>
      </c>
    </row>
    <row r="502" spans="1:13" s="48" customFormat="1" outlineLevel="2">
      <c r="A502" s="39" t="s">
        <v>289</v>
      </c>
      <c r="B502" s="40" t="s">
        <v>54</v>
      </c>
      <c r="C502" s="41" t="s">
        <v>290</v>
      </c>
      <c r="D502" s="40"/>
      <c r="E502" s="24"/>
      <c r="F502" s="39"/>
      <c r="G502" s="24">
        <v>6365332</v>
      </c>
      <c r="H502" s="23">
        <v>5.0000000000000001E-3</v>
      </c>
      <c r="I502" s="39">
        <v>44211</v>
      </c>
      <c r="J502" s="39">
        <v>44227</v>
      </c>
      <c r="K502" s="24">
        <f t="shared" si="24"/>
        <v>17</v>
      </c>
      <c r="L502" s="24">
        <f t="shared" si="25"/>
        <v>1482</v>
      </c>
      <c r="M502" s="24"/>
    </row>
    <row r="503" spans="1:13" s="48" customFormat="1" outlineLevel="2">
      <c r="A503" s="39" t="s">
        <v>289</v>
      </c>
      <c r="B503" s="40" t="s">
        <v>59</v>
      </c>
      <c r="C503" s="41" t="s">
        <v>290</v>
      </c>
      <c r="D503" s="40" t="s">
        <v>291</v>
      </c>
      <c r="E503" s="24">
        <v>17380000</v>
      </c>
      <c r="F503" s="39">
        <v>44092</v>
      </c>
      <c r="G503" s="24">
        <v>15931666</v>
      </c>
      <c r="H503" s="23">
        <v>5.0000000000000001E-3</v>
      </c>
      <c r="I503" s="39">
        <v>44197</v>
      </c>
      <c r="J503" s="39">
        <v>44210</v>
      </c>
      <c r="K503" s="24">
        <f t="shared" si="24"/>
        <v>14</v>
      </c>
      <c r="L503" s="24">
        <f t="shared" si="25"/>
        <v>3055</v>
      </c>
      <c r="M503" s="24">
        <v>15448888</v>
      </c>
    </row>
    <row r="504" spans="1:13" s="48" customFormat="1" outlineLevel="2">
      <c r="A504" s="39" t="s">
        <v>289</v>
      </c>
      <c r="B504" s="40" t="s">
        <v>59</v>
      </c>
      <c r="C504" s="41" t="s">
        <v>290</v>
      </c>
      <c r="D504" s="40"/>
      <c r="E504" s="24"/>
      <c r="F504" s="39"/>
      <c r="G504" s="24">
        <v>15448888</v>
      </c>
      <c r="H504" s="23">
        <v>5.0000000000000001E-3</v>
      </c>
      <c r="I504" s="39">
        <v>44211</v>
      </c>
      <c r="J504" s="39">
        <v>44227</v>
      </c>
      <c r="K504" s="24">
        <f t="shared" si="24"/>
        <v>17</v>
      </c>
      <c r="L504" s="24">
        <f t="shared" si="25"/>
        <v>3598</v>
      </c>
      <c r="M504" s="24"/>
    </row>
    <row r="505" spans="1:13" s="48" customFormat="1" outlineLevel="2">
      <c r="A505" s="39" t="s">
        <v>289</v>
      </c>
      <c r="B505" s="40" t="s">
        <v>62</v>
      </c>
      <c r="C505" s="41" t="s">
        <v>121</v>
      </c>
      <c r="D505" s="40" t="s">
        <v>122</v>
      </c>
      <c r="E505" s="24">
        <v>41000000</v>
      </c>
      <c r="F505" s="39">
        <v>44140</v>
      </c>
      <c r="G505" s="24">
        <v>41000000</v>
      </c>
      <c r="H505" s="23">
        <v>5.0000000000000001E-3</v>
      </c>
      <c r="I505" s="39">
        <v>44197</v>
      </c>
      <c r="J505" s="39">
        <v>44227</v>
      </c>
      <c r="K505" s="24">
        <f t="shared" si="24"/>
        <v>31</v>
      </c>
      <c r="L505" s="24">
        <f t="shared" si="25"/>
        <v>17411</v>
      </c>
      <c r="M505" s="24">
        <v>41000000</v>
      </c>
    </row>
    <row r="506" spans="1:13" s="48" customFormat="1" outlineLevel="2">
      <c r="A506" s="39" t="s">
        <v>289</v>
      </c>
      <c r="B506" s="40" t="s">
        <v>63</v>
      </c>
      <c r="C506" s="41" t="s">
        <v>290</v>
      </c>
      <c r="D506" s="40" t="s">
        <v>291</v>
      </c>
      <c r="E506" s="24">
        <v>3220000</v>
      </c>
      <c r="F506" s="39">
        <v>44161</v>
      </c>
      <c r="G506" s="24">
        <v>3164483</v>
      </c>
      <c r="H506" s="23">
        <v>5.0000000000000001E-3</v>
      </c>
      <c r="I506" s="39">
        <v>44197</v>
      </c>
      <c r="J506" s="39">
        <v>44210</v>
      </c>
      <c r="K506" s="24">
        <f t="shared" si="24"/>
        <v>14</v>
      </c>
      <c r="L506" s="24">
        <f t="shared" si="25"/>
        <v>607</v>
      </c>
      <c r="M506" s="24">
        <v>3108966</v>
      </c>
    </row>
    <row r="507" spans="1:13" s="48" customFormat="1" outlineLevel="2">
      <c r="A507" s="39" t="s">
        <v>289</v>
      </c>
      <c r="B507" s="40" t="s">
        <v>63</v>
      </c>
      <c r="C507" s="41" t="s">
        <v>290</v>
      </c>
      <c r="D507" s="40"/>
      <c r="E507" s="24"/>
      <c r="F507" s="39"/>
      <c r="G507" s="24">
        <v>3108966</v>
      </c>
      <c r="H507" s="23">
        <v>5.0000000000000001E-3</v>
      </c>
      <c r="I507" s="39">
        <v>44211</v>
      </c>
      <c r="J507" s="39">
        <v>44227</v>
      </c>
      <c r="K507" s="24">
        <f t="shared" si="24"/>
        <v>17</v>
      </c>
      <c r="L507" s="24">
        <f t="shared" si="25"/>
        <v>724</v>
      </c>
      <c r="M507" s="24"/>
    </row>
    <row r="508" spans="1:13" s="48" customFormat="1" outlineLevel="2">
      <c r="A508" s="39" t="s">
        <v>289</v>
      </c>
      <c r="B508" s="40" t="s">
        <v>64</v>
      </c>
      <c r="C508" s="41" t="s">
        <v>121</v>
      </c>
      <c r="D508" s="40" t="s">
        <v>122</v>
      </c>
      <c r="E508" s="24">
        <v>50000000</v>
      </c>
      <c r="F508" s="39">
        <v>44189</v>
      </c>
      <c r="G508" s="24">
        <v>50000000</v>
      </c>
      <c r="H508" s="23">
        <v>5.0000000000000001E-3</v>
      </c>
      <c r="I508" s="39">
        <v>44197</v>
      </c>
      <c r="J508" s="39">
        <v>44227</v>
      </c>
      <c r="K508" s="24">
        <f t="shared" si="24"/>
        <v>31</v>
      </c>
      <c r="L508" s="24">
        <f t="shared" si="25"/>
        <v>21233</v>
      </c>
      <c r="M508" s="24">
        <v>50000000</v>
      </c>
    </row>
    <row r="509" spans="1:13" s="48" customFormat="1" outlineLevel="2">
      <c r="A509" s="39" t="s">
        <v>289</v>
      </c>
      <c r="B509" s="40" t="s">
        <v>65</v>
      </c>
      <c r="C509" s="41" t="s">
        <v>121</v>
      </c>
      <c r="D509" s="40" t="s">
        <v>122</v>
      </c>
      <c r="E509" s="24">
        <v>15000000</v>
      </c>
      <c r="F509" s="39">
        <v>44189</v>
      </c>
      <c r="G509" s="24">
        <v>15000000</v>
      </c>
      <c r="H509" s="23">
        <v>5.0000000000000001E-3</v>
      </c>
      <c r="I509" s="39">
        <v>44197</v>
      </c>
      <c r="J509" s="39">
        <v>44227</v>
      </c>
      <c r="K509" s="24">
        <f t="shared" si="24"/>
        <v>31</v>
      </c>
      <c r="L509" s="24">
        <f t="shared" si="25"/>
        <v>6370</v>
      </c>
      <c r="M509" s="24">
        <v>15000000</v>
      </c>
    </row>
    <row r="510" spans="1:13" s="48" customFormat="1" outlineLevel="1">
      <c r="A510" s="42" t="s">
        <v>292</v>
      </c>
      <c r="B510" s="43"/>
      <c r="C510" s="44"/>
      <c r="D510" s="43"/>
      <c r="E510" s="45">
        <f>SUBTOTAL(9,E499:E509)</f>
        <v>349420000</v>
      </c>
      <c r="F510" s="46"/>
      <c r="G510" s="45"/>
      <c r="H510" s="47"/>
      <c r="I510" s="46"/>
      <c r="J510" s="46"/>
      <c r="K510" s="45"/>
      <c r="L510" s="45">
        <f>SUBTOTAL(9,L499:L509)</f>
        <v>147449</v>
      </c>
      <c r="M510" s="45">
        <f>SUBTOTAL(9,M499:M509)</f>
        <v>346923186</v>
      </c>
    </row>
    <row r="511" spans="1:13" s="48" customFormat="1" outlineLevel="2">
      <c r="A511" s="39" t="s">
        <v>293</v>
      </c>
      <c r="B511" s="40" t="s">
        <v>16</v>
      </c>
      <c r="C511" s="41" t="s">
        <v>121</v>
      </c>
      <c r="D511" s="40" t="s">
        <v>122</v>
      </c>
      <c r="E511" s="24">
        <v>190000000</v>
      </c>
      <c r="F511" s="39">
        <v>43797</v>
      </c>
      <c r="G511" s="24">
        <v>190000000</v>
      </c>
      <c r="H511" s="23">
        <v>5.0000000000000001E-3</v>
      </c>
      <c r="I511" s="39">
        <v>44197</v>
      </c>
      <c r="J511" s="39">
        <v>44227</v>
      </c>
      <c r="K511" s="24">
        <f t="shared" ref="K511:K539" si="26">J511-I511+1</f>
        <v>31</v>
      </c>
      <c r="L511" s="24">
        <f t="shared" ref="L511:L539" si="27">ROUND(G511*H511*K511/365,0)</f>
        <v>80685</v>
      </c>
      <c r="M511" s="24">
        <v>190000000</v>
      </c>
    </row>
    <row r="512" spans="1:13" s="48" customFormat="1" outlineLevel="2">
      <c r="A512" s="39" t="s">
        <v>293</v>
      </c>
      <c r="B512" s="40" t="s">
        <v>19</v>
      </c>
      <c r="C512" s="41" t="s">
        <v>55</v>
      </c>
      <c r="D512" s="40" t="s">
        <v>56</v>
      </c>
      <c r="E512" s="24">
        <v>1310400</v>
      </c>
      <c r="F512" s="39">
        <v>44043</v>
      </c>
      <c r="G512" s="24">
        <v>1191275</v>
      </c>
      <c r="H512" s="23">
        <v>5.0000000000000001E-3</v>
      </c>
      <c r="I512" s="39">
        <v>44197</v>
      </c>
      <c r="J512" s="39">
        <v>44210</v>
      </c>
      <c r="K512" s="24">
        <f t="shared" si="26"/>
        <v>14</v>
      </c>
      <c r="L512" s="24">
        <f t="shared" si="27"/>
        <v>228</v>
      </c>
      <c r="M512" s="24">
        <v>1167450</v>
      </c>
    </row>
    <row r="513" spans="1:13" s="48" customFormat="1" outlineLevel="2">
      <c r="A513" s="39" t="s">
        <v>293</v>
      </c>
      <c r="B513" s="40" t="s">
        <v>19</v>
      </c>
      <c r="C513" s="41" t="s">
        <v>55</v>
      </c>
      <c r="D513" s="40"/>
      <c r="E513" s="24"/>
      <c r="F513" s="39"/>
      <c r="G513" s="24">
        <v>1167450</v>
      </c>
      <c r="H513" s="23">
        <v>5.0000000000000001E-3</v>
      </c>
      <c r="I513" s="39">
        <v>44211</v>
      </c>
      <c r="J513" s="39">
        <v>44227</v>
      </c>
      <c r="K513" s="24">
        <f t="shared" si="26"/>
        <v>17</v>
      </c>
      <c r="L513" s="24">
        <f t="shared" si="27"/>
        <v>272</v>
      </c>
      <c r="M513" s="24"/>
    </row>
    <row r="514" spans="1:13" s="48" customFormat="1" outlineLevel="2">
      <c r="A514" s="39" t="s">
        <v>293</v>
      </c>
      <c r="B514" s="40" t="s">
        <v>22</v>
      </c>
      <c r="C514" s="41" t="s">
        <v>20</v>
      </c>
      <c r="D514" s="40" t="s">
        <v>21</v>
      </c>
      <c r="E514" s="24">
        <v>201600000</v>
      </c>
      <c r="F514" s="39">
        <v>44028</v>
      </c>
      <c r="G514" s="24">
        <v>201600000</v>
      </c>
      <c r="H514" s="23">
        <v>3.0000000000000001E-3</v>
      </c>
      <c r="I514" s="39">
        <v>44197</v>
      </c>
      <c r="J514" s="39">
        <v>44227</v>
      </c>
      <c r="K514" s="24">
        <f t="shared" si="26"/>
        <v>31</v>
      </c>
      <c r="L514" s="24">
        <f t="shared" si="27"/>
        <v>51367</v>
      </c>
      <c r="M514" s="24">
        <v>201600000</v>
      </c>
    </row>
    <row r="515" spans="1:13" s="48" customFormat="1" outlineLevel="2">
      <c r="A515" s="39" t="s">
        <v>293</v>
      </c>
      <c r="B515" s="40" t="s">
        <v>25</v>
      </c>
      <c r="C515" s="41" t="s">
        <v>294</v>
      </c>
      <c r="D515" s="40" t="s">
        <v>295</v>
      </c>
      <c r="E515" s="24">
        <v>67678400</v>
      </c>
      <c r="F515" s="39">
        <v>44041</v>
      </c>
      <c r="G515" s="24">
        <v>67678400</v>
      </c>
      <c r="H515" s="23">
        <v>5.0000000000000001E-3</v>
      </c>
      <c r="I515" s="39">
        <v>44197</v>
      </c>
      <c r="J515" s="39">
        <v>44227</v>
      </c>
      <c r="K515" s="24">
        <f t="shared" si="26"/>
        <v>31</v>
      </c>
      <c r="L515" s="24">
        <f t="shared" si="27"/>
        <v>28740</v>
      </c>
      <c r="M515" s="24">
        <v>67678400</v>
      </c>
    </row>
    <row r="516" spans="1:13" s="48" customFormat="1" outlineLevel="2">
      <c r="A516" s="39" t="s">
        <v>293</v>
      </c>
      <c r="B516" s="40" t="s">
        <v>26</v>
      </c>
      <c r="C516" s="41" t="s">
        <v>294</v>
      </c>
      <c r="D516" s="40" t="s">
        <v>295</v>
      </c>
      <c r="E516" s="24">
        <v>56400000</v>
      </c>
      <c r="F516" s="39">
        <v>44060</v>
      </c>
      <c r="G516" s="24">
        <v>56400000</v>
      </c>
      <c r="H516" s="23">
        <v>5.0000000000000001E-3</v>
      </c>
      <c r="I516" s="39">
        <v>44197</v>
      </c>
      <c r="J516" s="39">
        <v>44227</v>
      </c>
      <c r="K516" s="24">
        <f t="shared" si="26"/>
        <v>31</v>
      </c>
      <c r="L516" s="24">
        <f t="shared" si="27"/>
        <v>23951</v>
      </c>
      <c r="M516" s="24">
        <v>56400000</v>
      </c>
    </row>
    <row r="517" spans="1:13" s="48" customFormat="1" outlineLevel="2">
      <c r="A517" s="39" t="s">
        <v>293</v>
      </c>
      <c r="B517" s="40" t="s">
        <v>29</v>
      </c>
      <c r="C517" s="41" t="s">
        <v>294</v>
      </c>
      <c r="D517" s="40" t="s">
        <v>295</v>
      </c>
      <c r="E517" s="24">
        <v>56400000</v>
      </c>
      <c r="F517" s="39">
        <v>44089</v>
      </c>
      <c r="G517" s="24">
        <v>56400000</v>
      </c>
      <c r="H517" s="23">
        <v>5.0000000000000001E-3</v>
      </c>
      <c r="I517" s="39">
        <v>44197</v>
      </c>
      <c r="J517" s="39">
        <v>44227</v>
      </c>
      <c r="K517" s="24">
        <f t="shared" si="26"/>
        <v>31</v>
      </c>
      <c r="L517" s="24">
        <f t="shared" si="27"/>
        <v>23951</v>
      </c>
      <c r="M517" s="24">
        <v>56400000</v>
      </c>
    </row>
    <row r="518" spans="1:13" s="48" customFormat="1" outlineLevel="2">
      <c r="A518" s="39" t="s">
        <v>293</v>
      </c>
      <c r="B518" s="40" t="s">
        <v>32</v>
      </c>
      <c r="C518" s="41" t="s">
        <v>294</v>
      </c>
      <c r="D518" s="40" t="s">
        <v>295</v>
      </c>
      <c r="E518" s="24">
        <v>56400000</v>
      </c>
      <c r="F518" s="39">
        <v>44119</v>
      </c>
      <c r="G518" s="24">
        <v>56400000</v>
      </c>
      <c r="H518" s="23">
        <v>5.0000000000000001E-3</v>
      </c>
      <c r="I518" s="39">
        <v>44197</v>
      </c>
      <c r="J518" s="39">
        <v>44227</v>
      </c>
      <c r="K518" s="24">
        <f t="shared" si="26"/>
        <v>31</v>
      </c>
      <c r="L518" s="24">
        <f t="shared" si="27"/>
        <v>23951</v>
      </c>
      <c r="M518" s="24">
        <v>56400000</v>
      </c>
    </row>
    <row r="519" spans="1:13" s="48" customFormat="1" outlineLevel="2">
      <c r="A519" s="39" t="s">
        <v>293</v>
      </c>
      <c r="B519" s="40" t="s">
        <v>33</v>
      </c>
      <c r="C519" s="41" t="s">
        <v>55</v>
      </c>
      <c r="D519" s="40" t="s">
        <v>56</v>
      </c>
      <c r="E519" s="24">
        <v>1169666</v>
      </c>
      <c r="F519" s="39">
        <v>44134</v>
      </c>
      <c r="G519" s="24">
        <v>1124678</v>
      </c>
      <c r="H519" s="23">
        <v>5.0000000000000001E-3</v>
      </c>
      <c r="I519" s="39">
        <v>44197</v>
      </c>
      <c r="J519" s="39">
        <v>44210</v>
      </c>
      <c r="K519" s="24">
        <f t="shared" si="26"/>
        <v>14</v>
      </c>
      <c r="L519" s="24">
        <f t="shared" si="27"/>
        <v>216</v>
      </c>
      <c r="M519" s="24">
        <v>1102184</v>
      </c>
    </row>
    <row r="520" spans="1:13" s="48" customFormat="1" outlineLevel="2">
      <c r="A520" s="39" t="s">
        <v>293</v>
      </c>
      <c r="B520" s="40" t="s">
        <v>33</v>
      </c>
      <c r="C520" s="41" t="s">
        <v>55</v>
      </c>
      <c r="D520" s="40"/>
      <c r="E520" s="24"/>
      <c r="F520" s="39"/>
      <c r="G520" s="24">
        <v>1102184</v>
      </c>
      <c r="H520" s="23">
        <v>5.0000000000000001E-3</v>
      </c>
      <c r="I520" s="39">
        <v>44211</v>
      </c>
      <c r="J520" s="39">
        <v>44227</v>
      </c>
      <c r="K520" s="24">
        <f t="shared" si="26"/>
        <v>17</v>
      </c>
      <c r="L520" s="24">
        <f t="shared" si="27"/>
        <v>257</v>
      </c>
      <c r="M520" s="24"/>
    </row>
    <row r="521" spans="1:13" s="48" customFormat="1" outlineLevel="2">
      <c r="A521" s="39" t="s">
        <v>293</v>
      </c>
      <c r="B521" s="40" t="s">
        <v>34</v>
      </c>
      <c r="C521" s="41" t="s">
        <v>294</v>
      </c>
      <c r="D521" s="40" t="s">
        <v>295</v>
      </c>
      <c r="E521" s="24">
        <v>56400000</v>
      </c>
      <c r="F521" s="39">
        <v>44151</v>
      </c>
      <c r="G521" s="24">
        <v>56400000</v>
      </c>
      <c r="H521" s="23">
        <v>5.0000000000000001E-3</v>
      </c>
      <c r="I521" s="39">
        <v>44197</v>
      </c>
      <c r="J521" s="39">
        <v>44227</v>
      </c>
      <c r="K521" s="24">
        <f t="shared" si="26"/>
        <v>31</v>
      </c>
      <c r="L521" s="24">
        <f t="shared" si="27"/>
        <v>23951</v>
      </c>
      <c r="M521" s="24">
        <v>56400000</v>
      </c>
    </row>
    <row r="522" spans="1:13" s="48" customFormat="1" outlineLevel="2">
      <c r="A522" s="39" t="s">
        <v>293</v>
      </c>
      <c r="B522" s="40" t="s">
        <v>35</v>
      </c>
      <c r="C522" s="41" t="s">
        <v>115</v>
      </c>
      <c r="D522" s="40" t="s">
        <v>116</v>
      </c>
      <c r="E522" s="24">
        <v>2230000</v>
      </c>
      <c r="F522" s="39">
        <v>44138</v>
      </c>
      <c r="G522" s="24">
        <v>2230000</v>
      </c>
      <c r="H522" s="23">
        <v>5.0000000000000001E-3</v>
      </c>
      <c r="I522" s="39">
        <v>44197</v>
      </c>
      <c r="J522" s="39">
        <v>44227</v>
      </c>
      <c r="K522" s="24">
        <f t="shared" si="26"/>
        <v>31</v>
      </c>
      <c r="L522" s="24">
        <f t="shared" si="27"/>
        <v>947</v>
      </c>
      <c r="M522" s="24">
        <v>2230000</v>
      </c>
    </row>
    <row r="523" spans="1:13" s="48" customFormat="1" outlineLevel="2">
      <c r="A523" s="39" t="s">
        <v>293</v>
      </c>
      <c r="B523" s="40" t="s">
        <v>36</v>
      </c>
      <c r="C523" s="41" t="s">
        <v>294</v>
      </c>
      <c r="D523" s="40" t="s">
        <v>295</v>
      </c>
      <c r="E523" s="24">
        <v>112800000</v>
      </c>
      <c r="F523" s="39">
        <v>44180</v>
      </c>
      <c r="G523" s="24">
        <v>112800000</v>
      </c>
      <c r="H523" s="23">
        <v>5.0000000000000001E-3</v>
      </c>
      <c r="I523" s="39">
        <v>44197</v>
      </c>
      <c r="J523" s="39">
        <v>44227</v>
      </c>
      <c r="K523" s="24">
        <f t="shared" si="26"/>
        <v>31</v>
      </c>
      <c r="L523" s="24">
        <f t="shared" si="27"/>
        <v>47901</v>
      </c>
      <c r="M523" s="24">
        <v>112800000</v>
      </c>
    </row>
    <row r="524" spans="1:13" s="48" customFormat="1" outlineLevel="2">
      <c r="A524" s="39" t="s">
        <v>293</v>
      </c>
      <c r="B524" s="40" t="s">
        <v>39</v>
      </c>
      <c r="C524" s="41" t="s">
        <v>121</v>
      </c>
      <c r="D524" s="40" t="s">
        <v>122</v>
      </c>
      <c r="E524" s="24">
        <v>37000000</v>
      </c>
      <c r="F524" s="39">
        <v>43829</v>
      </c>
      <c r="G524" s="24">
        <v>37000000</v>
      </c>
      <c r="H524" s="23">
        <v>5.0000000000000001E-3</v>
      </c>
      <c r="I524" s="39">
        <v>44197</v>
      </c>
      <c r="J524" s="39">
        <v>44227</v>
      </c>
      <c r="K524" s="24">
        <f t="shared" si="26"/>
        <v>31</v>
      </c>
      <c r="L524" s="24">
        <f t="shared" si="27"/>
        <v>15712</v>
      </c>
      <c r="M524" s="24">
        <v>37000000</v>
      </c>
    </row>
    <row r="525" spans="1:13" s="48" customFormat="1" outlineLevel="2">
      <c r="A525" s="39" t="s">
        <v>293</v>
      </c>
      <c r="B525" s="40" t="s">
        <v>40</v>
      </c>
      <c r="C525" s="41" t="s">
        <v>294</v>
      </c>
      <c r="D525" s="40" t="s">
        <v>295</v>
      </c>
      <c r="E525" s="24">
        <v>3667200</v>
      </c>
      <c r="F525" s="39">
        <v>44180</v>
      </c>
      <c r="G525" s="24">
        <v>3667200</v>
      </c>
      <c r="H525" s="23">
        <v>5.0000000000000001E-3</v>
      </c>
      <c r="I525" s="39">
        <v>44197</v>
      </c>
      <c r="J525" s="39">
        <v>44227</v>
      </c>
      <c r="K525" s="24">
        <f t="shared" si="26"/>
        <v>31</v>
      </c>
      <c r="L525" s="24">
        <f t="shared" si="27"/>
        <v>1557</v>
      </c>
      <c r="M525" s="24">
        <v>3667200</v>
      </c>
    </row>
    <row r="526" spans="1:13" s="48" customFormat="1" outlineLevel="2">
      <c r="A526" s="39" t="s">
        <v>293</v>
      </c>
      <c r="B526" s="40" t="s">
        <v>41</v>
      </c>
      <c r="C526" s="41" t="s">
        <v>132</v>
      </c>
      <c r="D526" s="40" t="s">
        <v>133</v>
      </c>
      <c r="E526" s="24">
        <v>30870000</v>
      </c>
      <c r="F526" s="39">
        <v>44175</v>
      </c>
      <c r="G526" s="24">
        <v>30870000</v>
      </c>
      <c r="H526" s="23">
        <v>5.0000000000000001E-3</v>
      </c>
      <c r="I526" s="39">
        <v>44197</v>
      </c>
      <c r="J526" s="39">
        <v>44227</v>
      </c>
      <c r="K526" s="24">
        <f t="shared" si="26"/>
        <v>31</v>
      </c>
      <c r="L526" s="24">
        <f t="shared" si="27"/>
        <v>13109</v>
      </c>
      <c r="M526" s="24">
        <v>30870000</v>
      </c>
    </row>
    <row r="527" spans="1:13" s="48" customFormat="1" outlineLevel="2">
      <c r="A527" s="39" t="s">
        <v>293</v>
      </c>
      <c r="B527" s="40" t="s">
        <v>42</v>
      </c>
      <c r="C527" s="41" t="s">
        <v>294</v>
      </c>
      <c r="D527" s="40" t="s">
        <v>295</v>
      </c>
      <c r="E527" s="24">
        <v>57011200</v>
      </c>
      <c r="F527" s="39">
        <v>44211</v>
      </c>
      <c r="G527" s="24">
        <v>57011200</v>
      </c>
      <c r="H527" s="23">
        <v>5.0000000000000001E-3</v>
      </c>
      <c r="I527" s="39">
        <v>44211</v>
      </c>
      <c r="J527" s="39">
        <v>44227</v>
      </c>
      <c r="K527" s="24">
        <f t="shared" si="26"/>
        <v>17</v>
      </c>
      <c r="L527" s="24">
        <f t="shared" si="27"/>
        <v>13277</v>
      </c>
      <c r="M527" s="24">
        <v>57011200</v>
      </c>
    </row>
    <row r="528" spans="1:13" s="48" customFormat="1" outlineLevel="2">
      <c r="A528" s="39" t="s">
        <v>293</v>
      </c>
      <c r="B528" s="40" t="s">
        <v>43</v>
      </c>
      <c r="C528" s="41" t="s">
        <v>115</v>
      </c>
      <c r="D528" s="40" t="s">
        <v>116</v>
      </c>
      <c r="E528" s="24">
        <v>10000000</v>
      </c>
      <c r="F528" s="39">
        <v>44225</v>
      </c>
      <c r="G528" s="24">
        <v>10000000</v>
      </c>
      <c r="H528" s="23">
        <v>5.0000000000000001E-3</v>
      </c>
      <c r="I528" s="39">
        <v>44225</v>
      </c>
      <c r="J528" s="39">
        <v>44227</v>
      </c>
      <c r="K528" s="24">
        <f t="shared" si="26"/>
        <v>3</v>
      </c>
      <c r="L528" s="24">
        <f t="shared" si="27"/>
        <v>411</v>
      </c>
      <c r="M528" s="24">
        <v>10000000</v>
      </c>
    </row>
    <row r="529" spans="1:16" s="48" customFormat="1" outlineLevel="2">
      <c r="A529" s="39" t="s">
        <v>293</v>
      </c>
      <c r="B529" s="40" t="s">
        <v>44</v>
      </c>
      <c r="C529" s="41" t="s">
        <v>132</v>
      </c>
      <c r="D529" s="40" t="s">
        <v>133</v>
      </c>
      <c r="E529" s="24">
        <v>5880000</v>
      </c>
      <c r="F529" s="39">
        <v>44207</v>
      </c>
      <c r="G529" s="24">
        <v>5880000</v>
      </c>
      <c r="H529" s="23">
        <v>5.0000000000000001E-3</v>
      </c>
      <c r="I529" s="39">
        <v>44207</v>
      </c>
      <c r="J529" s="39">
        <v>44227</v>
      </c>
      <c r="K529" s="24">
        <f t="shared" si="26"/>
        <v>21</v>
      </c>
      <c r="L529" s="24">
        <f t="shared" si="27"/>
        <v>1692</v>
      </c>
      <c r="M529" s="24">
        <v>5880000</v>
      </c>
    </row>
    <row r="530" spans="1:16" s="48" customFormat="1" outlineLevel="2">
      <c r="A530" s="39" t="s">
        <v>293</v>
      </c>
      <c r="B530" s="40" t="s">
        <v>47</v>
      </c>
      <c r="C530" s="41" t="s">
        <v>132</v>
      </c>
      <c r="D530" s="40" t="s">
        <v>133</v>
      </c>
      <c r="E530" s="24">
        <v>660000</v>
      </c>
      <c r="F530" s="39">
        <v>44221</v>
      </c>
      <c r="G530" s="24">
        <v>660000</v>
      </c>
      <c r="H530" s="23">
        <v>5.0000000000000001E-3</v>
      </c>
      <c r="I530" s="39">
        <v>44221</v>
      </c>
      <c r="J530" s="39">
        <v>44227</v>
      </c>
      <c r="K530" s="24">
        <f t="shared" si="26"/>
        <v>7</v>
      </c>
      <c r="L530" s="24">
        <f t="shared" si="27"/>
        <v>63</v>
      </c>
      <c r="M530" s="24">
        <v>660000</v>
      </c>
    </row>
    <row r="531" spans="1:16" s="48" customFormat="1" outlineLevel="2">
      <c r="A531" s="39" t="s">
        <v>293</v>
      </c>
      <c r="B531" s="40" t="s">
        <v>50</v>
      </c>
      <c r="C531" s="41" t="s">
        <v>132</v>
      </c>
      <c r="D531" s="40" t="s">
        <v>133</v>
      </c>
      <c r="E531" s="24">
        <v>4160000</v>
      </c>
      <c r="F531" s="39">
        <v>44207</v>
      </c>
      <c r="G531" s="24">
        <v>4160000</v>
      </c>
      <c r="H531" s="23">
        <v>5.0000000000000001E-3</v>
      </c>
      <c r="I531" s="39">
        <v>44207</v>
      </c>
      <c r="J531" s="39">
        <v>44227</v>
      </c>
      <c r="K531" s="24">
        <f t="shared" si="26"/>
        <v>21</v>
      </c>
      <c r="L531" s="24">
        <f t="shared" si="27"/>
        <v>1197</v>
      </c>
      <c r="M531" s="24">
        <v>4160000</v>
      </c>
    </row>
    <row r="532" spans="1:16" s="48" customFormat="1" outlineLevel="2">
      <c r="A532" s="39" t="s">
        <v>293</v>
      </c>
      <c r="B532" s="40" t="s">
        <v>54</v>
      </c>
      <c r="C532" s="41" t="s">
        <v>55</v>
      </c>
      <c r="D532" s="40" t="s">
        <v>56</v>
      </c>
      <c r="E532" s="24">
        <v>17276700</v>
      </c>
      <c r="F532" s="39">
        <v>43878</v>
      </c>
      <c r="G532" s="24">
        <v>14397250</v>
      </c>
      <c r="H532" s="23">
        <v>5.0000000000000001E-3</v>
      </c>
      <c r="I532" s="39">
        <v>44197</v>
      </c>
      <c r="J532" s="39">
        <v>44210</v>
      </c>
      <c r="K532" s="24">
        <f t="shared" si="26"/>
        <v>14</v>
      </c>
      <c r="L532" s="24">
        <f t="shared" si="27"/>
        <v>2761</v>
      </c>
      <c r="M532" s="24">
        <v>14109305</v>
      </c>
    </row>
    <row r="533" spans="1:16" s="48" customFormat="1" outlineLevel="2">
      <c r="A533" s="39" t="s">
        <v>293</v>
      </c>
      <c r="B533" s="40" t="s">
        <v>54</v>
      </c>
      <c r="C533" s="41" t="s">
        <v>55</v>
      </c>
      <c r="D533" s="40"/>
      <c r="E533" s="24"/>
      <c r="F533" s="39"/>
      <c r="G533" s="24">
        <v>14109305</v>
      </c>
      <c r="H533" s="23">
        <v>5.0000000000000001E-3</v>
      </c>
      <c r="I533" s="39">
        <v>44211</v>
      </c>
      <c r="J533" s="39">
        <v>44227</v>
      </c>
      <c r="K533" s="24">
        <f t="shared" si="26"/>
        <v>17</v>
      </c>
      <c r="L533" s="24">
        <f t="shared" si="27"/>
        <v>3286</v>
      </c>
      <c r="M533" s="24"/>
    </row>
    <row r="534" spans="1:16" s="48" customFormat="1" outlineLevel="2">
      <c r="A534" s="39" t="s">
        <v>293</v>
      </c>
      <c r="B534" s="40" t="s">
        <v>59</v>
      </c>
      <c r="C534" s="41" t="s">
        <v>121</v>
      </c>
      <c r="D534" s="40" t="s">
        <v>122</v>
      </c>
      <c r="E534" s="24">
        <v>73000000</v>
      </c>
      <c r="F534" s="39">
        <v>43896</v>
      </c>
      <c r="G534" s="24">
        <v>73000000</v>
      </c>
      <c r="H534" s="23">
        <v>5.0000000000000001E-3</v>
      </c>
      <c r="I534" s="39">
        <v>44197</v>
      </c>
      <c r="J534" s="39">
        <v>44227</v>
      </c>
      <c r="K534" s="24">
        <f t="shared" si="26"/>
        <v>31</v>
      </c>
      <c r="L534" s="24">
        <f t="shared" si="27"/>
        <v>31000</v>
      </c>
      <c r="M534" s="24">
        <v>73000000</v>
      </c>
    </row>
    <row r="535" spans="1:16" s="48" customFormat="1" outlineLevel="2">
      <c r="A535" s="39" t="s">
        <v>293</v>
      </c>
      <c r="B535" s="40" t="s">
        <v>62</v>
      </c>
      <c r="C535" s="41" t="s">
        <v>55</v>
      </c>
      <c r="D535" s="40" t="s">
        <v>56</v>
      </c>
      <c r="E535" s="24">
        <v>19997321</v>
      </c>
      <c r="F535" s="39">
        <v>43948</v>
      </c>
      <c r="G535" s="24">
        <v>19997321</v>
      </c>
      <c r="H535" s="23">
        <v>5.0000000000000001E-3</v>
      </c>
      <c r="I535" s="39">
        <v>44197</v>
      </c>
      <c r="J535" s="39">
        <v>44227</v>
      </c>
      <c r="K535" s="24">
        <f t="shared" si="26"/>
        <v>31</v>
      </c>
      <c r="L535" s="24">
        <f t="shared" si="27"/>
        <v>8492</v>
      </c>
      <c r="M535" s="24">
        <v>19997321</v>
      </c>
    </row>
    <row r="536" spans="1:16" s="48" customFormat="1" outlineLevel="2">
      <c r="A536" s="39" t="s">
        <v>293</v>
      </c>
      <c r="B536" s="40" t="s">
        <v>63</v>
      </c>
      <c r="C536" s="41" t="s">
        <v>20</v>
      </c>
      <c r="D536" s="40" t="s">
        <v>21</v>
      </c>
      <c r="E536" s="24">
        <v>242400000</v>
      </c>
      <c r="F536" s="39">
        <v>43930</v>
      </c>
      <c r="G536" s="24">
        <v>242400000</v>
      </c>
      <c r="H536" s="23">
        <v>3.0000000000000001E-3</v>
      </c>
      <c r="I536" s="39">
        <v>44197</v>
      </c>
      <c r="J536" s="39">
        <v>44227</v>
      </c>
      <c r="K536" s="24">
        <f t="shared" si="26"/>
        <v>31</v>
      </c>
      <c r="L536" s="24">
        <f t="shared" si="27"/>
        <v>61762</v>
      </c>
      <c r="M536" s="24">
        <v>242400000</v>
      </c>
    </row>
    <row r="537" spans="1:16" s="48" customFormat="1" outlineLevel="2">
      <c r="A537" s="39" t="s">
        <v>293</v>
      </c>
      <c r="B537" s="40" t="s">
        <v>64</v>
      </c>
      <c r="C537" s="41" t="s">
        <v>20</v>
      </c>
      <c r="D537" s="40" t="s">
        <v>21</v>
      </c>
      <c r="E537" s="24">
        <v>156000000</v>
      </c>
      <c r="F537" s="39">
        <v>43958</v>
      </c>
      <c r="G537" s="24">
        <v>156000000</v>
      </c>
      <c r="H537" s="23">
        <v>3.0000000000000001E-3</v>
      </c>
      <c r="I537" s="39">
        <v>44197</v>
      </c>
      <c r="J537" s="39">
        <v>44227</v>
      </c>
      <c r="K537" s="24">
        <f t="shared" si="26"/>
        <v>31</v>
      </c>
      <c r="L537" s="24">
        <f t="shared" si="27"/>
        <v>39748</v>
      </c>
      <c r="M537" s="24">
        <v>156000000</v>
      </c>
    </row>
    <row r="538" spans="1:16" s="48" customFormat="1" outlineLevel="2">
      <c r="A538" s="39" t="s">
        <v>293</v>
      </c>
      <c r="B538" s="40" t="s">
        <v>65</v>
      </c>
      <c r="C538" s="41" t="s">
        <v>294</v>
      </c>
      <c r="D538" s="40" t="s">
        <v>295</v>
      </c>
      <c r="E538" s="24">
        <v>33840000</v>
      </c>
      <c r="F538" s="39">
        <v>43986</v>
      </c>
      <c r="G538" s="24">
        <v>33840000</v>
      </c>
      <c r="H538" s="23">
        <v>5.0000000000000001E-3</v>
      </c>
      <c r="I538" s="39">
        <v>44197</v>
      </c>
      <c r="J538" s="39">
        <v>44227</v>
      </c>
      <c r="K538" s="24">
        <f t="shared" si="26"/>
        <v>31</v>
      </c>
      <c r="L538" s="24">
        <f t="shared" si="27"/>
        <v>14370</v>
      </c>
      <c r="M538" s="24">
        <v>33840000</v>
      </c>
    </row>
    <row r="539" spans="1:16" s="48" customFormat="1" outlineLevel="2">
      <c r="A539" s="39" t="s">
        <v>293</v>
      </c>
      <c r="B539" s="40" t="s">
        <v>68</v>
      </c>
      <c r="C539" s="41" t="s">
        <v>294</v>
      </c>
      <c r="D539" s="40" t="s">
        <v>295</v>
      </c>
      <c r="E539" s="24">
        <v>134396612</v>
      </c>
      <c r="F539" s="39">
        <v>43986</v>
      </c>
      <c r="G539" s="24">
        <v>134396612</v>
      </c>
      <c r="H539" s="23">
        <v>5.0000000000000001E-3</v>
      </c>
      <c r="I539" s="39">
        <v>44197</v>
      </c>
      <c r="J539" s="39">
        <v>44227</v>
      </c>
      <c r="K539" s="24">
        <f t="shared" si="26"/>
        <v>31</v>
      </c>
      <c r="L539" s="24">
        <f t="shared" si="27"/>
        <v>57073</v>
      </c>
      <c r="M539" s="24">
        <v>134396612</v>
      </c>
    </row>
    <row r="540" spans="1:16" s="48" customFormat="1" outlineLevel="1">
      <c r="A540" s="42" t="s">
        <v>296</v>
      </c>
      <c r="B540" s="43"/>
      <c r="C540" s="44"/>
      <c r="D540" s="43"/>
      <c r="E540" s="45">
        <f>SUBTOTAL(9,E511:E539)</f>
        <v>1628547499</v>
      </c>
      <c r="F540" s="46"/>
      <c r="G540" s="45"/>
      <c r="H540" s="47"/>
      <c r="I540" s="46"/>
      <c r="J540" s="46"/>
      <c r="K540" s="45"/>
      <c r="L540" s="45">
        <f>SUBTOTAL(9,L511:L539)</f>
        <v>571927</v>
      </c>
      <c r="M540" s="45">
        <f>SUBTOTAL(9,M511:M539)</f>
        <v>1625169672</v>
      </c>
    </row>
    <row r="541" spans="1:16" s="55" customFormat="1" outlineLevel="1">
      <c r="A541" s="49"/>
      <c r="B541" s="50"/>
      <c r="C541" s="51"/>
      <c r="D541" s="50"/>
      <c r="E541" s="52"/>
      <c r="F541" s="53"/>
      <c r="G541" s="52"/>
      <c r="H541" s="54"/>
      <c r="I541" s="53"/>
      <c r="J541" s="53"/>
      <c r="K541" s="52"/>
      <c r="L541" s="52"/>
      <c r="M541" s="52"/>
    </row>
    <row r="542" spans="1:16" s="48" customFormat="1">
      <c r="A542" s="46" t="s">
        <v>297</v>
      </c>
      <c r="B542" s="43"/>
      <c r="C542" s="44"/>
      <c r="D542" s="43"/>
      <c r="E542" s="45">
        <f>SUBTOTAL(9,E4:E539)</f>
        <v>20945944376</v>
      </c>
      <c r="F542" s="46"/>
      <c r="G542" s="45"/>
      <c r="H542" s="47"/>
      <c r="I542" s="46"/>
      <c r="J542" s="46"/>
      <c r="K542" s="45"/>
      <c r="L542" s="45">
        <f>SUBTOTAL(9,L4:L539)</f>
        <v>8242434</v>
      </c>
      <c r="M542" s="45">
        <f>SUBTOTAL(9,M4:M539)</f>
        <v>20784424630</v>
      </c>
    </row>
    <row r="543" spans="1:16" s="48" customForma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</row>
    <row r="544" spans="1:16">
      <c r="A544" s="56" t="s">
        <v>298</v>
      </c>
      <c r="B544" s="56"/>
      <c r="E544" s="57" t="s">
        <v>374</v>
      </c>
      <c r="G544" s="27"/>
      <c r="H544" s="58" t="s">
        <v>300</v>
      </c>
      <c r="I544" s="59"/>
    </row>
    <row r="545" spans="1:16" s="48" customForma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</row>
    <row r="546" spans="1:16" s="48" customForma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</row>
    <row r="547" spans="1:16" s="48" customForma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</row>
    <row r="548" spans="1:16" s="48" customForma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</row>
    <row r="549" spans="1:16" s="48" customForma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</row>
    <row r="550" spans="1:16" s="48" customForma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</row>
    <row r="551" spans="1:16" s="48" customForma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</row>
    <row r="552" spans="1:16" s="48" customForma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</row>
    <row r="553" spans="1:16" s="48" customForma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</row>
    <row r="554" spans="1:16" s="48" customForma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</row>
    <row r="555" spans="1:16" s="48" customForma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</row>
    <row r="556" spans="1:16" s="48" customForma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</row>
    <row r="557" spans="1:16" s="48" customForma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</row>
    <row r="558" spans="1:16" s="48" customForma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</row>
    <row r="559" spans="1:16" s="48" customForma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</row>
    <row r="560" spans="1:16" s="48" customForma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</row>
    <row r="561" spans="1:16" s="48" customForma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</row>
    <row r="562" spans="1:16" s="48" customForma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</row>
    <row r="563" spans="1:16" s="48" customForma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</row>
    <row r="564" spans="1:16" s="48" customForma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</row>
    <row r="565" spans="1:16" s="48" customForma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</row>
    <row r="566" spans="1:16" s="48" customForma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</row>
    <row r="567" spans="1:16" s="48" customForma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</row>
    <row r="568" spans="1:16" s="48" customForma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</row>
    <row r="569" spans="1:16" s="48" customForma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</row>
    <row r="570" spans="1:16" s="48" customForma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</row>
    <row r="571" spans="1:16" s="48" customForma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</row>
    <row r="572" spans="1:16" s="48" customForma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</row>
    <row r="573" spans="1:16" s="48" customForma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</row>
    <row r="574" spans="1:16" s="48" customForma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</row>
    <row r="575" spans="1:16" s="48" customForma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</row>
    <row r="576" spans="1:16" s="48" customForma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</row>
    <row r="577" spans="1:16" s="48" customForma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</row>
    <row r="578" spans="1:16" s="48" customForma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</row>
    <row r="579" spans="1:16" s="48" customForma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</row>
    <row r="580" spans="1:16" s="48" customForma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</row>
    <row r="581" spans="1:16" s="48" customForma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</row>
    <row r="582" spans="1:16" s="48" customForma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</row>
    <row r="583" spans="1:16" s="48" customForma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</row>
    <row r="584" spans="1:16" s="48" customForma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</row>
    <row r="585" spans="1:16" s="48" customForma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</row>
    <row r="586" spans="1:16" s="48" customForma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</row>
    <row r="587" spans="1:16" s="48" customForma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</row>
    <row r="588" spans="1:16" s="48" customForma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</row>
    <row r="589" spans="1:16" s="48" customForma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</row>
    <row r="590" spans="1:16" s="48" customForma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</row>
    <row r="591" spans="1:16" s="48" customForma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</row>
    <row r="592" spans="1:16" s="48" customForma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</row>
    <row r="593" spans="1:16" s="48" customForma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</row>
    <row r="594" spans="1:16" s="48" customForma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</row>
    <row r="595" spans="1:16" s="48" customForma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</row>
    <row r="596" spans="1:16" s="48" customForma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</row>
    <row r="597" spans="1:16" s="48" customForma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</row>
    <row r="598" spans="1:16" s="48" customForma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</row>
    <row r="599" spans="1:16" s="48" customForma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</row>
    <row r="600" spans="1:16" s="48" customForma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</row>
    <row r="601" spans="1:16" s="48" customForma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</row>
    <row r="602" spans="1:16" s="48" customForma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</row>
    <row r="603" spans="1:16" s="48" customForma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</row>
    <row r="604" spans="1:16" s="48" customForma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</row>
    <row r="605" spans="1:16" s="48" customForma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</row>
    <row r="606" spans="1:16" s="48" customForma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</row>
    <row r="607" spans="1:16" s="48" customForma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</row>
    <row r="608" spans="1:16" s="48" customForma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</row>
    <row r="609" spans="1:16" s="48" customForma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</row>
    <row r="610" spans="1:16" s="48" customForma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</row>
    <row r="611" spans="1:16" s="48" customForma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</row>
    <row r="612" spans="1:16" s="48" customForma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</row>
    <row r="613" spans="1:16" s="48" customForma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</row>
    <row r="614" spans="1:16" s="48" customForma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</row>
    <row r="615" spans="1:16" s="48" customForma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</row>
    <row r="616" spans="1:16" s="48" customForma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</row>
    <row r="617" spans="1:16" s="48" customForma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</row>
    <row r="618" spans="1:16" s="48" customForma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</row>
    <row r="619" spans="1:16" s="48" customForma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</row>
    <row r="620" spans="1:16" s="48" customForma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</row>
    <row r="621" spans="1:16" s="48" customForma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</row>
    <row r="622" spans="1:16" s="48" customForma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</row>
    <row r="623" spans="1:16" s="48" customForma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</row>
    <row r="624" spans="1:16" s="48" customForma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</row>
    <row r="625" spans="1:16" s="48" customForma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</row>
    <row r="626" spans="1:16" s="48" customForma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</row>
    <row r="627" spans="1:16" s="48" customForma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</row>
    <row r="628" spans="1:16" s="48" customForma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</row>
    <row r="629" spans="1:16" s="48" customForma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</row>
    <row r="630" spans="1:16" s="48" customForma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</row>
    <row r="631" spans="1:16" s="48" customForma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</row>
    <row r="632" spans="1:16" s="48" customForma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</row>
    <row r="633" spans="1:16" s="48" customForma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</row>
    <row r="634" spans="1:16" s="48" customForma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</row>
    <row r="635" spans="1:16" s="48" customForma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</row>
    <row r="636" spans="1:16" s="48" customForma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</row>
    <row r="637" spans="1:16" s="48" customForma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</row>
    <row r="638" spans="1:16" s="48" customForma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</row>
    <row r="639" spans="1:16" s="48" customForma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</row>
    <row r="640" spans="1:16" s="48" customForma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</row>
    <row r="641" spans="1:16" s="48" customForma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</row>
    <row r="642" spans="1:16" s="48" customForma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</row>
    <row r="643" spans="1:16" s="48" customForma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</row>
    <row r="644" spans="1:16" s="48" customForma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</row>
    <row r="645" spans="1:16" s="48" customForma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</row>
    <row r="646" spans="1:16" s="48" customForma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</row>
    <row r="647" spans="1:16" s="48" customForma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</row>
    <row r="648" spans="1:16" s="48" customForma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</row>
    <row r="649" spans="1:16" s="48" customForma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</row>
    <row r="650" spans="1:16" s="48" customForma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</row>
    <row r="651" spans="1:16" s="48" customForma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</row>
    <row r="652" spans="1:16" s="48" customForma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</row>
    <row r="653" spans="1:16" s="48" customForma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</row>
    <row r="654" spans="1:16" s="48" customForma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</row>
    <row r="655" spans="1:16" s="48" customForma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</row>
    <row r="656" spans="1:16" s="48" customForma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</row>
    <row r="657" spans="1:16" s="48" customForma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</row>
    <row r="658" spans="1:16" s="48" customForma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</row>
    <row r="659" spans="1:16" s="48" customForma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</row>
    <row r="660" spans="1:16" s="48" customForma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</row>
    <row r="661" spans="1:16" s="48" customForma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</row>
    <row r="662" spans="1:16" s="48" customForma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</row>
    <row r="663" spans="1:16" s="48" customForma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</row>
    <row r="664" spans="1:16" s="48" customForma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</row>
    <row r="665" spans="1:16" s="48" customForma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</row>
    <row r="666" spans="1:16" s="48" customForma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</row>
    <row r="667" spans="1:16" s="48" customForma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</row>
    <row r="668" spans="1:16" s="48" customForma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</row>
    <row r="669" spans="1:16" s="48" customForma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</row>
    <row r="670" spans="1:16" s="48" customForma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</row>
    <row r="671" spans="1:16" s="48" customForma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</row>
    <row r="672" spans="1:16" s="48" customForma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</row>
    <row r="673" spans="1:16" s="48" customForma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</row>
    <row r="674" spans="1:16" s="48" customForma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</row>
    <row r="675" spans="1:16" s="48" customForma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</row>
    <row r="676" spans="1:16" s="48" customForma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</row>
    <row r="677" spans="1:16" s="48" customForma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</row>
    <row r="678" spans="1:16" s="48" customForma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</row>
    <row r="679" spans="1:16" s="48" customForma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</row>
    <row r="680" spans="1:16" s="48" customForma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</row>
    <row r="681" spans="1:16" s="48" customForma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</row>
    <row r="682" spans="1:16" s="48" customForma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</row>
    <row r="683" spans="1:16" s="48" customForma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</row>
    <row r="684" spans="1:16" s="48" customForma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</row>
    <row r="685" spans="1:16" s="48" customForma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</row>
    <row r="686" spans="1:16" s="48" customForma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</row>
    <row r="687" spans="1:16" s="48" customForma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</row>
    <row r="688" spans="1:16" s="48" customForma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</row>
    <row r="689" spans="1:16" s="48" customForma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</row>
    <row r="690" spans="1:16" s="48" customForma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</row>
    <row r="691" spans="1:16" s="48" customForma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</row>
    <row r="692" spans="1:16" s="48" customForma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</row>
    <row r="693" spans="1:16" s="48" customForma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</row>
    <row r="694" spans="1:16" s="48" customForma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</row>
    <row r="695" spans="1:16" s="48" customForma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</row>
    <row r="696" spans="1:16" s="48" customForma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</row>
    <row r="697" spans="1:16" s="48" customForma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</row>
    <row r="698" spans="1:16" s="48" customForma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</row>
    <row r="699" spans="1:16" s="48" customForma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</row>
    <row r="700" spans="1:16" s="48" customForma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</row>
    <row r="701" spans="1:16" s="48" customForma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</row>
    <row r="702" spans="1:16" s="48" customForma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</row>
    <row r="703" spans="1:16" s="48" customForma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</row>
    <row r="704" spans="1:16" s="48" customForma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</row>
    <row r="705" spans="1:16" s="48" customForma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</row>
    <row r="706" spans="1:16" s="48" customForma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</row>
    <row r="707" spans="1:16" s="48" customForma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</row>
    <row r="708" spans="1:16" s="48" customForma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</row>
    <row r="709" spans="1:16" s="48" customForma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</row>
    <row r="710" spans="1:16" s="48" customForma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</row>
    <row r="711" spans="1:16" s="48" customForma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</row>
    <row r="712" spans="1:16" s="48" customForma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</row>
    <row r="713" spans="1:16" s="48" customForma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</row>
    <row r="714" spans="1:16" s="48" customForma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</row>
    <row r="715" spans="1:16" s="48" customForma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</row>
    <row r="716" spans="1:16" s="48" customForma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</row>
    <row r="717" spans="1:16" s="48" customForma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</row>
    <row r="718" spans="1:16" s="48" customForma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</row>
    <row r="719" spans="1:16" s="48" customForma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</row>
    <row r="720" spans="1:16" s="48" customForma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</row>
    <row r="721" spans="1:16" s="48" customForma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</row>
    <row r="722" spans="1:16" s="48" customForma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</row>
    <row r="723" spans="1:16" s="48" customForma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</row>
    <row r="724" spans="1:16" s="48" customForma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</row>
    <row r="725" spans="1:16" s="48" customForma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</row>
    <row r="726" spans="1:16" s="48" customForma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</row>
    <row r="727" spans="1:16" s="48" customForma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</row>
    <row r="728" spans="1:16" s="48" customForma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</row>
    <row r="729" spans="1:16" s="48" customForma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</row>
    <row r="730" spans="1:16" s="48" customForma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</row>
    <row r="731" spans="1:16" s="48" customForma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</row>
    <row r="732" spans="1:16" s="48" customForma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</row>
    <row r="733" spans="1:16" s="48" customForma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</row>
    <row r="734" spans="1:16" s="48" customForma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</row>
    <row r="735" spans="1:16" s="48" customForma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</row>
    <row r="736" spans="1:16" s="48" customForma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</row>
    <row r="737" spans="1:16" s="48" customForma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</row>
    <row r="738" spans="1:16" s="48" customForma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</row>
    <row r="739" spans="1:16" s="48" customForma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</row>
    <row r="740" spans="1:16" s="48" customForma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</row>
    <row r="741" spans="1:16" s="48" customForma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</row>
    <row r="742" spans="1:16" s="48" customForma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</row>
    <row r="743" spans="1:16" s="48" customForma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</row>
    <row r="744" spans="1:16" s="48" customForma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</row>
    <row r="745" spans="1:16" s="48" customForma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</row>
    <row r="746" spans="1:16" s="48" customForma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</row>
    <row r="747" spans="1:16" s="48" customForma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</row>
    <row r="748" spans="1:16" s="48" customForma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</row>
    <row r="749" spans="1:16" s="48" customForma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</row>
    <row r="750" spans="1:16" s="48" customForma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</row>
    <row r="751" spans="1:16" s="48" customForma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</row>
    <row r="752" spans="1:16" s="48" customForma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</row>
    <row r="753" spans="1:16" s="48" customForma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</row>
    <row r="754" spans="1:16" s="48" customForma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</row>
    <row r="755" spans="1:16" s="48" customForma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</row>
    <row r="756" spans="1:16" s="48" customForma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</row>
    <row r="757" spans="1:16" s="48" customForma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</row>
    <row r="758" spans="1:16" s="48" customForma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</row>
    <row r="759" spans="1:16" s="48" customForma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</row>
    <row r="760" spans="1:16" s="48" customForma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</row>
    <row r="761" spans="1:16" s="48" customForma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</row>
    <row r="762" spans="1:16" s="48" customForma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</row>
    <row r="763" spans="1:16" s="48" customForma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</row>
    <row r="764" spans="1:16" s="48" customForma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</row>
    <row r="765" spans="1:16" s="48" customForma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</row>
    <row r="766" spans="1:16" s="48" customForma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</row>
    <row r="767" spans="1:16" s="48" customForma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</row>
    <row r="768" spans="1:16" s="48" customForma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</row>
    <row r="769" spans="1:16" s="48" customForma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</row>
    <row r="770" spans="1:16" s="48" customForma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</row>
    <row r="771" spans="1:16" s="48" customForma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</row>
    <row r="772" spans="1:16" s="48" customForma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</row>
    <row r="773" spans="1:16" s="48" customForma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</row>
    <row r="774" spans="1:16" s="48" customForma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</row>
    <row r="775" spans="1:16" s="48" customForma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</row>
    <row r="776" spans="1:16" s="48" customForma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</row>
    <row r="777" spans="1:16" s="48" customForma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</row>
    <row r="778" spans="1:16" s="48" customForma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</row>
    <row r="779" spans="1:16" s="48" customForma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</row>
    <row r="780" spans="1:16" s="48" customForma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</row>
    <row r="781" spans="1:16" s="48" customForma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</row>
    <row r="782" spans="1:16" s="48" customForma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</row>
    <row r="783" spans="1:16" s="48" customForma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</row>
    <row r="784" spans="1:16" s="48" customForma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</row>
    <row r="785" spans="1:16" s="48" customForma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</row>
    <row r="786" spans="1:16" s="48" customForma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</row>
    <row r="787" spans="1:16" s="48" customForma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</row>
    <row r="788" spans="1:16" s="48" customForma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</row>
    <row r="789" spans="1:16" s="48" customForma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</row>
    <row r="790" spans="1:16" s="48" customForma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</row>
    <row r="791" spans="1:16" s="48" customForma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</row>
    <row r="792" spans="1:16" s="48" customForma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</row>
    <row r="793" spans="1:16" s="48" customForma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</row>
    <row r="794" spans="1:16" s="48" customForma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</row>
    <row r="795" spans="1:16" s="48" customForma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</row>
    <row r="796" spans="1:16" s="48" customForma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</row>
    <row r="797" spans="1:16" s="48" customForma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</row>
    <row r="798" spans="1:16" s="48" customForma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</row>
    <row r="799" spans="1:16" s="48" customForma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</row>
    <row r="800" spans="1:16" s="48" customForma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</row>
    <row r="801" spans="1:16" s="48" customForma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</row>
    <row r="802" spans="1:16" s="48" customForma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</row>
    <row r="803" spans="1:16" s="48" customForma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</row>
    <row r="804" spans="1:16" s="48" customForma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</row>
    <row r="805" spans="1:16" s="48" customForma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</row>
    <row r="806" spans="1:16" s="48" customForma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</row>
    <row r="807" spans="1:16" s="48" customForma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</row>
    <row r="808" spans="1:16" s="48" customForma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</row>
    <row r="809" spans="1:16" s="48" customForma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</row>
    <row r="810" spans="1:16" s="48" customForma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</row>
    <row r="811" spans="1:16" s="48" customForma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</row>
    <row r="812" spans="1:16" s="48" customForma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</row>
    <row r="813" spans="1:16" s="48" customForma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</row>
    <row r="814" spans="1:16" s="48" customForma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</row>
    <row r="815" spans="1:16" s="48" customForma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</row>
    <row r="816" spans="1:16" s="48" customForma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</row>
    <row r="817" spans="1:16" s="48" customForma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</row>
    <row r="818" spans="1:16" s="48" customForma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</row>
    <row r="819" spans="1:16" s="48" customForma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</row>
    <row r="820" spans="1:16" s="48" customForma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</row>
    <row r="821" spans="1:16" s="48" customForma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</row>
    <row r="822" spans="1:16" s="48" customForma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</row>
    <row r="823" spans="1:16" s="48" customForma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</row>
    <row r="824" spans="1:16" s="48" customForma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</row>
    <row r="825" spans="1:16" s="48" customForma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</row>
    <row r="826" spans="1:16" s="48" customForma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</row>
    <row r="827" spans="1:16" s="48" customForma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</row>
    <row r="828" spans="1:16" s="48" customForma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</row>
    <row r="829" spans="1:16" s="48" customForma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</row>
    <row r="830" spans="1:16" s="48" customForma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</row>
    <row r="831" spans="1:16" s="48" customForma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</row>
    <row r="832" spans="1:16" s="48" customForma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</row>
    <row r="833" spans="1:16" s="48" customForma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</row>
    <row r="834" spans="1:16" s="48" customForma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</row>
    <row r="835" spans="1:16" s="48" customForma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</row>
    <row r="836" spans="1:16" s="48" customForma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</row>
    <row r="837" spans="1:16" s="48" customForma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</row>
    <row r="838" spans="1:16" s="48" customForma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</row>
    <row r="839" spans="1:16" s="48" customForma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</row>
    <row r="840" spans="1:16" s="48" customForma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</row>
    <row r="841" spans="1:16" s="48" customForma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</row>
    <row r="842" spans="1:16" s="48" customForma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</row>
    <row r="843" spans="1:16" s="48" customForma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</row>
    <row r="844" spans="1:16" s="48" customForma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</row>
    <row r="845" spans="1:16" s="48" customForma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</row>
  </sheetData>
  <autoFilter ref="A3:M540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0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F3B8-5C07-477D-A95E-82D04A4230F0}">
  <dimension ref="A1:P845"/>
  <sheetViews>
    <sheetView zoomScaleNormal="100" workbookViewId="0">
      <selection activeCell="C26" sqref="C26"/>
    </sheetView>
  </sheetViews>
  <sheetFormatPr defaultColWidth="5.375" defaultRowHeight="12.75" outlineLevelRow="2"/>
  <cols>
    <col min="1" max="1" width="18.125" style="79" bestFit="1" customWidth="1"/>
    <col min="2" max="2" width="8.5" style="79" bestFit="1" customWidth="1"/>
    <col min="3" max="3" width="21.875" style="79" bestFit="1" customWidth="1"/>
    <col min="4" max="4" width="12.25" style="79" bestFit="1" customWidth="1"/>
    <col min="5" max="5" width="17.625" style="99" bestFit="1" customWidth="1"/>
    <col min="6" max="6" width="12.25" style="96" bestFit="1" customWidth="1"/>
    <col min="7" max="7" width="13.75" style="99" bestFit="1" customWidth="1"/>
    <col min="8" max="8" width="10.625" style="100" bestFit="1" customWidth="1"/>
    <col min="9" max="10" width="8.875" style="79" customWidth="1"/>
    <col min="11" max="11" width="10.625" style="79" bestFit="1" customWidth="1"/>
    <col min="12" max="12" width="11.875" style="99" bestFit="1" customWidth="1"/>
    <col min="13" max="13" width="17.625" style="79" bestFit="1" customWidth="1"/>
    <col min="14" max="16384" width="5.375" style="79"/>
  </cols>
  <sheetData>
    <row r="1" spans="1:13" ht="13.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3.5">
      <c r="A2" s="27"/>
      <c r="B2" s="28" t="s">
        <v>0</v>
      </c>
      <c r="C2" s="29">
        <v>44255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</row>
    <row r="3" spans="1:13" s="80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80" customFormat="1" ht="13.5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44228</v>
      </c>
      <c r="J4" s="39">
        <v>44255</v>
      </c>
      <c r="K4" s="24">
        <f t="shared" ref="K4:K34" si="0">J4-I4+1</f>
        <v>28</v>
      </c>
      <c r="L4" s="24">
        <f t="shared" ref="L4:L34" si="1">ROUND(G4*H4*K4/365,0)</f>
        <v>62329</v>
      </c>
      <c r="M4" s="24">
        <v>162500000</v>
      </c>
    </row>
    <row r="5" spans="1:13" s="80" customFormat="1" ht="13.5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44228</v>
      </c>
      <c r="J5" s="39">
        <v>44255</v>
      </c>
      <c r="K5" s="24">
        <f t="shared" si="0"/>
        <v>28</v>
      </c>
      <c r="L5" s="24">
        <f t="shared" si="1"/>
        <v>552</v>
      </c>
      <c r="M5" s="24">
        <v>2400000</v>
      </c>
    </row>
    <row r="6" spans="1:13" s="80" customFormat="1" ht="13.5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44228</v>
      </c>
      <c r="J6" s="39">
        <v>44255</v>
      </c>
      <c r="K6" s="24">
        <f t="shared" si="0"/>
        <v>28</v>
      </c>
      <c r="L6" s="24">
        <f t="shared" si="1"/>
        <v>2827</v>
      </c>
      <c r="M6" s="24">
        <v>7370000</v>
      </c>
    </row>
    <row r="7" spans="1:13" s="80" customFormat="1" ht="13.5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44228</v>
      </c>
      <c r="J7" s="39">
        <v>44255</v>
      </c>
      <c r="K7" s="24">
        <f t="shared" si="0"/>
        <v>28</v>
      </c>
      <c r="L7" s="24">
        <f t="shared" si="1"/>
        <v>2259</v>
      </c>
      <c r="M7" s="24">
        <v>5890000</v>
      </c>
    </row>
    <row r="8" spans="1:13" s="80" customFormat="1" ht="13.5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44228</v>
      </c>
      <c r="J8" s="39">
        <v>44255</v>
      </c>
      <c r="K8" s="24">
        <f t="shared" si="0"/>
        <v>28</v>
      </c>
      <c r="L8" s="24">
        <f t="shared" si="1"/>
        <v>1158</v>
      </c>
      <c r="M8" s="24">
        <v>3020000</v>
      </c>
    </row>
    <row r="9" spans="1:13" s="80" customFormat="1" ht="13.5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44228</v>
      </c>
      <c r="J9" s="39">
        <v>44255</v>
      </c>
      <c r="K9" s="24">
        <f t="shared" si="0"/>
        <v>28</v>
      </c>
      <c r="L9" s="24">
        <f t="shared" si="1"/>
        <v>32449</v>
      </c>
      <c r="M9" s="24">
        <v>84600000</v>
      </c>
    </row>
    <row r="10" spans="1:13" s="80" customFormat="1" ht="13.5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44228</v>
      </c>
      <c r="J10" s="39">
        <v>44255</v>
      </c>
      <c r="K10" s="24">
        <f t="shared" si="0"/>
        <v>28</v>
      </c>
      <c r="L10" s="24">
        <f t="shared" si="1"/>
        <v>23014</v>
      </c>
      <c r="M10" s="24">
        <v>60000000</v>
      </c>
    </row>
    <row r="11" spans="1:13" s="80" customFormat="1" ht="13.5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44228</v>
      </c>
      <c r="J11" s="39">
        <v>44255</v>
      </c>
      <c r="K11" s="24">
        <f t="shared" si="0"/>
        <v>28</v>
      </c>
      <c r="L11" s="24">
        <f t="shared" si="1"/>
        <v>37282</v>
      </c>
      <c r="M11" s="24">
        <v>162000000</v>
      </c>
    </row>
    <row r="12" spans="1:13" s="80" customFormat="1" ht="13.5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44228</v>
      </c>
      <c r="J12" s="39">
        <v>44255</v>
      </c>
      <c r="K12" s="24">
        <f t="shared" si="0"/>
        <v>28</v>
      </c>
      <c r="L12" s="24">
        <f t="shared" si="1"/>
        <v>1591</v>
      </c>
      <c r="M12" s="24">
        <v>4147000</v>
      </c>
    </row>
    <row r="13" spans="1:13" s="80" customFormat="1" ht="13.5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44228</v>
      </c>
      <c r="J13" s="39">
        <v>44255</v>
      </c>
      <c r="K13" s="24">
        <f t="shared" si="0"/>
        <v>28</v>
      </c>
      <c r="L13" s="24">
        <f t="shared" si="1"/>
        <v>284</v>
      </c>
      <c r="M13" s="24">
        <v>740000</v>
      </c>
    </row>
    <row r="14" spans="1:13" s="80" customFormat="1" ht="13.5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44228</v>
      </c>
      <c r="J14" s="39">
        <v>44255</v>
      </c>
      <c r="K14" s="24">
        <f t="shared" si="0"/>
        <v>28</v>
      </c>
      <c r="L14" s="24">
        <f t="shared" si="1"/>
        <v>67596</v>
      </c>
      <c r="M14" s="24">
        <v>176232000</v>
      </c>
    </row>
    <row r="15" spans="1:13" s="80" customFormat="1" ht="13.5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44228</v>
      </c>
      <c r="J15" s="39">
        <v>44255</v>
      </c>
      <c r="K15" s="24">
        <f t="shared" si="0"/>
        <v>28</v>
      </c>
      <c r="L15" s="24">
        <f t="shared" si="1"/>
        <v>2466</v>
      </c>
      <c r="M15" s="24">
        <v>6430000</v>
      </c>
    </row>
    <row r="16" spans="1:13" s="80" customFormat="1" ht="13.5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44228</v>
      </c>
      <c r="J16" s="39">
        <v>44255</v>
      </c>
      <c r="K16" s="24">
        <f t="shared" si="0"/>
        <v>28</v>
      </c>
      <c r="L16" s="24">
        <f t="shared" si="1"/>
        <v>2071</v>
      </c>
      <c r="M16" s="24">
        <v>5400000</v>
      </c>
    </row>
    <row r="17" spans="1:13" s="80" customFormat="1" ht="13.5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44228</v>
      </c>
      <c r="J17" s="39">
        <v>44255</v>
      </c>
      <c r="K17" s="24">
        <f t="shared" si="0"/>
        <v>28</v>
      </c>
      <c r="L17" s="24">
        <f t="shared" si="1"/>
        <v>146</v>
      </c>
      <c r="M17" s="24">
        <v>380000</v>
      </c>
    </row>
    <row r="18" spans="1:13" s="80" customFormat="1" ht="13.5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44228</v>
      </c>
      <c r="J18" s="39">
        <v>44255</v>
      </c>
      <c r="K18" s="24">
        <f t="shared" si="0"/>
        <v>28</v>
      </c>
      <c r="L18" s="24">
        <f t="shared" si="1"/>
        <v>921</v>
      </c>
      <c r="M18" s="24">
        <v>2400000</v>
      </c>
    </row>
    <row r="19" spans="1:13" s="80" customFormat="1" ht="13.5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44228</v>
      </c>
      <c r="J19" s="39">
        <v>44255</v>
      </c>
      <c r="K19" s="24">
        <f t="shared" si="0"/>
        <v>28</v>
      </c>
      <c r="L19" s="24">
        <f t="shared" si="1"/>
        <v>384</v>
      </c>
      <c r="M19" s="24">
        <v>1000000</v>
      </c>
    </row>
    <row r="20" spans="1:13" s="80" customFormat="1" ht="13.5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44228</v>
      </c>
      <c r="J20" s="39">
        <v>44255</v>
      </c>
      <c r="K20" s="24">
        <f t="shared" si="0"/>
        <v>28</v>
      </c>
      <c r="L20" s="24">
        <f t="shared" si="1"/>
        <v>3836</v>
      </c>
      <c r="M20" s="24">
        <v>10000000</v>
      </c>
    </row>
    <row r="21" spans="1:13" s="80" customFormat="1" ht="13.5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44228</v>
      </c>
      <c r="J21" s="39">
        <v>44255</v>
      </c>
      <c r="K21" s="24">
        <f t="shared" si="0"/>
        <v>28</v>
      </c>
      <c r="L21" s="24">
        <f t="shared" si="1"/>
        <v>95890</v>
      </c>
      <c r="M21" s="24">
        <v>250000000</v>
      </c>
    </row>
    <row r="22" spans="1:13" s="80" customFormat="1" ht="13.5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44228</v>
      </c>
      <c r="J22" s="39">
        <v>44255</v>
      </c>
      <c r="K22" s="24">
        <f t="shared" si="0"/>
        <v>28</v>
      </c>
      <c r="L22" s="24">
        <f t="shared" si="1"/>
        <v>76712</v>
      </c>
      <c r="M22" s="24">
        <v>200000000</v>
      </c>
    </row>
    <row r="23" spans="1:13" s="80" customFormat="1" ht="13.5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44228</v>
      </c>
      <c r="J23" s="39">
        <v>44255</v>
      </c>
      <c r="K23" s="24">
        <f t="shared" si="0"/>
        <v>28</v>
      </c>
      <c r="L23" s="24">
        <f t="shared" si="1"/>
        <v>3299</v>
      </c>
      <c r="M23" s="24">
        <v>8600000</v>
      </c>
    </row>
    <row r="24" spans="1:13" s="80" customFormat="1" ht="13.5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44228</v>
      </c>
      <c r="J24" s="39">
        <v>44255</v>
      </c>
      <c r="K24" s="24">
        <f t="shared" si="0"/>
        <v>28</v>
      </c>
      <c r="L24" s="24">
        <f t="shared" si="1"/>
        <v>636</v>
      </c>
      <c r="M24" s="24">
        <v>1657000</v>
      </c>
    </row>
    <row r="25" spans="1:13" s="80" customFormat="1" ht="13.5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44228</v>
      </c>
      <c r="J25" s="39">
        <v>44255</v>
      </c>
      <c r="K25" s="24">
        <f t="shared" si="0"/>
        <v>28</v>
      </c>
      <c r="L25" s="24">
        <f t="shared" si="1"/>
        <v>767</v>
      </c>
      <c r="M25" s="24">
        <v>2000000</v>
      </c>
    </row>
    <row r="26" spans="1:13" s="80" customFormat="1" ht="13.5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44228</v>
      </c>
      <c r="J26" s="39">
        <v>44255</v>
      </c>
      <c r="K26" s="24">
        <f t="shared" si="0"/>
        <v>28</v>
      </c>
      <c r="L26" s="24">
        <f t="shared" si="1"/>
        <v>10970</v>
      </c>
      <c r="M26" s="24">
        <v>28600000</v>
      </c>
    </row>
    <row r="27" spans="1:13" s="80" customFormat="1" ht="13.5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44228</v>
      </c>
      <c r="J27" s="39">
        <v>44255</v>
      </c>
      <c r="K27" s="24">
        <f t="shared" si="0"/>
        <v>28</v>
      </c>
      <c r="L27" s="24">
        <f t="shared" si="1"/>
        <v>230</v>
      </c>
      <c r="M27" s="24">
        <v>600000</v>
      </c>
    </row>
    <row r="28" spans="1:13" s="80" customFormat="1" ht="13.5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44228</v>
      </c>
      <c r="J28" s="39">
        <v>44255</v>
      </c>
      <c r="K28" s="24">
        <f t="shared" si="0"/>
        <v>28</v>
      </c>
      <c r="L28" s="24">
        <f t="shared" si="1"/>
        <v>13808</v>
      </c>
      <c r="M28" s="24">
        <v>60000000</v>
      </c>
    </row>
    <row r="29" spans="1:13" s="80" customFormat="1" ht="13.5" outlineLevel="2">
      <c r="A29" s="39" t="s">
        <v>15</v>
      </c>
      <c r="B29" s="40" t="s">
        <v>59</v>
      </c>
      <c r="C29" s="41" t="s">
        <v>60</v>
      </c>
      <c r="D29" s="40" t="s">
        <v>61</v>
      </c>
      <c r="E29" s="24">
        <v>20000000</v>
      </c>
      <c r="F29" s="39">
        <v>43922</v>
      </c>
      <c r="G29" s="24">
        <v>20000000</v>
      </c>
      <c r="H29" s="23">
        <v>5.0000000000000001E-3</v>
      </c>
      <c r="I29" s="39">
        <v>44228</v>
      </c>
      <c r="J29" s="39">
        <v>44255</v>
      </c>
      <c r="K29" s="24">
        <f t="shared" si="0"/>
        <v>28</v>
      </c>
      <c r="L29" s="24">
        <f t="shared" si="1"/>
        <v>7671</v>
      </c>
      <c r="M29" s="24">
        <v>20000000</v>
      </c>
    </row>
    <row r="30" spans="1:13" s="80" customFormat="1" ht="13.5" outlineLevel="2">
      <c r="A30" s="39" t="s">
        <v>15</v>
      </c>
      <c r="B30" s="40" t="s">
        <v>62</v>
      </c>
      <c r="C30" s="41" t="s">
        <v>55</v>
      </c>
      <c r="D30" s="40" t="s">
        <v>56</v>
      </c>
      <c r="E30" s="24">
        <v>10000000</v>
      </c>
      <c r="F30" s="39">
        <v>43934</v>
      </c>
      <c r="G30" s="24">
        <v>10000000</v>
      </c>
      <c r="H30" s="23">
        <v>5.0000000000000001E-3</v>
      </c>
      <c r="I30" s="39">
        <v>44228</v>
      </c>
      <c r="J30" s="39">
        <v>44255</v>
      </c>
      <c r="K30" s="24">
        <f t="shared" si="0"/>
        <v>28</v>
      </c>
      <c r="L30" s="24">
        <f t="shared" si="1"/>
        <v>3836</v>
      </c>
      <c r="M30" s="24">
        <v>10000000</v>
      </c>
    </row>
    <row r="31" spans="1:13" s="80" customFormat="1" ht="13.5" outlineLevel="2">
      <c r="A31" s="39" t="s">
        <v>15</v>
      </c>
      <c r="B31" s="40" t="s">
        <v>63</v>
      </c>
      <c r="C31" s="41" t="s">
        <v>55</v>
      </c>
      <c r="D31" s="40" t="s">
        <v>56</v>
      </c>
      <c r="E31" s="24">
        <v>30000000</v>
      </c>
      <c r="F31" s="39">
        <v>43937</v>
      </c>
      <c r="G31" s="24">
        <v>30000000</v>
      </c>
      <c r="H31" s="23">
        <v>5.0000000000000001E-3</v>
      </c>
      <c r="I31" s="39">
        <v>44228</v>
      </c>
      <c r="J31" s="39">
        <v>44255</v>
      </c>
      <c r="K31" s="24">
        <f t="shared" si="0"/>
        <v>28</v>
      </c>
      <c r="L31" s="24">
        <f t="shared" si="1"/>
        <v>11507</v>
      </c>
      <c r="M31" s="24">
        <v>30000000</v>
      </c>
    </row>
    <row r="32" spans="1:13" s="80" customFormat="1" ht="13.5" outlineLevel="2">
      <c r="A32" s="39" t="s">
        <v>15</v>
      </c>
      <c r="B32" s="40" t="s">
        <v>64</v>
      </c>
      <c r="C32" s="41" t="s">
        <v>55</v>
      </c>
      <c r="D32" s="40" t="s">
        <v>56</v>
      </c>
      <c r="E32" s="24">
        <v>58360000</v>
      </c>
      <c r="F32" s="39">
        <v>43929</v>
      </c>
      <c r="G32" s="24">
        <v>58360000</v>
      </c>
      <c r="H32" s="23">
        <v>5.0000000000000001E-3</v>
      </c>
      <c r="I32" s="39">
        <v>44228</v>
      </c>
      <c r="J32" s="39">
        <v>44255</v>
      </c>
      <c r="K32" s="24">
        <f t="shared" si="0"/>
        <v>28</v>
      </c>
      <c r="L32" s="24">
        <f t="shared" si="1"/>
        <v>22385</v>
      </c>
      <c r="M32" s="24">
        <v>58360000</v>
      </c>
    </row>
    <row r="33" spans="1:13" s="80" customFormat="1" ht="13.5" outlineLevel="2">
      <c r="A33" s="39" t="s">
        <v>15</v>
      </c>
      <c r="B33" s="40" t="s">
        <v>65</v>
      </c>
      <c r="C33" s="41" t="s">
        <v>66</v>
      </c>
      <c r="D33" s="40" t="s">
        <v>67</v>
      </c>
      <c r="E33" s="24">
        <v>64000000</v>
      </c>
      <c r="F33" s="39">
        <v>43966</v>
      </c>
      <c r="G33" s="24">
        <v>64000000</v>
      </c>
      <c r="H33" s="23">
        <v>5.0000000000000001E-3</v>
      </c>
      <c r="I33" s="39">
        <v>44228</v>
      </c>
      <c r="J33" s="39">
        <v>44255</v>
      </c>
      <c r="K33" s="24">
        <f t="shared" si="0"/>
        <v>28</v>
      </c>
      <c r="L33" s="24">
        <f t="shared" si="1"/>
        <v>24548</v>
      </c>
      <c r="M33" s="24">
        <v>64000000</v>
      </c>
    </row>
    <row r="34" spans="1:13" s="80" customFormat="1" ht="13.5" outlineLevel="2">
      <c r="A34" s="39" t="s">
        <v>15</v>
      </c>
      <c r="B34" s="40" t="s">
        <v>68</v>
      </c>
      <c r="C34" s="41" t="s">
        <v>55</v>
      </c>
      <c r="D34" s="40" t="s">
        <v>56</v>
      </c>
      <c r="E34" s="24">
        <v>11400000</v>
      </c>
      <c r="F34" s="39">
        <v>43962</v>
      </c>
      <c r="G34" s="24">
        <v>11400000</v>
      </c>
      <c r="H34" s="23">
        <v>5.0000000000000001E-3</v>
      </c>
      <c r="I34" s="39">
        <v>44228</v>
      </c>
      <c r="J34" s="39">
        <v>44255</v>
      </c>
      <c r="K34" s="24">
        <f t="shared" si="0"/>
        <v>28</v>
      </c>
      <c r="L34" s="24">
        <f t="shared" si="1"/>
        <v>4373</v>
      </c>
      <c r="M34" s="24">
        <v>11400000</v>
      </c>
    </row>
    <row r="35" spans="1:13" s="80" customFormat="1" ht="13.5" outlineLevel="1">
      <c r="A35" s="42" t="s">
        <v>69</v>
      </c>
      <c r="B35" s="43"/>
      <c r="C35" s="44"/>
      <c r="D35" s="43"/>
      <c r="E35" s="45">
        <f>SUBTOTAL(9,E4:E34)</f>
        <v>1439726000</v>
      </c>
      <c r="F35" s="46"/>
      <c r="G35" s="45"/>
      <c r="H35" s="47"/>
      <c r="I35" s="46"/>
      <c r="J35" s="46"/>
      <c r="K35" s="45"/>
      <c r="L35" s="45">
        <f>SUBTOTAL(9,L4:L34)</f>
        <v>517797</v>
      </c>
      <c r="M35" s="45">
        <f>SUBTOTAL(9,M4:M34)</f>
        <v>1439726000</v>
      </c>
    </row>
    <row r="36" spans="1:13" s="80" customFormat="1" ht="13.5" outlineLevel="2">
      <c r="A36" s="39" t="s">
        <v>70</v>
      </c>
      <c r="B36" s="40" t="s">
        <v>16</v>
      </c>
      <c r="C36" s="41" t="s">
        <v>27</v>
      </c>
      <c r="D36" s="40" t="s">
        <v>28</v>
      </c>
      <c r="E36" s="24">
        <v>21330000</v>
      </c>
      <c r="F36" s="39">
        <v>44046</v>
      </c>
      <c r="G36" s="24">
        <v>21330000</v>
      </c>
      <c r="H36" s="23">
        <v>5.0000000000000001E-3</v>
      </c>
      <c r="I36" s="39">
        <v>44228</v>
      </c>
      <c r="J36" s="39">
        <v>44255</v>
      </c>
      <c r="K36" s="24">
        <f>J36-I36+1</f>
        <v>28</v>
      </c>
      <c r="L36" s="24">
        <f>ROUND(G36*H36*K36/365,0)</f>
        <v>8181</v>
      </c>
      <c r="M36" s="24">
        <v>21330000</v>
      </c>
    </row>
    <row r="37" spans="1:13" s="80" customFormat="1" ht="13.5" outlineLevel="2">
      <c r="A37" s="39" t="s">
        <v>70</v>
      </c>
      <c r="B37" s="40" t="s">
        <v>39</v>
      </c>
      <c r="C37" s="41" t="s">
        <v>27</v>
      </c>
      <c r="D37" s="40" t="s">
        <v>28</v>
      </c>
      <c r="E37" s="24">
        <v>8670000</v>
      </c>
      <c r="F37" s="39">
        <v>44060</v>
      </c>
      <c r="G37" s="24">
        <v>8670000</v>
      </c>
      <c r="H37" s="23">
        <v>5.0000000000000001E-3</v>
      </c>
      <c r="I37" s="39">
        <v>44228</v>
      </c>
      <c r="J37" s="39">
        <v>44255</v>
      </c>
      <c r="K37" s="24">
        <f>J37-I37+1</f>
        <v>28</v>
      </c>
      <c r="L37" s="24">
        <f>ROUND(G37*H37*K37/365,0)</f>
        <v>3325</v>
      </c>
      <c r="M37" s="24">
        <v>8670000</v>
      </c>
    </row>
    <row r="38" spans="1:13" s="80" customFormat="1" ht="13.5" outlineLevel="2">
      <c r="A38" s="39" t="s">
        <v>70</v>
      </c>
      <c r="B38" s="40" t="s">
        <v>54</v>
      </c>
      <c r="C38" s="41" t="s">
        <v>71</v>
      </c>
      <c r="D38" s="40" t="s">
        <v>72</v>
      </c>
      <c r="E38" s="24">
        <v>10600000</v>
      </c>
      <c r="F38" s="39">
        <v>44085</v>
      </c>
      <c r="G38" s="24">
        <v>10600000</v>
      </c>
      <c r="H38" s="23">
        <v>5.0000000000000001E-3</v>
      </c>
      <c r="I38" s="39">
        <v>44228</v>
      </c>
      <c r="J38" s="39">
        <v>44255</v>
      </c>
      <c r="K38" s="24">
        <f>J38-I38+1</f>
        <v>28</v>
      </c>
      <c r="L38" s="24">
        <f>ROUND(G38*H38*K38/365,0)</f>
        <v>4066</v>
      </c>
      <c r="M38" s="24">
        <v>10600000</v>
      </c>
    </row>
    <row r="39" spans="1:13" s="80" customFormat="1" ht="13.5" outlineLevel="2">
      <c r="A39" s="39" t="s">
        <v>70</v>
      </c>
      <c r="B39" s="40" t="s">
        <v>59</v>
      </c>
      <c r="C39" s="41" t="s">
        <v>73</v>
      </c>
      <c r="D39" s="40" t="s">
        <v>74</v>
      </c>
      <c r="E39" s="24">
        <v>40170000</v>
      </c>
      <c r="F39" s="39">
        <v>44172</v>
      </c>
      <c r="G39" s="24">
        <v>40170000</v>
      </c>
      <c r="H39" s="23">
        <v>5.0000000000000001E-3</v>
      </c>
      <c r="I39" s="39">
        <v>44228</v>
      </c>
      <c r="J39" s="39">
        <v>44255</v>
      </c>
      <c r="K39" s="24">
        <f>J39-I39+1</f>
        <v>28</v>
      </c>
      <c r="L39" s="24">
        <f>ROUND(G39*H39*K39/365,0)</f>
        <v>15408</v>
      </c>
      <c r="M39" s="24">
        <v>40170000</v>
      </c>
    </row>
    <row r="40" spans="1:13" s="80" customFormat="1" ht="13.5" outlineLevel="2">
      <c r="A40" s="39" t="s">
        <v>70</v>
      </c>
      <c r="B40" s="40" t="s">
        <v>62</v>
      </c>
      <c r="C40" s="41" t="s">
        <v>75</v>
      </c>
      <c r="D40" s="40" t="s">
        <v>76</v>
      </c>
      <c r="E40" s="24">
        <v>5170000</v>
      </c>
      <c r="F40" s="39">
        <v>44166</v>
      </c>
      <c r="G40" s="24">
        <v>5170000</v>
      </c>
      <c r="H40" s="23">
        <v>5.0000000000000001E-3</v>
      </c>
      <c r="I40" s="39">
        <v>44228</v>
      </c>
      <c r="J40" s="39">
        <v>44255</v>
      </c>
      <c r="K40" s="24">
        <f>J40-I40+1</f>
        <v>28</v>
      </c>
      <c r="L40" s="24">
        <f>ROUND(G40*H40*K40/365,0)</f>
        <v>1983</v>
      </c>
      <c r="M40" s="24">
        <v>5170000</v>
      </c>
    </row>
    <row r="41" spans="1:13" s="80" customFormat="1" ht="13.5" outlineLevel="1">
      <c r="A41" s="42" t="s">
        <v>77</v>
      </c>
      <c r="B41" s="43"/>
      <c r="C41" s="44"/>
      <c r="D41" s="43"/>
      <c r="E41" s="45">
        <f>SUBTOTAL(9,E36:E40)</f>
        <v>85940000</v>
      </c>
      <c r="F41" s="46"/>
      <c r="G41" s="45"/>
      <c r="H41" s="47"/>
      <c r="I41" s="46"/>
      <c r="J41" s="46"/>
      <c r="K41" s="45"/>
      <c r="L41" s="45">
        <f>SUBTOTAL(9,L36:L40)</f>
        <v>32963</v>
      </c>
      <c r="M41" s="45">
        <f>SUBTOTAL(9,M36:M40)</f>
        <v>85940000</v>
      </c>
    </row>
    <row r="42" spans="1:13" s="80" customFormat="1" ht="13.5" outlineLevel="2">
      <c r="A42" s="39" t="s">
        <v>78</v>
      </c>
      <c r="B42" s="40" t="s">
        <v>16</v>
      </c>
      <c r="C42" s="41" t="s">
        <v>55</v>
      </c>
      <c r="D42" s="40" t="s">
        <v>56</v>
      </c>
      <c r="E42" s="24">
        <v>26500000</v>
      </c>
      <c r="F42" s="39">
        <v>43907</v>
      </c>
      <c r="G42" s="24">
        <v>23345240</v>
      </c>
      <c r="H42" s="23">
        <v>5.0000000000000001E-3</v>
      </c>
      <c r="I42" s="39">
        <v>44228</v>
      </c>
      <c r="J42" s="39">
        <v>44243</v>
      </c>
      <c r="K42" s="24">
        <f t="shared" ref="K42:K73" si="2">J42-I42+1</f>
        <v>16</v>
      </c>
      <c r="L42" s="24">
        <f t="shared" ref="L42:L73" si="3">ROUND(G42*H42*K42/365,0)</f>
        <v>5117</v>
      </c>
      <c r="M42" s="24">
        <v>23029764</v>
      </c>
    </row>
    <row r="43" spans="1:13" s="80" customFormat="1" ht="13.5" outlineLevel="2">
      <c r="A43" s="39" t="s">
        <v>78</v>
      </c>
      <c r="B43" s="40" t="s">
        <v>16</v>
      </c>
      <c r="C43" s="41" t="s">
        <v>55</v>
      </c>
      <c r="D43" s="40"/>
      <c r="E43" s="24"/>
      <c r="F43" s="39"/>
      <c r="G43" s="24">
        <v>23029764</v>
      </c>
      <c r="H43" s="23">
        <v>5.0000000000000001E-3</v>
      </c>
      <c r="I43" s="39">
        <v>44244</v>
      </c>
      <c r="J43" s="39">
        <v>44255</v>
      </c>
      <c r="K43" s="24">
        <f t="shared" si="2"/>
        <v>12</v>
      </c>
      <c r="L43" s="24">
        <f t="shared" si="3"/>
        <v>3786</v>
      </c>
      <c r="M43" s="24"/>
    </row>
    <row r="44" spans="1:13" s="80" customFormat="1" ht="13.5" outlineLevel="2">
      <c r="A44" s="39" t="s">
        <v>78</v>
      </c>
      <c r="B44" s="40" t="s">
        <v>19</v>
      </c>
      <c r="C44" s="41" t="s">
        <v>79</v>
      </c>
      <c r="D44" s="40" t="s">
        <v>80</v>
      </c>
      <c r="E44" s="24">
        <v>130000000</v>
      </c>
      <c r="F44" s="39">
        <v>44013</v>
      </c>
      <c r="G44" s="24">
        <v>130000000</v>
      </c>
      <c r="H44" s="23">
        <v>5.0000000000000001E-3</v>
      </c>
      <c r="I44" s="39">
        <v>44228</v>
      </c>
      <c r="J44" s="39">
        <v>44255</v>
      </c>
      <c r="K44" s="24">
        <f t="shared" si="2"/>
        <v>28</v>
      </c>
      <c r="L44" s="24">
        <f t="shared" si="3"/>
        <v>49863</v>
      </c>
      <c r="M44" s="24">
        <v>130000000</v>
      </c>
    </row>
    <row r="45" spans="1:13" s="80" customFormat="1" ht="13.5" outlineLevel="2">
      <c r="A45" s="39" t="s">
        <v>78</v>
      </c>
      <c r="B45" s="40" t="s">
        <v>22</v>
      </c>
      <c r="C45" s="41" t="s">
        <v>81</v>
      </c>
      <c r="D45" s="40" t="s">
        <v>82</v>
      </c>
      <c r="E45" s="24">
        <v>3400000</v>
      </c>
      <c r="F45" s="39">
        <v>44063</v>
      </c>
      <c r="G45" s="24">
        <v>3106900</v>
      </c>
      <c r="H45" s="23">
        <v>5.0000000000000001E-3</v>
      </c>
      <c r="I45" s="39">
        <v>44228</v>
      </c>
      <c r="J45" s="39">
        <v>44243</v>
      </c>
      <c r="K45" s="24">
        <f t="shared" si="2"/>
        <v>16</v>
      </c>
      <c r="L45" s="24">
        <f t="shared" si="3"/>
        <v>681</v>
      </c>
      <c r="M45" s="24">
        <v>3048280</v>
      </c>
    </row>
    <row r="46" spans="1:13" s="80" customFormat="1" ht="13.5" outlineLevel="2">
      <c r="A46" s="39" t="s">
        <v>78</v>
      </c>
      <c r="B46" s="40" t="s">
        <v>22</v>
      </c>
      <c r="C46" s="41" t="s">
        <v>81</v>
      </c>
      <c r="D46" s="40"/>
      <c r="E46" s="24"/>
      <c r="F46" s="39"/>
      <c r="G46" s="24">
        <v>3048280</v>
      </c>
      <c r="H46" s="23">
        <v>5.0000000000000001E-3</v>
      </c>
      <c r="I46" s="39">
        <v>44244</v>
      </c>
      <c r="J46" s="39">
        <v>44255</v>
      </c>
      <c r="K46" s="24">
        <f t="shared" si="2"/>
        <v>12</v>
      </c>
      <c r="L46" s="24">
        <f t="shared" si="3"/>
        <v>501</v>
      </c>
      <c r="M46" s="24"/>
    </row>
    <row r="47" spans="1:13" s="80" customFormat="1" ht="13.5" outlineLevel="2">
      <c r="A47" s="39" t="s">
        <v>78</v>
      </c>
      <c r="B47" s="40" t="s">
        <v>25</v>
      </c>
      <c r="C47" s="41" t="s">
        <v>81</v>
      </c>
      <c r="D47" s="40" t="s">
        <v>82</v>
      </c>
      <c r="E47" s="24">
        <v>9800000</v>
      </c>
      <c r="F47" s="39">
        <v>44071</v>
      </c>
      <c r="G47" s="24">
        <v>8955165</v>
      </c>
      <c r="H47" s="23">
        <v>5.0000000000000001E-3</v>
      </c>
      <c r="I47" s="39">
        <v>44228</v>
      </c>
      <c r="J47" s="39">
        <v>44243</v>
      </c>
      <c r="K47" s="24">
        <f t="shared" si="2"/>
        <v>16</v>
      </c>
      <c r="L47" s="24">
        <f t="shared" si="3"/>
        <v>1963</v>
      </c>
      <c r="M47" s="24">
        <v>8786198</v>
      </c>
    </row>
    <row r="48" spans="1:13" s="80" customFormat="1" ht="13.5" outlineLevel="2">
      <c r="A48" s="39" t="s">
        <v>78</v>
      </c>
      <c r="B48" s="40" t="s">
        <v>25</v>
      </c>
      <c r="C48" s="41" t="s">
        <v>81</v>
      </c>
      <c r="D48" s="40"/>
      <c r="E48" s="24"/>
      <c r="F48" s="39"/>
      <c r="G48" s="24">
        <v>8786198</v>
      </c>
      <c r="H48" s="23">
        <v>5.0000000000000001E-3</v>
      </c>
      <c r="I48" s="39">
        <v>44244</v>
      </c>
      <c r="J48" s="39">
        <v>44255</v>
      </c>
      <c r="K48" s="24">
        <f t="shared" si="2"/>
        <v>12</v>
      </c>
      <c r="L48" s="24">
        <f t="shared" si="3"/>
        <v>1444</v>
      </c>
      <c r="M48" s="24"/>
    </row>
    <row r="49" spans="1:13" s="80" customFormat="1" ht="13.5" outlineLevel="2">
      <c r="A49" s="39" t="s">
        <v>78</v>
      </c>
      <c r="B49" s="40" t="s">
        <v>26</v>
      </c>
      <c r="C49" s="41" t="s">
        <v>83</v>
      </c>
      <c r="D49" s="40" t="s">
        <v>84</v>
      </c>
      <c r="E49" s="24">
        <v>201000000</v>
      </c>
      <c r="F49" s="39">
        <v>44064</v>
      </c>
      <c r="G49" s="24">
        <v>201000000</v>
      </c>
      <c r="H49" s="23">
        <v>5.0000000000000001E-3</v>
      </c>
      <c r="I49" s="39">
        <v>44228</v>
      </c>
      <c r="J49" s="39">
        <v>44255</v>
      </c>
      <c r="K49" s="24">
        <f t="shared" si="2"/>
        <v>28</v>
      </c>
      <c r="L49" s="24">
        <f t="shared" si="3"/>
        <v>77096</v>
      </c>
      <c r="M49" s="24">
        <v>201000000</v>
      </c>
    </row>
    <row r="50" spans="1:13" s="80" customFormat="1" ht="13.5" outlineLevel="2">
      <c r="A50" s="39" t="s">
        <v>78</v>
      </c>
      <c r="B50" s="40" t="s">
        <v>29</v>
      </c>
      <c r="C50" s="41" t="s">
        <v>85</v>
      </c>
      <c r="D50" s="40" t="s">
        <v>86</v>
      </c>
      <c r="E50" s="24">
        <v>211550000</v>
      </c>
      <c r="F50" s="39">
        <v>44078</v>
      </c>
      <c r="G50" s="24">
        <v>211550000</v>
      </c>
      <c r="H50" s="23">
        <v>5.0000000000000001E-3</v>
      </c>
      <c r="I50" s="39">
        <v>44228</v>
      </c>
      <c r="J50" s="39">
        <v>44255</v>
      </c>
      <c r="K50" s="24">
        <f t="shared" si="2"/>
        <v>28</v>
      </c>
      <c r="L50" s="24">
        <f t="shared" si="3"/>
        <v>81142</v>
      </c>
      <c r="M50" s="24">
        <v>211550000</v>
      </c>
    </row>
    <row r="51" spans="1:13" s="80" customFormat="1" ht="13.5" outlineLevel="2">
      <c r="A51" s="39" t="s">
        <v>78</v>
      </c>
      <c r="B51" s="40" t="s">
        <v>32</v>
      </c>
      <c r="C51" s="41" t="s">
        <v>85</v>
      </c>
      <c r="D51" s="40" t="s">
        <v>86</v>
      </c>
      <c r="E51" s="24">
        <v>91330000</v>
      </c>
      <c r="F51" s="39">
        <v>44120</v>
      </c>
      <c r="G51" s="24">
        <v>91330000</v>
      </c>
      <c r="H51" s="23">
        <v>5.0000000000000001E-3</v>
      </c>
      <c r="I51" s="39">
        <v>44228</v>
      </c>
      <c r="J51" s="39">
        <v>44255</v>
      </c>
      <c r="K51" s="24">
        <f t="shared" si="2"/>
        <v>28</v>
      </c>
      <c r="L51" s="24">
        <f t="shared" si="3"/>
        <v>35031</v>
      </c>
      <c r="M51" s="24">
        <v>91330000</v>
      </c>
    </row>
    <row r="52" spans="1:13" s="80" customFormat="1" ht="13.5" outlineLevel="2">
      <c r="A52" s="39" t="s">
        <v>78</v>
      </c>
      <c r="B52" s="40" t="s">
        <v>33</v>
      </c>
      <c r="C52" s="41" t="s">
        <v>45</v>
      </c>
      <c r="D52" s="40" t="s">
        <v>46</v>
      </c>
      <c r="E52" s="24">
        <v>10000000</v>
      </c>
      <c r="F52" s="39">
        <v>44120</v>
      </c>
      <c r="G52" s="24">
        <v>10000000</v>
      </c>
      <c r="H52" s="23">
        <v>5.0000000000000001E-3</v>
      </c>
      <c r="I52" s="39">
        <v>44228</v>
      </c>
      <c r="J52" s="39">
        <v>44255</v>
      </c>
      <c r="K52" s="24">
        <f t="shared" si="2"/>
        <v>28</v>
      </c>
      <c r="L52" s="24">
        <f t="shared" si="3"/>
        <v>3836</v>
      </c>
      <c r="M52" s="24">
        <v>10000000</v>
      </c>
    </row>
    <row r="53" spans="1:13" s="80" customFormat="1" ht="13.5" outlineLevel="2">
      <c r="A53" s="39" t="s">
        <v>78</v>
      </c>
      <c r="B53" s="40" t="s">
        <v>34</v>
      </c>
      <c r="C53" s="41" t="s">
        <v>87</v>
      </c>
      <c r="D53" s="40" t="s">
        <v>88</v>
      </c>
      <c r="E53" s="24">
        <v>40000000</v>
      </c>
      <c r="F53" s="39">
        <v>44131</v>
      </c>
      <c r="G53" s="24">
        <v>40000000</v>
      </c>
      <c r="H53" s="23">
        <v>5.0000000000000001E-3</v>
      </c>
      <c r="I53" s="39">
        <v>44228</v>
      </c>
      <c r="J53" s="39">
        <v>44255</v>
      </c>
      <c r="K53" s="24">
        <f t="shared" si="2"/>
        <v>28</v>
      </c>
      <c r="L53" s="24">
        <f t="shared" si="3"/>
        <v>15342</v>
      </c>
      <c r="M53" s="24">
        <v>40000000</v>
      </c>
    </row>
    <row r="54" spans="1:13" s="80" customFormat="1" ht="13.5" outlineLevel="2">
      <c r="A54" s="39" t="s">
        <v>78</v>
      </c>
      <c r="B54" s="40" t="s">
        <v>35</v>
      </c>
      <c r="C54" s="41" t="s">
        <v>89</v>
      </c>
      <c r="D54" s="40" t="s">
        <v>90</v>
      </c>
      <c r="E54" s="24">
        <v>88000000</v>
      </c>
      <c r="F54" s="39">
        <v>44119</v>
      </c>
      <c r="G54" s="24">
        <v>88000000</v>
      </c>
      <c r="H54" s="23">
        <v>5.0000000000000001E-3</v>
      </c>
      <c r="I54" s="39">
        <v>44228</v>
      </c>
      <c r="J54" s="39">
        <v>44255</v>
      </c>
      <c r="K54" s="24">
        <f t="shared" si="2"/>
        <v>28</v>
      </c>
      <c r="L54" s="24">
        <f t="shared" si="3"/>
        <v>33753</v>
      </c>
      <c r="M54" s="24">
        <v>88000000</v>
      </c>
    </row>
    <row r="55" spans="1:13" s="80" customFormat="1" ht="13.5" outlineLevel="2">
      <c r="A55" s="39" t="s">
        <v>78</v>
      </c>
      <c r="B55" s="40" t="s">
        <v>36</v>
      </c>
      <c r="C55" s="41" t="s">
        <v>91</v>
      </c>
      <c r="D55" s="40" t="s">
        <v>92</v>
      </c>
      <c r="E55" s="24">
        <v>65800000</v>
      </c>
      <c r="F55" s="39">
        <v>44119</v>
      </c>
      <c r="G55" s="24">
        <v>65800000</v>
      </c>
      <c r="H55" s="23">
        <v>5.0000000000000001E-3</v>
      </c>
      <c r="I55" s="39">
        <v>44228</v>
      </c>
      <c r="J55" s="39">
        <v>44255</v>
      </c>
      <c r="K55" s="24">
        <f t="shared" si="2"/>
        <v>28</v>
      </c>
      <c r="L55" s="24">
        <f t="shared" si="3"/>
        <v>25238</v>
      </c>
      <c r="M55" s="24">
        <v>65800000</v>
      </c>
    </row>
    <row r="56" spans="1:13" s="80" customFormat="1" ht="13.5" outlineLevel="2">
      <c r="A56" s="39" t="s">
        <v>78</v>
      </c>
      <c r="B56" s="40" t="s">
        <v>39</v>
      </c>
      <c r="C56" s="41" t="s">
        <v>60</v>
      </c>
      <c r="D56" s="40" t="s">
        <v>61</v>
      </c>
      <c r="E56" s="24">
        <v>90000000</v>
      </c>
      <c r="F56" s="39">
        <v>43913</v>
      </c>
      <c r="G56" s="24">
        <v>90000000</v>
      </c>
      <c r="H56" s="23">
        <v>5.0000000000000001E-3</v>
      </c>
      <c r="I56" s="39">
        <v>44228</v>
      </c>
      <c r="J56" s="39">
        <v>44255</v>
      </c>
      <c r="K56" s="24">
        <f t="shared" si="2"/>
        <v>28</v>
      </c>
      <c r="L56" s="24">
        <f t="shared" si="3"/>
        <v>34521</v>
      </c>
      <c r="M56" s="24">
        <v>90000000</v>
      </c>
    </row>
    <row r="57" spans="1:13" s="80" customFormat="1" ht="13.5" outlineLevel="2">
      <c r="A57" s="39" t="s">
        <v>78</v>
      </c>
      <c r="B57" s="40" t="s">
        <v>40</v>
      </c>
      <c r="C57" s="41" t="s">
        <v>93</v>
      </c>
      <c r="D57" s="40" t="s">
        <v>94</v>
      </c>
      <c r="E57" s="24">
        <v>7611996</v>
      </c>
      <c r="F57" s="39">
        <v>44151</v>
      </c>
      <c r="G57" s="24">
        <v>7611996</v>
      </c>
      <c r="H57" s="23">
        <v>5.0000000000000001E-3</v>
      </c>
      <c r="I57" s="39">
        <v>44228</v>
      </c>
      <c r="J57" s="39">
        <v>44255</v>
      </c>
      <c r="K57" s="24">
        <f t="shared" si="2"/>
        <v>28</v>
      </c>
      <c r="L57" s="24">
        <f t="shared" si="3"/>
        <v>2920</v>
      </c>
      <c r="M57" s="24">
        <v>7611996</v>
      </c>
    </row>
    <row r="58" spans="1:13" s="80" customFormat="1" ht="13.5" outlineLevel="2">
      <c r="A58" s="39" t="s">
        <v>78</v>
      </c>
      <c r="B58" s="40" t="s">
        <v>41</v>
      </c>
      <c r="C58" s="41" t="s">
        <v>93</v>
      </c>
      <c r="D58" s="40" t="s">
        <v>94</v>
      </c>
      <c r="E58" s="24">
        <v>4900000</v>
      </c>
      <c r="F58" s="39">
        <v>44151</v>
      </c>
      <c r="G58" s="24">
        <v>4900000</v>
      </c>
      <c r="H58" s="23">
        <v>5.0000000000000001E-3</v>
      </c>
      <c r="I58" s="39">
        <v>44228</v>
      </c>
      <c r="J58" s="39">
        <v>44255</v>
      </c>
      <c r="K58" s="24">
        <f t="shared" si="2"/>
        <v>28</v>
      </c>
      <c r="L58" s="24">
        <f t="shared" si="3"/>
        <v>1879</v>
      </c>
      <c r="M58" s="24">
        <v>4900000</v>
      </c>
    </row>
    <row r="59" spans="1:13" s="80" customFormat="1" ht="13.5" outlineLevel="2">
      <c r="A59" s="39" t="s">
        <v>78</v>
      </c>
      <c r="B59" s="40" t="s">
        <v>42</v>
      </c>
      <c r="C59" s="41" t="s">
        <v>93</v>
      </c>
      <c r="D59" s="40" t="s">
        <v>94</v>
      </c>
      <c r="E59" s="24">
        <v>21838392</v>
      </c>
      <c r="F59" s="39">
        <v>44151</v>
      </c>
      <c r="G59" s="24">
        <v>21838392</v>
      </c>
      <c r="H59" s="23">
        <v>5.0000000000000001E-3</v>
      </c>
      <c r="I59" s="39">
        <v>44228</v>
      </c>
      <c r="J59" s="39">
        <v>44255</v>
      </c>
      <c r="K59" s="24">
        <f t="shared" si="2"/>
        <v>28</v>
      </c>
      <c r="L59" s="24">
        <f t="shared" si="3"/>
        <v>8376</v>
      </c>
      <c r="M59" s="24">
        <v>21838392</v>
      </c>
    </row>
    <row r="60" spans="1:13" s="80" customFormat="1" ht="13.5" outlineLevel="2">
      <c r="A60" s="39" t="s">
        <v>78</v>
      </c>
      <c r="B60" s="40" t="s">
        <v>43</v>
      </c>
      <c r="C60" s="41" t="s">
        <v>95</v>
      </c>
      <c r="D60" s="40" t="s">
        <v>96</v>
      </c>
      <c r="E60" s="24">
        <v>41950000</v>
      </c>
      <c r="F60" s="39">
        <v>44154</v>
      </c>
      <c r="G60" s="24">
        <v>41950000</v>
      </c>
      <c r="H60" s="23">
        <v>5.0000000000000001E-3</v>
      </c>
      <c r="I60" s="39">
        <v>44228</v>
      </c>
      <c r="J60" s="39">
        <v>44255</v>
      </c>
      <c r="K60" s="24">
        <f t="shared" si="2"/>
        <v>28</v>
      </c>
      <c r="L60" s="24">
        <f t="shared" si="3"/>
        <v>16090</v>
      </c>
      <c r="M60" s="24">
        <v>41950000</v>
      </c>
    </row>
    <row r="61" spans="1:13" s="80" customFormat="1" ht="13.5" outlineLevel="2">
      <c r="A61" s="39" t="s">
        <v>78</v>
      </c>
      <c r="B61" s="40" t="s">
        <v>44</v>
      </c>
      <c r="C61" s="41" t="s">
        <v>95</v>
      </c>
      <c r="D61" s="40" t="s">
        <v>96</v>
      </c>
      <c r="E61" s="24">
        <v>30000000</v>
      </c>
      <c r="F61" s="39">
        <v>44154</v>
      </c>
      <c r="G61" s="24">
        <v>29285714</v>
      </c>
      <c r="H61" s="23">
        <v>5.0000000000000001E-3</v>
      </c>
      <c r="I61" s="39">
        <v>44228</v>
      </c>
      <c r="J61" s="39">
        <v>44243</v>
      </c>
      <c r="K61" s="24">
        <f t="shared" si="2"/>
        <v>16</v>
      </c>
      <c r="L61" s="24">
        <f t="shared" si="3"/>
        <v>6419</v>
      </c>
      <c r="M61" s="24">
        <v>28928571</v>
      </c>
    </row>
    <row r="62" spans="1:13" s="80" customFormat="1" ht="13.5" outlineLevel="2">
      <c r="A62" s="39" t="s">
        <v>78</v>
      </c>
      <c r="B62" s="40" t="s">
        <v>44</v>
      </c>
      <c r="C62" s="41" t="s">
        <v>95</v>
      </c>
      <c r="D62" s="40"/>
      <c r="E62" s="24"/>
      <c r="F62" s="39"/>
      <c r="G62" s="24">
        <v>28928571</v>
      </c>
      <c r="H62" s="23">
        <v>5.0000000000000001E-3</v>
      </c>
      <c r="I62" s="39">
        <v>44244</v>
      </c>
      <c r="J62" s="39">
        <v>44255</v>
      </c>
      <c r="K62" s="24">
        <f t="shared" si="2"/>
        <v>12</v>
      </c>
      <c r="L62" s="24">
        <f t="shared" si="3"/>
        <v>4755</v>
      </c>
      <c r="M62" s="24"/>
    </row>
    <row r="63" spans="1:13" s="80" customFormat="1" ht="13.5" outlineLevel="2">
      <c r="A63" s="39" t="s">
        <v>78</v>
      </c>
      <c r="B63" s="40" t="s">
        <v>47</v>
      </c>
      <c r="C63" s="41" t="s">
        <v>81</v>
      </c>
      <c r="D63" s="40" t="s">
        <v>82</v>
      </c>
      <c r="E63" s="24">
        <v>3490000</v>
      </c>
      <c r="F63" s="39">
        <v>44138</v>
      </c>
      <c r="G63" s="24">
        <v>3363090</v>
      </c>
      <c r="H63" s="23">
        <v>5.0000000000000001E-3</v>
      </c>
      <c r="I63" s="39">
        <v>44228</v>
      </c>
      <c r="J63" s="39">
        <v>44243</v>
      </c>
      <c r="K63" s="24">
        <f t="shared" si="2"/>
        <v>16</v>
      </c>
      <c r="L63" s="24">
        <f t="shared" si="3"/>
        <v>737</v>
      </c>
      <c r="M63" s="24">
        <v>3299635</v>
      </c>
    </row>
    <row r="64" spans="1:13" s="80" customFormat="1" ht="13.5" outlineLevel="2">
      <c r="A64" s="39" t="s">
        <v>78</v>
      </c>
      <c r="B64" s="40" t="s">
        <v>47</v>
      </c>
      <c r="C64" s="41" t="s">
        <v>81</v>
      </c>
      <c r="D64" s="40"/>
      <c r="E64" s="24"/>
      <c r="F64" s="39"/>
      <c r="G64" s="24">
        <v>3299635</v>
      </c>
      <c r="H64" s="23">
        <v>5.0000000000000001E-3</v>
      </c>
      <c r="I64" s="39">
        <v>44244</v>
      </c>
      <c r="J64" s="39">
        <v>44255</v>
      </c>
      <c r="K64" s="24">
        <f t="shared" si="2"/>
        <v>12</v>
      </c>
      <c r="L64" s="24">
        <f t="shared" si="3"/>
        <v>542</v>
      </c>
      <c r="M64" s="24"/>
    </row>
    <row r="65" spans="1:13" s="80" customFormat="1" ht="13.5" outlineLevel="2">
      <c r="A65" s="39" t="s">
        <v>78</v>
      </c>
      <c r="B65" s="40" t="s">
        <v>50</v>
      </c>
      <c r="C65" s="41" t="s">
        <v>81</v>
      </c>
      <c r="D65" s="40" t="s">
        <v>82</v>
      </c>
      <c r="E65" s="24">
        <v>1970000</v>
      </c>
      <c r="F65" s="39">
        <v>44147</v>
      </c>
      <c r="G65" s="24">
        <v>1898362</v>
      </c>
      <c r="H65" s="23">
        <v>5.0000000000000001E-3</v>
      </c>
      <c r="I65" s="39">
        <v>44228</v>
      </c>
      <c r="J65" s="39">
        <v>44243</v>
      </c>
      <c r="K65" s="24">
        <f t="shared" si="2"/>
        <v>16</v>
      </c>
      <c r="L65" s="24">
        <f t="shared" si="3"/>
        <v>416</v>
      </c>
      <c r="M65" s="24">
        <v>1862543</v>
      </c>
    </row>
    <row r="66" spans="1:13" s="80" customFormat="1" ht="13.5" outlineLevel="2">
      <c r="A66" s="39" t="s">
        <v>78</v>
      </c>
      <c r="B66" s="40" t="s">
        <v>50</v>
      </c>
      <c r="C66" s="41" t="s">
        <v>81</v>
      </c>
      <c r="D66" s="40"/>
      <c r="E66" s="24"/>
      <c r="F66" s="39"/>
      <c r="G66" s="24">
        <v>1862543</v>
      </c>
      <c r="H66" s="23">
        <v>5.0000000000000001E-3</v>
      </c>
      <c r="I66" s="39">
        <v>44244</v>
      </c>
      <c r="J66" s="39">
        <v>44255</v>
      </c>
      <c r="K66" s="24">
        <f t="shared" si="2"/>
        <v>12</v>
      </c>
      <c r="L66" s="24">
        <f t="shared" si="3"/>
        <v>306</v>
      </c>
      <c r="M66" s="24"/>
    </row>
    <row r="67" spans="1:13" s="80" customFormat="1" ht="13.5" outlineLevel="2">
      <c r="A67" s="39" t="s">
        <v>78</v>
      </c>
      <c r="B67" s="40" t="s">
        <v>51</v>
      </c>
      <c r="C67" s="41" t="s">
        <v>93</v>
      </c>
      <c r="D67" s="40" t="s">
        <v>94</v>
      </c>
      <c r="E67" s="24">
        <v>20979731</v>
      </c>
      <c r="F67" s="39">
        <v>44167</v>
      </c>
      <c r="G67" s="24">
        <v>20979731</v>
      </c>
      <c r="H67" s="23">
        <v>5.0000000000000001E-3</v>
      </c>
      <c r="I67" s="39">
        <v>44228</v>
      </c>
      <c r="J67" s="39">
        <v>44255</v>
      </c>
      <c r="K67" s="24">
        <f t="shared" si="2"/>
        <v>28</v>
      </c>
      <c r="L67" s="24">
        <f t="shared" si="3"/>
        <v>8047</v>
      </c>
      <c r="M67" s="24">
        <v>20979731</v>
      </c>
    </row>
    <row r="68" spans="1:13" s="80" customFormat="1" ht="13.5" outlineLevel="2">
      <c r="A68" s="39" t="s">
        <v>78</v>
      </c>
      <c r="B68" s="40" t="s">
        <v>52</v>
      </c>
      <c r="C68" s="41" t="s">
        <v>93</v>
      </c>
      <c r="D68" s="40" t="s">
        <v>94</v>
      </c>
      <c r="E68" s="24">
        <v>15036832</v>
      </c>
      <c r="F68" s="39">
        <v>44181</v>
      </c>
      <c r="G68" s="24">
        <v>15036832</v>
      </c>
      <c r="H68" s="23">
        <v>5.0000000000000001E-3</v>
      </c>
      <c r="I68" s="39">
        <v>44228</v>
      </c>
      <c r="J68" s="39">
        <v>44255</v>
      </c>
      <c r="K68" s="24">
        <f t="shared" si="2"/>
        <v>28</v>
      </c>
      <c r="L68" s="24">
        <f t="shared" si="3"/>
        <v>5768</v>
      </c>
      <c r="M68" s="24">
        <v>15036832</v>
      </c>
    </row>
    <row r="69" spans="1:13" s="80" customFormat="1" ht="13.5" outlineLevel="2">
      <c r="A69" s="39" t="s">
        <v>78</v>
      </c>
      <c r="B69" s="40" t="s">
        <v>53</v>
      </c>
      <c r="C69" s="41" t="s">
        <v>93</v>
      </c>
      <c r="D69" s="40" t="s">
        <v>94</v>
      </c>
      <c r="E69" s="24">
        <v>2070415</v>
      </c>
      <c r="F69" s="39">
        <v>44193</v>
      </c>
      <c r="G69" s="24">
        <v>2070415</v>
      </c>
      <c r="H69" s="23">
        <v>5.0000000000000001E-3</v>
      </c>
      <c r="I69" s="39">
        <v>44228</v>
      </c>
      <c r="J69" s="39">
        <v>44255</v>
      </c>
      <c r="K69" s="24">
        <f t="shared" si="2"/>
        <v>28</v>
      </c>
      <c r="L69" s="24">
        <f t="shared" si="3"/>
        <v>794</v>
      </c>
      <c r="M69" s="24">
        <v>2070415</v>
      </c>
    </row>
    <row r="70" spans="1:13" s="80" customFormat="1" ht="13.5" outlineLevel="2">
      <c r="A70" s="39" t="s">
        <v>78</v>
      </c>
      <c r="B70" s="40" t="s">
        <v>54</v>
      </c>
      <c r="C70" s="41" t="s">
        <v>55</v>
      </c>
      <c r="D70" s="40" t="s">
        <v>56</v>
      </c>
      <c r="E70" s="24">
        <v>23500000</v>
      </c>
      <c r="F70" s="39">
        <v>43928</v>
      </c>
      <c r="G70" s="24">
        <v>20702370</v>
      </c>
      <c r="H70" s="23">
        <v>5.0000000000000001E-3</v>
      </c>
      <c r="I70" s="39">
        <v>44228</v>
      </c>
      <c r="J70" s="39">
        <v>44243</v>
      </c>
      <c r="K70" s="24">
        <f t="shared" si="2"/>
        <v>16</v>
      </c>
      <c r="L70" s="24">
        <f t="shared" si="3"/>
        <v>4538</v>
      </c>
      <c r="M70" s="24">
        <v>20422607</v>
      </c>
    </row>
    <row r="71" spans="1:13" s="80" customFormat="1" ht="13.5" outlineLevel="2">
      <c r="A71" s="39" t="s">
        <v>78</v>
      </c>
      <c r="B71" s="40" t="s">
        <v>54</v>
      </c>
      <c r="C71" s="41" t="s">
        <v>55</v>
      </c>
      <c r="D71" s="40"/>
      <c r="E71" s="24"/>
      <c r="F71" s="39"/>
      <c r="G71" s="24">
        <v>20422607</v>
      </c>
      <c r="H71" s="23">
        <v>5.0000000000000001E-3</v>
      </c>
      <c r="I71" s="39">
        <v>44244</v>
      </c>
      <c r="J71" s="39">
        <v>44255</v>
      </c>
      <c r="K71" s="24">
        <f t="shared" si="2"/>
        <v>12</v>
      </c>
      <c r="L71" s="24">
        <f t="shared" si="3"/>
        <v>3357</v>
      </c>
      <c r="M71" s="24"/>
    </row>
    <row r="72" spans="1:13" s="80" customFormat="1" ht="13.5" outlineLevel="2">
      <c r="A72" s="39" t="s">
        <v>78</v>
      </c>
      <c r="B72" s="40" t="s">
        <v>57</v>
      </c>
      <c r="C72" s="41" t="s">
        <v>83</v>
      </c>
      <c r="D72" s="40" t="s">
        <v>84</v>
      </c>
      <c r="E72" s="24">
        <v>125000000</v>
      </c>
      <c r="F72" s="39">
        <v>44189</v>
      </c>
      <c r="G72" s="24">
        <v>125000000</v>
      </c>
      <c r="H72" s="23">
        <v>5.0000000000000001E-3</v>
      </c>
      <c r="I72" s="39">
        <v>44228</v>
      </c>
      <c r="J72" s="39">
        <v>44255</v>
      </c>
      <c r="K72" s="24">
        <f t="shared" si="2"/>
        <v>28</v>
      </c>
      <c r="L72" s="24">
        <f t="shared" si="3"/>
        <v>47945</v>
      </c>
      <c r="M72" s="24">
        <v>125000000</v>
      </c>
    </row>
    <row r="73" spans="1:13" s="80" customFormat="1" ht="13.5" outlineLevel="2">
      <c r="A73" s="39" t="s">
        <v>78</v>
      </c>
      <c r="B73" s="40" t="s">
        <v>58</v>
      </c>
      <c r="C73" s="41" t="s">
        <v>97</v>
      </c>
      <c r="D73" s="40" t="s">
        <v>98</v>
      </c>
      <c r="E73" s="24">
        <v>51800000</v>
      </c>
      <c r="F73" s="39">
        <v>44180</v>
      </c>
      <c r="G73" s="24">
        <v>51800000</v>
      </c>
      <c r="H73" s="23">
        <v>5.0000000000000001E-3</v>
      </c>
      <c r="I73" s="39">
        <v>44228</v>
      </c>
      <c r="J73" s="39">
        <v>44255</v>
      </c>
      <c r="K73" s="24">
        <f t="shared" si="2"/>
        <v>28</v>
      </c>
      <c r="L73" s="24">
        <f t="shared" si="3"/>
        <v>19868</v>
      </c>
      <c r="M73" s="24">
        <v>51800000</v>
      </c>
    </row>
    <row r="74" spans="1:13" s="80" customFormat="1" ht="13.5" outlineLevel="2">
      <c r="A74" s="39" t="s">
        <v>78</v>
      </c>
      <c r="B74" s="40" t="s">
        <v>99</v>
      </c>
      <c r="C74" s="41" t="s">
        <v>91</v>
      </c>
      <c r="D74" s="40" t="s">
        <v>92</v>
      </c>
      <c r="E74" s="24">
        <v>25000000</v>
      </c>
      <c r="F74" s="39">
        <v>44180</v>
      </c>
      <c r="G74" s="24">
        <v>25000000</v>
      </c>
      <c r="H74" s="23">
        <v>5.0000000000000001E-3</v>
      </c>
      <c r="I74" s="39">
        <v>44228</v>
      </c>
      <c r="J74" s="39">
        <v>44255</v>
      </c>
      <c r="K74" s="24">
        <f t="shared" ref="K74:K105" si="4">J74-I74+1</f>
        <v>28</v>
      </c>
      <c r="L74" s="24">
        <f t="shared" ref="L74:L105" si="5">ROUND(G74*H74*K74/365,0)</f>
        <v>9589</v>
      </c>
      <c r="M74" s="24">
        <v>25000000</v>
      </c>
    </row>
    <row r="75" spans="1:13" s="80" customFormat="1" ht="13.5" outlineLevel="2">
      <c r="A75" s="39" t="s">
        <v>78</v>
      </c>
      <c r="B75" s="40" t="s">
        <v>100</v>
      </c>
      <c r="C75" s="41" t="s">
        <v>91</v>
      </c>
      <c r="D75" s="40" t="s">
        <v>92</v>
      </c>
      <c r="E75" s="24">
        <v>44000000</v>
      </c>
      <c r="F75" s="39">
        <v>44180</v>
      </c>
      <c r="G75" s="24">
        <v>44000000</v>
      </c>
      <c r="H75" s="23">
        <v>5.0000000000000001E-3</v>
      </c>
      <c r="I75" s="39">
        <v>44228</v>
      </c>
      <c r="J75" s="39">
        <v>44255</v>
      </c>
      <c r="K75" s="24">
        <f t="shared" si="4"/>
        <v>28</v>
      </c>
      <c r="L75" s="24">
        <f t="shared" si="5"/>
        <v>16877</v>
      </c>
      <c r="M75" s="24">
        <v>44000000</v>
      </c>
    </row>
    <row r="76" spans="1:13" s="80" customFormat="1" ht="13.5" outlineLevel="2">
      <c r="A76" s="39" t="s">
        <v>78</v>
      </c>
      <c r="B76" s="40" t="s">
        <v>101</v>
      </c>
      <c r="C76" s="41" t="s">
        <v>95</v>
      </c>
      <c r="D76" s="40" t="s">
        <v>96</v>
      </c>
      <c r="E76" s="24">
        <v>129650000</v>
      </c>
      <c r="F76" s="39">
        <v>44195</v>
      </c>
      <c r="G76" s="24">
        <v>129650000</v>
      </c>
      <c r="H76" s="23">
        <v>5.0000000000000001E-3</v>
      </c>
      <c r="I76" s="39">
        <v>44228</v>
      </c>
      <c r="J76" s="39">
        <v>44255</v>
      </c>
      <c r="K76" s="24">
        <f t="shared" si="4"/>
        <v>28</v>
      </c>
      <c r="L76" s="24">
        <f t="shared" si="5"/>
        <v>49729</v>
      </c>
      <c r="M76" s="24">
        <v>129650000</v>
      </c>
    </row>
    <row r="77" spans="1:13" s="80" customFormat="1" ht="13.5" outlineLevel="2">
      <c r="A77" s="39" t="s">
        <v>78</v>
      </c>
      <c r="B77" s="40" t="s">
        <v>102</v>
      </c>
      <c r="C77" s="41" t="s">
        <v>95</v>
      </c>
      <c r="D77" s="40" t="s">
        <v>96</v>
      </c>
      <c r="E77" s="24">
        <v>12000000</v>
      </c>
      <c r="F77" s="39">
        <v>44195</v>
      </c>
      <c r="G77" s="24">
        <v>11855421</v>
      </c>
      <c r="H77" s="23">
        <v>5.0000000000000001E-3</v>
      </c>
      <c r="I77" s="39">
        <v>44228</v>
      </c>
      <c r="J77" s="39">
        <v>44243</v>
      </c>
      <c r="K77" s="24">
        <f t="shared" si="4"/>
        <v>16</v>
      </c>
      <c r="L77" s="24">
        <f t="shared" si="5"/>
        <v>2598</v>
      </c>
      <c r="M77" s="24">
        <v>11710842</v>
      </c>
    </row>
    <row r="78" spans="1:13" s="80" customFormat="1" ht="13.5" outlineLevel="2">
      <c r="A78" s="39" t="s">
        <v>78</v>
      </c>
      <c r="B78" s="40" t="s">
        <v>102</v>
      </c>
      <c r="C78" s="41" t="s">
        <v>95</v>
      </c>
      <c r="D78" s="40"/>
      <c r="E78" s="24"/>
      <c r="F78" s="39"/>
      <c r="G78" s="24">
        <v>11710842</v>
      </c>
      <c r="H78" s="23">
        <v>5.0000000000000001E-3</v>
      </c>
      <c r="I78" s="39">
        <v>44244</v>
      </c>
      <c r="J78" s="39">
        <v>44255</v>
      </c>
      <c r="K78" s="24">
        <f t="shared" si="4"/>
        <v>12</v>
      </c>
      <c r="L78" s="24">
        <f t="shared" si="5"/>
        <v>1925</v>
      </c>
      <c r="M78" s="24"/>
    </row>
    <row r="79" spans="1:13" s="80" customFormat="1" ht="13.5" outlineLevel="2">
      <c r="A79" s="39" t="s">
        <v>78</v>
      </c>
      <c r="B79" s="40" t="s">
        <v>103</v>
      </c>
      <c r="C79" s="41" t="s">
        <v>66</v>
      </c>
      <c r="D79" s="40" t="s">
        <v>67</v>
      </c>
      <c r="E79" s="24">
        <v>144000000</v>
      </c>
      <c r="F79" s="39">
        <v>44196</v>
      </c>
      <c r="G79" s="24">
        <v>144000000</v>
      </c>
      <c r="H79" s="23">
        <v>5.0000000000000001E-3</v>
      </c>
      <c r="I79" s="39">
        <v>44228</v>
      </c>
      <c r="J79" s="39">
        <v>44255</v>
      </c>
      <c r="K79" s="24">
        <f t="shared" si="4"/>
        <v>28</v>
      </c>
      <c r="L79" s="24">
        <f t="shared" si="5"/>
        <v>55233</v>
      </c>
      <c r="M79" s="24">
        <v>144000000</v>
      </c>
    </row>
    <row r="80" spans="1:13" s="80" customFormat="1" ht="13.5" outlineLevel="2">
      <c r="A80" s="39" t="s">
        <v>78</v>
      </c>
      <c r="B80" s="40" t="s">
        <v>104</v>
      </c>
      <c r="C80" s="41" t="s">
        <v>91</v>
      </c>
      <c r="D80" s="40" t="s">
        <v>92</v>
      </c>
      <c r="E80" s="24">
        <v>45000000</v>
      </c>
      <c r="F80" s="39">
        <v>44211</v>
      </c>
      <c r="G80" s="24">
        <v>45000000</v>
      </c>
      <c r="H80" s="23">
        <v>5.0000000000000001E-3</v>
      </c>
      <c r="I80" s="39">
        <v>44228</v>
      </c>
      <c r="J80" s="39">
        <v>44255</v>
      </c>
      <c r="K80" s="24">
        <f t="shared" si="4"/>
        <v>28</v>
      </c>
      <c r="L80" s="24">
        <f t="shared" si="5"/>
        <v>17260</v>
      </c>
      <c r="M80" s="24">
        <v>45000000</v>
      </c>
    </row>
    <row r="81" spans="1:13" s="80" customFormat="1" ht="13.5" outlineLevel="2">
      <c r="A81" s="39" t="s">
        <v>78</v>
      </c>
      <c r="B81" s="40" t="s">
        <v>105</v>
      </c>
      <c r="C81" s="41" t="s">
        <v>91</v>
      </c>
      <c r="D81" s="40" t="s">
        <v>92</v>
      </c>
      <c r="E81" s="24">
        <v>31000000</v>
      </c>
      <c r="F81" s="39">
        <v>44211</v>
      </c>
      <c r="G81" s="24">
        <v>31000000</v>
      </c>
      <c r="H81" s="23">
        <v>5.0000000000000001E-3</v>
      </c>
      <c r="I81" s="39">
        <v>44228</v>
      </c>
      <c r="J81" s="39">
        <v>44255</v>
      </c>
      <c r="K81" s="24">
        <f t="shared" si="4"/>
        <v>28</v>
      </c>
      <c r="L81" s="24">
        <f t="shared" si="5"/>
        <v>11890</v>
      </c>
      <c r="M81" s="24">
        <v>31000000</v>
      </c>
    </row>
    <row r="82" spans="1:13" s="80" customFormat="1" ht="13.5" outlineLevel="2">
      <c r="A82" s="39" t="s">
        <v>78</v>
      </c>
      <c r="B82" s="40" t="s">
        <v>106</v>
      </c>
      <c r="C82" s="41" t="s">
        <v>93</v>
      </c>
      <c r="D82" s="40" t="s">
        <v>94</v>
      </c>
      <c r="E82" s="24">
        <v>7174630</v>
      </c>
      <c r="F82" s="39">
        <v>44203</v>
      </c>
      <c r="G82" s="24">
        <v>7174630</v>
      </c>
      <c r="H82" s="23">
        <v>5.0000000000000001E-3</v>
      </c>
      <c r="I82" s="39">
        <v>44228</v>
      </c>
      <c r="J82" s="39">
        <v>44255</v>
      </c>
      <c r="K82" s="24">
        <f t="shared" si="4"/>
        <v>28</v>
      </c>
      <c r="L82" s="24">
        <f t="shared" si="5"/>
        <v>2752</v>
      </c>
      <c r="M82" s="24">
        <v>7174630</v>
      </c>
    </row>
    <row r="83" spans="1:13" s="80" customFormat="1" ht="13.5" outlineLevel="2">
      <c r="A83" s="39" t="s">
        <v>78</v>
      </c>
      <c r="B83" s="40" t="s">
        <v>59</v>
      </c>
      <c r="C83" s="41" t="s">
        <v>81</v>
      </c>
      <c r="D83" s="40" t="s">
        <v>82</v>
      </c>
      <c r="E83" s="24">
        <v>7000000</v>
      </c>
      <c r="F83" s="39">
        <v>44004</v>
      </c>
      <c r="G83" s="24">
        <v>6183331</v>
      </c>
      <c r="H83" s="23">
        <v>5.0000000000000001E-3</v>
      </c>
      <c r="I83" s="39">
        <v>44228</v>
      </c>
      <c r="J83" s="39">
        <v>44243</v>
      </c>
      <c r="K83" s="24">
        <f t="shared" si="4"/>
        <v>16</v>
      </c>
      <c r="L83" s="24">
        <f t="shared" si="5"/>
        <v>1355</v>
      </c>
      <c r="M83" s="24">
        <v>6066664</v>
      </c>
    </row>
    <row r="84" spans="1:13" s="80" customFormat="1" ht="13.5" outlineLevel="2">
      <c r="A84" s="39" t="s">
        <v>78</v>
      </c>
      <c r="B84" s="40" t="s">
        <v>59</v>
      </c>
      <c r="C84" s="41" t="s">
        <v>81</v>
      </c>
      <c r="D84" s="40"/>
      <c r="E84" s="24"/>
      <c r="F84" s="39"/>
      <c r="G84" s="24">
        <v>6066664</v>
      </c>
      <c r="H84" s="23">
        <v>5.0000000000000001E-3</v>
      </c>
      <c r="I84" s="39">
        <v>44244</v>
      </c>
      <c r="J84" s="39">
        <v>44255</v>
      </c>
      <c r="K84" s="24">
        <f t="shared" si="4"/>
        <v>12</v>
      </c>
      <c r="L84" s="24">
        <f t="shared" si="5"/>
        <v>997</v>
      </c>
      <c r="M84" s="24"/>
    </row>
    <row r="85" spans="1:13" s="80" customFormat="1" ht="13.5" outlineLevel="2">
      <c r="A85" s="39" t="s">
        <v>78</v>
      </c>
      <c r="B85" s="40" t="s">
        <v>136</v>
      </c>
      <c r="C85" s="41" t="s">
        <v>95</v>
      </c>
      <c r="D85" s="40" t="s">
        <v>96</v>
      </c>
      <c r="E85" s="24">
        <v>3650000</v>
      </c>
      <c r="F85" s="39">
        <v>44246</v>
      </c>
      <c r="G85" s="24">
        <v>3650000</v>
      </c>
      <c r="H85" s="23">
        <v>5.0000000000000001E-3</v>
      </c>
      <c r="I85" s="39">
        <v>44246</v>
      </c>
      <c r="J85" s="39">
        <v>44255</v>
      </c>
      <c r="K85" s="24">
        <f t="shared" si="4"/>
        <v>10</v>
      </c>
      <c r="L85" s="24">
        <f t="shared" si="5"/>
        <v>500</v>
      </c>
      <c r="M85" s="24">
        <v>3650000</v>
      </c>
    </row>
    <row r="86" spans="1:13" s="80" customFormat="1" ht="13.5" outlineLevel="2">
      <c r="A86" s="39" t="s">
        <v>78</v>
      </c>
      <c r="B86" s="40" t="s">
        <v>137</v>
      </c>
      <c r="C86" s="41" t="s">
        <v>93</v>
      </c>
      <c r="D86" s="40" t="s">
        <v>94</v>
      </c>
      <c r="E86" s="24">
        <v>1028354</v>
      </c>
      <c r="F86" s="39">
        <v>44236</v>
      </c>
      <c r="G86" s="24">
        <v>1028354</v>
      </c>
      <c r="H86" s="23">
        <v>5.0000000000000001E-3</v>
      </c>
      <c r="I86" s="39">
        <v>44236</v>
      </c>
      <c r="J86" s="39">
        <v>44255</v>
      </c>
      <c r="K86" s="24">
        <f t="shared" si="4"/>
        <v>20</v>
      </c>
      <c r="L86" s="24">
        <f t="shared" si="5"/>
        <v>282</v>
      </c>
      <c r="M86" s="24">
        <v>1028354</v>
      </c>
    </row>
    <row r="87" spans="1:13" s="80" customFormat="1" ht="13.5" outlineLevel="2">
      <c r="A87" s="39" t="s">
        <v>78</v>
      </c>
      <c r="B87" s="40" t="s">
        <v>138</v>
      </c>
      <c r="C87" s="41" t="s">
        <v>93</v>
      </c>
      <c r="D87" s="40" t="s">
        <v>94</v>
      </c>
      <c r="E87" s="24">
        <v>1983370</v>
      </c>
      <c r="F87" s="39">
        <v>44246</v>
      </c>
      <c r="G87" s="24">
        <v>1983370</v>
      </c>
      <c r="H87" s="23">
        <v>5.0000000000000001E-3</v>
      </c>
      <c r="I87" s="39">
        <v>44246</v>
      </c>
      <c r="J87" s="39">
        <v>44255</v>
      </c>
      <c r="K87" s="24">
        <f t="shared" si="4"/>
        <v>10</v>
      </c>
      <c r="L87" s="24">
        <f t="shared" si="5"/>
        <v>272</v>
      </c>
      <c r="M87" s="24">
        <v>1983370</v>
      </c>
    </row>
    <row r="88" spans="1:13" s="80" customFormat="1" ht="13.5" outlineLevel="2">
      <c r="A88" s="39" t="s">
        <v>78</v>
      </c>
      <c r="B88" s="40" t="s">
        <v>139</v>
      </c>
      <c r="C88" s="41" t="s">
        <v>306</v>
      </c>
      <c r="D88" s="40" t="s">
        <v>305</v>
      </c>
      <c r="E88" s="24">
        <v>10000000</v>
      </c>
      <c r="F88" s="39">
        <v>44252</v>
      </c>
      <c r="G88" s="24">
        <v>10000000</v>
      </c>
      <c r="H88" s="23">
        <v>5.0000000000000001E-3</v>
      </c>
      <c r="I88" s="39">
        <v>44252</v>
      </c>
      <c r="J88" s="39">
        <v>44255</v>
      </c>
      <c r="K88" s="24">
        <f t="shared" si="4"/>
        <v>4</v>
      </c>
      <c r="L88" s="24">
        <f t="shared" si="5"/>
        <v>548</v>
      </c>
      <c r="M88" s="24">
        <v>10000000</v>
      </c>
    </row>
    <row r="89" spans="1:13" s="80" customFormat="1" ht="13.5" outlineLevel="2">
      <c r="A89" s="39" t="s">
        <v>78</v>
      </c>
      <c r="B89" s="40" t="s">
        <v>140</v>
      </c>
      <c r="C89" s="41" t="s">
        <v>85</v>
      </c>
      <c r="D89" s="40" t="s">
        <v>86</v>
      </c>
      <c r="E89" s="24">
        <v>67620000</v>
      </c>
      <c r="F89" s="39">
        <v>44253</v>
      </c>
      <c r="G89" s="24">
        <v>67620000</v>
      </c>
      <c r="H89" s="23">
        <v>5.0000000000000001E-3</v>
      </c>
      <c r="I89" s="39">
        <v>44253</v>
      </c>
      <c r="J89" s="39">
        <v>44255</v>
      </c>
      <c r="K89" s="24">
        <f t="shared" si="4"/>
        <v>3</v>
      </c>
      <c r="L89" s="24">
        <f t="shared" si="5"/>
        <v>2779</v>
      </c>
      <c r="M89" s="24">
        <v>67620000</v>
      </c>
    </row>
    <row r="90" spans="1:13" s="80" customFormat="1" ht="13.5" outlineLevel="2">
      <c r="A90" s="39" t="s">
        <v>78</v>
      </c>
      <c r="B90" s="40" t="s">
        <v>62</v>
      </c>
      <c r="C90" s="41" t="s">
        <v>83</v>
      </c>
      <c r="D90" s="40" t="s">
        <v>84</v>
      </c>
      <c r="E90" s="24">
        <v>298410000</v>
      </c>
      <c r="F90" s="39">
        <v>44006</v>
      </c>
      <c r="G90" s="24">
        <v>298410000</v>
      </c>
      <c r="H90" s="23">
        <v>5.0000000000000001E-3</v>
      </c>
      <c r="I90" s="39">
        <v>44228</v>
      </c>
      <c r="J90" s="39">
        <v>44255</v>
      </c>
      <c r="K90" s="24">
        <f t="shared" si="4"/>
        <v>28</v>
      </c>
      <c r="L90" s="24">
        <f t="shared" si="5"/>
        <v>114459</v>
      </c>
      <c r="M90" s="24">
        <v>298410000</v>
      </c>
    </row>
    <row r="91" spans="1:13" s="80" customFormat="1" ht="13.5" outlineLevel="2">
      <c r="A91" s="39" t="s">
        <v>78</v>
      </c>
      <c r="B91" s="40" t="s">
        <v>63</v>
      </c>
      <c r="C91" s="41" t="s">
        <v>83</v>
      </c>
      <c r="D91" s="40" t="s">
        <v>84</v>
      </c>
      <c r="E91" s="24">
        <v>95370000</v>
      </c>
      <c r="F91" s="39">
        <v>44006</v>
      </c>
      <c r="G91" s="24">
        <v>95370000</v>
      </c>
      <c r="H91" s="23">
        <v>5.0000000000000001E-3</v>
      </c>
      <c r="I91" s="39">
        <v>44228</v>
      </c>
      <c r="J91" s="39">
        <v>44255</v>
      </c>
      <c r="K91" s="24">
        <f t="shared" si="4"/>
        <v>28</v>
      </c>
      <c r="L91" s="24">
        <f t="shared" si="5"/>
        <v>36580</v>
      </c>
      <c r="M91" s="24">
        <v>95370000</v>
      </c>
    </row>
    <row r="92" spans="1:13" s="80" customFormat="1" ht="13.5" outlineLevel="2">
      <c r="A92" s="39" t="s">
        <v>78</v>
      </c>
      <c r="B92" s="40" t="s">
        <v>64</v>
      </c>
      <c r="C92" s="41" t="s">
        <v>83</v>
      </c>
      <c r="D92" s="40" t="s">
        <v>84</v>
      </c>
      <c r="E92" s="24">
        <v>73910000</v>
      </c>
      <c r="F92" s="39">
        <v>44032</v>
      </c>
      <c r="G92" s="24">
        <v>73910000</v>
      </c>
      <c r="H92" s="23">
        <v>5.0000000000000001E-3</v>
      </c>
      <c r="I92" s="39">
        <v>44228</v>
      </c>
      <c r="J92" s="39">
        <v>44255</v>
      </c>
      <c r="K92" s="24">
        <f t="shared" si="4"/>
        <v>28</v>
      </c>
      <c r="L92" s="24">
        <f t="shared" si="5"/>
        <v>28349</v>
      </c>
      <c r="M92" s="24">
        <v>73910000</v>
      </c>
    </row>
    <row r="93" spans="1:13" s="80" customFormat="1" ht="13.5" outlineLevel="2">
      <c r="A93" s="39" t="s">
        <v>78</v>
      </c>
      <c r="B93" s="40" t="s">
        <v>65</v>
      </c>
      <c r="C93" s="41" t="s">
        <v>83</v>
      </c>
      <c r="D93" s="40" t="s">
        <v>84</v>
      </c>
      <c r="E93" s="24">
        <v>291200000</v>
      </c>
      <c r="F93" s="39">
        <v>44032</v>
      </c>
      <c r="G93" s="24">
        <v>291200000</v>
      </c>
      <c r="H93" s="23">
        <v>3.0000000000000001E-3</v>
      </c>
      <c r="I93" s="39">
        <v>44228</v>
      </c>
      <c r="J93" s="39">
        <v>44255</v>
      </c>
      <c r="K93" s="24">
        <f t="shared" si="4"/>
        <v>28</v>
      </c>
      <c r="L93" s="24">
        <f t="shared" si="5"/>
        <v>67016</v>
      </c>
      <c r="M93" s="24">
        <v>291200000</v>
      </c>
    </row>
    <row r="94" spans="1:13" s="80" customFormat="1" ht="13.5" outlineLevel="2">
      <c r="A94" s="39" t="s">
        <v>78</v>
      </c>
      <c r="B94" s="40" t="s">
        <v>68</v>
      </c>
      <c r="C94" s="41" t="s">
        <v>81</v>
      </c>
      <c r="D94" s="40" t="s">
        <v>82</v>
      </c>
      <c r="E94" s="24">
        <v>10000000</v>
      </c>
      <c r="F94" s="39">
        <v>44025</v>
      </c>
      <c r="G94" s="24">
        <v>8983048</v>
      </c>
      <c r="H94" s="23">
        <v>5.0000000000000001E-3</v>
      </c>
      <c r="I94" s="39">
        <v>44228</v>
      </c>
      <c r="J94" s="39">
        <v>44243</v>
      </c>
      <c r="K94" s="24">
        <f t="shared" si="4"/>
        <v>16</v>
      </c>
      <c r="L94" s="24">
        <f t="shared" si="5"/>
        <v>1969</v>
      </c>
      <c r="M94" s="24">
        <v>8813556</v>
      </c>
    </row>
    <row r="95" spans="1:13" s="80" customFormat="1" ht="13.5" outlineLevel="2">
      <c r="A95" s="39" t="s">
        <v>78</v>
      </c>
      <c r="B95" s="40" t="s">
        <v>68</v>
      </c>
      <c r="C95" s="41" t="s">
        <v>81</v>
      </c>
      <c r="D95" s="40"/>
      <c r="E95" s="24"/>
      <c r="F95" s="39"/>
      <c r="G95" s="24">
        <v>8813556</v>
      </c>
      <c r="H95" s="23">
        <v>5.0000000000000001E-3</v>
      </c>
      <c r="I95" s="39">
        <v>44244</v>
      </c>
      <c r="J95" s="39">
        <v>44255</v>
      </c>
      <c r="K95" s="24">
        <f t="shared" si="4"/>
        <v>12</v>
      </c>
      <c r="L95" s="24">
        <f t="shared" si="5"/>
        <v>1449</v>
      </c>
      <c r="M95" s="24"/>
    </row>
    <row r="96" spans="1:13" s="80" customFormat="1" ht="13.5" outlineLevel="1">
      <c r="A96" s="42" t="s">
        <v>107</v>
      </c>
      <c r="B96" s="43"/>
      <c r="C96" s="44"/>
      <c r="D96" s="43"/>
      <c r="E96" s="45">
        <f>SUBTOTAL(9,E42:E95)</f>
        <v>2615523720</v>
      </c>
      <c r="F96" s="46"/>
      <c r="G96" s="45"/>
      <c r="H96" s="47"/>
      <c r="I96" s="46"/>
      <c r="J96" s="46"/>
      <c r="K96" s="45"/>
      <c r="L96" s="45">
        <f>SUBTOTAL(9,L42:L95)</f>
        <v>926479</v>
      </c>
      <c r="M96" s="45">
        <f>SUBTOTAL(9,M42:M95)</f>
        <v>2603832380</v>
      </c>
    </row>
    <row r="97" spans="1:13" s="80" customFormat="1" ht="13.5" outlineLevel="2">
      <c r="A97" s="39" t="s">
        <v>108</v>
      </c>
      <c r="B97" s="40" t="s">
        <v>16</v>
      </c>
      <c r="C97" s="41" t="s">
        <v>109</v>
      </c>
      <c r="D97" s="40" t="s">
        <v>110</v>
      </c>
      <c r="E97" s="24">
        <v>81465386</v>
      </c>
      <c r="F97" s="39">
        <v>43900</v>
      </c>
      <c r="G97" s="24">
        <v>81465386</v>
      </c>
      <c r="H97" s="23">
        <v>5.0000000000000001E-3</v>
      </c>
      <c r="I97" s="39">
        <v>44228</v>
      </c>
      <c r="J97" s="39">
        <v>44255</v>
      </c>
      <c r="K97" s="24">
        <f t="shared" ref="K97:K128" si="6">J97-I97+1</f>
        <v>28</v>
      </c>
      <c r="L97" s="24">
        <f t="shared" ref="L97:L128" si="7">ROUND(G97*H97*K97/365,0)</f>
        <v>31247</v>
      </c>
      <c r="M97" s="24">
        <v>81465386</v>
      </c>
    </row>
    <row r="98" spans="1:13" s="80" customFormat="1" ht="13.5" outlineLevel="2">
      <c r="A98" s="39" t="s">
        <v>108</v>
      </c>
      <c r="B98" s="40" t="s">
        <v>19</v>
      </c>
      <c r="C98" s="41" t="s">
        <v>111</v>
      </c>
      <c r="D98" s="40" t="s">
        <v>112</v>
      </c>
      <c r="E98" s="24">
        <v>8860000</v>
      </c>
      <c r="F98" s="39">
        <v>43997</v>
      </c>
      <c r="G98" s="24">
        <v>8860000</v>
      </c>
      <c r="H98" s="23">
        <v>5.0000000000000001E-3</v>
      </c>
      <c r="I98" s="39">
        <v>44228</v>
      </c>
      <c r="J98" s="39">
        <v>44255</v>
      </c>
      <c r="K98" s="24">
        <f t="shared" si="6"/>
        <v>28</v>
      </c>
      <c r="L98" s="24">
        <f t="shared" si="7"/>
        <v>3398</v>
      </c>
      <c r="M98" s="24">
        <v>8860000</v>
      </c>
    </row>
    <row r="99" spans="1:13" s="80" customFormat="1" ht="13.5" outlineLevel="2">
      <c r="A99" s="39" t="s">
        <v>108</v>
      </c>
      <c r="B99" s="40" t="s">
        <v>22</v>
      </c>
      <c r="C99" s="41" t="s">
        <v>113</v>
      </c>
      <c r="D99" s="40" t="s">
        <v>114</v>
      </c>
      <c r="E99" s="24">
        <v>20390000</v>
      </c>
      <c r="F99" s="39">
        <v>43997</v>
      </c>
      <c r="G99" s="24">
        <v>18649394</v>
      </c>
      <c r="H99" s="23">
        <v>5.0000000000000001E-3</v>
      </c>
      <c r="I99" s="39">
        <v>44228</v>
      </c>
      <c r="J99" s="39">
        <v>44243</v>
      </c>
      <c r="K99" s="24">
        <f t="shared" si="6"/>
        <v>16</v>
      </c>
      <c r="L99" s="24">
        <f t="shared" si="7"/>
        <v>4088</v>
      </c>
      <c r="M99" s="24">
        <v>18400736</v>
      </c>
    </row>
    <row r="100" spans="1:13" s="80" customFormat="1" ht="13.5" outlineLevel="2">
      <c r="A100" s="39" t="s">
        <v>108</v>
      </c>
      <c r="B100" s="40" t="s">
        <v>22</v>
      </c>
      <c r="C100" s="41" t="s">
        <v>113</v>
      </c>
      <c r="D100" s="40"/>
      <c r="E100" s="24"/>
      <c r="F100" s="39"/>
      <c r="G100" s="24">
        <v>18400736</v>
      </c>
      <c r="H100" s="23">
        <v>5.0000000000000001E-3</v>
      </c>
      <c r="I100" s="39">
        <v>44244</v>
      </c>
      <c r="J100" s="39">
        <v>44255</v>
      </c>
      <c r="K100" s="24">
        <f t="shared" si="6"/>
        <v>12</v>
      </c>
      <c r="L100" s="24">
        <f t="shared" si="7"/>
        <v>3025</v>
      </c>
      <c r="M100" s="24"/>
    </row>
    <row r="101" spans="1:13" s="80" customFormat="1" ht="13.5" outlineLevel="2">
      <c r="A101" s="39" t="s">
        <v>108</v>
      </c>
      <c r="B101" s="40" t="s">
        <v>25</v>
      </c>
      <c r="C101" s="41" t="s">
        <v>113</v>
      </c>
      <c r="D101" s="40" t="s">
        <v>114</v>
      </c>
      <c r="E101" s="24">
        <v>69600000</v>
      </c>
      <c r="F101" s="39">
        <v>43997</v>
      </c>
      <c r="G101" s="24">
        <v>65540000</v>
      </c>
      <c r="H101" s="23">
        <v>5.0000000000000001E-3</v>
      </c>
      <c r="I101" s="39">
        <v>44228</v>
      </c>
      <c r="J101" s="39">
        <v>44243</v>
      </c>
      <c r="K101" s="24">
        <f t="shared" si="6"/>
        <v>16</v>
      </c>
      <c r="L101" s="24">
        <f t="shared" si="7"/>
        <v>14365</v>
      </c>
      <c r="M101" s="24">
        <v>64960000</v>
      </c>
    </row>
    <row r="102" spans="1:13" s="80" customFormat="1" ht="13.5" outlineLevel="2">
      <c r="A102" s="39" t="s">
        <v>108</v>
      </c>
      <c r="B102" s="40" t="s">
        <v>25</v>
      </c>
      <c r="C102" s="41" t="s">
        <v>113</v>
      </c>
      <c r="D102" s="40"/>
      <c r="E102" s="24"/>
      <c r="F102" s="39"/>
      <c r="G102" s="24">
        <v>64960000</v>
      </c>
      <c r="H102" s="23">
        <v>5.0000000000000001E-3</v>
      </c>
      <c r="I102" s="39">
        <v>44244</v>
      </c>
      <c r="J102" s="39">
        <v>44255</v>
      </c>
      <c r="K102" s="24">
        <f t="shared" si="6"/>
        <v>12</v>
      </c>
      <c r="L102" s="24">
        <f t="shared" si="7"/>
        <v>10678</v>
      </c>
      <c r="M102" s="24"/>
    </row>
    <row r="103" spans="1:13" s="80" customFormat="1" ht="13.5" outlineLevel="2">
      <c r="A103" s="39" t="s">
        <v>108</v>
      </c>
      <c r="B103" s="40" t="s">
        <v>26</v>
      </c>
      <c r="C103" s="41" t="s">
        <v>109</v>
      </c>
      <c r="D103" s="40" t="s">
        <v>110</v>
      </c>
      <c r="E103" s="24">
        <v>16630000</v>
      </c>
      <c r="F103" s="39">
        <v>44011</v>
      </c>
      <c r="G103" s="24">
        <v>16630000</v>
      </c>
      <c r="H103" s="23">
        <v>5.0000000000000001E-3</v>
      </c>
      <c r="I103" s="39">
        <v>44228</v>
      </c>
      <c r="J103" s="39">
        <v>44255</v>
      </c>
      <c r="K103" s="24">
        <f t="shared" si="6"/>
        <v>28</v>
      </c>
      <c r="L103" s="24">
        <f t="shared" si="7"/>
        <v>6379</v>
      </c>
      <c r="M103" s="24">
        <v>16630000</v>
      </c>
    </row>
    <row r="104" spans="1:13" s="80" customFormat="1" ht="13.5" outlineLevel="2">
      <c r="A104" s="39" t="s">
        <v>108</v>
      </c>
      <c r="B104" s="40" t="s">
        <v>29</v>
      </c>
      <c r="C104" s="41" t="s">
        <v>111</v>
      </c>
      <c r="D104" s="40" t="s">
        <v>112</v>
      </c>
      <c r="E104" s="24">
        <v>4650000</v>
      </c>
      <c r="F104" s="39">
        <v>44027</v>
      </c>
      <c r="G104" s="24">
        <v>4650000</v>
      </c>
      <c r="H104" s="23">
        <v>5.0000000000000001E-3</v>
      </c>
      <c r="I104" s="39">
        <v>44228</v>
      </c>
      <c r="J104" s="39">
        <v>44255</v>
      </c>
      <c r="K104" s="24">
        <f t="shared" si="6"/>
        <v>28</v>
      </c>
      <c r="L104" s="24">
        <f t="shared" si="7"/>
        <v>1784</v>
      </c>
      <c r="M104" s="24">
        <v>4650000</v>
      </c>
    </row>
    <row r="105" spans="1:13" s="80" customFormat="1" ht="13.5" outlineLevel="2">
      <c r="A105" s="39" t="s">
        <v>108</v>
      </c>
      <c r="B105" s="40" t="s">
        <v>32</v>
      </c>
      <c r="C105" s="41" t="s">
        <v>113</v>
      </c>
      <c r="D105" s="40" t="s">
        <v>114</v>
      </c>
      <c r="E105" s="24">
        <v>10860000</v>
      </c>
      <c r="F105" s="39">
        <v>44027</v>
      </c>
      <c r="G105" s="24">
        <v>10055556</v>
      </c>
      <c r="H105" s="23">
        <v>5.0000000000000001E-3</v>
      </c>
      <c r="I105" s="39">
        <v>44228</v>
      </c>
      <c r="J105" s="39">
        <v>44243</v>
      </c>
      <c r="K105" s="24">
        <f t="shared" si="6"/>
        <v>16</v>
      </c>
      <c r="L105" s="24">
        <f t="shared" si="7"/>
        <v>2204</v>
      </c>
      <c r="M105" s="24">
        <v>9921482</v>
      </c>
    </row>
    <row r="106" spans="1:13" s="80" customFormat="1" ht="13.5" outlineLevel="2">
      <c r="A106" s="39" t="s">
        <v>108</v>
      </c>
      <c r="B106" s="40" t="s">
        <v>32</v>
      </c>
      <c r="C106" s="41" t="s">
        <v>113</v>
      </c>
      <c r="D106" s="40"/>
      <c r="E106" s="24"/>
      <c r="F106" s="39"/>
      <c r="G106" s="24">
        <v>9921482</v>
      </c>
      <c r="H106" s="23">
        <v>5.0000000000000001E-3</v>
      </c>
      <c r="I106" s="39">
        <v>44244</v>
      </c>
      <c r="J106" s="39">
        <v>44255</v>
      </c>
      <c r="K106" s="24">
        <f t="shared" si="6"/>
        <v>12</v>
      </c>
      <c r="L106" s="24">
        <f t="shared" si="7"/>
        <v>1631</v>
      </c>
      <c r="M106" s="24"/>
    </row>
    <row r="107" spans="1:13" s="80" customFormat="1" ht="13.5" outlineLevel="2">
      <c r="A107" s="39" t="s">
        <v>108</v>
      </c>
      <c r="B107" s="40" t="s">
        <v>33</v>
      </c>
      <c r="C107" s="41" t="s">
        <v>113</v>
      </c>
      <c r="D107" s="40" t="s">
        <v>114</v>
      </c>
      <c r="E107" s="24">
        <v>11600000</v>
      </c>
      <c r="F107" s="39">
        <v>44027</v>
      </c>
      <c r="G107" s="24">
        <v>11015132</v>
      </c>
      <c r="H107" s="23">
        <v>5.0000000000000001E-3</v>
      </c>
      <c r="I107" s="39">
        <v>44228</v>
      </c>
      <c r="J107" s="39">
        <v>44243</v>
      </c>
      <c r="K107" s="24">
        <f t="shared" si="6"/>
        <v>16</v>
      </c>
      <c r="L107" s="24">
        <f t="shared" si="7"/>
        <v>2414</v>
      </c>
      <c r="M107" s="24">
        <v>10917654</v>
      </c>
    </row>
    <row r="108" spans="1:13" s="80" customFormat="1" ht="13.5" outlineLevel="2">
      <c r="A108" s="39" t="s">
        <v>108</v>
      </c>
      <c r="B108" s="40" t="s">
        <v>33</v>
      </c>
      <c r="C108" s="41" t="s">
        <v>113</v>
      </c>
      <c r="D108" s="40"/>
      <c r="E108" s="24"/>
      <c r="F108" s="39"/>
      <c r="G108" s="24">
        <v>10917654</v>
      </c>
      <c r="H108" s="23">
        <v>5.0000000000000001E-3</v>
      </c>
      <c r="I108" s="39">
        <v>44244</v>
      </c>
      <c r="J108" s="39">
        <v>44255</v>
      </c>
      <c r="K108" s="24">
        <f t="shared" si="6"/>
        <v>12</v>
      </c>
      <c r="L108" s="24">
        <f t="shared" si="7"/>
        <v>1795</v>
      </c>
      <c r="M108" s="24"/>
    </row>
    <row r="109" spans="1:13" s="80" customFormat="1" ht="13.5" outlineLevel="2">
      <c r="A109" s="39" t="s">
        <v>108</v>
      </c>
      <c r="B109" s="40" t="s">
        <v>34</v>
      </c>
      <c r="C109" s="41" t="s">
        <v>23</v>
      </c>
      <c r="D109" s="40" t="s">
        <v>24</v>
      </c>
      <c r="E109" s="24">
        <v>18700000</v>
      </c>
      <c r="F109" s="39">
        <v>44032</v>
      </c>
      <c r="G109" s="24">
        <v>18700000</v>
      </c>
      <c r="H109" s="23">
        <v>5.0000000000000001E-3</v>
      </c>
      <c r="I109" s="39">
        <v>44228</v>
      </c>
      <c r="J109" s="39">
        <v>44255</v>
      </c>
      <c r="K109" s="24">
        <f t="shared" si="6"/>
        <v>28</v>
      </c>
      <c r="L109" s="24">
        <f t="shared" si="7"/>
        <v>7173</v>
      </c>
      <c r="M109" s="24">
        <v>18700000</v>
      </c>
    </row>
    <row r="110" spans="1:13" s="80" customFormat="1" ht="13.5" outlineLevel="2">
      <c r="A110" s="39" t="s">
        <v>108</v>
      </c>
      <c r="B110" s="40" t="s">
        <v>35</v>
      </c>
      <c r="C110" s="41" t="s">
        <v>111</v>
      </c>
      <c r="D110" s="40" t="s">
        <v>112</v>
      </c>
      <c r="E110" s="24">
        <v>2950000</v>
      </c>
      <c r="F110" s="39">
        <v>44060</v>
      </c>
      <c r="G110" s="24">
        <v>2950000</v>
      </c>
      <c r="H110" s="23">
        <v>5.0000000000000001E-3</v>
      </c>
      <c r="I110" s="39">
        <v>44228</v>
      </c>
      <c r="J110" s="39">
        <v>44255</v>
      </c>
      <c r="K110" s="24">
        <f t="shared" si="6"/>
        <v>28</v>
      </c>
      <c r="L110" s="24">
        <f t="shared" si="7"/>
        <v>1132</v>
      </c>
      <c r="M110" s="24">
        <v>2950000</v>
      </c>
    </row>
    <row r="111" spans="1:13" s="80" customFormat="1" ht="13.5" outlineLevel="2">
      <c r="A111" s="39" t="s">
        <v>108</v>
      </c>
      <c r="B111" s="40" t="s">
        <v>36</v>
      </c>
      <c r="C111" s="41" t="s">
        <v>109</v>
      </c>
      <c r="D111" s="40" t="s">
        <v>110</v>
      </c>
      <c r="E111" s="24">
        <v>15120000</v>
      </c>
      <c r="F111" s="39">
        <v>44091</v>
      </c>
      <c r="G111" s="24">
        <v>15120000</v>
      </c>
      <c r="H111" s="23">
        <v>5.0000000000000001E-3</v>
      </c>
      <c r="I111" s="39">
        <v>44228</v>
      </c>
      <c r="J111" s="39">
        <v>44255</v>
      </c>
      <c r="K111" s="24">
        <f t="shared" si="6"/>
        <v>28</v>
      </c>
      <c r="L111" s="24">
        <f t="shared" si="7"/>
        <v>5799</v>
      </c>
      <c r="M111" s="24">
        <v>15120000</v>
      </c>
    </row>
    <row r="112" spans="1:13" s="80" customFormat="1" ht="13.5" outlineLevel="2">
      <c r="A112" s="39" t="s">
        <v>108</v>
      </c>
      <c r="B112" s="40" t="s">
        <v>39</v>
      </c>
      <c r="C112" s="41" t="s">
        <v>111</v>
      </c>
      <c r="D112" s="40" t="s">
        <v>112</v>
      </c>
      <c r="E112" s="24">
        <v>6200000</v>
      </c>
      <c r="F112" s="39">
        <v>43929</v>
      </c>
      <c r="G112" s="24">
        <v>6200000</v>
      </c>
      <c r="H112" s="23">
        <v>5.0000000000000001E-3</v>
      </c>
      <c r="I112" s="39">
        <v>44228</v>
      </c>
      <c r="J112" s="39">
        <v>44255</v>
      </c>
      <c r="K112" s="24">
        <f t="shared" si="6"/>
        <v>28</v>
      </c>
      <c r="L112" s="24">
        <f t="shared" si="7"/>
        <v>2378</v>
      </c>
      <c r="M112" s="24">
        <v>6200000</v>
      </c>
    </row>
    <row r="113" spans="1:13" s="80" customFormat="1" ht="13.5" outlineLevel="2">
      <c r="A113" s="39" t="s">
        <v>108</v>
      </c>
      <c r="B113" s="40" t="s">
        <v>40</v>
      </c>
      <c r="C113" s="41" t="s">
        <v>27</v>
      </c>
      <c r="D113" s="40" t="s">
        <v>28</v>
      </c>
      <c r="E113" s="24">
        <v>10000000</v>
      </c>
      <c r="F113" s="39">
        <v>44111</v>
      </c>
      <c r="G113" s="24">
        <v>9333336</v>
      </c>
      <c r="H113" s="23">
        <v>5.0000000000000001E-3</v>
      </c>
      <c r="I113" s="39">
        <v>44228</v>
      </c>
      <c r="J113" s="39">
        <v>44243</v>
      </c>
      <c r="K113" s="24">
        <f t="shared" si="6"/>
        <v>16</v>
      </c>
      <c r="L113" s="24">
        <f t="shared" si="7"/>
        <v>2046</v>
      </c>
      <c r="M113" s="24">
        <v>9166670</v>
      </c>
    </row>
    <row r="114" spans="1:13" s="80" customFormat="1" ht="13.5" outlineLevel="2">
      <c r="A114" s="39" t="s">
        <v>108</v>
      </c>
      <c r="B114" s="40" t="s">
        <v>40</v>
      </c>
      <c r="C114" s="41" t="s">
        <v>27</v>
      </c>
      <c r="D114" s="40"/>
      <c r="E114" s="24"/>
      <c r="F114" s="39"/>
      <c r="G114" s="24">
        <v>9166670</v>
      </c>
      <c r="H114" s="23">
        <v>5.0000000000000001E-3</v>
      </c>
      <c r="I114" s="39">
        <v>44244</v>
      </c>
      <c r="J114" s="39">
        <v>44255</v>
      </c>
      <c r="K114" s="24">
        <f t="shared" si="6"/>
        <v>12</v>
      </c>
      <c r="L114" s="24">
        <f t="shared" si="7"/>
        <v>1507</v>
      </c>
      <c r="M114" s="24"/>
    </row>
    <row r="115" spans="1:13" s="80" customFormat="1" ht="13.5" outlineLevel="2">
      <c r="A115" s="39" t="s">
        <v>108</v>
      </c>
      <c r="B115" s="40" t="s">
        <v>41</v>
      </c>
      <c r="C115" s="41" t="s">
        <v>27</v>
      </c>
      <c r="D115" s="40" t="s">
        <v>28</v>
      </c>
      <c r="E115" s="24">
        <v>24450000</v>
      </c>
      <c r="F115" s="39">
        <v>44120</v>
      </c>
      <c r="G115" s="24">
        <v>23206782</v>
      </c>
      <c r="H115" s="23">
        <v>5.0000000000000001E-3</v>
      </c>
      <c r="I115" s="39">
        <v>44228</v>
      </c>
      <c r="J115" s="39">
        <v>44243</v>
      </c>
      <c r="K115" s="24">
        <f t="shared" si="6"/>
        <v>16</v>
      </c>
      <c r="L115" s="24">
        <f t="shared" si="7"/>
        <v>5086</v>
      </c>
      <c r="M115" s="24">
        <v>22792376</v>
      </c>
    </row>
    <row r="116" spans="1:13" s="80" customFormat="1" ht="13.5" outlineLevel="2">
      <c r="A116" s="39" t="s">
        <v>108</v>
      </c>
      <c r="B116" s="40" t="s">
        <v>41</v>
      </c>
      <c r="C116" s="41" t="s">
        <v>27</v>
      </c>
      <c r="D116" s="40"/>
      <c r="E116" s="24"/>
      <c r="F116" s="39"/>
      <c r="G116" s="24">
        <v>22792376</v>
      </c>
      <c r="H116" s="23">
        <v>5.0000000000000001E-3</v>
      </c>
      <c r="I116" s="39">
        <v>44244</v>
      </c>
      <c r="J116" s="39">
        <v>44255</v>
      </c>
      <c r="K116" s="24">
        <f t="shared" si="6"/>
        <v>12</v>
      </c>
      <c r="L116" s="24">
        <f t="shared" si="7"/>
        <v>3747</v>
      </c>
      <c r="M116" s="24"/>
    </row>
    <row r="117" spans="1:13" s="80" customFormat="1" ht="13.5" outlineLevel="2">
      <c r="A117" s="39" t="s">
        <v>108</v>
      </c>
      <c r="B117" s="40" t="s">
        <v>42</v>
      </c>
      <c r="C117" s="41" t="s">
        <v>23</v>
      </c>
      <c r="D117" s="40" t="s">
        <v>24</v>
      </c>
      <c r="E117" s="24">
        <v>26100000</v>
      </c>
      <c r="F117" s="39">
        <v>44124</v>
      </c>
      <c r="G117" s="24">
        <v>26100000</v>
      </c>
      <c r="H117" s="23">
        <v>5.0000000000000001E-3</v>
      </c>
      <c r="I117" s="39">
        <v>44228</v>
      </c>
      <c r="J117" s="39">
        <v>44255</v>
      </c>
      <c r="K117" s="24">
        <f t="shared" si="6"/>
        <v>28</v>
      </c>
      <c r="L117" s="24">
        <f t="shared" si="7"/>
        <v>10011</v>
      </c>
      <c r="M117" s="24">
        <v>26100000</v>
      </c>
    </row>
    <row r="118" spans="1:13" s="80" customFormat="1" ht="13.5" outlineLevel="2">
      <c r="A118" s="39" t="s">
        <v>108</v>
      </c>
      <c r="B118" s="40" t="s">
        <v>43</v>
      </c>
      <c r="C118" s="41" t="s">
        <v>27</v>
      </c>
      <c r="D118" s="40" t="s">
        <v>28</v>
      </c>
      <c r="E118" s="24">
        <v>25800000</v>
      </c>
      <c r="F118" s="39">
        <v>44137</v>
      </c>
      <c r="G118" s="24">
        <v>24488136</v>
      </c>
      <c r="H118" s="23">
        <v>5.0000000000000001E-3</v>
      </c>
      <c r="I118" s="39">
        <v>44228</v>
      </c>
      <c r="J118" s="39">
        <v>44243</v>
      </c>
      <c r="K118" s="24">
        <f t="shared" si="6"/>
        <v>16</v>
      </c>
      <c r="L118" s="24">
        <f t="shared" si="7"/>
        <v>5367</v>
      </c>
      <c r="M118" s="24">
        <v>24050848</v>
      </c>
    </row>
    <row r="119" spans="1:13" s="80" customFormat="1" ht="13.5" outlineLevel="2">
      <c r="A119" s="39" t="s">
        <v>108</v>
      </c>
      <c r="B119" s="40" t="s">
        <v>43</v>
      </c>
      <c r="C119" s="41" t="s">
        <v>27</v>
      </c>
      <c r="D119" s="40"/>
      <c r="E119" s="24"/>
      <c r="F119" s="39"/>
      <c r="G119" s="24">
        <v>24050848</v>
      </c>
      <c r="H119" s="23">
        <v>5.0000000000000001E-3</v>
      </c>
      <c r="I119" s="39">
        <v>44244</v>
      </c>
      <c r="J119" s="39">
        <v>44255</v>
      </c>
      <c r="K119" s="24">
        <f t="shared" si="6"/>
        <v>12</v>
      </c>
      <c r="L119" s="24">
        <f t="shared" si="7"/>
        <v>3954</v>
      </c>
      <c r="M119" s="24"/>
    </row>
    <row r="120" spans="1:13" s="80" customFormat="1" ht="13.5" outlineLevel="2">
      <c r="A120" s="39" t="s">
        <v>108</v>
      </c>
      <c r="B120" s="40" t="s">
        <v>44</v>
      </c>
      <c r="C120" s="41" t="s">
        <v>115</v>
      </c>
      <c r="D120" s="40" t="s">
        <v>116</v>
      </c>
      <c r="E120" s="24">
        <v>1200000</v>
      </c>
      <c r="F120" s="39">
        <v>44138</v>
      </c>
      <c r="G120" s="24">
        <v>1200000</v>
      </c>
      <c r="H120" s="23">
        <v>5.0000000000000001E-3</v>
      </c>
      <c r="I120" s="39">
        <v>44228</v>
      </c>
      <c r="J120" s="39">
        <v>44255</v>
      </c>
      <c r="K120" s="24">
        <f t="shared" si="6"/>
        <v>28</v>
      </c>
      <c r="L120" s="24">
        <f t="shared" si="7"/>
        <v>460</v>
      </c>
      <c r="M120" s="24">
        <v>1200000</v>
      </c>
    </row>
    <row r="121" spans="1:13" s="80" customFormat="1" ht="13.5" outlineLevel="2">
      <c r="A121" s="39" t="s">
        <v>108</v>
      </c>
      <c r="B121" s="40" t="s">
        <v>47</v>
      </c>
      <c r="C121" s="41" t="s">
        <v>115</v>
      </c>
      <c r="D121" s="40" t="s">
        <v>116</v>
      </c>
      <c r="E121" s="24">
        <v>2350000</v>
      </c>
      <c r="F121" s="39">
        <v>44138</v>
      </c>
      <c r="G121" s="24">
        <v>2350000</v>
      </c>
      <c r="H121" s="23">
        <v>5.0000000000000001E-3</v>
      </c>
      <c r="I121" s="39">
        <v>44228</v>
      </c>
      <c r="J121" s="39">
        <v>44255</v>
      </c>
      <c r="K121" s="24">
        <f t="shared" si="6"/>
        <v>28</v>
      </c>
      <c r="L121" s="24">
        <f t="shared" si="7"/>
        <v>901</v>
      </c>
      <c r="M121" s="24">
        <v>2350000</v>
      </c>
    </row>
    <row r="122" spans="1:13" s="80" customFormat="1" ht="13.5" outlineLevel="2">
      <c r="A122" s="39" t="s">
        <v>108</v>
      </c>
      <c r="B122" s="40" t="s">
        <v>50</v>
      </c>
      <c r="C122" s="41" t="s">
        <v>113</v>
      </c>
      <c r="D122" s="40" t="s">
        <v>114</v>
      </c>
      <c r="E122" s="24">
        <v>23200000</v>
      </c>
      <c r="F122" s="39">
        <v>44151</v>
      </c>
      <c r="G122" s="24">
        <v>22796522</v>
      </c>
      <c r="H122" s="23">
        <v>5.0000000000000001E-3</v>
      </c>
      <c r="I122" s="39">
        <v>44228</v>
      </c>
      <c r="J122" s="39">
        <v>44243</v>
      </c>
      <c r="K122" s="24">
        <f t="shared" si="6"/>
        <v>16</v>
      </c>
      <c r="L122" s="24">
        <f t="shared" si="7"/>
        <v>4996</v>
      </c>
      <c r="M122" s="24">
        <v>22594783</v>
      </c>
    </row>
    <row r="123" spans="1:13" s="80" customFormat="1" ht="13.5" outlineLevel="2">
      <c r="A123" s="39" t="s">
        <v>108</v>
      </c>
      <c r="B123" s="40" t="s">
        <v>50</v>
      </c>
      <c r="C123" s="41" t="s">
        <v>113</v>
      </c>
      <c r="D123" s="40"/>
      <c r="E123" s="24"/>
      <c r="F123" s="39"/>
      <c r="G123" s="24">
        <v>22594783</v>
      </c>
      <c r="H123" s="23">
        <v>5.0000000000000001E-3</v>
      </c>
      <c r="I123" s="39">
        <v>44244</v>
      </c>
      <c r="J123" s="39">
        <v>44255</v>
      </c>
      <c r="K123" s="24">
        <f t="shared" si="6"/>
        <v>12</v>
      </c>
      <c r="L123" s="24">
        <f t="shared" si="7"/>
        <v>3714</v>
      </c>
      <c r="M123" s="24"/>
    </row>
    <row r="124" spans="1:13" s="80" customFormat="1" ht="13.5" outlineLevel="2">
      <c r="A124" s="39" t="s">
        <v>108</v>
      </c>
      <c r="B124" s="40" t="s">
        <v>51</v>
      </c>
      <c r="C124" s="41" t="s">
        <v>111</v>
      </c>
      <c r="D124" s="40" t="s">
        <v>112</v>
      </c>
      <c r="E124" s="24">
        <v>5910000</v>
      </c>
      <c r="F124" s="39">
        <v>44151</v>
      </c>
      <c r="G124" s="24">
        <v>5910000</v>
      </c>
      <c r="H124" s="23">
        <v>5.0000000000000001E-3</v>
      </c>
      <c r="I124" s="39">
        <v>44228</v>
      </c>
      <c r="J124" s="39">
        <v>44255</v>
      </c>
      <c r="K124" s="24">
        <f t="shared" si="6"/>
        <v>28</v>
      </c>
      <c r="L124" s="24">
        <f t="shared" si="7"/>
        <v>2267</v>
      </c>
      <c r="M124" s="24">
        <v>5910000</v>
      </c>
    </row>
    <row r="125" spans="1:13" s="80" customFormat="1" ht="13.5" outlineLevel="2">
      <c r="A125" s="39" t="s">
        <v>108</v>
      </c>
      <c r="B125" s="40" t="s">
        <v>52</v>
      </c>
      <c r="C125" s="41" t="s">
        <v>117</v>
      </c>
      <c r="D125" s="40" t="s">
        <v>118</v>
      </c>
      <c r="E125" s="24">
        <v>26000000</v>
      </c>
      <c r="F125" s="39">
        <v>44162</v>
      </c>
      <c r="G125" s="24">
        <v>25539824</v>
      </c>
      <c r="H125" s="23">
        <v>5.0000000000000001E-3</v>
      </c>
      <c r="I125" s="39">
        <v>44228</v>
      </c>
      <c r="J125" s="39">
        <v>44243</v>
      </c>
      <c r="K125" s="24">
        <f t="shared" si="6"/>
        <v>16</v>
      </c>
      <c r="L125" s="24">
        <f t="shared" si="7"/>
        <v>5598</v>
      </c>
      <c r="M125" s="24">
        <v>25309736</v>
      </c>
    </row>
    <row r="126" spans="1:13" s="80" customFormat="1" ht="13.5" outlineLevel="2">
      <c r="A126" s="39" t="s">
        <v>108</v>
      </c>
      <c r="B126" s="40" t="s">
        <v>52</v>
      </c>
      <c r="C126" s="41" t="s">
        <v>117</v>
      </c>
      <c r="D126" s="40"/>
      <c r="E126" s="24"/>
      <c r="F126" s="39"/>
      <c r="G126" s="24">
        <v>25309736</v>
      </c>
      <c r="H126" s="23">
        <v>5.0000000000000001E-3</v>
      </c>
      <c r="I126" s="39">
        <v>44244</v>
      </c>
      <c r="J126" s="39">
        <v>44255</v>
      </c>
      <c r="K126" s="24">
        <f t="shared" si="6"/>
        <v>12</v>
      </c>
      <c r="L126" s="24">
        <f t="shared" si="7"/>
        <v>4161</v>
      </c>
      <c r="M126" s="24"/>
    </row>
    <row r="127" spans="1:13" s="80" customFormat="1" ht="13.5" outlineLevel="2">
      <c r="A127" s="39" t="s">
        <v>108</v>
      </c>
      <c r="B127" s="40" t="s">
        <v>53</v>
      </c>
      <c r="C127" s="41" t="s">
        <v>27</v>
      </c>
      <c r="D127" s="40" t="s">
        <v>28</v>
      </c>
      <c r="E127" s="24">
        <v>9280000</v>
      </c>
      <c r="F127" s="39">
        <v>44167</v>
      </c>
      <c r="G127" s="24">
        <v>8960000</v>
      </c>
      <c r="H127" s="23">
        <v>5.0000000000000001E-3</v>
      </c>
      <c r="I127" s="39">
        <v>44228</v>
      </c>
      <c r="J127" s="39">
        <v>44243</v>
      </c>
      <c r="K127" s="24">
        <f t="shared" si="6"/>
        <v>16</v>
      </c>
      <c r="L127" s="24">
        <f t="shared" si="7"/>
        <v>1964</v>
      </c>
      <c r="M127" s="24">
        <v>8800000</v>
      </c>
    </row>
    <row r="128" spans="1:13" s="80" customFormat="1" ht="13.5" outlineLevel="2">
      <c r="A128" s="39" t="s">
        <v>108</v>
      </c>
      <c r="B128" s="40" t="s">
        <v>53</v>
      </c>
      <c r="C128" s="41" t="s">
        <v>27</v>
      </c>
      <c r="D128" s="40"/>
      <c r="E128" s="24"/>
      <c r="F128" s="39"/>
      <c r="G128" s="24">
        <v>8800000</v>
      </c>
      <c r="H128" s="23">
        <v>5.0000000000000001E-3</v>
      </c>
      <c r="I128" s="39">
        <v>44244</v>
      </c>
      <c r="J128" s="39">
        <v>44255</v>
      </c>
      <c r="K128" s="24">
        <f t="shared" si="6"/>
        <v>12</v>
      </c>
      <c r="L128" s="24">
        <f t="shared" si="7"/>
        <v>1447</v>
      </c>
      <c r="M128" s="24"/>
    </row>
    <row r="129" spans="1:13" s="80" customFormat="1" ht="13.5" outlineLevel="2">
      <c r="A129" s="39" t="s">
        <v>108</v>
      </c>
      <c r="B129" s="40" t="s">
        <v>54</v>
      </c>
      <c r="C129" s="41" t="s">
        <v>111</v>
      </c>
      <c r="D129" s="40" t="s">
        <v>112</v>
      </c>
      <c r="E129" s="24">
        <v>23630000</v>
      </c>
      <c r="F129" s="39">
        <v>43936</v>
      </c>
      <c r="G129" s="24">
        <v>23630000</v>
      </c>
      <c r="H129" s="23">
        <v>5.0000000000000001E-3</v>
      </c>
      <c r="I129" s="39">
        <v>44228</v>
      </c>
      <c r="J129" s="39">
        <v>44255</v>
      </c>
      <c r="K129" s="24">
        <f t="shared" ref="K129:K160" si="8">J129-I129+1</f>
        <v>28</v>
      </c>
      <c r="L129" s="24">
        <f t="shared" ref="L129:L160" si="9">ROUND(G129*H129*K129/365,0)</f>
        <v>9064</v>
      </c>
      <c r="M129" s="24">
        <v>23630000</v>
      </c>
    </row>
    <row r="130" spans="1:13" s="80" customFormat="1" ht="13.5" outlineLevel="2">
      <c r="A130" s="39" t="s">
        <v>108</v>
      </c>
      <c r="B130" s="40" t="s">
        <v>57</v>
      </c>
      <c r="C130" s="41" t="s">
        <v>27</v>
      </c>
      <c r="D130" s="40" t="s">
        <v>28</v>
      </c>
      <c r="E130" s="24">
        <v>10470000</v>
      </c>
      <c r="F130" s="39">
        <v>44181</v>
      </c>
      <c r="G130" s="24">
        <v>10286316</v>
      </c>
      <c r="H130" s="23">
        <v>5.0000000000000001E-3</v>
      </c>
      <c r="I130" s="39">
        <v>44228</v>
      </c>
      <c r="J130" s="39">
        <v>44243</v>
      </c>
      <c r="K130" s="24">
        <f t="shared" si="8"/>
        <v>16</v>
      </c>
      <c r="L130" s="24">
        <f t="shared" si="9"/>
        <v>2255</v>
      </c>
      <c r="M130" s="24">
        <v>10102632</v>
      </c>
    </row>
    <row r="131" spans="1:13" s="80" customFormat="1" ht="13.5" outlineLevel="2">
      <c r="A131" s="39" t="s">
        <v>108</v>
      </c>
      <c r="B131" s="40" t="s">
        <v>57</v>
      </c>
      <c r="C131" s="41" t="s">
        <v>27</v>
      </c>
      <c r="D131" s="40"/>
      <c r="E131" s="24"/>
      <c r="F131" s="39"/>
      <c r="G131" s="24">
        <v>10102632</v>
      </c>
      <c r="H131" s="23">
        <v>5.0000000000000001E-3</v>
      </c>
      <c r="I131" s="39">
        <v>44244</v>
      </c>
      <c r="J131" s="39">
        <v>44255</v>
      </c>
      <c r="K131" s="24">
        <f t="shared" si="8"/>
        <v>12</v>
      </c>
      <c r="L131" s="24">
        <f t="shared" si="9"/>
        <v>1661</v>
      </c>
      <c r="M131" s="24"/>
    </row>
    <row r="132" spans="1:13" s="80" customFormat="1" ht="13.5" outlineLevel="2">
      <c r="A132" s="39" t="s">
        <v>108</v>
      </c>
      <c r="B132" s="40" t="s">
        <v>58</v>
      </c>
      <c r="C132" s="41" t="s">
        <v>111</v>
      </c>
      <c r="D132" s="40" t="s">
        <v>112</v>
      </c>
      <c r="E132" s="24">
        <v>2950000</v>
      </c>
      <c r="F132" s="39">
        <v>44180</v>
      </c>
      <c r="G132" s="24">
        <v>2950000</v>
      </c>
      <c r="H132" s="23">
        <v>5.0000000000000001E-3</v>
      </c>
      <c r="I132" s="39">
        <v>44228</v>
      </c>
      <c r="J132" s="39">
        <v>44255</v>
      </c>
      <c r="K132" s="24">
        <f t="shared" si="8"/>
        <v>28</v>
      </c>
      <c r="L132" s="24">
        <f t="shared" si="9"/>
        <v>1132</v>
      </c>
      <c r="M132" s="24">
        <v>2950000</v>
      </c>
    </row>
    <row r="133" spans="1:13" s="80" customFormat="1" ht="13.5" outlineLevel="2">
      <c r="A133" s="39" t="s">
        <v>108</v>
      </c>
      <c r="B133" s="40" t="s">
        <v>99</v>
      </c>
      <c r="C133" s="41" t="s">
        <v>115</v>
      </c>
      <c r="D133" s="40" t="s">
        <v>116</v>
      </c>
      <c r="E133" s="24">
        <v>24400000</v>
      </c>
      <c r="F133" s="39">
        <v>44193</v>
      </c>
      <c r="G133" s="24">
        <v>24400000</v>
      </c>
      <c r="H133" s="23">
        <v>5.0000000000000001E-3</v>
      </c>
      <c r="I133" s="39">
        <v>44228</v>
      </c>
      <c r="J133" s="39">
        <v>44255</v>
      </c>
      <c r="K133" s="24">
        <f t="shared" si="8"/>
        <v>28</v>
      </c>
      <c r="L133" s="24">
        <f t="shared" si="9"/>
        <v>9359</v>
      </c>
      <c r="M133" s="24">
        <v>24400000</v>
      </c>
    </row>
    <row r="134" spans="1:13" s="80" customFormat="1" ht="13.5" outlineLevel="2">
      <c r="A134" s="39" t="s">
        <v>108</v>
      </c>
      <c r="B134" s="40" t="s">
        <v>100</v>
      </c>
      <c r="C134" s="41" t="s">
        <v>115</v>
      </c>
      <c r="D134" s="40" t="s">
        <v>116</v>
      </c>
      <c r="E134" s="24">
        <v>5500000</v>
      </c>
      <c r="F134" s="39">
        <v>44193</v>
      </c>
      <c r="G134" s="24">
        <v>5500000</v>
      </c>
      <c r="H134" s="23">
        <v>5.0000000000000001E-3</v>
      </c>
      <c r="I134" s="39">
        <v>44228</v>
      </c>
      <c r="J134" s="39">
        <v>44255</v>
      </c>
      <c r="K134" s="24">
        <f t="shared" si="8"/>
        <v>28</v>
      </c>
      <c r="L134" s="24">
        <f t="shared" si="9"/>
        <v>2110</v>
      </c>
      <c r="M134" s="24">
        <v>5500000</v>
      </c>
    </row>
    <row r="135" spans="1:13" s="80" customFormat="1" ht="13.5" outlineLevel="2">
      <c r="A135" s="39" t="s">
        <v>108</v>
      </c>
      <c r="B135" s="40" t="s">
        <v>101</v>
      </c>
      <c r="C135" s="41" t="s">
        <v>115</v>
      </c>
      <c r="D135" s="40" t="s">
        <v>116</v>
      </c>
      <c r="E135" s="24">
        <v>28050000</v>
      </c>
      <c r="F135" s="39">
        <v>44193</v>
      </c>
      <c r="G135" s="24">
        <v>28050000</v>
      </c>
      <c r="H135" s="23">
        <v>5.0000000000000001E-3</v>
      </c>
      <c r="I135" s="39">
        <v>44228</v>
      </c>
      <c r="J135" s="39">
        <v>44255</v>
      </c>
      <c r="K135" s="24">
        <f t="shared" si="8"/>
        <v>28</v>
      </c>
      <c r="L135" s="24">
        <f t="shared" si="9"/>
        <v>10759</v>
      </c>
      <c r="M135" s="24">
        <v>28050000</v>
      </c>
    </row>
    <row r="136" spans="1:13" s="80" customFormat="1" ht="13.5" outlineLevel="2">
      <c r="A136" s="39" t="s">
        <v>108</v>
      </c>
      <c r="B136" s="40" t="s">
        <v>102</v>
      </c>
      <c r="C136" s="41" t="s">
        <v>115</v>
      </c>
      <c r="D136" s="40" t="s">
        <v>116</v>
      </c>
      <c r="E136" s="24">
        <v>5000000</v>
      </c>
      <c r="F136" s="39">
        <v>44193</v>
      </c>
      <c r="G136" s="24">
        <v>5000000</v>
      </c>
      <c r="H136" s="23">
        <v>5.0000000000000001E-3</v>
      </c>
      <c r="I136" s="39">
        <v>44228</v>
      </c>
      <c r="J136" s="39">
        <v>44255</v>
      </c>
      <c r="K136" s="24">
        <f t="shared" si="8"/>
        <v>28</v>
      </c>
      <c r="L136" s="24">
        <f t="shared" si="9"/>
        <v>1918</v>
      </c>
      <c r="M136" s="24">
        <v>5000000</v>
      </c>
    </row>
    <row r="137" spans="1:13" s="80" customFormat="1" ht="13.5" outlineLevel="2">
      <c r="A137" s="39" t="s">
        <v>108</v>
      </c>
      <c r="B137" s="40" t="s">
        <v>103</v>
      </c>
      <c r="C137" s="41" t="s">
        <v>111</v>
      </c>
      <c r="D137" s="40" t="s">
        <v>112</v>
      </c>
      <c r="E137" s="24">
        <v>4920000</v>
      </c>
      <c r="F137" s="39">
        <v>44211</v>
      </c>
      <c r="G137" s="24">
        <v>4920000</v>
      </c>
      <c r="H137" s="23">
        <v>5.0000000000000001E-3</v>
      </c>
      <c r="I137" s="39">
        <v>44228</v>
      </c>
      <c r="J137" s="39">
        <v>44255</v>
      </c>
      <c r="K137" s="24">
        <f t="shared" si="8"/>
        <v>28</v>
      </c>
      <c r="L137" s="24">
        <f t="shared" si="9"/>
        <v>1887</v>
      </c>
      <c r="M137" s="24">
        <v>4920000</v>
      </c>
    </row>
    <row r="138" spans="1:13" s="80" customFormat="1" ht="13.5" outlineLevel="2">
      <c r="A138" s="39" t="s">
        <v>108</v>
      </c>
      <c r="B138" s="40" t="s">
        <v>104</v>
      </c>
      <c r="C138" s="41" t="s">
        <v>115</v>
      </c>
      <c r="D138" s="40" t="s">
        <v>116</v>
      </c>
      <c r="E138" s="24">
        <v>7300000</v>
      </c>
      <c r="F138" s="39">
        <v>44224</v>
      </c>
      <c r="G138" s="24">
        <v>7300000</v>
      </c>
      <c r="H138" s="23">
        <v>5.0000000000000001E-3</v>
      </c>
      <c r="I138" s="39">
        <v>44228</v>
      </c>
      <c r="J138" s="39">
        <v>44255</v>
      </c>
      <c r="K138" s="24">
        <f t="shared" si="8"/>
        <v>28</v>
      </c>
      <c r="L138" s="24">
        <f t="shared" si="9"/>
        <v>2800</v>
      </c>
      <c r="M138" s="24">
        <v>7300000</v>
      </c>
    </row>
    <row r="139" spans="1:13" s="80" customFormat="1" ht="13.5" outlineLevel="2">
      <c r="A139" s="39" t="s">
        <v>108</v>
      </c>
      <c r="B139" s="40" t="s">
        <v>105</v>
      </c>
      <c r="C139" s="41" t="s">
        <v>115</v>
      </c>
      <c r="D139" s="40" t="s">
        <v>116</v>
      </c>
      <c r="E139" s="24">
        <v>15000000</v>
      </c>
      <c r="F139" s="39">
        <v>44224</v>
      </c>
      <c r="G139" s="24">
        <v>15000000</v>
      </c>
      <c r="H139" s="23">
        <v>5.0000000000000001E-3</v>
      </c>
      <c r="I139" s="39">
        <v>44228</v>
      </c>
      <c r="J139" s="39">
        <v>44255</v>
      </c>
      <c r="K139" s="24">
        <f t="shared" si="8"/>
        <v>28</v>
      </c>
      <c r="L139" s="24">
        <f t="shared" si="9"/>
        <v>5753</v>
      </c>
      <c r="M139" s="24">
        <v>15000000</v>
      </c>
    </row>
    <row r="140" spans="1:13" s="80" customFormat="1" ht="13.5" outlineLevel="2">
      <c r="A140" s="39" t="s">
        <v>108</v>
      </c>
      <c r="B140" s="40" t="s">
        <v>106</v>
      </c>
      <c r="C140" s="41" t="s">
        <v>113</v>
      </c>
      <c r="D140" s="40" t="s">
        <v>114</v>
      </c>
      <c r="E140" s="24">
        <v>23200000</v>
      </c>
      <c r="F140" s="39">
        <v>44229</v>
      </c>
      <c r="G140" s="24">
        <v>23200000</v>
      </c>
      <c r="H140" s="23">
        <v>5.0000000000000001E-3</v>
      </c>
      <c r="I140" s="39">
        <v>44229</v>
      </c>
      <c r="J140" s="39">
        <v>44243</v>
      </c>
      <c r="K140" s="24">
        <f t="shared" si="8"/>
        <v>15</v>
      </c>
      <c r="L140" s="24">
        <f t="shared" si="9"/>
        <v>4767</v>
      </c>
      <c r="M140" s="24">
        <v>22994691</v>
      </c>
    </row>
    <row r="141" spans="1:13" s="80" customFormat="1" ht="13.5" outlineLevel="2">
      <c r="A141" s="39" t="s">
        <v>108</v>
      </c>
      <c r="B141" s="40" t="s">
        <v>106</v>
      </c>
      <c r="C141" s="41" t="s">
        <v>113</v>
      </c>
      <c r="D141" s="40"/>
      <c r="E141" s="24"/>
      <c r="F141" s="39"/>
      <c r="G141" s="24">
        <v>22994691</v>
      </c>
      <c r="H141" s="23">
        <v>5.0000000000000001E-3</v>
      </c>
      <c r="I141" s="39">
        <v>44244</v>
      </c>
      <c r="J141" s="39">
        <v>44255</v>
      </c>
      <c r="K141" s="24">
        <f t="shared" si="8"/>
        <v>12</v>
      </c>
      <c r="L141" s="24">
        <f t="shared" si="9"/>
        <v>3780</v>
      </c>
      <c r="M141" s="24"/>
    </row>
    <row r="142" spans="1:13" s="80" customFormat="1" ht="13.5" outlineLevel="2">
      <c r="A142" s="39" t="s">
        <v>108</v>
      </c>
      <c r="B142" s="40" t="s">
        <v>59</v>
      </c>
      <c r="C142" s="41" t="s">
        <v>117</v>
      </c>
      <c r="D142" s="40" t="s">
        <v>118</v>
      </c>
      <c r="E142" s="24">
        <v>24000000</v>
      </c>
      <c r="F142" s="39">
        <v>43937</v>
      </c>
      <c r="G142" s="24">
        <v>22200000</v>
      </c>
      <c r="H142" s="23">
        <v>5.0000000000000001E-3</v>
      </c>
      <c r="I142" s="39">
        <v>44228</v>
      </c>
      <c r="J142" s="39">
        <v>44243</v>
      </c>
      <c r="K142" s="24">
        <f t="shared" si="8"/>
        <v>16</v>
      </c>
      <c r="L142" s="24">
        <f t="shared" si="9"/>
        <v>4866</v>
      </c>
      <c r="M142" s="24">
        <v>22000000</v>
      </c>
    </row>
    <row r="143" spans="1:13" s="80" customFormat="1" ht="13.5" outlineLevel="2">
      <c r="A143" s="39" t="s">
        <v>108</v>
      </c>
      <c r="B143" s="40" t="s">
        <v>59</v>
      </c>
      <c r="C143" s="41" t="s">
        <v>117</v>
      </c>
      <c r="D143" s="40"/>
      <c r="E143" s="24"/>
      <c r="F143" s="39"/>
      <c r="G143" s="24">
        <v>22000000</v>
      </c>
      <c r="H143" s="23">
        <v>5.0000000000000001E-3</v>
      </c>
      <c r="I143" s="39">
        <v>44244</v>
      </c>
      <c r="J143" s="39">
        <v>44255</v>
      </c>
      <c r="K143" s="24">
        <f t="shared" si="8"/>
        <v>12</v>
      </c>
      <c r="L143" s="24">
        <f t="shared" si="9"/>
        <v>3616</v>
      </c>
      <c r="M143" s="24"/>
    </row>
    <row r="144" spans="1:13" s="80" customFormat="1" ht="13.5" outlineLevel="2">
      <c r="A144" s="39" t="s">
        <v>108</v>
      </c>
      <c r="B144" s="40" t="s">
        <v>62</v>
      </c>
      <c r="C144" s="41" t="s">
        <v>113</v>
      </c>
      <c r="D144" s="40" t="s">
        <v>114</v>
      </c>
      <c r="E144" s="24">
        <v>28240000</v>
      </c>
      <c r="F144" s="39">
        <v>43951</v>
      </c>
      <c r="G144" s="24">
        <v>25214290</v>
      </c>
      <c r="H144" s="23">
        <v>5.0000000000000001E-3</v>
      </c>
      <c r="I144" s="39">
        <v>44228</v>
      </c>
      <c r="J144" s="39">
        <v>44243</v>
      </c>
      <c r="K144" s="24">
        <f t="shared" si="8"/>
        <v>16</v>
      </c>
      <c r="L144" s="24">
        <f t="shared" si="9"/>
        <v>5526</v>
      </c>
      <c r="M144" s="24">
        <v>24878100</v>
      </c>
    </row>
    <row r="145" spans="1:13" s="80" customFormat="1" ht="13.5" outlineLevel="2">
      <c r="A145" s="39" t="s">
        <v>108</v>
      </c>
      <c r="B145" s="40" t="s">
        <v>62</v>
      </c>
      <c r="C145" s="41" t="s">
        <v>113</v>
      </c>
      <c r="D145" s="40"/>
      <c r="E145" s="24"/>
      <c r="F145" s="39"/>
      <c r="G145" s="24">
        <v>24878100</v>
      </c>
      <c r="H145" s="23">
        <v>5.0000000000000001E-3</v>
      </c>
      <c r="I145" s="39">
        <v>44244</v>
      </c>
      <c r="J145" s="39">
        <v>44255</v>
      </c>
      <c r="K145" s="24">
        <f t="shared" si="8"/>
        <v>12</v>
      </c>
      <c r="L145" s="24">
        <f t="shared" si="9"/>
        <v>4090</v>
      </c>
      <c r="M145" s="24"/>
    </row>
    <row r="146" spans="1:13" s="80" customFormat="1" ht="13.5" outlineLevel="2">
      <c r="A146" s="39" t="s">
        <v>108</v>
      </c>
      <c r="B146" s="40" t="s">
        <v>63</v>
      </c>
      <c r="C146" s="41" t="s">
        <v>111</v>
      </c>
      <c r="D146" s="40" t="s">
        <v>112</v>
      </c>
      <c r="E146" s="24">
        <v>8000000</v>
      </c>
      <c r="F146" s="39">
        <v>43957</v>
      </c>
      <c r="G146" s="24">
        <v>6800003</v>
      </c>
      <c r="H146" s="23">
        <v>5.0000000000000001E-3</v>
      </c>
      <c r="I146" s="39">
        <v>44228</v>
      </c>
      <c r="J146" s="39">
        <v>44243</v>
      </c>
      <c r="K146" s="24">
        <f t="shared" si="8"/>
        <v>16</v>
      </c>
      <c r="L146" s="24">
        <f t="shared" si="9"/>
        <v>1490</v>
      </c>
      <c r="M146" s="24">
        <v>6666670</v>
      </c>
    </row>
    <row r="147" spans="1:13" s="80" customFormat="1" ht="13.5" outlineLevel="2">
      <c r="A147" s="39" t="s">
        <v>108</v>
      </c>
      <c r="B147" s="40" t="s">
        <v>63</v>
      </c>
      <c r="C147" s="41" t="s">
        <v>111</v>
      </c>
      <c r="D147" s="40"/>
      <c r="E147" s="24"/>
      <c r="F147" s="39"/>
      <c r="G147" s="24">
        <v>6666670</v>
      </c>
      <c r="H147" s="23">
        <v>5.0000000000000001E-3</v>
      </c>
      <c r="I147" s="39">
        <v>44244</v>
      </c>
      <c r="J147" s="39">
        <v>44255</v>
      </c>
      <c r="K147" s="24">
        <f t="shared" si="8"/>
        <v>12</v>
      </c>
      <c r="L147" s="24">
        <f t="shared" si="9"/>
        <v>1096</v>
      </c>
      <c r="M147" s="24"/>
    </row>
    <row r="148" spans="1:13" s="80" customFormat="1" ht="13.5" outlineLevel="2">
      <c r="A148" s="39" t="s">
        <v>108</v>
      </c>
      <c r="B148" s="40" t="s">
        <v>64</v>
      </c>
      <c r="C148" s="41" t="s">
        <v>111</v>
      </c>
      <c r="D148" s="40" t="s">
        <v>112</v>
      </c>
      <c r="E148" s="24">
        <v>5910000</v>
      </c>
      <c r="F148" s="39">
        <v>43966</v>
      </c>
      <c r="G148" s="24">
        <v>5910000</v>
      </c>
      <c r="H148" s="23">
        <v>5.0000000000000001E-3</v>
      </c>
      <c r="I148" s="39">
        <v>44228</v>
      </c>
      <c r="J148" s="39">
        <v>44255</v>
      </c>
      <c r="K148" s="24">
        <f t="shared" si="8"/>
        <v>28</v>
      </c>
      <c r="L148" s="24">
        <f t="shared" si="9"/>
        <v>2267</v>
      </c>
      <c r="M148" s="24">
        <v>5910000</v>
      </c>
    </row>
    <row r="149" spans="1:13" s="80" customFormat="1" ht="13.5" outlineLevel="2">
      <c r="A149" s="39" t="s">
        <v>108</v>
      </c>
      <c r="B149" s="40" t="s">
        <v>65</v>
      </c>
      <c r="C149" s="41" t="s">
        <v>113</v>
      </c>
      <c r="D149" s="40" t="s">
        <v>114</v>
      </c>
      <c r="E149" s="24">
        <v>20510000</v>
      </c>
      <c r="F149" s="39">
        <v>43966</v>
      </c>
      <c r="G149" s="24">
        <v>18533136</v>
      </c>
      <c r="H149" s="23">
        <v>5.0000000000000001E-3</v>
      </c>
      <c r="I149" s="39">
        <v>44228</v>
      </c>
      <c r="J149" s="39">
        <v>44243</v>
      </c>
      <c r="K149" s="24">
        <f t="shared" si="8"/>
        <v>16</v>
      </c>
      <c r="L149" s="24">
        <f t="shared" si="9"/>
        <v>4062</v>
      </c>
      <c r="M149" s="24">
        <v>18286028</v>
      </c>
    </row>
    <row r="150" spans="1:13" s="80" customFormat="1" ht="13.5" outlineLevel="2">
      <c r="A150" s="39" t="s">
        <v>108</v>
      </c>
      <c r="B150" s="40" t="s">
        <v>65</v>
      </c>
      <c r="C150" s="41" t="s">
        <v>113</v>
      </c>
      <c r="D150" s="40"/>
      <c r="E150" s="24"/>
      <c r="F150" s="39"/>
      <c r="G150" s="24">
        <v>18286028</v>
      </c>
      <c r="H150" s="23">
        <v>5.0000000000000001E-3</v>
      </c>
      <c r="I150" s="39">
        <v>44244</v>
      </c>
      <c r="J150" s="39">
        <v>44255</v>
      </c>
      <c r="K150" s="24">
        <f t="shared" si="8"/>
        <v>12</v>
      </c>
      <c r="L150" s="24">
        <f t="shared" si="9"/>
        <v>3006</v>
      </c>
      <c r="M150" s="24"/>
    </row>
    <row r="151" spans="1:13" s="80" customFormat="1" ht="13.5" outlineLevel="2">
      <c r="A151" s="39" t="s">
        <v>108</v>
      </c>
      <c r="B151" s="40" t="s">
        <v>68</v>
      </c>
      <c r="C151" s="41" t="s">
        <v>109</v>
      </c>
      <c r="D151" s="40" t="s">
        <v>110</v>
      </c>
      <c r="E151" s="24">
        <v>33960000</v>
      </c>
      <c r="F151" s="39">
        <v>43978</v>
      </c>
      <c r="G151" s="24">
        <v>33960000</v>
      </c>
      <c r="H151" s="23">
        <v>5.0000000000000001E-3</v>
      </c>
      <c r="I151" s="39">
        <v>44228</v>
      </c>
      <c r="J151" s="39">
        <v>44255</v>
      </c>
      <c r="K151" s="24">
        <f t="shared" si="8"/>
        <v>28</v>
      </c>
      <c r="L151" s="24">
        <f t="shared" si="9"/>
        <v>13026</v>
      </c>
      <c r="M151" s="24">
        <v>33960000</v>
      </c>
    </row>
    <row r="152" spans="1:13" s="80" customFormat="1" ht="13.5" outlineLevel="1">
      <c r="A152" s="42" t="s">
        <v>119</v>
      </c>
      <c r="B152" s="43"/>
      <c r="C152" s="44"/>
      <c r="D152" s="43"/>
      <c r="E152" s="45">
        <f>SUBTOTAL(9,E97:E151)</f>
        <v>692355386</v>
      </c>
      <c r="F152" s="46"/>
      <c r="G152" s="45"/>
      <c r="H152" s="47"/>
      <c r="I152" s="46"/>
      <c r="J152" s="46"/>
      <c r="K152" s="45"/>
      <c r="L152" s="45">
        <f>SUBTOTAL(9,L97:L151)</f>
        <v>257006</v>
      </c>
      <c r="M152" s="45">
        <f>SUBTOTAL(9,M97:M151)</f>
        <v>668597792</v>
      </c>
    </row>
    <row r="153" spans="1:13" s="80" customFormat="1" ht="13.5" outlineLevel="2">
      <c r="A153" s="39" t="s">
        <v>120</v>
      </c>
      <c r="B153" s="40" t="s">
        <v>16</v>
      </c>
      <c r="C153" s="41" t="s">
        <v>121</v>
      </c>
      <c r="D153" s="40" t="s">
        <v>122</v>
      </c>
      <c r="E153" s="24">
        <v>69000000</v>
      </c>
      <c r="F153" s="39">
        <v>43822</v>
      </c>
      <c r="G153" s="24">
        <v>69000000</v>
      </c>
      <c r="H153" s="23">
        <v>5.0000000000000001E-3</v>
      </c>
      <c r="I153" s="39">
        <v>44228</v>
      </c>
      <c r="J153" s="39">
        <v>44255</v>
      </c>
      <c r="K153" s="24">
        <f t="shared" ref="K153:K184" si="10">J153-I153+1</f>
        <v>28</v>
      </c>
      <c r="L153" s="24">
        <f t="shared" ref="L153:L184" si="11">ROUND(G153*H153*K153/365,0)</f>
        <v>26466</v>
      </c>
      <c r="M153" s="24">
        <v>69000000</v>
      </c>
    </row>
    <row r="154" spans="1:13" s="80" customFormat="1" ht="13.5" outlineLevel="2">
      <c r="A154" s="39" t="s">
        <v>120</v>
      </c>
      <c r="B154" s="40" t="s">
        <v>19</v>
      </c>
      <c r="C154" s="41" t="s">
        <v>37</v>
      </c>
      <c r="D154" s="40" t="s">
        <v>38</v>
      </c>
      <c r="E154" s="24">
        <v>247700000</v>
      </c>
      <c r="F154" s="39">
        <v>43985</v>
      </c>
      <c r="G154" s="24">
        <v>247700000</v>
      </c>
      <c r="H154" s="23">
        <v>5.0000000000000001E-3</v>
      </c>
      <c r="I154" s="39">
        <v>44228</v>
      </c>
      <c r="J154" s="39">
        <v>44255</v>
      </c>
      <c r="K154" s="24">
        <f t="shared" si="10"/>
        <v>28</v>
      </c>
      <c r="L154" s="24">
        <f t="shared" si="11"/>
        <v>95008</v>
      </c>
      <c r="M154" s="24">
        <v>247700000</v>
      </c>
    </row>
    <row r="155" spans="1:13" s="80" customFormat="1" ht="13.5" outlineLevel="2">
      <c r="A155" s="39" t="s">
        <v>120</v>
      </c>
      <c r="B155" s="40" t="s">
        <v>22</v>
      </c>
      <c r="C155" s="41" t="s">
        <v>123</v>
      </c>
      <c r="D155" s="40" t="s">
        <v>124</v>
      </c>
      <c r="E155" s="24">
        <v>18612000</v>
      </c>
      <c r="F155" s="39">
        <v>43997</v>
      </c>
      <c r="G155" s="24">
        <v>3722400</v>
      </c>
      <c r="H155" s="23">
        <v>5.0000000000000001E-3</v>
      </c>
      <c r="I155" s="39">
        <v>44228</v>
      </c>
      <c r="J155" s="39">
        <v>44255</v>
      </c>
      <c r="K155" s="24">
        <f t="shared" si="10"/>
        <v>28</v>
      </c>
      <c r="L155" s="24">
        <f t="shared" si="11"/>
        <v>1428</v>
      </c>
      <c r="M155" s="24">
        <v>3722400</v>
      </c>
    </row>
    <row r="156" spans="1:13" s="80" customFormat="1" ht="13.5" outlineLevel="2">
      <c r="A156" s="39" t="s">
        <v>120</v>
      </c>
      <c r="B156" s="40" t="s">
        <v>25</v>
      </c>
      <c r="C156" s="41" t="s">
        <v>20</v>
      </c>
      <c r="D156" s="40" t="s">
        <v>21</v>
      </c>
      <c r="E156" s="24">
        <v>624000000</v>
      </c>
      <c r="F156" s="39">
        <v>44014</v>
      </c>
      <c r="G156" s="24">
        <v>624000000</v>
      </c>
      <c r="H156" s="23">
        <v>5.0000000000000001E-3</v>
      </c>
      <c r="I156" s="39">
        <v>44228</v>
      </c>
      <c r="J156" s="39">
        <v>44255</v>
      </c>
      <c r="K156" s="24">
        <f t="shared" si="10"/>
        <v>28</v>
      </c>
      <c r="L156" s="24">
        <f t="shared" si="11"/>
        <v>239342</v>
      </c>
      <c r="M156" s="24">
        <v>624000000</v>
      </c>
    </row>
    <row r="157" spans="1:13" s="80" customFormat="1" ht="13.5" outlineLevel="2">
      <c r="A157" s="39" t="s">
        <v>120</v>
      </c>
      <c r="B157" s="40" t="s">
        <v>26</v>
      </c>
      <c r="C157" s="41" t="s">
        <v>20</v>
      </c>
      <c r="D157" s="40" t="s">
        <v>21</v>
      </c>
      <c r="E157" s="24">
        <v>82000000</v>
      </c>
      <c r="F157" s="39">
        <v>44042</v>
      </c>
      <c r="G157" s="24">
        <v>82000000</v>
      </c>
      <c r="H157" s="23">
        <v>5.0000000000000001E-3</v>
      </c>
      <c r="I157" s="39">
        <v>44228</v>
      </c>
      <c r="J157" s="39">
        <v>44255</v>
      </c>
      <c r="K157" s="24">
        <f t="shared" si="10"/>
        <v>28</v>
      </c>
      <c r="L157" s="24">
        <f t="shared" si="11"/>
        <v>31452</v>
      </c>
      <c r="M157" s="24">
        <v>82000000</v>
      </c>
    </row>
    <row r="158" spans="1:13" s="80" customFormat="1" ht="13.5" outlineLevel="2">
      <c r="A158" s="39" t="s">
        <v>120</v>
      </c>
      <c r="B158" s="40" t="s">
        <v>29</v>
      </c>
      <c r="C158" s="41" t="s">
        <v>20</v>
      </c>
      <c r="D158" s="40" t="s">
        <v>21</v>
      </c>
      <c r="E158" s="24">
        <v>406400000</v>
      </c>
      <c r="F158" s="39">
        <v>44042</v>
      </c>
      <c r="G158" s="24">
        <v>406400000</v>
      </c>
      <c r="H158" s="23">
        <v>3.0000000000000001E-3</v>
      </c>
      <c r="I158" s="39">
        <v>44228</v>
      </c>
      <c r="J158" s="39">
        <v>44255</v>
      </c>
      <c r="K158" s="24">
        <f t="shared" si="10"/>
        <v>28</v>
      </c>
      <c r="L158" s="24">
        <f t="shared" si="11"/>
        <v>93528</v>
      </c>
      <c r="M158" s="24">
        <v>406400000</v>
      </c>
    </row>
    <row r="159" spans="1:13" s="80" customFormat="1" ht="13.5" outlineLevel="2">
      <c r="A159" s="39" t="s">
        <v>120</v>
      </c>
      <c r="B159" s="40" t="s">
        <v>32</v>
      </c>
      <c r="C159" s="41" t="s">
        <v>20</v>
      </c>
      <c r="D159" s="40" t="s">
        <v>21</v>
      </c>
      <c r="E159" s="24">
        <v>51600000</v>
      </c>
      <c r="F159" s="39">
        <v>44042</v>
      </c>
      <c r="G159" s="24">
        <v>51600000</v>
      </c>
      <c r="H159" s="23">
        <v>3.0000000000000001E-3</v>
      </c>
      <c r="I159" s="39">
        <v>44228</v>
      </c>
      <c r="J159" s="39">
        <v>44255</v>
      </c>
      <c r="K159" s="24">
        <f t="shared" si="10"/>
        <v>28</v>
      </c>
      <c r="L159" s="24">
        <f t="shared" si="11"/>
        <v>11875</v>
      </c>
      <c r="M159" s="24">
        <v>51600000</v>
      </c>
    </row>
    <row r="160" spans="1:13" s="80" customFormat="1" ht="13.5" outlineLevel="2">
      <c r="A160" s="39" t="s">
        <v>120</v>
      </c>
      <c r="B160" s="40" t="s">
        <v>33</v>
      </c>
      <c r="C160" s="41" t="s">
        <v>125</v>
      </c>
      <c r="D160" s="40" t="s">
        <v>126</v>
      </c>
      <c r="E160" s="24">
        <v>1850000</v>
      </c>
      <c r="F160" s="39">
        <v>44018</v>
      </c>
      <c r="G160" s="24">
        <v>1850000</v>
      </c>
      <c r="H160" s="23">
        <v>5.0000000000000001E-3</v>
      </c>
      <c r="I160" s="39">
        <v>44228</v>
      </c>
      <c r="J160" s="39">
        <v>44255</v>
      </c>
      <c r="K160" s="24">
        <f t="shared" si="10"/>
        <v>28</v>
      </c>
      <c r="L160" s="24">
        <f t="shared" si="11"/>
        <v>710</v>
      </c>
      <c r="M160" s="24">
        <v>1850000</v>
      </c>
    </row>
    <row r="161" spans="1:13" s="80" customFormat="1" ht="13.5" outlineLevel="2">
      <c r="A161" s="39" t="s">
        <v>120</v>
      </c>
      <c r="B161" s="40" t="s">
        <v>34</v>
      </c>
      <c r="C161" s="41" t="s">
        <v>125</v>
      </c>
      <c r="D161" s="40" t="s">
        <v>126</v>
      </c>
      <c r="E161" s="24">
        <v>5400000</v>
      </c>
      <c r="F161" s="39">
        <v>44019</v>
      </c>
      <c r="G161" s="24">
        <v>5400000</v>
      </c>
      <c r="H161" s="23">
        <v>5.0000000000000001E-3</v>
      </c>
      <c r="I161" s="39">
        <v>44228</v>
      </c>
      <c r="J161" s="39">
        <v>44255</v>
      </c>
      <c r="K161" s="24">
        <f t="shared" si="10"/>
        <v>28</v>
      </c>
      <c r="L161" s="24">
        <f t="shared" si="11"/>
        <v>2071</v>
      </c>
      <c r="M161" s="24">
        <v>5400000</v>
      </c>
    </row>
    <row r="162" spans="1:13" s="80" customFormat="1" ht="13.5" outlineLevel="2">
      <c r="A162" s="39" t="s">
        <v>120</v>
      </c>
      <c r="B162" s="40" t="s">
        <v>35</v>
      </c>
      <c r="C162" s="41" t="s">
        <v>125</v>
      </c>
      <c r="D162" s="40" t="s">
        <v>126</v>
      </c>
      <c r="E162" s="24">
        <v>2300000</v>
      </c>
      <c r="F162" s="39">
        <v>44027</v>
      </c>
      <c r="G162" s="24">
        <v>2300000</v>
      </c>
      <c r="H162" s="23">
        <v>5.0000000000000001E-3</v>
      </c>
      <c r="I162" s="39">
        <v>44228</v>
      </c>
      <c r="J162" s="39">
        <v>44255</v>
      </c>
      <c r="K162" s="24">
        <f t="shared" si="10"/>
        <v>28</v>
      </c>
      <c r="L162" s="24">
        <f t="shared" si="11"/>
        <v>882</v>
      </c>
      <c r="M162" s="24">
        <v>2300000</v>
      </c>
    </row>
    <row r="163" spans="1:13" s="80" customFormat="1" ht="13.5" outlineLevel="2">
      <c r="A163" s="39" t="s">
        <v>120</v>
      </c>
      <c r="B163" s="40" t="s">
        <v>36</v>
      </c>
      <c r="C163" s="41" t="s">
        <v>125</v>
      </c>
      <c r="D163" s="40" t="s">
        <v>126</v>
      </c>
      <c r="E163" s="24">
        <v>16280000</v>
      </c>
      <c r="F163" s="39">
        <v>44041</v>
      </c>
      <c r="G163" s="24">
        <v>16280000</v>
      </c>
      <c r="H163" s="23">
        <v>5.0000000000000001E-3</v>
      </c>
      <c r="I163" s="39">
        <v>44228</v>
      </c>
      <c r="J163" s="39">
        <v>44255</v>
      </c>
      <c r="K163" s="24">
        <f t="shared" si="10"/>
        <v>28</v>
      </c>
      <c r="L163" s="24">
        <f t="shared" si="11"/>
        <v>6244</v>
      </c>
      <c r="M163" s="24">
        <v>16280000</v>
      </c>
    </row>
    <row r="164" spans="1:13" s="80" customFormat="1" ht="13.5" outlineLevel="2">
      <c r="A164" s="39" t="s">
        <v>120</v>
      </c>
      <c r="B164" s="40" t="s">
        <v>39</v>
      </c>
      <c r="C164" s="41" t="s">
        <v>127</v>
      </c>
      <c r="D164" s="40" t="s">
        <v>18</v>
      </c>
      <c r="E164" s="24">
        <v>162300000</v>
      </c>
      <c r="F164" s="39">
        <v>43829</v>
      </c>
      <c r="G164" s="24">
        <v>127135000</v>
      </c>
      <c r="H164" s="23">
        <v>5.0000000000000001E-3</v>
      </c>
      <c r="I164" s="39">
        <v>44228</v>
      </c>
      <c r="J164" s="39">
        <v>44243</v>
      </c>
      <c r="K164" s="24">
        <f t="shared" si="10"/>
        <v>16</v>
      </c>
      <c r="L164" s="24">
        <f t="shared" si="11"/>
        <v>27865</v>
      </c>
      <c r="M164" s="24">
        <v>124430000</v>
      </c>
    </row>
    <row r="165" spans="1:13" s="80" customFormat="1" ht="13.5" outlineLevel="2">
      <c r="A165" s="39" t="s">
        <v>120</v>
      </c>
      <c r="B165" s="40" t="s">
        <v>39</v>
      </c>
      <c r="C165" s="41" t="s">
        <v>127</v>
      </c>
      <c r="D165" s="40"/>
      <c r="E165" s="24"/>
      <c r="F165" s="39"/>
      <c r="G165" s="24">
        <v>124430000</v>
      </c>
      <c r="H165" s="23">
        <v>5.0000000000000001E-3</v>
      </c>
      <c r="I165" s="39">
        <v>44244</v>
      </c>
      <c r="J165" s="39">
        <v>44255</v>
      </c>
      <c r="K165" s="24">
        <f t="shared" si="10"/>
        <v>12</v>
      </c>
      <c r="L165" s="24">
        <f t="shared" si="11"/>
        <v>20454</v>
      </c>
      <c r="M165" s="24"/>
    </row>
    <row r="166" spans="1:13" s="80" customFormat="1" ht="13.5" outlineLevel="2">
      <c r="A166" s="39" t="s">
        <v>120</v>
      </c>
      <c r="B166" s="40" t="s">
        <v>40</v>
      </c>
      <c r="C166" s="41" t="s">
        <v>71</v>
      </c>
      <c r="D166" s="40" t="s">
        <v>72</v>
      </c>
      <c r="E166" s="24">
        <v>30000000</v>
      </c>
      <c r="F166" s="39">
        <v>44020</v>
      </c>
      <c r="G166" s="24">
        <v>30000000</v>
      </c>
      <c r="H166" s="23">
        <v>5.0000000000000001E-3</v>
      </c>
      <c r="I166" s="39">
        <v>44228</v>
      </c>
      <c r="J166" s="39">
        <v>44255</v>
      </c>
      <c r="K166" s="24">
        <f t="shared" si="10"/>
        <v>28</v>
      </c>
      <c r="L166" s="24">
        <f t="shared" si="11"/>
        <v>11507</v>
      </c>
      <c r="M166" s="24">
        <v>30000000</v>
      </c>
    </row>
    <row r="167" spans="1:13" s="80" customFormat="1" ht="13.5" outlineLevel="2">
      <c r="A167" s="39" t="s">
        <v>120</v>
      </c>
      <c r="B167" s="40" t="s">
        <v>41</v>
      </c>
      <c r="C167" s="41" t="s">
        <v>27</v>
      </c>
      <c r="D167" s="40" t="s">
        <v>28</v>
      </c>
      <c r="E167" s="24">
        <v>35100000</v>
      </c>
      <c r="F167" s="39">
        <v>44013</v>
      </c>
      <c r="G167" s="24">
        <v>35100000</v>
      </c>
      <c r="H167" s="23">
        <v>5.0000000000000001E-3</v>
      </c>
      <c r="I167" s="39">
        <v>44228</v>
      </c>
      <c r="J167" s="39">
        <v>44255</v>
      </c>
      <c r="K167" s="24">
        <f t="shared" si="10"/>
        <v>28</v>
      </c>
      <c r="L167" s="24">
        <f t="shared" si="11"/>
        <v>13463</v>
      </c>
      <c r="M167" s="24">
        <v>35100000</v>
      </c>
    </row>
    <row r="168" spans="1:13" s="80" customFormat="1" ht="13.5" outlineLevel="2">
      <c r="A168" s="39" t="s">
        <v>120</v>
      </c>
      <c r="B168" s="40" t="s">
        <v>42</v>
      </c>
      <c r="C168" s="41" t="s">
        <v>27</v>
      </c>
      <c r="D168" s="40" t="s">
        <v>28</v>
      </c>
      <c r="E168" s="24">
        <v>14900000</v>
      </c>
      <c r="F168" s="39">
        <v>44021</v>
      </c>
      <c r="G168" s="24">
        <v>14900000</v>
      </c>
      <c r="H168" s="23">
        <v>5.0000000000000001E-3</v>
      </c>
      <c r="I168" s="39">
        <v>44228</v>
      </c>
      <c r="J168" s="39">
        <v>44255</v>
      </c>
      <c r="K168" s="24">
        <f t="shared" si="10"/>
        <v>28</v>
      </c>
      <c r="L168" s="24">
        <f t="shared" si="11"/>
        <v>5715</v>
      </c>
      <c r="M168" s="24">
        <v>14900000</v>
      </c>
    </row>
    <row r="169" spans="1:13" s="80" customFormat="1" ht="13.5" outlineLevel="2">
      <c r="A169" s="39" t="s">
        <v>120</v>
      </c>
      <c r="B169" s="40" t="s">
        <v>43</v>
      </c>
      <c r="C169" s="41" t="s">
        <v>71</v>
      </c>
      <c r="D169" s="40" t="s">
        <v>72</v>
      </c>
      <c r="E169" s="24">
        <v>30000000</v>
      </c>
      <c r="F169" s="39">
        <v>44050</v>
      </c>
      <c r="G169" s="24">
        <v>30000000</v>
      </c>
      <c r="H169" s="23">
        <v>5.0000000000000001E-3</v>
      </c>
      <c r="I169" s="39">
        <v>44228</v>
      </c>
      <c r="J169" s="39">
        <v>44255</v>
      </c>
      <c r="K169" s="24">
        <f t="shared" si="10"/>
        <v>28</v>
      </c>
      <c r="L169" s="24">
        <f t="shared" si="11"/>
        <v>11507</v>
      </c>
      <c r="M169" s="24">
        <v>30000000</v>
      </c>
    </row>
    <row r="170" spans="1:13" s="80" customFormat="1" ht="13.5" outlineLevel="2">
      <c r="A170" s="39" t="s">
        <v>120</v>
      </c>
      <c r="B170" s="40" t="s">
        <v>44</v>
      </c>
      <c r="C170" s="41" t="s">
        <v>83</v>
      </c>
      <c r="D170" s="40" t="s">
        <v>84</v>
      </c>
      <c r="E170" s="24">
        <v>72450000</v>
      </c>
      <c r="F170" s="39">
        <v>44064</v>
      </c>
      <c r="G170" s="24">
        <v>72450000</v>
      </c>
      <c r="H170" s="23">
        <v>5.0000000000000001E-3</v>
      </c>
      <c r="I170" s="39">
        <v>44228</v>
      </c>
      <c r="J170" s="39">
        <v>44255</v>
      </c>
      <c r="K170" s="24">
        <f t="shared" si="10"/>
        <v>28</v>
      </c>
      <c r="L170" s="24">
        <f t="shared" si="11"/>
        <v>27789</v>
      </c>
      <c r="M170" s="24">
        <v>72450000</v>
      </c>
    </row>
    <row r="171" spans="1:13" s="80" customFormat="1" ht="13.5" outlineLevel="2">
      <c r="A171" s="39" t="s">
        <v>120</v>
      </c>
      <c r="B171" s="40" t="s">
        <v>47</v>
      </c>
      <c r="C171" s="41" t="s">
        <v>97</v>
      </c>
      <c r="D171" s="40" t="s">
        <v>98</v>
      </c>
      <c r="E171" s="24">
        <v>77500000</v>
      </c>
      <c r="F171" s="39">
        <v>44060</v>
      </c>
      <c r="G171" s="24">
        <v>77500000</v>
      </c>
      <c r="H171" s="23">
        <v>5.0000000000000001E-3</v>
      </c>
      <c r="I171" s="39">
        <v>44228</v>
      </c>
      <c r="J171" s="39">
        <v>44255</v>
      </c>
      <c r="K171" s="24">
        <f t="shared" si="10"/>
        <v>28</v>
      </c>
      <c r="L171" s="24">
        <f t="shared" si="11"/>
        <v>29726</v>
      </c>
      <c r="M171" s="24">
        <v>77500000</v>
      </c>
    </row>
    <row r="172" spans="1:13" s="80" customFormat="1" ht="13.5" outlineLevel="2">
      <c r="A172" s="39" t="s">
        <v>120</v>
      </c>
      <c r="B172" s="40" t="s">
        <v>50</v>
      </c>
      <c r="C172" s="41" t="s">
        <v>83</v>
      </c>
      <c r="D172" s="40" t="s">
        <v>84</v>
      </c>
      <c r="E172" s="24">
        <v>160000000</v>
      </c>
      <c r="F172" s="39">
        <v>44098</v>
      </c>
      <c r="G172" s="24">
        <v>160000000</v>
      </c>
      <c r="H172" s="23">
        <v>5.0000000000000001E-3</v>
      </c>
      <c r="I172" s="39">
        <v>44228</v>
      </c>
      <c r="J172" s="39">
        <v>44255</v>
      </c>
      <c r="K172" s="24">
        <f t="shared" si="10"/>
        <v>28</v>
      </c>
      <c r="L172" s="24">
        <f t="shared" si="11"/>
        <v>61370</v>
      </c>
      <c r="M172" s="24">
        <v>160000000</v>
      </c>
    </row>
    <row r="173" spans="1:13" s="80" customFormat="1" ht="13.5" outlineLevel="2">
      <c r="A173" s="39" t="s">
        <v>120</v>
      </c>
      <c r="B173" s="40" t="s">
        <v>51</v>
      </c>
      <c r="C173" s="41" t="s">
        <v>128</v>
      </c>
      <c r="D173" s="40" t="s">
        <v>129</v>
      </c>
      <c r="E173" s="24">
        <v>73100000</v>
      </c>
      <c r="F173" s="39">
        <v>44095</v>
      </c>
      <c r="G173" s="24">
        <v>73100000</v>
      </c>
      <c r="H173" s="23">
        <v>5.0000000000000001E-3</v>
      </c>
      <c r="I173" s="39">
        <v>44228</v>
      </c>
      <c r="J173" s="39">
        <v>44255</v>
      </c>
      <c r="K173" s="24">
        <f t="shared" si="10"/>
        <v>28</v>
      </c>
      <c r="L173" s="24">
        <f t="shared" si="11"/>
        <v>28038</v>
      </c>
      <c r="M173" s="24">
        <v>73100000</v>
      </c>
    </row>
    <row r="174" spans="1:13" s="80" customFormat="1" ht="13.5" outlineLevel="2">
      <c r="A174" s="39" t="s">
        <v>120</v>
      </c>
      <c r="B174" s="40" t="s">
        <v>52</v>
      </c>
      <c r="C174" s="41" t="s">
        <v>125</v>
      </c>
      <c r="D174" s="40" t="s">
        <v>126</v>
      </c>
      <c r="E174" s="24">
        <v>3000000</v>
      </c>
      <c r="F174" s="39">
        <v>44132</v>
      </c>
      <c r="G174" s="24">
        <v>3000000</v>
      </c>
      <c r="H174" s="23">
        <v>5.0000000000000001E-3</v>
      </c>
      <c r="I174" s="39">
        <v>44228</v>
      </c>
      <c r="J174" s="39">
        <v>44255</v>
      </c>
      <c r="K174" s="24">
        <f t="shared" si="10"/>
        <v>28</v>
      </c>
      <c r="L174" s="24">
        <f t="shared" si="11"/>
        <v>1151</v>
      </c>
      <c r="M174" s="24">
        <v>3000000</v>
      </c>
    </row>
    <row r="175" spans="1:13" s="80" customFormat="1" ht="13.5" outlineLevel="2">
      <c r="A175" s="39" t="s">
        <v>120</v>
      </c>
      <c r="B175" s="40" t="s">
        <v>53</v>
      </c>
      <c r="C175" s="41" t="s">
        <v>97</v>
      </c>
      <c r="D175" s="40" t="s">
        <v>98</v>
      </c>
      <c r="E175" s="24">
        <v>141000000</v>
      </c>
      <c r="F175" s="39">
        <v>44119</v>
      </c>
      <c r="G175" s="24">
        <v>141000000</v>
      </c>
      <c r="H175" s="23">
        <v>5.0000000000000001E-3</v>
      </c>
      <c r="I175" s="39">
        <v>44228</v>
      </c>
      <c r="J175" s="39">
        <v>44255</v>
      </c>
      <c r="K175" s="24">
        <f t="shared" si="10"/>
        <v>28</v>
      </c>
      <c r="L175" s="24">
        <f t="shared" si="11"/>
        <v>54082</v>
      </c>
      <c r="M175" s="24">
        <v>141000000</v>
      </c>
    </row>
    <row r="176" spans="1:13" s="80" customFormat="1" ht="13.5" outlineLevel="2">
      <c r="A176" s="39" t="s">
        <v>120</v>
      </c>
      <c r="B176" s="40" t="s">
        <v>54</v>
      </c>
      <c r="C176" s="41" t="s">
        <v>20</v>
      </c>
      <c r="D176" s="40" t="s">
        <v>21</v>
      </c>
      <c r="E176" s="24">
        <v>60000000</v>
      </c>
      <c r="F176" s="39">
        <v>43922</v>
      </c>
      <c r="G176" s="24">
        <v>60000000</v>
      </c>
      <c r="H176" s="23">
        <v>3.0000000000000001E-3</v>
      </c>
      <c r="I176" s="39">
        <v>44228</v>
      </c>
      <c r="J176" s="39">
        <v>44255</v>
      </c>
      <c r="K176" s="24">
        <f t="shared" si="10"/>
        <v>28</v>
      </c>
      <c r="L176" s="24">
        <f t="shared" si="11"/>
        <v>13808</v>
      </c>
      <c r="M176" s="24">
        <v>60000000</v>
      </c>
    </row>
    <row r="177" spans="1:13" s="80" customFormat="1" ht="13.5" outlineLevel="2">
      <c r="A177" s="39" t="s">
        <v>120</v>
      </c>
      <c r="B177" s="40" t="s">
        <v>57</v>
      </c>
      <c r="C177" s="41" t="s">
        <v>125</v>
      </c>
      <c r="D177" s="40" t="s">
        <v>126</v>
      </c>
      <c r="E177" s="24">
        <v>2500000</v>
      </c>
      <c r="F177" s="39">
        <v>44146</v>
      </c>
      <c r="G177" s="24">
        <v>2500000</v>
      </c>
      <c r="H177" s="23">
        <v>5.0000000000000001E-3</v>
      </c>
      <c r="I177" s="39">
        <v>44228</v>
      </c>
      <c r="J177" s="39">
        <v>44255</v>
      </c>
      <c r="K177" s="24">
        <f t="shared" si="10"/>
        <v>28</v>
      </c>
      <c r="L177" s="24">
        <f t="shared" si="11"/>
        <v>959</v>
      </c>
      <c r="M177" s="24">
        <v>2500000</v>
      </c>
    </row>
    <row r="178" spans="1:13" s="80" customFormat="1" ht="13.5" outlineLevel="2">
      <c r="A178" s="39" t="s">
        <v>120</v>
      </c>
      <c r="B178" s="40" t="s">
        <v>58</v>
      </c>
      <c r="C178" s="41" t="s">
        <v>71</v>
      </c>
      <c r="D178" s="40" t="s">
        <v>72</v>
      </c>
      <c r="E178" s="24">
        <v>11610900</v>
      </c>
      <c r="F178" s="39">
        <v>44137</v>
      </c>
      <c r="G178" s="24">
        <v>11610900</v>
      </c>
      <c r="H178" s="23">
        <v>5.0000000000000001E-3</v>
      </c>
      <c r="I178" s="39">
        <v>44228</v>
      </c>
      <c r="J178" s="39">
        <v>44255</v>
      </c>
      <c r="K178" s="24">
        <f t="shared" si="10"/>
        <v>28</v>
      </c>
      <c r="L178" s="24">
        <f t="shared" si="11"/>
        <v>4453</v>
      </c>
      <c r="M178" s="24">
        <v>11610900</v>
      </c>
    </row>
    <row r="179" spans="1:13" s="80" customFormat="1" ht="13.5" outlineLevel="2">
      <c r="A179" s="39" t="s">
        <v>120</v>
      </c>
      <c r="B179" s="40" t="s">
        <v>99</v>
      </c>
      <c r="C179" s="41" t="s">
        <v>130</v>
      </c>
      <c r="D179" s="40" t="s">
        <v>131</v>
      </c>
      <c r="E179" s="24">
        <v>12000000</v>
      </c>
      <c r="F179" s="39">
        <v>44145</v>
      </c>
      <c r="G179" s="24">
        <v>12000000</v>
      </c>
      <c r="H179" s="23">
        <v>5.0000000000000001E-3</v>
      </c>
      <c r="I179" s="39">
        <v>44228</v>
      </c>
      <c r="J179" s="39">
        <v>44255</v>
      </c>
      <c r="K179" s="24">
        <f t="shared" si="10"/>
        <v>28</v>
      </c>
      <c r="L179" s="24">
        <f t="shared" si="11"/>
        <v>4603</v>
      </c>
      <c r="M179" s="24">
        <v>12000000</v>
      </c>
    </row>
    <row r="180" spans="1:13" s="80" customFormat="1" ht="13.5" outlineLevel="2">
      <c r="A180" s="39" t="s">
        <v>120</v>
      </c>
      <c r="B180" s="40" t="s">
        <v>100</v>
      </c>
      <c r="C180" s="41" t="s">
        <v>132</v>
      </c>
      <c r="D180" s="40" t="s">
        <v>133</v>
      </c>
      <c r="E180" s="24">
        <v>23000000</v>
      </c>
      <c r="F180" s="39">
        <v>44137</v>
      </c>
      <c r="G180" s="24">
        <v>21850001</v>
      </c>
      <c r="H180" s="23">
        <v>5.0000000000000001E-3</v>
      </c>
      <c r="I180" s="39">
        <v>44228</v>
      </c>
      <c r="J180" s="39">
        <v>44243</v>
      </c>
      <c r="K180" s="24">
        <f t="shared" si="10"/>
        <v>16</v>
      </c>
      <c r="L180" s="24">
        <f t="shared" si="11"/>
        <v>4789</v>
      </c>
      <c r="M180" s="24">
        <v>21466668</v>
      </c>
    </row>
    <row r="181" spans="1:13" s="80" customFormat="1" ht="13.5" outlineLevel="2">
      <c r="A181" s="39" t="s">
        <v>120</v>
      </c>
      <c r="B181" s="40" t="s">
        <v>100</v>
      </c>
      <c r="C181" s="41" t="s">
        <v>132</v>
      </c>
      <c r="D181" s="40"/>
      <c r="E181" s="24"/>
      <c r="F181" s="39"/>
      <c r="G181" s="24">
        <v>21466668</v>
      </c>
      <c r="H181" s="23">
        <v>5.0000000000000001E-3</v>
      </c>
      <c r="I181" s="39">
        <v>44244</v>
      </c>
      <c r="J181" s="39">
        <v>44255</v>
      </c>
      <c r="K181" s="24">
        <f t="shared" si="10"/>
        <v>12</v>
      </c>
      <c r="L181" s="24">
        <f t="shared" si="11"/>
        <v>3529</v>
      </c>
      <c r="M181" s="24"/>
    </row>
    <row r="182" spans="1:13" s="80" customFormat="1" ht="13.5" outlineLevel="2">
      <c r="A182" s="39" t="s">
        <v>120</v>
      </c>
      <c r="B182" s="40" t="s">
        <v>101</v>
      </c>
      <c r="C182" s="41" t="s">
        <v>132</v>
      </c>
      <c r="D182" s="40" t="s">
        <v>133</v>
      </c>
      <c r="E182" s="24">
        <v>17000000</v>
      </c>
      <c r="F182" s="39">
        <v>44145</v>
      </c>
      <c r="G182" s="24">
        <v>16150001</v>
      </c>
      <c r="H182" s="23">
        <v>5.0000000000000001E-3</v>
      </c>
      <c r="I182" s="39">
        <v>44228</v>
      </c>
      <c r="J182" s="39">
        <v>44243</v>
      </c>
      <c r="K182" s="24">
        <f t="shared" si="10"/>
        <v>16</v>
      </c>
      <c r="L182" s="24">
        <f t="shared" si="11"/>
        <v>3540</v>
      </c>
      <c r="M182" s="24">
        <v>15866668</v>
      </c>
    </row>
    <row r="183" spans="1:13" s="80" customFormat="1" ht="13.5" outlineLevel="2">
      <c r="A183" s="39" t="s">
        <v>120</v>
      </c>
      <c r="B183" s="40" t="s">
        <v>101</v>
      </c>
      <c r="C183" s="41" t="s">
        <v>132</v>
      </c>
      <c r="D183" s="40"/>
      <c r="E183" s="24"/>
      <c r="F183" s="39"/>
      <c r="G183" s="24">
        <v>15866668</v>
      </c>
      <c r="H183" s="23">
        <v>5.0000000000000001E-3</v>
      </c>
      <c r="I183" s="39">
        <v>44244</v>
      </c>
      <c r="J183" s="39">
        <v>44255</v>
      </c>
      <c r="K183" s="24">
        <f t="shared" si="10"/>
        <v>12</v>
      </c>
      <c r="L183" s="24">
        <f t="shared" si="11"/>
        <v>2608</v>
      </c>
      <c r="M183" s="24"/>
    </row>
    <row r="184" spans="1:13" s="80" customFormat="1" ht="13.5" outlineLevel="2">
      <c r="A184" s="39" t="s">
        <v>120</v>
      </c>
      <c r="B184" s="40" t="s">
        <v>102</v>
      </c>
      <c r="C184" s="41" t="s">
        <v>17</v>
      </c>
      <c r="D184" s="40" t="s">
        <v>18</v>
      </c>
      <c r="E184" s="24">
        <v>4591000</v>
      </c>
      <c r="F184" s="39">
        <v>44160</v>
      </c>
      <c r="G184" s="24">
        <v>4437966</v>
      </c>
      <c r="H184" s="23">
        <v>5.0000000000000001E-3</v>
      </c>
      <c r="I184" s="39">
        <v>44228</v>
      </c>
      <c r="J184" s="39">
        <v>44243</v>
      </c>
      <c r="K184" s="24">
        <f t="shared" si="10"/>
        <v>16</v>
      </c>
      <c r="L184" s="24">
        <f t="shared" si="11"/>
        <v>973</v>
      </c>
      <c r="M184" s="24">
        <v>4361449</v>
      </c>
    </row>
    <row r="185" spans="1:13" s="80" customFormat="1" ht="13.5" outlineLevel="2">
      <c r="A185" s="39" t="s">
        <v>120</v>
      </c>
      <c r="B185" s="40" t="s">
        <v>102</v>
      </c>
      <c r="C185" s="41" t="s">
        <v>17</v>
      </c>
      <c r="D185" s="40"/>
      <c r="E185" s="24"/>
      <c r="F185" s="39"/>
      <c r="G185" s="24">
        <v>4361449</v>
      </c>
      <c r="H185" s="23">
        <v>5.0000000000000001E-3</v>
      </c>
      <c r="I185" s="39">
        <v>44244</v>
      </c>
      <c r="J185" s="39">
        <v>44255</v>
      </c>
      <c r="K185" s="24">
        <f t="shared" ref="K185:K216" si="12">J185-I185+1</f>
        <v>12</v>
      </c>
      <c r="L185" s="24">
        <f t="shared" ref="L185:L216" si="13">ROUND(G185*H185*K185/365,0)</f>
        <v>717</v>
      </c>
      <c r="M185" s="24"/>
    </row>
    <row r="186" spans="1:13" s="80" customFormat="1" ht="13.5" outlineLevel="2">
      <c r="A186" s="39" t="s">
        <v>120</v>
      </c>
      <c r="B186" s="40" t="s">
        <v>103</v>
      </c>
      <c r="C186" s="41" t="s">
        <v>83</v>
      </c>
      <c r="D186" s="40" t="s">
        <v>84</v>
      </c>
      <c r="E186" s="24">
        <v>238000000</v>
      </c>
      <c r="F186" s="39">
        <v>44189</v>
      </c>
      <c r="G186" s="24">
        <v>238000000</v>
      </c>
      <c r="H186" s="23">
        <v>5.0000000000000001E-3</v>
      </c>
      <c r="I186" s="39">
        <v>44228</v>
      </c>
      <c r="J186" s="39">
        <v>44255</v>
      </c>
      <c r="K186" s="24">
        <f t="shared" si="12"/>
        <v>28</v>
      </c>
      <c r="L186" s="24">
        <f t="shared" si="13"/>
        <v>91288</v>
      </c>
      <c r="M186" s="24">
        <v>238000000</v>
      </c>
    </row>
    <row r="187" spans="1:13" s="80" customFormat="1" ht="13.5" outlineLevel="2">
      <c r="A187" s="39" t="s">
        <v>120</v>
      </c>
      <c r="B187" s="40" t="s">
        <v>104</v>
      </c>
      <c r="C187" s="41" t="s">
        <v>97</v>
      </c>
      <c r="D187" s="40" t="s">
        <v>98</v>
      </c>
      <c r="E187" s="24">
        <v>17000000</v>
      </c>
      <c r="F187" s="39">
        <v>44180</v>
      </c>
      <c r="G187" s="24">
        <v>17000000</v>
      </c>
      <c r="H187" s="23">
        <v>5.0000000000000001E-3</v>
      </c>
      <c r="I187" s="39">
        <v>44228</v>
      </c>
      <c r="J187" s="39">
        <v>44255</v>
      </c>
      <c r="K187" s="24">
        <f t="shared" si="12"/>
        <v>28</v>
      </c>
      <c r="L187" s="24">
        <f t="shared" si="13"/>
        <v>6521</v>
      </c>
      <c r="M187" s="24">
        <v>17000000</v>
      </c>
    </row>
    <row r="188" spans="1:13" s="80" customFormat="1" ht="13.5" outlineLevel="2">
      <c r="A188" s="39" t="s">
        <v>120</v>
      </c>
      <c r="B188" s="40" t="s">
        <v>105</v>
      </c>
      <c r="C188" s="41" t="s">
        <v>134</v>
      </c>
      <c r="D188" s="40" t="s">
        <v>135</v>
      </c>
      <c r="E188" s="24">
        <v>8000000</v>
      </c>
      <c r="F188" s="39">
        <v>44169</v>
      </c>
      <c r="G188" s="24">
        <v>8000000</v>
      </c>
      <c r="H188" s="23">
        <v>5.0000000000000001E-3</v>
      </c>
      <c r="I188" s="39">
        <v>44228</v>
      </c>
      <c r="J188" s="39">
        <v>44255</v>
      </c>
      <c r="K188" s="24">
        <f t="shared" si="12"/>
        <v>28</v>
      </c>
      <c r="L188" s="24">
        <f t="shared" si="13"/>
        <v>3068</v>
      </c>
      <c r="M188" s="24">
        <v>8000000</v>
      </c>
    </row>
    <row r="189" spans="1:13" s="80" customFormat="1" ht="13.5" outlineLevel="2">
      <c r="A189" s="39" t="s">
        <v>120</v>
      </c>
      <c r="B189" s="40" t="s">
        <v>106</v>
      </c>
      <c r="C189" s="41" t="s">
        <v>134</v>
      </c>
      <c r="D189" s="40" t="s">
        <v>135</v>
      </c>
      <c r="E189" s="24">
        <v>15000000</v>
      </c>
      <c r="F189" s="39">
        <v>44169</v>
      </c>
      <c r="G189" s="24">
        <v>15000000</v>
      </c>
      <c r="H189" s="23">
        <v>5.0000000000000001E-3</v>
      </c>
      <c r="I189" s="39">
        <v>44228</v>
      </c>
      <c r="J189" s="39">
        <v>44255</v>
      </c>
      <c r="K189" s="24">
        <f t="shared" si="12"/>
        <v>28</v>
      </c>
      <c r="L189" s="24">
        <f t="shared" si="13"/>
        <v>5753</v>
      </c>
      <c r="M189" s="24">
        <v>15000000</v>
      </c>
    </row>
    <row r="190" spans="1:13" s="80" customFormat="1" ht="13.5" outlineLevel="2">
      <c r="A190" s="39" t="s">
        <v>120</v>
      </c>
      <c r="B190" s="40" t="s">
        <v>59</v>
      </c>
      <c r="C190" s="41" t="s">
        <v>20</v>
      </c>
      <c r="D190" s="40" t="s">
        <v>21</v>
      </c>
      <c r="E190" s="24">
        <v>144000000</v>
      </c>
      <c r="F190" s="39">
        <v>43922</v>
      </c>
      <c r="G190" s="24">
        <v>144000000</v>
      </c>
      <c r="H190" s="23">
        <v>5.0000000000000001E-3</v>
      </c>
      <c r="I190" s="39">
        <v>44228</v>
      </c>
      <c r="J190" s="39">
        <v>44255</v>
      </c>
      <c r="K190" s="24">
        <f t="shared" si="12"/>
        <v>28</v>
      </c>
      <c r="L190" s="24">
        <f t="shared" si="13"/>
        <v>55233</v>
      </c>
      <c r="M190" s="24">
        <v>144000000</v>
      </c>
    </row>
    <row r="191" spans="1:13" s="80" customFormat="1" ht="13.5" outlineLevel="2">
      <c r="A191" s="39" t="s">
        <v>120</v>
      </c>
      <c r="B191" s="40" t="s">
        <v>136</v>
      </c>
      <c r="C191" s="41" t="s">
        <v>125</v>
      </c>
      <c r="D191" s="40" t="s">
        <v>126</v>
      </c>
      <c r="E191" s="24">
        <v>7000000</v>
      </c>
      <c r="F191" s="39">
        <v>44202</v>
      </c>
      <c r="G191" s="24">
        <v>7000000</v>
      </c>
      <c r="H191" s="23">
        <v>5.0000000000000001E-3</v>
      </c>
      <c r="I191" s="39">
        <v>44228</v>
      </c>
      <c r="J191" s="39">
        <v>44255</v>
      </c>
      <c r="K191" s="24">
        <f t="shared" si="12"/>
        <v>28</v>
      </c>
      <c r="L191" s="24">
        <f t="shared" si="13"/>
        <v>2685</v>
      </c>
      <c r="M191" s="24">
        <v>7000000</v>
      </c>
    </row>
    <row r="192" spans="1:13" s="80" customFormat="1" ht="13.5" outlineLevel="2">
      <c r="A192" s="39" t="s">
        <v>120</v>
      </c>
      <c r="B192" s="40" t="s">
        <v>137</v>
      </c>
      <c r="C192" s="41" t="s">
        <v>125</v>
      </c>
      <c r="D192" s="40" t="s">
        <v>126</v>
      </c>
      <c r="E192" s="24">
        <v>26000000</v>
      </c>
      <c r="F192" s="39">
        <v>44218</v>
      </c>
      <c r="G192" s="24">
        <v>26000000</v>
      </c>
      <c r="H192" s="23">
        <v>5.0000000000000001E-3</v>
      </c>
      <c r="I192" s="39">
        <v>44228</v>
      </c>
      <c r="J192" s="39">
        <v>44255</v>
      </c>
      <c r="K192" s="24">
        <f t="shared" si="12"/>
        <v>28</v>
      </c>
      <c r="L192" s="24">
        <f t="shared" si="13"/>
        <v>9973</v>
      </c>
      <c r="M192" s="24">
        <v>26000000</v>
      </c>
    </row>
    <row r="193" spans="1:13" s="80" customFormat="1" ht="13.5" outlineLevel="2">
      <c r="A193" s="39" t="s">
        <v>120</v>
      </c>
      <c r="B193" s="40" t="s">
        <v>138</v>
      </c>
      <c r="C193" s="41" t="s">
        <v>134</v>
      </c>
      <c r="D193" s="40" t="s">
        <v>135</v>
      </c>
      <c r="E193" s="24">
        <v>15000000</v>
      </c>
      <c r="F193" s="39">
        <v>44200</v>
      </c>
      <c r="G193" s="24">
        <v>15000000</v>
      </c>
      <c r="H193" s="23">
        <v>5.0000000000000001E-3</v>
      </c>
      <c r="I193" s="39">
        <v>44228</v>
      </c>
      <c r="J193" s="39">
        <v>44255</v>
      </c>
      <c r="K193" s="24">
        <f t="shared" si="12"/>
        <v>28</v>
      </c>
      <c r="L193" s="24">
        <f t="shared" si="13"/>
        <v>5753</v>
      </c>
      <c r="M193" s="24">
        <v>15000000</v>
      </c>
    </row>
    <row r="194" spans="1:13" s="80" customFormat="1" ht="13.5" outlineLevel="2">
      <c r="A194" s="39" t="s">
        <v>120</v>
      </c>
      <c r="B194" s="40" t="s">
        <v>139</v>
      </c>
      <c r="C194" s="41" t="s">
        <v>134</v>
      </c>
      <c r="D194" s="40" t="s">
        <v>135</v>
      </c>
      <c r="E194" s="24">
        <v>6000000</v>
      </c>
      <c r="F194" s="39">
        <v>44203</v>
      </c>
      <c r="G194" s="24">
        <v>6000000</v>
      </c>
      <c r="H194" s="23">
        <v>5.0000000000000001E-3</v>
      </c>
      <c r="I194" s="39">
        <v>44228</v>
      </c>
      <c r="J194" s="39">
        <v>44255</v>
      </c>
      <c r="K194" s="24">
        <f t="shared" si="12"/>
        <v>28</v>
      </c>
      <c r="L194" s="24">
        <f t="shared" si="13"/>
        <v>2301</v>
      </c>
      <c r="M194" s="24">
        <v>6000000</v>
      </c>
    </row>
    <row r="195" spans="1:13" s="80" customFormat="1" ht="13.5" outlineLevel="2">
      <c r="A195" s="39" t="s">
        <v>120</v>
      </c>
      <c r="B195" s="40" t="s">
        <v>140</v>
      </c>
      <c r="C195" s="41" t="s">
        <v>134</v>
      </c>
      <c r="D195" s="40" t="s">
        <v>135</v>
      </c>
      <c r="E195" s="24">
        <v>9000000</v>
      </c>
      <c r="F195" s="39">
        <v>44216</v>
      </c>
      <c r="G195" s="24">
        <v>9000000</v>
      </c>
      <c r="H195" s="23">
        <v>5.0000000000000001E-3</v>
      </c>
      <c r="I195" s="39">
        <v>44228</v>
      </c>
      <c r="J195" s="39">
        <v>44255</v>
      </c>
      <c r="K195" s="24">
        <f t="shared" si="12"/>
        <v>28</v>
      </c>
      <c r="L195" s="24">
        <f t="shared" si="13"/>
        <v>3452</v>
      </c>
      <c r="M195" s="24">
        <v>9000000</v>
      </c>
    </row>
    <row r="196" spans="1:13" s="80" customFormat="1" ht="13.5" outlineLevel="2">
      <c r="A196" s="39" t="s">
        <v>120</v>
      </c>
      <c r="B196" s="40" t="s">
        <v>169</v>
      </c>
      <c r="C196" s="41" t="s">
        <v>20</v>
      </c>
      <c r="D196" s="40" t="s">
        <v>21</v>
      </c>
      <c r="E196" s="24">
        <v>150000000</v>
      </c>
      <c r="F196" s="39">
        <v>44231</v>
      </c>
      <c r="G196" s="24">
        <v>150000000</v>
      </c>
      <c r="H196" s="23">
        <v>3.0000000000000001E-3</v>
      </c>
      <c r="I196" s="39">
        <v>44231</v>
      </c>
      <c r="J196" s="39">
        <v>44255</v>
      </c>
      <c r="K196" s="24">
        <f t="shared" si="12"/>
        <v>25</v>
      </c>
      <c r="L196" s="24">
        <f t="shared" si="13"/>
        <v>30822</v>
      </c>
      <c r="M196" s="24">
        <v>150000000</v>
      </c>
    </row>
    <row r="197" spans="1:13" s="80" customFormat="1" ht="13.5" outlineLevel="2">
      <c r="A197" s="39" t="s">
        <v>120</v>
      </c>
      <c r="B197" s="40" t="s">
        <v>170</v>
      </c>
      <c r="C197" s="41" t="s">
        <v>134</v>
      </c>
      <c r="D197" s="40" t="s">
        <v>135</v>
      </c>
      <c r="E197" s="24">
        <v>2000000</v>
      </c>
      <c r="F197" s="39">
        <v>44228</v>
      </c>
      <c r="G197" s="24">
        <v>2000000</v>
      </c>
      <c r="H197" s="23">
        <v>5.0000000000000001E-3</v>
      </c>
      <c r="I197" s="39">
        <v>44228</v>
      </c>
      <c r="J197" s="39">
        <v>44255</v>
      </c>
      <c r="K197" s="24">
        <f t="shared" si="12"/>
        <v>28</v>
      </c>
      <c r="L197" s="24">
        <f t="shared" si="13"/>
        <v>767</v>
      </c>
      <c r="M197" s="24">
        <v>2000000</v>
      </c>
    </row>
    <row r="198" spans="1:13" s="80" customFormat="1" ht="13.5" outlineLevel="2">
      <c r="A198" s="39" t="s">
        <v>120</v>
      </c>
      <c r="B198" s="40" t="s">
        <v>171</v>
      </c>
      <c r="C198" s="41" t="s">
        <v>134</v>
      </c>
      <c r="D198" s="40" t="s">
        <v>135</v>
      </c>
      <c r="E198" s="24">
        <v>13000000</v>
      </c>
      <c r="F198" s="39">
        <v>44231</v>
      </c>
      <c r="G198" s="24">
        <v>13000000</v>
      </c>
      <c r="H198" s="23">
        <v>5.0000000000000001E-3</v>
      </c>
      <c r="I198" s="39">
        <v>44231</v>
      </c>
      <c r="J198" s="39">
        <v>44255</v>
      </c>
      <c r="K198" s="24">
        <f t="shared" si="12"/>
        <v>25</v>
      </c>
      <c r="L198" s="24">
        <f t="shared" si="13"/>
        <v>4452</v>
      </c>
      <c r="M198" s="24">
        <v>13000000</v>
      </c>
    </row>
    <row r="199" spans="1:13" s="80" customFormat="1" ht="13.5" outlineLevel="2">
      <c r="A199" s="39" t="s">
        <v>120</v>
      </c>
      <c r="B199" s="40" t="s">
        <v>172</v>
      </c>
      <c r="C199" s="41" t="s">
        <v>134</v>
      </c>
      <c r="D199" s="40" t="s">
        <v>135</v>
      </c>
      <c r="E199" s="24">
        <v>8000000</v>
      </c>
      <c r="F199" s="39">
        <v>44235</v>
      </c>
      <c r="G199" s="24">
        <v>8000000</v>
      </c>
      <c r="H199" s="23">
        <v>5.0000000000000001E-3</v>
      </c>
      <c r="I199" s="39">
        <v>44235</v>
      </c>
      <c r="J199" s="39">
        <v>44255</v>
      </c>
      <c r="K199" s="24">
        <f t="shared" si="12"/>
        <v>21</v>
      </c>
      <c r="L199" s="24">
        <f t="shared" si="13"/>
        <v>2301</v>
      </c>
      <c r="M199" s="24">
        <v>8000000</v>
      </c>
    </row>
    <row r="200" spans="1:13" s="80" customFormat="1" ht="13.5" outlineLevel="2">
      <c r="A200" s="39" t="s">
        <v>120</v>
      </c>
      <c r="B200" s="40" t="s">
        <v>173</v>
      </c>
      <c r="C200" s="41" t="s">
        <v>134</v>
      </c>
      <c r="D200" s="40" t="s">
        <v>135</v>
      </c>
      <c r="E200" s="24">
        <v>6000000</v>
      </c>
      <c r="F200" s="39">
        <v>44231</v>
      </c>
      <c r="G200" s="24">
        <v>6000000</v>
      </c>
      <c r="H200" s="23">
        <v>5.0000000000000001E-3</v>
      </c>
      <c r="I200" s="39">
        <v>44231</v>
      </c>
      <c r="J200" s="39">
        <v>44255</v>
      </c>
      <c r="K200" s="24">
        <f t="shared" si="12"/>
        <v>25</v>
      </c>
      <c r="L200" s="24">
        <f t="shared" si="13"/>
        <v>2055</v>
      </c>
      <c r="M200" s="24">
        <v>6000000</v>
      </c>
    </row>
    <row r="201" spans="1:13" s="80" customFormat="1" ht="13.5" outlineLevel="2">
      <c r="A201" s="39" t="s">
        <v>120</v>
      </c>
      <c r="B201" s="40" t="s">
        <v>62</v>
      </c>
      <c r="C201" s="41" t="s">
        <v>125</v>
      </c>
      <c r="D201" s="40" t="s">
        <v>126</v>
      </c>
      <c r="E201" s="24">
        <v>34480000</v>
      </c>
      <c r="F201" s="39">
        <v>43980</v>
      </c>
      <c r="G201" s="24">
        <v>34480000</v>
      </c>
      <c r="H201" s="23">
        <v>5.0000000000000001E-3</v>
      </c>
      <c r="I201" s="39">
        <v>44228</v>
      </c>
      <c r="J201" s="39">
        <v>44255</v>
      </c>
      <c r="K201" s="24">
        <f t="shared" si="12"/>
        <v>28</v>
      </c>
      <c r="L201" s="24">
        <f t="shared" si="13"/>
        <v>13225</v>
      </c>
      <c r="M201" s="24">
        <v>34480000</v>
      </c>
    </row>
    <row r="202" spans="1:13" s="80" customFormat="1" ht="13.5" outlineLevel="2">
      <c r="A202" s="39" t="s">
        <v>120</v>
      </c>
      <c r="B202" s="40" t="s">
        <v>174</v>
      </c>
      <c r="C202" s="41" t="s">
        <v>246</v>
      </c>
      <c r="D202" s="40" t="s">
        <v>247</v>
      </c>
      <c r="E202" s="24">
        <v>11000000</v>
      </c>
      <c r="F202" s="39">
        <v>44235</v>
      </c>
      <c r="G202" s="24">
        <v>11000000</v>
      </c>
      <c r="H202" s="23">
        <v>5.0000000000000001E-3</v>
      </c>
      <c r="I202" s="39">
        <v>44235</v>
      </c>
      <c r="J202" s="39">
        <v>44255</v>
      </c>
      <c r="K202" s="24">
        <f t="shared" si="12"/>
        <v>21</v>
      </c>
      <c r="L202" s="24">
        <f t="shared" si="13"/>
        <v>3164</v>
      </c>
      <c r="M202" s="24">
        <v>11000000</v>
      </c>
    </row>
    <row r="203" spans="1:13" s="80" customFormat="1" ht="13.5" outlineLevel="2">
      <c r="A203" s="39" t="s">
        <v>120</v>
      </c>
      <c r="B203" s="40" t="s">
        <v>175</v>
      </c>
      <c r="C203" s="41" t="s">
        <v>246</v>
      </c>
      <c r="D203" s="40" t="s">
        <v>247</v>
      </c>
      <c r="E203" s="24">
        <v>67000000</v>
      </c>
      <c r="F203" s="39">
        <v>44251</v>
      </c>
      <c r="G203" s="24">
        <v>67000000</v>
      </c>
      <c r="H203" s="23">
        <v>5.0000000000000001E-3</v>
      </c>
      <c r="I203" s="39">
        <v>44251</v>
      </c>
      <c r="J203" s="39">
        <v>44255</v>
      </c>
      <c r="K203" s="24">
        <f t="shared" si="12"/>
        <v>5</v>
      </c>
      <c r="L203" s="24">
        <f t="shared" si="13"/>
        <v>4589</v>
      </c>
      <c r="M203" s="24">
        <v>67000000</v>
      </c>
    </row>
    <row r="204" spans="1:13" s="80" customFormat="1" ht="13.5" outlineLevel="2">
      <c r="A204" s="39" t="s">
        <v>120</v>
      </c>
      <c r="B204" s="40" t="s">
        <v>176</v>
      </c>
      <c r="C204" s="41" t="s">
        <v>306</v>
      </c>
      <c r="D204" s="40" t="s">
        <v>305</v>
      </c>
      <c r="E204" s="24">
        <v>320000000</v>
      </c>
      <c r="F204" s="39">
        <v>44228</v>
      </c>
      <c r="G204" s="24">
        <v>320000000</v>
      </c>
      <c r="H204" s="23">
        <v>5.0000000000000001E-3</v>
      </c>
      <c r="I204" s="39">
        <v>44228</v>
      </c>
      <c r="J204" s="39">
        <v>44255</v>
      </c>
      <c r="K204" s="24">
        <f t="shared" si="12"/>
        <v>28</v>
      </c>
      <c r="L204" s="24">
        <f t="shared" si="13"/>
        <v>122740</v>
      </c>
      <c r="M204" s="24">
        <v>320000000</v>
      </c>
    </row>
    <row r="205" spans="1:13" s="80" customFormat="1" ht="13.5" outlineLevel="2">
      <c r="A205" s="39" t="s">
        <v>120</v>
      </c>
      <c r="B205" s="40" t="s">
        <v>177</v>
      </c>
      <c r="C205" s="41" t="s">
        <v>306</v>
      </c>
      <c r="D205" s="40" t="s">
        <v>305</v>
      </c>
      <c r="E205" s="24">
        <v>17000000</v>
      </c>
      <c r="F205" s="39">
        <v>44246</v>
      </c>
      <c r="G205" s="24">
        <v>17000000</v>
      </c>
      <c r="H205" s="23">
        <v>5.0000000000000001E-3</v>
      </c>
      <c r="I205" s="39">
        <v>44246</v>
      </c>
      <c r="J205" s="39">
        <v>44255</v>
      </c>
      <c r="K205" s="24">
        <f t="shared" si="12"/>
        <v>10</v>
      </c>
      <c r="L205" s="24">
        <f t="shared" si="13"/>
        <v>2329</v>
      </c>
      <c r="M205" s="24">
        <v>17000000</v>
      </c>
    </row>
    <row r="206" spans="1:13" s="80" customFormat="1" ht="13.5" outlineLevel="2">
      <c r="A206" s="39" t="s">
        <v>120</v>
      </c>
      <c r="B206" s="40" t="s">
        <v>178</v>
      </c>
      <c r="C206" s="41" t="s">
        <v>71</v>
      </c>
      <c r="D206" s="40" t="s">
        <v>72</v>
      </c>
      <c r="E206" s="24">
        <v>19980000</v>
      </c>
      <c r="F206" s="39">
        <v>44252</v>
      </c>
      <c r="G206" s="24">
        <v>19980000</v>
      </c>
      <c r="H206" s="23">
        <v>5.0000000000000001E-3</v>
      </c>
      <c r="I206" s="39">
        <v>44252</v>
      </c>
      <c r="J206" s="39">
        <v>44255</v>
      </c>
      <c r="K206" s="24">
        <f t="shared" si="12"/>
        <v>4</v>
      </c>
      <c r="L206" s="24">
        <f t="shared" si="13"/>
        <v>1095</v>
      </c>
      <c r="M206" s="24">
        <v>19980000</v>
      </c>
    </row>
    <row r="207" spans="1:13" s="80" customFormat="1" ht="13.5" outlineLevel="2">
      <c r="A207" s="39" t="s">
        <v>120</v>
      </c>
      <c r="B207" s="40" t="s">
        <v>179</v>
      </c>
      <c r="C207" s="41" t="s">
        <v>219</v>
      </c>
      <c r="D207" s="40" t="s">
        <v>220</v>
      </c>
      <c r="E207" s="24">
        <v>9000000</v>
      </c>
      <c r="F207" s="39">
        <v>44253</v>
      </c>
      <c r="G207" s="24">
        <v>9000000</v>
      </c>
      <c r="H207" s="23">
        <v>5.0000000000000001E-3</v>
      </c>
      <c r="I207" s="39">
        <v>44253</v>
      </c>
      <c r="J207" s="39">
        <v>44255</v>
      </c>
      <c r="K207" s="24">
        <f t="shared" si="12"/>
        <v>3</v>
      </c>
      <c r="L207" s="24">
        <f t="shared" si="13"/>
        <v>370</v>
      </c>
      <c r="M207" s="24">
        <v>9000000</v>
      </c>
    </row>
    <row r="208" spans="1:13" s="80" customFormat="1" ht="13.5" outlineLevel="2">
      <c r="A208" s="39" t="s">
        <v>120</v>
      </c>
      <c r="B208" s="40" t="s">
        <v>180</v>
      </c>
      <c r="C208" s="41" t="s">
        <v>219</v>
      </c>
      <c r="D208" s="40" t="s">
        <v>220</v>
      </c>
      <c r="E208" s="24">
        <v>17000000</v>
      </c>
      <c r="F208" s="39">
        <v>44253</v>
      </c>
      <c r="G208" s="24">
        <v>17000000</v>
      </c>
      <c r="H208" s="23">
        <v>5.0000000000000001E-3</v>
      </c>
      <c r="I208" s="39">
        <v>44253</v>
      </c>
      <c r="J208" s="39">
        <v>44255</v>
      </c>
      <c r="K208" s="24">
        <f t="shared" si="12"/>
        <v>3</v>
      </c>
      <c r="L208" s="24">
        <f t="shared" si="13"/>
        <v>699</v>
      </c>
      <c r="M208" s="24">
        <v>17000000</v>
      </c>
    </row>
    <row r="209" spans="1:13" s="80" customFormat="1" ht="13.5" outlineLevel="2">
      <c r="A209" s="39" t="s">
        <v>120</v>
      </c>
      <c r="B209" s="40" t="s">
        <v>63</v>
      </c>
      <c r="C209" s="41" t="s">
        <v>66</v>
      </c>
      <c r="D209" s="40" t="s">
        <v>67</v>
      </c>
      <c r="E209" s="24">
        <v>56000000</v>
      </c>
      <c r="F209" s="39">
        <v>43966</v>
      </c>
      <c r="G209" s="24">
        <v>56000000</v>
      </c>
      <c r="H209" s="23">
        <v>5.0000000000000001E-3</v>
      </c>
      <c r="I209" s="39">
        <v>44228</v>
      </c>
      <c r="J209" s="39">
        <v>44255</v>
      </c>
      <c r="K209" s="24">
        <f t="shared" si="12"/>
        <v>28</v>
      </c>
      <c r="L209" s="24">
        <f t="shared" si="13"/>
        <v>21479</v>
      </c>
      <c r="M209" s="24">
        <v>56000000</v>
      </c>
    </row>
    <row r="210" spans="1:13" s="80" customFormat="1" ht="13.5" outlineLevel="2">
      <c r="A210" s="39" t="s">
        <v>120</v>
      </c>
      <c r="B210" s="40" t="s">
        <v>64</v>
      </c>
      <c r="C210" s="41" t="s">
        <v>20</v>
      </c>
      <c r="D210" s="40" t="s">
        <v>21</v>
      </c>
      <c r="E210" s="24">
        <v>150000000</v>
      </c>
      <c r="F210" s="39">
        <v>43958</v>
      </c>
      <c r="G210" s="24">
        <v>150000000</v>
      </c>
      <c r="H210" s="23">
        <v>5.0000000000000001E-3</v>
      </c>
      <c r="I210" s="39">
        <v>44228</v>
      </c>
      <c r="J210" s="39">
        <v>44255</v>
      </c>
      <c r="K210" s="24">
        <f t="shared" si="12"/>
        <v>28</v>
      </c>
      <c r="L210" s="24">
        <f t="shared" si="13"/>
        <v>57534</v>
      </c>
      <c r="M210" s="24">
        <v>150000000</v>
      </c>
    </row>
    <row r="211" spans="1:13" s="80" customFormat="1" ht="13.5" outlineLevel="2">
      <c r="A211" s="39" t="s">
        <v>120</v>
      </c>
      <c r="B211" s="40" t="s">
        <v>65</v>
      </c>
      <c r="C211" s="41" t="s">
        <v>125</v>
      </c>
      <c r="D211" s="40" t="s">
        <v>126</v>
      </c>
      <c r="E211" s="24">
        <v>5000000</v>
      </c>
      <c r="F211" s="39">
        <v>43998</v>
      </c>
      <c r="G211" s="24">
        <v>5000000</v>
      </c>
      <c r="H211" s="23">
        <v>5.0000000000000001E-3</v>
      </c>
      <c r="I211" s="39">
        <v>44228</v>
      </c>
      <c r="J211" s="39">
        <v>44255</v>
      </c>
      <c r="K211" s="24">
        <f t="shared" si="12"/>
        <v>28</v>
      </c>
      <c r="L211" s="24">
        <f t="shared" si="13"/>
        <v>1918</v>
      </c>
      <c r="M211" s="24">
        <v>5000000</v>
      </c>
    </row>
    <row r="212" spans="1:13" s="80" customFormat="1" ht="13.5" outlineLevel="2">
      <c r="A212" s="39" t="s">
        <v>120</v>
      </c>
      <c r="B212" s="40" t="s">
        <v>68</v>
      </c>
      <c r="C212" s="41" t="s">
        <v>125</v>
      </c>
      <c r="D212" s="40" t="s">
        <v>126</v>
      </c>
      <c r="E212" s="24">
        <v>17292000</v>
      </c>
      <c r="F212" s="39">
        <v>44002</v>
      </c>
      <c r="G212" s="24">
        <v>17292000</v>
      </c>
      <c r="H212" s="23">
        <v>5.0000000000000001E-3</v>
      </c>
      <c r="I212" s="39">
        <v>44228</v>
      </c>
      <c r="J212" s="39">
        <v>44255</v>
      </c>
      <c r="K212" s="24">
        <f t="shared" si="12"/>
        <v>28</v>
      </c>
      <c r="L212" s="24">
        <f t="shared" si="13"/>
        <v>6633</v>
      </c>
      <c r="M212" s="24">
        <v>17292000</v>
      </c>
    </row>
    <row r="213" spans="1:13" s="80" customFormat="1" ht="13.5" outlineLevel="1">
      <c r="A213" s="42" t="s">
        <v>141</v>
      </c>
      <c r="B213" s="43"/>
      <c r="C213" s="44"/>
      <c r="D213" s="43"/>
      <c r="E213" s="45">
        <f>SUBTOTAL(9,E153:E212)</f>
        <v>3842945900</v>
      </c>
      <c r="F213" s="46"/>
      <c r="G213" s="45"/>
      <c r="H213" s="47"/>
      <c r="I213" s="46"/>
      <c r="J213" s="46"/>
      <c r="K213" s="45"/>
      <c r="L213" s="45">
        <f>SUBTOTAL(9,L153:L212)</f>
        <v>1303851</v>
      </c>
      <c r="M213" s="45">
        <f>SUBTOTAL(9,M153:M212)</f>
        <v>3787290085</v>
      </c>
    </row>
    <row r="214" spans="1:13" s="80" customFormat="1" ht="13.5" outlineLevel="2">
      <c r="A214" s="39" t="s">
        <v>142</v>
      </c>
      <c r="B214" s="40" t="s">
        <v>16</v>
      </c>
      <c r="C214" s="41" t="s">
        <v>143</v>
      </c>
      <c r="D214" s="40" t="s">
        <v>144</v>
      </c>
      <c r="E214" s="24">
        <v>38000000</v>
      </c>
      <c r="F214" s="39">
        <v>43762</v>
      </c>
      <c r="G214" s="24">
        <v>38000000</v>
      </c>
      <c r="H214" s="23">
        <v>5.0000000000000001E-3</v>
      </c>
      <c r="I214" s="39">
        <v>44228</v>
      </c>
      <c r="J214" s="39">
        <v>44255</v>
      </c>
      <c r="K214" s="24">
        <f t="shared" ref="K214:K245" si="14">J214-I214+1</f>
        <v>28</v>
      </c>
      <c r="L214" s="24">
        <f t="shared" ref="L214:L245" si="15">ROUND(G214*H214*K214/365,0)</f>
        <v>14575</v>
      </c>
      <c r="M214" s="24">
        <v>38000000</v>
      </c>
    </row>
    <row r="215" spans="1:13" s="80" customFormat="1" ht="13.5" outlineLevel="2">
      <c r="A215" s="39" t="s">
        <v>142</v>
      </c>
      <c r="B215" s="40" t="s">
        <v>19</v>
      </c>
      <c r="C215" s="41" t="s">
        <v>60</v>
      </c>
      <c r="D215" s="40" t="s">
        <v>61</v>
      </c>
      <c r="E215" s="24">
        <v>110000000</v>
      </c>
      <c r="F215" s="39">
        <v>43913</v>
      </c>
      <c r="G215" s="24">
        <v>110000000</v>
      </c>
      <c r="H215" s="23">
        <v>5.0000000000000001E-3</v>
      </c>
      <c r="I215" s="39">
        <v>44228</v>
      </c>
      <c r="J215" s="39">
        <v>44255</v>
      </c>
      <c r="K215" s="24">
        <f t="shared" si="14"/>
        <v>28</v>
      </c>
      <c r="L215" s="24">
        <f t="shared" si="15"/>
        <v>42192</v>
      </c>
      <c r="M215" s="24">
        <v>110000000</v>
      </c>
    </row>
    <row r="216" spans="1:13" s="80" customFormat="1" ht="13.5" outlineLevel="2">
      <c r="A216" s="39" t="s">
        <v>142</v>
      </c>
      <c r="B216" s="40" t="s">
        <v>145</v>
      </c>
      <c r="C216" s="41" t="s">
        <v>146</v>
      </c>
      <c r="D216" s="40" t="s">
        <v>147</v>
      </c>
      <c r="E216" s="24">
        <v>5000000</v>
      </c>
      <c r="F216" s="39">
        <v>44204</v>
      </c>
      <c r="G216" s="24">
        <v>5000000</v>
      </c>
      <c r="H216" s="23">
        <v>5.0000000000000001E-3</v>
      </c>
      <c r="I216" s="39">
        <v>44228</v>
      </c>
      <c r="J216" s="39">
        <v>44255</v>
      </c>
      <c r="K216" s="24">
        <f t="shared" si="14"/>
        <v>28</v>
      </c>
      <c r="L216" s="24">
        <f t="shared" si="15"/>
        <v>1918</v>
      </c>
      <c r="M216" s="24">
        <v>5000000</v>
      </c>
    </row>
    <row r="217" spans="1:13" s="80" customFormat="1" ht="13.5" outlineLevel="2">
      <c r="A217" s="39" t="s">
        <v>142</v>
      </c>
      <c r="B217" s="40" t="s">
        <v>148</v>
      </c>
      <c r="C217" s="41" t="s">
        <v>149</v>
      </c>
      <c r="D217" s="40" t="s">
        <v>150</v>
      </c>
      <c r="E217" s="24">
        <v>3528000</v>
      </c>
      <c r="F217" s="39">
        <v>44207</v>
      </c>
      <c r="G217" s="24">
        <v>3528000</v>
      </c>
      <c r="H217" s="23">
        <v>5.0000000000000001E-3</v>
      </c>
      <c r="I217" s="39">
        <v>44228</v>
      </c>
      <c r="J217" s="39">
        <v>44255</v>
      </c>
      <c r="K217" s="24">
        <f t="shared" si="14"/>
        <v>28</v>
      </c>
      <c r="L217" s="24">
        <f t="shared" si="15"/>
        <v>1353</v>
      </c>
      <c r="M217" s="24">
        <v>3528000</v>
      </c>
    </row>
    <row r="218" spans="1:13" s="80" customFormat="1" ht="13.5" outlineLevel="2">
      <c r="A218" s="39" t="s">
        <v>142</v>
      </c>
      <c r="B218" s="40" t="s">
        <v>151</v>
      </c>
      <c r="C218" s="41" t="s">
        <v>149</v>
      </c>
      <c r="D218" s="40" t="s">
        <v>150</v>
      </c>
      <c r="E218" s="24">
        <v>2520000</v>
      </c>
      <c r="F218" s="39">
        <v>44207</v>
      </c>
      <c r="G218" s="24">
        <v>2520000</v>
      </c>
      <c r="H218" s="23">
        <v>5.0000000000000001E-3</v>
      </c>
      <c r="I218" s="39">
        <v>44228</v>
      </c>
      <c r="J218" s="39">
        <v>44255</v>
      </c>
      <c r="K218" s="24">
        <f t="shared" si="14"/>
        <v>28</v>
      </c>
      <c r="L218" s="24">
        <f t="shared" si="15"/>
        <v>967</v>
      </c>
      <c r="M218" s="24">
        <v>2520000</v>
      </c>
    </row>
    <row r="219" spans="1:13" s="80" customFormat="1" ht="13.5" outlineLevel="2">
      <c r="A219" s="39" t="s">
        <v>142</v>
      </c>
      <c r="B219" s="40" t="s">
        <v>152</v>
      </c>
      <c r="C219" s="41" t="s">
        <v>149</v>
      </c>
      <c r="D219" s="40" t="s">
        <v>150</v>
      </c>
      <c r="E219" s="24">
        <v>4368000</v>
      </c>
      <c r="F219" s="39">
        <v>44210</v>
      </c>
      <c r="G219" s="24">
        <v>4368000</v>
      </c>
      <c r="H219" s="23">
        <v>5.0000000000000001E-3</v>
      </c>
      <c r="I219" s="39">
        <v>44228</v>
      </c>
      <c r="J219" s="39">
        <v>44255</v>
      </c>
      <c r="K219" s="24">
        <f t="shared" si="14"/>
        <v>28</v>
      </c>
      <c r="L219" s="24">
        <f t="shared" si="15"/>
        <v>1675</v>
      </c>
      <c r="M219" s="24">
        <v>4368000</v>
      </c>
    </row>
    <row r="220" spans="1:13" s="80" customFormat="1" ht="13.5" outlineLevel="2">
      <c r="A220" s="39" t="s">
        <v>142</v>
      </c>
      <c r="B220" s="40" t="s">
        <v>153</v>
      </c>
      <c r="C220" s="41" t="s">
        <v>149</v>
      </c>
      <c r="D220" s="40" t="s">
        <v>150</v>
      </c>
      <c r="E220" s="24">
        <v>95583736</v>
      </c>
      <c r="F220" s="39">
        <v>44225</v>
      </c>
      <c r="G220" s="24">
        <v>95583736</v>
      </c>
      <c r="H220" s="23">
        <v>5.0000000000000001E-3</v>
      </c>
      <c r="I220" s="39">
        <v>44228</v>
      </c>
      <c r="J220" s="39">
        <v>44255</v>
      </c>
      <c r="K220" s="24">
        <f t="shared" si="14"/>
        <v>28</v>
      </c>
      <c r="L220" s="24">
        <f t="shared" si="15"/>
        <v>36662</v>
      </c>
      <c r="M220" s="24">
        <v>95583736</v>
      </c>
    </row>
    <row r="221" spans="1:13" s="80" customFormat="1" ht="13.5" outlineLevel="2">
      <c r="A221" s="39" t="s">
        <v>142</v>
      </c>
      <c r="B221" s="40" t="s">
        <v>154</v>
      </c>
      <c r="C221" s="41" t="s">
        <v>155</v>
      </c>
      <c r="D221" s="40" t="s">
        <v>156</v>
      </c>
      <c r="E221" s="24">
        <v>200000000</v>
      </c>
      <c r="F221" s="39">
        <v>44211</v>
      </c>
      <c r="G221" s="24">
        <v>200000000</v>
      </c>
      <c r="H221" s="23">
        <v>5.0000000000000001E-3</v>
      </c>
      <c r="I221" s="39">
        <v>44228</v>
      </c>
      <c r="J221" s="39">
        <v>44255</v>
      </c>
      <c r="K221" s="24">
        <f t="shared" si="14"/>
        <v>28</v>
      </c>
      <c r="L221" s="24">
        <f t="shared" si="15"/>
        <v>76712</v>
      </c>
      <c r="M221" s="24">
        <v>200000000</v>
      </c>
    </row>
    <row r="222" spans="1:13" s="80" customFormat="1" ht="13.5" outlineLevel="2">
      <c r="A222" s="39" t="s">
        <v>142</v>
      </c>
      <c r="B222" s="40" t="s">
        <v>157</v>
      </c>
      <c r="C222" s="41" t="s">
        <v>125</v>
      </c>
      <c r="D222" s="40" t="s">
        <v>126</v>
      </c>
      <c r="E222" s="24">
        <v>3000000</v>
      </c>
      <c r="F222" s="39">
        <v>44216</v>
      </c>
      <c r="G222" s="24">
        <v>3000000</v>
      </c>
      <c r="H222" s="23">
        <v>5.0000000000000001E-3</v>
      </c>
      <c r="I222" s="39">
        <v>44228</v>
      </c>
      <c r="J222" s="39">
        <v>44255</v>
      </c>
      <c r="K222" s="24">
        <f t="shared" si="14"/>
        <v>28</v>
      </c>
      <c r="L222" s="24">
        <f t="shared" si="15"/>
        <v>1151</v>
      </c>
      <c r="M222" s="24">
        <v>3000000</v>
      </c>
    </row>
    <row r="223" spans="1:13" s="80" customFormat="1" ht="13.5" outlineLevel="2">
      <c r="A223" s="39" t="s">
        <v>142</v>
      </c>
      <c r="B223" s="40" t="s">
        <v>158</v>
      </c>
      <c r="C223" s="41" t="s">
        <v>125</v>
      </c>
      <c r="D223" s="40" t="s">
        <v>126</v>
      </c>
      <c r="E223" s="24">
        <v>10000000</v>
      </c>
      <c r="F223" s="39">
        <v>44216</v>
      </c>
      <c r="G223" s="24">
        <v>10000000</v>
      </c>
      <c r="H223" s="23">
        <v>5.0000000000000001E-3</v>
      </c>
      <c r="I223" s="39">
        <v>44228</v>
      </c>
      <c r="J223" s="39">
        <v>44255</v>
      </c>
      <c r="K223" s="24">
        <f t="shared" si="14"/>
        <v>28</v>
      </c>
      <c r="L223" s="24">
        <f t="shared" si="15"/>
        <v>3836</v>
      </c>
      <c r="M223" s="24">
        <v>10000000</v>
      </c>
    </row>
    <row r="224" spans="1:13" s="80" customFormat="1" ht="13.5" outlineLevel="2">
      <c r="A224" s="39" t="s">
        <v>142</v>
      </c>
      <c r="B224" s="40" t="s">
        <v>159</v>
      </c>
      <c r="C224" s="41" t="s">
        <v>87</v>
      </c>
      <c r="D224" s="40" t="s">
        <v>88</v>
      </c>
      <c r="E224" s="24">
        <v>14776161</v>
      </c>
      <c r="F224" s="39">
        <v>44221</v>
      </c>
      <c r="G224" s="24">
        <v>14776161</v>
      </c>
      <c r="H224" s="23">
        <v>5.0000000000000001E-3</v>
      </c>
      <c r="I224" s="39">
        <v>44228</v>
      </c>
      <c r="J224" s="39">
        <v>44255</v>
      </c>
      <c r="K224" s="24">
        <f t="shared" si="14"/>
        <v>28</v>
      </c>
      <c r="L224" s="24">
        <f t="shared" si="15"/>
        <v>5668</v>
      </c>
      <c r="M224" s="24">
        <v>14776161</v>
      </c>
    </row>
    <row r="225" spans="1:13" s="80" customFormat="1" ht="13.5" outlineLevel="2">
      <c r="A225" s="39" t="s">
        <v>142</v>
      </c>
      <c r="B225" s="40" t="s">
        <v>320</v>
      </c>
      <c r="C225" s="41" t="s">
        <v>143</v>
      </c>
      <c r="D225" s="40" t="s">
        <v>144</v>
      </c>
      <c r="E225" s="24">
        <v>4100000</v>
      </c>
      <c r="F225" s="39">
        <v>44228</v>
      </c>
      <c r="G225" s="24">
        <v>4100000</v>
      </c>
      <c r="H225" s="23">
        <v>5.0000000000000001E-3</v>
      </c>
      <c r="I225" s="39">
        <v>44228</v>
      </c>
      <c r="J225" s="39">
        <v>44255</v>
      </c>
      <c r="K225" s="24">
        <f t="shared" si="14"/>
        <v>28</v>
      </c>
      <c r="L225" s="24">
        <f t="shared" si="15"/>
        <v>1573</v>
      </c>
      <c r="M225" s="24">
        <v>4100000</v>
      </c>
    </row>
    <row r="226" spans="1:13" s="80" customFormat="1" ht="13.5" outlineLevel="2">
      <c r="A226" s="39" t="s">
        <v>142</v>
      </c>
      <c r="B226" s="40" t="s">
        <v>22</v>
      </c>
      <c r="C226" s="41" t="s">
        <v>149</v>
      </c>
      <c r="D226" s="40" t="s">
        <v>150</v>
      </c>
      <c r="E226" s="24">
        <v>95655336</v>
      </c>
      <c r="F226" s="39">
        <v>43951</v>
      </c>
      <c r="G226" s="24">
        <v>95655336</v>
      </c>
      <c r="H226" s="23">
        <v>5.0000000000000001E-3</v>
      </c>
      <c r="I226" s="39">
        <v>44228</v>
      </c>
      <c r="J226" s="39">
        <v>44255</v>
      </c>
      <c r="K226" s="24">
        <f t="shared" si="14"/>
        <v>28</v>
      </c>
      <c r="L226" s="24">
        <f t="shared" si="15"/>
        <v>36690</v>
      </c>
      <c r="M226" s="24">
        <v>95655336</v>
      </c>
    </row>
    <row r="227" spans="1:13" s="80" customFormat="1" ht="13.5" outlineLevel="2">
      <c r="A227" s="39" t="s">
        <v>142</v>
      </c>
      <c r="B227" s="40" t="s">
        <v>319</v>
      </c>
      <c r="C227" s="41" t="s">
        <v>149</v>
      </c>
      <c r="D227" s="40" t="s">
        <v>150</v>
      </c>
      <c r="E227" s="24">
        <v>13843200</v>
      </c>
      <c r="F227" s="39">
        <v>44232</v>
      </c>
      <c r="G227" s="24">
        <v>13843200</v>
      </c>
      <c r="H227" s="23">
        <v>5.0000000000000001E-3</v>
      </c>
      <c r="I227" s="39">
        <v>44232</v>
      </c>
      <c r="J227" s="39">
        <v>44255</v>
      </c>
      <c r="K227" s="24">
        <f t="shared" si="14"/>
        <v>24</v>
      </c>
      <c r="L227" s="24">
        <f t="shared" si="15"/>
        <v>4551</v>
      </c>
      <c r="M227" s="24">
        <v>13843200</v>
      </c>
    </row>
    <row r="228" spans="1:13" s="80" customFormat="1" ht="13.5" outlineLevel="2">
      <c r="A228" s="39" t="s">
        <v>142</v>
      </c>
      <c r="B228" s="40" t="s">
        <v>318</v>
      </c>
      <c r="C228" s="41" t="s">
        <v>149</v>
      </c>
      <c r="D228" s="40" t="s">
        <v>150</v>
      </c>
      <c r="E228" s="24">
        <v>7056000</v>
      </c>
      <c r="F228" s="39">
        <v>44235</v>
      </c>
      <c r="G228" s="24">
        <v>7056000</v>
      </c>
      <c r="H228" s="23">
        <v>5.0000000000000001E-3</v>
      </c>
      <c r="I228" s="39">
        <v>44235</v>
      </c>
      <c r="J228" s="39">
        <v>44255</v>
      </c>
      <c r="K228" s="24">
        <f t="shared" si="14"/>
        <v>21</v>
      </c>
      <c r="L228" s="24">
        <f t="shared" si="15"/>
        <v>2030</v>
      </c>
      <c r="M228" s="24">
        <v>7056000</v>
      </c>
    </row>
    <row r="229" spans="1:13" s="80" customFormat="1" ht="13.5" outlineLevel="2">
      <c r="A229" s="39" t="s">
        <v>142</v>
      </c>
      <c r="B229" s="40" t="s">
        <v>317</v>
      </c>
      <c r="C229" s="41" t="s">
        <v>149</v>
      </c>
      <c r="D229" s="40" t="s">
        <v>150</v>
      </c>
      <c r="E229" s="24">
        <v>2184000</v>
      </c>
      <c r="F229" s="39">
        <v>44235</v>
      </c>
      <c r="G229" s="24">
        <v>2184000</v>
      </c>
      <c r="H229" s="23">
        <v>5.0000000000000001E-3</v>
      </c>
      <c r="I229" s="39">
        <v>44235</v>
      </c>
      <c r="J229" s="39">
        <v>44255</v>
      </c>
      <c r="K229" s="24">
        <f t="shared" si="14"/>
        <v>21</v>
      </c>
      <c r="L229" s="24">
        <f t="shared" si="15"/>
        <v>628</v>
      </c>
      <c r="M229" s="24">
        <v>2184000</v>
      </c>
    </row>
    <row r="230" spans="1:13" s="80" customFormat="1" ht="13.5" outlineLevel="2">
      <c r="A230" s="39" t="s">
        <v>142</v>
      </c>
      <c r="B230" s="40" t="s">
        <v>316</v>
      </c>
      <c r="C230" s="41" t="s">
        <v>149</v>
      </c>
      <c r="D230" s="40" t="s">
        <v>150</v>
      </c>
      <c r="E230" s="24">
        <v>5040000</v>
      </c>
      <c r="F230" s="39">
        <v>44235</v>
      </c>
      <c r="G230" s="24">
        <v>5040000</v>
      </c>
      <c r="H230" s="23">
        <v>5.0000000000000001E-3</v>
      </c>
      <c r="I230" s="39">
        <v>44235</v>
      </c>
      <c r="J230" s="39">
        <v>44255</v>
      </c>
      <c r="K230" s="24">
        <f t="shared" si="14"/>
        <v>21</v>
      </c>
      <c r="L230" s="24">
        <f t="shared" si="15"/>
        <v>1450</v>
      </c>
      <c r="M230" s="24">
        <v>5040000</v>
      </c>
    </row>
    <row r="231" spans="1:13" s="80" customFormat="1" ht="13.5" outlineLevel="2">
      <c r="A231" s="39" t="s">
        <v>142</v>
      </c>
      <c r="B231" s="40" t="s">
        <v>315</v>
      </c>
      <c r="C231" s="41" t="s">
        <v>149</v>
      </c>
      <c r="D231" s="40" t="s">
        <v>150</v>
      </c>
      <c r="E231" s="24">
        <v>8316000</v>
      </c>
      <c r="F231" s="39">
        <v>44244</v>
      </c>
      <c r="G231" s="24">
        <v>8316000</v>
      </c>
      <c r="H231" s="23">
        <v>5.0000000000000001E-3</v>
      </c>
      <c r="I231" s="39">
        <v>44244</v>
      </c>
      <c r="J231" s="39">
        <v>44255</v>
      </c>
      <c r="K231" s="24">
        <f t="shared" si="14"/>
        <v>12</v>
      </c>
      <c r="L231" s="24">
        <f t="shared" si="15"/>
        <v>1367</v>
      </c>
      <c r="M231" s="24">
        <v>8316000</v>
      </c>
    </row>
    <row r="232" spans="1:13" s="80" customFormat="1" ht="13.5" outlineLevel="2">
      <c r="A232" s="39" t="s">
        <v>142</v>
      </c>
      <c r="B232" s="40" t="s">
        <v>314</v>
      </c>
      <c r="C232" s="41" t="s">
        <v>149</v>
      </c>
      <c r="D232" s="40" t="s">
        <v>150</v>
      </c>
      <c r="E232" s="24">
        <v>8547840</v>
      </c>
      <c r="F232" s="39">
        <v>44244</v>
      </c>
      <c r="G232" s="24">
        <v>8547840</v>
      </c>
      <c r="H232" s="23">
        <v>5.0000000000000001E-3</v>
      </c>
      <c r="I232" s="39">
        <v>44244</v>
      </c>
      <c r="J232" s="39">
        <v>44255</v>
      </c>
      <c r="K232" s="24">
        <f t="shared" si="14"/>
        <v>12</v>
      </c>
      <c r="L232" s="24">
        <f t="shared" si="15"/>
        <v>1405</v>
      </c>
      <c r="M232" s="24">
        <v>8547840</v>
      </c>
    </row>
    <row r="233" spans="1:13" s="80" customFormat="1" ht="13.5" outlineLevel="2">
      <c r="A233" s="39" t="s">
        <v>142</v>
      </c>
      <c r="B233" s="40" t="s">
        <v>313</v>
      </c>
      <c r="C233" s="41" t="s">
        <v>149</v>
      </c>
      <c r="D233" s="40" t="s">
        <v>150</v>
      </c>
      <c r="E233" s="24">
        <v>6384000</v>
      </c>
      <c r="F233" s="39">
        <v>44244</v>
      </c>
      <c r="G233" s="24">
        <v>6384000</v>
      </c>
      <c r="H233" s="23">
        <v>5.0000000000000001E-3</v>
      </c>
      <c r="I233" s="39">
        <v>44244</v>
      </c>
      <c r="J233" s="39">
        <v>44255</v>
      </c>
      <c r="K233" s="24">
        <f t="shared" si="14"/>
        <v>12</v>
      </c>
      <c r="L233" s="24">
        <f t="shared" si="15"/>
        <v>1049</v>
      </c>
      <c r="M233" s="24">
        <v>6384000</v>
      </c>
    </row>
    <row r="234" spans="1:13" s="80" customFormat="1" ht="13.5" outlineLevel="2">
      <c r="A234" s="39" t="s">
        <v>142</v>
      </c>
      <c r="B234" s="40" t="s">
        <v>312</v>
      </c>
      <c r="C234" s="41" t="s">
        <v>149</v>
      </c>
      <c r="D234" s="40" t="s">
        <v>150</v>
      </c>
      <c r="E234" s="24">
        <v>226800</v>
      </c>
      <c r="F234" s="39">
        <v>44244</v>
      </c>
      <c r="G234" s="24">
        <v>226800</v>
      </c>
      <c r="H234" s="23">
        <v>5.0000000000000001E-3</v>
      </c>
      <c r="I234" s="39">
        <v>44244</v>
      </c>
      <c r="J234" s="39">
        <v>44255</v>
      </c>
      <c r="K234" s="24">
        <f t="shared" si="14"/>
        <v>12</v>
      </c>
      <c r="L234" s="24">
        <f t="shared" si="15"/>
        <v>37</v>
      </c>
      <c r="M234" s="24">
        <v>226800</v>
      </c>
    </row>
    <row r="235" spans="1:13" s="80" customFormat="1" ht="13.5" outlineLevel="2">
      <c r="A235" s="39" t="s">
        <v>142</v>
      </c>
      <c r="B235" s="40" t="s">
        <v>311</v>
      </c>
      <c r="C235" s="41" t="s">
        <v>155</v>
      </c>
      <c r="D235" s="40" t="s">
        <v>156</v>
      </c>
      <c r="E235" s="24">
        <v>100000000</v>
      </c>
      <c r="F235" s="39">
        <v>44236</v>
      </c>
      <c r="G235" s="24">
        <v>100000000</v>
      </c>
      <c r="H235" s="23">
        <v>5.0000000000000001E-3</v>
      </c>
      <c r="I235" s="39">
        <v>44236</v>
      </c>
      <c r="J235" s="39">
        <v>44255</v>
      </c>
      <c r="K235" s="24">
        <f t="shared" si="14"/>
        <v>20</v>
      </c>
      <c r="L235" s="24">
        <f t="shared" si="15"/>
        <v>27397</v>
      </c>
      <c r="M235" s="24">
        <v>100000000</v>
      </c>
    </row>
    <row r="236" spans="1:13" s="80" customFormat="1" ht="13.5" outlineLevel="2">
      <c r="A236" s="39" t="s">
        <v>142</v>
      </c>
      <c r="B236" s="40" t="s">
        <v>310</v>
      </c>
      <c r="C236" s="41" t="s">
        <v>155</v>
      </c>
      <c r="D236" s="40" t="s">
        <v>156</v>
      </c>
      <c r="E236" s="24">
        <v>200000000</v>
      </c>
      <c r="F236" s="39">
        <v>44244</v>
      </c>
      <c r="G236" s="24">
        <v>200000000</v>
      </c>
      <c r="H236" s="23">
        <v>5.0000000000000001E-3</v>
      </c>
      <c r="I236" s="39">
        <v>44244</v>
      </c>
      <c r="J236" s="39">
        <v>44255</v>
      </c>
      <c r="K236" s="24">
        <f t="shared" si="14"/>
        <v>12</v>
      </c>
      <c r="L236" s="24">
        <f t="shared" si="15"/>
        <v>32877</v>
      </c>
      <c r="M236" s="24">
        <v>200000000</v>
      </c>
    </row>
    <row r="237" spans="1:13" s="80" customFormat="1" ht="13.5" outlineLevel="2">
      <c r="A237" s="39" t="s">
        <v>142</v>
      </c>
      <c r="B237" s="40" t="s">
        <v>25</v>
      </c>
      <c r="C237" s="41" t="s">
        <v>143</v>
      </c>
      <c r="D237" s="40" t="s">
        <v>144</v>
      </c>
      <c r="E237" s="24">
        <v>38000000</v>
      </c>
      <c r="F237" s="39">
        <v>43962</v>
      </c>
      <c r="G237" s="24">
        <v>38000000</v>
      </c>
      <c r="H237" s="23">
        <v>5.0000000000000001E-3</v>
      </c>
      <c r="I237" s="39">
        <v>44228</v>
      </c>
      <c r="J237" s="39">
        <v>44255</v>
      </c>
      <c r="K237" s="24">
        <f t="shared" si="14"/>
        <v>28</v>
      </c>
      <c r="L237" s="24">
        <f t="shared" si="15"/>
        <v>14575</v>
      </c>
      <c r="M237" s="24">
        <v>38000000</v>
      </c>
    </row>
    <row r="238" spans="1:13" s="80" customFormat="1" ht="13.5" outlineLevel="2">
      <c r="A238" s="39" t="s">
        <v>142</v>
      </c>
      <c r="B238" s="40" t="s">
        <v>309</v>
      </c>
      <c r="C238" s="41" t="s">
        <v>219</v>
      </c>
      <c r="D238" s="40" t="s">
        <v>220</v>
      </c>
      <c r="E238" s="24">
        <v>20000000</v>
      </c>
      <c r="F238" s="39">
        <v>44251</v>
      </c>
      <c r="G238" s="24">
        <v>20000000</v>
      </c>
      <c r="H238" s="23">
        <v>5.0000000000000001E-3</v>
      </c>
      <c r="I238" s="39">
        <v>44251</v>
      </c>
      <c r="J238" s="39">
        <v>44255</v>
      </c>
      <c r="K238" s="24">
        <f t="shared" si="14"/>
        <v>5</v>
      </c>
      <c r="L238" s="24">
        <f t="shared" si="15"/>
        <v>1370</v>
      </c>
      <c r="M238" s="24">
        <v>20000000</v>
      </c>
    </row>
    <row r="239" spans="1:13" s="80" customFormat="1" ht="13.5" outlineLevel="2">
      <c r="A239" s="39" t="s">
        <v>142</v>
      </c>
      <c r="B239" s="40" t="s">
        <v>308</v>
      </c>
      <c r="C239" s="41" t="s">
        <v>125</v>
      </c>
      <c r="D239" s="40" t="s">
        <v>126</v>
      </c>
      <c r="E239" s="24">
        <v>5000000</v>
      </c>
      <c r="F239" s="39">
        <v>44251</v>
      </c>
      <c r="G239" s="24">
        <v>5000000</v>
      </c>
      <c r="H239" s="23">
        <v>5.0000000000000001E-3</v>
      </c>
      <c r="I239" s="39">
        <v>44251</v>
      </c>
      <c r="J239" s="39">
        <v>44255</v>
      </c>
      <c r="K239" s="24">
        <f t="shared" si="14"/>
        <v>5</v>
      </c>
      <c r="L239" s="24">
        <f t="shared" si="15"/>
        <v>342</v>
      </c>
      <c r="M239" s="24">
        <v>5000000</v>
      </c>
    </row>
    <row r="240" spans="1:13" s="80" customFormat="1" ht="13.5" outlineLevel="2">
      <c r="A240" s="39" t="s">
        <v>142</v>
      </c>
      <c r="B240" s="40" t="s">
        <v>307</v>
      </c>
      <c r="C240" s="41" t="s">
        <v>89</v>
      </c>
      <c r="D240" s="40" t="s">
        <v>90</v>
      </c>
      <c r="E240" s="24">
        <v>80000000</v>
      </c>
      <c r="F240" s="39">
        <v>44253</v>
      </c>
      <c r="G240" s="24">
        <v>80000000</v>
      </c>
      <c r="H240" s="23">
        <v>5.0000000000000001E-3</v>
      </c>
      <c r="I240" s="39">
        <v>44253</v>
      </c>
      <c r="J240" s="39">
        <v>44255</v>
      </c>
      <c r="K240" s="24">
        <f t="shared" si="14"/>
        <v>3</v>
      </c>
      <c r="L240" s="24">
        <f t="shared" si="15"/>
        <v>3288</v>
      </c>
      <c r="M240" s="24">
        <v>80000000</v>
      </c>
    </row>
    <row r="241" spans="1:13" s="80" customFormat="1" ht="13.5" outlineLevel="2">
      <c r="A241" s="39" t="s">
        <v>142</v>
      </c>
      <c r="B241" s="40" t="s">
        <v>26</v>
      </c>
      <c r="C241" s="41" t="s">
        <v>143</v>
      </c>
      <c r="D241" s="40" t="s">
        <v>144</v>
      </c>
      <c r="E241" s="24">
        <v>10500000</v>
      </c>
      <c r="F241" s="39">
        <v>43962</v>
      </c>
      <c r="G241" s="24">
        <v>10500000</v>
      </c>
      <c r="H241" s="23">
        <v>5.0000000000000001E-3</v>
      </c>
      <c r="I241" s="39">
        <v>44228</v>
      </c>
      <c r="J241" s="39">
        <v>44255</v>
      </c>
      <c r="K241" s="24">
        <f t="shared" si="14"/>
        <v>28</v>
      </c>
      <c r="L241" s="24">
        <f t="shared" si="15"/>
        <v>4027</v>
      </c>
      <c r="M241" s="24">
        <v>10500000</v>
      </c>
    </row>
    <row r="242" spans="1:13" s="80" customFormat="1" ht="13.5" outlineLevel="2">
      <c r="A242" s="39" t="s">
        <v>142</v>
      </c>
      <c r="B242" s="40" t="s">
        <v>29</v>
      </c>
      <c r="C242" s="41" t="s">
        <v>123</v>
      </c>
      <c r="D242" s="40" t="s">
        <v>124</v>
      </c>
      <c r="E242" s="24">
        <v>160000000</v>
      </c>
      <c r="F242" s="39">
        <v>43970</v>
      </c>
      <c r="G242" s="24">
        <v>160000000</v>
      </c>
      <c r="H242" s="23">
        <v>5.0000000000000001E-3</v>
      </c>
      <c r="I242" s="39">
        <v>44228</v>
      </c>
      <c r="J242" s="39">
        <v>44255</v>
      </c>
      <c r="K242" s="24">
        <f t="shared" si="14"/>
        <v>28</v>
      </c>
      <c r="L242" s="24">
        <f t="shared" si="15"/>
        <v>61370</v>
      </c>
      <c r="M242" s="24">
        <v>160000000</v>
      </c>
    </row>
    <row r="243" spans="1:13" s="80" customFormat="1" ht="13.5" outlineLevel="2">
      <c r="A243" s="39" t="s">
        <v>142</v>
      </c>
      <c r="B243" s="40" t="s">
        <v>32</v>
      </c>
      <c r="C243" s="41" t="s">
        <v>160</v>
      </c>
      <c r="D243" s="40" t="s">
        <v>150</v>
      </c>
      <c r="E243" s="24">
        <v>13104000</v>
      </c>
      <c r="F243" s="39">
        <v>43979</v>
      </c>
      <c r="G243" s="24">
        <v>13104000</v>
      </c>
      <c r="H243" s="23">
        <v>5.0000000000000001E-3</v>
      </c>
      <c r="I243" s="39">
        <v>44228</v>
      </c>
      <c r="J243" s="39">
        <v>44255</v>
      </c>
      <c r="K243" s="24">
        <f t="shared" si="14"/>
        <v>28</v>
      </c>
      <c r="L243" s="24">
        <f t="shared" si="15"/>
        <v>5026</v>
      </c>
      <c r="M243" s="24">
        <v>13104000</v>
      </c>
    </row>
    <row r="244" spans="1:13" s="80" customFormat="1" ht="13.5" outlineLevel="2">
      <c r="A244" s="39" t="s">
        <v>142</v>
      </c>
      <c r="B244" s="40" t="s">
        <v>33</v>
      </c>
      <c r="C244" s="41" t="s">
        <v>89</v>
      </c>
      <c r="D244" s="40" t="s">
        <v>90</v>
      </c>
      <c r="E244" s="24">
        <v>6550000</v>
      </c>
      <c r="F244" s="39">
        <v>43993</v>
      </c>
      <c r="G244" s="24">
        <v>6550000</v>
      </c>
      <c r="H244" s="23">
        <v>5.0000000000000001E-3</v>
      </c>
      <c r="I244" s="39">
        <v>44228</v>
      </c>
      <c r="J244" s="39">
        <v>44255</v>
      </c>
      <c r="K244" s="24">
        <f t="shared" si="14"/>
        <v>28</v>
      </c>
      <c r="L244" s="24">
        <f t="shared" si="15"/>
        <v>2512</v>
      </c>
      <c r="M244" s="24">
        <v>6550000</v>
      </c>
    </row>
    <row r="245" spans="1:13" s="80" customFormat="1" ht="13.5" outlineLevel="2">
      <c r="A245" s="39" t="s">
        <v>142</v>
      </c>
      <c r="B245" s="40" t="s">
        <v>34</v>
      </c>
      <c r="C245" s="41" t="s">
        <v>89</v>
      </c>
      <c r="D245" s="40" t="s">
        <v>90</v>
      </c>
      <c r="E245" s="24">
        <v>19710000</v>
      </c>
      <c r="F245" s="39">
        <v>43993</v>
      </c>
      <c r="G245" s="24">
        <v>19710000</v>
      </c>
      <c r="H245" s="23">
        <v>5.0000000000000001E-3</v>
      </c>
      <c r="I245" s="39">
        <v>44228</v>
      </c>
      <c r="J245" s="39">
        <v>44255</v>
      </c>
      <c r="K245" s="24">
        <f t="shared" si="14"/>
        <v>28</v>
      </c>
      <c r="L245" s="24">
        <f t="shared" si="15"/>
        <v>7560</v>
      </c>
      <c r="M245" s="24">
        <v>19710000</v>
      </c>
    </row>
    <row r="246" spans="1:13" s="80" customFormat="1" ht="13.5" outlineLevel="2">
      <c r="A246" s="39" t="s">
        <v>142</v>
      </c>
      <c r="B246" s="40" t="s">
        <v>35</v>
      </c>
      <c r="C246" s="41" t="s">
        <v>89</v>
      </c>
      <c r="D246" s="40" t="s">
        <v>90</v>
      </c>
      <c r="E246" s="24">
        <v>16860000</v>
      </c>
      <c r="F246" s="39">
        <v>43993</v>
      </c>
      <c r="G246" s="24">
        <v>16860000</v>
      </c>
      <c r="H246" s="23">
        <v>5.0000000000000001E-3</v>
      </c>
      <c r="I246" s="39">
        <v>44228</v>
      </c>
      <c r="J246" s="39">
        <v>44255</v>
      </c>
      <c r="K246" s="24">
        <f t="shared" ref="K246:K277" si="16">J246-I246+1</f>
        <v>28</v>
      </c>
      <c r="L246" s="24">
        <f t="shared" ref="L246:L277" si="17">ROUND(G246*H246*K246/365,0)</f>
        <v>6467</v>
      </c>
      <c r="M246" s="24">
        <v>16860000</v>
      </c>
    </row>
    <row r="247" spans="1:13" s="80" customFormat="1" ht="13.5" outlineLevel="2">
      <c r="A247" s="39" t="s">
        <v>142</v>
      </c>
      <c r="B247" s="40" t="s">
        <v>36</v>
      </c>
      <c r="C247" s="41" t="s">
        <v>161</v>
      </c>
      <c r="D247" s="40" t="s">
        <v>162</v>
      </c>
      <c r="E247" s="24">
        <v>240000000</v>
      </c>
      <c r="F247" s="39">
        <v>44000</v>
      </c>
      <c r="G247" s="24">
        <v>240000000</v>
      </c>
      <c r="H247" s="23">
        <v>5.0000000000000001E-3</v>
      </c>
      <c r="I247" s="39">
        <v>44228</v>
      </c>
      <c r="J247" s="39">
        <v>44255</v>
      </c>
      <c r="K247" s="24">
        <f t="shared" si="16"/>
        <v>28</v>
      </c>
      <c r="L247" s="24">
        <f t="shared" si="17"/>
        <v>92055</v>
      </c>
      <c r="M247" s="24">
        <v>240000000</v>
      </c>
    </row>
    <row r="248" spans="1:13" s="80" customFormat="1" ht="13.5" outlineLevel="2">
      <c r="A248" s="39" t="s">
        <v>142</v>
      </c>
      <c r="B248" s="40" t="s">
        <v>39</v>
      </c>
      <c r="C248" s="41" t="s">
        <v>143</v>
      </c>
      <c r="D248" s="40" t="s">
        <v>144</v>
      </c>
      <c r="E248" s="24">
        <v>57000000</v>
      </c>
      <c r="F248" s="39">
        <v>43822</v>
      </c>
      <c r="G248" s="24">
        <v>57000000</v>
      </c>
      <c r="H248" s="23">
        <v>5.0000000000000001E-3</v>
      </c>
      <c r="I248" s="39">
        <v>44228</v>
      </c>
      <c r="J248" s="39">
        <v>44255</v>
      </c>
      <c r="K248" s="24">
        <f t="shared" si="16"/>
        <v>28</v>
      </c>
      <c r="L248" s="24">
        <f t="shared" si="17"/>
        <v>21863</v>
      </c>
      <c r="M248" s="24">
        <v>57000000</v>
      </c>
    </row>
    <row r="249" spans="1:13" s="80" customFormat="1" ht="13.5" outlineLevel="2">
      <c r="A249" s="39" t="s">
        <v>142</v>
      </c>
      <c r="B249" s="40" t="s">
        <v>40</v>
      </c>
      <c r="C249" s="41" t="s">
        <v>123</v>
      </c>
      <c r="D249" s="40" t="s">
        <v>124</v>
      </c>
      <c r="E249" s="24">
        <v>55000000</v>
      </c>
      <c r="F249" s="39">
        <v>44001</v>
      </c>
      <c r="G249" s="24">
        <v>55000000</v>
      </c>
      <c r="H249" s="23">
        <v>5.0000000000000001E-3</v>
      </c>
      <c r="I249" s="39">
        <v>44228</v>
      </c>
      <c r="J249" s="39">
        <v>44255</v>
      </c>
      <c r="K249" s="24">
        <f t="shared" si="16"/>
        <v>28</v>
      </c>
      <c r="L249" s="24">
        <f t="shared" si="17"/>
        <v>21096</v>
      </c>
      <c r="M249" s="24">
        <v>55000000</v>
      </c>
    </row>
    <row r="250" spans="1:13" s="80" customFormat="1" ht="13.5" outlineLevel="2">
      <c r="A250" s="39" t="s">
        <v>142</v>
      </c>
      <c r="B250" s="40" t="s">
        <v>41</v>
      </c>
      <c r="C250" s="41" t="s">
        <v>87</v>
      </c>
      <c r="D250" s="40" t="s">
        <v>88</v>
      </c>
      <c r="E250" s="24">
        <v>8907064</v>
      </c>
      <c r="F250" s="39">
        <v>44006</v>
      </c>
      <c r="G250" s="24">
        <v>8907064</v>
      </c>
      <c r="H250" s="23">
        <v>5.0000000000000001E-3</v>
      </c>
      <c r="I250" s="39">
        <v>44228</v>
      </c>
      <c r="J250" s="39">
        <v>44255</v>
      </c>
      <c r="K250" s="24">
        <f t="shared" si="16"/>
        <v>28</v>
      </c>
      <c r="L250" s="24">
        <f t="shared" si="17"/>
        <v>3416</v>
      </c>
      <c r="M250" s="24">
        <v>8907064</v>
      </c>
    </row>
    <row r="251" spans="1:13" s="80" customFormat="1" ht="13.5" outlineLevel="2">
      <c r="A251" s="39" t="s">
        <v>142</v>
      </c>
      <c r="B251" s="40" t="s">
        <v>42</v>
      </c>
      <c r="C251" s="41" t="s">
        <v>149</v>
      </c>
      <c r="D251" s="40" t="s">
        <v>150</v>
      </c>
      <c r="E251" s="24">
        <v>7560000</v>
      </c>
      <c r="F251" s="39">
        <v>44018</v>
      </c>
      <c r="G251" s="24">
        <v>7560000</v>
      </c>
      <c r="H251" s="23">
        <v>5.0000000000000001E-3</v>
      </c>
      <c r="I251" s="39">
        <v>44228</v>
      </c>
      <c r="J251" s="39">
        <v>44255</v>
      </c>
      <c r="K251" s="24">
        <f t="shared" si="16"/>
        <v>28</v>
      </c>
      <c r="L251" s="24">
        <f t="shared" si="17"/>
        <v>2900</v>
      </c>
      <c r="M251" s="24">
        <v>7560000</v>
      </c>
    </row>
    <row r="252" spans="1:13" s="80" customFormat="1" ht="13.5" outlineLevel="2">
      <c r="A252" s="39" t="s">
        <v>142</v>
      </c>
      <c r="B252" s="40" t="s">
        <v>43</v>
      </c>
      <c r="C252" s="41" t="s">
        <v>143</v>
      </c>
      <c r="D252" s="40" t="s">
        <v>144</v>
      </c>
      <c r="E252" s="24">
        <v>38000000</v>
      </c>
      <c r="F252" s="39">
        <v>44022</v>
      </c>
      <c r="G252" s="24">
        <v>38000000</v>
      </c>
      <c r="H252" s="23">
        <v>5.0000000000000001E-3</v>
      </c>
      <c r="I252" s="39">
        <v>44228</v>
      </c>
      <c r="J252" s="39">
        <v>44255</v>
      </c>
      <c r="K252" s="24">
        <f t="shared" si="16"/>
        <v>28</v>
      </c>
      <c r="L252" s="24">
        <f t="shared" si="17"/>
        <v>14575</v>
      </c>
      <c r="M252" s="24">
        <v>38000000</v>
      </c>
    </row>
    <row r="253" spans="1:13" s="80" customFormat="1" ht="13.5" outlineLevel="2">
      <c r="A253" s="39" t="s">
        <v>142</v>
      </c>
      <c r="B253" s="40" t="s">
        <v>44</v>
      </c>
      <c r="C253" s="41" t="s">
        <v>143</v>
      </c>
      <c r="D253" s="40" t="s">
        <v>144</v>
      </c>
      <c r="E253" s="24">
        <v>10500000</v>
      </c>
      <c r="F253" s="39">
        <v>44022</v>
      </c>
      <c r="G253" s="24">
        <v>10500000</v>
      </c>
      <c r="H253" s="23">
        <v>5.0000000000000001E-3</v>
      </c>
      <c r="I253" s="39">
        <v>44228</v>
      </c>
      <c r="J253" s="39">
        <v>44255</v>
      </c>
      <c r="K253" s="24">
        <f t="shared" si="16"/>
        <v>28</v>
      </c>
      <c r="L253" s="24">
        <f t="shared" si="17"/>
        <v>4027</v>
      </c>
      <c r="M253" s="24">
        <v>10500000</v>
      </c>
    </row>
    <row r="254" spans="1:13" s="80" customFormat="1" ht="13.5" outlineLevel="2">
      <c r="A254" s="39" t="s">
        <v>142</v>
      </c>
      <c r="B254" s="40" t="s">
        <v>47</v>
      </c>
      <c r="C254" s="41" t="s">
        <v>163</v>
      </c>
      <c r="D254" s="40" t="s">
        <v>164</v>
      </c>
      <c r="E254" s="24">
        <v>72000000</v>
      </c>
      <c r="F254" s="39">
        <v>44025</v>
      </c>
      <c r="G254" s="24">
        <v>68369748</v>
      </c>
      <c r="H254" s="23">
        <v>5.0000000000000001E-3</v>
      </c>
      <c r="I254" s="39">
        <v>44228</v>
      </c>
      <c r="J254" s="39">
        <v>44243</v>
      </c>
      <c r="K254" s="24">
        <f t="shared" si="16"/>
        <v>16</v>
      </c>
      <c r="L254" s="24">
        <f t="shared" si="17"/>
        <v>14985</v>
      </c>
      <c r="M254" s="24">
        <v>67764706</v>
      </c>
    </row>
    <row r="255" spans="1:13" s="80" customFormat="1" ht="13.5" outlineLevel="2">
      <c r="A255" s="39" t="s">
        <v>142</v>
      </c>
      <c r="B255" s="40" t="s">
        <v>47</v>
      </c>
      <c r="C255" s="41" t="s">
        <v>163</v>
      </c>
      <c r="D255" s="40"/>
      <c r="E255" s="24"/>
      <c r="F255" s="39"/>
      <c r="G255" s="24">
        <v>67764706</v>
      </c>
      <c r="H255" s="23">
        <v>5.0000000000000001E-3</v>
      </c>
      <c r="I255" s="39">
        <v>44244</v>
      </c>
      <c r="J255" s="39">
        <v>44255</v>
      </c>
      <c r="K255" s="24">
        <f t="shared" si="16"/>
        <v>12</v>
      </c>
      <c r="L255" s="24">
        <f t="shared" si="17"/>
        <v>11139</v>
      </c>
      <c r="M255" s="24"/>
    </row>
    <row r="256" spans="1:13" s="80" customFormat="1" ht="13.5" outlineLevel="2">
      <c r="A256" s="39" t="s">
        <v>142</v>
      </c>
      <c r="B256" s="40" t="s">
        <v>50</v>
      </c>
      <c r="C256" s="41" t="s">
        <v>97</v>
      </c>
      <c r="D256" s="40" t="s">
        <v>98</v>
      </c>
      <c r="E256" s="24">
        <v>87500000</v>
      </c>
      <c r="F256" s="39">
        <v>44027</v>
      </c>
      <c r="G256" s="24">
        <v>87500000</v>
      </c>
      <c r="H256" s="23">
        <v>5.0000000000000001E-3</v>
      </c>
      <c r="I256" s="39">
        <v>44228</v>
      </c>
      <c r="J256" s="39">
        <v>44255</v>
      </c>
      <c r="K256" s="24">
        <f t="shared" si="16"/>
        <v>28</v>
      </c>
      <c r="L256" s="24">
        <f t="shared" si="17"/>
        <v>33562</v>
      </c>
      <c r="M256" s="24">
        <v>87500000</v>
      </c>
    </row>
    <row r="257" spans="1:13" s="80" customFormat="1" ht="13.5" outlineLevel="2">
      <c r="A257" s="39" t="s">
        <v>142</v>
      </c>
      <c r="B257" s="40" t="s">
        <v>51</v>
      </c>
      <c r="C257" s="41" t="s">
        <v>165</v>
      </c>
      <c r="D257" s="40" t="s">
        <v>166</v>
      </c>
      <c r="E257" s="24">
        <v>84000000</v>
      </c>
      <c r="F257" s="39">
        <v>44027</v>
      </c>
      <c r="G257" s="24">
        <v>84000000</v>
      </c>
      <c r="H257" s="23">
        <v>5.0000000000000001E-3</v>
      </c>
      <c r="I257" s="39">
        <v>44228</v>
      </c>
      <c r="J257" s="39">
        <v>44255</v>
      </c>
      <c r="K257" s="24">
        <f t="shared" si="16"/>
        <v>28</v>
      </c>
      <c r="L257" s="24">
        <f t="shared" si="17"/>
        <v>32219</v>
      </c>
      <c r="M257" s="24">
        <v>84000000</v>
      </c>
    </row>
    <row r="258" spans="1:13" s="80" customFormat="1" ht="13.5" outlineLevel="2">
      <c r="A258" s="39" t="s">
        <v>142</v>
      </c>
      <c r="B258" s="40" t="s">
        <v>52</v>
      </c>
      <c r="C258" s="41" t="s">
        <v>30</v>
      </c>
      <c r="D258" s="40" t="s">
        <v>31</v>
      </c>
      <c r="E258" s="24">
        <v>12230000</v>
      </c>
      <c r="F258" s="39">
        <v>44034</v>
      </c>
      <c r="G258" s="24">
        <v>12230000</v>
      </c>
      <c r="H258" s="23">
        <v>5.0000000000000001E-3</v>
      </c>
      <c r="I258" s="39">
        <v>44228</v>
      </c>
      <c r="J258" s="39">
        <v>44255</v>
      </c>
      <c r="K258" s="24">
        <f t="shared" si="16"/>
        <v>28</v>
      </c>
      <c r="L258" s="24">
        <f t="shared" si="17"/>
        <v>4691</v>
      </c>
      <c r="M258" s="24">
        <v>12230000</v>
      </c>
    </row>
    <row r="259" spans="1:13" s="80" customFormat="1" ht="13.5" outlineLevel="2">
      <c r="A259" s="39" t="s">
        <v>142</v>
      </c>
      <c r="B259" s="40" t="s">
        <v>53</v>
      </c>
      <c r="C259" s="41" t="s">
        <v>123</v>
      </c>
      <c r="D259" s="40" t="s">
        <v>124</v>
      </c>
      <c r="E259" s="24">
        <v>40000000</v>
      </c>
      <c r="F259" s="39">
        <v>44040</v>
      </c>
      <c r="G259" s="24">
        <v>40000000</v>
      </c>
      <c r="H259" s="23">
        <v>5.0000000000000001E-3</v>
      </c>
      <c r="I259" s="39">
        <v>44228</v>
      </c>
      <c r="J259" s="39">
        <v>44255</v>
      </c>
      <c r="K259" s="24">
        <f t="shared" si="16"/>
        <v>28</v>
      </c>
      <c r="L259" s="24">
        <f t="shared" si="17"/>
        <v>15342</v>
      </c>
      <c r="M259" s="24">
        <v>40000000</v>
      </c>
    </row>
    <row r="260" spans="1:13" s="80" customFormat="1" ht="13.5" outlineLevel="2">
      <c r="A260" s="39" t="s">
        <v>142</v>
      </c>
      <c r="B260" s="40" t="s">
        <v>54</v>
      </c>
      <c r="C260" s="41" t="s">
        <v>121</v>
      </c>
      <c r="D260" s="40" t="s">
        <v>122</v>
      </c>
      <c r="E260" s="24">
        <v>171000000</v>
      </c>
      <c r="F260" s="39">
        <v>43822</v>
      </c>
      <c r="G260" s="24">
        <v>171000000</v>
      </c>
      <c r="H260" s="23">
        <v>5.0000000000000001E-3</v>
      </c>
      <c r="I260" s="39">
        <v>44228</v>
      </c>
      <c r="J260" s="39">
        <v>44255</v>
      </c>
      <c r="K260" s="24">
        <f t="shared" si="16"/>
        <v>28</v>
      </c>
      <c r="L260" s="24">
        <f t="shared" si="17"/>
        <v>65589</v>
      </c>
      <c r="M260" s="24">
        <v>171000000</v>
      </c>
    </row>
    <row r="261" spans="1:13" s="80" customFormat="1" ht="13.5" outlineLevel="2">
      <c r="A261" s="39" t="s">
        <v>142</v>
      </c>
      <c r="B261" s="40" t="s">
        <v>57</v>
      </c>
      <c r="C261" s="41" t="s">
        <v>167</v>
      </c>
      <c r="D261" s="40" t="s">
        <v>168</v>
      </c>
      <c r="E261" s="24">
        <v>18000000</v>
      </c>
      <c r="F261" s="39">
        <v>44043</v>
      </c>
      <c r="G261" s="24">
        <v>18000000</v>
      </c>
      <c r="H261" s="23">
        <v>5.0000000000000001E-3</v>
      </c>
      <c r="I261" s="39">
        <v>44228</v>
      </c>
      <c r="J261" s="39">
        <v>44255</v>
      </c>
      <c r="K261" s="24">
        <f t="shared" si="16"/>
        <v>28</v>
      </c>
      <c r="L261" s="24">
        <f t="shared" si="17"/>
        <v>6904</v>
      </c>
      <c r="M261" s="24">
        <v>18000000</v>
      </c>
    </row>
    <row r="262" spans="1:13" s="80" customFormat="1" ht="13.5" outlineLevel="2">
      <c r="A262" s="39" t="s">
        <v>142</v>
      </c>
      <c r="B262" s="40" t="s">
        <v>58</v>
      </c>
      <c r="C262" s="41" t="s">
        <v>167</v>
      </c>
      <c r="D262" s="40" t="s">
        <v>168</v>
      </c>
      <c r="E262" s="24">
        <v>21000000</v>
      </c>
      <c r="F262" s="39">
        <v>44043</v>
      </c>
      <c r="G262" s="24">
        <v>21000000</v>
      </c>
      <c r="H262" s="23">
        <v>5.0000000000000001E-3</v>
      </c>
      <c r="I262" s="39">
        <v>44228</v>
      </c>
      <c r="J262" s="39">
        <v>44255</v>
      </c>
      <c r="K262" s="24">
        <f t="shared" si="16"/>
        <v>28</v>
      </c>
      <c r="L262" s="24">
        <f t="shared" si="17"/>
        <v>8055</v>
      </c>
      <c r="M262" s="24">
        <v>21000000</v>
      </c>
    </row>
    <row r="263" spans="1:13" s="80" customFormat="1" ht="13.5" outlineLevel="2">
      <c r="A263" s="39" t="s">
        <v>142</v>
      </c>
      <c r="B263" s="40" t="s">
        <v>99</v>
      </c>
      <c r="C263" s="41" t="s">
        <v>167</v>
      </c>
      <c r="D263" s="40" t="s">
        <v>168</v>
      </c>
      <c r="E263" s="24">
        <v>13600000</v>
      </c>
      <c r="F263" s="39">
        <v>44043</v>
      </c>
      <c r="G263" s="24">
        <v>13600000</v>
      </c>
      <c r="H263" s="23">
        <v>5.0000000000000001E-3</v>
      </c>
      <c r="I263" s="39">
        <v>44228</v>
      </c>
      <c r="J263" s="39">
        <v>44255</v>
      </c>
      <c r="K263" s="24">
        <f t="shared" si="16"/>
        <v>28</v>
      </c>
      <c r="L263" s="24">
        <f t="shared" si="17"/>
        <v>5216</v>
      </c>
      <c r="M263" s="24">
        <v>13600000</v>
      </c>
    </row>
    <row r="264" spans="1:13" s="80" customFormat="1" ht="13.5" outlineLevel="2">
      <c r="A264" s="39" t="s">
        <v>142</v>
      </c>
      <c r="B264" s="40" t="s">
        <v>100</v>
      </c>
      <c r="C264" s="41" t="s">
        <v>143</v>
      </c>
      <c r="D264" s="40" t="s">
        <v>144</v>
      </c>
      <c r="E264" s="24">
        <v>28000000</v>
      </c>
      <c r="F264" s="39">
        <v>44046</v>
      </c>
      <c r="G264" s="24">
        <v>28000000</v>
      </c>
      <c r="H264" s="23">
        <v>5.0000000000000001E-3</v>
      </c>
      <c r="I264" s="39">
        <v>44228</v>
      </c>
      <c r="J264" s="39">
        <v>44255</v>
      </c>
      <c r="K264" s="24">
        <f t="shared" si="16"/>
        <v>28</v>
      </c>
      <c r="L264" s="24">
        <f t="shared" si="17"/>
        <v>10740</v>
      </c>
      <c r="M264" s="24">
        <v>28000000</v>
      </c>
    </row>
    <row r="265" spans="1:13" s="80" customFormat="1" ht="13.5" outlineLevel="2">
      <c r="A265" s="39" t="s">
        <v>142</v>
      </c>
      <c r="B265" s="40" t="s">
        <v>101</v>
      </c>
      <c r="C265" s="41" t="s">
        <v>143</v>
      </c>
      <c r="D265" s="40" t="s">
        <v>144</v>
      </c>
      <c r="E265" s="24">
        <v>2700000</v>
      </c>
      <c r="F265" s="39">
        <v>44056</v>
      </c>
      <c r="G265" s="24">
        <v>2700000</v>
      </c>
      <c r="H265" s="23">
        <v>5.0000000000000001E-3</v>
      </c>
      <c r="I265" s="39">
        <v>44228</v>
      </c>
      <c r="J265" s="39">
        <v>44255</v>
      </c>
      <c r="K265" s="24">
        <f t="shared" si="16"/>
        <v>28</v>
      </c>
      <c r="L265" s="24">
        <f t="shared" si="17"/>
        <v>1036</v>
      </c>
      <c r="M265" s="24">
        <v>2700000</v>
      </c>
    </row>
    <row r="266" spans="1:13" s="80" customFormat="1" ht="13.5" outlineLevel="2">
      <c r="A266" s="39" t="s">
        <v>142</v>
      </c>
      <c r="B266" s="40" t="s">
        <v>102</v>
      </c>
      <c r="C266" s="41" t="s">
        <v>143</v>
      </c>
      <c r="D266" s="40" t="s">
        <v>144</v>
      </c>
      <c r="E266" s="24">
        <v>29500000</v>
      </c>
      <c r="F266" s="39">
        <v>44074</v>
      </c>
      <c r="G266" s="24">
        <v>29500000</v>
      </c>
      <c r="H266" s="23">
        <v>5.0000000000000001E-3</v>
      </c>
      <c r="I266" s="39">
        <v>44228</v>
      </c>
      <c r="J266" s="39">
        <v>44255</v>
      </c>
      <c r="K266" s="24">
        <f t="shared" si="16"/>
        <v>28</v>
      </c>
      <c r="L266" s="24">
        <f t="shared" si="17"/>
        <v>11315</v>
      </c>
      <c r="M266" s="24">
        <v>29500000</v>
      </c>
    </row>
    <row r="267" spans="1:13" s="80" customFormat="1" ht="13.5" outlineLevel="2">
      <c r="A267" s="39" t="s">
        <v>142</v>
      </c>
      <c r="B267" s="40" t="s">
        <v>103</v>
      </c>
      <c r="C267" s="41" t="s">
        <v>79</v>
      </c>
      <c r="D267" s="40" t="s">
        <v>80</v>
      </c>
      <c r="E267" s="24">
        <v>120000000</v>
      </c>
      <c r="F267" s="39">
        <v>44046</v>
      </c>
      <c r="G267" s="24">
        <v>120000000</v>
      </c>
      <c r="H267" s="23">
        <v>5.0000000000000001E-3</v>
      </c>
      <c r="I267" s="39">
        <v>44228</v>
      </c>
      <c r="J267" s="39">
        <v>44255</v>
      </c>
      <c r="K267" s="24">
        <f t="shared" si="16"/>
        <v>28</v>
      </c>
      <c r="L267" s="24">
        <f t="shared" si="17"/>
        <v>46027</v>
      </c>
      <c r="M267" s="24">
        <v>120000000</v>
      </c>
    </row>
    <row r="268" spans="1:13" s="80" customFormat="1" ht="13.5" outlineLevel="2">
      <c r="A268" s="39" t="s">
        <v>142</v>
      </c>
      <c r="B268" s="40" t="s">
        <v>104</v>
      </c>
      <c r="C268" s="41" t="s">
        <v>149</v>
      </c>
      <c r="D268" s="40" t="s">
        <v>150</v>
      </c>
      <c r="E268" s="24">
        <v>8736000</v>
      </c>
      <c r="F268" s="39">
        <v>44047</v>
      </c>
      <c r="G268" s="24">
        <v>8736000</v>
      </c>
      <c r="H268" s="23">
        <v>5.0000000000000001E-3</v>
      </c>
      <c r="I268" s="39">
        <v>44228</v>
      </c>
      <c r="J268" s="39">
        <v>44255</v>
      </c>
      <c r="K268" s="24">
        <f t="shared" si="16"/>
        <v>28</v>
      </c>
      <c r="L268" s="24">
        <f t="shared" si="17"/>
        <v>3351</v>
      </c>
      <c r="M268" s="24">
        <v>8736000</v>
      </c>
    </row>
    <row r="269" spans="1:13" s="80" customFormat="1" ht="13.5" outlineLevel="2">
      <c r="A269" s="39" t="s">
        <v>142</v>
      </c>
      <c r="B269" s="40" t="s">
        <v>105</v>
      </c>
      <c r="C269" s="41" t="s">
        <v>149</v>
      </c>
      <c r="D269" s="40" t="s">
        <v>150</v>
      </c>
      <c r="E269" s="24">
        <v>8988000</v>
      </c>
      <c r="F269" s="39">
        <v>44067</v>
      </c>
      <c r="G269" s="24">
        <v>8988000</v>
      </c>
      <c r="H269" s="23">
        <v>5.0000000000000001E-3</v>
      </c>
      <c r="I269" s="39">
        <v>44228</v>
      </c>
      <c r="J269" s="39">
        <v>44255</v>
      </c>
      <c r="K269" s="24">
        <f t="shared" si="16"/>
        <v>28</v>
      </c>
      <c r="L269" s="24">
        <f t="shared" si="17"/>
        <v>3447</v>
      </c>
      <c r="M269" s="24">
        <v>8988000</v>
      </c>
    </row>
    <row r="270" spans="1:13" s="80" customFormat="1" ht="13.5" outlineLevel="2">
      <c r="A270" s="39" t="s">
        <v>142</v>
      </c>
      <c r="B270" s="40" t="s">
        <v>106</v>
      </c>
      <c r="C270" s="41" t="s">
        <v>149</v>
      </c>
      <c r="D270" s="40" t="s">
        <v>150</v>
      </c>
      <c r="E270" s="24">
        <v>34608000</v>
      </c>
      <c r="F270" s="39">
        <v>44070</v>
      </c>
      <c r="G270" s="24">
        <v>34608000</v>
      </c>
      <c r="H270" s="23">
        <v>5.0000000000000001E-3</v>
      </c>
      <c r="I270" s="39">
        <v>44228</v>
      </c>
      <c r="J270" s="39">
        <v>44255</v>
      </c>
      <c r="K270" s="24">
        <f t="shared" si="16"/>
        <v>28</v>
      </c>
      <c r="L270" s="24">
        <f t="shared" si="17"/>
        <v>13274</v>
      </c>
      <c r="M270" s="24">
        <v>34608000</v>
      </c>
    </row>
    <row r="271" spans="1:13" s="80" customFormat="1" ht="13.5" outlineLevel="2">
      <c r="A271" s="39" t="s">
        <v>142</v>
      </c>
      <c r="B271" s="40" t="s">
        <v>59</v>
      </c>
      <c r="C271" s="41" t="s">
        <v>143</v>
      </c>
      <c r="D271" s="40" t="s">
        <v>144</v>
      </c>
      <c r="E271" s="24">
        <v>38000000</v>
      </c>
      <c r="F271" s="39">
        <v>43850</v>
      </c>
      <c r="G271" s="24">
        <v>38000000</v>
      </c>
      <c r="H271" s="23">
        <v>5.0000000000000001E-3</v>
      </c>
      <c r="I271" s="39">
        <v>44228</v>
      </c>
      <c r="J271" s="39">
        <v>44255</v>
      </c>
      <c r="K271" s="24">
        <f t="shared" si="16"/>
        <v>28</v>
      </c>
      <c r="L271" s="24">
        <f t="shared" si="17"/>
        <v>14575</v>
      </c>
      <c r="M271" s="24">
        <v>38000000</v>
      </c>
    </row>
    <row r="272" spans="1:13" s="80" customFormat="1" ht="13.5" outlineLevel="2">
      <c r="A272" s="39" t="s">
        <v>142</v>
      </c>
      <c r="B272" s="40" t="s">
        <v>136</v>
      </c>
      <c r="C272" s="41" t="s">
        <v>146</v>
      </c>
      <c r="D272" s="40" t="s">
        <v>147</v>
      </c>
      <c r="E272" s="24">
        <v>13000000</v>
      </c>
      <c r="F272" s="39">
        <v>44047</v>
      </c>
      <c r="G272" s="24">
        <v>13000000</v>
      </c>
      <c r="H272" s="23">
        <v>5.0000000000000001E-3</v>
      </c>
      <c r="I272" s="39">
        <v>44228</v>
      </c>
      <c r="J272" s="39">
        <v>44255</v>
      </c>
      <c r="K272" s="24">
        <f t="shared" si="16"/>
        <v>28</v>
      </c>
      <c r="L272" s="24">
        <f t="shared" si="17"/>
        <v>4986</v>
      </c>
      <c r="M272" s="24">
        <v>13000000</v>
      </c>
    </row>
    <row r="273" spans="1:13" s="80" customFormat="1" ht="13.5" outlineLevel="2">
      <c r="A273" s="39" t="s">
        <v>142</v>
      </c>
      <c r="B273" s="40" t="s">
        <v>137</v>
      </c>
      <c r="C273" s="41" t="s">
        <v>146</v>
      </c>
      <c r="D273" s="40" t="s">
        <v>147</v>
      </c>
      <c r="E273" s="24">
        <v>5000000</v>
      </c>
      <c r="F273" s="39">
        <v>44053</v>
      </c>
      <c r="G273" s="24">
        <v>5000000</v>
      </c>
      <c r="H273" s="23">
        <v>5.0000000000000001E-3</v>
      </c>
      <c r="I273" s="39">
        <v>44228</v>
      </c>
      <c r="J273" s="39">
        <v>44255</v>
      </c>
      <c r="K273" s="24">
        <f t="shared" si="16"/>
        <v>28</v>
      </c>
      <c r="L273" s="24">
        <f t="shared" si="17"/>
        <v>1918</v>
      </c>
      <c r="M273" s="24">
        <v>5000000</v>
      </c>
    </row>
    <row r="274" spans="1:13" s="80" customFormat="1" ht="13.5" outlineLevel="2">
      <c r="A274" s="39" t="s">
        <v>142</v>
      </c>
      <c r="B274" s="40" t="s">
        <v>138</v>
      </c>
      <c r="C274" s="41" t="s">
        <v>163</v>
      </c>
      <c r="D274" s="40" t="s">
        <v>164</v>
      </c>
      <c r="E274" s="24">
        <v>5300000</v>
      </c>
      <c r="F274" s="39">
        <v>44050</v>
      </c>
      <c r="G274" s="24">
        <v>5075425</v>
      </c>
      <c r="H274" s="23">
        <v>5.0000000000000001E-3</v>
      </c>
      <c r="I274" s="39">
        <v>44228</v>
      </c>
      <c r="J274" s="39">
        <v>44243</v>
      </c>
      <c r="K274" s="24">
        <f t="shared" si="16"/>
        <v>16</v>
      </c>
      <c r="L274" s="24">
        <f t="shared" si="17"/>
        <v>1112</v>
      </c>
      <c r="M274" s="24">
        <v>5030510</v>
      </c>
    </row>
    <row r="275" spans="1:13" s="80" customFormat="1" ht="13.5" outlineLevel="2">
      <c r="A275" s="39" t="s">
        <v>142</v>
      </c>
      <c r="B275" s="40" t="s">
        <v>138</v>
      </c>
      <c r="C275" s="41" t="s">
        <v>163</v>
      </c>
      <c r="D275" s="40"/>
      <c r="E275" s="24"/>
      <c r="F275" s="39"/>
      <c r="G275" s="24">
        <v>5030510</v>
      </c>
      <c r="H275" s="23">
        <v>5.0000000000000001E-3</v>
      </c>
      <c r="I275" s="39">
        <v>44244</v>
      </c>
      <c r="J275" s="39">
        <v>44255</v>
      </c>
      <c r="K275" s="24">
        <f t="shared" si="16"/>
        <v>12</v>
      </c>
      <c r="L275" s="24">
        <f t="shared" si="17"/>
        <v>827</v>
      </c>
      <c r="M275" s="24"/>
    </row>
    <row r="276" spans="1:13" s="80" customFormat="1" ht="13.5" outlineLevel="2">
      <c r="A276" s="39" t="s">
        <v>142</v>
      </c>
      <c r="B276" s="40" t="s">
        <v>139</v>
      </c>
      <c r="C276" s="41" t="s">
        <v>117</v>
      </c>
      <c r="D276" s="40" t="s">
        <v>118</v>
      </c>
      <c r="E276" s="24">
        <v>40000000</v>
      </c>
      <c r="F276" s="39">
        <v>44060</v>
      </c>
      <c r="G276" s="24">
        <v>40000000</v>
      </c>
      <c r="H276" s="23">
        <v>5.0000000000000001E-3</v>
      </c>
      <c r="I276" s="39">
        <v>44228</v>
      </c>
      <c r="J276" s="39">
        <v>44255</v>
      </c>
      <c r="K276" s="24">
        <f t="shared" si="16"/>
        <v>28</v>
      </c>
      <c r="L276" s="24">
        <f t="shared" si="17"/>
        <v>15342</v>
      </c>
      <c r="M276" s="24">
        <v>40000000</v>
      </c>
    </row>
    <row r="277" spans="1:13" s="80" customFormat="1" ht="13.5" outlineLevel="2">
      <c r="A277" s="39" t="s">
        <v>142</v>
      </c>
      <c r="B277" s="40" t="s">
        <v>140</v>
      </c>
      <c r="C277" s="41" t="s">
        <v>45</v>
      </c>
      <c r="D277" s="40" t="s">
        <v>46</v>
      </c>
      <c r="E277" s="24">
        <v>10000000</v>
      </c>
      <c r="F277" s="39">
        <v>44067</v>
      </c>
      <c r="G277" s="24">
        <v>10000000</v>
      </c>
      <c r="H277" s="23">
        <v>5.0000000000000001E-3</v>
      </c>
      <c r="I277" s="39">
        <v>44228</v>
      </c>
      <c r="J277" s="39">
        <v>44255</v>
      </c>
      <c r="K277" s="24">
        <f t="shared" si="16"/>
        <v>28</v>
      </c>
      <c r="L277" s="24">
        <f t="shared" si="17"/>
        <v>3836</v>
      </c>
      <c r="M277" s="24">
        <v>10000000</v>
      </c>
    </row>
    <row r="278" spans="1:13" s="80" customFormat="1" ht="13.5" outlineLevel="2">
      <c r="A278" s="39" t="s">
        <v>142</v>
      </c>
      <c r="B278" s="40" t="s">
        <v>169</v>
      </c>
      <c r="C278" s="41" t="s">
        <v>79</v>
      </c>
      <c r="D278" s="40" t="s">
        <v>80</v>
      </c>
      <c r="E278" s="24">
        <v>125000000</v>
      </c>
      <c r="F278" s="39">
        <v>44075</v>
      </c>
      <c r="G278" s="24">
        <v>125000000</v>
      </c>
      <c r="H278" s="23">
        <v>5.0000000000000001E-3</v>
      </c>
      <c r="I278" s="39">
        <v>44228</v>
      </c>
      <c r="J278" s="39">
        <v>44255</v>
      </c>
      <c r="K278" s="24">
        <f t="shared" ref="K278:K309" si="18">J278-I278+1</f>
        <v>28</v>
      </c>
      <c r="L278" s="24">
        <f t="shared" ref="L278:L309" si="19">ROUND(G278*H278*K278/365,0)</f>
        <v>47945</v>
      </c>
      <c r="M278" s="24">
        <v>125000000</v>
      </c>
    </row>
    <row r="279" spans="1:13" s="80" customFormat="1" ht="13.5" outlineLevel="2">
      <c r="A279" s="39" t="s">
        <v>142</v>
      </c>
      <c r="B279" s="40" t="s">
        <v>170</v>
      </c>
      <c r="C279" s="41" t="s">
        <v>79</v>
      </c>
      <c r="D279" s="40" t="s">
        <v>80</v>
      </c>
      <c r="E279" s="24">
        <v>105000000</v>
      </c>
      <c r="F279" s="39">
        <v>44104</v>
      </c>
      <c r="G279" s="24">
        <v>105000000</v>
      </c>
      <c r="H279" s="23">
        <v>5.0000000000000001E-3</v>
      </c>
      <c r="I279" s="39">
        <v>44228</v>
      </c>
      <c r="J279" s="39">
        <v>44255</v>
      </c>
      <c r="K279" s="24">
        <f t="shared" si="18"/>
        <v>28</v>
      </c>
      <c r="L279" s="24">
        <f t="shared" si="19"/>
        <v>40274</v>
      </c>
      <c r="M279" s="24">
        <v>105000000</v>
      </c>
    </row>
    <row r="280" spans="1:13" s="80" customFormat="1" ht="13.5" outlineLevel="2">
      <c r="A280" s="39" t="s">
        <v>142</v>
      </c>
      <c r="B280" s="40" t="s">
        <v>171</v>
      </c>
      <c r="C280" s="41" t="s">
        <v>146</v>
      </c>
      <c r="D280" s="40" t="s">
        <v>147</v>
      </c>
      <c r="E280" s="24">
        <v>13000000</v>
      </c>
      <c r="F280" s="39">
        <v>44077</v>
      </c>
      <c r="G280" s="24">
        <v>13000000</v>
      </c>
      <c r="H280" s="23">
        <v>5.0000000000000001E-3</v>
      </c>
      <c r="I280" s="39">
        <v>44228</v>
      </c>
      <c r="J280" s="39">
        <v>44255</v>
      </c>
      <c r="K280" s="24">
        <f t="shared" si="18"/>
        <v>28</v>
      </c>
      <c r="L280" s="24">
        <f t="shared" si="19"/>
        <v>4986</v>
      </c>
      <c r="M280" s="24">
        <v>13000000</v>
      </c>
    </row>
    <row r="281" spans="1:13" s="80" customFormat="1" ht="13.5" outlineLevel="2">
      <c r="A281" s="39" t="s">
        <v>142</v>
      </c>
      <c r="B281" s="40" t="s">
        <v>172</v>
      </c>
      <c r="C281" s="41" t="s">
        <v>146</v>
      </c>
      <c r="D281" s="40" t="s">
        <v>147</v>
      </c>
      <c r="E281" s="24">
        <v>5800000</v>
      </c>
      <c r="F281" s="39">
        <v>44083</v>
      </c>
      <c r="G281" s="24">
        <v>5800000</v>
      </c>
      <c r="H281" s="23">
        <v>5.0000000000000001E-3</v>
      </c>
      <c r="I281" s="39">
        <v>44228</v>
      </c>
      <c r="J281" s="39">
        <v>44255</v>
      </c>
      <c r="K281" s="24">
        <f t="shared" si="18"/>
        <v>28</v>
      </c>
      <c r="L281" s="24">
        <f t="shared" si="19"/>
        <v>2225</v>
      </c>
      <c r="M281" s="24">
        <v>5800000</v>
      </c>
    </row>
    <row r="282" spans="1:13" s="80" customFormat="1" ht="13.5" outlineLevel="2">
      <c r="A282" s="39" t="s">
        <v>142</v>
      </c>
      <c r="B282" s="40" t="s">
        <v>173</v>
      </c>
      <c r="C282" s="41" t="s">
        <v>149</v>
      </c>
      <c r="D282" s="40" t="s">
        <v>150</v>
      </c>
      <c r="E282" s="24">
        <v>4989600</v>
      </c>
      <c r="F282" s="39">
        <v>44088</v>
      </c>
      <c r="G282" s="24">
        <v>4989600</v>
      </c>
      <c r="H282" s="23">
        <v>5.0000000000000001E-3</v>
      </c>
      <c r="I282" s="39">
        <v>44228</v>
      </c>
      <c r="J282" s="39">
        <v>44255</v>
      </c>
      <c r="K282" s="24">
        <f t="shared" si="18"/>
        <v>28</v>
      </c>
      <c r="L282" s="24">
        <f t="shared" si="19"/>
        <v>1914</v>
      </c>
      <c r="M282" s="24">
        <v>4989600</v>
      </c>
    </row>
    <row r="283" spans="1:13" s="80" customFormat="1" ht="13.5" outlineLevel="2">
      <c r="A283" s="39" t="s">
        <v>142</v>
      </c>
      <c r="B283" s="40" t="s">
        <v>62</v>
      </c>
      <c r="C283" s="41" t="s">
        <v>143</v>
      </c>
      <c r="D283" s="40" t="s">
        <v>144</v>
      </c>
      <c r="E283" s="24">
        <v>10000000</v>
      </c>
      <c r="F283" s="39">
        <v>43850</v>
      </c>
      <c r="G283" s="24">
        <v>10000000</v>
      </c>
      <c r="H283" s="23">
        <v>5.0000000000000001E-3</v>
      </c>
      <c r="I283" s="39">
        <v>44228</v>
      </c>
      <c r="J283" s="39">
        <v>44255</v>
      </c>
      <c r="K283" s="24">
        <f t="shared" si="18"/>
        <v>28</v>
      </c>
      <c r="L283" s="24">
        <f t="shared" si="19"/>
        <v>3836</v>
      </c>
      <c r="M283" s="24">
        <v>10000000</v>
      </c>
    </row>
    <row r="284" spans="1:13" s="80" customFormat="1" ht="13.5" outlineLevel="2">
      <c r="A284" s="39" t="s">
        <v>142</v>
      </c>
      <c r="B284" s="40" t="s">
        <v>174</v>
      </c>
      <c r="C284" s="41" t="s">
        <v>66</v>
      </c>
      <c r="D284" s="40" t="s">
        <v>67</v>
      </c>
      <c r="E284" s="24">
        <v>96000000</v>
      </c>
      <c r="F284" s="39">
        <v>44089</v>
      </c>
      <c r="G284" s="24">
        <v>96000000</v>
      </c>
      <c r="H284" s="23">
        <v>5.0000000000000001E-3</v>
      </c>
      <c r="I284" s="39">
        <v>44228</v>
      </c>
      <c r="J284" s="39">
        <v>44255</v>
      </c>
      <c r="K284" s="24">
        <f t="shared" si="18"/>
        <v>28</v>
      </c>
      <c r="L284" s="24">
        <f t="shared" si="19"/>
        <v>36822</v>
      </c>
      <c r="M284" s="24">
        <v>96000000</v>
      </c>
    </row>
    <row r="285" spans="1:13" s="80" customFormat="1" ht="13.5" outlineLevel="2">
      <c r="A285" s="39" t="s">
        <v>142</v>
      </c>
      <c r="B285" s="40" t="s">
        <v>175</v>
      </c>
      <c r="C285" s="41" t="s">
        <v>66</v>
      </c>
      <c r="D285" s="40" t="s">
        <v>67</v>
      </c>
      <c r="E285" s="24">
        <v>16000000</v>
      </c>
      <c r="F285" s="39">
        <v>44089</v>
      </c>
      <c r="G285" s="24">
        <v>16000000</v>
      </c>
      <c r="H285" s="23">
        <v>5.0000000000000001E-3</v>
      </c>
      <c r="I285" s="39">
        <v>44228</v>
      </c>
      <c r="J285" s="39">
        <v>44255</v>
      </c>
      <c r="K285" s="24">
        <f t="shared" si="18"/>
        <v>28</v>
      </c>
      <c r="L285" s="24">
        <f t="shared" si="19"/>
        <v>6137</v>
      </c>
      <c r="M285" s="24">
        <v>16000000</v>
      </c>
    </row>
    <row r="286" spans="1:13" s="80" customFormat="1" ht="13.5" outlineLevel="2">
      <c r="A286" s="39" t="s">
        <v>142</v>
      </c>
      <c r="B286" s="40" t="s">
        <v>176</v>
      </c>
      <c r="C286" s="41" t="s">
        <v>143</v>
      </c>
      <c r="D286" s="40" t="s">
        <v>144</v>
      </c>
      <c r="E286" s="24">
        <v>21600000</v>
      </c>
      <c r="F286" s="39">
        <v>44095</v>
      </c>
      <c r="G286" s="24">
        <v>21600000</v>
      </c>
      <c r="H286" s="23">
        <v>5.0000000000000001E-3</v>
      </c>
      <c r="I286" s="39">
        <v>44228</v>
      </c>
      <c r="J286" s="39">
        <v>44255</v>
      </c>
      <c r="K286" s="24">
        <f t="shared" si="18"/>
        <v>28</v>
      </c>
      <c r="L286" s="24">
        <f t="shared" si="19"/>
        <v>8285</v>
      </c>
      <c r="M286" s="24">
        <v>21600000</v>
      </c>
    </row>
    <row r="287" spans="1:13" s="80" customFormat="1" ht="13.5" outlineLevel="2">
      <c r="A287" s="39" t="s">
        <v>142</v>
      </c>
      <c r="B287" s="40" t="s">
        <v>177</v>
      </c>
      <c r="C287" s="41" t="s">
        <v>123</v>
      </c>
      <c r="D287" s="40" t="s">
        <v>124</v>
      </c>
      <c r="E287" s="24">
        <v>40000000</v>
      </c>
      <c r="F287" s="39">
        <v>44100</v>
      </c>
      <c r="G287" s="24">
        <v>40000000</v>
      </c>
      <c r="H287" s="23">
        <v>5.0000000000000001E-3</v>
      </c>
      <c r="I287" s="39">
        <v>44228</v>
      </c>
      <c r="J287" s="39">
        <v>44255</v>
      </c>
      <c r="K287" s="24">
        <f t="shared" si="18"/>
        <v>28</v>
      </c>
      <c r="L287" s="24">
        <f t="shared" si="19"/>
        <v>15342</v>
      </c>
      <c r="M287" s="24">
        <v>40000000</v>
      </c>
    </row>
    <row r="288" spans="1:13" s="80" customFormat="1" ht="13.5" outlineLevel="2">
      <c r="A288" s="39" t="s">
        <v>142</v>
      </c>
      <c r="B288" s="40" t="s">
        <v>178</v>
      </c>
      <c r="C288" s="41" t="s">
        <v>125</v>
      </c>
      <c r="D288" s="40" t="s">
        <v>126</v>
      </c>
      <c r="E288" s="24">
        <v>2000000</v>
      </c>
      <c r="F288" s="39">
        <v>44103</v>
      </c>
      <c r="G288" s="24">
        <v>2000000</v>
      </c>
      <c r="H288" s="23">
        <v>5.0000000000000001E-3</v>
      </c>
      <c r="I288" s="39">
        <v>44228</v>
      </c>
      <c r="J288" s="39">
        <v>44255</v>
      </c>
      <c r="K288" s="24">
        <f t="shared" si="18"/>
        <v>28</v>
      </c>
      <c r="L288" s="24">
        <f t="shared" si="19"/>
        <v>767</v>
      </c>
      <c r="M288" s="24">
        <v>2000000</v>
      </c>
    </row>
    <row r="289" spans="1:13" s="80" customFormat="1" ht="13.5" outlineLevel="2">
      <c r="A289" s="39" t="s">
        <v>142</v>
      </c>
      <c r="B289" s="40" t="s">
        <v>179</v>
      </c>
      <c r="C289" s="41" t="s">
        <v>146</v>
      </c>
      <c r="D289" s="40" t="s">
        <v>147</v>
      </c>
      <c r="E289" s="24">
        <v>13200000</v>
      </c>
      <c r="F289" s="39">
        <v>44109</v>
      </c>
      <c r="G289" s="24">
        <v>13200000</v>
      </c>
      <c r="H289" s="23">
        <v>5.0000000000000001E-3</v>
      </c>
      <c r="I289" s="39">
        <v>44228</v>
      </c>
      <c r="J289" s="39">
        <v>44255</v>
      </c>
      <c r="K289" s="24">
        <f t="shared" si="18"/>
        <v>28</v>
      </c>
      <c r="L289" s="24">
        <f t="shared" si="19"/>
        <v>5063</v>
      </c>
      <c r="M289" s="24">
        <v>13200000</v>
      </c>
    </row>
    <row r="290" spans="1:13" s="80" customFormat="1" ht="13.5" outlineLevel="2">
      <c r="A290" s="39" t="s">
        <v>142</v>
      </c>
      <c r="B290" s="40" t="s">
        <v>180</v>
      </c>
      <c r="C290" s="41" t="s">
        <v>146</v>
      </c>
      <c r="D290" s="40" t="s">
        <v>147</v>
      </c>
      <c r="E290" s="24">
        <v>3000000</v>
      </c>
      <c r="F290" s="39">
        <v>44116</v>
      </c>
      <c r="G290" s="24">
        <v>3000000</v>
      </c>
      <c r="H290" s="23">
        <v>5.0000000000000001E-3</v>
      </c>
      <c r="I290" s="39">
        <v>44228</v>
      </c>
      <c r="J290" s="39">
        <v>44255</v>
      </c>
      <c r="K290" s="24">
        <f t="shared" si="18"/>
        <v>28</v>
      </c>
      <c r="L290" s="24">
        <f t="shared" si="19"/>
        <v>1151</v>
      </c>
      <c r="M290" s="24">
        <v>3000000</v>
      </c>
    </row>
    <row r="291" spans="1:13" s="80" customFormat="1" ht="13.5" outlineLevel="2">
      <c r="A291" s="39" t="s">
        <v>142</v>
      </c>
      <c r="B291" s="40" t="s">
        <v>181</v>
      </c>
      <c r="C291" s="41" t="s">
        <v>149</v>
      </c>
      <c r="D291" s="40" t="s">
        <v>150</v>
      </c>
      <c r="E291" s="24">
        <v>8736000</v>
      </c>
      <c r="F291" s="39">
        <v>44109</v>
      </c>
      <c r="G291" s="24">
        <v>8736000</v>
      </c>
      <c r="H291" s="23">
        <v>5.0000000000000001E-3</v>
      </c>
      <c r="I291" s="39">
        <v>44228</v>
      </c>
      <c r="J291" s="39">
        <v>44255</v>
      </c>
      <c r="K291" s="24">
        <f t="shared" si="18"/>
        <v>28</v>
      </c>
      <c r="L291" s="24">
        <f t="shared" si="19"/>
        <v>3351</v>
      </c>
      <c r="M291" s="24">
        <v>8736000</v>
      </c>
    </row>
    <row r="292" spans="1:13" s="80" customFormat="1" ht="13.5" outlineLevel="2">
      <c r="A292" s="39" t="s">
        <v>142</v>
      </c>
      <c r="B292" s="40" t="s">
        <v>182</v>
      </c>
      <c r="C292" s="41" t="s">
        <v>149</v>
      </c>
      <c r="D292" s="40" t="s">
        <v>150</v>
      </c>
      <c r="E292" s="24">
        <v>4273920</v>
      </c>
      <c r="F292" s="39">
        <v>44111</v>
      </c>
      <c r="G292" s="24">
        <v>4273920</v>
      </c>
      <c r="H292" s="23">
        <v>5.0000000000000001E-3</v>
      </c>
      <c r="I292" s="39">
        <v>44228</v>
      </c>
      <c r="J292" s="39">
        <v>44255</v>
      </c>
      <c r="K292" s="24">
        <f t="shared" si="18"/>
        <v>28</v>
      </c>
      <c r="L292" s="24">
        <f t="shared" si="19"/>
        <v>1639</v>
      </c>
      <c r="M292" s="24">
        <v>4273920</v>
      </c>
    </row>
    <row r="293" spans="1:13" s="80" customFormat="1" ht="13.5" outlineLevel="2">
      <c r="A293" s="39" t="s">
        <v>142</v>
      </c>
      <c r="B293" s="40" t="s">
        <v>183</v>
      </c>
      <c r="C293" s="41" t="s">
        <v>149</v>
      </c>
      <c r="D293" s="40" t="s">
        <v>150</v>
      </c>
      <c r="E293" s="24">
        <v>4368000</v>
      </c>
      <c r="F293" s="39">
        <v>44132</v>
      </c>
      <c r="G293" s="24">
        <v>4368000</v>
      </c>
      <c r="H293" s="23">
        <v>5.0000000000000001E-3</v>
      </c>
      <c r="I293" s="39">
        <v>44228</v>
      </c>
      <c r="J293" s="39">
        <v>44255</v>
      </c>
      <c r="K293" s="24">
        <f t="shared" si="18"/>
        <v>28</v>
      </c>
      <c r="L293" s="24">
        <f t="shared" si="19"/>
        <v>1675</v>
      </c>
      <c r="M293" s="24">
        <v>4368000</v>
      </c>
    </row>
    <row r="294" spans="1:13" s="80" customFormat="1" ht="13.5" outlineLevel="2">
      <c r="A294" s="39" t="s">
        <v>142</v>
      </c>
      <c r="B294" s="40" t="s">
        <v>63</v>
      </c>
      <c r="C294" s="41" t="s">
        <v>149</v>
      </c>
      <c r="D294" s="40" t="s">
        <v>150</v>
      </c>
      <c r="E294" s="24">
        <v>96176976</v>
      </c>
      <c r="F294" s="39">
        <v>43861</v>
      </c>
      <c r="G294" s="24">
        <v>96176976</v>
      </c>
      <c r="H294" s="23">
        <v>5.0000000000000001E-3</v>
      </c>
      <c r="I294" s="39">
        <v>44228</v>
      </c>
      <c r="J294" s="39">
        <v>44255</v>
      </c>
      <c r="K294" s="24">
        <f t="shared" si="18"/>
        <v>28</v>
      </c>
      <c r="L294" s="24">
        <f t="shared" si="19"/>
        <v>36890</v>
      </c>
      <c r="M294" s="24">
        <v>96176976</v>
      </c>
    </row>
    <row r="295" spans="1:13" s="80" customFormat="1" ht="13.5" outlineLevel="2">
      <c r="A295" s="39" t="s">
        <v>142</v>
      </c>
      <c r="B295" s="40" t="s">
        <v>184</v>
      </c>
      <c r="C295" s="41" t="s">
        <v>149</v>
      </c>
      <c r="D295" s="40" t="s">
        <v>150</v>
      </c>
      <c r="E295" s="24">
        <v>8064000</v>
      </c>
      <c r="F295" s="39">
        <v>44133</v>
      </c>
      <c r="G295" s="24">
        <v>8064000</v>
      </c>
      <c r="H295" s="23">
        <v>5.0000000000000001E-3</v>
      </c>
      <c r="I295" s="39">
        <v>44228</v>
      </c>
      <c r="J295" s="39">
        <v>44255</v>
      </c>
      <c r="K295" s="24">
        <f t="shared" si="18"/>
        <v>28</v>
      </c>
      <c r="L295" s="24">
        <f t="shared" si="19"/>
        <v>3093</v>
      </c>
      <c r="M295" s="24">
        <v>8064000</v>
      </c>
    </row>
    <row r="296" spans="1:13" s="80" customFormat="1" ht="13.5" outlineLevel="2">
      <c r="A296" s="39" t="s">
        <v>142</v>
      </c>
      <c r="B296" s="40" t="s">
        <v>185</v>
      </c>
      <c r="C296" s="41" t="s">
        <v>149</v>
      </c>
      <c r="D296" s="40" t="s">
        <v>150</v>
      </c>
      <c r="E296" s="24">
        <v>113400</v>
      </c>
      <c r="F296" s="39">
        <v>44133</v>
      </c>
      <c r="G296" s="24">
        <v>113400</v>
      </c>
      <c r="H296" s="23">
        <v>5.0000000000000001E-3</v>
      </c>
      <c r="I296" s="39">
        <v>44228</v>
      </c>
      <c r="J296" s="39">
        <v>44255</v>
      </c>
      <c r="K296" s="24">
        <f t="shared" si="18"/>
        <v>28</v>
      </c>
      <c r="L296" s="24">
        <f t="shared" si="19"/>
        <v>43</v>
      </c>
      <c r="M296" s="24">
        <v>113400</v>
      </c>
    </row>
    <row r="297" spans="1:13" s="80" customFormat="1" ht="13.5" outlineLevel="2">
      <c r="A297" s="39" t="s">
        <v>142</v>
      </c>
      <c r="B297" s="40" t="s">
        <v>186</v>
      </c>
      <c r="C297" s="41" t="s">
        <v>187</v>
      </c>
      <c r="D297" s="40" t="s">
        <v>188</v>
      </c>
      <c r="E297" s="24">
        <v>93700000</v>
      </c>
      <c r="F297" s="39">
        <v>44109</v>
      </c>
      <c r="G297" s="24">
        <v>93700000</v>
      </c>
      <c r="H297" s="23">
        <v>5.0000000000000001E-3</v>
      </c>
      <c r="I297" s="39">
        <v>44228</v>
      </c>
      <c r="J297" s="39">
        <v>44255</v>
      </c>
      <c r="K297" s="24">
        <f t="shared" si="18"/>
        <v>28</v>
      </c>
      <c r="L297" s="24">
        <f t="shared" si="19"/>
        <v>35940</v>
      </c>
      <c r="M297" s="24">
        <v>93700000</v>
      </c>
    </row>
    <row r="298" spans="1:13" s="80" customFormat="1" ht="13.5" outlineLevel="2">
      <c r="A298" s="39" t="s">
        <v>142</v>
      </c>
      <c r="B298" s="40" t="s">
        <v>189</v>
      </c>
      <c r="C298" s="41" t="s">
        <v>187</v>
      </c>
      <c r="D298" s="40" t="s">
        <v>188</v>
      </c>
      <c r="E298" s="24">
        <v>21400000</v>
      </c>
      <c r="F298" s="39">
        <v>44109</v>
      </c>
      <c r="G298" s="24">
        <v>21400000</v>
      </c>
      <c r="H298" s="23">
        <v>5.0000000000000001E-3</v>
      </c>
      <c r="I298" s="39">
        <v>44228</v>
      </c>
      <c r="J298" s="39">
        <v>44255</v>
      </c>
      <c r="K298" s="24">
        <f t="shared" si="18"/>
        <v>28</v>
      </c>
      <c r="L298" s="24">
        <f t="shared" si="19"/>
        <v>8208</v>
      </c>
      <c r="M298" s="24">
        <v>21400000</v>
      </c>
    </row>
    <row r="299" spans="1:13" s="80" customFormat="1" ht="13.5" outlineLevel="2">
      <c r="A299" s="39" t="s">
        <v>142</v>
      </c>
      <c r="B299" s="40" t="s">
        <v>190</v>
      </c>
      <c r="C299" s="41" t="s">
        <v>143</v>
      </c>
      <c r="D299" s="40" t="s">
        <v>144</v>
      </c>
      <c r="E299" s="24">
        <v>7150000</v>
      </c>
      <c r="F299" s="39">
        <v>44119</v>
      </c>
      <c r="G299" s="24">
        <v>7150000</v>
      </c>
      <c r="H299" s="23">
        <v>5.0000000000000001E-3</v>
      </c>
      <c r="I299" s="39">
        <v>44228</v>
      </c>
      <c r="J299" s="39">
        <v>44255</v>
      </c>
      <c r="K299" s="24">
        <f t="shared" si="18"/>
        <v>28</v>
      </c>
      <c r="L299" s="24">
        <f t="shared" si="19"/>
        <v>2742</v>
      </c>
      <c r="M299" s="24">
        <v>7150000</v>
      </c>
    </row>
    <row r="300" spans="1:13" s="80" customFormat="1" ht="13.5" outlineLevel="2">
      <c r="A300" s="39" t="s">
        <v>142</v>
      </c>
      <c r="B300" s="40" t="s">
        <v>191</v>
      </c>
      <c r="C300" s="41" t="s">
        <v>143</v>
      </c>
      <c r="D300" s="40" t="s">
        <v>144</v>
      </c>
      <c r="E300" s="24">
        <v>14400000</v>
      </c>
      <c r="F300" s="39">
        <v>44124</v>
      </c>
      <c r="G300" s="24">
        <v>14400000</v>
      </c>
      <c r="H300" s="23">
        <v>5.0000000000000001E-3</v>
      </c>
      <c r="I300" s="39">
        <v>44228</v>
      </c>
      <c r="J300" s="39">
        <v>44255</v>
      </c>
      <c r="K300" s="24">
        <f t="shared" si="18"/>
        <v>28</v>
      </c>
      <c r="L300" s="24">
        <f t="shared" si="19"/>
        <v>5523</v>
      </c>
      <c r="M300" s="24">
        <v>14400000</v>
      </c>
    </row>
    <row r="301" spans="1:13" s="80" customFormat="1" ht="13.5" outlineLevel="2">
      <c r="A301" s="39" t="s">
        <v>142</v>
      </c>
      <c r="B301" s="40" t="s">
        <v>192</v>
      </c>
      <c r="C301" s="41" t="s">
        <v>125</v>
      </c>
      <c r="D301" s="40" t="s">
        <v>126</v>
      </c>
      <c r="E301" s="24">
        <v>24000000</v>
      </c>
      <c r="F301" s="39">
        <v>44120</v>
      </c>
      <c r="G301" s="24">
        <v>24000000</v>
      </c>
      <c r="H301" s="23">
        <v>5.0000000000000001E-3</v>
      </c>
      <c r="I301" s="39">
        <v>44228</v>
      </c>
      <c r="J301" s="39">
        <v>44255</v>
      </c>
      <c r="K301" s="24">
        <f t="shared" si="18"/>
        <v>28</v>
      </c>
      <c r="L301" s="24">
        <f t="shared" si="19"/>
        <v>9205</v>
      </c>
      <c r="M301" s="24">
        <v>24000000</v>
      </c>
    </row>
    <row r="302" spans="1:13" s="80" customFormat="1" ht="13.5" outlineLevel="2">
      <c r="A302" s="39" t="s">
        <v>142</v>
      </c>
      <c r="B302" s="40" t="s">
        <v>193</v>
      </c>
      <c r="C302" s="41" t="s">
        <v>125</v>
      </c>
      <c r="D302" s="40" t="s">
        <v>126</v>
      </c>
      <c r="E302" s="24">
        <v>24000000</v>
      </c>
      <c r="F302" s="39">
        <v>44127</v>
      </c>
      <c r="G302" s="24">
        <v>24000000</v>
      </c>
      <c r="H302" s="23">
        <v>5.0000000000000001E-3</v>
      </c>
      <c r="I302" s="39">
        <v>44228</v>
      </c>
      <c r="J302" s="39">
        <v>44255</v>
      </c>
      <c r="K302" s="24">
        <f t="shared" si="18"/>
        <v>28</v>
      </c>
      <c r="L302" s="24">
        <f t="shared" si="19"/>
        <v>9205</v>
      </c>
      <c r="M302" s="24">
        <v>24000000</v>
      </c>
    </row>
    <row r="303" spans="1:13" s="80" customFormat="1" ht="13.5" outlineLevel="2">
      <c r="A303" s="39" t="s">
        <v>142</v>
      </c>
      <c r="B303" s="40" t="s">
        <v>194</v>
      </c>
      <c r="C303" s="41" t="s">
        <v>123</v>
      </c>
      <c r="D303" s="40" t="s">
        <v>124</v>
      </c>
      <c r="E303" s="24">
        <v>5000000</v>
      </c>
      <c r="F303" s="39">
        <v>44134</v>
      </c>
      <c r="G303" s="24">
        <v>5000000</v>
      </c>
      <c r="H303" s="23">
        <v>5.0000000000000001E-3</v>
      </c>
      <c r="I303" s="39">
        <v>44228</v>
      </c>
      <c r="J303" s="39">
        <v>44255</v>
      </c>
      <c r="K303" s="24">
        <f t="shared" si="18"/>
        <v>28</v>
      </c>
      <c r="L303" s="24">
        <f t="shared" si="19"/>
        <v>1918</v>
      </c>
      <c r="M303" s="24">
        <v>5000000</v>
      </c>
    </row>
    <row r="304" spans="1:13" s="80" customFormat="1" ht="13.5" outlineLevel="2">
      <c r="A304" s="39" t="s">
        <v>142</v>
      </c>
      <c r="B304" s="40" t="s">
        <v>195</v>
      </c>
      <c r="C304" s="41" t="s">
        <v>146</v>
      </c>
      <c r="D304" s="40" t="s">
        <v>147</v>
      </c>
      <c r="E304" s="24">
        <v>16000000</v>
      </c>
      <c r="F304" s="39">
        <v>44139</v>
      </c>
      <c r="G304" s="24">
        <v>16000000</v>
      </c>
      <c r="H304" s="23">
        <v>5.0000000000000001E-3</v>
      </c>
      <c r="I304" s="39">
        <v>44228</v>
      </c>
      <c r="J304" s="39">
        <v>44255</v>
      </c>
      <c r="K304" s="24">
        <f t="shared" si="18"/>
        <v>28</v>
      </c>
      <c r="L304" s="24">
        <f t="shared" si="19"/>
        <v>6137</v>
      </c>
      <c r="M304" s="24">
        <v>16000000</v>
      </c>
    </row>
    <row r="305" spans="1:13" s="80" customFormat="1" ht="13.5" outlineLevel="2">
      <c r="A305" s="39" t="s">
        <v>142</v>
      </c>
      <c r="B305" s="40" t="s">
        <v>64</v>
      </c>
      <c r="C305" s="41" t="s">
        <v>143</v>
      </c>
      <c r="D305" s="40" t="s">
        <v>144</v>
      </c>
      <c r="E305" s="24">
        <v>1800000</v>
      </c>
      <c r="F305" s="39">
        <v>43876</v>
      </c>
      <c r="G305" s="24">
        <v>1800000</v>
      </c>
      <c r="H305" s="23">
        <v>5.0000000000000001E-3</v>
      </c>
      <c r="I305" s="39">
        <v>44228</v>
      </c>
      <c r="J305" s="39">
        <v>44255</v>
      </c>
      <c r="K305" s="24">
        <f t="shared" si="18"/>
        <v>28</v>
      </c>
      <c r="L305" s="24">
        <f t="shared" si="19"/>
        <v>690</v>
      </c>
      <c r="M305" s="24">
        <v>1800000</v>
      </c>
    </row>
    <row r="306" spans="1:13" s="80" customFormat="1" ht="13.5" outlineLevel="2">
      <c r="A306" s="39" t="s">
        <v>142</v>
      </c>
      <c r="B306" s="40" t="s">
        <v>196</v>
      </c>
      <c r="C306" s="41" t="s">
        <v>146</v>
      </c>
      <c r="D306" s="40" t="s">
        <v>147</v>
      </c>
      <c r="E306" s="24">
        <v>6000000</v>
      </c>
      <c r="F306" s="39">
        <v>44145</v>
      </c>
      <c r="G306" s="24">
        <v>6000000</v>
      </c>
      <c r="H306" s="23">
        <v>5.0000000000000001E-3</v>
      </c>
      <c r="I306" s="39">
        <v>44228</v>
      </c>
      <c r="J306" s="39">
        <v>44255</v>
      </c>
      <c r="K306" s="24">
        <f t="shared" si="18"/>
        <v>28</v>
      </c>
      <c r="L306" s="24">
        <f t="shared" si="19"/>
        <v>2301</v>
      </c>
      <c r="M306" s="24">
        <v>6000000</v>
      </c>
    </row>
    <row r="307" spans="1:13" s="80" customFormat="1" ht="13.5" outlineLevel="2">
      <c r="A307" s="39" t="s">
        <v>142</v>
      </c>
      <c r="B307" s="40" t="s">
        <v>197</v>
      </c>
      <c r="C307" s="41" t="s">
        <v>143</v>
      </c>
      <c r="D307" s="40" t="s">
        <v>144</v>
      </c>
      <c r="E307" s="24">
        <v>19000000</v>
      </c>
      <c r="F307" s="39">
        <v>44140</v>
      </c>
      <c r="G307" s="24">
        <v>19000000</v>
      </c>
      <c r="H307" s="23">
        <v>5.0000000000000001E-3</v>
      </c>
      <c r="I307" s="39">
        <v>44228</v>
      </c>
      <c r="J307" s="39">
        <v>44255</v>
      </c>
      <c r="K307" s="24">
        <f t="shared" si="18"/>
        <v>28</v>
      </c>
      <c r="L307" s="24">
        <f t="shared" si="19"/>
        <v>7288</v>
      </c>
      <c r="M307" s="24">
        <v>19000000</v>
      </c>
    </row>
    <row r="308" spans="1:13" s="80" customFormat="1" ht="13.5" outlineLevel="2">
      <c r="A308" s="39" t="s">
        <v>142</v>
      </c>
      <c r="B308" s="40" t="s">
        <v>198</v>
      </c>
      <c r="C308" s="41" t="s">
        <v>143</v>
      </c>
      <c r="D308" s="40" t="s">
        <v>144</v>
      </c>
      <c r="E308" s="24">
        <v>1800000</v>
      </c>
      <c r="F308" s="39">
        <v>44165</v>
      </c>
      <c r="G308" s="24">
        <v>1800000</v>
      </c>
      <c r="H308" s="23">
        <v>5.0000000000000001E-3</v>
      </c>
      <c r="I308" s="39">
        <v>44228</v>
      </c>
      <c r="J308" s="39">
        <v>44255</v>
      </c>
      <c r="K308" s="24">
        <f t="shared" si="18"/>
        <v>28</v>
      </c>
      <c r="L308" s="24">
        <f t="shared" si="19"/>
        <v>690</v>
      </c>
      <c r="M308" s="24">
        <v>1800000</v>
      </c>
    </row>
    <row r="309" spans="1:13" s="80" customFormat="1" ht="13.5" outlineLevel="2">
      <c r="A309" s="39" t="s">
        <v>142</v>
      </c>
      <c r="B309" s="40" t="s">
        <v>199</v>
      </c>
      <c r="C309" s="41" t="s">
        <v>143</v>
      </c>
      <c r="D309" s="40" t="s">
        <v>144</v>
      </c>
      <c r="E309" s="24">
        <v>5500000</v>
      </c>
      <c r="F309" s="39">
        <v>44165</v>
      </c>
      <c r="G309" s="24">
        <v>5500000</v>
      </c>
      <c r="H309" s="23">
        <v>5.0000000000000001E-3</v>
      </c>
      <c r="I309" s="39">
        <v>44228</v>
      </c>
      <c r="J309" s="39">
        <v>44255</v>
      </c>
      <c r="K309" s="24">
        <f t="shared" si="18"/>
        <v>28</v>
      </c>
      <c r="L309" s="24">
        <f t="shared" si="19"/>
        <v>2110</v>
      </c>
      <c r="M309" s="24">
        <v>5500000</v>
      </c>
    </row>
    <row r="310" spans="1:13" s="80" customFormat="1" ht="13.5" outlineLevel="2">
      <c r="A310" s="39" t="s">
        <v>142</v>
      </c>
      <c r="B310" s="40" t="s">
        <v>200</v>
      </c>
      <c r="C310" s="41" t="s">
        <v>143</v>
      </c>
      <c r="D310" s="40" t="s">
        <v>144</v>
      </c>
      <c r="E310" s="24">
        <v>8600000</v>
      </c>
      <c r="F310" s="39">
        <v>44165</v>
      </c>
      <c r="G310" s="24">
        <v>8600000</v>
      </c>
      <c r="H310" s="23">
        <v>5.0000000000000001E-3</v>
      </c>
      <c r="I310" s="39">
        <v>44228</v>
      </c>
      <c r="J310" s="39">
        <v>44255</v>
      </c>
      <c r="K310" s="24">
        <f t="shared" ref="K310:K341" si="20">J310-I310+1</f>
        <v>28</v>
      </c>
      <c r="L310" s="24">
        <f t="shared" ref="L310:L341" si="21">ROUND(G310*H310*K310/365,0)</f>
        <v>3299</v>
      </c>
      <c r="M310" s="24">
        <v>8600000</v>
      </c>
    </row>
    <row r="311" spans="1:13" s="80" customFormat="1" ht="13.5" outlineLevel="2">
      <c r="A311" s="39" t="s">
        <v>142</v>
      </c>
      <c r="B311" s="40" t="s">
        <v>201</v>
      </c>
      <c r="C311" s="41" t="s">
        <v>161</v>
      </c>
      <c r="D311" s="40" t="s">
        <v>162</v>
      </c>
      <c r="E311" s="24">
        <v>150000000</v>
      </c>
      <c r="F311" s="39">
        <v>44144</v>
      </c>
      <c r="G311" s="24">
        <v>150000000</v>
      </c>
      <c r="H311" s="23">
        <v>5.0000000000000001E-3</v>
      </c>
      <c r="I311" s="39">
        <v>44228</v>
      </c>
      <c r="J311" s="39">
        <v>44255</v>
      </c>
      <c r="K311" s="24">
        <f t="shared" si="20"/>
        <v>28</v>
      </c>
      <c r="L311" s="24">
        <f t="shared" si="21"/>
        <v>57534</v>
      </c>
      <c r="M311" s="24">
        <v>150000000</v>
      </c>
    </row>
    <row r="312" spans="1:13" s="80" customFormat="1" ht="13.5" outlineLevel="2">
      <c r="A312" s="39" t="s">
        <v>142</v>
      </c>
      <c r="B312" s="40" t="s">
        <v>202</v>
      </c>
      <c r="C312" s="41" t="s">
        <v>125</v>
      </c>
      <c r="D312" s="40" t="s">
        <v>126</v>
      </c>
      <c r="E312" s="24">
        <v>2500000</v>
      </c>
      <c r="F312" s="39">
        <v>44147</v>
      </c>
      <c r="G312" s="24">
        <v>2500000</v>
      </c>
      <c r="H312" s="23">
        <v>5.0000000000000001E-3</v>
      </c>
      <c r="I312" s="39">
        <v>44228</v>
      </c>
      <c r="J312" s="39">
        <v>44255</v>
      </c>
      <c r="K312" s="24">
        <f t="shared" si="20"/>
        <v>28</v>
      </c>
      <c r="L312" s="24">
        <f t="shared" si="21"/>
        <v>959</v>
      </c>
      <c r="M312" s="24">
        <v>2500000</v>
      </c>
    </row>
    <row r="313" spans="1:13" s="80" customFormat="1" ht="13.5" outlineLevel="2">
      <c r="A313" s="39" t="s">
        <v>142</v>
      </c>
      <c r="B313" s="40" t="s">
        <v>203</v>
      </c>
      <c r="C313" s="41" t="s">
        <v>125</v>
      </c>
      <c r="D313" s="40" t="s">
        <v>126</v>
      </c>
      <c r="E313" s="24">
        <v>18000000</v>
      </c>
      <c r="F313" s="39">
        <v>44158</v>
      </c>
      <c r="G313" s="24">
        <v>18000000</v>
      </c>
      <c r="H313" s="23">
        <v>5.0000000000000001E-3</v>
      </c>
      <c r="I313" s="39">
        <v>44228</v>
      </c>
      <c r="J313" s="39">
        <v>44255</v>
      </c>
      <c r="K313" s="24">
        <f t="shared" si="20"/>
        <v>28</v>
      </c>
      <c r="L313" s="24">
        <f t="shared" si="21"/>
        <v>6904</v>
      </c>
      <c r="M313" s="24">
        <v>18000000</v>
      </c>
    </row>
    <row r="314" spans="1:13" s="80" customFormat="1" ht="13.5" outlineLevel="2">
      <c r="A314" s="39" t="s">
        <v>142</v>
      </c>
      <c r="B314" s="40" t="s">
        <v>204</v>
      </c>
      <c r="C314" s="41" t="s">
        <v>149</v>
      </c>
      <c r="D314" s="40" t="s">
        <v>150</v>
      </c>
      <c r="E314" s="24">
        <v>1764000</v>
      </c>
      <c r="F314" s="39">
        <v>44147</v>
      </c>
      <c r="G314" s="24">
        <v>1764000</v>
      </c>
      <c r="H314" s="23">
        <v>5.0000000000000001E-3</v>
      </c>
      <c r="I314" s="39">
        <v>44228</v>
      </c>
      <c r="J314" s="39">
        <v>44255</v>
      </c>
      <c r="K314" s="24">
        <f t="shared" si="20"/>
        <v>28</v>
      </c>
      <c r="L314" s="24">
        <f t="shared" si="21"/>
        <v>677</v>
      </c>
      <c r="M314" s="24">
        <v>1764000</v>
      </c>
    </row>
    <row r="315" spans="1:13" s="80" customFormat="1" ht="13.5" outlineLevel="2">
      <c r="A315" s="39" t="s">
        <v>142</v>
      </c>
      <c r="B315" s="40" t="s">
        <v>205</v>
      </c>
      <c r="C315" s="41" t="s">
        <v>163</v>
      </c>
      <c r="D315" s="40" t="s">
        <v>164</v>
      </c>
      <c r="E315" s="24">
        <v>15000000</v>
      </c>
      <c r="F315" s="39">
        <v>44153</v>
      </c>
      <c r="G315" s="24">
        <v>14739130</v>
      </c>
      <c r="H315" s="23">
        <v>5.0000000000000001E-3</v>
      </c>
      <c r="I315" s="39">
        <v>44228</v>
      </c>
      <c r="J315" s="39">
        <v>44243</v>
      </c>
      <c r="K315" s="24">
        <f t="shared" si="20"/>
        <v>16</v>
      </c>
      <c r="L315" s="24">
        <f t="shared" si="21"/>
        <v>3230</v>
      </c>
      <c r="M315" s="24">
        <v>14608695</v>
      </c>
    </row>
    <row r="316" spans="1:13" s="80" customFormat="1" ht="13.5" outlineLevel="2">
      <c r="A316" s="39" t="s">
        <v>142</v>
      </c>
      <c r="B316" s="40" t="s">
        <v>205</v>
      </c>
      <c r="C316" s="41" t="s">
        <v>163</v>
      </c>
      <c r="D316" s="40"/>
      <c r="E316" s="24"/>
      <c r="F316" s="39"/>
      <c r="G316" s="24">
        <v>14608695</v>
      </c>
      <c r="H316" s="23">
        <v>5.0000000000000001E-3</v>
      </c>
      <c r="I316" s="39">
        <v>44244</v>
      </c>
      <c r="J316" s="39">
        <v>44255</v>
      </c>
      <c r="K316" s="24">
        <f t="shared" si="20"/>
        <v>12</v>
      </c>
      <c r="L316" s="24">
        <f t="shared" si="21"/>
        <v>2401</v>
      </c>
      <c r="M316" s="24"/>
    </row>
    <row r="317" spans="1:13" s="80" customFormat="1" ht="13.5" outlineLevel="2">
      <c r="A317" s="39" t="s">
        <v>142</v>
      </c>
      <c r="B317" s="40" t="s">
        <v>65</v>
      </c>
      <c r="C317" s="41" t="s">
        <v>117</v>
      </c>
      <c r="D317" s="40" t="s">
        <v>118</v>
      </c>
      <c r="E317" s="24">
        <v>30000000</v>
      </c>
      <c r="F317" s="39">
        <v>43906</v>
      </c>
      <c r="G317" s="24">
        <v>30000000</v>
      </c>
      <c r="H317" s="23">
        <v>5.0000000000000001E-3</v>
      </c>
      <c r="I317" s="39">
        <v>44228</v>
      </c>
      <c r="J317" s="39">
        <v>44255</v>
      </c>
      <c r="K317" s="24">
        <f t="shared" si="20"/>
        <v>28</v>
      </c>
      <c r="L317" s="24">
        <f t="shared" si="21"/>
        <v>11507</v>
      </c>
      <c r="M317" s="24">
        <v>30000000</v>
      </c>
    </row>
    <row r="318" spans="1:13" s="80" customFormat="1" ht="13.5" outlineLevel="2">
      <c r="A318" s="39" t="s">
        <v>142</v>
      </c>
      <c r="B318" s="40" t="s">
        <v>206</v>
      </c>
      <c r="C318" s="41" t="s">
        <v>87</v>
      </c>
      <c r="D318" s="40" t="s">
        <v>88</v>
      </c>
      <c r="E318" s="24">
        <v>13481921</v>
      </c>
      <c r="F318" s="39">
        <v>44158</v>
      </c>
      <c r="G318" s="24">
        <v>13481921</v>
      </c>
      <c r="H318" s="23">
        <v>5.0000000000000001E-3</v>
      </c>
      <c r="I318" s="39">
        <v>44228</v>
      </c>
      <c r="J318" s="39">
        <v>44255</v>
      </c>
      <c r="K318" s="24">
        <f t="shared" si="20"/>
        <v>28</v>
      </c>
      <c r="L318" s="24">
        <f t="shared" si="21"/>
        <v>5171</v>
      </c>
      <c r="M318" s="24">
        <v>13481921</v>
      </c>
    </row>
    <row r="319" spans="1:13" s="80" customFormat="1" ht="13.5" outlineLevel="2">
      <c r="A319" s="39" t="s">
        <v>142</v>
      </c>
      <c r="B319" s="40" t="s">
        <v>207</v>
      </c>
      <c r="C319" s="41" t="s">
        <v>85</v>
      </c>
      <c r="D319" s="40" t="s">
        <v>86</v>
      </c>
      <c r="E319" s="24">
        <v>2682500</v>
      </c>
      <c r="F319" s="39">
        <v>44165</v>
      </c>
      <c r="G319" s="24">
        <v>2682500</v>
      </c>
      <c r="H319" s="23">
        <v>5.0000000000000001E-3</v>
      </c>
      <c r="I319" s="39">
        <v>44228</v>
      </c>
      <c r="J319" s="39">
        <v>44255</v>
      </c>
      <c r="K319" s="24">
        <f t="shared" si="20"/>
        <v>28</v>
      </c>
      <c r="L319" s="24">
        <f t="shared" si="21"/>
        <v>1029</v>
      </c>
      <c r="M319" s="24">
        <v>2682500</v>
      </c>
    </row>
    <row r="320" spans="1:13" s="80" customFormat="1" ht="13.5" outlineLevel="2">
      <c r="A320" s="39" t="s">
        <v>142</v>
      </c>
      <c r="B320" s="40" t="s">
        <v>208</v>
      </c>
      <c r="C320" s="41" t="s">
        <v>85</v>
      </c>
      <c r="D320" s="40" t="s">
        <v>86</v>
      </c>
      <c r="E320" s="24">
        <v>8047500</v>
      </c>
      <c r="F320" s="39">
        <v>44165</v>
      </c>
      <c r="G320" s="24">
        <v>8047500</v>
      </c>
      <c r="H320" s="23">
        <v>5.0000000000000001E-3</v>
      </c>
      <c r="I320" s="39">
        <v>44228</v>
      </c>
      <c r="J320" s="39">
        <v>44255</v>
      </c>
      <c r="K320" s="24">
        <f t="shared" si="20"/>
        <v>28</v>
      </c>
      <c r="L320" s="24">
        <f t="shared" si="21"/>
        <v>3087</v>
      </c>
      <c r="M320" s="24">
        <v>8047500</v>
      </c>
    </row>
    <row r="321" spans="1:13" s="80" customFormat="1" ht="13.5" outlineLevel="2">
      <c r="A321" s="39" t="s">
        <v>142</v>
      </c>
      <c r="B321" s="40" t="s">
        <v>209</v>
      </c>
      <c r="C321" s="41" t="s">
        <v>146</v>
      </c>
      <c r="D321" s="40" t="s">
        <v>147</v>
      </c>
      <c r="E321" s="24">
        <v>15600000</v>
      </c>
      <c r="F321" s="39">
        <v>44168</v>
      </c>
      <c r="G321" s="24">
        <v>15600000</v>
      </c>
      <c r="H321" s="23">
        <v>5.0000000000000001E-3</v>
      </c>
      <c r="I321" s="39">
        <v>44228</v>
      </c>
      <c r="J321" s="39">
        <v>44255</v>
      </c>
      <c r="K321" s="24">
        <f t="shared" si="20"/>
        <v>28</v>
      </c>
      <c r="L321" s="24">
        <f t="shared" si="21"/>
        <v>5984</v>
      </c>
      <c r="M321" s="24">
        <v>15600000</v>
      </c>
    </row>
    <row r="322" spans="1:13" s="80" customFormat="1" ht="13.5" outlineLevel="2">
      <c r="A322" s="39" t="s">
        <v>142</v>
      </c>
      <c r="B322" s="40" t="s">
        <v>210</v>
      </c>
      <c r="C322" s="41" t="s">
        <v>146</v>
      </c>
      <c r="D322" s="40" t="s">
        <v>147</v>
      </c>
      <c r="E322" s="24">
        <v>4400000</v>
      </c>
      <c r="F322" s="39">
        <v>44173</v>
      </c>
      <c r="G322" s="24">
        <v>4400000</v>
      </c>
      <c r="H322" s="23">
        <v>5.0000000000000001E-3</v>
      </c>
      <c r="I322" s="39">
        <v>44228</v>
      </c>
      <c r="J322" s="39">
        <v>44255</v>
      </c>
      <c r="K322" s="24">
        <f t="shared" si="20"/>
        <v>28</v>
      </c>
      <c r="L322" s="24">
        <f t="shared" si="21"/>
        <v>1688</v>
      </c>
      <c r="M322" s="24">
        <v>4400000</v>
      </c>
    </row>
    <row r="323" spans="1:13" s="80" customFormat="1" ht="13.5" outlineLevel="2">
      <c r="A323" s="39" t="s">
        <v>142</v>
      </c>
      <c r="B323" s="40" t="s">
        <v>211</v>
      </c>
      <c r="C323" s="41" t="s">
        <v>187</v>
      </c>
      <c r="D323" s="40" t="s">
        <v>188</v>
      </c>
      <c r="E323" s="24">
        <v>88900000</v>
      </c>
      <c r="F323" s="39">
        <v>44169</v>
      </c>
      <c r="G323" s="24">
        <v>88900000</v>
      </c>
      <c r="H323" s="23">
        <v>5.0000000000000001E-3</v>
      </c>
      <c r="I323" s="39">
        <v>44228</v>
      </c>
      <c r="J323" s="39">
        <v>44255</v>
      </c>
      <c r="K323" s="24">
        <f t="shared" si="20"/>
        <v>28</v>
      </c>
      <c r="L323" s="24">
        <f t="shared" si="21"/>
        <v>34099</v>
      </c>
      <c r="M323" s="24">
        <v>88900000</v>
      </c>
    </row>
    <row r="324" spans="1:13" s="80" customFormat="1" ht="13.5" outlineLevel="2">
      <c r="A324" s="39" t="s">
        <v>142</v>
      </c>
      <c r="B324" s="40" t="s">
        <v>212</v>
      </c>
      <c r="C324" s="41" t="s">
        <v>163</v>
      </c>
      <c r="D324" s="40" t="s">
        <v>164</v>
      </c>
      <c r="E324" s="24">
        <v>7300000</v>
      </c>
      <c r="F324" s="39">
        <v>44173</v>
      </c>
      <c r="G324" s="24">
        <v>7235965</v>
      </c>
      <c r="H324" s="23">
        <v>5.0000000000000001E-3</v>
      </c>
      <c r="I324" s="39">
        <v>44228</v>
      </c>
      <c r="J324" s="39">
        <v>44243</v>
      </c>
      <c r="K324" s="24">
        <f t="shared" si="20"/>
        <v>16</v>
      </c>
      <c r="L324" s="24">
        <f t="shared" si="21"/>
        <v>1586</v>
      </c>
      <c r="M324" s="24">
        <v>7171930</v>
      </c>
    </row>
    <row r="325" spans="1:13" s="80" customFormat="1" ht="13.5" outlineLevel="2">
      <c r="A325" s="39" t="s">
        <v>142</v>
      </c>
      <c r="B325" s="40" t="s">
        <v>212</v>
      </c>
      <c r="C325" s="41" t="s">
        <v>163</v>
      </c>
      <c r="D325" s="40"/>
      <c r="E325" s="24"/>
      <c r="F325" s="39"/>
      <c r="G325" s="24">
        <v>7171930</v>
      </c>
      <c r="H325" s="23">
        <v>5.0000000000000001E-3</v>
      </c>
      <c r="I325" s="39">
        <v>44244</v>
      </c>
      <c r="J325" s="39">
        <v>44255</v>
      </c>
      <c r="K325" s="24">
        <f t="shared" si="20"/>
        <v>12</v>
      </c>
      <c r="L325" s="24">
        <f t="shared" si="21"/>
        <v>1179</v>
      </c>
      <c r="M325" s="24"/>
    </row>
    <row r="326" spans="1:13" s="80" customFormat="1" ht="13.5" outlineLevel="2">
      <c r="A326" s="39" t="s">
        <v>142</v>
      </c>
      <c r="B326" s="40" t="s">
        <v>213</v>
      </c>
      <c r="C326" s="41" t="s">
        <v>149</v>
      </c>
      <c r="D326" s="40" t="s">
        <v>150</v>
      </c>
      <c r="E326" s="24">
        <v>2184000</v>
      </c>
      <c r="F326" s="39">
        <v>44174</v>
      </c>
      <c r="G326" s="24">
        <v>2184000</v>
      </c>
      <c r="H326" s="23">
        <v>5.0000000000000001E-3</v>
      </c>
      <c r="I326" s="39">
        <v>44228</v>
      </c>
      <c r="J326" s="39">
        <v>44255</v>
      </c>
      <c r="K326" s="24">
        <f t="shared" si="20"/>
        <v>28</v>
      </c>
      <c r="L326" s="24">
        <f t="shared" si="21"/>
        <v>838</v>
      </c>
      <c r="M326" s="24">
        <v>2184000</v>
      </c>
    </row>
    <row r="327" spans="1:13" s="80" customFormat="1" ht="13.5" outlineLevel="2">
      <c r="A327" s="39" t="s">
        <v>142</v>
      </c>
      <c r="B327" s="40" t="s">
        <v>214</v>
      </c>
      <c r="C327" s="41" t="s">
        <v>149</v>
      </c>
      <c r="D327" s="40" t="s">
        <v>150</v>
      </c>
      <c r="E327" s="24">
        <v>20764000</v>
      </c>
      <c r="F327" s="39">
        <v>44176</v>
      </c>
      <c r="G327" s="24">
        <v>20764000</v>
      </c>
      <c r="H327" s="23">
        <v>5.0000000000000001E-3</v>
      </c>
      <c r="I327" s="39">
        <v>44228</v>
      </c>
      <c r="J327" s="39">
        <v>44255</v>
      </c>
      <c r="K327" s="24">
        <f t="shared" si="20"/>
        <v>28</v>
      </c>
      <c r="L327" s="24">
        <f t="shared" si="21"/>
        <v>7964</v>
      </c>
      <c r="M327" s="24">
        <v>20764000</v>
      </c>
    </row>
    <row r="328" spans="1:13" s="80" customFormat="1" ht="13.5" outlineLevel="2">
      <c r="A328" s="39" t="s">
        <v>142</v>
      </c>
      <c r="B328" s="40" t="s">
        <v>215</v>
      </c>
      <c r="C328" s="41" t="s">
        <v>149</v>
      </c>
      <c r="D328" s="40" t="s">
        <v>150</v>
      </c>
      <c r="E328" s="24">
        <v>2423030</v>
      </c>
      <c r="F328" s="39">
        <v>44190</v>
      </c>
      <c r="G328" s="24">
        <v>2423030</v>
      </c>
      <c r="H328" s="23">
        <v>5.0000000000000001E-3</v>
      </c>
      <c r="I328" s="39">
        <v>44228</v>
      </c>
      <c r="J328" s="39">
        <v>44255</v>
      </c>
      <c r="K328" s="24">
        <f t="shared" si="20"/>
        <v>28</v>
      </c>
      <c r="L328" s="24">
        <f t="shared" si="21"/>
        <v>929</v>
      </c>
      <c r="M328" s="24">
        <v>2423030</v>
      </c>
    </row>
    <row r="329" spans="1:13" s="80" customFormat="1" ht="13.5" outlineLevel="2">
      <c r="A329" s="39" t="s">
        <v>142</v>
      </c>
      <c r="B329" s="40" t="s">
        <v>68</v>
      </c>
      <c r="C329" s="41" t="s">
        <v>117</v>
      </c>
      <c r="D329" s="40" t="s">
        <v>118</v>
      </c>
      <c r="E329" s="24">
        <v>50000000</v>
      </c>
      <c r="F329" s="39">
        <v>43908</v>
      </c>
      <c r="G329" s="24">
        <v>50000000</v>
      </c>
      <c r="H329" s="23">
        <v>5.0000000000000001E-3</v>
      </c>
      <c r="I329" s="39">
        <v>44228</v>
      </c>
      <c r="J329" s="39">
        <v>44255</v>
      </c>
      <c r="K329" s="24">
        <f t="shared" si="20"/>
        <v>28</v>
      </c>
      <c r="L329" s="24">
        <f t="shared" si="21"/>
        <v>19178</v>
      </c>
      <c r="M329" s="24">
        <v>50000000</v>
      </c>
    </row>
    <row r="330" spans="1:13" s="80" customFormat="1" ht="13.5" outlineLevel="2">
      <c r="A330" s="39" t="s">
        <v>142</v>
      </c>
      <c r="B330" s="40" t="s">
        <v>216</v>
      </c>
      <c r="C330" s="41" t="s">
        <v>149</v>
      </c>
      <c r="D330" s="40" t="s">
        <v>150</v>
      </c>
      <c r="E330" s="24">
        <v>5653738</v>
      </c>
      <c r="F330" s="39">
        <v>44196</v>
      </c>
      <c r="G330" s="24">
        <v>5653738</v>
      </c>
      <c r="H330" s="23">
        <v>5.0000000000000001E-3</v>
      </c>
      <c r="I330" s="39">
        <v>44228</v>
      </c>
      <c r="J330" s="39">
        <v>44255</v>
      </c>
      <c r="K330" s="24">
        <f t="shared" si="20"/>
        <v>28</v>
      </c>
      <c r="L330" s="24">
        <f t="shared" si="21"/>
        <v>2169</v>
      </c>
      <c r="M330" s="24">
        <v>5653738</v>
      </c>
    </row>
    <row r="331" spans="1:13" s="80" customFormat="1" ht="13.5" outlineLevel="2">
      <c r="A331" s="39" t="s">
        <v>142</v>
      </c>
      <c r="B331" s="40" t="s">
        <v>217</v>
      </c>
      <c r="C331" s="41" t="s">
        <v>155</v>
      </c>
      <c r="D331" s="40" t="s">
        <v>156</v>
      </c>
      <c r="E331" s="24">
        <v>200000000</v>
      </c>
      <c r="F331" s="39">
        <v>44190</v>
      </c>
      <c r="G331" s="24">
        <v>200000000</v>
      </c>
      <c r="H331" s="23">
        <v>5.0000000000000001E-3</v>
      </c>
      <c r="I331" s="39">
        <v>44228</v>
      </c>
      <c r="J331" s="39">
        <v>44255</v>
      </c>
      <c r="K331" s="24">
        <f t="shared" si="20"/>
        <v>28</v>
      </c>
      <c r="L331" s="24">
        <f t="shared" si="21"/>
        <v>76712</v>
      </c>
      <c r="M331" s="24">
        <v>200000000</v>
      </c>
    </row>
    <row r="332" spans="1:13" s="80" customFormat="1" ht="13.5" outlineLevel="2">
      <c r="A332" s="39" t="s">
        <v>142</v>
      </c>
      <c r="B332" s="40" t="s">
        <v>218</v>
      </c>
      <c r="C332" s="41" t="s">
        <v>219</v>
      </c>
      <c r="D332" s="40" t="s">
        <v>220</v>
      </c>
      <c r="E332" s="24">
        <v>14160000</v>
      </c>
      <c r="F332" s="39">
        <v>44190</v>
      </c>
      <c r="G332" s="24">
        <v>14160000</v>
      </c>
      <c r="H332" s="23">
        <v>5.0000000000000001E-3</v>
      </c>
      <c r="I332" s="39">
        <v>44228</v>
      </c>
      <c r="J332" s="39">
        <v>44255</v>
      </c>
      <c r="K332" s="24">
        <f t="shared" si="20"/>
        <v>28</v>
      </c>
      <c r="L332" s="24">
        <f t="shared" si="21"/>
        <v>5431</v>
      </c>
      <c r="M332" s="24">
        <v>14160000</v>
      </c>
    </row>
    <row r="333" spans="1:13" s="80" customFormat="1" ht="13.5" outlineLevel="2">
      <c r="A333" s="39" t="s">
        <v>142</v>
      </c>
      <c r="B333" s="40" t="s">
        <v>221</v>
      </c>
      <c r="C333" s="41" t="s">
        <v>87</v>
      </c>
      <c r="D333" s="40" t="s">
        <v>88</v>
      </c>
      <c r="E333" s="24">
        <v>13481921</v>
      </c>
      <c r="F333" s="39">
        <v>44190</v>
      </c>
      <c r="G333" s="24">
        <v>13481921</v>
      </c>
      <c r="H333" s="23">
        <v>5.0000000000000001E-3</v>
      </c>
      <c r="I333" s="39">
        <v>44228</v>
      </c>
      <c r="J333" s="39">
        <v>44255</v>
      </c>
      <c r="K333" s="24">
        <f t="shared" si="20"/>
        <v>28</v>
      </c>
      <c r="L333" s="24">
        <f t="shared" si="21"/>
        <v>5171</v>
      </c>
      <c r="M333" s="24">
        <v>13481921</v>
      </c>
    </row>
    <row r="334" spans="1:13" s="80" customFormat="1" ht="13.5" outlineLevel="2">
      <c r="A334" s="39" t="s">
        <v>142</v>
      </c>
      <c r="B334" s="40" t="s">
        <v>222</v>
      </c>
      <c r="C334" s="41" t="s">
        <v>143</v>
      </c>
      <c r="D334" s="40" t="s">
        <v>144</v>
      </c>
      <c r="E334" s="24">
        <v>1800000</v>
      </c>
      <c r="F334" s="39">
        <v>44190</v>
      </c>
      <c r="G334" s="24">
        <v>1800000</v>
      </c>
      <c r="H334" s="23">
        <v>5.0000000000000001E-3</v>
      </c>
      <c r="I334" s="39">
        <v>44228</v>
      </c>
      <c r="J334" s="39">
        <v>44255</v>
      </c>
      <c r="K334" s="24">
        <f t="shared" si="20"/>
        <v>28</v>
      </c>
      <c r="L334" s="24">
        <f t="shared" si="21"/>
        <v>690</v>
      </c>
      <c r="M334" s="24">
        <v>1800000</v>
      </c>
    </row>
    <row r="335" spans="1:13" s="80" customFormat="1" ht="13.5" outlineLevel="2">
      <c r="A335" s="39" t="s">
        <v>142</v>
      </c>
      <c r="B335" s="40" t="s">
        <v>223</v>
      </c>
      <c r="C335" s="41" t="s">
        <v>143</v>
      </c>
      <c r="D335" s="40" t="s">
        <v>144</v>
      </c>
      <c r="E335" s="24">
        <v>8300000</v>
      </c>
      <c r="F335" s="39">
        <v>44196</v>
      </c>
      <c r="G335" s="24">
        <v>8300000</v>
      </c>
      <c r="H335" s="23">
        <v>5.0000000000000001E-3</v>
      </c>
      <c r="I335" s="39">
        <v>44228</v>
      </c>
      <c r="J335" s="39">
        <v>44255</v>
      </c>
      <c r="K335" s="24">
        <f t="shared" si="20"/>
        <v>28</v>
      </c>
      <c r="L335" s="24">
        <f t="shared" si="21"/>
        <v>3184</v>
      </c>
      <c r="M335" s="24">
        <v>8300000</v>
      </c>
    </row>
    <row r="336" spans="1:13" s="80" customFormat="1" ht="13.5" outlineLevel="2">
      <c r="A336" s="39" t="s">
        <v>142</v>
      </c>
      <c r="B336" s="40" t="s">
        <v>224</v>
      </c>
      <c r="C336" s="41" t="s">
        <v>165</v>
      </c>
      <c r="D336" s="40" t="s">
        <v>166</v>
      </c>
      <c r="E336" s="24">
        <v>39740000</v>
      </c>
      <c r="F336" s="39">
        <v>44195</v>
      </c>
      <c r="G336" s="24">
        <v>39740000</v>
      </c>
      <c r="H336" s="23">
        <v>5.0000000000000001E-3</v>
      </c>
      <c r="I336" s="39">
        <v>44228</v>
      </c>
      <c r="J336" s="39">
        <v>44255</v>
      </c>
      <c r="K336" s="24">
        <f t="shared" si="20"/>
        <v>28</v>
      </c>
      <c r="L336" s="24">
        <f t="shared" si="21"/>
        <v>15243</v>
      </c>
      <c r="M336" s="24">
        <v>39740000</v>
      </c>
    </row>
    <row r="337" spans="1:13" s="80" customFormat="1" ht="13.5" outlineLevel="2">
      <c r="A337" s="39" t="s">
        <v>142</v>
      </c>
      <c r="B337" s="40" t="s">
        <v>225</v>
      </c>
      <c r="C337" s="41" t="s">
        <v>85</v>
      </c>
      <c r="D337" s="40" t="s">
        <v>86</v>
      </c>
      <c r="E337" s="24">
        <v>4842500</v>
      </c>
      <c r="F337" s="39">
        <v>44202</v>
      </c>
      <c r="G337" s="24">
        <v>4842500</v>
      </c>
      <c r="H337" s="23">
        <v>5.0000000000000001E-3</v>
      </c>
      <c r="I337" s="39">
        <v>44228</v>
      </c>
      <c r="J337" s="39">
        <v>44255</v>
      </c>
      <c r="K337" s="24">
        <f t="shared" si="20"/>
        <v>28</v>
      </c>
      <c r="L337" s="24">
        <f t="shared" si="21"/>
        <v>1857</v>
      </c>
      <c r="M337" s="24">
        <v>4842500</v>
      </c>
    </row>
    <row r="338" spans="1:13" s="80" customFormat="1" ht="13.5" outlineLevel="2">
      <c r="A338" s="39" t="s">
        <v>142</v>
      </c>
      <c r="B338" s="40" t="s">
        <v>226</v>
      </c>
      <c r="C338" s="41" t="s">
        <v>85</v>
      </c>
      <c r="D338" s="40" t="s">
        <v>86</v>
      </c>
      <c r="E338" s="24">
        <v>14527500</v>
      </c>
      <c r="F338" s="39">
        <v>44202</v>
      </c>
      <c r="G338" s="24">
        <v>14527500</v>
      </c>
      <c r="H338" s="23">
        <v>5.0000000000000001E-3</v>
      </c>
      <c r="I338" s="39">
        <v>44228</v>
      </c>
      <c r="J338" s="39">
        <v>44255</v>
      </c>
      <c r="K338" s="24">
        <f t="shared" si="20"/>
        <v>28</v>
      </c>
      <c r="L338" s="24">
        <f t="shared" si="21"/>
        <v>5572</v>
      </c>
      <c r="M338" s="24">
        <v>14527500</v>
      </c>
    </row>
    <row r="339" spans="1:13" s="80" customFormat="1" ht="13.5" outlineLevel="2">
      <c r="A339" s="39" t="s">
        <v>142</v>
      </c>
      <c r="B339" s="40" t="s">
        <v>227</v>
      </c>
      <c r="C339" s="41" t="s">
        <v>143</v>
      </c>
      <c r="D339" s="40" t="s">
        <v>144</v>
      </c>
      <c r="E339" s="24">
        <v>4600000</v>
      </c>
      <c r="F339" s="39">
        <v>44204</v>
      </c>
      <c r="G339" s="24">
        <v>4600000</v>
      </c>
      <c r="H339" s="23">
        <v>5.0000000000000001E-3</v>
      </c>
      <c r="I339" s="39">
        <v>44228</v>
      </c>
      <c r="J339" s="39">
        <v>44255</v>
      </c>
      <c r="K339" s="24">
        <f t="shared" si="20"/>
        <v>28</v>
      </c>
      <c r="L339" s="24">
        <f t="shared" si="21"/>
        <v>1764</v>
      </c>
      <c r="M339" s="24">
        <v>4600000</v>
      </c>
    </row>
    <row r="340" spans="1:13" s="80" customFormat="1" ht="13.5" outlineLevel="1">
      <c r="A340" s="42" t="s">
        <v>228</v>
      </c>
      <c r="B340" s="43"/>
      <c r="C340" s="44"/>
      <c r="D340" s="43"/>
      <c r="E340" s="45">
        <f>SUBTOTAL(9,E214:E339)</f>
        <v>4153806643</v>
      </c>
      <c r="F340" s="46"/>
      <c r="G340" s="45"/>
      <c r="H340" s="47"/>
      <c r="I340" s="46"/>
      <c r="J340" s="46"/>
      <c r="K340" s="45"/>
      <c r="L340" s="45">
        <f>SUBTOTAL(9,L214:L339)</f>
        <v>1494151</v>
      </c>
      <c r="M340" s="45">
        <f>SUBTOTAL(9,M214:M339)</f>
        <v>4148782484</v>
      </c>
    </row>
    <row r="341" spans="1:13" s="80" customFormat="1" ht="13.5" outlineLevel="2">
      <c r="A341" s="39" t="s">
        <v>229</v>
      </c>
      <c r="B341" s="40" t="s">
        <v>16</v>
      </c>
      <c r="C341" s="41" t="s">
        <v>117</v>
      </c>
      <c r="D341" s="40" t="s">
        <v>118</v>
      </c>
      <c r="E341" s="24">
        <v>1210000</v>
      </c>
      <c r="F341" s="39">
        <v>44061</v>
      </c>
      <c r="G341" s="24">
        <v>1210000</v>
      </c>
      <c r="H341" s="23">
        <v>5.0000000000000001E-3</v>
      </c>
      <c r="I341" s="39">
        <v>44228</v>
      </c>
      <c r="J341" s="39">
        <v>44255</v>
      </c>
      <c r="K341" s="24">
        <f>J341-I341+1</f>
        <v>28</v>
      </c>
      <c r="L341" s="24">
        <f>ROUND(G341*H341*K341/365,0)</f>
        <v>464</v>
      </c>
      <c r="M341" s="24">
        <v>1210000</v>
      </c>
    </row>
    <row r="342" spans="1:13" s="80" customFormat="1" ht="13.5" outlineLevel="1">
      <c r="A342" s="42" t="s">
        <v>230</v>
      </c>
      <c r="B342" s="43"/>
      <c r="C342" s="44"/>
      <c r="D342" s="43"/>
      <c r="E342" s="45">
        <f>SUBTOTAL(9,E341:E341)</f>
        <v>1210000</v>
      </c>
      <c r="F342" s="46"/>
      <c r="G342" s="45"/>
      <c r="H342" s="47"/>
      <c r="I342" s="46"/>
      <c r="J342" s="46"/>
      <c r="K342" s="45"/>
      <c r="L342" s="45">
        <f>SUBTOTAL(9,L341:L341)</f>
        <v>464</v>
      </c>
      <c r="M342" s="45">
        <f>SUBTOTAL(9,M341:M341)</f>
        <v>1210000</v>
      </c>
    </row>
    <row r="343" spans="1:13" s="80" customFormat="1" ht="13.5" outlineLevel="2">
      <c r="A343" s="39" t="s">
        <v>231</v>
      </c>
      <c r="B343" s="40" t="s">
        <v>16</v>
      </c>
      <c r="C343" s="41" t="s">
        <v>17</v>
      </c>
      <c r="D343" s="40" t="s">
        <v>18</v>
      </c>
      <c r="E343" s="24">
        <v>150000000</v>
      </c>
      <c r="F343" s="39">
        <v>43829</v>
      </c>
      <c r="G343" s="24">
        <v>117500000</v>
      </c>
      <c r="H343" s="23">
        <v>5.0000000000000001E-3</v>
      </c>
      <c r="I343" s="39">
        <v>44228</v>
      </c>
      <c r="J343" s="39">
        <v>44243</v>
      </c>
      <c r="K343" s="24">
        <f t="shared" ref="K343:K369" si="22">J343-I343+1</f>
        <v>16</v>
      </c>
      <c r="L343" s="24">
        <f t="shared" ref="L343:L369" si="23">ROUND(G343*H343*K343/365,0)</f>
        <v>25753</v>
      </c>
      <c r="M343" s="24">
        <v>115000000</v>
      </c>
    </row>
    <row r="344" spans="1:13" s="80" customFormat="1" ht="13.5" outlineLevel="2">
      <c r="A344" s="39" t="s">
        <v>231</v>
      </c>
      <c r="B344" s="40" t="s">
        <v>16</v>
      </c>
      <c r="C344" s="41" t="s">
        <v>17</v>
      </c>
      <c r="D344" s="40"/>
      <c r="E344" s="24"/>
      <c r="F344" s="39"/>
      <c r="G344" s="24">
        <v>115000000</v>
      </c>
      <c r="H344" s="23">
        <v>5.0000000000000001E-3</v>
      </c>
      <c r="I344" s="39">
        <v>44244</v>
      </c>
      <c r="J344" s="39">
        <v>44255</v>
      </c>
      <c r="K344" s="24">
        <f t="shared" si="22"/>
        <v>12</v>
      </c>
      <c r="L344" s="24">
        <f t="shared" si="23"/>
        <v>18904</v>
      </c>
      <c r="M344" s="24"/>
    </row>
    <row r="345" spans="1:13" s="80" customFormat="1" ht="13.5" outlineLevel="2">
      <c r="A345" s="39" t="s">
        <v>231</v>
      </c>
      <c r="B345" s="40" t="s">
        <v>19</v>
      </c>
      <c r="C345" s="41" t="s">
        <v>17</v>
      </c>
      <c r="D345" s="40" t="s">
        <v>18</v>
      </c>
      <c r="E345" s="24">
        <v>9460000</v>
      </c>
      <c r="F345" s="39">
        <v>43990</v>
      </c>
      <c r="G345" s="24">
        <v>8084000</v>
      </c>
      <c r="H345" s="23">
        <v>5.0000000000000001E-3</v>
      </c>
      <c r="I345" s="39">
        <v>44228</v>
      </c>
      <c r="J345" s="39">
        <v>44243</v>
      </c>
      <c r="K345" s="24">
        <f t="shared" si="22"/>
        <v>16</v>
      </c>
      <c r="L345" s="24">
        <f t="shared" si="23"/>
        <v>1772</v>
      </c>
      <c r="M345" s="24">
        <v>7912000</v>
      </c>
    </row>
    <row r="346" spans="1:13" s="80" customFormat="1" ht="13.5" outlineLevel="2">
      <c r="A346" s="39" t="s">
        <v>231</v>
      </c>
      <c r="B346" s="40" t="s">
        <v>19</v>
      </c>
      <c r="C346" s="41" t="s">
        <v>17</v>
      </c>
      <c r="D346" s="40"/>
      <c r="E346" s="24"/>
      <c r="F346" s="39"/>
      <c r="G346" s="24">
        <v>7912000</v>
      </c>
      <c r="H346" s="23">
        <v>5.0000000000000001E-3</v>
      </c>
      <c r="I346" s="39">
        <v>44244</v>
      </c>
      <c r="J346" s="39">
        <v>44255</v>
      </c>
      <c r="K346" s="24">
        <f t="shared" si="22"/>
        <v>12</v>
      </c>
      <c r="L346" s="24">
        <f t="shared" si="23"/>
        <v>1301</v>
      </c>
      <c r="M346" s="24"/>
    </row>
    <row r="347" spans="1:13" s="80" customFormat="1" ht="13.5" outlineLevel="2">
      <c r="A347" s="39" t="s">
        <v>231</v>
      </c>
      <c r="B347" s="40" t="s">
        <v>22</v>
      </c>
      <c r="C347" s="41" t="s">
        <v>45</v>
      </c>
      <c r="D347" s="40" t="s">
        <v>46</v>
      </c>
      <c r="E347" s="24">
        <v>5000000</v>
      </c>
      <c r="F347" s="39">
        <v>44046</v>
      </c>
      <c r="G347" s="24">
        <v>5000000</v>
      </c>
      <c r="H347" s="23">
        <v>5.0000000000000001E-3</v>
      </c>
      <c r="I347" s="39">
        <v>44228</v>
      </c>
      <c r="J347" s="39">
        <v>44255</v>
      </c>
      <c r="K347" s="24">
        <f t="shared" si="22"/>
        <v>28</v>
      </c>
      <c r="L347" s="24">
        <f t="shared" si="23"/>
        <v>1918</v>
      </c>
      <c r="M347" s="24">
        <v>5000000</v>
      </c>
    </row>
    <row r="348" spans="1:13" s="80" customFormat="1" ht="13.5" outlineLevel="2">
      <c r="A348" s="39" t="s">
        <v>231</v>
      </c>
      <c r="B348" s="40" t="s">
        <v>25</v>
      </c>
      <c r="C348" s="41" t="s">
        <v>143</v>
      </c>
      <c r="D348" s="40" t="s">
        <v>144</v>
      </c>
      <c r="E348" s="24">
        <v>20000000</v>
      </c>
      <c r="F348" s="39">
        <v>44155</v>
      </c>
      <c r="G348" s="24">
        <v>20000000</v>
      </c>
      <c r="H348" s="23">
        <v>5.0000000000000001E-3</v>
      </c>
      <c r="I348" s="39">
        <v>44228</v>
      </c>
      <c r="J348" s="39">
        <v>44255</v>
      </c>
      <c r="K348" s="24">
        <f t="shared" si="22"/>
        <v>28</v>
      </c>
      <c r="L348" s="24">
        <f t="shared" si="23"/>
        <v>7671</v>
      </c>
      <c r="M348" s="24">
        <v>20000000</v>
      </c>
    </row>
    <row r="349" spans="1:13" s="80" customFormat="1" ht="13.5" outlineLevel="2">
      <c r="A349" s="39" t="s">
        <v>231</v>
      </c>
      <c r="B349" s="40" t="s">
        <v>26</v>
      </c>
      <c r="C349" s="41" t="s">
        <v>232</v>
      </c>
      <c r="D349" s="40" t="s">
        <v>233</v>
      </c>
      <c r="E349" s="24">
        <v>125000000</v>
      </c>
      <c r="F349" s="39">
        <v>44193</v>
      </c>
      <c r="G349" s="24">
        <v>125000000</v>
      </c>
      <c r="H349" s="23">
        <v>5.0000000000000001E-3</v>
      </c>
      <c r="I349" s="39">
        <v>44228</v>
      </c>
      <c r="J349" s="39">
        <v>44255</v>
      </c>
      <c r="K349" s="24">
        <f t="shared" si="22"/>
        <v>28</v>
      </c>
      <c r="L349" s="24">
        <f t="shared" si="23"/>
        <v>47945</v>
      </c>
      <c r="M349" s="24">
        <v>125000000</v>
      </c>
    </row>
    <row r="350" spans="1:13" s="80" customFormat="1" ht="13.5" outlineLevel="2">
      <c r="A350" s="39" t="s">
        <v>231</v>
      </c>
      <c r="B350" s="40" t="s">
        <v>29</v>
      </c>
      <c r="C350" s="41" t="s">
        <v>143</v>
      </c>
      <c r="D350" s="40" t="s">
        <v>144</v>
      </c>
      <c r="E350" s="24">
        <v>20000000</v>
      </c>
      <c r="F350" s="39">
        <v>44194</v>
      </c>
      <c r="G350" s="24">
        <v>20000000</v>
      </c>
      <c r="H350" s="23">
        <v>5.0000000000000001E-3</v>
      </c>
      <c r="I350" s="39">
        <v>44228</v>
      </c>
      <c r="J350" s="39">
        <v>44255</v>
      </c>
      <c r="K350" s="24">
        <f t="shared" si="22"/>
        <v>28</v>
      </c>
      <c r="L350" s="24">
        <f t="shared" si="23"/>
        <v>7671</v>
      </c>
      <c r="M350" s="24">
        <v>20000000</v>
      </c>
    </row>
    <row r="351" spans="1:13" s="80" customFormat="1" ht="13.5" outlineLevel="2">
      <c r="A351" s="39" t="s">
        <v>231</v>
      </c>
      <c r="B351" s="40" t="s">
        <v>32</v>
      </c>
      <c r="C351" s="41" t="s">
        <v>30</v>
      </c>
      <c r="D351" s="40" t="s">
        <v>31</v>
      </c>
      <c r="E351" s="24">
        <v>120000000</v>
      </c>
      <c r="F351" s="39">
        <v>44214</v>
      </c>
      <c r="G351" s="24">
        <v>120000000</v>
      </c>
      <c r="H351" s="23">
        <v>5.0000000000000001E-3</v>
      </c>
      <c r="I351" s="39">
        <v>44228</v>
      </c>
      <c r="J351" s="39">
        <v>44255</v>
      </c>
      <c r="K351" s="24">
        <f t="shared" si="22"/>
        <v>28</v>
      </c>
      <c r="L351" s="24">
        <f t="shared" si="23"/>
        <v>46027</v>
      </c>
      <c r="M351" s="24">
        <v>120000000</v>
      </c>
    </row>
    <row r="352" spans="1:13" s="80" customFormat="1" ht="13.5" outlineLevel="2">
      <c r="A352" s="39" t="s">
        <v>231</v>
      </c>
      <c r="B352" s="40" t="s">
        <v>33</v>
      </c>
      <c r="C352" s="41" t="s">
        <v>143</v>
      </c>
      <c r="D352" s="40" t="s">
        <v>144</v>
      </c>
      <c r="E352" s="24">
        <v>20000000</v>
      </c>
      <c r="F352" s="39">
        <v>44225</v>
      </c>
      <c r="G352" s="24">
        <v>20000000</v>
      </c>
      <c r="H352" s="23">
        <v>5.0000000000000001E-3</v>
      </c>
      <c r="I352" s="39">
        <v>44228</v>
      </c>
      <c r="J352" s="39">
        <v>44255</v>
      </c>
      <c r="K352" s="24">
        <f t="shared" si="22"/>
        <v>28</v>
      </c>
      <c r="L352" s="24">
        <f t="shared" si="23"/>
        <v>7671</v>
      </c>
      <c r="M352" s="24">
        <v>20000000</v>
      </c>
    </row>
    <row r="353" spans="1:13" s="80" customFormat="1" ht="13.5" outlineLevel="2">
      <c r="A353" s="39" t="s">
        <v>231</v>
      </c>
      <c r="B353" s="40" t="s">
        <v>34</v>
      </c>
      <c r="C353" s="41" t="s">
        <v>280</v>
      </c>
      <c r="D353" s="40" t="s">
        <v>281</v>
      </c>
      <c r="E353" s="24">
        <v>250000000</v>
      </c>
      <c r="F353" s="39">
        <v>44228</v>
      </c>
      <c r="G353" s="24">
        <v>250000000</v>
      </c>
      <c r="H353" s="23">
        <v>3.0000000000000001E-3</v>
      </c>
      <c r="I353" s="39">
        <v>44228</v>
      </c>
      <c r="J353" s="39">
        <v>44255</v>
      </c>
      <c r="K353" s="24">
        <f t="shared" si="22"/>
        <v>28</v>
      </c>
      <c r="L353" s="24">
        <f t="shared" si="23"/>
        <v>57534</v>
      </c>
      <c r="M353" s="24">
        <v>250000000</v>
      </c>
    </row>
    <row r="354" spans="1:13" s="80" customFormat="1" ht="13.5" outlineLevel="2">
      <c r="A354" s="39" t="s">
        <v>231</v>
      </c>
      <c r="B354" s="40" t="s">
        <v>35</v>
      </c>
      <c r="C354" s="41" t="s">
        <v>143</v>
      </c>
      <c r="D354" s="40" t="s">
        <v>144</v>
      </c>
      <c r="E354" s="24">
        <v>20000000</v>
      </c>
      <c r="F354" s="39">
        <v>44253</v>
      </c>
      <c r="G354" s="24">
        <v>20000000</v>
      </c>
      <c r="H354" s="23">
        <v>5.0000000000000001E-3</v>
      </c>
      <c r="I354" s="39">
        <v>44253</v>
      </c>
      <c r="J354" s="39">
        <v>44255</v>
      </c>
      <c r="K354" s="24">
        <f t="shared" si="22"/>
        <v>3</v>
      </c>
      <c r="L354" s="24">
        <f t="shared" si="23"/>
        <v>822</v>
      </c>
      <c r="M354" s="24">
        <v>20000000</v>
      </c>
    </row>
    <row r="355" spans="1:13" s="80" customFormat="1" ht="13.5" outlineLevel="2">
      <c r="A355" s="39" t="s">
        <v>231</v>
      </c>
      <c r="B355" s="40" t="s">
        <v>39</v>
      </c>
      <c r="C355" s="41" t="s">
        <v>17</v>
      </c>
      <c r="D355" s="40" t="s">
        <v>18</v>
      </c>
      <c r="E355" s="24">
        <v>32900000</v>
      </c>
      <c r="F355" s="39">
        <v>43829</v>
      </c>
      <c r="G355" s="24">
        <v>25771671</v>
      </c>
      <c r="H355" s="23">
        <v>5.0000000000000001E-3</v>
      </c>
      <c r="I355" s="39">
        <v>44228</v>
      </c>
      <c r="J355" s="39">
        <v>44243</v>
      </c>
      <c r="K355" s="24">
        <f t="shared" si="22"/>
        <v>16</v>
      </c>
      <c r="L355" s="24">
        <f t="shared" si="23"/>
        <v>5649</v>
      </c>
      <c r="M355" s="24">
        <v>25223338</v>
      </c>
    </row>
    <row r="356" spans="1:13" s="80" customFormat="1" ht="13.5" outlineLevel="2">
      <c r="A356" s="39" t="s">
        <v>231</v>
      </c>
      <c r="B356" s="40" t="s">
        <v>39</v>
      </c>
      <c r="C356" s="41" t="s">
        <v>17</v>
      </c>
      <c r="D356" s="40"/>
      <c r="E356" s="24"/>
      <c r="F356" s="39"/>
      <c r="G356" s="24">
        <v>25223338</v>
      </c>
      <c r="H356" s="23">
        <v>5.0000000000000001E-3</v>
      </c>
      <c r="I356" s="39">
        <v>44244</v>
      </c>
      <c r="J356" s="39">
        <v>44255</v>
      </c>
      <c r="K356" s="24">
        <f t="shared" si="22"/>
        <v>12</v>
      </c>
      <c r="L356" s="24">
        <f t="shared" si="23"/>
        <v>4146</v>
      </c>
      <c r="M356" s="24"/>
    </row>
    <row r="357" spans="1:13" s="80" customFormat="1" ht="13.5" outlineLevel="2">
      <c r="A357" s="39" t="s">
        <v>231</v>
      </c>
      <c r="B357" s="40" t="s">
        <v>54</v>
      </c>
      <c r="C357" s="41" t="s">
        <v>17</v>
      </c>
      <c r="D357" s="40" t="s">
        <v>18</v>
      </c>
      <c r="E357" s="24">
        <v>2790000</v>
      </c>
      <c r="F357" s="39">
        <v>43921</v>
      </c>
      <c r="G357" s="24">
        <v>2300530</v>
      </c>
      <c r="H357" s="23">
        <v>5.0000000000000001E-3</v>
      </c>
      <c r="I357" s="39">
        <v>44228</v>
      </c>
      <c r="J357" s="39">
        <v>44243</v>
      </c>
      <c r="K357" s="24">
        <f t="shared" si="22"/>
        <v>16</v>
      </c>
      <c r="L357" s="24">
        <f t="shared" si="23"/>
        <v>504</v>
      </c>
      <c r="M357" s="24">
        <v>2251583</v>
      </c>
    </row>
    <row r="358" spans="1:13" s="80" customFormat="1" ht="13.5" outlineLevel="2">
      <c r="A358" s="39" t="s">
        <v>231</v>
      </c>
      <c r="B358" s="40" t="s">
        <v>54</v>
      </c>
      <c r="C358" s="41" t="s">
        <v>17</v>
      </c>
      <c r="D358" s="40"/>
      <c r="E358" s="24"/>
      <c r="F358" s="39"/>
      <c r="G358" s="24">
        <v>2251583</v>
      </c>
      <c r="H358" s="23">
        <v>5.0000000000000001E-3</v>
      </c>
      <c r="I358" s="39">
        <v>44244</v>
      </c>
      <c r="J358" s="39">
        <v>44255</v>
      </c>
      <c r="K358" s="24">
        <f t="shared" si="22"/>
        <v>12</v>
      </c>
      <c r="L358" s="24">
        <f t="shared" si="23"/>
        <v>370</v>
      </c>
      <c r="M358" s="24"/>
    </row>
    <row r="359" spans="1:13" s="80" customFormat="1" ht="13.5" outlineLevel="2">
      <c r="A359" s="39" t="s">
        <v>231</v>
      </c>
      <c r="B359" s="40" t="s">
        <v>59</v>
      </c>
      <c r="C359" s="41" t="s">
        <v>55</v>
      </c>
      <c r="D359" s="40" t="s">
        <v>56</v>
      </c>
      <c r="E359" s="24">
        <v>12000000</v>
      </c>
      <c r="F359" s="39">
        <v>43948</v>
      </c>
      <c r="G359" s="24">
        <v>10200000</v>
      </c>
      <c r="H359" s="23">
        <v>5.0000000000000001E-3</v>
      </c>
      <c r="I359" s="39">
        <v>44228</v>
      </c>
      <c r="J359" s="39">
        <v>44243</v>
      </c>
      <c r="K359" s="24">
        <f t="shared" si="22"/>
        <v>16</v>
      </c>
      <c r="L359" s="24">
        <f t="shared" si="23"/>
        <v>2236</v>
      </c>
      <c r="M359" s="24">
        <v>10000000</v>
      </c>
    </row>
    <row r="360" spans="1:13" s="80" customFormat="1" ht="13.5" outlineLevel="2">
      <c r="A360" s="39" t="s">
        <v>231</v>
      </c>
      <c r="B360" s="40" t="s">
        <v>59</v>
      </c>
      <c r="C360" s="41" t="s">
        <v>55</v>
      </c>
      <c r="D360" s="40"/>
      <c r="E360" s="24"/>
      <c r="F360" s="39"/>
      <c r="G360" s="24">
        <v>10000000</v>
      </c>
      <c r="H360" s="23">
        <v>5.0000000000000001E-3</v>
      </c>
      <c r="I360" s="39">
        <v>44244</v>
      </c>
      <c r="J360" s="39">
        <v>44255</v>
      </c>
      <c r="K360" s="24">
        <f t="shared" si="22"/>
        <v>12</v>
      </c>
      <c r="L360" s="24">
        <f t="shared" si="23"/>
        <v>1644</v>
      </c>
      <c r="M360" s="24"/>
    </row>
    <row r="361" spans="1:13" s="80" customFormat="1" ht="13.5" outlineLevel="2">
      <c r="A361" s="39" t="s">
        <v>231</v>
      </c>
      <c r="B361" s="40" t="s">
        <v>62</v>
      </c>
      <c r="C361" s="41" t="s">
        <v>30</v>
      </c>
      <c r="D361" s="40" t="s">
        <v>31</v>
      </c>
      <c r="E361" s="24">
        <v>71750000</v>
      </c>
      <c r="F361" s="39">
        <v>43955</v>
      </c>
      <c r="G361" s="24">
        <v>71750000</v>
      </c>
      <c r="H361" s="23">
        <v>5.0000000000000001E-3</v>
      </c>
      <c r="I361" s="39">
        <v>44228</v>
      </c>
      <c r="J361" s="39">
        <v>44255</v>
      </c>
      <c r="K361" s="24">
        <f t="shared" si="22"/>
        <v>28</v>
      </c>
      <c r="L361" s="24">
        <f t="shared" si="23"/>
        <v>27521</v>
      </c>
      <c r="M361" s="24">
        <v>71750000</v>
      </c>
    </row>
    <row r="362" spans="1:13" s="80" customFormat="1" ht="13.5" outlineLevel="2">
      <c r="A362" s="39" t="s">
        <v>231</v>
      </c>
      <c r="B362" s="40" t="s">
        <v>63</v>
      </c>
      <c r="C362" s="41" t="s">
        <v>55</v>
      </c>
      <c r="D362" s="40" t="s">
        <v>56</v>
      </c>
      <c r="E362" s="24">
        <v>10000000</v>
      </c>
      <c r="F362" s="39">
        <v>43963</v>
      </c>
      <c r="G362" s="24">
        <v>8500005</v>
      </c>
      <c r="H362" s="23">
        <v>5.0000000000000001E-3</v>
      </c>
      <c r="I362" s="39">
        <v>44228</v>
      </c>
      <c r="J362" s="39">
        <v>44243</v>
      </c>
      <c r="K362" s="24">
        <f t="shared" si="22"/>
        <v>16</v>
      </c>
      <c r="L362" s="24">
        <f t="shared" si="23"/>
        <v>1863</v>
      </c>
      <c r="M362" s="24">
        <v>8333339</v>
      </c>
    </row>
    <row r="363" spans="1:13" s="80" customFormat="1" ht="13.5" outlineLevel="2">
      <c r="A363" s="39" t="s">
        <v>231</v>
      </c>
      <c r="B363" s="40" t="s">
        <v>63</v>
      </c>
      <c r="C363" s="41" t="s">
        <v>55</v>
      </c>
      <c r="D363" s="40"/>
      <c r="E363" s="24"/>
      <c r="F363" s="39"/>
      <c r="G363" s="24">
        <v>8333339</v>
      </c>
      <c r="H363" s="23">
        <v>5.0000000000000001E-3</v>
      </c>
      <c r="I363" s="39">
        <v>44244</v>
      </c>
      <c r="J363" s="39">
        <v>44255</v>
      </c>
      <c r="K363" s="24">
        <f t="shared" si="22"/>
        <v>12</v>
      </c>
      <c r="L363" s="24">
        <f t="shared" si="23"/>
        <v>1370</v>
      </c>
      <c r="M363" s="24"/>
    </row>
    <row r="364" spans="1:13" s="80" customFormat="1" ht="13.5" outlineLevel="2">
      <c r="A364" s="39" t="s">
        <v>231</v>
      </c>
      <c r="B364" s="40" t="s">
        <v>64</v>
      </c>
      <c r="C364" s="41" t="s">
        <v>55</v>
      </c>
      <c r="D364" s="40" t="s">
        <v>56</v>
      </c>
      <c r="E364" s="24">
        <v>4000000</v>
      </c>
      <c r="F364" s="39">
        <v>43970</v>
      </c>
      <c r="G364" s="24">
        <v>3457632</v>
      </c>
      <c r="H364" s="23">
        <v>5.0000000000000001E-3</v>
      </c>
      <c r="I364" s="39">
        <v>44228</v>
      </c>
      <c r="J364" s="39">
        <v>44243</v>
      </c>
      <c r="K364" s="24">
        <f t="shared" si="22"/>
        <v>16</v>
      </c>
      <c r="L364" s="24">
        <f t="shared" si="23"/>
        <v>758</v>
      </c>
      <c r="M364" s="24">
        <v>3389836</v>
      </c>
    </row>
    <row r="365" spans="1:13" s="80" customFormat="1" ht="13.5" outlineLevel="2">
      <c r="A365" s="39" t="s">
        <v>231</v>
      </c>
      <c r="B365" s="40" t="s">
        <v>64</v>
      </c>
      <c r="C365" s="41" t="s">
        <v>55</v>
      </c>
      <c r="D365" s="40"/>
      <c r="E365" s="24"/>
      <c r="F365" s="39"/>
      <c r="G365" s="24">
        <v>3389836</v>
      </c>
      <c r="H365" s="23">
        <v>5.0000000000000001E-3</v>
      </c>
      <c r="I365" s="39">
        <v>44244</v>
      </c>
      <c r="J365" s="39">
        <v>44255</v>
      </c>
      <c r="K365" s="24">
        <f t="shared" si="22"/>
        <v>12</v>
      </c>
      <c r="L365" s="24">
        <f t="shared" si="23"/>
        <v>557</v>
      </c>
      <c r="M365" s="24"/>
    </row>
    <row r="366" spans="1:13" s="80" customFormat="1" ht="13.5" outlineLevel="2">
      <c r="A366" s="39" t="s">
        <v>231</v>
      </c>
      <c r="B366" s="40" t="s">
        <v>65</v>
      </c>
      <c r="C366" s="41" t="s">
        <v>55</v>
      </c>
      <c r="D366" s="40" t="s">
        <v>56</v>
      </c>
      <c r="E366" s="24">
        <v>18000000</v>
      </c>
      <c r="F366" s="39">
        <v>43977</v>
      </c>
      <c r="G366" s="24">
        <v>15559328</v>
      </c>
      <c r="H366" s="23">
        <v>5.0000000000000001E-3</v>
      </c>
      <c r="I366" s="39">
        <v>44228</v>
      </c>
      <c r="J366" s="39">
        <v>44243</v>
      </c>
      <c r="K366" s="24">
        <f t="shared" si="22"/>
        <v>16</v>
      </c>
      <c r="L366" s="24">
        <f t="shared" si="23"/>
        <v>3410</v>
      </c>
      <c r="M366" s="24">
        <v>15254244</v>
      </c>
    </row>
    <row r="367" spans="1:13" s="80" customFormat="1" ht="13.5" outlineLevel="2">
      <c r="A367" s="39" t="s">
        <v>231</v>
      </c>
      <c r="B367" s="40" t="s">
        <v>65</v>
      </c>
      <c r="C367" s="41" t="s">
        <v>55</v>
      </c>
      <c r="D367" s="40"/>
      <c r="E367" s="24"/>
      <c r="F367" s="39"/>
      <c r="G367" s="24">
        <v>15254244</v>
      </c>
      <c r="H367" s="23">
        <v>5.0000000000000001E-3</v>
      </c>
      <c r="I367" s="39">
        <v>44244</v>
      </c>
      <c r="J367" s="39">
        <v>44255</v>
      </c>
      <c r="K367" s="24">
        <f t="shared" si="22"/>
        <v>12</v>
      </c>
      <c r="L367" s="24">
        <f t="shared" si="23"/>
        <v>2508</v>
      </c>
      <c r="M367" s="24"/>
    </row>
    <row r="368" spans="1:13" s="80" customFormat="1" ht="13.5" outlineLevel="2">
      <c r="A368" s="39" t="s">
        <v>231</v>
      </c>
      <c r="B368" s="40" t="s">
        <v>68</v>
      </c>
      <c r="C368" s="41" t="s">
        <v>55</v>
      </c>
      <c r="D368" s="40" t="s">
        <v>56</v>
      </c>
      <c r="E368" s="24">
        <v>6000000</v>
      </c>
      <c r="F368" s="39">
        <v>43984</v>
      </c>
      <c r="G368" s="24">
        <v>5186448</v>
      </c>
      <c r="H368" s="23">
        <v>5.0000000000000001E-3</v>
      </c>
      <c r="I368" s="39">
        <v>44228</v>
      </c>
      <c r="J368" s="39">
        <v>44243</v>
      </c>
      <c r="K368" s="24">
        <f t="shared" si="22"/>
        <v>16</v>
      </c>
      <c r="L368" s="24">
        <f t="shared" si="23"/>
        <v>1137</v>
      </c>
      <c r="M368" s="24">
        <v>5084754</v>
      </c>
    </row>
    <row r="369" spans="1:13" s="80" customFormat="1" ht="13.5" outlineLevel="2">
      <c r="A369" s="39" t="s">
        <v>231</v>
      </c>
      <c r="B369" s="40" t="s">
        <v>68</v>
      </c>
      <c r="C369" s="41" t="s">
        <v>55</v>
      </c>
      <c r="D369" s="40"/>
      <c r="E369" s="24"/>
      <c r="F369" s="39"/>
      <c r="G369" s="24">
        <v>5084754</v>
      </c>
      <c r="H369" s="23">
        <v>5.0000000000000001E-3</v>
      </c>
      <c r="I369" s="39">
        <v>44244</v>
      </c>
      <c r="J369" s="39">
        <v>44255</v>
      </c>
      <c r="K369" s="24">
        <f t="shared" si="22"/>
        <v>12</v>
      </c>
      <c r="L369" s="24">
        <f t="shared" si="23"/>
        <v>836</v>
      </c>
      <c r="M369" s="24"/>
    </row>
    <row r="370" spans="1:13" s="80" customFormat="1" ht="13.5" outlineLevel="1">
      <c r="A370" s="42" t="s">
        <v>234</v>
      </c>
      <c r="B370" s="43"/>
      <c r="C370" s="44"/>
      <c r="D370" s="43"/>
      <c r="E370" s="45">
        <f>SUBTOTAL(9,E343:E369)</f>
        <v>896900000</v>
      </c>
      <c r="F370" s="46"/>
      <c r="G370" s="45"/>
      <c r="H370" s="47"/>
      <c r="I370" s="46"/>
      <c r="J370" s="46"/>
      <c r="K370" s="45"/>
      <c r="L370" s="45">
        <f>SUBTOTAL(9,L343:L369)</f>
        <v>279498</v>
      </c>
      <c r="M370" s="45">
        <f>SUBTOTAL(9,M343:M369)</f>
        <v>844199094</v>
      </c>
    </row>
    <row r="371" spans="1:13" s="80" customFormat="1" ht="13.5" outlineLevel="2">
      <c r="A371" s="39" t="s">
        <v>235</v>
      </c>
      <c r="B371" s="40" t="s">
        <v>16</v>
      </c>
      <c r="C371" s="41" t="s">
        <v>17</v>
      </c>
      <c r="D371" s="40" t="s">
        <v>18</v>
      </c>
      <c r="E371" s="24">
        <v>50000000</v>
      </c>
      <c r="F371" s="39">
        <v>43829</v>
      </c>
      <c r="G371" s="24">
        <v>39166658</v>
      </c>
      <c r="H371" s="23">
        <v>5.0000000000000001E-3</v>
      </c>
      <c r="I371" s="39">
        <v>44228</v>
      </c>
      <c r="J371" s="39">
        <v>44241</v>
      </c>
      <c r="K371" s="24">
        <f t="shared" ref="K371:K382" si="24">J371-I371+1</f>
        <v>14</v>
      </c>
      <c r="L371" s="24">
        <f t="shared" ref="L371:L382" si="25">ROUND(G371*H371*K371/365,0)</f>
        <v>7511</v>
      </c>
      <c r="M371" s="24">
        <v>38333324</v>
      </c>
    </row>
    <row r="372" spans="1:13" s="80" customFormat="1" ht="13.5" outlineLevel="2">
      <c r="A372" s="39" t="s">
        <v>235</v>
      </c>
      <c r="B372" s="40" t="s">
        <v>16</v>
      </c>
      <c r="C372" s="41" t="s">
        <v>17</v>
      </c>
      <c r="D372" s="40"/>
      <c r="E372" s="24"/>
      <c r="F372" s="39"/>
      <c r="G372" s="24">
        <v>38333324</v>
      </c>
      <c r="H372" s="23">
        <v>5.0000000000000001E-3</v>
      </c>
      <c r="I372" s="39">
        <v>44242</v>
      </c>
      <c r="J372" s="39">
        <v>44255</v>
      </c>
      <c r="K372" s="24">
        <f t="shared" si="24"/>
        <v>14</v>
      </c>
      <c r="L372" s="24">
        <f t="shared" si="25"/>
        <v>7352</v>
      </c>
      <c r="M372" s="24"/>
    </row>
    <row r="373" spans="1:13" s="80" customFormat="1" ht="13.5" outlineLevel="2">
      <c r="A373" s="39" t="s">
        <v>235</v>
      </c>
      <c r="B373" s="40" t="s">
        <v>39</v>
      </c>
      <c r="C373" s="41" t="s">
        <v>17</v>
      </c>
      <c r="D373" s="40" t="s">
        <v>18</v>
      </c>
      <c r="E373" s="24">
        <v>25200000</v>
      </c>
      <c r="F373" s="39">
        <v>43829</v>
      </c>
      <c r="G373" s="24">
        <v>19740000</v>
      </c>
      <c r="H373" s="23">
        <v>5.0000000000000001E-3</v>
      </c>
      <c r="I373" s="39">
        <v>44228</v>
      </c>
      <c r="J373" s="39">
        <v>44241</v>
      </c>
      <c r="K373" s="24">
        <f t="shared" si="24"/>
        <v>14</v>
      </c>
      <c r="L373" s="24">
        <f t="shared" si="25"/>
        <v>3786</v>
      </c>
      <c r="M373" s="24">
        <v>19320000</v>
      </c>
    </row>
    <row r="374" spans="1:13" s="80" customFormat="1" ht="13.5" outlineLevel="2">
      <c r="A374" s="39" t="s">
        <v>235</v>
      </c>
      <c r="B374" s="40" t="s">
        <v>39</v>
      </c>
      <c r="C374" s="41" t="s">
        <v>17</v>
      </c>
      <c r="D374" s="40"/>
      <c r="E374" s="24"/>
      <c r="F374" s="39"/>
      <c r="G374" s="24">
        <v>19320000</v>
      </c>
      <c r="H374" s="23">
        <v>5.0000000000000001E-3</v>
      </c>
      <c r="I374" s="39">
        <v>44242</v>
      </c>
      <c r="J374" s="39">
        <v>44255</v>
      </c>
      <c r="K374" s="24">
        <f t="shared" si="24"/>
        <v>14</v>
      </c>
      <c r="L374" s="24">
        <f t="shared" si="25"/>
        <v>3705</v>
      </c>
      <c r="M374" s="24"/>
    </row>
    <row r="375" spans="1:13" s="80" customFormat="1" ht="13.5" outlineLevel="2">
      <c r="A375" s="39" t="s">
        <v>235</v>
      </c>
      <c r="B375" s="40" t="s">
        <v>54</v>
      </c>
      <c r="C375" s="41" t="s">
        <v>17</v>
      </c>
      <c r="D375" s="40" t="s">
        <v>18</v>
      </c>
      <c r="E375" s="24">
        <v>11310000</v>
      </c>
      <c r="F375" s="39">
        <v>43920</v>
      </c>
      <c r="G375" s="24">
        <v>9325790</v>
      </c>
      <c r="H375" s="23">
        <v>5.0000000000000001E-3</v>
      </c>
      <c r="I375" s="39">
        <v>44228</v>
      </c>
      <c r="J375" s="39">
        <v>44241</v>
      </c>
      <c r="K375" s="24">
        <f t="shared" si="24"/>
        <v>14</v>
      </c>
      <c r="L375" s="24">
        <f t="shared" si="25"/>
        <v>1789</v>
      </c>
      <c r="M375" s="24">
        <v>9127369</v>
      </c>
    </row>
    <row r="376" spans="1:13" s="80" customFormat="1" ht="13.5" outlineLevel="2">
      <c r="A376" s="39" t="s">
        <v>235</v>
      </c>
      <c r="B376" s="40" t="s">
        <v>54</v>
      </c>
      <c r="C376" s="41" t="s">
        <v>17</v>
      </c>
      <c r="D376" s="40"/>
      <c r="E376" s="24"/>
      <c r="F376" s="39"/>
      <c r="G376" s="24">
        <v>9127369</v>
      </c>
      <c r="H376" s="23">
        <v>5.0000000000000001E-3</v>
      </c>
      <c r="I376" s="39">
        <v>44242</v>
      </c>
      <c r="J376" s="39">
        <v>44255</v>
      </c>
      <c r="K376" s="24">
        <f t="shared" si="24"/>
        <v>14</v>
      </c>
      <c r="L376" s="24">
        <f t="shared" si="25"/>
        <v>1750</v>
      </c>
      <c r="M376" s="24"/>
    </row>
    <row r="377" spans="1:13" s="80" customFormat="1" ht="13.5" outlineLevel="2">
      <c r="A377" s="39" t="s">
        <v>235</v>
      </c>
      <c r="B377" s="40" t="s">
        <v>59</v>
      </c>
      <c r="C377" s="41" t="s">
        <v>17</v>
      </c>
      <c r="D377" s="40" t="s">
        <v>18</v>
      </c>
      <c r="E377" s="24">
        <v>6050000</v>
      </c>
      <c r="F377" s="39">
        <v>43990</v>
      </c>
      <c r="G377" s="24">
        <v>5170000</v>
      </c>
      <c r="H377" s="23">
        <v>5.0000000000000001E-3</v>
      </c>
      <c r="I377" s="39">
        <v>44228</v>
      </c>
      <c r="J377" s="39">
        <v>44241</v>
      </c>
      <c r="K377" s="24">
        <f t="shared" si="24"/>
        <v>14</v>
      </c>
      <c r="L377" s="24">
        <f t="shared" si="25"/>
        <v>992</v>
      </c>
      <c r="M377" s="24">
        <v>5060000</v>
      </c>
    </row>
    <row r="378" spans="1:13" s="80" customFormat="1" ht="13.5" outlineLevel="2">
      <c r="A378" s="39" t="s">
        <v>235</v>
      </c>
      <c r="B378" s="40" t="s">
        <v>59</v>
      </c>
      <c r="C378" s="41" t="s">
        <v>17</v>
      </c>
      <c r="D378" s="40"/>
      <c r="E378" s="24"/>
      <c r="F378" s="39"/>
      <c r="G378" s="24">
        <v>5060000</v>
      </c>
      <c r="H378" s="23">
        <v>5.0000000000000001E-3</v>
      </c>
      <c r="I378" s="39">
        <v>44242</v>
      </c>
      <c r="J378" s="39">
        <v>44255</v>
      </c>
      <c r="K378" s="24">
        <f t="shared" si="24"/>
        <v>14</v>
      </c>
      <c r="L378" s="24">
        <f t="shared" si="25"/>
        <v>970</v>
      </c>
      <c r="M378" s="24"/>
    </row>
    <row r="379" spans="1:13" s="80" customFormat="1" ht="13.5" outlineLevel="2">
      <c r="A379" s="39" t="s">
        <v>235</v>
      </c>
      <c r="B379" s="40" t="s">
        <v>62</v>
      </c>
      <c r="C379" s="41" t="s">
        <v>17</v>
      </c>
      <c r="D379" s="40" t="s">
        <v>18</v>
      </c>
      <c r="E379" s="24">
        <v>7541000</v>
      </c>
      <c r="F379" s="39">
        <v>44074</v>
      </c>
      <c r="G379" s="24">
        <v>6815905</v>
      </c>
      <c r="H379" s="23">
        <v>5.0000000000000001E-3</v>
      </c>
      <c r="I379" s="39">
        <v>44228</v>
      </c>
      <c r="J379" s="39">
        <v>44241</v>
      </c>
      <c r="K379" s="24">
        <f t="shared" si="24"/>
        <v>14</v>
      </c>
      <c r="L379" s="24">
        <f t="shared" si="25"/>
        <v>1307</v>
      </c>
      <c r="M379" s="24">
        <v>6670886</v>
      </c>
    </row>
    <row r="380" spans="1:13" s="80" customFormat="1" ht="13.5" outlineLevel="2">
      <c r="A380" s="39" t="s">
        <v>235</v>
      </c>
      <c r="B380" s="40" t="s">
        <v>62</v>
      </c>
      <c r="C380" s="41" t="s">
        <v>17</v>
      </c>
      <c r="D380" s="40"/>
      <c r="E380" s="24"/>
      <c r="F380" s="39"/>
      <c r="G380" s="24">
        <v>6670886</v>
      </c>
      <c r="H380" s="23">
        <v>5.0000000000000001E-3</v>
      </c>
      <c r="I380" s="39">
        <v>44242</v>
      </c>
      <c r="J380" s="39">
        <v>44255</v>
      </c>
      <c r="K380" s="24">
        <f t="shared" si="24"/>
        <v>14</v>
      </c>
      <c r="L380" s="24">
        <f t="shared" si="25"/>
        <v>1279</v>
      </c>
      <c r="M380" s="24"/>
    </row>
    <row r="381" spans="1:13" s="80" customFormat="1" ht="13.5" outlineLevel="2">
      <c r="A381" s="39" t="s">
        <v>235</v>
      </c>
      <c r="B381" s="40" t="s">
        <v>63</v>
      </c>
      <c r="C381" s="41" t="s">
        <v>17</v>
      </c>
      <c r="D381" s="40" t="s">
        <v>18</v>
      </c>
      <c r="E381" s="24">
        <v>8986000</v>
      </c>
      <c r="F381" s="39">
        <v>44160</v>
      </c>
      <c r="G381" s="24">
        <v>8619224</v>
      </c>
      <c r="H381" s="23">
        <v>5.0000000000000001E-3</v>
      </c>
      <c r="I381" s="39">
        <v>44228</v>
      </c>
      <c r="J381" s="39">
        <v>44241</v>
      </c>
      <c r="K381" s="24">
        <f t="shared" si="24"/>
        <v>14</v>
      </c>
      <c r="L381" s="24">
        <f t="shared" si="25"/>
        <v>1653</v>
      </c>
      <c r="M381" s="24">
        <v>8435836</v>
      </c>
    </row>
    <row r="382" spans="1:13" s="80" customFormat="1" ht="13.5" outlineLevel="2">
      <c r="A382" s="39" t="s">
        <v>235</v>
      </c>
      <c r="B382" s="40" t="s">
        <v>63</v>
      </c>
      <c r="C382" s="41" t="s">
        <v>17</v>
      </c>
      <c r="D382" s="40"/>
      <c r="E382" s="24"/>
      <c r="F382" s="39"/>
      <c r="G382" s="24">
        <v>8435836</v>
      </c>
      <c r="H382" s="23">
        <v>5.0000000000000001E-3</v>
      </c>
      <c r="I382" s="39">
        <v>44242</v>
      </c>
      <c r="J382" s="39">
        <v>44255</v>
      </c>
      <c r="K382" s="24">
        <f t="shared" si="24"/>
        <v>14</v>
      </c>
      <c r="L382" s="24">
        <f t="shared" si="25"/>
        <v>1618</v>
      </c>
      <c r="M382" s="24"/>
    </row>
    <row r="383" spans="1:13" s="80" customFormat="1" ht="13.5" outlineLevel="1">
      <c r="A383" s="42" t="s">
        <v>236</v>
      </c>
      <c r="B383" s="43"/>
      <c r="C383" s="44"/>
      <c r="D383" s="43"/>
      <c r="E383" s="45">
        <f>SUBTOTAL(9,E371:E382)</f>
        <v>109087000</v>
      </c>
      <c r="F383" s="46"/>
      <c r="G383" s="45"/>
      <c r="H383" s="47"/>
      <c r="I383" s="46"/>
      <c r="J383" s="46"/>
      <c r="K383" s="45"/>
      <c r="L383" s="45">
        <f>SUBTOTAL(9,L371:L382)</f>
        <v>33712</v>
      </c>
      <c r="M383" s="45">
        <f>SUBTOTAL(9,M371:M382)</f>
        <v>86947415</v>
      </c>
    </row>
    <row r="384" spans="1:13" s="80" customFormat="1" ht="13.5" outlineLevel="2">
      <c r="A384" s="39" t="s">
        <v>237</v>
      </c>
      <c r="B384" s="40" t="s">
        <v>16</v>
      </c>
      <c r="C384" s="41" t="s">
        <v>45</v>
      </c>
      <c r="D384" s="40" t="s">
        <v>46</v>
      </c>
      <c r="E384" s="24">
        <v>4300000</v>
      </c>
      <c r="F384" s="39">
        <v>43966</v>
      </c>
      <c r="G384" s="24">
        <v>4300000</v>
      </c>
      <c r="H384" s="23">
        <v>5.0000000000000001E-3</v>
      </c>
      <c r="I384" s="39">
        <v>44228</v>
      </c>
      <c r="J384" s="39">
        <v>44255</v>
      </c>
      <c r="K384" s="24">
        <f>J384-I384+1</f>
        <v>28</v>
      </c>
      <c r="L384" s="24">
        <f>ROUND(G384*H384*K384/365,0)</f>
        <v>1649</v>
      </c>
      <c r="M384" s="24">
        <v>4300000</v>
      </c>
    </row>
    <row r="385" spans="1:13" s="80" customFormat="1" ht="13.5" outlineLevel="2">
      <c r="A385" s="39" t="s">
        <v>237</v>
      </c>
      <c r="B385" s="40" t="s">
        <v>39</v>
      </c>
      <c r="C385" s="41" t="s">
        <v>66</v>
      </c>
      <c r="D385" s="40" t="s">
        <v>67</v>
      </c>
      <c r="E385" s="24">
        <v>120000000</v>
      </c>
      <c r="F385" s="39">
        <v>44060</v>
      </c>
      <c r="G385" s="24">
        <v>120000000</v>
      </c>
      <c r="H385" s="23">
        <v>5.0000000000000001E-3</v>
      </c>
      <c r="I385" s="39">
        <v>44228</v>
      </c>
      <c r="J385" s="39">
        <v>44255</v>
      </c>
      <c r="K385" s="24">
        <f>J385-I385+1</f>
        <v>28</v>
      </c>
      <c r="L385" s="24">
        <f>ROUND(G385*H385*K385/365,0)</f>
        <v>46027</v>
      </c>
      <c r="M385" s="24">
        <v>120000000</v>
      </c>
    </row>
    <row r="386" spans="1:13" s="80" customFormat="1" ht="13.5" outlineLevel="1">
      <c r="A386" s="42" t="s">
        <v>238</v>
      </c>
      <c r="B386" s="43"/>
      <c r="C386" s="44"/>
      <c r="D386" s="43"/>
      <c r="E386" s="45">
        <f>SUBTOTAL(9,E384:E385)</f>
        <v>124300000</v>
      </c>
      <c r="F386" s="46"/>
      <c r="G386" s="45"/>
      <c r="H386" s="47"/>
      <c r="I386" s="46"/>
      <c r="J386" s="46"/>
      <c r="K386" s="45"/>
      <c r="L386" s="45">
        <f>SUBTOTAL(9,L384:L385)</f>
        <v>47676</v>
      </c>
      <c r="M386" s="45">
        <f>SUBTOTAL(9,M384:M385)</f>
        <v>124300000</v>
      </c>
    </row>
    <row r="387" spans="1:13" s="80" customFormat="1" ht="13.5" outlineLevel="2">
      <c r="A387" s="39" t="s">
        <v>239</v>
      </c>
      <c r="B387" s="40" t="s">
        <v>16</v>
      </c>
      <c r="C387" s="41" t="s">
        <v>109</v>
      </c>
      <c r="D387" s="40" t="s">
        <v>110</v>
      </c>
      <c r="E387" s="24">
        <v>38650000</v>
      </c>
      <c r="F387" s="39">
        <v>43986</v>
      </c>
      <c r="G387" s="24">
        <v>38650000</v>
      </c>
      <c r="H387" s="23">
        <v>5.0000000000000001E-3</v>
      </c>
      <c r="I387" s="39">
        <v>44228</v>
      </c>
      <c r="J387" s="39">
        <v>44255</v>
      </c>
      <c r="K387" s="24">
        <f t="shared" ref="K387:K420" si="26">J387-I387+1</f>
        <v>28</v>
      </c>
      <c r="L387" s="24">
        <f t="shared" ref="L387:L420" si="27">ROUND(G387*H387*K387/365,0)</f>
        <v>14825</v>
      </c>
      <c r="M387" s="24">
        <v>38650000</v>
      </c>
    </row>
    <row r="388" spans="1:13" s="80" customFormat="1" ht="13.5" outlineLevel="2">
      <c r="A388" s="39" t="s">
        <v>239</v>
      </c>
      <c r="B388" s="40" t="s">
        <v>19</v>
      </c>
      <c r="C388" s="41" t="s">
        <v>125</v>
      </c>
      <c r="D388" s="40" t="s">
        <v>126</v>
      </c>
      <c r="E388" s="24">
        <v>23000000</v>
      </c>
      <c r="F388" s="39">
        <v>44155</v>
      </c>
      <c r="G388" s="24">
        <v>23000000</v>
      </c>
      <c r="H388" s="23">
        <v>5.0000000000000001E-3</v>
      </c>
      <c r="I388" s="39">
        <v>44228</v>
      </c>
      <c r="J388" s="39">
        <v>44255</v>
      </c>
      <c r="K388" s="24">
        <f t="shared" si="26"/>
        <v>28</v>
      </c>
      <c r="L388" s="24">
        <f t="shared" si="27"/>
        <v>8822</v>
      </c>
      <c r="M388" s="24">
        <v>23000000</v>
      </c>
    </row>
    <row r="389" spans="1:13" s="80" customFormat="1" ht="13.5" outlineLevel="2">
      <c r="A389" s="39" t="s">
        <v>239</v>
      </c>
      <c r="B389" s="40" t="s">
        <v>22</v>
      </c>
      <c r="C389" s="41" t="s">
        <v>125</v>
      </c>
      <c r="D389" s="40" t="s">
        <v>126</v>
      </c>
      <c r="E389" s="24">
        <v>1000000</v>
      </c>
      <c r="F389" s="39">
        <v>44160</v>
      </c>
      <c r="G389" s="24">
        <v>1000000</v>
      </c>
      <c r="H389" s="23">
        <v>5.0000000000000001E-3</v>
      </c>
      <c r="I389" s="39">
        <v>44228</v>
      </c>
      <c r="J389" s="39">
        <v>44255</v>
      </c>
      <c r="K389" s="24">
        <f t="shared" si="26"/>
        <v>28</v>
      </c>
      <c r="L389" s="24">
        <f t="shared" si="27"/>
        <v>384</v>
      </c>
      <c r="M389" s="24">
        <v>1000000</v>
      </c>
    </row>
    <row r="390" spans="1:13" s="80" customFormat="1" ht="13.5" outlineLevel="2">
      <c r="A390" s="39" t="s">
        <v>239</v>
      </c>
      <c r="B390" s="40" t="s">
        <v>25</v>
      </c>
      <c r="C390" s="41" t="s">
        <v>95</v>
      </c>
      <c r="D390" s="40" t="s">
        <v>96</v>
      </c>
      <c r="E390" s="24">
        <v>6030000</v>
      </c>
      <c r="F390" s="39">
        <v>44145</v>
      </c>
      <c r="G390" s="24">
        <v>6030000</v>
      </c>
      <c r="H390" s="23">
        <v>5.0000000000000001E-3</v>
      </c>
      <c r="I390" s="39">
        <v>44228</v>
      </c>
      <c r="J390" s="39">
        <v>44255</v>
      </c>
      <c r="K390" s="24">
        <f t="shared" si="26"/>
        <v>28</v>
      </c>
      <c r="L390" s="24">
        <f t="shared" si="27"/>
        <v>2313</v>
      </c>
      <c r="M390" s="24">
        <v>6030000</v>
      </c>
    </row>
    <row r="391" spans="1:13" s="80" customFormat="1" ht="13.5" outlineLevel="2">
      <c r="A391" s="39" t="s">
        <v>239</v>
      </c>
      <c r="B391" s="40" t="s">
        <v>26</v>
      </c>
      <c r="C391" s="41" t="s">
        <v>240</v>
      </c>
      <c r="D391" s="40" t="s">
        <v>241</v>
      </c>
      <c r="E391" s="24">
        <v>16018839</v>
      </c>
      <c r="F391" s="39">
        <v>44188</v>
      </c>
      <c r="G391" s="24">
        <v>16018839</v>
      </c>
      <c r="H391" s="23">
        <v>5.0000000000000001E-3</v>
      </c>
      <c r="I391" s="39">
        <v>44228</v>
      </c>
      <c r="J391" s="39">
        <v>44255</v>
      </c>
      <c r="K391" s="24">
        <f t="shared" si="26"/>
        <v>28</v>
      </c>
      <c r="L391" s="24">
        <f t="shared" si="27"/>
        <v>6144</v>
      </c>
      <c r="M391" s="24">
        <v>16018839</v>
      </c>
    </row>
    <row r="392" spans="1:13" s="80" customFormat="1" ht="13.5" outlineLevel="2">
      <c r="A392" s="39" t="s">
        <v>239</v>
      </c>
      <c r="B392" s="40" t="s">
        <v>29</v>
      </c>
      <c r="C392" s="41" t="s">
        <v>240</v>
      </c>
      <c r="D392" s="40" t="s">
        <v>241</v>
      </c>
      <c r="E392" s="24">
        <v>31481161</v>
      </c>
      <c r="F392" s="39">
        <v>44188</v>
      </c>
      <c r="G392" s="24">
        <v>31481161</v>
      </c>
      <c r="H392" s="23">
        <v>5.0000000000000001E-3</v>
      </c>
      <c r="I392" s="39">
        <v>44228</v>
      </c>
      <c r="J392" s="39">
        <v>44255</v>
      </c>
      <c r="K392" s="24">
        <f t="shared" si="26"/>
        <v>28</v>
      </c>
      <c r="L392" s="24">
        <f t="shared" si="27"/>
        <v>12075</v>
      </c>
      <c r="M392" s="24">
        <v>31481161</v>
      </c>
    </row>
    <row r="393" spans="1:13" s="80" customFormat="1" ht="13.5" outlineLevel="2">
      <c r="A393" s="39" t="s">
        <v>239</v>
      </c>
      <c r="B393" s="40" t="s">
        <v>32</v>
      </c>
      <c r="C393" s="41" t="s">
        <v>242</v>
      </c>
      <c r="D393" s="40" t="s">
        <v>243</v>
      </c>
      <c r="E393" s="24">
        <v>10000000</v>
      </c>
      <c r="F393" s="39">
        <v>44172</v>
      </c>
      <c r="G393" s="24">
        <v>10000000</v>
      </c>
      <c r="H393" s="23">
        <v>5.0000000000000001E-3</v>
      </c>
      <c r="I393" s="39">
        <v>44228</v>
      </c>
      <c r="J393" s="39">
        <v>44255</v>
      </c>
      <c r="K393" s="24">
        <f t="shared" si="26"/>
        <v>28</v>
      </c>
      <c r="L393" s="24">
        <f t="shared" si="27"/>
        <v>3836</v>
      </c>
      <c r="M393" s="24">
        <v>10000000</v>
      </c>
    </row>
    <row r="394" spans="1:13" s="80" customFormat="1" ht="13.5" outlineLevel="2">
      <c r="A394" s="39" t="s">
        <v>239</v>
      </c>
      <c r="B394" s="40" t="s">
        <v>33</v>
      </c>
      <c r="C394" s="41" t="s">
        <v>242</v>
      </c>
      <c r="D394" s="40" t="s">
        <v>243</v>
      </c>
      <c r="E394" s="24">
        <v>10000000</v>
      </c>
      <c r="F394" s="39">
        <v>44181</v>
      </c>
      <c r="G394" s="24">
        <v>10000000</v>
      </c>
      <c r="H394" s="23">
        <v>5.0000000000000001E-3</v>
      </c>
      <c r="I394" s="39">
        <v>44228</v>
      </c>
      <c r="J394" s="39">
        <v>44255</v>
      </c>
      <c r="K394" s="24">
        <f t="shared" si="26"/>
        <v>28</v>
      </c>
      <c r="L394" s="24">
        <f t="shared" si="27"/>
        <v>3836</v>
      </c>
      <c r="M394" s="24">
        <v>10000000</v>
      </c>
    </row>
    <row r="395" spans="1:13" s="80" customFormat="1" ht="13.5" outlineLevel="2">
      <c r="A395" s="39" t="s">
        <v>239</v>
      </c>
      <c r="B395" s="40" t="s">
        <v>34</v>
      </c>
      <c r="C395" s="41" t="s">
        <v>244</v>
      </c>
      <c r="D395" s="40" t="s">
        <v>245</v>
      </c>
      <c r="E395" s="24">
        <v>210000000</v>
      </c>
      <c r="F395" s="39">
        <v>44172</v>
      </c>
      <c r="G395" s="24">
        <v>210000000</v>
      </c>
      <c r="H395" s="23">
        <v>5.0000000000000001E-3</v>
      </c>
      <c r="I395" s="39">
        <v>44228</v>
      </c>
      <c r="J395" s="39">
        <v>44255</v>
      </c>
      <c r="K395" s="24">
        <f t="shared" si="26"/>
        <v>28</v>
      </c>
      <c r="L395" s="24">
        <f t="shared" si="27"/>
        <v>80548</v>
      </c>
      <c r="M395" s="24">
        <v>210000000</v>
      </c>
    </row>
    <row r="396" spans="1:13" s="80" customFormat="1" ht="13.5" outlineLevel="2">
      <c r="A396" s="39" t="s">
        <v>239</v>
      </c>
      <c r="B396" s="40" t="s">
        <v>35</v>
      </c>
      <c r="C396" s="41" t="s">
        <v>246</v>
      </c>
      <c r="D396" s="40" t="s">
        <v>247</v>
      </c>
      <c r="E396" s="24">
        <v>3000000</v>
      </c>
      <c r="F396" s="39">
        <v>44167</v>
      </c>
      <c r="G396" s="24">
        <v>3000000</v>
      </c>
      <c r="H396" s="23">
        <v>5.0000000000000001E-3</v>
      </c>
      <c r="I396" s="39">
        <v>44228</v>
      </c>
      <c r="J396" s="39">
        <v>44255</v>
      </c>
      <c r="K396" s="24">
        <f t="shared" si="26"/>
        <v>28</v>
      </c>
      <c r="L396" s="24">
        <f t="shared" si="27"/>
        <v>1151</v>
      </c>
      <c r="M396" s="24">
        <v>3000000</v>
      </c>
    </row>
    <row r="397" spans="1:13" s="80" customFormat="1" ht="13.5" outlineLevel="2">
      <c r="A397" s="39" t="s">
        <v>239</v>
      </c>
      <c r="B397" s="40" t="s">
        <v>36</v>
      </c>
      <c r="C397" s="41" t="s">
        <v>95</v>
      </c>
      <c r="D397" s="40" t="s">
        <v>96</v>
      </c>
      <c r="E397" s="24">
        <v>5530000</v>
      </c>
      <c r="F397" s="39">
        <v>44168</v>
      </c>
      <c r="G397" s="24">
        <v>5530000</v>
      </c>
      <c r="H397" s="23">
        <v>5.0000000000000001E-3</v>
      </c>
      <c r="I397" s="39">
        <v>44228</v>
      </c>
      <c r="J397" s="39">
        <v>44255</v>
      </c>
      <c r="K397" s="24">
        <f t="shared" si="26"/>
        <v>28</v>
      </c>
      <c r="L397" s="24">
        <f t="shared" si="27"/>
        <v>2121</v>
      </c>
      <c r="M397" s="24">
        <v>5530000</v>
      </c>
    </row>
    <row r="398" spans="1:13" s="80" customFormat="1" ht="13.5" outlineLevel="2">
      <c r="A398" s="39" t="s">
        <v>239</v>
      </c>
      <c r="B398" s="40" t="s">
        <v>39</v>
      </c>
      <c r="C398" s="41" t="s">
        <v>248</v>
      </c>
      <c r="D398" s="40" t="s">
        <v>249</v>
      </c>
      <c r="E398" s="24">
        <v>23530000</v>
      </c>
      <c r="F398" s="39">
        <v>44013</v>
      </c>
      <c r="G398" s="24">
        <v>23530000</v>
      </c>
      <c r="H398" s="23">
        <v>5.0000000000000001E-3</v>
      </c>
      <c r="I398" s="39">
        <v>44228</v>
      </c>
      <c r="J398" s="39">
        <v>44255</v>
      </c>
      <c r="K398" s="24">
        <f t="shared" si="26"/>
        <v>28</v>
      </c>
      <c r="L398" s="24">
        <f t="shared" si="27"/>
        <v>9025</v>
      </c>
      <c r="M398" s="24">
        <v>23530000</v>
      </c>
    </row>
    <row r="399" spans="1:13" s="80" customFormat="1" ht="13.5" outlineLevel="2">
      <c r="A399" s="39" t="s">
        <v>239</v>
      </c>
      <c r="B399" s="40" t="s">
        <v>40</v>
      </c>
      <c r="C399" s="41" t="s">
        <v>242</v>
      </c>
      <c r="D399" s="40" t="s">
        <v>243</v>
      </c>
      <c r="E399" s="24">
        <v>10000000</v>
      </c>
      <c r="F399" s="39">
        <v>44208</v>
      </c>
      <c r="G399" s="24">
        <v>10000000</v>
      </c>
      <c r="H399" s="23">
        <v>5.0000000000000001E-3</v>
      </c>
      <c r="I399" s="39">
        <v>44228</v>
      </c>
      <c r="J399" s="39">
        <v>44255</v>
      </c>
      <c r="K399" s="24">
        <f t="shared" si="26"/>
        <v>28</v>
      </c>
      <c r="L399" s="24">
        <f t="shared" si="27"/>
        <v>3836</v>
      </c>
      <c r="M399" s="24">
        <v>10000000</v>
      </c>
    </row>
    <row r="400" spans="1:13" s="80" customFormat="1" ht="13.5" outlineLevel="2">
      <c r="A400" s="39" t="s">
        <v>239</v>
      </c>
      <c r="B400" s="40" t="s">
        <v>41</v>
      </c>
      <c r="C400" s="41" t="s">
        <v>125</v>
      </c>
      <c r="D400" s="40" t="s">
        <v>126</v>
      </c>
      <c r="E400" s="24">
        <v>28000000</v>
      </c>
      <c r="F400" s="39">
        <v>44217</v>
      </c>
      <c r="G400" s="24">
        <v>28000000</v>
      </c>
      <c r="H400" s="23">
        <v>5.0000000000000001E-3</v>
      </c>
      <c r="I400" s="39">
        <v>44228</v>
      </c>
      <c r="J400" s="39">
        <v>44255</v>
      </c>
      <c r="K400" s="24">
        <f t="shared" si="26"/>
        <v>28</v>
      </c>
      <c r="L400" s="24">
        <f t="shared" si="27"/>
        <v>10740</v>
      </c>
      <c r="M400" s="24">
        <v>28000000</v>
      </c>
    </row>
    <row r="401" spans="1:13" s="80" customFormat="1" ht="13.5" outlineLevel="2">
      <c r="A401" s="39" t="s">
        <v>239</v>
      </c>
      <c r="B401" s="40" t="s">
        <v>42</v>
      </c>
      <c r="C401" s="41" t="s">
        <v>250</v>
      </c>
      <c r="D401" s="40" t="s">
        <v>251</v>
      </c>
      <c r="E401" s="24">
        <v>22500000</v>
      </c>
      <c r="F401" s="39">
        <v>44215</v>
      </c>
      <c r="G401" s="24">
        <v>22500000</v>
      </c>
      <c r="H401" s="23">
        <v>5.0000000000000001E-3</v>
      </c>
      <c r="I401" s="39">
        <v>44228</v>
      </c>
      <c r="J401" s="39">
        <v>44243</v>
      </c>
      <c r="K401" s="24">
        <f t="shared" si="26"/>
        <v>16</v>
      </c>
      <c r="L401" s="24">
        <f t="shared" si="27"/>
        <v>4932</v>
      </c>
      <c r="M401" s="24">
        <v>22125000</v>
      </c>
    </row>
    <row r="402" spans="1:13" s="80" customFormat="1" ht="13.5" outlineLevel="2">
      <c r="A402" s="39" t="s">
        <v>239</v>
      </c>
      <c r="B402" s="40" t="s">
        <v>42</v>
      </c>
      <c r="C402" s="41" t="s">
        <v>250</v>
      </c>
      <c r="D402" s="40"/>
      <c r="E402" s="24"/>
      <c r="F402" s="39"/>
      <c r="G402" s="24">
        <v>22125000</v>
      </c>
      <c r="H402" s="23">
        <v>5.0000000000000001E-3</v>
      </c>
      <c r="I402" s="39">
        <v>44244</v>
      </c>
      <c r="J402" s="39">
        <v>44255</v>
      </c>
      <c r="K402" s="24">
        <f t="shared" si="26"/>
        <v>12</v>
      </c>
      <c r="L402" s="24">
        <f t="shared" si="27"/>
        <v>3637</v>
      </c>
      <c r="M402" s="24"/>
    </row>
    <row r="403" spans="1:13" s="80" customFormat="1" ht="13.5" outlineLevel="2">
      <c r="A403" s="39" t="s">
        <v>239</v>
      </c>
      <c r="B403" s="40" t="s">
        <v>43</v>
      </c>
      <c r="C403" s="41" t="s">
        <v>250</v>
      </c>
      <c r="D403" s="40" t="s">
        <v>251</v>
      </c>
      <c r="E403" s="24">
        <v>4950000</v>
      </c>
      <c r="F403" s="39">
        <v>44215</v>
      </c>
      <c r="G403" s="24">
        <v>4950000</v>
      </c>
      <c r="H403" s="23">
        <v>5.0000000000000001E-3</v>
      </c>
      <c r="I403" s="39">
        <v>44228</v>
      </c>
      <c r="J403" s="39">
        <v>44243</v>
      </c>
      <c r="K403" s="24">
        <f t="shared" si="26"/>
        <v>16</v>
      </c>
      <c r="L403" s="24">
        <f t="shared" si="27"/>
        <v>1085</v>
      </c>
      <c r="M403" s="24">
        <v>4867500</v>
      </c>
    </row>
    <row r="404" spans="1:13" s="80" customFormat="1" ht="13.5" outlineLevel="2">
      <c r="A404" s="39" t="s">
        <v>239</v>
      </c>
      <c r="B404" s="40" t="s">
        <v>43</v>
      </c>
      <c r="C404" s="41" t="s">
        <v>250</v>
      </c>
      <c r="D404" s="40"/>
      <c r="E404" s="24"/>
      <c r="F404" s="39"/>
      <c r="G404" s="24">
        <v>4867500</v>
      </c>
      <c r="H404" s="23">
        <v>5.0000000000000001E-3</v>
      </c>
      <c r="I404" s="39">
        <v>44244</v>
      </c>
      <c r="J404" s="39">
        <v>44255</v>
      </c>
      <c r="K404" s="24">
        <f t="shared" si="26"/>
        <v>12</v>
      </c>
      <c r="L404" s="24">
        <f t="shared" si="27"/>
        <v>800</v>
      </c>
      <c r="M404" s="24"/>
    </row>
    <row r="405" spans="1:13" s="80" customFormat="1" ht="13.5" outlineLevel="2">
      <c r="A405" s="39" t="s">
        <v>239</v>
      </c>
      <c r="B405" s="40" t="s">
        <v>44</v>
      </c>
      <c r="C405" s="41" t="s">
        <v>242</v>
      </c>
      <c r="D405" s="40" t="s">
        <v>243</v>
      </c>
      <c r="E405" s="24">
        <v>10000000</v>
      </c>
      <c r="F405" s="39">
        <v>44244</v>
      </c>
      <c r="G405" s="24">
        <v>10000000</v>
      </c>
      <c r="H405" s="23">
        <v>5.0000000000000001E-3</v>
      </c>
      <c r="I405" s="39">
        <v>44244</v>
      </c>
      <c r="J405" s="39">
        <v>44255</v>
      </c>
      <c r="K405" s="24">
        <f t="shared" si="26"/>
        <v>12</v>
      </c>
      <c r="L405" s="24">
        <f t="shared" si="27"/>
        <v>1644</v>
      </c>
      <c r="M405" s="24">
        <v>10000000</v>
      </c>
    </row>
    <row r="406" spans="1:13" s="80" customFormat="1" ht="13.5" outlineLevel="2">
      <c r="A406" s="39" t="s">
        <v>239</v>
      </c>
      <c r="B406" s="40" t="s">
        <v>47</v>
      </c>
      <c r="C406" s="41" t="s">
        <v>242</v>
      </c>
      <c r="D406" s="40" t="s">
        <v>243</v>
      </c>
      <c r="E406" s="24">
        <v>4000000</v>
      </c>
      <c r="F406" s="39">
        <v>44249</v>
      </c>
      <c r="G406" s="24">
        <v>4000000</v>
      </c>
      <c r="H406" s="23">
        <v>5.0000000000000001E-3</v>
      </c>
      <c r="I406" s="39">
        <v>44249</v>
      </c>
      <c r="J406" s="39">
        <v>44255</v>
      </c>
      <c r="K406" s="24">
        <f t="shared" si="26"/>
        <v>7</v>
      </c>
      <c r="L406" s="24">
        <f t="shared" si="27"/>
        <v>384</v>
      </c>
      <c r="M406" s="24">
        <v>4000000</v>
      </c>
    </row>
    <row r="407" spans="1:13" s="80" customFormat="1" ht="13.5" outlineLevel="2">
      <c r="A407" s="39" t="s">
        <v>239</v>
      </c>
      <c r="B407" s="40" t="s">
        <v>50</v>
      </c>
      <c r="C407" s="41" t="s">
        <v>306</v>
      </c>
      <c r="D407" s="40" t="s">
        <v>305</v>
      </c>
      <c r="E407" s="24">
        <v>23949000</v>
      </c>
      <c r="F407" s="39">
        <v>44251</v>
      </c>
      <c r="G407" s="24">
        <v>23949000</v>
      </c>
      <c r="H407" s="23">
        <v>5.0000000000000001E-3</v>
      </c>
      <c r="I407" s="39">
        <v>44251</v>
      </c>
      <c r="J407" s="39">
        <v>44255</v>
      </c>
      <c r="K407" s="24">
        <f t="shared" si="26"/>
        <v>5</v>
      </c>
      <c r="L407" s="24">
        <f t="shared" si="27"/>
        <v>1640</v>
      </c>
      <c r="M407" s="24">
        <v>23949000</v>
      </c>
    </row>
    <row r="408" spans="1:13" s="80" customFormat="1" ht="13.5" outlineLevel="2">
      <c r="A408" s="39" t="s">
        <v>239</v>
      </c>
      <c r="B408" s="40" t="s">
        <v>51</v>
      </c>
      <c r="C408" s="41" t="s">
        <v>66</v>
      </c>
      <c r="D408" s="40" t="s">
        <v>67</v>
      </c>
      <c r="E408" s="24">
        <v>40000000</v>
      </c>
      <c r="F408" s="39">
        <v>44235</v>
      </c>
      <c r="G408" s="24">
        <v>40000000</v>
      </c>
      <c r="H408" s="23">
        <v>5.0000000000000001E-3</v>
      </c>
      <c r="I408" s="39">
        <v>44235</v>
      </c>
      <c r="J408" s="39">
        <v>44255</v>
      </c>
      <c r="K408" s="24">
        <f t="shared" si="26"/>
        <v>21</v>
      </c>
      <c r="L408" s="24">
        <f t="shared" si="27"/>
        <v>11507</v>
      </c>
      <c r="M408" s="24">
        <v>40000000</v>
      </c>
    </row>
    <row r="409" spans="1:13" s="80" customFormat="1" ht="13.5" outlineLevel="2">
      <c r="A409" s="39" t="s">
        <v>239</v>
      </c>
      <c r="B409" s="40" t="s">
        <v>52</v>
      </c>
      <c r="C409" s="41" t="s">
        <v>244</v>
      </c>
      <c r="D409" s="40" t="s">
        <v>245</v>
      </c>
      <c r="E409" s="24">
        <v>64000000</v>
      </c>
      <c r="F409" s="39">
        <v>44228</v>
      </c>
      <c r="G409" s="24">
        <v>64000000</v>
      </c>
      <c r="H409" s="23">
        <v>5.0000000000000001E-3</v>
      </c>
      <c r="I409" s="39">
        <v>44228</v>
      </c>
      <c r="J409" s="39">
        <v>44255</v>
      </c>
      <c r="K409" s="24">
        <f t="shared" si="26"/>
        <v>28</v>
      </c>
      <c r="L409" s="24">
        <f t="shared" si="27"/>
        <v>24548</v>
      </c>
      <c r="M409" s="24">
        <v>64000000</v>
      </c>
    </row>
    <row r="410" spans="1:13" s="80" customFormat="1" ht="13.5" outlineLevel="2">
      <c r="A410" s="39" t="s">
        <v>239</v>
      </c>
      <c r="B410" s="40" t="s">
        <v>53</v>
      </c>
      <c r="C410" s="41" t="s">
        <v>246</v>
      </c>
      <c r="D410" s="40" t="s">
        <v>247</v>
      </c>
      <c r="E410" s="24">
        <v>100000000</v>
      </c>
      <c r="F410" s="39">
        <v>44251</v>
      </c>
      <c r="G410" s="24">
        <v>100000000</v>
      </c>
      <c r="H410" s="23">
        <v>5.0000000000000001E-3</v>
      </c>
      <c r="I410" s="39">
        <v>44251</v>
      </c>
      <c r="J410" s="39">
        <v>44255</v>
      </c>
      <c r="K410" s="24">
        <f t="shared" si="26"/>
        <v>5</v>
      </c>
      <c r="L410" s="24">
        <f t="shared" si="27"/>
        <v>6849</v>
      </c>
      <c r="M410" s="24">
        <v>100000000</v>
      </c>
    </row>
    <row r="411" spans="1:13" s="80" customFormat="1" ht="13.5" outlineLevel="2">
      <c r="A411" s="39" t="s">
        <v>239</v>
      </c>
      <c r="B411" s="40" t="s">
        <v>54</v>
      </c>
      <c r="C411" s="41" t="s">
        <v>248</v>
      </c>
      <c r="D411" s="40" t="s">
        <v>249</v>
      </c>
      <c r="E411" s="24">
        <v>47470000</v>
      </c>
      <c r="F411" s="39">
        <v>44013</v>
      </c>
      <c r="G411" s="24">
        <v>47470000</v>
      </c>
      <c r="H411" s="23">
        <v>5.0000000000000001E-3</v>
      </c>
      <c r="I411" s="39">
        <v>44228</v>
      </c>
      <c r="J411" s="39">
        <v>44255</v>
      </c>
      <c r="K411" s="24">
        <f t="shared" si="26"/>
        <v>28</v>
      </c>
      <c r="L411" s="24">
        <f t="shared" si="27"/>
        <v>18208</v>
      </c>
      <c r="M411" s="24">
        <v>47470000</v>
      </c>
    </row>
    <row r="412" spans="1:13" s="80" customFormat="1" ht="13.5" outlineLevel="2">
      <c r="A412" s="39" t="s">
        <v>239</v>
      </c>
      <c r="B412" s="40" t="s">
        <v>57</v>
      </c>
      <c r="C412" s="41" t="s">
        <v>246</v>
      </c>
      <c r="D412" s="40" t="s">
        <v>247</v>
      </c>
      <c r="E412" s="24">
        <v>93000000</v>
      </c>
      <c r="F412" s="39">
        <v>44251</v>
      </c>
      <c r="G412" s="24">
        <v>93000000</v>
      </c>
      <c r="H412" s="23">
        <v>5.0000000000000001E-3</v>
      </c>
      <c r="I412" s="39">
        <v>44251</v>
      </c>
      <c r="J412" s="39">
        <v>44255</v>
      </c>
      <c r="K412" s="24">
        <f t="shared" si="26"/>
        <v>5</v>
      </c>
      <c r="L412" s="24">
        <f t="shared" si="27"/>
        <v>6370</v>
      </c>
      <c r="M412" s="24">
        <v>93000000</v>
      </c>
    </row>
    <row r="413" spans="1:13" s="80" customFormat="1" ht="13.5" outlineLevel="2">
      <c r="A413" s="39" t="s">
        <v>239</v>
      </c>
      <c r="B413" s="40" t="s">
        <v>58</v>
      </c>
      <c r="C413" s="41" t="s">
        <v>276</v>
      </c>
      <c r="D413" s="40" t="s">
        <v>277</v>
      </c>
      <c r="E413" s="24">
        <v>436800</v>
      </c>
      <c r="F413" s="39">
        <v>44235</v>
      </c>
      <c r="G413" s="24">
        <v>436800</v>
      </c>
      <c r="H413" s="23">
        <v>5.0000000000000001E-3</v>
      </c>
      <c r="I413" s="39">
        <v>44235</v>
      </c>
      <c r="J413" s="39">
        <v>44255</v>
      </c>
      <c r="K413" s="24">
        <f t="shared" si="26"/>
        <v>21</v>
      </c>
      <c r="L413" s="24">
        <f t="shared" si="27"/>
        <v>126</v>
      </c>
      <c r="M413" s="24">
        <v>436800</v>
      </c>
    </row>
    <row r="414" spans="1:13" s="80" customFormat="1" ht="13.5" outlineLevel="2">
      <c r="A414" s="39" t="s">
        <v>239</v>
      </c>
      <c r="B414" s="40" t="s">
        <v>99</v>
      </c>
      <c r="C414" s="41" t="s">
        <v>95</v>
      </c>
      <c r="D414" s="40" t="s">
        <v>96</v>
      </c>
      <c r="E414" s="24">
        <v>4840000</v>
      </c>
      <c r="F414" s="39">
        <v>44235</v>
      </c>
      <c r="G414" s="24">
        <v>4840000</v>
      </c>
      <c r="H414" s="23">
        <v>5.0000000000000001E-3</v>
      </c>
      <c r="I414" s="39">
        <v>44235</v>
      </c>
      <c r="J414" s="39">
        <v>44255</v>
      </c>
      <c r="K414" s="24">
        <f t="shared" si="26"/>
        <v>21</v>
      </c>
      <c r="L414" s="24">
        <f t="shared" si="27"/>
        <v>1392</v>
      </c>
      <c r="M414" s="24">
        <v>4840000</v>
      </c>
    </row>
    <row r="415" spans="1:13" s="80" customFormat="1" ht="13.5" outlineLevel="2">
      <c r="A415" s="39" t="s">
        <v>239</v>
      </c>
      <c r="B415" s="40" t="s">
        <v>59</v>
      </c>
      <c r="C415" s="41" t="s">
        <v>240</v>
      </c>
      <c r="D415" s="40" t="s">
        <v>241</v>
      </c>
      <c r="E415" s="24">
        <v>6665394</v>
      </c>
      <c r="F415" s="39">
        <v>44029</v>
      </c>
      <c r="G415" s="24">
        <v>6665394</v>
      </c>
      <c r="H415" s="23">
        <v>5.0000000000000001E-3</v>
      </c>
      <c r="I415" s="39">
        <v>44228</v>
      </c>
      <c r="J415" s="39">
        <v>44255</v>
      </c>
      <c r="K415" s="24">
        <f t="shared" si="26"/>
        <v>28</v>
      </c>
      <c r="L415" s="24">
        <f t="shared" si="27"/>
        <v>2557</v>
      </c>
      <c r="M415" s="24">
        <v>6665394</v>
      </c>
    </row>
    <row r="416" spans="1:13" s="80" customFormat="1" ht="13.5" outlineLevel="2">
      <c r="A416" s="39" t="s">
        <v>239</v>
      </c>
      <c r="B416" s="40" t="s">
        <v>62</v>
      </c>
      <c r="C416" s="41" t="s">
        <v>240</v>
      </c>
      <c r="D416" s="40" t="s">
        <v>241</v>
      </c>
      <c r="E416" s="24">
        <v>12334606</v>
      </c>
      <c r="F416" s="39">
        <v>44029</v>
      </c>
      <c r="G416" s="24">
        <v>12334606</v>
      </c>
      <c r="H416" s="23">
        <v>5.0000000000000001E-3</v>
      </c>
      <c r="I416" s="39">
        <v>44228</v>
      </c>
      <c r="J416" s="39">
        <v>44255</v>
      </c>
      <c r="K416" s="24">
        <f t="shared" si="26"/>
        <v>28</v>
      </c>
      <c r="L416" s="24">
        <f t="shared" si="27"/>
        <v>4731</v>
      </c>
      <c r="M416" s="24">
        <v>12334606</v>
      </c>
    </row>
    <row r="417" spans="1:13" s="80" customFormat="1" ht="13.5" outlineLevel="2">
      <c r="A417" s="39" t="s">
        <v>239</v>
      </c>
      <c r="B417" s="40" t="s">
        <v>63</v>
      </c>
      <c r="C417" s="41" t="s">
        <v>252</v>
      </c>
      <c r="D417" s="40" t="s">
        <v>253</v>
      </c>
      <c r="E417" s="24">
        <v>131500000</v>
      </c>
      <c r="F417" s="39">
        <v>44089</v>
      </c>
      <c r="G417" s="24">
        <v>131500000</v>
      </c>
      <c r="H417" s="23">
        <v>5.0000000000000001E-3</v>
      </c>
      <c r="I417" s="39">
        <v>44228</v>
      </c>
      <c r="J417" s="39">
        <v>44255</v>
      </c>
      <c r="K417" s="24">
        <f t="shared" si="26"/>
        <v>28</v>
      </c>
      <c r="L417" s="24">
        <f t="shared" si="27"/>
        <v>50438</v>
      </c>
      <c r="M417" s="24">
        <v>131500000</v>
      </c>
    </row>
    <row r="418" spans="1:13" s="80" customFormat="1" ht="13.5" outlineLevel="2">
      <c r="A418" s="39" t="s">
        <v>239</v>
      </c>
      <c r="B418" s="40" t="s">
        <v>64</v>
      </c>
      <c r="C418" s="41" t="s">
        <v>109</v>
      </c>
      <c r="D418" s="40" t="s">
        <v>110</v>
      </c>
      <c r="E418" s="24">
        <v>10400000</v>
      </c>
      <c r="F418" s="39">
        <v>44096</v>
      </c>
      <c r="G418" s="24">
        <v>10400000</v>
      </c>
      <c r="H418" s="23">
        <v>5.0000000000000001E-3</v>
      </c>
      <c r="I418" s="39">
        <v>44228</v>
      </c>
      <c r="J418" s="39">
        <v>44255</v>
      </c>
      <c r="K418" s="24">
        <f t="shared" si="26"/>
        <v>28</v>
      </c>
      <c r="L418" s="24">
        <f t="shared" si="27"/>
        <v>3989</v>
      </c>
      <c r="M418" s="24">
        <v>10400000</v>
      </c>
    </row>
    <row r="419" spans="1:13" s="80" customFormat="1" ht="13.5" outlineLevel="2">
      <c r="A419" s="39" t="s">
        <v>239</v>
      </c>
      <c r="B419" s="40" t="s">
        <v>65</v>
      </c>
      <c r="C419" s="41" t="s">
        <v>242</v>
      </c>
      <c r="D419" s="40" t="s">
        <v>243</v>
      </c>
      <c r="E419" s="24">
        <v>10000000</v>
      </c>
      <c r="F419" s="39">
        <v>44139</v>
      </c>
      <c r="G419" s="24">
        <v>10000000</v>
      </c>
      <c r="H419" s="23">
        <v>5.0000000000000001E-3</v>
      </c>
      <c r="I419" s="39">
        <v>44228</v>
      </c>
      <c r="J419" s="39">
        <v>44255</v>
      </c>
      <c r="K419" s="24">
        <f t="shared" si="26"/>
        <v>28</v>
      </c>
      <c r="L419" s="24">
        <f t="shared" si="27"/>
        <v>3836</v>
      </c>
      <c r="M419" s="24">
        <v>10000000</v>
      </c>
    </row>
    <row r="420" spans="1:13" s="80" customFormat="1" ht="13.5" outlineLevel="2">
      <c r="A420" s="39" t="s">
        <v>239</v>
      </c>
      <c r="B420" s="40" t="s">
        <v>68</v>
      </c>
      <c r="C420" s="41" t="s">
        <v>242</v>
      </c>
      <c r="D420" s="40" t="s">
        <v>243</v>
      </c>
      <c r="E420" s="24">
        <v>10000000</v>
      </c>
      <c r="F420" s="39">
        <v>44152</v>
      </c>
      <c r="G420" s="24">
        <v>10000000</v>
      </c>
      <c r="H420" s="23">
        <v>5.0000000000000001E-3</v>
      </c>
      <c r="I420" s="39">
        <v>44228</v>
      </c>
      <c r="J420" s="39">
        <v>44255</v>
      </c>
      <c r="K420" s="24">
        <f t="shared" si="26"/>
        <v>28</v>
      </c>
      <c r="L420" s="24">
        <f t="shared" si="27"/>
        <v>3836</v>
      </c>
      <c r="M420" s="24">
        <v>10000000</v>
      </c>
    </row>
    <row r="421" spans="1:13" s="80" customFormat="1" ht="13.5" outlineLevel="1">
      <c r="A421" s="42" t="s">
        <v>254</v>
      </c>
      <c r="B421" s="43"/>
      <c r="C421" s="44"/>
      <c r="D421" s="43"/>
      <c r="E421" s="45">
        <f>SUBTOTAL(9,E387:E420)</f>
        <v>1012285800</v>
      </c>
      <c r="F421" s="46"/>
      <c r="G421" s="45"/>
      <c r="H421" s="47"/>
      <c r="I421" s="46"/>
      <c r="J421" s="46"/>
      <c r="K421" s="45"/>
      <c r="L421" s="45">
        <f>SUBTOTAL(9,L387:L420)</f>
        <v>312165</v>
      </c>
      <c r="M421" s="45">
        <f>SUBTOTAL(9,M387:M420)</f>
        <v>1011828300</v>
      </c>
    </row>
    <row r="422" spans="1:13" s="80" customFormat="1" ht="13.5" outlineLevel="2">
      <c r="A422" s="39" t="s">
        <v>255</v>
      </c>
      <c r="B422" s="40" t="s">
        <v>16</v>
      </c>
      <c r="C422" s="41" t="s">
        <v>20</v>
      </c>
      <c r="D422" s="40" t="s">
        <v>21</v>
      </c>
      <c r="E422" s="24">
        <v>330000000</v>
      </c>
      <c r="F422" s="39">
        <v>43915</v>
      </c>
      <c r="G422" s="24">
        <v>330000000</v>
      </c>
      <c r="H422" s="23">
        <v>5.0000000000000001E-3</v>
      </c>
      <c r="I422" s="39">
        <v>44228</v>
      </c>
      <c r="J422" s="39">
        <v>44255</v>
      </c>
      <c r="K422" s="24">
        <f>J422-I422+1</f>
        <v>28</v>
      </c>
      <c r="L422" s="24">
        <f>ROUND(G422*H422*K422/365,0)</f>
        <v>126575</v>
      </c>
      <c r="M422" s="24">
        <v>330000000</v>
      </c>
    </row>
    <row r="423" spans="1:13" s="80" customFormat="1" ht="13.5" outlineLevel="2">
      <c r="A423" s="39" t="s">
        <v>255</v>
      </c>
      <c r="B423" s="40" t="s">
        <v>39</v>
      </c>
      <c r="C423" s="41" t="s">
        <v>20</v>
      </c>
      <c r="D423" s="40" t="s">
        <v>21</v>
      </c>
      <c r="E423" s="24">
        <v>93600000</v>
      </c>
      <c r="F423" s="39">
        <v>43955</v>
      </c>
      <c r="G423" s="24">
        <v>93600000</v>
      </c>
      <c r="H423" s="23">
        <v>5.0000000000000001E-3</v>
      </c>
      <c r="I423" s="39">
        <v>44228</v>
      </c>
      <c r="J423" s="39">
        <v>44255</v>
      </c>
      <c r="K423" s="24">
        <f>J423-I423+1</f>
        <v>28</v>
      </c>
      <c r="L423" s="24">
        <f>ROUND(G423*H423*K423/365,0)</f>
        <v>35901</v>
      </c>
      <c r="M423" s="24">
        <v>93600000</v>
      </c>
    </row>
    <row r="424" spans="1:13" s="80" customFormat="1" ht="13.5" outlineLevel="2">
      <c r="A424" s="39" t="s">
        <v>255</v>
      </c>
      <c r="B424" s="40" t="s">
        <v>54</v>
      </c>
      <c r="C424" s="41" t="s">
        <v>20</v>
      </c>
      <c r="D424" s="40" t="s">
        <v>21</v>
      </c>
      <c r="E424" s="24">
        <v>576400000</v>
      </c>
      <c r="F424" s="39">
        <v>44013</v>
      </c>
      <c r="G424" s="24">
        <v>576400000</v>
      </c>
      <c r="H424" s="23">
        <v>5.0000000000000001E-3</v>
      </c>
      <c r="I424" s="39">
        <v>44228</v>
      </c>
      <c r="J424" s="39">
        <v>44255</v>
      </c>
      <c r="K424" s="24">
        <f>J424-I424+1</f>
        <v>28</v>
      </c>
      <c r="L424" s="24">
        <f>ROUND(G424*H424*K424/365,0)</f>
        <v>221085</v>
      </c>
      <c r="M424" s="24">
        <v>576400000</v>
      </c>
    </row>
    <row r="425" spans="1:13" s="80" customFormat="1" ht="13.5" outlineLevel="1">
      <c r="A425" s="42" t="s">
        <v>256</v>
      </c>
      <c r="B425" s="43"/>
      <c r="C425" s="44"/>
      <c r="D425" s="43"/>
      <c r="E425" s="45">
        <f>SUBTOTAL(9,E422:E424)</f>
        <v>1000000000</v>
      </c>
      <c r="F425" s="46"/>
      <c r="G425" s="45"/>
      <c r="H425" s="47"/>
      <c r="I425" s="46"/>
      <c r="J425" s="46"/>
      <c r="K425" s="45"/>
      <c r="L425" s="45">
        <f>SUBTOTAL(9,L422:L424)</f>
        <v>383561</v>
      </c>
      <c r="M425" s="45">
        <f>SUBTOTAL(9,M422:M424)</f>
        <v>1000000000</v>
      </c>
    </row>
    <row r="426" spans="1:13" s="80" customFormat="1" ht="13.5" outlineLevel="2">
      <c r="A426" s="39" t="s">
        <v>257</v>
      </c>
      <c r="B426" s="40" t="s">
        <v>16</v>
      </c>
      <c r="C426" s="41" t="s">
        <v>258</v>
      </c>
      <c r="D426" s="40" t="s">
        <v>259</v>
      </c>
      <c r="E426" s="24">
        <v>3400000</v>
      </c>
      <c r="F426" s="39">
        <v>43927</v>
      </c>
      <c r="G426" s="24">
        <v>3400000</v>
      </c>
      <c r="H426" s="23">
        <v>5.0000000000000001E-3</v>
      </c>
      <c r="I426" s="39">
        <v>44228</v>
      </c>
      <c r="J426" s="39">
        <v>44255</v>
      </c>
      <c r="K426" s="24">
        <f t="shared" ref="K426:K457" si="28">J426-I426+1</f>
        <v>28</v>
      </c>
      <c r="L426" s="24">
        <f t="shared" ref="L426:L457" si="29">ROUND(G426*H426*K426/365,0)</f>
        <v>1304</v>
      </c>
      <c r="M426" s="24">
        <v>3400000</v>
      </c>
    </row>
    <row r="427" spans="1:13" s="80" customFormat="1" ht="13.5" outlineLevel="2">
      <c r="A427" s="39" t="s">
        <v>257</v>
      </c>
      <c r="B427" s="40" t="s">
        <v>19</v>
      </c>
      <c r="C427" s="41" t="s">
        <v>260</v>
      </c>
      <c r="D427" s="40" t="s">
        <v>261</v>
      </c>
      <c r="E427" s="24">
        <v>620000</v>
      </c>
      <c r="F427" s="39">
        <v>44148</v>
      </c>
      <c r="G427" s="24">
        <v>550000</v>
      </c>
      <c r="H427" s="23">
        <v>5.0000000000000001E-3</v>
      </c>
      <c r="I427" s="39">
        <v>44228</v>
      </c>
      <c r="J427" s="39">
        <v>44243</v>
      </c>
      <c r="K427" s="24">
        <f t="shared" si="28"/>
        <v>16</v>
      </c>
      <c r="L427" s="24">
        <f t="shared" si="29"/>
        <v>121</v>
      </c>
      <c r="M427" s="24">
        <v>540000</v>
      </c>
    </row>
    <row r="428" spans="1:13" s="80" customFormat="1" ht="13.5" outlineLevel="2">
      <c r="A428" s="39" t="s">
        <v>257</v>
      </c>
      <c r="B428" s="40" t="s">
        <v>19</v>
      </c>
      <c r="C428" s="41" t="s">
        <v>260</v>
      </c>
      <c r="D428" s="40"/>
      <c r="E428" s="24"/>
      <c r="F428" s="39"/>
      <c r="G428" s="24">
        <v>540000</v>
      </c>
      <c r="H428" s="23">
        <v>5.0000000000000001E-3</v>
      </c>
      <c r="I428" s="39">
        <v>44244</v>
      </c>
      <c r="J428" s="39">
        <v>44255</v>
      </c>
      <c r="K428" s="24">
        <f t="shared" si="28"/>
        <v>12</v>
      </c>
      <c r="L428" s="24">
        <f t="shared" si="29"/>
        <v>89</v>
      </c>
      <c r="M428" s="24"/>
    </row>
    <row r="429" spans="1:13" s="80" customFormat="1" ht="13.5" outlineLevel="2">
      <c r="A429" s="39" t="s">
        <v>257</v>
      </c>
      <c r="B429" s="40" t="s">
        <v>22</v>
      </c>
      <c r="C429" s="41" t="s">
        <v>260</v>
      </c>
      <c r="D429" s="40" t="s">
        <v>261</v>
      </c>
      <c r="E429" s="24">
        <v>3910000</v>
      </c>
      <c r="F429" s="39">
        <v>44165</v>
      </c>
      <c r="G429" s="24">
        <v>3740000</v>
      </c>
      <c r="H429" s="23">
        <v>5.0000000000000001E-3</v>
      </c>
      <c r="I429" s="39">
        <v>44228</v>
      </c>
      <c r="J429" s="39">
        <v>44243</v>
      </c>
      <c r="K429" s="24">
        <f t="shared" si="28"/>
        <v>16</v>
      </c>
      <c r="L429" s="24">
        <f t="shared" si="29"/>
        <v>820</v>
      </c>
      <c r="M429" s="24">
        <v>3672000</v>
      </c>
    </row>
    <row r="430" spans="1:13" s="80" customFormat="1" ht="13.5" outlineLevel="2">
      <c r="A430" s="39" t="s">
        <v>257</v>
      </c>
      <c r="B430" s="40" t="s">
        <v>22</v>
      </c>
      <c r="C430" s="41" t="s">
        <v>260</v>
      </c>
      <c r="D430" s="40"/>
      <c r="E430" s="24"/>
      <c r="F430" s="39"/>
      <c r="G430" s="24">
        <v>3672000</v>
      </c>
      <c r="H430" s="23">
        <v>5.0000000000000001E-3</v>
      </c>
      <c r="I430" s="39">
        <v>44244</v>
      </c>
      <c r="J430" s="39">
        <v>44255</v>
      </c>
      <c r="K430" s="24">
        <f t="shared" si="28"/>
        <v>12</v>
      </c>
      <c r="L430" s="24">
        <f t="shared" si="29"/>
        <v>604</v>
      </c>
      <c r="M430" s="24"/>
    </row>
    <row r="431" spans="1:13" s="80" customFormat="1" ht="13.5" outlineLevel="2">
      <c r="A431" s="39" t="s">
        <v>257</v>
      </c>
      <c r="B431" s="40" t="s">
        <v>25</v>
      </c>
      <c r="C431" s="41" t="s">
        <v>260</v>
      </c>
      <c r="D431" s="40" t="s">
        <v>261</v>
      </c>
      <c r="E431" s="24">
        <v>4030000</v>
      </c>
      <c r="F431" s="39">
        <v>44165</v>
      </c>
      <c r="G431" s="24">
        <v>3850000</v>
      </c>
      <c r="H431" s="23">
        <v>5.0000000000000001E-3</v>
      </c>
      <c r="I431" s="39">
        <v>44228</v>
      </c>
      <c r="J431" s="39">
        <v>44243</v>
      </c>
      <c r="K431" s="24">
        <f t="shared" si="28"/>
        <v>16</v>
      </c>
      <c r="L431" s="24">
        <f t="shared" si="29"/>
        <v>844</v>
      </c>
      <c r="M431" s="24">
        <v>3780000</v>
      </c>
    </row>
    <row r="432" spans="1:13" s="80" customFormat="1" ht="13.5" outlineLevel="2">
      <c r="A432" s="39" t="s">
        <v>257</v>
      </c>
      <c r="B432" s="40" t="s">
        <v>25</v>
      </c>
      <c r="C432" s="41" t="s">
        <v>260</v>
      </c>
      <c r="D432" s="40"/>
      <c r="E432" s="24"/>
      <c r="F432" s="39"/>
      <c r="G432" s="24">
        <v>3780000</v>
      </c>
      <c r="H432" s="23">
        <v>5.0000000000000001E-3</v>
      </c>
      <c r="I432" s="39">
        <v>44244</v>
      </c>
      <c r="J432" s="39">
        <v>44255</v>
      </c>
      <c r="K432" s="24">
        <f t="shared" si="28"/>
        <v>12</v>
      </c>
      <c r="L432" s="24">
        <f t="shared" si="29"/>
        <v>621</v>
      </c>
      <c r="M432" s="24"/>
    </row>
    <row r="433" spans="1:13" s="80" customFormat="1" ht="13.5" outlineLevel="2">
      <c r="A433" s="39" t="s">
        <v>257</v>
      </c>
      <c r="B433" s="40" t="s">
        <v>26</v>
      </c>
      <c r="C433" s="41" t="s">
        <v>260</v>
      </c>
      <c r="D433" s="40" t="s">
        <v>261</v>
      </c>
      <c r="E433" s="24">
        <v>570000</v>
      </c>
      <c r="F433" s="39">
        <v>44155</v>
      </c>
      <c r="G433" s="24">
        <v>570000</v>
      </c>
      <c r="H433" s="23">
        <v>5.0000000000000001E-3</v>
      </c>
      <c r="I433" s="39">
        <v>44228</v>
      </c>
      <c r="J433" s="39">
        <v>44255</v>
      </c>
      <c r="K433" s="24">
        <f t="shared" si="28"/>
        <v>28</v>
      </c>
      <c r="L433" s="24">
        <f t="shared" si="29"/>
        <v>219</v>
      </c>
      <c r="M433" s="24">
        <v>570000</v>
      </c>
    </row>
    <row r="434" spans="1:13" s="80" customFormat="1" ht="13.5" outlineLevel="2">
      <c r="A434" s="39" t="s">
        <v>257</v>
      </c>
      <c r="B434" s="40" t="s">
        <v>29</v>
      </c>
      <c r="C434" s="41" t="s">
        <v>260</v>
      </c>
      <c r="D434" s="40" t="s">
        <v>261</v>
      </c>
      <c r="E434" s="24">
        <v>6000000</v>
      </c>
      <c r="F434" s="39">
        <v>44155</v>
      </c>
      <c r="G434" s="24">
        <v>6000000</v>
      </c>
      <c r="H434" s="23">
        <v>5.0000000000000001E-3</v>
      </c>
      <c r="I434" s="39">
        <v>44228</v>
      </c>
      <c r="J434" s="39">
        <v>44255</v>
      </c>
      <c r="K434" s="24">
        <f t="shared" si="28"/>
        <v>28</v>
      </c>
      <c r="L434" s="24">
        <f t="shared" si="29"/>
        <v>2301</v>
      </c>
      <c r="M434" s="24">
        <v>6000000</v>
      </c>
    </row>
    <row r="435" spans="1:13" s="80" customFormat="1" ht="13.5" outlineLevel="2">
      <c r="A435" s="39" t="s">
        <v>257</v>
      </c>
      <c r="B435" s="40" t="s">
        <v>32</v>
      </c>
      <c r="C435" s="41" t="s">
        <v>260</v>
      </c>
      <c r="D435" s="40" t="s">
        <v>261</v>
      </c>
      <c r="E435" s="24">
        <v>270000</v>
      </c>
      <c r="F435" s="39">
        <v>44181</v>
      </c>
      <c r="G435" s="24">
        <v>220000</v>
      </c>
      <c r="H435" s="23">
        <v>5.0000000000000001E-3</v>
      </c>
      <c r="I435" s="39">
        <v>44228</v>
      </c>
      <c r="J435" s="39">
        <v>44243</v>
      </c>
      <c r="K435" s="24">
        <f t="shared" si="28"/>
        <v>16</v>
      </c>
      <c r="L435" s="24">
        <f t="shared" si="29"/>
        <v>48</v>
      </c>
      <c r="M435" s="24">
        <v>216000</v>
      </c>
    </row>
    <row r="436" spans="1:13" s="80" customFormat="1" ht="13.5" outlineLevel="2">
      <c r="A436" s="39" t="s">
        <v>257</v>
      </c>
      <c r="B436" s="40" t="s">
        <v>32</v>
      </c>
      <c r="C436" s="41" t="s">
        <v>260</v>
      </c>
      <c r="D436" s="40"/>
      <c r="E436" s="24"/>
      <c r="F436" s="39"/>
      <c r="G436" s="24">
        <v>216000</v>
      </c>
      <c r="H436" s="23">
        <v>5.0000000000000001E-3</v>
      </c>
      <c r="I436" s="39">
        <v>44244</v>
      </c>
      <c r="J436" s="39">
        <v>44255</v>
      </c>
      <c r="K436" s="24">
        <f t="shared" si="28"/>
        <v>12</v>
      </c>
      <c r="L436" s="24">
        <f t="shared" si="29"/>
        <v>36</v>
      </c>
      <c r="M436" s="24"/>
    </row>
    <row r="437" spans="1:13" s="80" customFormat="1" ht="13.5" outlineLevel="2">
      <c r="A437" s="39" t="s">
        <v>257</v>
      </c>
      <c r="B437" s="40" t="s">
        <v>33</v>
      </c>
      <c r="C437" s="41" t="s">
        <v>260</v>
      </c>
      <c r="D437" s="40" t="s">
        <v>261</v>
      </c>
      <c r="E437" s="24">
        <v>2400000</v>
      </c>
      <c r="F437" s="39">
        <v>44181</v>
      </c>
      <c r="G437" s="24">
        <v>2400000</v>
      </c>
      <c r="H437" s="23">
        <v>5.0000000000000001E-3</v>
      </c>
      <c r="I437" s="39">
        <v>44228</v>
      </c>
      <c r="J437" s="39">
        <v>44255</v>
      </c>
      <c r="K437" s="24">
        <f t="shared" si="28"/>
        <v>28</v>
      </c>
      <c r="L437" s="24">
        <f t="shared" si="29"/>
        <v>921</v>
      </c>
      <c r="M437" s="24">
        <v>2400000</v>
      </c>
    </row>
    <row r="438" spans="1:13" s="80" customFormat="1" ht="13.5" outlineLevel="2">
      <c r="A438" s="39" t="s">
        <v>257</v>
      </c>
      <c r="B438" s="40" t="s">
        <v>34</v>
      </c>
      <c r="C438" s="41" t="s">
        <v>260</v>
      </c>
      <c r="D438" s="40" t="s">
        <v>261</v>
      </c>
      <c r="E438" s="24">
        <v>11000000</v>
      </c>
      <c r="F438" s="39">
        <v>44181</v>
      </c>
      <c r="G438" s="24">
        <v>11000000</v>
      </c>
      <c r="H438" s="23">
        <v>5.0000000000000001E-3</v>
      </c>
      <c r="I438" s="39">
        <v>44228</v>
      </c>
      <c r="J438" s="39">
        <v>44255</v>
      </c>
      <c r="K438" s="24">
        <f t="shared" si="28"/>
        <v>28</v>
      </c>
      <c r="L438" s="24">
        <f t="shared" si="29"/>
        <v>4219</v>
      </c>
      <c r="M438" s="24">
        <v>11000000</v>
      </c>
    </row>
    <row r="439" spans="1:13" s="80" customFormat="1" ht="13.5" outlineLevel="2">
      <c r="A439" s="39" t="s">
        <v>257</v>
      </c>
      <c r="B439" s="40" t="s">
        <v>35</v>
      </c>
      <c r="C439" s="41" t="s">
        <v>260</v>
      </c>
      <c r="D439" s="40" t="s">
        <v>261</v>
      </c>
      <c r="E439" s="24">
        <v>220000</v>
      </c>
      <c r="F439" s="39">
        <v>44215</v>
      </c>
      <c r="G439" s="24">
        <v>220000</v>
      </c>
      <c r="H439" s="23">
        <v>5.0000000000000001E-3</v>
      </c>
      <c r="I439" s="39">
        <v>44228</v>
      </c>
      <c r="J439" s="39">
        <v>44243</v>
      </c>
      <c r="K439" s="24">
        <f t="shared" si="28"/>
        <v>16</v>
      </c>
      <c r="L439" s="24">
        <f t="shared" si="29"/>
        <v>48</v>
      </c>
      <c r="M439" s="24">
        <v>216000</v>
      </c>
    </row>
    <row r="440" spans="1:13" s="80" customFormat="1" ht="13.5" outlineLevel="2">
      <c r="A440" s="39" t="s">
        <v>257</v>
      </c>
      <c r="B440" s="40" t="s">
        <v>35</v>
      </c>
      <c r="C440" s="41" t="s">
        <v>260</v>
      </c>
      <c r="D440" s="40"/>
      <c r="E440" s="24"/>
      <c r="F440" s="39"/>
      <c r="G440" s="24">
        <v>216000</v>
      </c>
      <c r="H440" s="23">
        <v>5.0000000000000001E-3</v>
      </c>
      <c r="I440" s="39">
        <v>44244</v>
      </c>
      <c r="J440" s="39">
        <v>44255</v>
      </c>
      <c r="K440" s="24">
        <f t="shared" si="28"/>
        <v>12</v>
      </c>
      <c r="L440" s="24">
        <f t="shared" si="29"/>
        <v>36</v>
      </c>
      <c r="M440" s="24"/>
    </row>
    <row r="441" spans="1:13" s="80" customFormat="1" ht="13.5" outlineLevel="2">
      <c r="A441" s="39" t="s">
        <v>257</v>
      </c>
      <c r="B441" s="40" t="s">
        <v>36</v>
      </c>
      <c r="C441" s="41" t="s">
        <v>260</v>
      </c>
      <c r="D441" s="40" t="s">
        <v>261</v>
      </c>
      <c r="E441" s="24">
        <v>1000000</v>
      </c>
      <c r="F441" s="39">
        <v>44215</v>
      </c>
      <c r="G441" s="24">
        <v>1000000</v>
      </c>
      <c r="H441" s="23">
        <v>5.0000000000000001E-3</v>
      </c>
      <c r="I441" s="39">
        <v>44228</v>
      </c>
      <c r="J441" s="39">
        <v>44243</v>
      </c>
      <c r="K441" s="24">
        <f t="shared" si="28"/>
        <v>16</v>
      </c>
      <c r="L441" s="24">
        <f t="shared" si="29"/>
        <v>219</v>
      </c>
      <c r="M441" s="24">
        <v>972000</v>
      </c>
    </row>
    <row r="442" spans="1:13" s="80" customFormat="1" ht="13.5" outlineLevel="2">
      <c r="A442" s="39" t="s">
        <v>257</v>
      </c>
      <c r="B442" s="40" t="s">
        <v>36</v>
      </c>
      <c r="C442" s="41" t="s">
        <v>260</v>
      </c>
      <c r="D442" s="40"/>
      <c r="E442" s="24"/>
      <c r="F442" s="39"/>
      <c r="G442" s="24">
        <v>972000</v>
      </c>
      <c r="H442" s="23">
        <v>5.0000000000000001E-3</v>
      </c>
      <c r="I442" s="39">
        <v>44244</v>
      </c>
      <c r="J442" s="39">
        <v>44255</v>
      </c>
      <c r="K442" s="24">
        <f t="shared" si="28"/>
        <v>12</v>
      </c>
      <c r="L442" s="24">
        <f t="shared" si="29"/>
        <v>160</v>
      </c>
      <c r="M442" s="24"/>
    </row>
    <row r="443" spans="1:13" s="80" customFormat="1" ht="13.5" outlineLevel="2">
      <c r="A443" s="39" t="s">
        <v>257</v>
      </c>
      <c r="B443" s="40" t="s">
        <v>39</v>
      </c>
      <c r="C443" s="41" t="s">
        <v>258</v>
      </c>
      <c r="D443" s="40" t="s">
        <v>259</v>
      </c>
      <c r="E443" s="24">
        <v>70440000</v>
      </c>
      <c r="F443" s="39">
        <v>43951</v>
      </c>
      <c r="G443" s="24">
        <v>70440000</v>
      </c>
      <c r="H443" s="23">
        <v>5.0000000000000001E-3</v>
      </c>
      <c r="I443" s="39">
        <v>44228</v>
      </c>
      <c r="J443" s="39">
        <v>44255</v>
      </c>
      <c r="K443" s="24">
        <f t="shared" si="28"/>
        <v>28</v>
      </c>
      <c r="L443" s="24">
        <f t="shared" si="29"/>
        <v>27018</v>
      </c>
      <c r="M443" s="24">
        <v>70440000</v>
      </c>
    </row>
    <row r="444" spans="1:13" s="80" customFormat="1" ht="13.5" outlineLevel="2">
      <c r="A444" s="39" t="s">
        <v>257</v>
      </c>
      <c r="B444" s="40" t="s">
        <v>40</v>
      </c>
      <c r="C444" s="41" t="s">
        <v>262</v>
      </c>
      <c r="D444" s="40" t="s">
        <v>259</v>
      </c>
      <c r="E444" s="24">
        <v>54250000</v>
      </c>
      <c r="F444" s="39">
        <v>44228</v>
      </c>
      <c r="G444" s="24">
        <v>54250000</v>
      </c>
      <c r="H444" s="23">
        <v>5.0000000000000001E-3</v>
      </c>
      <c r="I444" s="39">
        <v>44228</v>
      </c>
      <c r="J444" s="39">
        <v>44255</v>
      </c>
      <c r="K444" s="24">
        <f t="shared" si="28"/>
        <v>28</v>
      </c>
      <c r="L444" s="24">
        <f t="shared" si="29"/>
        <v>20808</v>
      </c>
      <c r="M444" s="24">
        <v>54250000</v>
      </c>
    </row>
    <row r="445" spans="1:13" s="80" customFormat="1" ht="13.5" outlineLevel="2">
      <c r="A445" s="39" t="s">
        <v>257</v>
      </c>
      <c r="B445" s="40" t="s">
        <v>41</v>
      </c>
      <c r="C445" s="41" t="s">
        <v>304</v>
      </c>
      <c r="D445" s="40" t="s">
        <v>303</v>
      </c>
      <c r="E445" s="24">
        <v>40000000</v>
      </c>
      <c r="F445" s="39">
        <v>44229</v>
      </c>
      <c r="G445" s="24">
        <v>40000000</v>
      </c>
      <c r="H445" s="23">
        <v>5.0000000000000001E-3</v>
      </c>
      <c r="I445" s="39">
        <v>44229</v>
      </c>
      <c r="J445" s="39">
        <v>44255</v>
      </c>
      <c r="K445" s="24">
        <f t="shared" si="28"/>
        <v>27</v>
      </c>
      <c r="L445" s="24">
        <f t="shared" si="29"/>
        <v>14795</v>
      </c>
      <c r="M445" s="24">
        <v>40000000</v>
      </c>
    </row>
    <row r="446" spans="1:13" s="80" customFormat="1" ht="13.5" outlineLevel="2">
      <c r="A446" s="39" t="s">
        <v>257</v>
      </c>
      <c r="B446" s="40" t="s">
        <v>42</v>
      </c>
      <c r="C446" s="41" t="s">
        <v>304</v>
      </c>
      <c r="D446" s="40" t="s">
        <v>303</v>
      </c>
      <c r="E446" s="24">
        <v>38000000</v>
      </c>
      <c r="F446" s="39">
        <v>44245</v>
      </c>
      <c r="G446" s="24">
        <v>38000000</v>
      </c>
      <c r="H446" s="23">
        <v>5.0000000000000001E-3</v>
      </c>
      <c r="I446" s="39">
        <v>44245</v>
      </c>
      <c r="J446" s="39">
        <v>44255</v>
      </c>
      <c r="K446" s="24">
        <f t="shared" si="28"/>
        <v>11</v>
      </c>
      <c r="L446" s="24">
        <f t="shared" si="29"/>
        <v>5726</v>
      </c>
      <c r="M446" s="24">
        <v>38000000</v>
      </c>
    </row>
    <row r="447" spans="1:13" s="80" customFormat="1" ht="13.5" outlineLevel="2">
      <c r="A447" s="39" t="s">
        <v>257</v>
      </c>
      <c r="B447" s="40" t="s">
        <v>54</v>
      </c>
      <c r="C447" s="41" t="s">
        <v>248</v>
      </c>
      <c r="D447" s="40" t="s">
        <v>249</v>
      </c>
      <c r="E447" s="24">
        <v>182300000</v>
      </c>
      <c r="F447" s="39">
        <v>43959</v>
      </c>
      <c r="G447" s="24">
        <v>182300000</v>
      </c>
      <c r="H447" s="23">
        <v>5.0000000000000001E-3</v>
      </c>
      <c r="I447" s="39">
        <v>44228</v>
      </c>
      <c r="J447" s="39">
        <v>44255</v>
      </c>
      <c r="K447" s="24">
        <f t="shared" si="28"/>
        <v>28</v>
      </c>
      <c r="L447" s="24">
        <f t="shared" si="29"/>
        <v>69923</v>
      </c>
      <c r="M447" s="24">
        <v>182300000</v>
      </c>
    </row>
    <row r="448" spans="1:13" s="80" customFormat="1" ht="13.5" outlineLevel="2">
      <c r="A448" s="39" t="s">
        <v>257</v>
      </c>
      <c r="B448" s="40" t="s">
        <v>59</v>
      </c>
      <c r="C448" s="41" t="s">
        <v>260</v>
      </c>
      <c r="D448" s="40" t="s">
        <v>261</v>
      </c>
      <c r="E448" s="24">
        <v>610000</v>
      </c>
      <c r="F448" s="39">
        <v>44085</v>
      </c>
      <c r="G448" s="24">
        <v>550000</v>
      </c>
      <c r="H448" s="23">
        <v>5.0000000000000001E-3</v>
      </c>
      <c r="I448" s="39">
        <v>44228</v>
      </c>
      <c r="J448" s="39">
        <v>44243</v>
      </c>
      <c r="K448" s="24">
        <f t="shared" si="28"/>
        <v>16</v>
      </c>
      <c r="L448" s="24">
        <f t="shared" si="29"/>
        <v>121</v>
      </c>
      <c r="M448" s="24">
        <v>540000</v>
      </c>
    </row>
    <row r="449" spans="1:13" s="80" customFormat="1" ht="13.5" outlineLevel="2">
      <c r="A449" s="39" t="s">
        <v>257</v>
      </c>
      <c r="B449" s="40" t="s">
        <v>59</v>
      </c>
      <c r="C449" s="41" t="s">
        <v>260</v>
      </c>
      <c r="D449" s="40"/>
      <c r="E449" s="24"/>
      <c r="F449" s="39"/>
      <c r="G449" s="24">
        <v>540000</v>
      </c>
      <c r="H449" s="23">
        <v>5.0000000000000001E-3</v>
      </c>
      <c r="I449" s="39">
        <v>44244</v>
      </c>
      <c r="J449" s="39">
        <v>44255</v>
      </c>
      <c r="K449" s="24">
        <f t="shared" si="28"/>
        <v>12</v>
      </c>
      <c r="L449" s="24">
        <f t="shared" si="29"/>
        <v>89</v>
      </c>
      <c r="M449" s="24"/>
    </row>
    <row r="450" spans="1:13" s="80" customFormat="1" ht="13.5" outlineLevel="2">
      <c r="A450" s="39" t="s">
        <v>257</v>
      </c>
      <c r="B450" s="40" t="s">
        <v>62</v>
      </c>
      <c r="C450" s="41" t="s">
        <v>262</v>
      </c>
      <c r="D450" s="40" t="s">
        <v>259</v>
      </c>
      <c r="E450" s="24">
        <v>18080000</v>
      </c>
      <c r="F450" s="39">
        <v>44102</v>
      </c>
      <c r="G450" s="24">
        <v>18080000</v>
      </c>
      <c r="H450" s="23">
        <v>5.0000000000000001E-3</v>
      </c>
      <c r="I450" s="39">
        <v>44228</v>
      </c>
      <c r="J450" s="39">
        <v>44255</v>
      </c>
      <c r="K450" s="24">
        <f t="shared" si="28"/>
        <v>28</v>
      </c>
      <c r="L450" s="24">
        <f t="shared" si="29"/>
        <v>6935</v>
      </c>
      <c r="M450" s="24">
        <v>18080000</v>
      </c>
    </row>
    <row r="451" spans="1:13" s="80" customFormat="1" ht="13.5" outlineLevel="2">
      <c r="A451" s="39" t="s">
        <v>257</v>
      </c>
      <c r="B451" s="40" t="s">
        <v>63</v>
      </c>
      <c r="C451" s="41" t="s">
        <v>262</v>
      </c>
      <c r="D451" s="40" t="s">
        <v>259</v>
      </c>
      <c r="E451" s="24">
        <v>50630000</v>
      </c>
      <c r="F451" s="39">
        <v>44131</v>
      </c>
      <c r="G451" s="24">
        <v>50630000</v>
      </c>
      <c r="H451" s="23">
        <v>5.0000000000000001E-3</v>
      </c>
      <c r="I451" s="39">
        <v>44228</v>
      </c>
      <c r="J451" s="39">
        <v>44255</v>
      </c>
      <c r="K451" s="24">
        <f t="shared" si="28"/>
        <v>28</v>
      </c>
      <c r="L451" s="24">
        <f t="shared" si="29"/>
        <v>19420</v>
      </c>
      <c r="M451" s="24">
        <v>50630000</v>
      </c>
    </row>
    <row r="452" spans="1:13" s="80" customFormat="1" ht="13.5" outlineLevel="2">
      <c r="A452" s="39" t="s">
        <v>257</v>
      </c>
      <c r="B452" s="40" t="s">
        <v>64</v>
      </c>
      <c r="C452" s="41" t="s">
        <v>260</v>
      </c>
      <c r="D452" s="40" t="s">
        <v>261</v>
      </c>
      <c r="E452" s="24">
        <v>710000</v>
      </c>
      <c r="F452" s="39">
        <v>44110</v>
      </c>
      <c r="G452" s="24">
        <v>660000</v>
      </c>
      <c r="H452" s="23">
        <v>5.0000000000000001E-3</v>
      </c>
      <c r="I452" s="39">
        <v>44228</v>
      </c>
      <c r="J452" s="39">
        <v>44243</v>
      </c>
      <c r="K452" s="24">
        <f t="shared" si="28"/>
        <v>16</v>
      </c>
      <c r="L452" s="24">
        <f t="shared" si="29"/>
        <v>145</v>
      </c>
      <c r="M452" s="24">
        <v>648000</v>
      </c>
    </row>
    <row r="453" spans="1:13" s="80" customFormat="1" ht="13.5" outlineLevel="2">
      <c r="A453" s="39" t="s">
        <v>257</v>
      </c>
      <c r="B453" s="40" t="s">
        <v>64</v>
      </c>
      <c r="C453" s="41" t="s">
        <v>260</v>
      </c>
      <c r="D453" s="40"/>
      <c r="E453" s="24"/>
      <c r="F453" s="39"/>
      <c r="G453" s="24">
        <v>648000</v>
      </c>
      <c r="H453" s="23">
        <v>5.0000000000000001E-3</v>
      </c>
      <c r="I453" s="39">
        <v>44244</v>
      </c>
      <c r="J453" s="39">
        <v>44255</v>
      </c>
      <c r="K453" s="24">
        <f t="shared" si="28"/>
        <v>12</v>
      </c>
      <c r="L453" s="24">
        <f t="shared" si="29"/>
        <v>107</v>
      </c>
      <c r="M453" s="24"/>
    </row>
    <row r="454" spans="1:13" s="80" customFormat="1" ht="13.5" outlineLevel="2">
      <c r="A454" s="39" t="s">
        <v>257</v>
      </c>
      <c r="B454" s="40" t="s">
        <v>65</v>
      </c>
      <c r="C454" s="41" t="s">
        <v>260</v>
      </c>
      <c r="D454" s="40" t="s">
        <v>261</v>
      </c>
      <c r="E454" s="24">
        <v>830000</v>
      </c>
      <c r="F454" s="39">
        <v>44137</v>
      </c>
      <c r="G454" s="24">
        <v>770000</v>
      </c>
      <c r="H454" s="23">
        <v>5.0000000000000001E-3</v>
      </c>
      <c r="I454" s="39">
        <v>44228</v>
      </c>
      <c r="J454" s="39">
        <v>44243</v>
      </c>
      <c r="K454" s="24">
        <f t="shared" si="28"/>
        <v>16</v>
      </c>
      <c r="L454" s="24">
        <f t="shared" si="29"/>
        <v>169</v>
      </c>
      <c r="M454" s="24">
        <v>756000</v>
      </c>
    </row>
    <row r="455" spans="1:13" s="80" customFormat="1" ht="13.5" outlineLevel="2">
      <c r="A455" s="39" t="s">
        <v>257</v>
      </c>
      <c r="B455" s="40" t="s">
        <v>65</v>
      </c>
      <c r="C455" s="41" t="s">
        <v>260</v>
      </c>
      <c r="D455" s="40"/>
      <c r="E455" s="24"/>
      <c r="F455" s="39"/>
      <c r="G455" s="24">
        <v>756000</v>
      </c>
      <c r="H455" s="23">
        <v>5.0000000000000001E-3</v>
      </c>
      <c r="I455" s="39">
        <v>44244</v>
      </c>
      <c r="J455" s="39">
        <v>44255</v>
      </c>
      <c r="K455" s="24">
        <f t="shared" si="28"/>
        <v>12</v>
      </c>
      <c r="L455" s="24">
        <f t="shared" si="29"/>
        <v>124</v>
      </c>
      <c r="M455" s="24"/>
    </row>
    <row r="456" spans="1:13" s="80" customFormat="1" ht="13.5" outlineLevel="2">
      <c r="A456" s="39" t="s">
        <v>257</v>
      </c>
      <c r="B456" s="40" t="s">
        <v>68</v>
      </c>
      <c r="C456" s="41" t="s">
        <v>260</v>
      </c>
      <c r="D456" s="40" t="s">
        <v>261</v>
      </c>
      <c r="E456" s="24">
        <v>180000</v>
      </c>
      <c r="F456" s="39">
        <v>44141</v>
      </c>
      <c r="G456" s="24">
        <v>165000</v>
      </c>
      <c r="H456" s="23">
        <v>5.0000000000000001E-3</v>
      </c>
      <c r="I456" s="39">
        <v>44228</v>
      </c>
      <c r="J456" s="39">
        <v>44243</v>
      </c>
      <c r="K456" s="24">
        <f t="shared" si="28"/>
        <v>16</v>
      </c>
      <c r="L456" s="24">
        <f t="shared" si="29"/>
        <v>36</v>
      </c>
      <c r="M456" s="24">
        <v>162000</v>
      </c>
    </row>
    <row r="457" spans="1:13" s="80" customFormat="1" ht="13.5" outlineLevel="2">
      <c r="A457" s="39" t="s">
        <v>257</v>
      </c>
      <c r="B457" s="40" t="s">
        <v>68</v>
      </c>
      <c r="C457" s="41" t="s">
        <v>260</v>
      </c>
      <c r="D457" s="40"/>
      <c r="E457" s="24"/>
      <c r="F457" s="39"/>
      <c r="G457" s="24">
        <v>162000</v>
      </c>
      <c r="H457" s="23">
        <v>5.0000000000000001E-3</v>
      </c>
      <c r="I457" s="39">
        <v>44244</v>
      </c>
      <c r="J457" s="39">
        <v>44255</v>
      </c>
      <c r="K457" s="24">
        <f t="shared" si="28"/>
        <v>12</v>
      </c>
      <c r="L457" s="24">
        <f t="shared" si="29"/>
        <v>27</v>
      </c>
      <c r="M457" s="24"/>
    </row>
    <row r="458" spans="1:13" s="80" customFormat="1" ht="13.5" outlineLevel="1">
      <c r="A458" s="42" t="s">
        <v>263</v>
      </c>
      <c r="B458" s="43"/>
      <c r="C458" s="44"/>
      <c r="D458" s="43"/>
      <c r="E458" s="45">
        <f>SUBTOTAL(9,E426:E457)</f>
        <v>489450000</v>
      </c>
      <c r="F458" s="46"/>
      <c r="G458" s="45"/>
      <c r="H458" s="47"/>
      <c r="I458" s="46"/>
      <c r="J458" s="46"/>
      <c r="K458" s="45"/>
      <c r="L458" s="45">
        <f>SUBTOTAL(9,L426:L457)</f>
        <v>178053</v>
      </c>
      <c r="M458" s="45">
        <f>SUBTOTAL(9,M426:M457)</f>
        <v>488572000</v>
      </c>
    </row>
    <row r="459" spans="1:13" s="80" customFormat="1" ht="13.5" outlineLevel="2">
      <c r="A459" s="39" t="s">
        <v>264</v>
      </c>
      <c r="B459" s="40" t="s">
        <v>16</v>
      </c>
      <c r="C459" s="41" t="s">
        <v>27</v>
      </c>
      <c r="D459" s="40" t="s">
        <v>28</v>
      </c>
      <c r="E459" s="24">
        <v>26000000</v>
      </c>
      <c r="F459" s="39">
        <v>44140</v>
      </c>
      <c r="G459" s="24">
        <v>26000000</v>
      </c>
      <c r="H459" s="23">
        <v>5.0000000000000001E-3</v>
      </c>
      <c r="I459" s="39">
        <v>44228</v>
      </c>
      <c r="J459" s="39">
        <v>44255</v>
      </c>
      <c r="K459" s="24">
        <f>J459-I459+1</f>
        <v>28</v>
      </c>
      <c r="L459" s="24">
        <f>ROUND(G459*H459*K459/365,0)</f>
        <v>9973</v>
      </c>
      <c r="M459" s="24">
        <v>26000000</v>
      </c>
    </row>
    <row r="460" spans="1:13" s="80" customFormat="1" ht="13.5" outlineLevel="2">
      <c r="A460" s="39" t="s">
        <v>264</v>
      </c>
      <c r="B460" s="40" t="s">
        <v>39</v>
      </c>
      <c r="C460" s="41" t="s">
        <v>27</v>
      </c>
      <c r="D460" s="40" t="s">
        <v>28</v>
      </c>
      <c r="E460" s="24">
        <v>10250000</v>
      </c>
      <c r="F460" s="39">
        <v>44140</v>
      </c>
      <c r="G460" s="24">
        <v>10250000</v>
      </c>
      <c r="H460" s="23">
        <v>5.0000000000000001E-3</v>
      </c>
      <c r="I460" s="39">
        <v>44228</v>
      </c>
      <c r="J460" s="39">
        <v>44255</v>
      </c>
      <c r="K460" s="24">
        <f>J460-I460+1</f>
        <v>28</v>
      </c>
      <c r="L460" s="24">
        <f>ROUND(G460*H460*K460/365,0)</f>
        <v>3932</v>
      </c>
      <c r="M460" s="24">
        <v>10250000</v>
      </c>
    </row>
    <row r="461" spans="1:13" s="80" customFormat="1" ht="13.5" outlineLevel="2">
      <c r="A461" s="39" t="s">
        <v>264</v>
      </c>
      <c r="B461" s="40" t="s">
        <v>54</v>
      </c>
      <c r="C461" s="41" t="s">
        <v>27</v>
      </c>
      <c r="D461" s="40" t="s">
        <v>28</v>
      </c>
      <c r="E461" s="24">
        <v>3960000</v>
      </c>
      <c r="F461" s="39">
        <v>44148</v>
      </c>
      <c r="G461" s="24">
        <v>3960000</v>
      </c>
      <c r="H461" s="23">
        <v>5.0000000000000001E-3</v>
      </c>
      <c r="I461" s="39">
        <v>44228</v>
      </c>
      <c r="J461" s="39">
        <v>44255</v>
      </c>
      <c r="K461" s="24">
        <f>J461-I461+1</f>
        <v>28</v>
      </c>
      <c r="L461" s="24">
        <f>ROUND(G461*H461*K461/365,0)</f>
        <v>1519</v>
      </c>
      <c r="M461" s="24">
        <v>3960000</v>
      </c>
    </row>
    <row r="462" spans="1:13" s="80" customFormat="1" ht="13.5" outlineLevel="2">
      <c r="A462" s="39" t="s">
        <v>264</v>
      </c>
      <c r="B462" s="40" t="s">
        <v>59</v>
      </c>
      <c r="C462" s="41" t="s">
        <v>27</v>
      </c>
      <c r="D462" s="40" t="s">
        <v>28</v>
      </c>
      <c r="E462" s="24">
        <v>8000000</v>
      </c>
      <c r="F462" s="39">
        <v>44244</v>
      </c>
      <c r="G462" s="24">
        <v>8000000</v>
      </c>
      <c r="H462" s="23">
        <v>5.0000000000000001E-3</v>
      </c>
      <c r="I462" s="39">
        <v>44244</v>
      </c>
      <c r="J462" s="39">
        <v>44255</v>
      </c>
      <c r="K462" s="24">
        <f>J462-I462+1</f>
        <v>12</v>
      </c>
      <c r="L462" s="24">
        <f>ROUND(G462*H462*K462/365,0)</f>
        <v>1315</v>
      </c>
      <c r="M462" s="24">
        <v>8000000</v>
      </c>
    </row>
    <row r="463" spans="1:13" s="80" customFormat="1" ht="13.5" outlineLevel="1">
      <c r="A463" s="42" t="s">
        <v>265</v>
      </c>
      <c r="B463" s="43"/>
      <c r="C463" s="44"/>
      <c r="D463" s="43"/>
      <c r="E463" s="45">
        <f>SUBTOTAL(9,E459:E462)</f>
        <v>48210000</v>
      </c>
      <c r="F463" s="46"/>
      <c r="G463" s="45"/>
      <c r="H463" s="47"/>
      <c r="I463" s="46"/>
      <c r="J463" s="46"/>
      <c r="K463" s="45"/>
      <c r="L463" s="45">
        <f>SUBTOTAL(9,L459:L462)</f>
        <v>16739</v>
      </c>
      <c r="M463" s="45">
        <f>SUBTOTAL(9,M459:M462)</f>
        <v>48210000</v>
      </c>
    </row>
    <row r="464" spans="1:13" s="80" customFormat="1" ht="13.5" outlineLevel="2">
      <c r="A464" s="39" t="s">
        <v>266</v>
      </c>
      <c r="B464" s="40" t="s">
        <v>16</v>
      </c>
      <c r="C464" s="41" t="s">
        <v>128</v>
      </c>
      <c r="D464" s="40" t="s">
        <v>129</v>
      </c>
      <c r="E464" s="24">
        <v>50000000</v>
      </c>
      <c r="F464" s="39">
        <v>44099</v>
      </c>
      <c r="G464" s="24">
        <v>50000000</v>
      </c>
      <c r="H464" s="23">
        <v>5.0000000000000001E-3</v>
      </c>
      <c r="I464" s="39">
        <v>44228</v>
      </c>
      <c r="J464" s="39">
        <v>44255</v>
      </c>
      <c r="K464" s="24">
        <f>J464-I464+1</f>
        <v>28</v>
      </c>
      <c r="L464" s="24">
        <f>ROUND(G464*H464*K464/365,0)</f>
        <v>19178</v>
      </c>
      <c r="M464" s="24">
        <v>50000000</v>
      </c>
    </row>
    <row r="465" spans="1:13" s="80" customFormat="1" ht="13.5" outlineLevel="2">
      <c r="A465" s="39" t="s">
        <v>266</v>
      </c>
      <c r="B465" s="40" t="s">
        <v>39</v>
      </c>
      <c r="C465" s="41" t="s">
        <v>128</v>
      </c>
      <c r="D465" s="40" t="s">
        <v>129</v>
      </c>
      <c r="E465" s="24">
        <v>30000000</v>
      </c>
      <c r="F465" s="39">
        <v>44232</v>
      </c>
      <c r="G465" s="24">
        <v>30000000</v>
      </c>
      <c r="H465" s="23">
        <v>5.0000000000000001E-3</v>
      </c>
      <c r="I465" s="39">
        <v>44232</v>
      </c>
      <c r="J465" s="39">
        <v>44255</v>
      </c>
      <c r="K465" s="24">
        <f>J465-I465+1</f>
        <v>24</v>
      </c>
      <c r="L465" s="24">
        <f>ROUND(G465*H465*K465/365,0)</f>
        <v>9863</v>
      </c>
      <c r="M465" s="24">
        <v>30000000</v>
      </c>
    </row>
    <row r="466" spans="1:13" s="80" customFormat="1" ht="13.5" outlineLevel="1">
      <c r="A466" s="42" t="s">
        <v>267</v>
      </c>
      <c r="B466" s="43"/>
      <c r="C466" s="44"/>
      <c r="D466" s="43"/>
      <c r="E466" s="45">
        <f>SUBTOTAL(9,E464:E465)</f>
        <v>80000000</v>
      </c>
      <c r="F466" s="46"/>
      <c r="G466" s="45"/>
      <c r="H466" s="47"/>
      <c r="I466" s="46"/>
      <c r="J466" s="46"/>
      <c r="K466" s="45"/>
      <c r="L466" s="45">
        <f>SUBTOTAL(9,L464:L465)</f>
        <v>29041</v>
      </c>
      <c r="M466" s="45">
        <f>SUBTOTAL(9,M464:M465)</f>
        <v>80000000</v>
      </c>
    </row>
    <row r="467" spans="1:13" s="80" customFormat="1" ht="13.5" outlineLevel="2">
      <c r="A467" s="39" t="s">
        <v>268</v>
      </c>
      <c r="B467" s="40" t="s">
        <v>16</v>
      </c>
      <c r="C467" s="41" t="s">
        <v>20</v>
      </c>
      <c r="D467" s="40" t="s">
        <v>21</v>
      </c>
      <c r="E467" s="24">
        <v>43200000</v>
      </c>
      <c r="F467" s="39">
        <v>43937</v>
      </c>
      <c r="G467" s="24">
        <v>43200000</v>
      </c>
      <c r="H467" s="23">
        <v>3.0000000000000001E-3</v>
      </c>
      <c r="I467" s="39">
        <v>44228</v>
      </c>
      <c r="J467" s="39">
        <v>44255</v>
      </c>
      <c r="K467" s="24">
        <f t="shared" ref="K467:K472" si="30">J467-I467+1</f>
        <v>28</v>
      </c>
      <c r="L467" s="24">
        <f t="shared" ref="L467:L472" si="31">ROUND(G467*H467*K467/365,0)</f>
        <v>9942</v>
      </c>
      <c r="M467" s="24">
        <v>43200000</v>
      </c>
    </row>
    <row r="468" spans="1:13" s="80" customFormat="1" ht="13.5" outlineLevel="2">
      <c r="A468" s="39" t="s">
        <v>268</v>
      </c>
      <c r="B468" s="40" t="s">
        <v>39</v>
      </c>
      <c r="C468" s="41" t="s">
        <v>20</v>
      </c>
      <c r="D468" s="40" t="s">
        <v>21</v>
      </c>
      <c r="E468" s="24">
        <v>330000000</v>
      </c>
      <c r="F468" s="39">
        <v>44013</v>
      </c>
      <c r="G468" s="24">
        <v>330000000</v>
      </c>
      <c r="H468" s="23">
        <v>3.0000000000000001E-3</v>
      </c>
      <c r="I468" s="39">
        <v>44228</v>
      </c>
      <c r="J468" s="39">
        <v>44255</v>
      </c>
      <c r="K468" s="24">
        <f t="shared" si="30"/>
        <v>28</v>
      </c>
      <c r="L468" s="24">
        <f t="shared" si="31"/>
        <v>75945</v>
      </c>
      <c r="M468" s="24">
        <v>330000000</v>
      </c>
    </row>
    <row r="469" spans="1:13" s="80" customFormat="1" ht="13.5" outlineLevel="2">
      <c r="A469" s="39" t="s">
        <v>268</v>
      </c>
      <c r="B469" s="40" t="s">
        <v>54</v>
      </c>
      <c r="C469" s="41" t="s">
        <v>20</v>
      </c>
      <c r="D469" s="40" t="s">
        <v>21</v>
      </c>
      <c r="E469" s="24">
        <v>120000000</v>
      </c>
      <c r="F469" s="39">
        <v>44049</v>
      </c>
      <c r="G469" s="24">
        <v>120000000</v>
      </c>
      <c r="H469" s="23">
        <v>3.0000000000000001E-3</v>
      </c>
      <c r="I469" s="39">
        <v>44228</v>
      </c>
      <c r="J469" s="39">
        <v>44255</v>
      </c>
      <c r="K469" s="24">
        <f t="shared" si="30"/>
        <v>28</v>
      </c>
      <c r="L469" s="24">
        <f t="shared" si="31"/>
        <v>27616</v>
      </c>
      <c r="M469" s="24">
        <v>120000000</v>
      </c>
    </row>
    <row r="470" spans="1:13" s="80" customFormat="1" ht="13.5" outlineLevel="2">
      <c r="A470" s="39" t="s">
        <v>268</v>
      </c>
      <c r="B470" s="40" t="s">
        <v>59</v>
      </c>
      <c r="C470" s="41" t="s">
        <v>20</v>
      </c>
      <c r="D470" s="40" t="s">
        <v>21</v>
      </c>
      <c r="E470" s="24">
        <v>39840000</v>
      </c>
      <c r="F470" s="39">
        <v>44111</v>
      </c>
      <c r="G470" s="24">
        <v>39840000</v>
      </c>
      <c r="H470" s="23">
        <v>3.0000000000000001E-3</v>
      </c>
      <c r="I470" s="39">
        <v>44228</v>
      </c>
      <c r="J470" s="39">
        <v>44255</v>
      </c>
      <c r="K470" s="24">
        <f t="shared" si="30"/>
        <v>28</v>
      </c>
      <c r="L470" s="24">
        <f t="shared" si="31"/>
        <v>9169</v>
      </c>
      <c r="M470" s="24">
        <v>39840000</v>
      </c>
    </row>
    <row r="471" spans="1:13" s="80" customFormat="1" ht="13.5" outlineLevel="2">
      <c r="A471" s="39" t="s">
        <v>268</v>
      </c>
      <c r="B471" s="40" t="s">
        <v>62</v>
      </c>
      <c r="C471" s="41" t="s">
        <v>20</v>
      </c>
      <c r="D471" s="40" t="s">
        <v>21</v>
      </c>
      <c r="E471" s="24">
        <v>252000000</v>
      </c>
      <c r="F471" s="39">
        <v>44231</v>
      </c>
      <c r="G471" s="24">
        <v>252000000</v>
      </c>
      <c r="H471" s="23">
        <v>3.0000000000000001E-3</v>
      </c>
      <c r="I471" s="39">
        <v>44231</v>
      </c>
      <c r="J471" s="39">
        <v>44255</v>
      </c>
      <c r="K471" s="24">
        <f t="shared" si="30"/>
        <v>25</v>
      </c>
      <c r="L471" s="24">
        <f t="shared" si="31"/>
        <v>51781</v>
      </c>
      <c r="M471" s="24">
        <v>252000000</v>
      </c>
    </row>
    <row r="472" spans="1:13" s="80" customFormat="1" ht="13.5" outlineLevel="2">
      <c r="A472" s="39" t="s">
        <v>268</v>
      </c>
      <c r="B472" s="40" t="s">
        <v>63</v>
      </c>
      <c r="C472" s="41" t="s">
        <v>280</v>
      </c>
      <c r="D472" s="40" t="s">
        <v>281</v>
      </c>
      <c r="E472" s="24">
        <v>250000000</v>
      </c>
      <c r="F472" s="39">
        <v>44228</v>
      </c>
      <c r="G472" s="24">
        <v>250000000</v>
      </c>
      <c r="H472" s="23">
        <v>3.0000000000000001E-3</v>
      </c>
      <c r="I472" s="39">
        <v>44228</v>
      </c>
      <c r="J472" s="39">
        <v>44255</v>
      </c>
      <c r="K472" s="24">
        <f t="shared" si="30"/>
        <v>28</v>
      </c>
      <c r="L472" s="24">
        <f t="shared" si="31"/>
        <v>57534</v>
      </c>
      <c r="M472" s="24">
        <v>250000000</v>
      </c>
    </row>
    <row r="473" spans="1:13" s="80" customFormat="1" ht="13.5" outlineLevel="1">
      <c r="A473" s="42" t="s">
        <v>269</v>
      </c>
      <c r="B473" s="43"/>
      <c r="C473" s="44"/>
      <c r="D473" s="43"/>
      <c r="E473" s="45">
        <f>SUBTOTAL(9,E467:E472)</f>
        <v>1035040000</v>
      </c>
      <c r="F473" s="46"/>
      <c r="G473" s="45"/>
      <c r="H473" s="47"/>
      <c r="I473" s="46"/>
      <c r="J473" s="46"/>
      <c r="K473" s="45"/>
      <c r="L473" s="45">
        <f>SUBTOTAL(9,L467:L472)</f>
        <v>231987</v>
      </c>
      <c r="M473" s="45">
        <f>SUBTOTAL(9,M467:M472)</f>
        <v>1035040000</v>
      </c>
    </row>
    <row r="474" spans="1:13" s="80" customFormat="1" ht="13.5" outlineLevel="2">
      <c r="A474" s="39" t="s">
        <v>270</v>
      </c>
      <c r="B474" s="40" t="s">
        <v>16</v>
      </c>
      <c r="C474" s="41" t="s">
        <v>271</v>
      </c>
      <c r="D474" s="40" t="s">
        <v>272</v>
      </c>
      <c r="E474" s="24">
        <v>126000000</v>
      </c>
      <c r="F474" s="39">
        <v>43804</v>
      </c>
      <c r="G474" s="24">
        <v>126000000</v>
      </c>
      <c r="H474" s="23">
        <v>5.0000000000000001E-3</v>
      </c>
      <c r="I474" s="39">
        <v>44228</v>
      </c>
      <c r="J474" s="39">
        <v>44255</v>
      </c>
      <c r="K474" s="24">
        <f t="shared" ref="K474:K505" si="32">J474-I474+1</f>
        <v>28</v>
      </c>
      <c r="L474" s="24">
        <f t="shared" ref="L474:L505" si="33">ROUND(G474*H474*K474/365,0)</f>
        <v>48329</v>
      </c>
      <c r="M474" s="24">
        <v>126000000</v>
      </c>
    </row>
    <row r="475" spans="1:13" s="80" customFormat="1" ht="13.5" outlineLevel="2">
      <c r="A475" s="39" t="s">
        <v>270</v>
      </c>
      <c r="B475" s="40" t="s">
        <v>19</v>
      </c>
      <c r="C475" s="41" t="s">
        <v>273</v>
      </c>
      <c r="D475" s="40" t="s">
        <v>272</v>
      </c>
      <c r="E475" s="24">
        <v>46600000</v>
      </c>
      <c r="F475" s="39">
        <v>43866</v>
      </c>
      <c r="G475" s="24">
        <v>46600000</v>
      </c>
      <c r="H475" s="23">
        <v>5.0000000000000001E-3</v>
      </c>
      <c r="I475" s="39">
        <v>44228</v>
      </c>
      <c r="J475" s="39">
        <v>44255</v>
      </c>
      <c r="K475" s="24">
        <f t="shared" si="32"/>
        <v>28</v>
      </c>
      <c r="L475" s="24">
        <f t="shared" si="33"/>
        <v>17874</v>
      </c>
      <c r="M475" s="24">
        <v>46600000</v>
      </c>
    </row>
    <row r="476" spans="1:13" s="80" customFormat="1" ht="13.5" outlineLevel="2">
      <c r="A476" s="39" t="s">
        <v>270</v>
      </c>
      <c r="B476" s="40" t="s">
        <v>22</v>
      </c>
      <c r="C476" s="41" t="s">
        <v>273</v>
      </c>
      <c r="D476" s="40" t="s">
        <v>272</v>
      </c>
      <c r="E476" s="24">
        <v>1300000</v>
      </c>
      <c r="F476" s="39">
        <v>43866</v>
      </c>
      <c r="G476" s="24">
        <v>1300000</v>
      </c>
      <c r="H476" s="23">
        <v>5.0000000000000001E-3</v>
      </c>
      <c r="I476" s="39">
        <v>44228</v>
      </c>
      <c r="J476" s="39">
        <v>44255</v>
      </c>
      <c r="K476" s="24">
        <f t="shared" si="32"/>
        <v>28</v>
      </c>
      <c r="L476" s="24">
        <f t="shared" si="33"/>
        <v>499</v>
      </c>
      <c r="M476" s="24">
        <v>1300000</v>
      </c>
    </row>
    <row r="477" spans="1:13" s="80" customFormat="1" ht="13.5" outlineLevel="2">
      <c r="A477" s="39" t="s">
        <v>270</v>
      </c>
      <c r="B477" s="40" t="s">
        <v>25</v>
      </c>
      <c r="C477" s="41" t="s">
        <v>274</v>
      </c>
      <c r="D477" s="40" t="s">
        <v>275</v>
      </c>
      <c r="E477" s="24">
        <v>9087600</v>
      </c>
      <c r="F477" s="39">
        <v>43901</v>
      </c>
      <c r="G477" s="24">
        <v>9087600</v>
      </c>
      <c r="H477" s="23">
        <v>5.0000000000000001E-3</v>
      </c>
      <c r="I477" s="39">
        <v>44228</v>
      </c>
      <c r="J477" s="39">
        <v>44255</v>
      </c>
      <c r="K477" s="24">
        <f t="shared" si="32"/>
        <v>28</v>
      </c>
      <c r="L477" s="24">
        <f t="shared" si="33"/>
        <v>3486</v>
      </c>
      <c r="M477" s="24">
        <v>9087600</v>
      </c>
    </row>
    <row r="478" spans="1:13" s="80" customFormat="1" ht="13.5" outlineLevel="2">
      <c r="A478" s="39" t="s">
        <v>270</v>
      </c>
      <c r="B478" s="40" t="s">
        <v>26</v>
      </c>
      <c r="C478" s="41" t="s">
        <v>274</v>
      </c>
      <c r="D478" s="40" t="s">
        <v>275</v>
      </c>
      <c r="E478" s="24">
        <v>7270080</v>
      </c>
      <c r="F478" s="39">
        <v>43901</v>
      </c>
      <c r="G478" s="24">
        <v>7270080</v>
      </c>
      <c r="H478" s="23">
        <v>5.0000000000000001E-3</v>
      </c>
      <c r="I478" s="39">
        <v>44228</v>
      </c>
      <c r="J478" s="39">
        <v>44255</v>
      </c>
      <c r="K478" s="24">
        <f t="shared" si="32"/>
        <v>28</v>
      </c>
      <c r="L478" s="24">
        <f t="shared" si="33"/>
        <v>2789</v>
      </c>
      <c r="M478" s="24">
        <v>7270080</v>
      </c>
    </row>
    <row r="479" spans="1:13" s="80" customFormat="1" ht="13.5" outlineLevel="2">
      <c r="A479" s="39" t="s">
        <v>270</v>
      </c>
      <c r="B479" s="40" t="s">
        <v>29</v>
      </c>
      <c r="C479" s="41" t="s">
        <v>273</v>
      </c>
      <c r="D479" s="40" t="s">
        <v>272</v>
      </c>
      <c r="E479" s="24">
        <v>99400000</v>
      </c>
      <c r="F479" s="39">
        <v>43917</v>
      </c>
      <c r="G479" s="24">
        <v>99400000</v>
      </c>
      <c r="H479" s="23">
        <v>5.0000000000000001E-3</v>
      </c>
      <c r="I479" s="39">
        <v>44228</v>
      </c>
      <c r="J479" s="39">
        <v>44255</v>
      </c>
      <c r="K479" s="24">
        <f t="shared" si="32"/>
        <v>28</v>
      </c>
      <c r="L479" s="24">
        <f t="shared" si="33"/>
        <v>38126</v>
      </c>
      <c r="M479" s="24">
        <v>99400000</v>
      </c>
    </row>
    <row r="480" spans="1:13" s="80" customFormat="1" ht="13.5" outlineLevel="2">
      <c r="A480" s="39" t="s">
        <v>270</v>
      </c>
      <c r="B480" s="40" t="s">
        <v>32</v>
      </c>
      <c r="C480" s="41" t="s">
        <v>274</v>
      </c>
      <c r="D480" s="40" t="s">
        <v>275</v>
      </c>
      <c r="E480" s="24">
        <v>9087600</v>
      </c>
      <c r="F480" s="39">
        <v>43929</v>
      </c>
      <c r="G480" s="24">
        <v>9087600</v>
      </c>
      <c r="H480" s="23">
        <v>5.0000000000000001E-3</v>
      </c>
      <c r="I480" s="39">
        <v>44228</v>
      </c>
      <c r="J480" s="39">
        <v>44255</v>
      </c>
      <c r="K480" s="24">
        <f t="shared" si="32"/>
        <v>28</v>
      </c>
      <c r="L480" s="24">
        <f t="shared" si="33"/>
        <v>3486</v>
      </c>
      <c r="M480" s="24">
        <v>9087600</v>
      </c>
    </row>
    <row r="481" spans="1:13" s="80" customFormat="1" ht="13.5" outlineLevel="2">
      <c r="A481" s="39" t="s">
        <v>270</v>
      </c>
      <c r="B481" s="40" t="s">
        <v>33</v>
      </c>
      <c r="C481" s="41" t="s">
        <v>274</v>
      </c>
      <c r="D481" s="40" t="s">
        <v>275</v>
      </c>
      <c r="E481" s="24">
        <v>13007640</v>
      </c>
      <c r="F481" s="39">
        <v>43929</v>
      </c>
      <c r="G481" s="24">
        <v>13007640</v>
      </c>
      <c r="H481" s="23">
        <v>5.0000000000000001E-3</v>
      </c>
      <c r="I481" s="39">
        <v>44228</v>
      </c>
      <c r="J481" s="39">
        <v>44255</v>
      </c>
      <c r="K481" s="24">
        <f t="shared" si="32"/>
        <v>28</v>
      </c>
      <c r="L481" s="24">
        <f t="shared" si="33"/>
        <v>4989</v>
      </c>
      <c r="M481" s="24">
        <v>13007640</v>
      </c>
    </row>
    <row r="482" spans="1:13" s="80" customFormat="1" ht="13.5" outlineLevel="2">
      <c r="A482" s="39" t="s">
        <v>270</v>
      </c>
      <c r="B482" s="40" t="s">
        <v>34</v>
      </c>
      <c r="C482" s="41" t="s">
        <v>276</v>
      </c>
      <c r="D482" s="40" t="s">
        <v>277</v>
      </c>
      <c r="E482" s="24">
        <v>61668037</v>
      </c>
      <c r="F482" s="39">
        <v>43949</v>
      </c>
      <c r="G482" s="24">
        <v>61668037</v>
      </c>
      <c r="H482" s="23">
        <v>5.0000000000000001E-3</v>
      </c>
      <c r="I482" s="39">
        <v>44228</v>
      </c>
      <c r="J482" s="39">
        <v>44255</v>
      </c>
      <c r="K482" s="24">
        <f t="shared" si="32"/>
        <v>28</v>
      </c>
      <c r="L482" s="24">
        <f t="shared" si="33"/>
        <v>23653</v>
      </c>
      <c r="M482" s="24">
        <v>61668037</v>
      </c>
    </row>
    <row r="483" spans="1:13" s="80" customFormat="1" ht="13.5" outlineLevel="2">
      <c r="A483" s="39" t="s">
        <v>270</v>
      </c>
      <c r="B483" s="40" t="s">
        <v>35</v>
      </c>
      <c r="C483" s="41" t="s">
        <v>274</v>
      </c>
      <c r="D483" s="40" t="s">
        <v>275</v>
      </c>
      <c r="E483" s="24">
        <v>13007640</v>
      </c>
      <c r="F483" s="39">
        <v>43964</v>
      </c>
      <c r="G483" s="24">
        <v>13007640</v>
      </c>
      <c r="H483" s="23">
        <v>5.0000000000000001E-3</v>
      </c>
      <c r="I483" s="39">
        <v>44228</v>
      </c>
      <c r="J483" s="39">
        <v>44255</v>
      </c>
      <c r="K483" s="24">
        <f t="shared" si="32"/>
        <v>28</v>
      </c>
      <c r="L483" s="24">
        <f t="shared" si="33"/>
        <v>4989</v>
      </c>
      <c r="M483" s="24">
        <v>13007640</v>
      </c>
    </row>
    <row r="484" spans="1:13" s="80" customFormat="1" ht="13.5" outlineLevel="2">
      <c r="A484" s="39" t="s">
        <v>270</v>
      </c>
      <c r="B484" s="40" t="s">
        <v>36</v>
      </c>
      <c r="C484" s="41" t="s">
        <v>274</v>
      </c>
      <c r="D484" s="40" t="s">
        <v>275</v>
      </c>
      <c r="E484" s="24">
        <v>6361320</v>
      </c>
      <c r="F484" s="39">
        <v>43964</v>
      </c>
      <c r="G484" s="24">
        <v>6361320</v>
      </c>
      <c r="H484" s="23">
        <v>5.0000000000000001E-3</v>
      </c>
      <c r="I484" s="39">
        <v>44228</v>
      </c>
      <c r="J484" s="39">
        <v>44255</v>
      </c>
      <c r="K484" s="24">
        <f t="shared" si="32"/>
        <v>28</v>
      </c>
      <c r="L484" s="24">
        <f t="shared" si="33"/>
        <v>2440</v>
      </c>
      <c r="M484" s="24">
        <v>6361320</v>
      </c>
    </row>
    <row r="485" spans="1:13" s="80" customFormat="1" ht="13.5" outlineLevel="2">
      <c r="A485" s="39" t="s">
        <v>270</v>
      </c>
      <c r="B485" s="40" t="s">
        <v>39</v>
      </c>
      <c r="C485" s="41" t="s">
        <v>274</v>
      </c>
      <c r="D485" s="40" t="s">
        <v>275</v>
      </c>
      <c r="E485" s="24">
        <v>5452560</v>
      </c>
      <c r="F485" s="39">
        <v>43810</v>
      </c>
      <c r="G485" s="24">
        <v>5452560</v>
      </c>
      <c r="H485" s="23">
        <v>5.0000000000000001E-3</v>
      </c>
      <c r="I485" s="39">
        <v>44228</v>
      </c>
      <c r="J485" s="39">
        <v>44255</v>
      </c>
      <c r="K485" s="24">
        <f t="shared" si="32"/>
        <v>28</v>
      </c>
      <c r="L485" s="24">
        <f t="shared" si="33"/>
        <v>2091</v>
      </c>
      <c r="M485" s="24">
        <v>5452560</v>
      </c>
    </row>
    <row r="486" spans="1:13" s="80" customFormat="1" ht="13.5" outlineLevel="2">
      <c r="A486" s="39" t="s">
        <v>270</v>
      </c>
      <c r="B486" s="40" t="s">
        <v>40</v>
      </c>
      <c r="C486" s="41" t="s">
        <v>273</v>
      </c>
      <c r="D486" s="40" t="s">
        <v>272</v>
      </c>
      <c r="E486" s="24">
        <v>69800000</v>
      </c>
      <c r="F486" s="39">
        <v>43956</v>
      </c>
      <c r="G486" s="24">
        <v>69800000</v>
      </c>
      <c r="H486" s="23">
        <v>5.0000000000000001E-3</v>
      </c>
      <c r="I486" s="39">
        <v>44228</v>
      </c>
      <c r="J486" s="39">
        <v>44255</v>
      </c>
      <c r="K486" s="24">
        <f t="shared" si="32"/>
        <v>28</v>
      </c>
      <c r="L486" s="24">
        <f t="shared" si="33"/>
        <v>26773</v>
      </c>
      <c r="M486" s="24">
        <v>69800000</v>
      </c>
    </row>
    <row r="487" spans="1:13" s="80" customFormat="1" ht="13.5" outlineLevel="2">
      <c r="A487" s="39" t="s">
        <v>270</v>
      </c>
      <c r="B487" s="40" t="s">
        <v>41</v>
      </c>
      <c r="C487" s="41" t="s">
        <v>273</v>
      </c>
      <c r="D487" s="40" t="s">
        <v>272</v>
      </c>
      <c r="E487" s="24">
        <v>1500000</v>
      </c>
      <c r="F487" s="39">
        <v>43956</v>
      </c>
      <c r="G487" s="24">
        <v>1500000</v>
      </c>
      <c r="H487" s="23">
        <v>5.0000000000000001E-3</v>
      </c>
      <c r="I487" s="39">
        <v>44228</v>
      </c>
      <c r="J487" s="39">
        <v>44255</v>
      </c>
      <c r="K487" s="24">
        <f t="shared" si="32"/>
        <v>28</v>
      </c>
      <c r="L487" s="24">
        <f t="shared" si="33"/>
        <v>575</v>
      </c>
      <c r="M487" s="24">
        <v>1500000</v>
      </c>
    </row>
    <row r="488" spans="1:13" s="80" customFormat="1" ht="13.5" outlineLevel="2">
      <c r="A488" s="39" t="s">
        <v>270</v>
      </c>
      <c r="B488" s="40" t="s">
        <v>42</v>
      </c>
      <c r="C488" s="41" t="s">
        <v>30</v>
      </c>
      <c r="D488" s="40" t="s">
        <v>31</v>
      </c>
      <c r="E488" s="24">
        <v>50000000</v>
      </c>
      <c r="F488" s="39">
        <v>43976</v>
      </c>
      <c r="G488" s="24">
        <v>50000000</v>
      </c>
      <c r="H488" s="23">
        <v>5.0000000000000001E-3</v>
      </c>
      <c r="I488" s="39">
        <v>44228</v>
      </c>
      <c r="J488" s="39">
        <v>44255</v>
      </c>
      <c r="K488" s="24">
        <f t="shared" si="32"/>
        <v>28</v>
      </c>
      <c r="L488" s="24">
        <f t="shared" si="33"/>
        <v>19178</v>
      </c>
      <c r="M488" s="24">
        <v>50000000</v>
      </c>
    </row>
    <row r="489" spans="1:13" s="80" customFormat="1" ht="13.5" outlineLevel="2">
      <c r="A489" s="39" t="s">
        <v>270</v>
      </c>
      <c r="B489" s="40" t="s">
        <v>43</v>
      </c>
      <c r="C489" s="41" t="s">
        <v>274</v>
      </c>
      <c r="D489" s="40" t="s">
        <v>275</v>
      </c>
      <c r="E489" s="24">
        <v>6657720</v>
      </c>
      <c r="F489" s="39">
        <v>43992</v>
      </c>
      <c r="G489" s="24">
        <v>6657720</v>
      </c>
      <c r="H489" s="23">
        <v>5.0000000000000001E-3</v>
      </c>
      <c r="I489" s="39">
        <v>44228</v>
      </c>
      <c r="J489" s="39">
        <v>44255</v>
      </c>
      <c r="K489" s="24">
        <f t="shared" si="32"/>
        <v>28</v>
      </c>
      <c r="L489" s="24">
        <f t="shared" si="33"/>
        <v>2554</v>
      </c>
      <c r="M489" s="24">
        <v>6657720</v>
      </c>
    </row>
    <row r="490" spans="1:13" s="80" customFormat="1" ht="13.5" outlineLevel="2">
      <c r="A490" s="39" t="s">
        <v>270</v>
      </c>
      <c r="B490" s="40" t="s">
        <v>44</v>
      </c>
      <c r="C490" s="41" t="s">
        <v>274</v>
      </c>
      <c r="D490" s="40" t="s">
        <v>275</v>
      </c>
      <c r="E490" s="24">
        <v>6361320</v>
      </c>
      <c r="F490" s="39">
        <v>43992</v>
      </c>
      <c r="G490" s="24">
        <v>6361320</v>
      </c>
      <c r="H490" s="23">
        <v>5.0000000000000001E-3</v>
      </c>
      <c r="I490" s="39">
        <v>44228</v>
      </c>
      <c r="J490" s="39">
        <v>44255</v>
      </c>
      <c r="K490" s="24">
        <f t="shared" si="32"/>
        <v>28</v>
      </c>
      <c r="L490" s="24">
        <f t="shared" si="33"/>
        <v>2440</v>
      </c>
      <c r="M490" s="24">
        <v>6361320</v>
      </c>
    </row>
    <row r="491" spans="1:13" s="80" customFormat="1" ht="13.5" outlineLevel="2">
      <c r="A491" s="39" t="s">
        <v>270</v>
      </c>
      <c r="B491" s="40" t="s">
        <v>47</v>
      </c>
      <c r="C491" s="41" t="s">
        <v>273</v>
      </c>
      <c r="D491" s="40" t="s">
        <v>272</v>
      </c>
      <c r="E491" s="24">
        <v>41200000</v>
      </c>
      <c r="F491" s="39">
        <v>43987</v>
      </c>
      <c r="G491" s="24">
        <v>41200000</v>
      </c>
      <c r="H491" s="23">
        <v>5.0000000000000001E-3</v>
      </c>
      <c r="I491" s="39">
        <v>44228</v>
      </c>
      <c r="J491" s="39">
        <v>44255</v>
      </c>
      <c r="K491" s="24">
        <f t="shared" si="32"/>
        <v>28</v>
      </c>
      <c r="L491" s="24">
        <f t="shared" si="33"/>
        <v>15803</v>
      </c>
      <c r="M491" s="24">
        <v>41200000</v>
      </c>
    </row>
    <row r="492" spans="1:13" s="80" customFormat="1" ht="13.5" outlineLevel="2">
      <c r="A492" s="39" t="s">
        <v>270</v>
      </c>
      <c r="B492" s="40" t="s">
        <v>50</v>
      </c>
      <c r="C492" s="41" t="s">
        <v>274</v>
      </c>
      <c r="D492" s="40" t="s">
        <v>275</v>
      </c>
      <c r="E492" s="24">
        <v>6657720</v>
      </c>
      <c r="F492" s="39">
        <v>44020</v>
      </c>
      <c r="G492" s="24">
        <v>6657720</v>
      </c>
      <c r="H492" s="23">
        <v>5.0000000000000001E-3</v>
      </c>
      <c r="I492" s="39">
        <v>44228</v>
      </c>
      <c r="J492" s="39">
        <v>44255</v>
      </c>
      <c r="K492" s="24">
        <f t="shared" si="32"/>
        <v>28</v>
      </c>
      <c r="L492" s="24">
        <f t="shared" si="33"/>
        <v>2554</v>
      </c>
      <c r="M492" s="24">
        <v>6657720</v>
      </c>
    </row>
    <row r="493" spans="1:13" s="80" customFormat="1" ht="13.5" outlineLevel="2">
      <c r="A493" s="39" t="s">
        <v>270</v>
      </c>
      <c r="B493" s="40" t="s">
        <v>51</v>
      </c>
      <c r="C493" s="41" t="s">
        <v>274</v>
      </c>
      <c r="D493" s="40" t="s">
        <v>275</v>
      </c>
      <c r="E493" s="24">
        <v>6657720</v>
      </c>
      <c r="F493" s="39">
        <v>44020</v>
      </c>
      <c r="G493" s="24">
        <v>6657720</v>
      </c>
      <c r="H493" s="23">
        <v>5.0000000000000001E-3</v>
      </c>
      <c r="I493" s="39">
        <v>44228</v>
      </c>
      <c r="J493" s="39">
        <v>44255</v>
      </c>
      <c r="K493" s="24">
        <f t="shared" si="32"/>
        <v>28</v>
      </c>
      <c r="L493" s="24">
        <f t="shared" si="33"/>
        <v>2554</v>
      </c>
      <c r="M493" s="24">
        <v>6657720</v>
      </c>
    </row>
    <row r="494" spans="1:13" s="80" customFormat="1" ht="13.5" outlineLevel="2">
      <c r="A494" s="39" t="s">
        <v>270</v>
      </c>
      <c r="B494" s="40" t="s">
        <v>52</v>
      </c>
      <c r="C494" s="41" t="s">
        <v>273</v>
      </c>
      <c r="D494" s="40" t="s">
        <v>272</v>
      </c>
      <c r="E494" s="24">
        <v>11800000</v>
      </c>
      <c r="F494" s="39">
        <v>44015</v>
      </c>
      <c r="G494" s="24">
        <v>11800000</v>
      </c>
      <c r="H494" s="23">
        <v>5.0000000000000001E-3</v>
      </c>
      <c r="I494" s="39">
        <v>44228</v>
      </c>
      <c r="J494" s="39">
        <v>44255</v>
      </c>
      <c r="K494" s="24">
        <f t="shared" si="32"/>
        <v>28</v>
      </c>
      <c r="L494" s="24">
        <f t="shared" si="33"/>
        <v>4526</v>
      </c>
      <c r="M494" s="24">
        <v>11800000</v>
      </c>
    </row>
    <row r="495" spans="1:13" s="80" customFormat="1" ht="13.5" outlineLevel="2">
      <c r="A495" s="39" t="s">
        <v>270</v>
      </c>
      <c r="B495" s="40" t="s">
        <v>53</v>
      </c>
      <c r="C495" s="41" t="s">
        <v>273</v>
      </c>
      <c r="D495" s="40" t="s">
        <v>272</v>
      </c>
      <c r="E495" s="24">
        <v>2600000</v>
      </c>
      <c r="F495" s="39">
        <v>44015</v>
      </c>
      <c r="G495" s="24">
        <v>2600000</v>
      </c>
      <c r="H495" s="23">
        <v>5.0000000000000001E-3</v>
      </c>
      <c r="I495" s="39">
        <v>44228</v>
      </c>
      <c r="J495" s="39">
        <v>44255</v>
      </c>
      <c r="K495" s="24">
        <f t="shared" si="32"/>
        <v>28</v>
      </c>
      <c r="L495" s="24">
        <f t="shared" si="33"/>
        <v>997</v>
      </c>
      <c r="M495" s="24">
        <v>2600000</v>
      </c>
    </row>
    <row r="496" spans="1:13" s="80" customFormat="1" ht="13.5" outlineLevel="2">
      <c r="A496" s="39" t="s">
        <v>270</v>
      </c>
      <c r="B496" s="40" t="s">
        <v>54</v>
      </c>
      <c r="C496" s="41" t="s">
        <v>278</v>
      </c>
      <c r="D496" s="40" t="s">
        <v>279</v>
      </c>
      <c r="E496" s="24">
        <v>220000000</v>
      </c>
      <c r="F496" s="39">
        <v>43815</v>
      </c>
      <c r="G496" s="24">
        <v>220000000</v>
      </c>
      <c r="H496" s="23">
        <v>5.0000000000000001E-3</v>
      </c>
      <c r="I496" s="39">
        <v>44228</v>
      </c>
      <c r="J496" s="39">
        <v>44255</v>
      </c>
      <c r="K496" s="24">
        <f t="shared" si="32"/>
        <v>28</v>
      </c>
      <c r="L496" s="24">
        <f t="shared" si="33"/>
        <v>84384</v>
      </c>
      <c r="M496" s="24">
        <v>220000000</v>
      </c>
    </row>
    <row r="497" spans="1:13" s="80" customFormat="1" ht="13.5" outlineLevel="2">
      <c r="A497" s="39" t="s">
        <v>270</v>
      </c>
      <c r="B497" s="40" t="s">
        <v>57</v>
      </c>
      <c r="C497" s="41" t="s">
        <v>143</v>
      </c>
      <c r="D497" s="40" t="s">
        <v>144</v>
      </c>
      <c r="E497" s="24">
        <v>10400000</v>
      </c>
      <c r="F497" s="39">
        <v>44033</v>
      </c>
      <c r="G497" s="24">
        <v>10400000</v>
      </c>
      <c r="H497" s="23">
        <v>5.0000000000000001E-3</v>
      </c>
      <c r="I497" s="39">
        <v>44228</v>
      </c>
      <c r="J497" s="39">
        <v>44255</v>
      </c>
      <c r="K497" s="24">
        <f t="shared" si="32"/>
        <v>28</v>
      </c>
      <c r="L497" s="24">
        <f t="shared" si="33"/>
        <v>3989</v>
      </c>
      <c r="M497" s="24">
        <v>10400000</v>
      </c>
    </row>
    <row r="498" spans="1:13" s="80" customFormat="1" ht="13.5" outlineLevel="2">
      <c r="A498" s="39" t="s">
        <v>270</v>
      </c>
      <c r="B498" s="40" t="s">
        <v>58</v>
      </c>
      <c r="C498" s="41" t="s">
        <v>97</v>
      </c>
      <c r="D498" s="40" t="s">
        <v>98</v>
      </c>
      <c r="E498" s="24">
        <v>28200000</v>
      </c>
      <c r="F498" s="39">
        <v>44027</v>
      </c>
      <c r="G498" s="24">
        <v>28200000</v>
      </c>
      <c r="H498" s="23">
        <v>5.0000000000000001E-3</v>
      </c>
      <c r="I498" s="39">
        <v>44228</v>
      </c>
      <c r="J498" s="39">
        <v>44255</v>
      </c>
      <c r="K498" s="24">
        <f t="shared" si="32"/>
        <v>28</v>
      </c>
      <c r="L498" s="24">
        <f t="shared" si="33"/>
        <v>10816</v>
      </c>
      <c r="M498" s="24">
        <v>28200000</v>
      </c>
    </row>
    <row r="499" spans="1:13" s="80" customFormat="1" ht="13.5" outlineLevel="2">
      <c r="A499" s="39" t="s">
        <v>270</v>
      </c>
      <c r="B499" s="40" t="s">
        <v>99</v>
      </c>
      <c r="C499" s="41" t="s">
        <v>274</v>
      </c>
      <c r="D499" s="40" t="s">
        <v>275</v>
      </c>
      <c r="E499" s="24">
        <v>6657720</v>
      </c>
      <c r="F499" s="39">
        <v>44055</v>
      </c>
      <c r="G499" s="24">
        <v>6657720</v>
      </c>
      <c r="H499" s="23">
        <v>5.0000000000000001E-3</v>
      </c>
      <c r="I499" s="39">
        <v>44228</v>
      </c>
      <c r="J499" s="39">
        <v>44255</v>
      </c>
      <c r="K499" s="24">
        <f t="shared" si="32"/>
        <v>28</v>
      </c>
      <c r="L499" s="24">
        <f t="shared" si="33"/>
        <v>2554</v>
      </c>
      <c r="M499" s="24">
        <v>6657720</v>
      </c>
    </row>
    <row r="500" spans="1:13" s="80" customFormat="1" ht="13.5" outlineLevel="2">
      <c r="A500" s="39" t="s">
        <v>270</v>
      </c>
      <c r="B500" s="40" t="s">
        <v>100</v>
      </c>
      <c r="C500" s="41" t="s">
        <v>274</v>
      </c>
      <c r="D500" s="40" t="s">
        <v>275</v>
      </c>
      <c r="E500" s="24">
        <v>6714720</v>
      </c>
      <c r="F500" s="39">
        <v>44055</v>
      </c>
      <c r="G500" s="24">
        <v>6714720</v>
      </c>
      <c r="H500" s="23">
        <v>5.0000000000000001E-3</v>
      </c>
      <c r="I500" s="39">
        <v>44228</v>
      </c>
      <c r="J500" s="39">
        <v>44255</v>
      </c>
      <c r="K500" s="24">
        <f t="shared" si="32"/>
        <v>28</v>
      </c>
      <c r="L500" s="24">
        <f t="shared" si="33"/>
        <v>2576</v>
      </c>
      <c r="M500" s="24">
        <v>6714720</v>
      </c>
    </row>
    <row r="501" spans="1:13" s="80" customFormat="1" ht="13.5" outlineLevel="2">
      <c r="A501" s="39" t="s">
        <v>270</v>
      </c>
      <c r="B501" s="40" t="s">
        <v>101</v>
      </c>
      <c r="C501" s="41" t="s">
        <v>273</v>
      </c>
      <c r="D501" s="40" t="s">
        <v>272</v>
      </c>
      <c r="E501" s="24">
        <v>47630000</v>
      </c>
      <c r="F501" s="39">
        <v>44048</v>
      </c>
      <c r="G501" s="24">
        <v>47630000</v>
      </c>
      <c r="H501" s="23">
        <v>5.0000000000000001E-3</v>
      </c>
      <c r="I501" s="39">
        <v>44228</v>
      </c>
      <c r="J501" s="39">
        <v>44255</v>
      </c>
      <c r="K501" s="24">
        <f t="shared" si="32"/>
        <v>28</v>
      </c>
      <c r="L501" s="24">
        <f t="shared" si="33"/>
        <v>18269</v>
      </c>
      <c r="M501" s="24">
        <v>47630000</v>
      </c>
    </row>
    <row r="502" spans="1:13" s="80" customFormat="1" ht="13.5" outlineLevel="2">
      <c r="A502" s="39" t="s">
        <v>270</v>
      </c>
      <c r="B502" s="40" t="s">
        <v>102</v>
      </c>
      <c r="C502" s="41" t="s">
        <v>273</v>
      </c>
      <c r="D502" s="40" t="s">
        <v>272</v>
      </c>
      <c r="E502" s="24">
        <v>1970000</v>
      </c>
      <c r="F502" s="39">
        <v>44048</v>
      </c>
      <c r="G502" s="24">
        <v>1970000</v>
      </c>
      <c r="H502" s="23">
        <v>5.0000000000000001E-3</v>
      </c>
      <c r="I502" s="39">
        <v>44228</v>
      </c>
      <c r="J502" s="39">
        <v>44255</v>
      </c>
      <c r="K502" s="24">
        <f t="shared" si="32"/>
        <v>28</v>
      </c>
      <c r="L502" s="24">
        <f t="shared" si="33"/>
        <v>756</v>
      </c>
      <c r="M502" s="24">
        <v>1970000</v>
      </c>
    </row>
    <row r="503" spans="1:13" s="80" customFormat="1" ht="13.5" outlineLevel="2">
      <c r="A503" s="39" t="s">
        <v>270</v>
      </c>
      <c r="B503" s="40" t="s">
        <v>103</v>
      </c>
      <c r="C503" s="41" t="s">
        <v>252</v>
      </c>
      <c r="D503" s="40" t="s">
        <v>253</v>
      </c>
      <c r="E503" s="24">
        <v>27700000</v>
      </c>
      <c r="F503" s="39">
        <v>44071</v>
      </c>
      <c r="G503" s="24">
        <v>27700000</v>
      </c>
      <c r="H503" s="23">
        <v>5.0000000000000001E-3</v>
      </c>
      <c r="I503" s="39">
        <v>44228</v>
      </c>
      <c r="J503" s="39">
        <v>44255</v>
      </c>
      <c r="K503" s="24">
        <f t="shared" si="32"/>
        <v>28</v>
      </c>
      <c r="L503" s="24">
        <f t="shared" si="33"/>
        <v>10625</v>
      </c>
      <c r="M503" s="24">
        <v>27700000</v>
      </c>
    </row>
    <row r="504" spans="1:13" s="80" customFormat="1" ht="13.5" outlineLevel="2">
      <c r="A504" s="39" t="s">
        <v>270</v>
      </c>
      <c r="B504" s="40" t="s">
        <v>104</v>
      </c>
      <c r="C504" s="41" t="s">
        <v>274</v>
      </c>
      <c r="D504" s="40" t="s">
        <v>275</v>
      </c>
      <c r="E504" s="24">
        <v>6714720</v>
      </c>
      <c r="F504" s="39">
        <v>44083</v>
      </c>
      <c r="G504" s="24">
        <v>6714720</v>
      </c>
      <c r="H504" s="23">
        <v>5.0000000000000001E-3</v>
      </c>
      <c r="I504" s="39">
        <v>44228</v>
      </c>
      <c r="J504" s="39">
        <v>44255</v>
      </c>
      <c r="K504" s="24">
        <f t="shared" si="32"/>
        <v>28</v>
      </c>
      <c r="L504" s="24">
        <f t="shared" si="33"/>
        <v>2576</v>
      </c>
      <c r="M504" s="24">
        <v>6714720</v>
      </c>
    </row>
    <row r="505" spans="1:13" s="80" customFormat="1" ht="13.5" outlineLevel="2">
      <c r="A505" s="39" t="s">
        <v>270</v>
      </c>
      <c r="B505" s="40" t="s">
        <v>105</v>
      </c>
      <c r="C505" s="41" t="s">
        <v>274</v>
      </c>
      <c r="D505" s="40" t="s">
        <v>275</v>
      </c>
      <c r="E505" s="24">
        <v>5805960</v>
      </c>
      <c r="F505" s="39">
        <v>44083</v>
      </c>
      <c r="G505" s="24">
        <v>5805960</v>
      </c>
      <c r="H505" s="23">
        <v>5.0000000000000001E-3</v>
      </c>
      <c r="I505" s="39">
        <v>44228</v>
      </c>
      <c r="J505" s="39">
        <v>44255</v>
      </c>
      <c r="K505" s="24">
        <f t="shared" si="32"/>
        <v>28</v>
      </c>
      <c r="L505" s="24">
        <f t="shared" si="33"/>
        <v>2227</v>
      </c>
      <c r="M505" s="24">
        <v>5805960</v>
      </c>
    </row>
    <row r="506" spans="1:13" s="80" customFormat="1" ht="13.5" outlineLevel="2">
      <c r="A506" s="39" t="s">
        <v>270</v>
      </c>
      <c r="B506" s="40" t="s">
        <v>106</v>
      </c>
      <c r="C506" s="41" t="s">
        <v>273</v>
      </c>
      <c r="D506" s="40" t="s">
        <v>272</v>
      </c>
      <c r="E506" s="24">
        <v>19100000</v>
      </c>
      <c r="F506" s="39">
        <v>44078</v>
      </c>
      <c r="G506" s="24">
        <v>19100000</v>
      </c>
      <c r="H506" s="23">
        <v>5.0000000000000001E-3</v>
      </c>
      <c r="I506" s="39">
        <v>44228</v>
      </c>
      <c r="J506" s="39">
        <v>44255</v>
      </c>
      <c r="K506" s="24">
        <f t="shared" ref="K506:K537" si="34">J506-I506+1</f>
        <v>28</v>
      </c>
      <c r="L506" s="24">
        <f t="shared" ref="L506:L537" si="35">ROUND(G506*H506*K506/365,0)</f>
        <v>7326</v>
      </c>
      <c r="M506" s="24">
        <v>19100000</v>
      </c>
    </row>
    <row r="507" spans="1:13" s="80" customFormat="1" ht="13.5" outlineLevel="2">
      <c r="A507" s="39" t="s">
        <v>270</v>
      </c>
      <c r="B507" s="40" t="s">
        <v>59</v>
      </c>
      <c r="C507" s="41" t="s">
        <v>274</v>
      </c>
      <c r="D507" s="40" t="s">
        <v>275</v>
      </c>
      <c r="E507" s="24">
        <v>5452560</v>
      </c>
      <c r="F507" s="39">
        <v>43838</v>
      </c>
      <c r="G507" s="24">
        <v>5452560</v>
      </c>
      <c r="H507" s="23">
        <v>5.0000000000000001E-3</v>
      </c>
      <c r="I507" s="39">
        <v>44228</v>
      </c>
      <c r="J507" s="39">
        <v>44255</v>
      </c>
      <c r="K507" s="24">
        <f t="shared" si="34"/>
        <v>28</v>
      </c>
      <c r="L507" s="24">
        <f t="shared" si="35"/>
        <v>2091</v>
      </c>
      <c r="M507" s="24">
        <v>5452560</v>
      </c>
    </row>
    <row r="508" spans="1:13" s="80" customFormat="1" ht="13.5" outlineLevel="2">
      <c r="A508" s="39" t="s">
        <v>270</v>
      </c>
      <c r="B508" s="40" t="s">
        <v>136</v>
      </c>
      <c r="C508" s="41" t="s">
        <v>30</v>
      </c>
      <c r="D508" s="40" t="s">
        <v>31</v>
      </c>
      <c r="E508" s="24">
        <v>31000000</v>
      </c>
      <c r="F508" s="39">
        <v>44102</v>
      </c>
      <c r="G508" s="24">
        <v>31000000</v>
      </c>
      <c r="H508" s="23">
        <v>5.0000000000000001E-3</v>
      </c>
      <c r="I508" s="39">
        <v>44228</v>
      </c>
      <c r="J508" s="39">
        <v>44255</v>
      </c>
      <c r="K508" s="24">
        <f t="shared" si="34"/>
        <v>28</v>
      </c>
      <c r="L508" s="24">
        <f t="shared" si="35"/>
        <v>11890</v>
      </c>
      <c r="M508" s="24">
        <v>31000000</v>
      </c>
    </row>
    <row r="509" spans="1:13" s="80" customFormat="1" ht="13.5" outlineLevel="2">
      <c r="A509" s="39" t="s">
        <v>270</v>
      </c>
      <c r="B509" s="40" t="s">
        <v>137</v>
      </c>
      <c r="C509" s="41" t="s">
        <v>143</v>
      </c>
      <c r="D509" s="40" t="s">
        <v>144</v>
      </c>
      <c r="E509" s="24">
        <v>10700000</v>
      </c>
      <c r="F509" s="39">
        <v>44104</v>
      </c>
      <c r="G509" s="24">
        <v>10700000</v>
      </c>
      <c r="H509" s="23">
        <v>5.0000000000000001E-3</v>
      </c>
      <c r="I509" s="39">
        <v>44228</v>
      </c>
      <c r="J509" s="39">
        <v>44255</v>
      </c>
      <c r="K509" s="24">
        <f t="shared" si="34"/>
        <v>28</v>
      </c>
      <c r="L509" s="24">
        <f t="shared" si="35"/>
        <v>4104</v>
      </c>
      <c r="M509" s="24">
        <v>10700000</v>
      </c>
    </row>
    <row r="510" spans="1:13" s="80" customFormat="1" ht="13.5" outlineLevel="2">
      <c r="A510" s="39" t="s">
        <v>270</v>
      </c>
      <c r="B510" s="40" t="s">
        <v>138</v>
      </c>
      <c r="C510" s="41" t="s">
        <v>280</v>
      </c>
      <c r="D510" s="40" t="s">
        <v>281</v>
      </c>
      <c r="E510" s="24">
        <v>1000000000</v>
      </c>
      <c r="F510" s="39">
        <v>44102</v>
      </c>
      <c r="G510" s="24">
        <v>1000000000</v>
      </c>
      <c r="H510" s="23">
        <v>5.0000000000000001E-3</v>
      </c>
      <c r="I510" s="39">
        <v>44228</v>
      </c>
      <c r="J510" s="39">
        <v>44255</v>
      </c>
      <c r="K510" s="24">
        <f t="shared" si="34"/>
        <v>28</v>
      </c>
      <c r="L510" s="24">
        <f t="shared" si="35"/>
        <v>383562</v>
      </c>
      <c r="M510" s="24">
        <v>1000000000</v>
      </c>
    </row>
    <row r="511" spans="1:13" s="80" customFormat="1" ht="13.5" outlineLevel="2">
      <c r="A511" s="39" t="s">
        <v>270</v>
      </c>
      <c r="B511" s="40" t="s">
        <v>139</v>
      </c>
      <c r="C511" s="41" t="s">
        <v>274</v>
      </c>
      <c r="D511" s="40" t="s">
        <v>275</v>
      </c>
      <c r="E511" s="24">
        <v>5805960</v>
      </c>
      <c r="F511" s="39">
        <v>44111</v>
      </c>
      <c r="G511" s="24">
        <v>5805960</v>
      </c>
      <c r="H511" s="23">
        <v>5.0000000000000001E-3</v>
      </c>
      <c r="I511" s="39">
        <v>44228</v>
      </c>
      <c r="J511" s="39">
        <v>44255</v>
      </c>
      <c r="K511" s="24">
        <f t="shared" si="34"/>
        <v>28</v>
      </c>
      <c r="L511" s="24">
        <f t="shared" si="35"/>
        <v>2227</v>
      </c>
      <c r="M511" s="24">
        <v>5805960</v>
      </c>
    </row>
    <row r="512" spans="1:13" s="80" customFormat="1" ht="13.5" outlineLevel="2">
      <c r="A512" s="39" t="s">
        <v>270</v>
      </c>
      <c r="B512" s="40" t="s">
        <v>140</v>
      </c>
      <c r="C512" s="41" t="s">
        <v>274</v>
      </c>
      <c r="D512" s="40" t="s">
        <v>275</v>
      </c>
      <c r="E512" s="24">
        <v>5805960</v>
      </c>
      <c r="F512" s="39">
        <v>44111</v>
      </c>
      <c r="G512" s="24">
        <v>5805960</v>
      </c>
      <c r="H512" s="23">
        <v>5.0000000000000001E-3</v>
      </c>
      <c r="I512" s="39">
        <v>44228</v>
      </c>
      <c r="J512" s="39">
        <v>44255</v>
      </c>
      <c r="K512" s="24">
        <f t="shared" si="34"/>
        <v>28</v>
      </c>
      <c r="L512" s="24">
        <f t="shared" si="35"/>
        <v>2227</v>
      </c>
      <c r="M512" s="24">
        <v>5805960</v>
      </c>
    </row>
    <row r="513" spans="1:13" s="80" customFormat="1" ht="13.5" outlineLevel="2">
      <c r="A513" s="39" t="s">
        <v>270</v>
      </c>
      <c r="B513" s="40" t="s">
        <v>169</v>
      </c>
      <c r="C513" s="41" t="s">
        <v>273</v>
      </c>
      <c r="D513" s="40" t="s">
        <v>272</v>
      </c>
      <c r="E513" s="24">
        <v>18400000</v>
      </c>
      <c r="F513" s="39">
        <v>44109</v>
      </c>
      <c r="G513" s="24">
        <v>18400000</v>
      </c>
      <c r="H513" s="23">
        <v>5.0000000000000001E-3</v>
      </c>
      <c r="I513" s="39">
        <v>44228</v>
      </c>
      <c r="J513" s="39">
        <v>44255</v>
      </c>
      <c r="K513" s="24">
        <f t="shared" si="34"/>
        <v>28</v>
      </c>
      <c r="L513" s="24">
        <f t="shared" si="35"/>
        <v>7058</v>
      </c>
      <c r="M513" s="24">
        <v>18400000</v>
      </c>
    </row>
    <row r="514" spans="1:13" s="80" customFormat="1" ht="13.5" outlineLevel="2">
      <c r="A514" s="39" t="s">
        <v>270</v>
      </c>
      <c r="B514" s="40" t="s">
        <v>170</v>
      </c>
      <c r="C514" s="41" t="s">
        <v>273</v>
      </c>
      <c r="D514" s="40" t="s">
        <v>272</v>
      </c>
      <c r="E514" s="24">
        <v>1500000</v>
      </c>
      <c r="F514" s="39">
        <v>44109</v>
      </c>
      <c r="G514" s="24">
        <v>1500000</v>
      </c>
      <c r="H514" s="23">
        <v>5.0000000000000001E-3</v>
      </c>
      <c r="I514" s="39">
        <v>44228</v>
      </c>
      <c r="J514" s="39">
        <v>44255</v>
      </c>
      <c r="K514" s="24">
        <f t="shared" si="34"/>
        <v>28</v>
      </c>
      <c r="L514" s="24">
        <f t="shared" si="35"/>
        <v>575</v>
      </c>
      <c r="M514" s="24">
        <v>1500000</v>
      </c>
    </row>
    <row r="515" spans="1:13" s="80" customFormat="1" ht="13.5" outlineLevel="2">
      <c r="A515" s="39" t="s">
        <v>270</v>
      </c>
      <c r="B515" s="40" t="s">
        <v>171</v>
      </c>
      <c r="C515" s="41" t="s">
        <v>125</v>
      </c>
      <c r="D515" s="40" t="s">
        <v>126</v>
      </c>
      <c r="E515" s="24">
        <v>3480000</v>
      </c>
      <c r="F515" s="39">
        <v>44125</v>
      </c>
      <c r="G515" s="24">
        <v>3480000</v>
      </c>
      <c r="H515" s="23">
        <v>5.0000000000000001E-3</v>
      </c>
      <c r="I515" s="39">
        <v>44228</v>
      </c>
      <c r="J515" s="39">
        <v>44255</v>
      </c>
      <c r="K515" s="24">
        <f t="shared" si="34"/>
        <v>28</v>
      </c>
      <c r="L515" s="24">
        <f t="shared" si="35"/>
        <v>1335</v>
      </c>
      <c r="M515" s="24">
        <v>3480000</v>
      </c>
    </row>
    <row r="516" spans="1:13" s="80" customFormat="1" ht="13.5" outlineLevel="2">
      <c r="A516" s="39" t="s">
        <v>270</v>
      </c>
      <c r="B516" s="40" t="s">
        <v>172</v>
      </c>
      <c r="C516" s="41" t="s">
        <v>276</v>
      </c>
      <c r="D516" s="40" t="s">
        <v>277</v>
      </c>
      <c r="E516" s="24">
        <v>32000000</v>
      </c>
      <c r="F516" s="39">
        <v>44133</v>
      </c>
      <c r="G516" s="24">
        <v>32000000</v>
      </c>
      <c r="H516" s="23">
        <v>5.0000000000000001E-3</v>
      </c>
      <c r="I516" s="39">
        <v>44228</v>
      </c>
      <c r="J516" s="39">
        <v>44255</v>
      </c>
      <c r="K516" s="24">
        <f t="shared" si="34"/>
        <v>28</v>
      </c>
      <c r="L516" s="24">
        <f t="shared" si="35"/>
        <v>12274</v>
      </c>
      <c r="M516" s="24">
        <v>32000000</v>
      </c>
    </row>
    <row r="517" spans="1:13" s="80" customFormat="1" ht="13.5" outlineLevel="2">
      <c r="A517" s="39" t="s">
        <v>270</v>
      </c>
      <c r="B517" s="40" t="s">
        <v>173</v>
      </c>
      <c r="C517" s="41" t="s">
        <v>274</v>
      </c>
      <c r="D517" s="40" t="s">
        <v>275</v>
      </c>
      <c r="E517" s="24">
        <v>5805960</v>
      </c>
      <c r="F517" s="39">
        <v>44146</v>
      </c>
      <c r="G517" s="24">
        <v>5805960</v>
      </c>
      <c r="H517" s="23">
        <v>5.0000000000000001E-3</v>
      </c>
      <c r="I517" s="39">
        <v>44228</v>
      </c>
      <c r="J517" s="39">
        <v>44255</v>
      </c>
      <c r="K517" s="24">
        <f t="shared" si="34"/>
        <v>28</v>
      </c>
      <c r="L517" s="24">
        <f t="shared" si="35"/>
        <v>2227</v>
      </c>
      <c r="M517" s="24">
        <v>5805960</v>
      </c>
    </row>
    <row r="518" spans="1:13" s="80" customFormat="1" ht="13.5" outlineLevel="2">
      <c r="A518" s="39" t="s">
        <v>270</v>
      </c>
      <c r="B518" s="40" t="s">
        <v>62</v>
      </c>
      <c r="C518" s="41" t="s">
        <v>274</v>
      </c>
      <c r="D518" s="40" t="s">
        <v>275</v>
      </c>
      <c r="E518" s="24">
        <v>5452560</v>
      </c>
      <c r="F518" s="39">
        <v>43838</v>
      </c>
      <c r="G518" s="24">
        <v>5452560</v>
      </c>
      <c r="H518" s="23">
        <v>5.0000000000000001E-3</v>
      </c>
      <c r="I518" s="39">
        <v>44228</v>
      </c>
      <c r="J518" s="39">
        <v>44255</v>
      </c>
      <c r="K518" s="24">
        <f t="shared" si="34"/>
        <v>28</v>
      </c>
      <c r="L518" s="24">
        <f t="shared" si="35"/>
        <v>2091</v>
      </c>
      <c r="M518" s="24">
        <v>5452560</v>
      </c>
    </row>
    <row r="519" spans="1:13" s="80" customFormat="1" ht="13.5" outlineLevel="2">
      <c r="A519" s="39" t="s">
        <v>270</v>
      </c>
      <c r="B519" s="40" t="s">
        <v>174</v>
      </c>
      <c r="C519" s="41" t="s">
        <v>274</v>
      </c>
      <c r="D519" s="40" t="s">
        <v>275</v>
      </c>
      <c r="E519" s="24">
        <v>14338200</v>
      </c>
      <c r="F519" s="39">
        <v>44146</v>
      </c>
      <c r="G519" s="24">
        <v>14338200</v>
      </c>
      <c r="H519" s="23">
        <v>5.0000000000000001E-3</v>
      </c>
      <c r="I519" s="39">
        <v>44228</v>
      </c>
      <c r="J519" s="39">
        <v>44255</v>
      </c>
      <c r="K519" s="24">
        <f t="shared" si="34"/>
        <v>28</v>
      </c>
      <c r="L519" s="24">
        <f t="shared" si="35"/>
        <v>5500</v>
      </c>
      <c r="M519" s="24">
        <v>14338200</v>
      </c>
    </row>
    <row r="520" spans="1:13" s="80" customFormat="1" ht="13.5" outlineLevel="2">
      <c r="A520" s="39" t="s">
        <v>270</v>
      </c>
      <c r="B520" s="40" t="s">
        <v>175</v>
      </c>
      <c r="C520" s="41" t="s">
        <v>273</v>
      </c>
      <c r="D520" s="40" t="s">
        <v>272</v>
      </c>
      <c r="E520" s="24">
        <v>31500000</v>
      </c>
      <c r="F520" s="39">
        <v>44140</v>
      </c>
      <c r="G520" s="24">
        <v>31500000</v>
      </c>
      <c r="H520" s="23">
        <v>5.0000000000000001E-3</v>
      </c>
      <c r="I520" s="39">
        <v>44228</v>
      </c>
      <c r="J520" s="39">
        <v>44255</v>
      </c>
      <c r="K520" s="24">
        <f t="shared" si="34"/>
        <v>28</v>
      </c>
      <c r="L520" s="24">
        <f t="shared" si="35"/>
        <v>12082</v>
      </c>
      <c r="M520" s="24">
        <v>31500000</v>
      </c>
    </row>
    <row r="521" spans="1:13" s="80" customFormat="1" ht="13.5" outlineLevel="2">
      <c r="A521" s="39" t="s">
        <v>270</v>
      </c>
      <c r="B521" s="40" t="s">
        <v>176</v>
      </c>
      <c r="C521" s="41" t="s">
        <v>125</v>
      </c>
      <c r="D521" s="40" t="s">
        <v>126</v>
      </c>
      <c r="E521" s="24">
        <v>2500000</v>
      </c>
      <c r="F521" s="39">
        <v>44146</v>
      </c>
      <c r="G521" s="24">
        <v>2500000</v>
      </c>
      <c r="H521" s="23">
        <v>5.0000000000000001E-3</v>
      </c>
      <c r="I521" s="39">
        <v>44228</v>
      </c>
      <c r="J521" s="39">
        <v>44255</v>
      </c>
      <c r="K521" s="24">
        <f t="shared" si="34"/>
        <v>28</v>
      </c>
      <c r="L521" s="24">
        <f t="shared" si="35"/>
        <v>959</v>
      </c>
      <c r="M521" s="24">
        <v>2500000</v>
      </c>
    </row>
    <row r="522" spans="1:13" s="80" customFormat="1" ht="13.5" outlineLevel="2">
      <c r="A522" s="39" t="s">
        <v>270</v>
      </c>
      <c r="B522" s="40" t="s">
        <v>177</v>
      </c>
      <c r="C522" s="41" t="s">
        <v>276</v>
      </c>
      <c r="D522" s="40" t="s">
        <v>277</v>
      </c>
      <c r="E522" s="24">
        <v>30000000</v>
      </c>
      <c r="F522" s="39">
        <v>44140</v>
      </c>
      <c r="G522" s="24">
        <v>30000000</v>
      </c>
      <c r="H522" s="23">
        <v>5.0000000000000001E-3</v>
      </c>
      <c r="I522" s="39">
        <v>44228</v>
      </c>
      <c r="J522" s="39">
        <v>44255</v>
      </c>
      <c r="K522" s="24">
        <f t="shared" si="34"/>
        <v>28</v>
      </c>
      <c r="L522" s="24">
        <f t="shared" si="35"/>
        <v>11507</v>
      </c>
      <c r="M522" s="24">
        <v>30000000</v>
      </c>
    </row>
    <row r="523" spans="1:13" s="80" customFormat="1" ht="13.5" outlineLevel="2">
      <c r="A523" s="39" t="s">
        <v>270</v>
      </c>
      <c r="B523" s="40" t="s">
        <v>178</v>
      </c>
      <c r="C523" s="41" t="s">
        <v>115</v>
      </c>
      <c r="D523" s="40" t="s">
        <v>116</v>
      </c>
      <c r="E523" s="24">
        <v>6100000</v>
      </c>
      <c r="F523" s="39">
        <v>44138</v>
      </c>
      <c r="G523" s="24">
        <v>6100000</v>
      </c>
      <c r="H523" s="23">
        <v>5.0000000000000001E-3</v>
      </c>
      <c r="I523" s="39">
        <v>44228</v>
      </c>
      <c r="J523" s="39">
        <v>44255</v>
      </c>
      <c r="K523" s="24">
        <f t="shared" si="34"/>
        <v>28</v>
      </c>
      <c r="L523" s="24">
        <f t="shared" si="35"/>
        <v>2340</v>
      </c>
      <c r="M523" s="24">
        <v>6100000</v>
      </c>
    </row>
    <row r="524" spans="1:13" s="80" customFormat="1" ht="13.5" outlineLevel="2">
      <c r="A524" s="39" t="s">
        <v>270</v>
      </c>
      <c r="B524" s="40" t="s">
        <v>179</v>
      </c>
      <c r="C524" s="41" t="s">
        <v>278</v>
      </c>
      <c r="D524" s="40" t="s">
        <v>279</v>
      </c>
      <c r="E524" s="24">
        <v>82036355</v>
      </c>
      <c r="F524" s="39">
        <v>44137</v>
      </c>
      <c r="G524" s="24">
        <v>82036355</v>
      </c>
      <c r="H524" s="23">
        <v>5.0000000000000001E-3</v>
      </c>
      <c r="I524" s="39">
        <v>44228</v>
      </c>
      <c r="J524" s="39">
        <v>44255</v>
      </c>
      <c r="K524" s="24">
        <f t="shared" si="34"/>
        <v>28</v>
      </c>
      <c r="L524" s="24">
        <f t="shared" si="35"/>
        <v>31466</v>
      </c>
      <c r="M524" s="24">
        <v>82036355</v>
      </c>
    </row>
    <row r="525" spans="1:13" s="80" customFormat="1" ht="13.5" outlineLevel="2">
      <c r="A525" s="39" t="s">
        <v>270</v>
      </c>
      <c r="B525" s="40" t="s">
        <v>180</v>
      </c>
      <c r="C525" s="41" t="s">
        <v>280</v>
      </c>
      <c r="D525" s="40" t="s">
        <v>281</v>
      </c>
      <c r="E525" s="24">
        <v>1000000000</v>
      </c>
      <c r="F525" s="39">
        <v>44162</v>
      </c>
      <c r="G525" s="24">
        <v>1000000000</v>
      </c>
      <c r="H525" s="23">
        <v>5.0000000000000001E-3</v>
      </c>
      <c r="I525" s="39">
        <v>44228</v>
      </c>
      <c r="J525" s="39">
        <v>44255</v>
      </c>
      <c r="K525" s="24">
        <f t="shared" si="34"/>
        <v>28</v>
      </c>
      <c r="L525" s="24">
        <f t="shared" si="35"/>
        <v>383562</v>
      </c>
      <c r="M525" s="24">
        <v>1000000000</v>
      </c>
    </row>
    <row r="526" spans="1:13" s="80" customFormat="1" ht="13.5" outlineLevel="2">
      <c r="A526" s="39" t="s">
        <v>270</v>
      </c>
      <c r="B526" s="40" t="s">
        <v>181</v>
      </c>
      <c r="C526" s="41" t="s">
        <v>75</v>
      </c>
      <c r="D526" s="40" t="s">
        <v>76</v>
      </c>
      <c r="E526" s="24">
        <v>47490000</v>
      </c>
      <c r="F526" s="39">
        <v>44137</v>
      </c>
      <c r="G526" s="24">
        <v>47490000</v>
      </c>
      <c r="H526" s="23">
        <v>5.0000000000000001E-3</v>
      </c>
      <c r="I526" s="39">
        <v>44228</v>
      </c>
      <c r="J526" s="39">
        <v>44255</v>
      </c>
      <c r="K526" s="24">
        <f t="shared" si="34"/>
        <v>28</v>
      </c>
      <c r="L526" s="24">
        <f t="shared" si="35"/>
        <v>18215</v>
      </c>
      <c r="M526" s="24">
        <v>47490000</v>
      </c>
    </row>
    <row r="527" spans="1:13" s="80" customFormat="1" ht="13.5" outlineLevel="2">
      <c r="A527" s="39" t="s">
        <v>270</v>
      </c>
      <c r="B527" s="40" t="s">
        <v>182</v>
      </c>
      <c r="C527" s="41" t="s">
        <v>143</v>
      </c>
      <c r="D527" s="40" t="s">
        <v>144</v>
      </c>
      <c r="E527" s="24">
        <v>5300000</v>
      </c>
      <c r="F527" s="39">
        <v>44145</v>
      </c>
      <c r="G527" s="24">
        <v>5300000</v>
      </c>
      <c r="H527" s="23">
        <v>5.0000000000000001E-3</v>
      </c>
      <c r="I527" s="39">
        <v>44228</v>
      </c>
      <c r="J527" s="39">
        <v>44255</v>
      </c>
      <c r="K527" s="24">
        <f t="shared" si="34"/>
        <v>28</v>
      </c>
      <c r="L527" s="24">
        <f t="shared" si="35"/>
        <v>2033</v>
      </c>
      <c r="M527" s="24">
        <v>5300000</v>
      </c>
    </row>
    <row r="528" spans="1:13" s="80" customFormat="1" ht="13.5" outlineLevel="2">
      <c r="A528" s="39" t="s">
        <v>270</v>
      </c>
      <c r="B528" s="40" t="s">
        <v>183</v>
      </c>
      <c r="C528" s="41" t="s">
        <v>143</v>
      </c>
      <c r="D528" s="40" t="s">
        <v>144</v>
      </c>
      <c r="E528" s="24">
        <v>4130000</v>
      </c>
      <c r="F528" s="39">
        <v>44151</v>
      </c>
      <c r="G528" s="24">
        <v>4130000</v>
      </c>
      <c r="H528" s="23">
        <v>5.0000000000000001E-3</v>
      </c>
      <c r="I528" s="39">
        <v>44228</v>
      </c>
      <c r="J528" s="39">
        <v>44255</v>
      </c>
      <c r="K528" s="24">
        <f t="shared" si="34"/>
        <v>28</v>
      </c>
      <c r="L528" s="24">
        <f t="shared" si="35"/>
        <v>1584</v>
      </c>
      <c r="M528" s="24">
        <v>4130000</v>
      </c>
    </row>
    <row r="529" spans="1:13" s="80" customFormat="1" ht="13.5" outlineLevel="2">
      <c r="A529" s="39" t="s">
        <v>270</v>
      </c>
      <c r="B529" s="40" t="s">
        <v>63</v>
      </c>
      <c r="C529" s="41" t="s">
        <v>273</v>
      </c>
      <c r="D529" s="40" t="s">
        <v>272</v>
      </c>
      <c r="E529" s="24">
        <v>55600000</v>
      </c>
      <c r="F529" s="39">
        <v>43833</v>
      </c>
      <c r="G529" s="24">
        <v>55600000</v>
      </c>
      <c r="H529" s="23">
        <v>5.0000000000000001E-3</v>
      </c>
      <c r="I529" s="39">
        <v>44228</v>
      </c>
      <c r="J529" s="39">
        <v>44255</v>
      </c>
      <c r="K529" s="24">
        <f t="shared" si="34"/>
        <v>28</v>
      </c>
      <c r="L529" s="24">
        <f t="shared" si="35"/>
        <v>21326</v>
      </c>
      <c r="M529" s="24">
        <v>55600000</v>
      </c>
    </row>
    <row r="530" spans="1:13" s="80" customFormat="1" ht="13.5" outlineLevel="2">
      <c r="A530" s="39" t="s">
        <v>270</v>
      </c>
      <c r="B530" s="40" t="s">
        <v>184</v>
      </c>
      <c r="C530" s="41" t="s">
        <v>143</v>
      </c>
      <c r="D530" s="40" t="s">
        <v>144</v>
      </c>
      <c r="E530" s="24">
        <v>6450000</v>
      </c>
      <c r="F530" s="39">
        <v>44165</v>
      </c>
      <c r="G530" s="24">
        <v>6450000</v>
      </c>
      <c r="H530" s="23">
        <v>5.0000000000000001E-3</v>
      </c>
      <c r="I530" s="39">
        <v>44228</v>
      </c>
      <c r="J530" s="39">
        <v>44255</v>
      </c>
      <c r="K530" s="24">
        <f t="shared" si="34"/>
        <v>28</v>
      </c>
      <c r="L530" s="24">
        <f t="shared" si="35"/>
        <v>2474</v>
      </c>
      <c r="M530" s="24">
        <v>6450000</v>
      </c>
    </row>
    <row r="531" spans="1:13" s="80" customFormat="1" ht="13.5" outlineLevel="2">
      <c r="A531" s="39" t="s">
        <v>270</v>
      </c>
      <c r="B531" s="40" t="s">
        <v>185</v>
      </c>
      <c r="C531" s="41" t="s">
        <v>55</v>
      </c>
      <c r="D531" s="40" t="s">
        <v>56</v>
      </c>
      <c r="E531" s="24">
        <v>31466520</v>
      </c>
      <c r="F531" s="39">
        <v>44189</v>
      </c>
      <c r="G531" s="24">
        <v>31466520</v>
      </c>
      <c r="H531" s="23">
        <v>5.0000000000000001E-3</v>
      </c>
      <c r="I531" s="39">
        <v>44228</v>
      </c>
      <c r="J531" s="39">
        <v>44255</v>
      </c>
      <c r="K531" s="24">
        <f t="shared" si="34"/>
        <v>28</v>
      </c>
      <c r="L531" s="24">
        <f t="shared" si="35"/>
        <v>12069</v>
      </c>
      <c r="M531" s="24">
        <v>31466520</v>
      </c>
    </row>
    <row r="532" spans="1:13" s="80" customFormat="1" ht="13.5" outlineLevel="2">
      <c r="A532" s="39" t="s">
        <v>270</v>
      </c>
      <c r="B532" s="40" t="s">
        <v>186</v>
      </c>
      <c r="C532" s="41" t="s">
        <v>274</v>
      </c>
      <c r="D532" s="40" t="s">
        <v>275</v>
      </c>
      <c r="E532" s="24">
        <v>14338200</v>
      </c>
      <c r="F532" s="39">
        <v>44174</v>
      </c>
      <c r="G532" s="24">
        <v>14338200</v>
      </c>
      <c r="H532" s="23">
        <v>5.0000000000000001E-3</v>
      </c>
      <c r="I532" s="39">
        <v>44228</v>
      </c>
      <c r="J532" s="39">
        <v>44255</v>
      </c>
      <c r="K532" s="24">
        <f t="shared" si="34"/>
        <v>28</v>
      </c>
      <c r="L532" s="24">
        <f t="shared" si="35"/>
        <v>5500</v>
      </c>
      <c r="M532" s="24">
        <v>14338200</v>
      </c>
    </row>
    <row r="533" spans="1:13" s="80" customFormat="1" ht="13.5" outlineLevel="2">
      <c r="A533" s="39" t="s">
        <v>270</v>
      </c>
      <c r="B533" s="40" t="s">
        <v>189</v>
      </c>
      <c r="C533" s="41" t="s">
        <v>274</v>
      </c>
      <c r="D533" s="40" t="s">
        <v>275</v>
      </c>
      <c r="E533" s="24">
        <v>4977000</v>
      </c>
      <c r="F533" s="39">
        <v>44174</v>
      </c>
      <c r="G533" s="24">
        <v>4977000</v>
      </c>
      <c r="H533" s="23">
        <v>5.0000000000000001E-3</v>
      </c>
      <c r="I533" s="39">
        <v>44228</v>
      </c>
      <c r="J533" s="39">
        <v>44255</v>
      </c>
      <c r="K533" s="24">
        <f t="shared" si="34"/>
        <v>28</v>
      </c>
      <c r="L533" s="24">
        <f t="shared" si="35"/>
        <v>1909</v>
      </c>
      <c r="M533" s="24">
        <v>4977000</v>
      </c>
    </row>
    <row r="534" spans="1:13" s="80" customFormat="1" ht="13.5" outlineLevel="2">
      <c r="A534" s="39" t="s">
        <v>270</v>
      </c>
      <c r="B534" s="40" t="s">
        <v>190</v>
      </c>
      <c r="C534" s="41" t="s">
        <v>115</v>
      </c>
      <c r="D534" s="40" t="s">
        <v>116</v>
      </c>
      <c r="E534" s="24">
        <v>40000000</v>
      </c>
      <c r="F534" s="39">
        <v>44193</v>
      </c>
      <c r="G534" s="24">
        <v>40000000</v>
      </c>
      <c r="H534" s="23">
        <v>5.0000000000000001E-3</v>
      </c>
      <c r="I534" s="39">
        <v>44228</v>
      </c>
      <c r="J534" s="39">
        <v>44255</v>
      </c>
      <c r="K534" s="24">
        <f t="shared" si="34"/>
        <v>28</v>
      </c>
      <c r="L534" s="24">
        <f t="shared" si="35"/>
        <v>15342</v>
      </c>
      <c r="M534" s="24">
        <v>40000000</v>
      </c>
    </row>
    <row r="535" spans="1:13" s="80" customFormat="1" ht="13.5" outlineLevel="2">
      <c r="A535" s="39" t="s">
        <v>270</v>
      </c>
      <c r="B535" s="40" t="s">
        <v>191</v>
      </c>
      <c r="C535" s="41" t="s">
        <v>143</v>
      </c>
      <c r="D535" s="40" t="s">
        <v>144</v>
      </c>
      <c r="E535" s="24">
        <v>8890000</v>
      </c>
      <c r="F535" s="39">
        <v>44175</v>
      </c>
      <c r="G535" s="24">
        <v>8890000</v>
      </c>
      <c r="H535" s="23">
        <v>5.0000000000000001E-3</v>
      </c>
      <c r="I535" s="39">
        <v>44228</v>
      </c>
      <c r="J535" s="39">
        <v>44255</v>
      </c>
      <c r="K535" s="24">
        <f t="shared" si="34"/>
        <v>28</v>
      </c>
      <c r="L535" s="24">
        <f t="shared" si="35"/>
        <v>3410</v>
      </c>
      <c r="M535" s="24">
        <v>8890000</v>
      </c>
    </row>
    <row r="536" spans="1:13" s="80" customFormat="1" ht="13.5" outlineLevel="2">
      <c r="A536" s="39" t="s">
        <v>270</v>
      </c>
      <c r="B536" s="40" t="s">
        <v>192</v>
      </c>
      <c r="C536" s="41" t="s">
        <v>143</v>
      </c>
      <c r="D536" s="40" t="s">
        <v>144</v>
      </c>
      <c r="E536" s="24">
        <v>4020000</v>
      </c>
      <c r="F536" s="39">
        <v>44196</v>
      </c>
      <c r="G536" s="24">
        <v>4020000</v>
      </c>
      <c r="H536" s="23">
        <v>5.0000000000000001E-3</v>
      </c>
      <c r="I536" s="39">
        <v>44228</v>
      </c>
      <c r="J536" s="39">
        <v>44255</v>
      </c>
      <c r="K536" s="24">
        <f t="shared" si="34"/>
        <v>28</v>
      </c>
      <c r="L536" s="24">
        <f t="shared" si="35"/>
        <v>1542</v>
      </c>
      <c r="M536" s="24">
        <v>4020000</v>
      </c>
    </row>
    <row r="537" spans="1:13" s="80" customFormat="1" ht="13.5" outlineLevel="2">
      <c r="A537" s="39" t="s">
        <v>270</v>
      </c>
      <c r="B537" s="40" t="s">
        <v>193</v>
      </c>
      <c r="C537" s="41" t="s">
        <v>273</v>
      </c>
      <c r="D537" s="40" t="s">
        <v>272</v>
      </c>
      <c r="E537" s="24">
        <v>86700000</v>
      </c>
      <c r="F537" s="39">
        <v>44169</v>
      </c>
      <c r="G537" s="24">
        <v>86700000</v>
      </c>
      <c r="H537" s="23">
        <v>5.0000000000000001E-3</v>
      </c>
      <c r="I537" s="39">
        <v>44228</v>
      </c>
      <c r="J537" s="39">
        <v>44255</v>
      </c>
      <c r="K537" s="24">
        <f t="shared" si="34"/>
        <v>28</v>
      </c>
      <c r="L537" s="24">
        <f t="shared" si="35"/>
        <v>33255</v>
      </c>
      <c r="M537" s="24">
        <v>86700000</v>
      </c>
    </row>
    <row r="538" spans="1:13" s="80" customFormat="1" ht="13.5" outlineLevel="2">
      <c r="A538" s="39" t="s">
        <v>270</v>
      </c>
      <c r="B538" s="40" t="s">
        <v>194</v>
      </c>
      <c r="C538" s="41" t="s">
        <v>274</v>
      </c>
      <c r="D538" s="40" t="s">
        <v>275</v>
      </c>
      <c r="E538" s="24">
        <v>4977000</v>
      </c>
      <c r="F538" s="39">
        <v>44209</v>
      </c>
      <c r="G538" s="24">
        <v>4977000</v>
      </c>
      <c r="H538" s="23">
        <v>5.0000000000000001E-3</v>
      </c>
      <c r="I538" s="39">
        <v>44228</v>
      </c>
      <c r="J538" s="39">
        <v>44255</v>
      </c>
      <c r="K538" s="24">
        <f t="shared" ref="K538:K569" si="36">J538-I538+1</f>
        <v>28</v>
      </c>
      <c r="L538" s="24">
        <f t="shared" ref="L538:L569" si="37">ROUND(G538*H538*K538/365,0)</f>
        <v>1909</v>
      </c>
      <c r="M538" s="24">
        <v>4977000</v>
      </c>
    </row>
    <row r="539" spans="1:13" s="80" customFormat="1" ht="13.5" outlineLevel="2">
      <c r="A539" s="39" t="s">
        <v>270</v>
      </c>
      <c r="B539" s="40" t="s">
        <v>195</v>
      </c>
      <c r="C539" s="41" t="s">
        <v>274</v>
      </c>
      <c r="D539" s="40" t="s">
        <v>275</v>
      </c>
      <c r="E539" s="24">
        <v>9862800</v>
      </c>
      <c r="F539" s="39">
        <v>44209</v>
      </c>
      <c r="G539" s="24">
        <v>9862800</v>
      </c>
      <c r="H539" s="23">
        <v>5.0000000000000001E-3</v>
      </c>
      <c r="I539" s="39">
        <v>44228</v>
      </c>
      <c r="J539" s="39">
        <v>44255</v>
      </c>
      <c r="K539" s="24">
        <f t="shared" si="36"/>
        <v>28</v>
      </c>
      <c r="L539" s="24">
        <f t="shared" si="37"/>
        <v>3783</v>
      </c>
      <c r="M539" s="24">
        <v>9862800</v>
      </c>
    </row>
    <row r="540" spans="1:13" s="80" customFormat="1" ht="13.5" outlineLevel="2">
      <c r="A540" s="39" t="s">
        <v>270</v>
      </c>
      <c r="B540" s="40" t="s">
        <v>64</v>
      </c>
      <c r="C540" s="41" t="s">
        <v>273</v>
      </c>
      <c r="D540" s="40" t="s">
        <v>272</v>
      </c>
      <c r="E540" s="24">
        <v>28400000</v>
      </c>
      <c r="F540" s="39">
        <v>43833</v>
      </c>
      <c r="G540" s="24">
        <v>28400000</v>
      </c>
      <c r="H540" s="23">
        <v>5.0000000000000001E-3</v>
      </c>
      <c r="I540" s="39">
        <v>44228</v>
      </c>
      <c r="J540" s="39">
        <v>44255</v>
      </c>
      <c r="K540" s="24">
        <f t="shared" si="36"/>
        <v>28</v>
      </c>
      <c r="L540" s="24">
        <f t="shared" si="37"/>
        <v>10893</v>
      </c>
      <c r="M540" s="24">
        <v>28400000</v>
      </c>
    </row>
    <row r="541" spans="1:13" s="80" customFormat="1" ht="13.5" outlineLevel="2">
      <c r="A541" s="39" t="s">
        <v>270</v>
      </c>
      <c r="B541" s="40" t="s">
        <v>196</v>
      </c>
      <c r="C541" s="41" t="s">
        <v>143</v>
      </c>
      <c r="D541" s="40" t="s">
        <v>144</v>
      </c>
      <c r="E541" s="24">
        <v>3620000</v>
      </c>
      <c r="F541" s="39">
        <v>44207</v>
      </c>
      <c r="G541" s="24">
        <v>3620000</v>
      </c>
      <c r="H541" s="23">
        <v>5.0000000000000001E-3</v>
      </c>
      <c r="I541" s="39">
        <v>44228</v>
      </c>
      <c r="J541" s="39">
        <v>44255</v>
      </c>
      <c r="K541" s="24">
        <f t="shared" si="36"/>
        <v>28</v>
      </c>
      <c r="L541" s="24">
        <f t="shared" si="37"/>
        <v>1388</v>
      </c>
      <c r="M541" s="24">
        <v>3620000</v>
      </c>
    </row>
    <row r="542" spans="1:13" s="80" customFormat="1" ht="13.5" outlineLevel="2">
      <c r="A542" s="39" t="s">
        <v>270</v>
      </c>
      <c r="B542" s="40" t="s">
        <v>197</v>
      </c>
      <c r="C542" s="41" t="s">
        <v>273</v>
      </c>
      <c r="D542" s="40" t="s">
        <v>272</v>
      </c>
      <c r="E542" s="24">
        <v>20600000</v>
      </c>
      <c r="F542" s="39">
        <v>44201</v>
      </c>
      <c r="G542" s="24">
        <v>20600000</v>
      </c>
      <c r="H542" s="23">
        <v>5.0000000000000001E-3</v>
      </c>
      <c r="I542" s="39">
        <v>44228</v>
      </c>
      <c r="J542" s="39">
        <v>44255</v>
      </c>
      <c r="K542" s="24">
        <f t="shared" si="36"/>
        <v>28</v>
      </c>
      <c r="L542" s="24">
        <f t="shared" si="37"/>
        <v>7901</v>
      </c>
      <c r="M542" s="24">
        <v>20600000</v>
      </c>
    </row>
    <row r="543" spans="1:13" s="80" customFormat="1" ht="13.5" outlineLevel="2">
      <c r="A543" s="39" t="s">
        <v>270</v>
      </c>
      <c r="B543" s="40" t="s">
        <v>198</v>
      </c>
      <c r="C543" s="41" t="s">
        <v>75</v>
      </c>
      <c r="D543" s="40" t="s">
        <v>76</v>
      </c>
      <c r="E543" s="24">
        <v>53640000</v>
      </c>
      <c r="F543" s="39">
        <v>44203</v>
      </c>
      <c r="G543" s="24">
        <v>53640000</v>
      </c>
      <c r="H543" s="23">
        <v>5.0000000000000001E-3</v>
      </c>
      <c r="I543" s="39">
        <v>44228</v>
      </c>
      <c r="J543" s="39">
        <v>44255</v>
      </c>
      <c r="K543" s="24">
        <f t="shared" si="36"/>
        <v>28</v>
      </c>
      <c r="L543" s="24">
        <f t="shared" si="37"/>
        <v>20574</v>
      </c>
      <c r="M543" s="24">
        <v>53640000</v>
      </c>
    </row>
    <row r="544" spans="1:13" s="80" customFormat="1" ht="13.5" outlineLevel="2">
      <c r="A544" s="39" t="s">
        <v>270</v>
      </c>
      <c r="B544" s="40" t="s">
        <v>199</v>
      </c>
      <c r="C544" s="41" t="s">
        <v>302</v>
      </c>
      <c r="D544" s="40" t="s">
        <v>301</v>
      </c>
      <c r="E544" s="24">
        <v>40160000</v>
      </c>
      <c r="F544" s="39">
        <v>44232</v>
      </c>
      <c r="G544" s="24">
        <v>40160000</v>
      </c>
      <c r="H544" s="23">
        <v>5.0000000000000001E-3</v>
      </c>
      <c r="I544" s="39">
        <v>44232</v>
      </c>
      <c r="J544" s="39">
        <v>44255</v>
      </c>
      <c r="K544" s="24">
        <f t="shared" si="36"/>
        <v>24</v>
      </c>
      <c r="L544" s="24">
        <f t="shared" si="37"/>
        <v>13203</v>
      </c>
      <c r="M544" s="24">
        <v>40160000</v>
      </c>
    </row>
    <row r="545" spans="1:13" s="80" customFormat="1" ht="13.5" outlineLevel="2">
      <c r="A545" s="39" t="s">
        <v>270</v>
      </c>
      <c r="B545" s="40" t="s">
        <v>200</v>
      </c>
      <c r="C545" s="41" t="s">
        <v>274</v>
      </c>
      <c r="D545" s="40" t="s">
        <v>275</v>
      </c>
      <c r="E545" s="24">
        <v>3655380</v>
      </c>
      <c r="F545" s="39">
        <v>44230</v>
      </c>
      <c r="G545" s="24">
        <v>3655380</v>
      </c>
      <c r="H545" s="23">
        <v>5.0000000000000001E-3</v>
      </c>
      <c r="I545" s="39">
        <v>44230</v>
      </c>
      <c r="J545" s="39">
        <v>44255</v>
      </c>
      <c r="K545" s="24">
        <f t="shared" si="36"/>
        <v>26</v>
      </c>
      <c r="L545" s="24">
        <f t="shared" si="37"/>
        <v>1302</v>
      </c>
      <c r="M545" s="24">
        <v>3655380</v>
      </c>
    </row>
    <row r="546" spans="1:13" s="80" customFormat="1" ht="13.5" outlineLevel="2">
      <c r="A546" s="39" t="s">
        <v>270</v>
      </c>
      <c r="B546" s="40" t="s">
        <v>201</v>
      </c>
      <c r="C546" s="41" t="s">
        <v>274</v>
      </c>
      <c r="D546" s="40" t="s">
        <v>275</v>
      </c>
      <c r="E546" s="24">
        <v>9862800</v>
      </c>
      <c r="F546" s="39">
        <v>44230</v>
      </c>
      <c r="G546" s="24">
        <v>9862800</v>
      </c>
      <c r="H546" s="23">
        <v>5.0000000000000001E-3</v>
      </c>
      <c r="I546" s="39">
        <v>44230</v>
      </c>
      <c r="J546" s="39">
        <v>44255</v>
      </c>
      <c r="K546" s="24">
        <f t="shared" si="36"/>
        <v>26</v>
      </c>
      <c r="L546" s="24">
        <f t="shared" si="37"/>
        <v>3513</v>
      </c>
      <c r="M546" s="24">
        <v>9862800</v>
      </c>
    </row>
    <row r="547" spans="1:13" s="80" customFormat="1" ht="13.5" outlineLevel="2">
      <c r="A547" s="39" t="s">
        <v>270</v>
      </c>
      <c r="B547" s="40" t="s">
        <v>202</v>
      </c>
      <c r="C547" s="41" t="s">
        <v>125</v>
      </c>
      <c r="D547" s="40" t="s">
        <v>126</v>
      </c>
      <c r="E547" s="24">
        <v>32000000</v>
      </c>
      <c r="F547" s="39">
        <v>44250</v>
      </c>
      <c r="G547" s="24">
        <v>32000000</v>
      </c>
      <c r="H547" s="23">
        <v>5.0000000000000001E-3</v>
      </c>
      <c r="I547" s="39">
        <v>44250</v>
      </c>
      <c r="J547" s="39">
        <v>44255</v>
      </c>
      <c r="K547" s="24">
        <f t="shared" si="36"/>
        <v>6</v>
      </c>
      <c r="L547" s="24">
        <f t="shared" si="37"/>
        <v>2630</v>
      </c>
      <c r="M547" s="24">
        <v>32000000</v>
      </c>
    </row>
    <row r="548" spans="1:13" s="80" customFormat="1" ht="13.5" outlineLevel="2">
      <c r="A548" s="39" t="s">
        <v>270</v>
      </c>
      <c r="B548" s="40" t="s">
        <v>203</v>
      </c>
      <c r="C548" s="41" t="s">
        <v>143</v>
      </c>
      <c r="D548" s="40" t="s">
        <v>144</v>
      </c>
      <c r="E548" s="24">
        <v>2390000</v>
      </c>
      <c r="F548" s="39">
        <v>44228</v>
      </c>
      <c r="G548" s="24">
        <v>2390000</v>
      </c>
      <c r="H548" s="23">
        <v>5.0000000000000001E-3</v>
      </c>
      <c r="I548" s="39">
        <v>44228</v>
      </c>
      <c r="J548" s="39">
        <v>44255</v>
      </c>
      <c r="K548" s="24">
        <f t="shared" si="36"/>
        <v>28</v>
      </c>
      <c r="L548" s="24">
        <f t="shared" si="37"/>
        <v>917</v>
      </c>
      <c r="M548" s="24">
        <v>2390000</v>
      </c>
    </row>
    <row r="549" spans="1:13" s="80" customFormat="1" ht="13.5" outlineLevel="2">
      <c r="A549" s="39" t="s">
        <v>270</v>
      </c>
      <c r="B549" s="40" t="s">
        <v>204</v>
      </c>
      <c r="C549" s="41" t="s">
        <v>273</v>
      </c>
      <c r="D549" s="40" t="s">
        <v>272</v>
      </c>
      <c r="E549" s="24">
        <v>43200000</v>
      </c>
      <c r="F549" s="39">
        <v>44232</v>
      </c>
      <c r="G549" s="24">
        <v>43200000</v>
      </c>
      <c r="H549" s="23">
        <v>5.0000000000000001E-3</v>
      </c>
      <c r="I549" s="39">
        <v>44232</v>
      </c>
      <c r="J549" s="39">
        <v>44255</v>
      </c>
      <c r="K549" s="24">
        <f t="shared" si="36"/>
        <v>24</v>
      </c>
      <c r="L549" s="24">
        <f t="shared" si="37"/>
        <v>14203</v>
      </c>
      <c r="M549" s="24">
        <v>43200000</v>
      </c>
    </row>
    <row r="550" spans="1:13" s="80" customFormat="1" ht="13.5" outlineLevel="2">
      <c r="A550" s="39" t="s">
        <v>270</v>
      </c>
      <c r="B550" s="40" t="s">
        <v>205</v>
      </c>
      <c r="C550" s="41" t="s">
        <v>273</v>
      </c>
      <c r="D550" s="40" t="s">
        <v>272</v>
      </c>
      <c r="E550" s="24">
        <v>4600000</v>
      </c>
      <c r="F550" s="39">
        <v>44232</v>
      </c>
      <c r="G550" s="24">
        <v>4600000</v>
      </c>
      <c r="H550" s="23">
        <v>5.0000000000000001E-3</v>
      </c>
      <c r="I550" s="39">
        <v>44232</v>
      </c>
      <c r="J550" s="39">
        <v>44255</v>
      </c>
      <c r="K550" s="24">
        <f t="shared" si="36"/>
        <v>24</v>
      </c>
      <c r="L550" s="24">
        <f t="shared" si="37"/>
        <v>1512</v>
      </c>
      <c r="M550" s="24">
        <v>4600000</v>
      </c>
    </row>
    <row r="551" spans="1:13" s="80" customFormat="1" ht="13.5" outlineLevel="2">
      <c r="A551" s="39" t="s">
        <v>270</v>
      </c>
      <c r="B551" s="40" t="s">
        <v>65</v>
      </c>
      <c r="C551" s="41" t="s">
        <v>274</v>
      </c>
      <c r="D551" s="40" t="s">
        <v>275</v>
      </c>
      <c r="E551" s="24">
        <v>5452560</v>
      </c>
      <c r="F551" s="39">
        <v>43873</v>
      </c>
      <c r="G551" s="24">
        <v>5452560</v>
      </c>
      <c r="H551" s="23">
        <v>5.0000000000000001E-3</v>
      </c>
      <c r="I551" s="39">
        <v>44228</v>
      </c>
      <c r="J551" s="39">
        <v>44255</v>
      </c>
      <c r="K551" s="24">
        <f t="shared" si="36"/>
        <v>28</v>
      </c>
      <c r="L551" s="24">
        <f t="shared" si="37"/>
        <v>2091</v>
      </c>
      <c r="M551" s="24">
        <v>5452560</v>
      </c>
    </row>
    <row r="552" spans="1:13" s="80" customFormat="1" ht="13.5" outlineLevel="2">
      <c r="A552" s="39" t="s">
        <v>270</v>
      </c>
      <c r="B552" s="40" t="s">
        <v>68</v>
      </c>
      <c r="C552" s="41" t="s">
        <v>274</v>
      </c>
      <c r="D552" s="40" t="s">
        <v>275</v>
      </c>
      <c r="E552" s="24">
        <v>7270080</v>
      </c>
      <c r="F552" s="39">
        <v>43873</v>
      </c>
      <c r="G552" s="24">
        <v>7270080</v>
      </c>
      <c r="H552" s="23">
        <v>5.0000000000000001E-3</v>
      </c>
      <c r="I552" s="39">
        <v>44228</v>
      </c>
      <c r="J552" s="39">
        <v>44255</v>
      </c>
      <c r="K552" s="24">
        <f t="shared" si="36"/>
        <v>28</v>
      </c>
      <c r="L552" s="24">
        <f t="shared" si="37"/>
        <v>2789</v>
      </c>
      <c r="M552" s="24">
        <v>7270080</v>
      </c>
    </row>
    <row r="553" spans="1:13" s="80" customFormat="1" ht="13.5" outlineLevel="1">
      <c r="A553" s="42" t="s">
        <v>282</v>
      </c>
      <c r="B553" s="43"/>
      <c r="C553" s="44"/>
      <c r="D553" s="43"/>
      <c r="E553" s="45">
        <f>SUBTOTAL(9,E474:E552)</f>
        <v>3853299972</v>
      </c>
      <c r="F553" s="46"/>
      <c r="G553" s="45"/>
      <c r="H553" s="47"/>
      <c r="I553" s="46"/>
      <c r="J553" s="46"/>
      <c r="K553" s="45"/>
      <c r="L553" s="45">
        <f>SUBTOTAL(9,L474:L552)</f>
        <v>1463147</v>
      </c>
      <c r="M553" s="45">
        <f>SUBTOTAL(9,M474:M552)</f>
        <v>3853299972</v>
      </c>
    </row>
    <row r="554" spans="1:13" s="80" customFormat="1" ht="13.5" outlineLevel="2">
      <c r="A554" s="39" t="s">
        <v>283</v>
      </c>
      <c r="B554" s="40" t="s">
        <v>16</v>
      </c>
      <c r="C554" s="41" t="s">
        <v>284</v>
      </c>
      <c r="D554" s="40" t="s">
        <v>285</v>
      </c>
      <c r="E554" s="24">
        <v>50000000</v>
      </c>
      <c r="F554" s="39">
        <v>44211</v>
      </c>
      <c r="G554" s="24">
        <v>50000000</v>
      </c>
      <c r="H554" s="23">
        <v>5.0000000000000001E-3</v>
      </c>
      <c r="I554" s="39">
        <v>44228</v>
      </c>
      <c r="J554" s="39">
        <v>44255</v>
      </c>
      <c r="K554" s="24">
        <f>J554-I554+1</f>
        <v>28</v>
      </c>
      <c r="L554" s="24">
        <f>ROUND(G554*H554*K554/365,0)</f>
        <v>19178</v>
      </c>
      <c r="M554" s="24">
        <v>50000000</v>
      </c>
    </row>
    <row r="555" spans="1:13" s="80" customFormat="1" ht="13.5" outlineLevel="1">
      <c r="A555" s="42" t="s">
        <v>286</v>
      </c>
      <c r="B555" s="43"/>
      <c r="C555" s="44"/>
      <c r="D555" s="43"/>
      <c r="E555" s="45">
        <f>SUBTOTAL(9,E554:E554)</f>
        <v>50000000</v>
      </c>
      <c r="F555" s="46"/>
      <c r="G555" s="45"/>
      <c r="H555" s="47"/>
      <c r="I555" s="46"/>
      <c r="J555" s="46"/>
      <c r="K555" s="45"/>
      <c r="L555" s="45">
        <f>SUBTOTAL(9,L554:L554)</f>
        <v>19178</v>
      </c>
      <c r="M555" s="45">
        <f>SUBTOTAL(9,M554:M554)</f>
        <v>50000000</v>
      </c>
    </row>
    <row r="556" spans="1:13" s="80" customFormat="1" ht="13.5" outlineLevel="2">
      <c r="A556" s="39" t="s">
        <v>287</v>
      </c>
      <c r="B556" s="40" t="s">
        <v>16</v>
      </c>
      <c r="C556" s="41" t="s">
        <v>30</v>
      </c>
      <c r="D556" s="40" t="s">
        <v>31</v>
      </c>
      <c r="E556" s="24">
        <v>20000000</v>
      </c>
      <c r="F556" s="39">
        <v>43985</v>
      </c>
      <c r="G556" s="24">
        <v>20000000</v>
      </c>
      <c r="H556" s="23">
        <v>5.0000000000000001E-3</v>
      </c>
      <c r="I556" s="39">
        <v>44228</v>
      </c>
      <c r="J556" s="39">
        <v>44255</v>
      </c>
      <c r="K556" s="24">
        <f>J556-I556+1</f>
        <v>28</v>
      </c>
      <c r="L556" s="24">
        <f>ROUND(G556*H556*K556/365,0)</f>
        <v>7671</v>
      </c>
      <c r="M556" s="24">
        <v>20000000</v>
      </c>
    </row>
    <row r="557" spans="1:13" s="80" customFormat="1" ht="13.5" outlineLevel="2">
      <c r="A557" s="39" t="s">
        <v>287</v>
      </c>
      <c r="B557" s="40" t="s">
        <v>39</v>
      </c>
      <c r="C557" s="41" t="s">
        <v>30</v>
      </c>
      <c r="D557" s="40" t="s">
        <v>31</v>
      </c>
      <c r="E557" s="24">
        <v>13800000</v>
      </c>
      <c r="F557" s="39">
        <v>44034</v>
      </c>
      <c r="G557" s="24">
        <v>13800000</v>
      </c>
      <c r="H557" s="23">
        <v>5.0000000000000001E-3</v>
      </c>
      <c r="I557" s="39">
        <v>44228</v>
      </c>
      <c r="J557" s="39">
        <v>44255</v>
      </c>
      <c r="K557" s="24">
        <f>J557-I557+1</f>
        <v>28</v>
      </c>
      <c r="L557" s="24">
        <f>ROUND(G557*H557*K557/365,0)</f>
        <v>5293</v>
      </c>
      <c r="M557" s="24">
        <v>13800000</v>
      </c>
    </row>
    <row r="558" spans="1:13" s="80" customFormat="1" ht="13.5" outlineLevel="2">
      <c r="A558" s="39" t="s">
        <v>287</v>
      </c>
      <c r="B558" s="40" t="s">
        <v>54</v>
      </c>
      <c r="C558" s="41" t="s">
        <v>30</v>
      </c>
      <c r="D558" s="40" t="s">
        <v>31</v>
      </c>
      <c r="E558" s="24">
        <v>25000000</v>
      </c>
      <c r="F558" s="39">
        <v>44102</v>
      </c>
      <c r="G558" s="24">
        <v>25000000</v>
      </c>
      <c r="H558" s="23">
        <v>5.0000000000000001E-3</v>
      </c>
      <c r="I558" s="39">
        <v>44228</v>
      </c>
      <c r="J558" s="39">
        <v>44255</v>
      </c>
      <c r="K558" s="24">
        <f>J558-I558+1</f>
        <v>28</v>
      </c>
      <c r="L558" s="24">
        <f>ROUND(G558*H558*K558/365,0)</f>
        <v>9589</v>
      </c>
      <c r="M558" s="24">
        <v>25000000</v>
      </c>
    </row>
    <row r="559" spans="1:13" s="80" customFormat="1" ht="13.5" outlineLevel="2">
      <c r="A559" s="39" t="s">
        <v>287</v>
      </c>
      <c r="B559" s="40" t="s">
        <v>59</v>
      </c>
      <c r="C559" s="41" t="s">
        <v>30</v>
      </c>
      <c r="D559" s="40" t="s">
        <v>31</v>
      </c>
      <c r="E559" s="24">
        <v>5600000</v>
      </c>
      <c r="F559" s="39">
        <v>44103</v>
      </c>
      <c r="G559" s="24">
        <v>5600000</v>
      </c>
      <c r="H559" s="23">
        <v>5.0000000000000001E-3</v>
      </c>
      <c r="I559" s="39">
        <v>44228</v>
      </c>
      <c r="J559" s="39">
        <v>44255</v>
      </c>
      <c r="K559" s="24">
        <f>J559-I559+1</f>
        <v>28</v>
      </c>
      <c r="L559" s="24">
        <f>ROUND(G559*H559*K559/365,0)</f>
        <v>2148</v>
      </c>
      <c r="M559" s="24">
        <v>5600000</v>
      </c>
    </row>
    <row r="560" spans="1:13" s="80" customFormat="1" ht="13.5" outlineLevel="1">
      <c r="A560" s="42" t="s">
        <v>288</v>
      </c>
      <c r="B560" s="43"/>
      <c r="C560" s="44"/>
      <c r="D560" s="43"/>
      <c r="E560" s="45">
        <f>SUBTOTAL(9,E556:E559)</f>
        <v>64400000</v>
      </c>
      <c r="F560" s="46"/>
      <c r="G560" s="45"/>
      <c r="H560" s="47"/>
      <c r="I560" s="46"/>
      <c r="J560" s="46"/>
      <c r="K560" s="45"/>
      <c r="L560" s="45">
        <f>SUBTOTAL(9,L556:L559)</f>
        <v>24701</v>
      </c>
      <c r="M560" s="45">
        <f>SUBTOTAL(9,M556:M559)</f>
        <v>64400000</v>
      </c>
    </row>
    <row r="561" spans="1:13" s="80" customFormat="1" ht="13.5" outlineLevel="2">
      <c r="A561" s="39" t="s">
        <v>289</v>
      </c>
      <c r="B561" s="40" t="s">
        <v>16</v>
      </c>
      <c r="C561" s="41" t="s">
        <v>121</v>
      </c>
      <c r="D561" s="40" t="s">
        <v>122</v>
      </c>
      <c r="E561" s="24">
        <v>72000000</v>
      </c>
      <c r="F561" s="39">
        <v>43917</v>
      </c>
      <c r="G561" s="24">
        <v>72000000</v>
      </c>
      <c r="H561" s="23">
        <v>5.0000000000000001E-3</v>
      </c>
      <c r="I561" s="39">
        <v>44228</v>
      </c>
      <c r="J561" s="39">
        <v>44255</v>
      </c>
      <c r="K561" s="24">
        <f t="shared" ref="K561:K572" si="38">J561-I561+1</f>
        <v>28</v>
      </c>
      <c r="L561" s="24">
        <f t="shared" ref="L561:L572" si="39">ROUND(G561*H561*K561/365,0)</f>
        <v>27616</v>
      </c>
      <c r="M561" s="24">
        <v>72000000</v>
      </c>
    </row>
    <row r="562" spans="1:13" s="80" customFormat="1" ht="13.5" outlineLevel="2">
      <c r="A562" s="39" t="s">
        <v>289</v>
      </c>
      <c r="B562" s="40" t="s">
        <v>39</v>
      </c>
      <c r="C562" s="41" t="s">
        <v>121</v>
      </c>
      <c r="D562" s="40" t="s">
        <v>122</v>
      </c>
      <c r="E562" s="24">
        <v>144000000</v>
      </c>
      <c r="F562" s="39">
        <v>44018</v>
      </c>
      <c r="G562" s="24">
        <v>144000000</v>
      </c>
      <c r="H562" s="23">
        <v>5.0000000000000001E-3</v>
      </c>
      <c r="I562" s="39">
        <v>44228</v>
      </c>
      <c r="J562" s="39">
        <v>44255</v>
      </c>
      <c r="K562" s="24">
        <f t="shared" si="38"/>
        <v>28</v>
      </c>
      <c r="L562" s="24">
        <f t="shared" si="39"/>
        <v>55233</v>
      </c>
      <c r="M562" s="24">
        <v>144000000</v>
      </c>
    </row>
    <row r="563" spans="1:13" s="80" customFormat="1" ht="13.5" outlineLevel="2">
      <c r="A563" s="39" t="s">
        <v>289</v>
      </c>
      <c r="B563" s="40" t="s">
        <v>54</v>
      </c>
      <c r="C563" s="41" t="s">
        <v>290</v>
      </c>
      <c r="D563" s="40" t="s">
        <v>291</v>
      </c>
      <c r="E563" s="24">
        <v>6820000</v>
      </c>
      <c r="F563" s="39">
        <v>44092</v>
      </c>
      <c r="G563" s="24">
        <v>6365332</v>
      </c>
      <c r="H563" s="23">
        <v>5.0000000000000001E-3</v>
      </c>
      <c r="I563" s="39">
        <v>44228</v>
      </c>
      <c r="J563" s="39">
        <v>44243</v>
      </c>
      <c r="K563" s="24">
        <f t="shared" si="38"/>
        <v>16</v>
      </c>
      <c r="L563" s="24">
        <f t="shared" si="39"/>
        <v>1395</v>
      </c>
      <c r="M563" s="24">
        <v>6251665</v>
      </c>
    </row>
    <row r="564" spans="1:13" s="80" customFormat="1" ht="13.5" outlineLevel="2">
      <c r="A564" s="39" t="s">
        <v>289</v>
      </c>
      <c r="B564" s="40" t="s">
        <v>54</v>
      </c>
      <c r="C564" s="41" t="s">
        <v>290</v>
      </c>
      <c r="D564" s="40"/>
      <c r="E564" s="24"/>
      <c r="F564" s="39"/>
      <c r="G564" s="24">
        <v>6251665</v>
      </c>
      <c r="H564" s="23">
        <v>5.0000000000000001E-3</v>
      </c>
      <c r="I564" s="39">
        <v>44244</v>
      </c>
      <c r="J564" s="39">
        <v>44255</v>
      </c>
      <c r="K564" s="24">
        <f t="shared" si="38"/>
        <v>12</v>
      </c>
      <c r="L564" s="24">
        <f t="shared" si="39"/>
        <v>1028</v>
      </c>
      <c r="M564" s="24"/>
    </row>
    <row r="565" spans="1:13" s="80" customFormat="1" ht="13.5" outlineLevel="2">
      <c r="A565" s="39" t="s">
        <v>289</v>
      </c>
      <c r="B565" s="40" t="s">
        <v>59</v>
      </c>
      <c r="C565" s="41" t="s">
        <v>290</v>
      </c>
      <c r="D565" s="40" t="s">
        <v>291</v>
      </c>
      <c r="E565" s="24">
        <v>17380000</v>
      </c>
      <c r="F565" s="39">
        <v>44092</v>
      </c>
      <c r="G565" s="24">
        <v>15448888</v>
      </c>
      <c r="H565" s="23">
        <v>5.0000000000000001E-3</v>
      </c>
      <c r="I565" s="39">
        <v>44228</v>
      </c>
      <c r="J565" s="39">
        <v>44243</v>
      </c>
      <c r="K565" s="24">
        <f t="shared" si="38"/>
        <v>16</v>
      </c>
      <c r="L565" s="24">
        <f t="shared" si="39"/>
        <v>3386</v>
      </c>
      <c r="M565" s="24">
        <v>14966110</v>
      </c>
    </row>
    <row r="566" spans="1:13" s="80" customFormat="1" ht="13.5" outlineLevel="2">
      <c r="A566" s="39" t="s">
        <v>289</v>
      </c>
      <c r="B566" s="40" t="s">
        <v>59</v>
      </c>
      <c r="C566" s="41" t="s">
        <v>290</v>
      </c>
      <c r="D566" s="40"/>
      <c r="E566" s="24"/>
      <c r="F566" s="39"/>
      <c r="G566" s="24">
        <v>14966110</v>
      </c>
      <c r="H566" s="23">
        <v>5.0000000000000001E-3</v>
      </c>
      <c r="I566" s="39">
        <v>44244</v>
      </c>
      <c r="J566" s="39">
        <v>44255</v>
      </c>
      <c r="K566" s="24">
        <f t="shared" si="38"/>
        <v>12</v>
      </c>
      <c r="L566" s="24">
        <f t="shared" si="39"/>
        <v>2460</v>
      </c>
      <c r="M566" s="24"/>
    </row>
    <row r="567" spans="1:13" s="80" customFormat="1" ht="13.5" outlineLevel="2">
      <c r="A567" s="39" t="s">
        <v>289</v>
      </c>
      <c r="B567" s="40" t="s">
        <v>62</v>
      </c>
      <c r="C567" s="41" t="s">
        <v>121</v>
      </c>
      <c r="D567" s="40" t="s">
        <v>122</v>
      </c>
      <c r="E567" s="24">
        <v>41000000</v>
      </c>
      <c r="F567" s="39">
        <v>44140</v>
      </c>
      <c r="G567" s="24">
        <v>41000000</v>
      </c>
      <c r="H567" s="23">
        <v>5.0000000000000001E-3</v>
      </c>
      <c r="I567" s="39">
        <v>44228</v>
      </c>
      <c r="J567" s="39">
        <v>44255</v>
      </c>
      <c r="K567" s="24">
        <f t="shared" si="38"/>
        <v>28</v>
      </c>
      <c r="L567" s="24">
        <f t="shared" si="39"/>
        <v>15726</v>
      </c>
      <c r="M567" s="24">
        <v>41000000</v>
      </c>
    </row>
    <row r="568" spans="1:13" s="80" customFormat="1" ht="13.5" outlineLevel="2">
      <c r="A568" s="39" t="s">
        <v>289</v>
      </c>
      <c r="B568" s="40" t="s">
        <v>63</v>
      </c>
      <c r="C568" s="41" t="s">
        <v>290</v>
      </c>
      <c r="D568" s="40" t="s">
        <v>291</v>
      </c>
      <c r="E568" s="24">
        <v>3220000</v>
      </c>
      <c r="F568" s="39">
        <v>44161</v>
      </c>
      <c r="G568" s="24">
        <v>3108966</v>
      </c>
      <c r="H568" s="23">
        <v>5.0000000000000001E-3</v>
      </c>
      <c r="I568" s="39">
        <v>44228</v>
      </c>
      <c r="J568" s="39">
        <v>44243</v>
      </c>
      <c r="K568" s="24">
        <f t="shared" si="38"/>
        <v>16</v>
      </c>
      <c r="L568" s="24">
        <f t="shared" si="39"/>
        <v>681</v>
      </c>
      <c r="M568" s="24">
        <v>3053449</v>
      </c>
    </row>
    <row r="569" spans="1:13" s="80" customFormat="1" ht="13.5" outlineLevel="2">
      <c r="A569" s="39" t="s">
        <v>289</v>
      </c>
      <c r="B569" s="40" t="s">
        <v>63</v>
      </c>
      <c r="C569" s="41" t="s">
        <v>290</v>
      </c>
      <c r="D569" s="40"/>
      <c r="E569" s="24"/>
      <c r="F569" s="39"/>
      <c r="G569" s="24">
        <v>3053449</v>
      </c>
      <c r="H569" s="23">
        <v>5.0000000000000001E-3</v>
      </c>
      <c r="I569" s="39">
        <v>44244</v>
      </c>
      <c r="J569" s="39">
        <v>44255</v>
      </c>
      <c r="K569" s="24">
        <f t="shared" si="38"/>
        <v>12</v>
      </c>
      <c r="L569" s="24">
        <f t="shared" si="39"/>
        <v>502</v>
      </c>
      <c r="M569" s="24"/>
    </row>
    <row r="570" spans="1:13" s="80" customFormat="1" ht="13.5" outlineLevel="2">
      <c r="A570" s="39" t="s">
        <v>289</v>
      </c>
      <c r="B570" s="40" t="s">
        <v>64</v>
      </c>
      <c r="C570" s="41" t="s">
        <v>121</v>
      </c>
      <c r="D570" s="40" t="s">
        <v>122</v>
      </c>
      <c r="E570" s="24">
        <v>50000000</v>
      </c>
      <c r="F570" s="39">
        <v>44189</v>
      </c>
      <c r="G570" s="24">
        <v>50000000</v>
      </c>
      <c r="H570" s="23">
        <v>5.0000000000000001E-3</v>
      </c>
      <c r="I570" s="39">
        <v>44228</v>
      </c>
      <c r="J570" s="39">
        <v>44255</v>
      </c>
      <c r="K570" s="24">
        <f t="shared" si="38"/>
        <v>28</v>
      </c>
      <c r="L570" s="24">
        <f t="shared" si="39"/>
        <v>19178</v>
      </c>
      <c r="M570" s="24">
        <v>50000000</v>
      </c>
    </row>
    <row r="571" spans="1:13" s="80" customFormat="1" ht="13.5" outlineLevel="2">
      <c r="A571" s="39" t="s">
        <v>289</v>
      </c>
      <c r="B571" s="40" t="s">
        <v>65</v>
      </c>
      <c r="C571" s="41" t="s">
        <v>121</v>
      </c>
      <c r="D571" s="40" t="s">
        <v>122</v>
      </c>
      <c r="E571" s="24">
        <v>15000000</v>
      </c>
      <c r="F571" s="39">
        <v>44189</v>
      </c>
      <c r="G571" s="24">
        <v>15000000</v>
      </c>
      <c r="H571" s="23">
        <v>5.0000000000000001E-3</v>
      </c>
      <c r="I571" s="39">
        <v>44228</v>
      </c>
      <c r="J571" s="39">
        <v>44255</v>
      </c>
      <c r="K571" s="24">
        <f t="shared" si="38"/>
        <v>28</v>
      </c>
      <c r="L571" s="24">
        <f t="shared" si="39"/>
        <v>5753</v>
      </c>
      <c r="M571" s="24">
        <v>15000000</v>
      </c>
    </row>
    <row r="572" spans="1:13" s="80" customFormat="1" ht="13.5" outlineLevel="2">
      <c r="A572" s="39" t="s">
        <v>289</v>
      </c>
      <c r="B572" s="40" t="s">
        <v>68</v>
      </c>
      <c r="C572" s="41" t="s">
        <v>121</v>
      </c>
      <c r="D572" s="40" t="s">
        <v>122</v>
      </c>
      <c r="E572" s="24">
        <v>850000</v>
      </c>
      <c r="F572" s="39">
        <v>44253</v>
      </c>
      <c r="G572" s="24">
        <v>850000</v>
      </c>
      <c r="H572" s="23">
        <v>5.0000000000000001E-3</v>
      </c>
      <c r="I572" s="39">
        <v>44253</v>
      </c>
      <c r="J572" s="39">
        <v>44255</v>
      </c>
      <c r="K572" s="24">
        <f t="shared" si="38"/>
        <v>3</v>
      </c>
      <c r="L572" s="24">
        <f t="shared" si="39"/>
        <v>35</v>
      </c>
      <c r="M572" s="24">
        <v>850000</v>
      </c>
    </row>
    <row r="573" spans="1:13" s="80" customFormat="1" ht="13.5" outlineLevel="1">
      <c r="A573" s="42" t="s">
        <v>292</v>
      </c>
      <c r="B573" s="43"/>
      <c r="C573" s="44"/>
      <c r="D573" s="43"/>
      <c r="E573" s="45">
        <f>SUBTOTAL(9,E561:E572)</f>
        <v>350270000</v>
      </c>
      <c r="F573" s="46"/>
      <c r="G573" s="45"/>
      <c r="H573" s="47"/>
      <c r="I573" s="46"/>
      <c r="J573" s="46"/>
      <c r="K573" s="45"/>
      <c r="L573" s="45">
        <f>SUBTOTAL(9,L561:L572)</f>
        <v>132993</v>
      </c>
      <c r="M573" s="45">
        <f>SUBTOTAL(9,M561:M572)</f>
        <v>347121224</v>
      </c>
    </row>
    <row r="574" spans="1:13" s="80" customFormat="1" ht="13.5" outlineLevel="2">
      <c r="A574" s="39" t="s">
        <v>293</v>
      </c>
      <c r="B574" s="40" t="s">
        <v>16</v>
      </c>
      <c r="C574" s="41" t="s">
        <v>121</v>
      </c>
      <c r="D574" s="40" t="s">
        <v>122</v>
      </c>
      <c r="E574" s="24">
        <v>190000000</v>
      </c>
      <c r="F574" s="39">
        <v>43797</v>
      </c>
      <c r="G574" s="24">
        <v>190000000</v>
      </c>
      <c r="H574" s="23">
        <v>5.0000000000000001E-3</v>
      </c>
      <c r="I574" s="39">
        <v>44228</v>
      </c>
      <c r="J574" s="39">
        <v>44255</v>
      </c>
      <c r="K574" s="24">
        <f t="shared" ref="K574:K608" si="40">J574-I574+1</f>
        <v>28</v>
      </c>
      <c r="L574" s="24">
        <f t="shared" ref="L574:L608" si="41">ROUND(G574*H574*K574/365,0)</f>
        <v>72877</v>
      </c>
      <c r="M574" s="24">
        <v>190000000</v>
      </c>
    </row>
    <row r="575" spans="1:13" s="80" customFormat="1" ht="13.5" outlineLevel="2">
      <c r="A575" s="39" t="s">
        <v>293</v>
      </c>
      <c r="B575" s="40" t="s">
        <v>19</v>
      </c>
      <c r="C575" s="41" t="s">
        <v>55</v>
      </c>
      <c r="D575" s="40" t="s">
        <v>56</v>
      </c>
      <c r="E575" s="24">
        <v>1310400</v>
      </c>
      <c r="F575" s="39">
        <v>44043</v>
      </c>
      <c r="G575" s="24">
        <v>1167450</v>
      </c>
      <c r="H575" s="23">
        <v>5.0000000000000001E-3</v>
      </c>
      <c r="I575" s="39">
        <v>44228</v>
      </c>
      <c r="J575" s="39">
        <v>44243</v>
      </c>
      <c r="K575" s="24">
        <f t="shared" si="40"/>
        <v>16</v>
      </c>
      <c r="L575" s="24">
        <f t="shared" si="41"/>
        <v>256</v>
      </c>
      <c r="M575" s="24">
        <v>1143625</v>
      </c>
    </row>
    <row r="576" spans="1:13" s="80" customFormat="1" ht="13.5" outlineLevel="2">
      <c r="A576" s="39" t="s">
        <v>293</v>
      </c>
      <c r="B576" s="40" t="s">
        <v>19</v>
      </c>
      <c r="C576" s="41" t="s">
        <v>55</v>
      </c>
      <c r="D576" s="40"/>
      <c r="E576" s="24"/>
      <c r="F576" s="39"/>
      <c r="G576" s="24">
        <v>1143625</v>
      </c>
      <c r="H576" s="23">
        <v>5.0000000000000001E-3</v>
      </c>
      <c r="I576" s="39">
        <v>44244</v>
      </c>
      <c r="J576" s="39">
        <v>44255</v>
      </c>
      <c r="K576" s="24">
        <f t="shared" si="40"/>
        <v>12</v>
      </c>
      <c r="L576" s="24">
        <f t="shared" si="41"/>
        <v>188</v>
      </c>
      <c r="M576" s="24"/>
    </row>
    <row r="577" spans="1:13" s="80" customFormat="1" ht="13.5" outlineLevel="2">
      <c r="A577" s="39" t="s">
        <v>293</v>
      </c>
      <c r="B577" s="40" t="s">
        <v>22</v>
      </c>
      <c r="C577" s="41" t="s">
        <v>20</v>
      </c>
      <c r="D577" s="40" t="s">
        <v>21</v>
      </c>
      <c r="E577" s="24">
        <v>201600000</v>
      </c>
      <c r="F577" s="39">
        <v>44028</v>
      </c>
      <c r="G577" s="24">
        <v>201600000</v>
      </c>
      <c r="H577" s="23">
        <v>3.0000000000000001E-3</v>
      </c>
      <c r="I577" s="39">
        <v>44228</v>
      </c>
      <c r="J577" s="39">
        <v>44255</v>
      </c>
      <c r="K577" s="24">
        <f t="shared" si="40"/>
        <v>28</v>
      </c>
      <c r="L577" s="24">
        <f t="shared" si="41"/>
        <v>46396</v>
      </c>
      <c r="M577" s="24">
        <v>201600000</v>
      </c>
    </row>
    <row r="578" spans="1:13" s="80" customFormat="1" ht="13.5" outlineLevel="2">
      <c r="A578" s="39" t="s">
        <v>293</v>
      </c>
      <c r="B578" s="40" t="s">
        <v>25</v>
      </c>
      <c r="C578" s="41" t="s">
        <v>294</v>
      </c>
      <c r="D578" s="40" t="s">
        <v>295</v>
      </c>
      <c r="E578" s="24">
        <v>67678400</v>
      </c>
      <c r="F578" s="39">
        <v>44041</v>
      </c>
      <c r="G578" s="24">
        <v>67678400</v>
      </c>
      <c r="H578" s="23">
        <v>5.0000000000000001E-3</v>
      </c>
      <c r="I578" s="39">
        <v>44228</v>
      </c>
      <c r="J578" s="39">
        <v>44255</v>
      </c>
      <c r="K578" s="24">
        <f t="shared" si="40"/>
        <v>28</v>
      </c>
      <c r="L578" s="24">
        <f t="shared" si="41"/>
        <v>25959</v>
      </c>
      <c r="M578" s="24">
        <v>67678400</v>
      </c>
    </row>
    <row r="579" spans="1:13" s="80" customFormat="1" ht="13.5" outlineLevel="2">
      <c r="A579" s="39" t="s">
        <v>293</v>
      </c>
      <c r="B579" s="40" t="s">
        <v>26</v>
      </c>
      <c r="C579" s="41" t="s">
        <v>294</v>
      </c>
      <c r="D579" s="40" t="s">
        <v>295</v>
      </c>
      <c r="E579" s="24">
        <v>56400000</v>
      </c>
      <c r="F579" s="39">
        <v>44060</v>
      </c>
      <c r="G579" s="24">
        <v>56400000</v>
      </c>
      <c r="H579" s="23">
        <v>5.0000000000000001E-3</v>
      </c>
      <c r="I579" s="39">
        <v>44228</v>
      </c>
      <c r="J579" s="39">
        <v>44255</v>
      </c>
      <c r="K579" s="24">
        <f t="shared" si="40"/>
        <v>28</v>
      </c>
      <c r="L579" s="24">
        <f t="shared" si="41"/>
        <v>21633</v>
      </c>
      <c r="M579" s="24">
        <v>56400000</v>
      </c>
    </row>
    <row r="580" spans="1:13" s="80" customFormat="1" ht="13.5" outlineLevel="2">
      <c r="A580" s="39" t="s">
        <v>293</v>
      </c>
      <c r="B580" s="40" t="s">
        <v>29</v>
      </c>
      <c r="C580" s="41" t="s">
        <v>294</v>
      </c>
      <c r="D580" s="40" t="s">
        <v>295</v>
      </c>
      <c r="E580" s="24">
        <v>56400000</v>
      </c>
      <c r="F580" s="39">
        <v>44089</v>
      </c>
      <c r="G580" s="24">
        <v>56400000</v>
      </c>
      <c r="H580" s="23">
        <v>5.0000000000000001E-3</v>
      </c>
      <c r="I580" s="39">
        <v>44228</v>
      </c>
      <c r="J580" s="39">
        <v>44255</v>
      </c>
      <c r="K580" s="24">
        <f t="shared" si="40"/>
        <v>28</v>
      </c>
      <c r="L580" s="24">
        <f t="shared" si="41"/>
        <v>21633</v>
      </c>
      <c r="M580" s="24">
        <v>56400000</v>
      </c>
    </row>
    <row r="581" spans="1:13" s="80" customFormat="1" ht="13.5" outlineLevel="2">
      <c r="A581" s="39" t="s">
        <v>293</v>
      </c>
      <c r="B581" s="40" t="s">
        <v>32</v>
      </c>
      <c r="C581" s="41" t="s">
        <v>294</v>
      </c>
      <c r="D581" s="40" t="s">
        <v>295</v>
      </c>
      <c r="E581" s="24">
        <v>56400000</v>
      </c>
      <c r="F581" s="39">
        <v>44119</v>
      </c>
      <c r="G581" s="24">
        <v>56400000</v>
      </c>
      <c r="H581" s="23">
        <v>5.0000000000000001E-3</v>
      </c>
      <c r="I581" s="39">
        <v>44228</v>
      </c>
      <c r="J581" s="39">
        <v>44255</v>
      </c>
      <c r="K581" s="24">
        <f t="shared" si="40"/>
        <v>28</v>
      </c>
      <c r="L581" s="24">
        <f t="shared" si="41"/>
        <v>21633</v>
      </c>
      <c r="M581" s="24">
        <v>56400000</v>
      </c>
    </row>
    <row r="582" spans="1:13" s="80" customFormat="1" ht="13.5" outlineLevel="2">
      <c r="A582" s="39" t="s">
        <v>293</v>
      </c>
      <c r="B582" s="40" t="s">
        <v>33</v>
      </c>
      <c r="C582" s="41" t="s">
        <v>55</v>
      </c>
      <c r="D582" s="40" t="s">
        <v>56</v>
      </c>
      <c r="E582" s="24">
        <v>1169666</v>
      </c>
      <c r="F582" s="39">
        <v>44134</v>
      </c>
      <c r="G582" s="24">
        <v>1102184</v>
      </c>
      <c r="H582" s="23">
        <v>5.0000000000000001E-3</v>
      </c>
      <c r="I582" s="39">
        <v>44228</v>
      </c>
      <c r="J582" s="39">
        <v>44243</v>
      </c>
      <c r="K582" s="24">
        <f t="shared" si="40"/>
        <v>16</v>
      </c>
      <c r="L582" s="24">
        <f t="shared" si="41"/>
        <v>242</v>
      </c>
      <c r="M582" s="24">
        <v>1079690</v>
      </c>
    </row>
    <row r="583" spans="1:13" s="80" customFormat="1" ht="13.5" outlineLevel="2">
      <c r="A583" s="39" t="s">
        <v>293</v>
      </c>
      <c r="B583" s="40" t="s">
        <v>33</v>
      </c>
      <c r="C583" s="41" t="s">
        <v>55</v>
      </c>
      <c r="D583" s="40"/>
      <c r="E583" s="24"/>
      <c r="F583" s="39"/>
      <c r="G583" s="24">
        <v>1079690</v>
      </c>
      <c r="H583" s="23">
        <v>5.0000000000000001E-3</v>
      </c>
      <c r="I583" s="39">
        <v>44244</v>
      </c>
      <c r="J583" s="39">
        <v>44255</v>
      </c>
      <c r="K583" s="24">
        <f t="shared" si="40"/>
        <v>12</v>
      </c>
      <c r="L583" s="24">
        <f t="shared" si="41"/>
        <v>177</v>
      </c>
      <c r="M583" s="24"/>
    </row>
    <row r="584" spans="1:13" s="80" customFormat="1" ht="13.5" outlineLevel="2">
      <c r="A584" s="39" t="s">
        <v>293</v>
      </c>
      <c r="B584" s="40" t="s">
        <v>34</v>
      </c>
      <c r="C584" s="41" t="s">
        <v>294</v>
      </c>
      <c r="D584" s="40" t="s">
        <v>295</v>
      </c>
      <c r="E584" s="24">
        <v>56400000</v>
      </c>
      <c r="F584" s="39">
        <v>44151</v>
      </c>
      <c r="G584" s="24">
        <v>56400000</v>
      </c>
      <c r="H584" s="23">
        <v>5.0000000000000001E-3</v>
      </c>
      <c r="I584" s="39">
        <v>44228</v>
      </c>
      <c r="J584" s="39">
        <v>44255</v>
      </c>
      <c r="K584" s="24">
        <f t="shared" si="40"/>
        <v>28</v>
      </c>
      <c r="L584" s="24">
        <f t="shared" si="41"/>
        <v>21633</v>
      </c>
      <c r="M584" s="24">
        <v>56400000</v>
      </c>
    </row>
    <row r="585" spans="1:13" s="80" customFormat="1" ht="13.5" outlineLevel="2">
      <c r="A585" s="39" t="s">
        <v>293</v>
      </c>
      <c r="B585" s="40" t="s">
        <v>35</v>
      </c>
      <c r="C585" s="41" t="s">
        <v>115</v>
      </c>
      <c r="D585" s="40" t="s">
        <v>116</v>
      </c>
      <c r="E585" s="24">
        <v>2230000</v>
      </c>
      <c r="F585" s="39">
        <v>44138</v>
      </c>
      <c r="G585" s="24">
        <v>2230000</v>
      </c>
      <c r="H585" s="23">
        <v>5.0000000000000001E-3</v>
      </c>
      <c r="I585" s="39">
        <v>44228</v>
      </c>
      <c r="J585" s="39">
        <v>44255</v>
      </c>
      <c r="K585" s="24">
        <f t="shared" si="40"/>
        <v>28</v>
      </c>
      <c r="L585" s="24">
        <f t="shared" si="41"/>
        <v>855</v>
      </c>
      <c r="M585" s="24">
        <v>2230000</v>
      </c>
    </row>
    <row r="586" spans="1:13" s="80" customFormat="1" ht="13.5" outlineLevel="2">
      <c r="A586" s="39" t="s">
        <v>293</v>
      </c>
      <c r="B586" s="40" t="s">
        <v>36</v>
      </c>
      <c r="C586" s="41" t="s">
        <v>294</v>
      </c>
      <c r="D586" s="40" t="s">
        <v>295</v>
      </c>
      <c r="E586" s="24">
        <v>112800000</v>
      </c>
      <c r="F586" s="39">
        <v>44180</v>
      </c>
      <c r="G586" s="24">
        <v>112800000</v>
      </c>
      <c r="H586" s="23">
        <v>5.0000000000000001E-3</v>
      </c>
      <c r="I586" s="39">
        <v>44228</v>
      </c>
      <c r="J586" s="39">
        <v>44255</v>
      </c>
      <c r="K586" s="24">
        <f t="shared" si="40"/>
        <v>28</v>
      </c>
      <c r="L586" s="24">
        <f t="shared" si="41"/>
        <v>43266</v>
      </c>
      <c r="M586" s="24">
        <v>112800000</v>
      </c>
    </row>
    <row r="587" spans="1:13" s="80" customFormat="1" ht="13.5" outlineLevel="2">
      <c r="A587" s="39" t="s">
        <v>293</v>
      </c>
      <c r="B587" s="40" t="s">
        <v>39</v>
      </c>
      <c r="C587" s="41" t="s">
        <v>121</v>
      </c>
      <c r="D587" s="40" t="s">
        <v>122</v>
      </c>
      <c r="E587" s="24">
        <v>37000000</v>
      </c>
      <c r="F587" s="39">
        <v>43829</v>
      </c>
      <c r="G587" s="24">
        <v>37000000</v>
      </c>
      <c r="H587" s="23">
        <v>5.0000000000000001E-3</v>
      </c>
      <c r="I587" s="39">
        <v>44228</v>
      </c>
      <c r="J587" s="39">
        <v>44255</v>
      </c>
      <c r="K587" s="24">
        <f t="shared" si="40"/>
        <v>28</v>
      </c>
      <c r="L587" s="24">
        <f t="shared" si="41"/>
        <v>14192</v>
      </c>
      <c r="M587" s="24">
        <v>37000000</v>
      </c>
    </row>
    <row r="588" spans="1:13" s="80" customFormat="1" ht="13.5" outlineLevel="2">
      <c r="A588" s="39" t="s">
        <v>293</v>
      </c>
      <c r="B588" s="40" t="s">
        <v>40</v>
      </c>
      <c r="C588" s="41" t="s">
        <v>294</v>
      </c>
      <c r="D588" s="40" t="s">
        <v>295</v>
      </c>
      <c r="E588" s="24">
        <v>3667200</v>
      </c>
      <c r="F588" s="39">
        <v>44180</v>
      </c>
      <c r="G588" s="24">
        <v>3667200</v>
      </c>
      <c r="H588" s="23">
        <v>5.0000000000000001E-3</v>
      </c>
      <c r="I588" s="39">
        <v>44228</v>
      </c>
      <c r="J588" s="39">
        <v>44255</v>
      </c>
      <c r="K588" s="24">
        <f t="shared" si="40"/>
        <v>28</v>
      </c>
      <c r="L588" s="24">
        <f t="shared" si="41"/>
        <v>1407</v>
      </c>
      <c r="M588" s="24">
        <v>3667200</v>
      </c>
    </row>
    <row r="589" spans="1:13" s="80" customFormat="1" ht="13.5" outlineLevel="2">
      <c r="A589" s="39" t="s">
        <v>293</v>
      </c>
      <c r="B589" s="40" t="s">
        <v>41</v>
      </c>
      <c r="C589" s="41" t="s">
        <v>132</v>
      </c>
      <c r="D589" s="40" t="s">
        <v>133</v>
      </c>
      <c r="E589" s="24">
        <v>30870000</v>
      </c>
      <c r="F589" s="39">
        <v>44175</v>
      </c>
      <c r="G589" s="24">
        <v>30870000</v>
      </c>
      <c r="H589" s="23">
        <v>5.0000000000000001E-3</v>
      </c>
      <c r="I589" s="39">
        <v>44228</v>
      </c>
      <c r="J589" s="39">
        <v>44255</v>
      </c>
      <c r="K589" s="24">
        <f t="shared" si="40"/>
        <v>28</v>
      </c>
      <c r="L589" s="24">
        <f t="shared" si="41"/>
        <v>11841</v>
      </c>
      <c r="M589" s="24">
        <v>30870000</v>
      </c>
    </row>
    <row r="590" spans="1:13" s="80" customFormat="1" ht="13.5" outlineLevel="2">
      <c r="A590" s="39" t="s">
        <v>293</v>
      </c>
      <c r="B590" s="40" t="s">
        <v>42</v>
      </c>
      <c r="C590" s="41" t="s">
        <v>294</v>
      </c>
      <c r="D590" s="40" t="s">
        <v>295</v>
      </c>
      <c r="E590" s="24">
        <v>57011200</v>
      </c>
      <c r="F590" s="39">
        <v>44211</v>
      </c>
      <c r="G590" s="24">
        <v>57011200</v>
      </c>
      <c r="H590" s="23">
        <v>5.0000000000000001E-3</v>
      </c>
      <c r="I590" s="39">
        <v>44228</v>
      </c>
      <c r="J590" s="39">
        <v>44255</v>
      </c>
      <c r="K590" s="24">
        <f t="shared" si="40"/>
        <v>28</v>
      </c>
      <c r="L590" s="24">
        <f t="shared" si="41"/>
        <v>21867</v>
      </c>
      <c r="M590" s="24">
        <v>57011200</v>
      </c>
    </row>
    <row r="591" spans="1:13" s="80" customFormat="1" ht="13.5" outlineLevel="2">
      <c r="A591" s="39" t="s">
        <v>293</v>
      </c>
      <c r="B591" s="40" t="s">
        <v>43</v>
      </c>
      <c r="C591" s="41" t="s">
        <v>115</v>
      </c>
      <c r="D591" s="40" t="s">
        <v>116</v>
      </c>
      <c r="E591" s="24">
        <v>10000000</v>
      </c>
      <c r="F591" s="39">
        <v>44225</v>
      </c>
      <c r="G591" s="24">
        <v>10000000</v>
      </c>
      <c r="H591" s="23">
        <v>5.0000000000000001E-3</v>
      </c>
      <c r="I591" s="39">
        <v>44228</v>
      </c>
      <c r="J591" s="39">
        <v>44255</v>
      </c>
      <c r="K591" s="24">
        <f t="shared" si="40"/>
        <v>28</v>
      </c>
      <c r="L591" s="24">
        <f t="shared" si="41"/>
        <v>3836</v>
      </c>
      <c r="M591" s="24">
        <v>10000000</v>
      </c>
    </row>
    <row r="592" spans="1:13" s="80" customFormat="1" ht="13.5" outlineLevel="2">
      <c r="A592" s="39" t="s">
        <v>293</v>
      </c>
      <c r="B592" s="40" t="s">
        <v>44</v>
      </c>
      <c r="C592" s="41" t="s">
        <v>132</v>
      </c>
      <c r="D592" s="40" t="s">
        <v>133</v>
      </c>
      <c r="E592" s="24">
        <v>5880000</v>
      </c>
      <c r="F592" s="39">
        <v>44207</v>
      </c>
      <c r="G592" s="24">
        <v>5880000</v>
      </c>
      <c r="H592" s="23">
        <v>5.0000000000000001E-3</v>
      </c>
      <c r="I592" s="39">
        <v>44228</v>
      </c>
      <c r="J592" s="39">
        <v>44255</v>
      </c>
      <c r="K592" s="24">
        <f t="shared" si="40"/>
        <v>28</v>
      </c>
      <c r="L592" s="24">
        <f t="shared" si="41"/>
        <v>2255</v>
      </c>
      <c r="M592" s="24">
        <v>5880000</v>
      </c>
    </row>
    <row r="593" spans="1:13" s="80" customFormat="1" ht="13.5" outlineLevel="2">
      <c r="A593" s="39" t="s">
        <v>293</v>
      </c>
      <c r="B593" s="40" t="s">
        <v>47</v>
      </c>
      <c r="C593" s="41" t="s">
        <v>132</v>
      </c>
      <c r="D593" s="40" t="s">
        <v>133</v>
      </c>
      <c r="E593" s="24">
        <v>660000</v>
      </c>
      <c r="F593" s="39">
        <v>44221</v>
      </c>
      <c r="G593" s="24">
        <v>660000</v>
      </c>
      <c r="H593" s="23">
        <v>5.0000000000000001E-3</v>
      </c>
      <c r="I593" s="39">
        <v>44228</v>
      </c>
      <c r="J593" s="39">
        <v>44255</v>
      </c>
      <c r="K593" s="24">
        <f t="shared" si="40"/>
        <v>28</v>
      </c>
      <c r="L593" s="24">
        <f t="shared" si="41"/>
        <v>253</v>
      </c>
      <c r="M593" s="24">
        <v>660000</v>
      </c>
    </row>
    <row r="594" spans="1:13" s="80" customFormat="1" ht="13.5" outlineLevel="2">
      <c r="A594" s="39" t="s">
        <v>293</v>
      </c>
      <c r="B594" s="40" t="s">
        <v>50</v>
      </c>
      <c r="C594" s="41" t="s">
        <v>132</v>
      </c>
      <c r="D594" s="40" t="s">
        <v>133</v>
      </c>
      <c r="E594" s="24">
        <v>4160000</v>
      </c>
      <c r="F594" s="39">
        <v>44207</v>
      </c>
      <c r="G594" s="24">
        <v>4160000</v>
      </c>
      <c r="H594" s="23">
        <v>5.0000000000000001E-3</v>
      </c>
      <c r="I594" s="39">
        <v>44228</v>
      </c>
      <c r="J594" s="39">
        <v>44255</v>
      </c>
      <c r="K594" s="24">
        <f t="shared" si="40"/>
        <v>28</v>
      </c>
      <c r="L594" s="24">
        <f t="shared" si="41"/>
        <v>1596</v>
      </c>
      <c r="M594" s="24">
        <v>4160000</v>
      </c>
    </row>
    <row r="595" spans="1:13" s="80" customFormat="1" ht="13.5" outlineLevel="2">
      <c r="A595" s="39" t="s">
        <v>293</v>
      </c>
      <c r="B595" s="40" t="s">
        <v>51</v>
      </c>
      <c r="C595" s="41" t="s">
        <v>294</v>
      </c>
      <c r="D595" s="40" t="s">
        <v>295</v>
      </c>
      <c r="E595" s="24">
        <v>64400000</v>
      </c>
      <c r="F595" s="39">
        <v>44236</v>
      </c>
      <c r="G595" s="24">
        <v>64400000</v>
      </c>
      <c r="H595" s="23">
        <v>5.0000000000000001E-3</v>
      </c>
      <c r="I595" s="39">
        <v>44236</v>
      </c>
      <c r="J595" s="39">
        <v>44255</v>
      </c>
      <c r="K595" s="24">
        <f t="shared" si="40"/>
        <v>20</v>
      </c>
      <c r="L595" s="24">
        <f t="shared" si="41"/>
        <v>17644</v>
      </c>
      <c r="M595" s="24">
        <v>64400000</v>
      </c>
    </row>
    <row r="596" spans="1:13" s="80" customFormat="1" ht="13.5" outlineLevel="2">
      <c r="A596" s="39" t="s">
        <v>293</v>
      </c>
      <c r="B596" s="40" t="s">
        <v>52</v>
      </c>
      <c r="C596" s="41" t="s">
        <v>294</v>
      </c>
      <c r="D596" s="40" t="s">
        <v>295</v>
      </c>
      <c r="E596" s="24">
        <v>57011200</v>
      </c>
      <c r="F596" s="39">
        <v>44245</v>
      </c>
      <c r="G596" s="24">
        <v>57011200</v>
      </c>
      <c r="H596" s="23">
        <v>5.0000000000000001E-3</v>
      </c>
      <c r="I596" s="39">
        <v>44245</v>
      </c>
      <c r="J596" s="39">
        <v>44255</v>
      </c>
      <c r="K596" s="24">
        <f t="shared" si="40"/>
        <v>11</v>
      </c>
      <c r="L596" s="24">
        <f t="shared" si="41"/>
        <v>8591</v>
      </c>
      <c r="M596" s="24">
        <v>57011200</v>
      </c>
    </row>
    <row r="597" spans="1:13" s="80" customFormat="1" ht="13.5" outlineLevel="2">
      <c r="A597" s="39" t="s">
        <v>293</v>
      </c>
      <c r="B597" s="40" t="s">
        <v>53</v>
      </c>
      <c r="C597" s="41" t="s">
        <v>132</v>
      </c>
      <c r="D597" s="40" t="s">
        <v>133</v>
      </c>
      <c r="E597" s="24">
        <v>3640000</v>
      </c>
      <c r="F597" s="39">
        <v>44244</v>
      </c>
      <c r="G597" s="24">
        <v>3640000</v>
      </c>
      <c r="H597" s="23">
        <v>5.0000000000000001E-3</v>
      </c>
      <c r="I597" s="39">
        <v>44244</v>
      </c>
      <c r="J597" s="39">
        <v>44255</v>
      </c>
      <c r="K597" s="24">
        <f t="shared" si="40"/>
        <v>12</v>
      </c>
      <c r="L597" s="24">
        <f t="shared" si="41"/>
        <v>598</v>
      </c>
      <c r="M597" s="24">
        <v>3640000</v>
      </c>
    </row>
    <row r="598" spans="1:13" s="80" customFormat="1" ht="13.5" outlineLevel="2">
      <c r="A598" s="39" t="s">
        <v>293</v>
      </c>
      <c r="B598" s="40" t="s">
        <v>54</v>
      </c>
      <c r="C598" s="41" t="s">
        <v>55</v>
      </c>
      <c r="D598" s="40" t="s">
        <v>56</v>
      </c>
      <c r="E598" s="24">
        <v>17276700</v>
      </c>
      <c r="F598" s="39">
        <v>43878</v>
      </c>
      <c r="G598" s="24">
        <v>14109305</v>
      </c>
      <c r="H598" s="23">
        <v>5.0000000000000001E-3</v>
      </c>
      <c r="I598" s="39">
        <v>44228</v>
      </c>
      <c r="J598" s="39">
        <v>44243</v>
      </c>
      <c r="K598" s="24">
        <f t="shared" si="40"/>
        <v>16</v>
      </c>
      <c r="L598" s="24">
        <f t="shared" si="41"/>
        <v>3092</v>
      </c>
      <c r="M598" s="24">
        <v>13821360</v>
      </c>
    </row>
    <row r="599" spans="1:13" s="80" customFormat="1" ht="13.5" outlineLevel="2">
      <c r="A599" s="39" t="s">
        <v>293</v>
      </c>
      <c r="B599" s="40" t="s">
        <v>54</v>
      </c>
      <c r="C599" s="41" t="s">
        <v>55</v>
      </c>
      <c r="D599" s="40"/>
      <c r="E599" s="24"/>
      <c r="F599" s="39"/>
      <c r="G599" s="24">
        <v>13821360</v>
      </c>
      <c r="H599" s="23">
        <v>5.0000000000000001E-3</v>
      </c>
      <c r="I599" s="39">
        <v>44244</v>
      </c>
      <c r="J599" s="39">
        <v>44255</v>
      </c>
      <c r="K599" s="24">
        <f t="shared" si="40"/>
        <v>12</v>
      </c>
      <c r="L599" s="24">
        <f t="shared" si="41"/>
        <v>2272</v>
      </c>
      <c r="M599" s="24"/>
    </row>
    <row r="600" spans="1:13" s="80" customFormat="1" ht="13.5" outlineLevel="2">
      <c r="A600" s="39" t="s">
        <v>293</v>
      </c>
      <c r="B600" s="40" t="s">
        <v>57</v>
      </c>
      <c r="C600" s="41" t="s">
        <v>132</v>
      </c>
      <c r="D600" s="40" t="s">
        <v>133</v>
      </c>
      <c r="E600" s="24">
        <v>7500000</v>
      </c>
      <c r="F600" s="39">
        <v>44228</v>
      </c>
      <c r="G600" s="24">
        <v>7500000</v>
      </c>
      <c r="H600" s="23">
        <v>5.0000000000000001E-3</v>
      </c>
      <c r="I600" s="39">
        <v>44228</v>
      </c>
      <c r="J600" s="39">
        <v>44255</v>
      </c>
      <c r="K600" s="24">
        <f t="shared" si="40"/>
        <v>28</v>
      </c>
      <c r="L600" s="24">
        <f t="shared" si="41"/>
        <v>2877</v>
      </c>
      <c r="M600" s="24">
        <v>7500000</v>
      </c>
    </row>
    <row r="601" spans="1:13" s="80" customFormat="1" ht="13.5" outlineLevel="2">
      <c r="A601" s="39" t="s">
        <v>293</v>
      </c>
      <c r="B601" s="40" t="s">
        <v>58</v>
      </c>
      <c r="C601" s="41" t="s">
        <v>132</v>
      </c>
      <c r="D601" s="40" t="s">
        <v>133</v>
      </c>
      <c r="E601" s="24">
        <v>7490000</v>
      </c>
      <c r="F601" s="39">
        <v>44235</v>
      </c>
      <c r="G601" s="24">
        <v>7490000</v>
      </c>
      <c r="H601" s="23">
        <v>5.0000000000000001E-3</v>
      </c>
      <c r="I601" s="39">
        <v>44235</v>
      </c>
      <c r="J601" s="39">
        <v>44255</v>
      </c>
      <c r="K601" s="24">
        <f t="shared" si="40"/>
        <v>21</v>
      </c>
      <c r="L601" s="24">
        <f t="shared" si="41"/>
        <v>2155</v>
      </c>
      <c r="M601" s="24">
        <v>7490000</v>
      </c>
    </row>
    <row r="602" spans="1:13" s="80" customFormat="1" ht="13.5" outlineLevel="2">
      <c r="A602" s="39" t="s">
        <v>293</v>
      </c>
      <c r="B602" s="40" t="s">
        <v>99</v>
      </c>
      <c r="C602" s="41" t="s">
        <v>132</v>
      </c>
      <c r="D602" s="40" t="s">
        <v>133</v>
      </c>
      <c r="E602" s="24">
        <v>6670000</v>
      </c>
      <c r="F602" s="39">
        <v>44252</v>
      </c>
      <c r="G602" s="24">
        <v>6670000</v>
      </c>
      <c r="H602" s="23">
        <v>5.0000000000000001E-3</v>
      </c>
      <c r="I602" s="39">
        <v>44252</v>
      </c>
      <c r="J602" s="39">
        <v>44255</v>
      </c>
      <c r="K602" s="24">
        <f t="shared" si="40"/>
        <v>4</v>
      </c>
      <c r="L602" s="24">
        <f t="shared" si="41"/>
        <v>365</v>
      </c>
      <c r="M602" s="24">
        <v>6670000</v>
      </c>
    </row>
    <row r="603" spans="1:13" s="80" customFormat="1" ht="13.5" outlineLevel="2">
      <c r="A603" s="39" t="s">
        <v>293</v>
      </c>
      <c r="B603" s="40" t="s">
        <v>59</v>
      </c>
      <c r="C603" s="41" t="s">
        <v>121</v>
      </c>
      <c r="D603" s="40" t="s">
        <v>122</v>
      </c>
      <c r="E603" s="24">
        <v>73000000</v>
      </c>
      <c r="F603" s="39">
        <v>43896</v>
      </c>
      <c r="G603" s="24">
        <v>73000000</v>
      </c>
      <c r="H603" s="23">
        <v>5.0000000000000001E-3</v>
      </c>
      <c r="I603" s="39">
        <v>44228</v>
      </c>
      <c r="J603" s="39">
        <v>44255</v>
      </c>
      <c r="K603" s="24">
        <f t="shared" si="40"/>
        <v>28</v>
      </c>
      <c r="L603" s="24">
        <f t="shared" si="41"/>
        <v>28000</v>
      </c>
      <c r="M603" s="24">
        <v>73000000</v>
      </c>
    </row>
    <row r="604" spans="1:13" s="80" customFormat="1" ht="13.5" outlineLevel="2">
      <c r="A604" s="39" t="s">
        <v>293</v>
      </c>
      <c r="B604" s="40" t="s">
        <v>62</v>
      </c>
      <c r="C604" s="41" t="s">
        <v>55</v>
      </c>
      <c r="D604" s="40" t="s">
        <v>56</v>
      </c>
      <c r="E604" s="24">
        <v>19997321</v>
      </c>
      <c r="F604" s="39">
        <v>43948</v>
      </c>
      <c r="G604" s="24">
        <v>19997321</v>
      </c>
      <c r="H604" s="23">
        <v>5.0000000000000001E-3</v>
      </c>
      <c r="I604" s="39">
        <v>44228</v>
      </c>
      <c r="J604" s="39">
        <v>44255</v>
      </c>
      <c r="K604" s="24">
        <f t="shared" si="40"/>
        <v>28</v>
      </c>
      <c r="L604" s="24">
        <f t="shared" si="41"/>
        <v>7670</v>
      </c>
      <c r="M604" s="24">
        <v>19997321</v>
      </c>
    </row>
    <row r="605" spans="1:13" s="80" customFormat="1" ht="13.5" outlineLevel="2">
      <c r="A605" s="39" t="s">
        <v>293</v>
      </c>
      <c r="B605" s="40" t="s">
        <v>63</v>
      </c>
      <c r="C605" s="41" t="s">
        <v>20</v>
      </c>
      <c r="D605" s="40" t="s">
        <v>21</v>
      </c>
      <c r="E605" s="24">
        <v>242400000</v>
      </c>
      <c r="F605" s="39">
        <v>43930</v>
      </c>
      <c r="G605" s="24">
        <v>242400000</v>
      </c>
      <c r="H605" s="23">
        <v>3.0000000000000001E-3</v>
      </c>
      <c r="I605" s="39">
        <v>44228</v>
      </c>
      <c r="J605" s="39">
        <v>44255</v>
      </c>
      <c r="K605" s="24">
        <f t="shared" si="40"/>
        <v>28</v>
      </c>
      <c r="L605" s="24">
        <f t="shared" si="41"/>
        <v>55785</v>
      </c>
      <c r="M605" s="24">
        <v>242400000</v>
      </c>
    </row>
    <row r="606" spans="1:13" s="80" customFormat="1" ht="13.5" outlineLevel="2">
      <c r="A606" s="39" t="s">
        <v>293</v>
      </c>
      <c r="B606" s="40" t="s">
        <v>64</v>
      </c>
      <c r="C606" s="41" t="s">
        <v>20</v>
      </c>
      <c r="D606" s="40" t="s">
        <v>21</v>
      </c>
      <c r="E606" s="24">
        <v>156000000</v>
      </c>
      <c r="F606" s="39">
        <v>43958</v>
      </c>
      <c r="G606" s="24">
        <v>156000000</v>
      </c>
      <c r="H606" s="23">
        <v>3.0000000000000001E-3</v>
      </c>
      <c r="I606" s="39">
        <v>44228</v>
      </c>
      <c r="J606" s="39">
        <v>44255</v>
      </c>
      <c r="K606" s="24">
        <f t="shared" si="40"/>
        <v>28</v>
      </c>
      <c r="L606" s="24">
        <f t="shared" si="41"/>
        <v>35901</v>
      </c>
      <c r="M606" s="24">
        <v>156000000</v>
      </c>
    </row>
    <row r="607" spans="1:13" s="80" customFormat="1" ht="13.5" outlineLevel="2">
      <c r="A607" s="39" t="s">
        <v>293</v>
      </c>
      <c r="B607" s="40" t="s">
        <v>65</v>
      </c>
      <c r="C607" s="41" t="s">
        <v>294</v>
      </c>
      <c r="D607" s="40" t="s">
        <v>295</v>
      </c>
      <c r="E607" s="24">
        <v>33840000</v>
      </c>
      <c r="F607" s="39">
        <v>43986</v>
      </c>
      <c r="G607" s="24">
        <v>33840000</v>
      </c>
      <c r="H607" s="23">
        <v>5.0000000000000001E-3</v>
      </c>
      <c r="I607" s="39">
        <v>44228</v>
      </c>
      <c r="J607" s="39">
        <v>44255</v>
      </c>
      <c r="K607" s="24">
        <f t="shared" si="40"/>
        <v>28</v>
      </c>
      <c r="L607" s="24">
        <f t="shared" si="41"/>
        <v>12980</v>
      </c>
      <c r="M607" s="24">
        <v>33840000</v>
      </c>
    </row>
    <row r="608" spans="1:13" s="80" customFormat="1" ht="13.5" outlineLevel="2">
      <c r="A608" s="39" t="s">
        <v>293</v>
      </c>
      <c r="B608" s="40" t="s">
        <v>68</v>
      </c>
      <c r="C608" s="41" t="s">
        <v>294</v>
      </c>
      <c r="D608" s="40" t="s">
        <v>295</v>
      </c>
      <c r="E608" s="24">
        <v>134396612</v>
      </c>
      <c r="F608" s="39">
        <v>43986</v>
      </c>
      <c r="G608" s="24">
        <v>134396612</v>
      </c>
      <c r="H608" s="23">
        <v>5.0000000000000001E-3</v>
      </c>
      <c r="I608" s="39">
        <v>44228</v>
      </c>
      <c r="J608" s="39">
        <v>44255</v>
      </c>
      <c r="K608" s="24">
        <f t="shared" si="40"/>
        <v>28</v>
      </c>
      <c r="L608" s="24">
        <f t="shared" si="41"/>
        <v>51549</v>
      </c>
      <c r="M608" s="24">
        <v>134396612</v>
      </c>
    </row>
    <row r="609" spans="1:16" s="80" customFormat="1" ht="13.5" outlineLevel="1">
      <c r="A609" s="42" t="s">
        <v>296</v>
      </c>
      <c r="B609" s="43"/>
      <c r="C609" s="44"/>
      <c r="D609" s="43"/>
      <c r="E609" s="45">
        <f>SUBTOTAL(9,E574:E608)</f>
        <v>1775258699</v>
      </c>
      <c r="F609" s="46"/>
      <c r="G609" s="45"/>
      <c r="H609" s="47"/>
      <c r="I609" s="46"/>
      <c r="J609" s="46"/>
      <c r="K609" s="45"/>
      <c r="L609" s="45">
        <f>SUBTOTAL(9,L574:L608)</f>
        <v>563474</v>
      </c>
      <c r="M609" s="45">
        <f>SUBTOTAL(9,M574:M608)</f>
        <v>1771546608</v>
      </c>
    </row>
    <row r="610" spans="1:16" s="87" customFormat="1" ht="14.25" outlineLevel="1">
      <c r="A610" s="81"/>
      <c r="B610" s="82"/>
      <c r="C610" s="83"/>
      <c r="D610" s="82"/>
      <c r="E610" s="84"/>
      <c r="F610" s="85"/>
      <c r="G610" s="84"/>
      <c r="H610" s="86"/>
      <c r="I610" s="85"/>
      <c r="J610" s="85"/>
      <c r="K610" s="84"/>
      <c r="L610" s="84"/>
      <c r="M610" s="84"/>
    </row>
    <row r="611" spans="1:16" s="80" customFormat="1" ht="14.25">
      <c r="A611" s="88" t="s">
        <v>297</v>
      </c>
      <c r="B611" s="89"/>
      <c r="C611" s="90"/>
      <c r="D611" s="89"/>
      <c r="E611" s="91">
        <f>SUBTOTAL(9,E4:E608)</f>
        <v>23720009120</v>
      </c>
      <c r="F611" s="88"/>
      <c r="G611" s="91"/>
      <c r="H611" s="92"/>
      <c r="I611" s="88"/>
      <c r="J611" s="88"/>
      <c r="K611" s="91"/>
      <c r="L611" s="91">
        <f>SUBTOTAL(9,L4:L608)</f>
        <v>8248636</v>
      </c>
      <c r="M611" s="91">
        <f>SUBTOTAL(9,M4:M608)</f>
        <v>23540843354</v>
      </c>
    </row>
    <row r="612" spans="1:16" s="80" customFormat="1" ht="14.25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</row>
    <row r="613" spans="1:16" ht="14.25">
      <c r="A613" s="94" t="s">
        <v>298</v>
      </c>
      <c r="B613" s="94"/>
      <c r="E613" s="95" t="s">
        <v>477</v>
      </c>
      <c r="G613" s="79"/>
      <c r="H613" s="97" t="s">
        <v>300</v>
      </c>
      <c r="I613" s="98"/>
    </row>
    <row r="614" spans="1:16" s="80" customFormat="1" ht="14.25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</row>
    <row r="615" spans="1:16" s="80" customFormat="1" ht="14.2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</row>
    <row r="616" spans="1:16" s="80" customFormat="1" ht="14.25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</row>
    <row r="617" spans="1:16" s="80" customFormat="1" ht="14.25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</row>
    <row r="618" spans="1:16" s="80" customFormat="1" ht="14.25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</row>
    <row r="619" spans="1:16" s="80" customFormat="1" ht="14.25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</row>
    <row r="620" spans="1:16" s="80" customFormat="1" ht="14.25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</row>
    <row r="621" spans="1:16" s="80" customFormat="1" ht="14.25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</row>
    <row r="622" spans="1:16" s="80" customFormat="1" ht="14.25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</row>
    <row r="623" spans="1:16" s="80" customFormat="1" ht="14.25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</row>
    <row r="624" spans="1:16" s="80" customFormat="1" ht="14.25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</row>
    <row r="625" spans="1:16" s="80" customFormat="1" ht="14.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</row>
    <row r="626" spans="1:16" s="80" customFormat="1" ht="14.25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</row>
    <row r="627" spans="1:16" s="80" customFormat="1" ht="14.25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</row>
    <row r="628" spans="1:16" s="80" customFormat="1" ht="14.25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</row>
    <row r="629" spans="1:16" s="80" customFormat="1" ht="14.25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</row>
    <row r="630" spans="1:16" s="80" customFormat="1" ht="14.25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</row>
    <row r="631" spans="1:16" s="80" customFormat="1" ht="14.25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</row>
    <row r="632" spans="1:16" s="80" customFormat="1" ht="14.25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</row>
    <row r="633" spans="1:16" s="80" customFormat="1" ht="14.25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</row>
    <row r="634" spans="1:16" s="80" customFormat="1" ht="14.25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</row>
    <row r="635" spans="1:16" s="80" customFormat="1" ht="14.2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</row>
    <row r="636" spans="1:16" s="80" customFormat="1" ht="14.25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</row>
    <row r="637" spans="1:16" s="80" customFormat="1" ht="14.25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</row>
    <row r="638" spans="1:16" s="80" customFormat="1" ht="14.25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</row>
    <row r="639" spans="1:16" s="80" customFormat="1" ht="14.25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</row>
    <row r="640" spans="1:16" s="80" customFormat="1" ht="14.25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</row>
    <row r="641" spans="1:16" s="80" customFormat="1" ht="14.25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</row>
    <row r="642" spans="1:16" s="80" customFormat="1" ht="14.25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</row>
    <row r="643" spans="1:16" s="80" customFormat="1" ht="14.25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</row>
    <row r="644" spans="1:16" s="80" customFormat="1" ht="14.25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</row>
    <row r="645" spans="1:16" s="80" customFormat="1" ht="14.2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</row>
    <row r="646" spans="1:16" s="80" customFormat="1" ht="14.25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</row>
    <row r="647" spans="1:16" s="80" customFormat="1" ht="14.25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</row>
    <row r="648" spans="1:16" s="80" customFormat="1" ht="14.25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</row>
    <row r="649" spans="1:16" s="80" customFormat="1" ht="14.25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</row>
    <row r="650" spans="1:16" s="80" customFormat="1" ht="14.25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</row>
    <row r="651" spans="1:16" s="80" customFormat="1" ht="14.25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</row>
    <row r="652" spans="1:16" s="80" customFormat="1" ht="14.25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</row>
    <row r="653" spans="1:16" s="80" customFormat="1" ht="14.25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</row>
    <row r="654" spans="1:16" s="80" customFormat="1" ht="14.25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</row>
    <row r="655" spans="1:16" s="80" customFormat="1" ht="14.2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</row>
    <row r="656" spans="1:16" s="80" customFormat="1" ht="14.25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</row>
    <row r="657" spans="1:16" s="80" customFormat="1" ht="14.25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</row>
    <row r="658" spans="1:16" s="80" customFormat="1" ht="14.25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</row>
    <row r="659" spans="1:16" s="80" customFormat="1" ht="14.25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</row>
    <row r="660" spans="1:16" s="80" customFormat="1" ht="14.25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</row>
    <row r="661" spans="1:16" s="80" customFormat="1" ht="14.25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</row>
    <row r="662" spans="1:16" s="80" customFormat="1" ht="14.25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</row>
    <row r="663" spans="1:16" s="80" customFormat="1" ht="14.25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</row>
    <row r="664" spans="1:16" s="80" customFormat="1" ht="14.25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</row>
    <row r="665" spans="1:16" s="80" customFormat="1" ht="14.2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</row>
    <row r="666" spans="1:16" s="80" customFormat="1" ht="14.25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</row>
    <row r="667" spans="1:16" s="80" customFormat="1" ht="14.25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</row>
    <row r="668" spans="1:16" s="80" customFormat="1" ht="14.25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</row>
    <row r="669" spans="1:16" s="80" customFormat="1" ht="14.25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</row>
    <row r="670" spans="1:16" s="80" customFormat="1" ht="14.25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</row>
    <row r="671" spans="1:16" s="80" customFormat="1" ht="14.25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</row>
    <row r="672" spans="1:16" s="80" customFormat="1" ht="14.25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</row>
    <row r="673" spans="1:16" s="80" customFormat="1" ht="14.25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</row>
    <row r="674" spans="1:16" s="80" customFormat="1" ht="14.25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</row>
    <row r="675" spans="1:16" s="80" customFormat="1" ht="14.2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</row>
    <row r="676" spans="1:16" s="80" customFormat="1" ht="14.25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</row>
    <row r="677" spans="1:16" s="80" customFormat="1" ht="14.25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</row>
    <row r="678" spans="1:16" s="80" customFormat="1" ht="14.25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</row>
    <row r="679" spans="1:16" s="80" customFormat="1" ht="14.25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</row>
    <row r="680" spans="1:16" s="80" customFormat="1" ht="14.25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</row>
    <row r="681" spans="1:16" s="80" customFormat="1" ht="14.25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</row>
    <row r="682" spans="1:16" s="80" customFormat="1" ht="14.25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</row>
    <row r="683" spans="1:16" s="80" customFormat="1" ht="14.25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</row>
    <row r="684" spans="1:16" s="80" customFormat="1" ht="14.25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</row>
    <row r="685" spans="1:16" s="80" customFormat="1" ht="14.2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</row>
    <row r="686" spans="1:16" s="80" customFormat="1" ht="14.25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</row>
    <row r="687" spans="1:16" s="80" customFormat="1" ht="14.25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</row>
    <row r="688" spans="1:16" s="80" customFormat="1" ht="14.25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</row>
    <row r="689" spans="1:16" s="80" customFormat="1" ht="14.25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</row>
    <row r="690" spans="1:16" s="80" customFormat="1" ht="14.25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</row>
    <row r="691" spans="1:16" s="80" customFormat="1" ht="14.25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</row>
    <row r="692" spans="1:16" s="80" customFormat="1" ht="14.25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</row>
    <row r="693" spans="1:16" s="80" customFormat="1" ht="14.25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</row>
    <row r="694" spans="1:16" s="80" customFormat="1" ht="14.25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</row>
    <row r="695" spans="1:16" s="80" customFormat="1" ht="14.2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</row>
    <row r="696" spans="1:16" s="80" customFormat="1" ht="14.25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</row>
    <row r="697" spans="1:16" s="80" customFormat="1" ht="14.25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</row>
    <row r="698" spans="1:16" s="80" customFormat="1" ht="14.25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</row>
    <row r="699" spans="1:16" s="80" customFormat="1" ht="14.25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</row>
    <row r="700" spans="1:16" s="80" customFormat="1" ht="14.25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</row>
    <row r="701" spans="1:16" s="80" customFormat="1" ht="14.25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</row>
    <row r="702" spans="1:16" s="80" customFormat="1" ht="14.25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</row>
    <row r="703" spans="1:16" s="80" customFormat="1" ht="14.25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</row>
    <row r="704" spans="1:16" s="80" customFormat="1" ht="14.25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</row>
    <row r="705" spans="1:16" s="80" customFormat="1" ht="14.2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</row>
    <row r="706" spans="1:16" s="80" customFormat="1" ht="14.25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</row>
    <row r="707" spans="1:16" s="80" customFormat="1" ht="14.25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</row>
    <row r="708" spans="1:16" s="80" customFormat="1" ht="14.25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</row>
    <row r="709" spans="1:16" s="80" customFormat="1" ht="14.25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</row>
    <row r="710" spans="1:16" s="80" customFormat="1" ht="14.25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</row>
    <row r="711" spans="1:16" s="80" customFormat="1" ht="14.25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</row>
    <row r="712" spans="1:16" s="80" customFormat="1" ht="14.25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</row>
    <row r="713" spans="1:16" s="80" customFormat="1" ht="14.25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</row>
    <row r="714" spans="1:16" s="80" customFormat="1" ht="14.25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</row>
    <row r="715" spans="1:16" s="80" customFormat="1" ht="14.2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</row>
    <row r="716" spans="1:16" s="80" customFormat="1" ht="14.25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</row>
    <row r="717" spans="1:16" s="80" customFormat="1" ht="14.25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</row>
    <row r="718" spans="1:16" s="80" customFormat="1" ht="14.25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</row>
    <row r="719" spans="1:16" s="80" customFormat="1" ht="14.25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</row>
    <row r="720" spans="1:16" s="80" customFormat="1" ht="14.25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</row>
    <row r="721" spans="1:16" s="80" customFormat="1" ht="14.25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</row>
    <row r="722" spans="1:16" s="80" customFormat="1" ht="14.25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</row>
    <row r="723" spans="1:16" s="80" customFormat="1" ht="14.25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</row>
    <row r="724" spans="1:16" s="80" customFormat="1" ht="14.25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</row>
    <row r="725" spans="1:16" s="80" customFormat="1" ht="14.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</row>
    <row r="726" spans="1:16" s="80" customFormat="1" ht="14.25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</row>
    <row r="727" spans="1:16" s="80" customFormat="1" ht="14.25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</row>
    <row r="728" spans="1:16" s="80" customFormat="1" ht="14.25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</row>
    <row r="729" spans="1:16" s="80" customFormat="1" ht="14.25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</row>
    <row r="730" spans="1:16" s="80" customFormat="1" ht="14.25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</row>
    <row r="731" spans="1:16" s="80" customFormat="1" ht="14.25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</row>
    <row r="732" spans="1:16" s="80" customFormat="1" ht="14.25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</row>
    <row r="733" spans="1:16" s="80" customFormat="1" ht="14.25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</row>
    <row r="734" spans="1:16" s="80" customFormat="1" ht="14.25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</row>
    <row r="735" spans="1:16" s="80" customFormat="1" ht="14.2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</row>
    <row r="736" spans="1:16" s="80" customFormat="1" ht="14.25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</row>
    <row r="737" spans="1:16" s="80" customFormat="1" ht="14.25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</row>
    <row r="738" spans="1:16" s="80" customFormat="1" ht="14.25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</row>
    <row r="739" spans="1:16" s="80" customFormat="1" ht="14.25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</row>
    <row r="740" spans="1:16" s="80" customFormat="1" ht="14.25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</row>
    <row r="741" spans="1:16" s="80" customFormat="1" ht="14.25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</row>
    <row r="742" spans="1:16" s="80" customFormat="1" ht="14.25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</row>
    <row r="743" spans="1:16" s="80" customFormat="1" ht="14.25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</row>
    <row r="744" spans="1:16" s="80" customFormat="1" ht="14.25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</row>
    <row r="745" spans="1:16" s="80" customFormat="1" ht="14.2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</row>
    <row r="746" spans="1:16" s="80" customFormat="1" ht="14.25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</row>
    <row r="747" spans="1:16" s="80" customFormat="1" ht="14.25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</row>
    <row r="748" spans="1:16" s="80" customFormat="1" ht="14.25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</row>
    <row r="749" spans="1:16" s="80" customFormat="1" ht="14.25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</row>
    <row r="750" spans="1:16" s="80" customFormat="1" ht="14.25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</row>
    <row r="751" spans="1:16" s="80" customFormat="1" ht="14.25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</row>
    <row r="752" spans="1:16" s="80" customFormat="1" ht="14.25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</row>
    <row r="753" spans="1:16" s="80" customFormat="1" ht="14.25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</row>
    <row r="754" spans="1:16" s="80" customFormat="1" ht="14.25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</row>
    <row r="755" spans="1:16" s="80" customFormat="1" ht="14.2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</row>
    <row r="756" spans="1:16" s="80" customFormat="1" ht="14.25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</row>
    <row r="757" spans="1:16" s="80" customFormat="1" ht="14.25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</row>
    <row r="758" spans="1:16" s="80" customFormat="1" ht="14.25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</row>
    <row r="759" spans="1:16" s="80" customFormat="1" ht="14.25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</row>
    <row r="760" spans="1:16" s="80" customFormat="1" ht="14.25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</row>
    <row r="761" spans="1:16" s="80" customFormat="1" ht="14.25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</row>
    <row r="762" spans="1:16" s="80" customFormat="1" ht="14.25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</row>
    <row r="763" spans="1:16" s="80" customFormat="1" ht="14.25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</row>
    <row r="764" spans="1:16" s="80" customFormat="1" ht="14.25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</row>
    <row r="765" spans="1:16" s="80" customFormat="1" ht="14.2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</row>
    <row r="766" spans="1:16" s="80" customFormat="1" ht="14.25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</row>
    <row r="767" spans="1:16" s="80" customFormat="1" ht="14.25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</row>
    <row r="768" spans="1:16" s="80" customFormat="1" ht="14.25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</row>
    <row r="769" spans="1:16" s="80" customFormat="1" ht="14.25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</row>
    <row r="770" spans="1:16" s="80" customFormat="1" ht="14.25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</row>
    <row r="771" spans="1:16" s="80" customFormat="1" ht="14.25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</row>
    <row r="772" spans="1:16" s="80" customFormat="1" ht="14.25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</row>
    <row r="773" spans="1:16" s="80" customFormat="1" ht="14.25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</row>
    <row r="774" spans="1:16" s="80" customFormat="1" ht="14.25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</row>
    <row r="775" spans="1:16" s="80" customFormat="1" ht="14.2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</row>
    <row r="776" spans="1:16" s="80" customFormat="1" ht="14.25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</row>
    <row r="777" spans="1:16" s="80" customFormat="1" ht="14.25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</row>
    <row r="778" spans="1:16" s="80" customFormat="1" ht="14.25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</row>
    <row r="779" spans="1:16" s="80" customFormat="1" ht="14.25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</row>
    <row r="780" spans="1:16" s="80" customFormat="1" ht="14.25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</row>
    <row r="781" spans="1:16" s="80" customFormat="1" ht="14.25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</row>
    <row r="782" spans="1:16" s="80" customFormat="1" ht="14.25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</row>
    <row r="783" spans="1:16" s="80" customFormat="1" ht="14.25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</row>
    <row r="784" spans="1:16" s="80" customFormat="1" ht="14.25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</row>
    <row r="785" spans="1:16" s="80" customFormat="1" ht="14.2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</row>
    <row r="786" spans="1:16" s="80" customFormat="1" ht="14.25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</row>
    <row r="787" spans="1:16" s="80" customFormat="1" ht="14.25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</row>
    <row r="788" spans="1:16" s="80" customFormat="1" ht="14.25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</row>
    <row r="789" spans="1:16" s="80" customFormat="1" ht="14.25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</row>
    <row r="790" spans="1:16" s="80" customFormat="1" ht="14.25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</row>
    <row r="791" spans="1:16" s="80" customFormat="1" ht="14.25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</row>
    <row r="792" spans="1:16" s="80" customFormat="1" ht="14.25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</row>
    <row r="793" spans="1:16" s="80" customFormat="1" ht="14.25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</row>
    <row r="794" spans="1:16" s="80" customFormat="1" ht="14.25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</row>
    <row r="795" spans="1:16" s="80" customFormat="1" ht="14.2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</row>
    <row r="796" spans="1:16" s="80" customFormat="1" ht="14.25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</row>
    <row r="797" spans="1:16" s="80" customFormat="1" ht="14.25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</row>
    <row r="798" spans="1:16" s="80" customFormat="1" ht="14.25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</row>
    <row r="799" spans="1:16" s="80" customFormat="1" ht="14.25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</row>
    <row r="800" spans="1:16" s="80" customFormat="1" ht="14.25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</row>
    <row r="801" spans="1:16" s="80" customFormat="1" ht="14.25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</row>
    <row r="802" spans="1:16" s="80" customFormat="1" ht="14.25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</row>
    <row r="803" spans="1:16" s="80" customFormat="1" ht="14.25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</row>
    <row r="804" spans="1:16" s="80" customFormat="1" ht="14.25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</row>
    <row r="805" spans="1:16" s="80" customFormat="1" ht="14.2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</row>
    <row r="806" spans="1:16" s="80" customFormat="1" ht="14.25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</row>
    <row r="807" spans="1:16" s="80" customFormat="1" ht="14.25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</row>
    <row r="808" spans="1:16" s="80" customFormat="1" ht="14.25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</row>
    <row r="809" spans="1:16" s="80" customFormat="1" ht="14.25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</row>
    <row r="810" spans="1:16" s="80" customFormat="1" ht="14.25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</row>
    <row r="811" spans="1:16" s="80" customFormat="1" ht="14.25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</row>
    <row r="812" spans="1:16" s="80" customFormat="1" ht="14.25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</row>
    <row r="813" spans="1:16" s="80" customFormat="1" ht="14.25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</row>
    <row r="814" spans="1:16" s="80" customFormat="1" ht="14.25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</row>
    <row r="815" spans="1:16" s="80" customFormat="1" ht="14.2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</row>
    <row r="816" spans="1:16" s="80" customFormat="1" ht="14.25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</row>
    <row r="817" spans="1:16" s="80" customFormat="1" ht="14.25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</row>
    <row r="818" spans="1:16" s="80" customFormat="1" ht="14.25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</row>
    <row r="819" spans="1:16" s="80" customFormat="1" ht="14.25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</row>
    <row r="820" spans="1:16" s="80" customFormat="1" ht="14.25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</row>
    <row r="821" spans="1:16" s="80" customFormat="1" ht="14.25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</row>
    <row r="822" spans="1:16" s="80" customFormat="1" ht="14.25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</row>
    <row r="823" spans="1:16" s="80" customFormat="1" ht="14.25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</row>
    <row r="824" spans="1:16" s="80" customFormat="1" ht="14.25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</row>
    <row r="825" spans="1:16" s="80" customFormat="1" ht="14.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</row>
    <row r="826" spans="1:16" s="80" customFormat="1" ht="14.25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</row>
    <row r="827" spans="1:16" s="80" customFormat="1" ht="14.25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</row>
    <row r="828" spans="1:16" s="80" customFormat="1" ht="14.25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</row>
    <row r="829" spans="1:16" s="80" customFormat="1" ht="14.25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</row>
    <row r="830" spans="1:16" s="80" customFormat="1" ht="14.25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</row>
    <row r="831" spans="1:16" s="80" customFormat="1" ht="14.25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</row>
    <row r="832" spans="1:16" s="80" customFormat="1" ht="14.25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</row>
    <row r="833" spans="1:16" s="80" customFormat="1" ht="14.25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</row>
    <row r="834" spans="1:16" s="80" customFormat="1" ht="14.25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</row>
    <row r="835" spans="1:16" s="80" customFormat="1" ht="14.2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</row>
    <row r="836" spans="1:16" s="80" customFormat="1" ht="14.25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</row>
    <row r="837" spans="1:16" s="80" customFormat="1" ht="14.25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</row>
    <row r="838" spans="1:16" s="80" customFormat="1" ht="14.25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</row>
    <row r="839" spans="1:16" s="80" customFormat="1" ht="14.25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</row>
    <row r="840" spans="1:16" s="80" customFormat="1" ht="14.25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</row>
    <row r="841" spans="1:16" s="80" customFormat="1" ht="14.25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</row>
    <row r="842" spans="1:16" s="80" customFormat="1" ht="14.25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</row>
    <row r="843" spans="1:16" s="80" customFormat="1" ht="14.25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</row>
    <row r="844" spans="1:16" s="80" customFormat="1" ht="14.25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</row>
    <row r="845" spans="1:16" s="80" customFormat="1" ht="14.2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</row>
  </sheetData>
  <autoFilter ref="A3:M609" xr:uid="{00000000-0009-0000-0000-000000000000}"/>
  <phoneticPr fontId="2" type="noConversion"/>
  <printOptions horizontalCentered="1"/>
  <pageMargins left="0.15748031496062992" right="0.15748031496062992" top="0.39370078740157483" bottom="0.39370078740157483" header="0.59055118110236227" footer="0.31496062992125984"/>
  <pageSetup paperSize="9" scale="90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E116-2D39-4287-9B1B-B42F00BE0C7C}">
  <dimension ref="A1:P845"/>
  <sheetViews>
    <sheetView zoomScaleNormal="100" workbookViewId="0">
      <selection activeCell="D8" sqref="D8"/>
    </sheetView>
  </sheetViews>
  <sheetFormatPr defaultColWidth="5.375" defaultRowHeight="13.5" outlineLevelRow="2"/>
  <cols>
    <col min="1" max="1" width="17.75" style="27" bestFit="1" customWidth="1"/>
    <col min="2" max="2" width="8.375" style="27" bestFit="1" customWidth="1"/>
    <col min="3" max="3" width="21.5" style="27" bestFit="1" customWidth="1"/>
    <col min="4" max="4" width="12" style="27" bestFit="1" customWidth="1"/>
    <col min="5" max="5" width="14.75" style="31" bestFit="1" customWidth="1"/>
    <col min="6" max="6" width="12" style="32" bestFit="1" customWidth="1"/>
    <col min="7" max="7" width="13.5" style="31" bestFit="1" customWidth="1"/>
    <col min="8" max="8" width="10.375" style="33" bestFit="1" customWidth="1"/>
    <col min="9" max="10" width="8.75" style="27" bestFit="1" customWidth="1"/>
    <col min="11" max="11" width="10.375" style="27" bestFit="1" customWidth="1"/>
    <col min="12" max="12" width="10.375" style="31" bestFit="1" customWidth="1"/>
    <col min="13" max="13" width="14.75" style="27" bestFit="1" customWidth="1"/>
    <col min="14" max="16384" width="5.375" style="27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B2" s="28" t="s">
        <v>0</v>
      </c>
      <c r="C2" s="29">
        <v>44286</v>
      </c>
      <c r="D2" s="30"/>
      <c r="L2" s="31" t="s">
        <v>1</v>
      </c>
    </row>
    <row r="3" spans="1:13" s="48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48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44256</v>
      </c>
      <c r="J4" s="39">
        <v>44286</v>
      </c>
      <c r="K4" s="24">
        <f t="shared" ref="K4:K37" si="0">J4-I4+1</f>
        <v>31</v>
      </c>
      <c r="L4" s="24">
        <f t="shared" ref="L4:L37" si="1">ROUND(G4*H4*K4/365,0)</f>
        <v>69007</v>
      </c>
      <c r="M4" s="24">
        <v>162500000</v>
      </c>
    </row>
    <row r="5" spans="1:13" s="48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44256</v>
      </c>
      <c r="J5" s="39">
        <v>44286</v>
      </c>
      <c r="K5" s="24">
        <f t="shared" si="0"/>
        <v>31</v>
      </c>
      <c r="L5" s="24">
        <f t="shared" si="1"/>
        <v>612</v>
      </c>
      <c r="M5" s="24">
        <v>2400000</v>
      </c>
    </row>
    <row r="6" spans="1:13" s="48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44256</v>
      </c>
      <c r="J6" s="39">
        <v>44286</v>
      </c>
      <c r="K6" s="24">
        <f t="shared" si="0"/>
        <v>31</v>
      </c>
      <c r="L6" s="24">
        <f t="shared" si="1"/>
        <v>3130</v>
      </c>
      <c r="M6" s="24">
        <v>7370000</v>
      </c>
    </row>
    <row r="7" spans="1:13" s="48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44256</v>
      </c>
      <c r="J7" s="39">
        <v>44286</v>
      </c>
      <c r="K7" s="24">
        <f t="shared" si="0"/>
        <v>31</v>
      </c>
      <c r="L7" s="24">
        <f t="shared" si="1"/>
        <v>2501</v>
      </c>
      <c r="M7" s="24">
        <v>5890000</v>
      </c>
    </row>
    <row r="8" spans="1:13" s="48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44256</v>
      </c>
      <c r="J8" s="39">
        <v>44286</v>
      </c>
      <c r="K8" s="24">
        <f t="shared" si="0"/>
        <v>31</v>
      </c>
      <c r="L8" s="24">
        <f t="shared" si="1"/>
        <v>1282</v>
      </c>
      <c r="M8" s="24">
        <v>3020000</v>
      </c>
    </row>
    <row r="9" spans="1:13" s="48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44256</v>
      </c>
      <c r="J9" s="39">
        <v>44286</v>
      </c>
      <c r="K9" s="24">
        <f t="shared" si="0"/>
        <v>31</v>
      </c>
      <c r="L9" s="24">
        <f t="shared" si="1"/>
        <v>35926</v>
      </c>
      <c r="M9" s="24">
        <v>84600000</v>
      </c>
    </row>
    <row r="10" spans="1:13" s="48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44256</v>
      </c>
      <c r="J10" s="39">
        <v>44286</v>
      </c>
      <c r="K10" s="24">
        <f t="shared" si="0"/>
        <v>31</v>
      </c>
      <c r="L10" s="24">
        <f t="shared" si="1"/>
        <v>25479</v>
      </c>
      <c r="M10" s="24">
        <v>60000000</v>
      </c>
    </row>
    <row r="11" spans="1:13" s="48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44256</v>
      </c>
      <c r="J11" s="39">
        <v>44286</v>
      </c>
      <c r="K11" s="24">
        <f t="shared" si="0"/>
        <v>31</v>
      </c>
      <c r="L11" s="24">
        <f t="shared" si="1"/>
        <v>41277</v>
      </c>
      <c r="M11" s="24">
        <v>162000000</v>
      </c>
    </row>
    <row r="12" spans="1:13" s="48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44256</v>
      </c>
      <c r="J12" s="39">
        <v>44286</v>
      </c>
      <c r="K12" s="24">
        <f t="shared" si="0"/>
        <v>31</v>
      </c>
      <c r="L12" s="24">
        <f t="shared" si="1"/>
        <v>1761</v>
      </c>
      <c r="M12" s="24">
        <v>4147000</v>
      </c>
    </row>
    <row r="13" spans="1:13" s="48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44256</v>
      </c>
      <c r="J13" s="39">
        <v>44286</v>
      </c>
      <c r="K13" s="24">
        <f t="shared" si="0"/>
        <v>31</v>
      </c>
      <c r="L13" s="24">
        <f t="shared" si="1"/>
        <v>314</v>
      </c>
      <c r="M13" s="24">
        <v>740000</v>
      </c>
    </row>
    <row r="14" spans="1:13" s="48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44256</v>
      </c>
      <c r="J14" s="39">
        <v>44286</v>
      </c>
      <c r="K14" s="24">
        <f t="shared" si="0"/>
        <v>31</v>
      </c>
      <c r="L14" s="24">
        <f t="shared" si="1"/>
        <v>74838</v>
      </c>
      <c r="M14" s="24">
        <v>176232000</v>
      </c>
    </row>
    <row r="15" spans="1:13" s="48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44256</v>
      </c>
      <c r="J15" s="39">
        <v>44286</v>
      </c>
      <c r="K15" s="24">
        <f t="shared" si="0"/>
        <v>31</v>
      </c>
      <c r="L15" s="24">
        <f t="shared" si="1"/>
        <v>2731</v>
      </c>
      <c r="M15" s="24">
        <v>6430000</v>
      </c>
    </row>
    <row r="16" spans="1:13" s="48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44256</v>
      </c>
      <c r="J16" s="39">
        <v>44286</v>
      </c>
      <c r="K16" s="24">
        <f t="shared" si="0"/>
        <v>31</v>
      </c>
      <c r="L16" s="24">
        <f t="shared" si="1"/>
        <v>2293</v>
      </c>
      <c r="M16" s="24">
        <v>5400000</v>
      </c>
    </row>
    <row r="17" spans="1:13" s="48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44256</v>
      </c>
      <c r="J17" s="39">
        <v>44286</v>
      </c>
      <c r="K17" s="24">
        <f t="shared" si="0"/>
        <v>31</v>
      </c>
      <c r="L17" s="24">
        <f t="shared" si="1"/>
        <v>161</v>
      </c>
      <c r="M17" s="24">
        <v>380000</v>
      </c>
    </row>
    <row r="18" spans="1:13" s="48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44256</v>
      </c>
      <c r="J18" s="39">
        <v>44286</v>
      </c>
      <c r="K18" s="24">
        <f t="shared" si="0"/>
        <v>31</v>
      </c>
      <c r="L18" s="24">
        <f t="shared" si="1"/>
        <v>1019</v>
      </c>
      <c r="M18" s="24">
        <v>2400000</v>
      </c>
    </row>
    <row r="19" spans="1:13" s="48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44256</v>
      </c>
      <c r="J19" s="39">
        <v>44286</v>
      </c>
      <c r="K19" s="24">
        <f t="shared" si="0"/>
        <v>31</v>
      </c>
      <c r="L19" s="24">
        <f t="shared" si="1"/>
        <v>425</v>
      </c>
      <c r="M19" s="24">
        <v>1000000</v>
      </c>
    </row>
    <row r="20" spans="1:13" s="48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44256</v>
      </c>
      <c r="J20" s="39">
        <v>44286</v>
      </c>
      <c r="K20" s="24">
        <f t="shared" si="0"/>
        <v>31</v>
      </c>
      <c r="L20" s="24">
        <f t="shared" si="1"/>
        <v>4247</v>
      </c>
      <c r="M20" s="24">
        <v>10000000</v>
      </c>
    </row>
    <row r="21" spans="1:13" s="48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44256</v>
      </c>
      <c r="J21" s="39">
        <v>44286</v>
      </c>
      <c r="K21" s="24">
        <f t="shared" si="0"/>
        <v>31</v>
      </c>
      <c r="L21" s="24">
        <f t="shared" si="1"/>
        <v>106164</v>
      </c>
      <c r="M21" s="24">
        <v>250000000</v>
      </c>
    </row>
    <row r="22" spans="1:13" s="48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44256</v>
      </c>
      <c r="J22" s="39">
        <v>44286</v>
      </c>
      <c r="K22" s="24">
        <f t="shared" si="0"/>
        <v>31</v>
      </c>
      <c r="L22" s="24">
        <f t="shared" si="1"/>
        <v>84932</v>
      </c>
      <c r="M22" s="24">
        <v>200000000</v>
      </c>
    </row>
    <row r="23" spans="1:13" s="48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44256</v>
      </c>
      <c r="J23" s="39">
        <v>44286</v>
      </c>
      <c r="K23" s="24">
        <f t="shared" si="0"/>
        <v>31</v>
      </c>
      <c r="L23" s="24">
        <f t="shared" si="1"/>
        <v>3652</v>
      </c>
      <c r="M23" s="24">
        <v>8600000</v>
      </c>
    </row>
    <row r="24" spans="1:13" s="48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44256</v>
      </c>
      <c r="J24" s="39">
        <v>44286</v>
      </c>
      <c r="K24" s="24">
        <f t="shared" si="0"/>
        <v>31</v>
      </c>
      <c r="L24" s="24">
        <f t="shared" si="1"/>
        <v>704</v>
      </c>
      <c r="M24" s="24">
        <v>1657000</v>
      </c>
    </row>
    <row r="25" spans="1:13" s="48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44256</v>
      </c>
      <c r="J25" s="39">
        <v>44286</v>
      </c>
      <c r="K25" s="24">
        <f t="shared" si="0"/>
        <v>31</v>
      </c>
      <c r="L25" s="24">
        <f t="shared" si="1"/>
        <v>849</v>
      </c>
      <c r="M25" s="24">
        <v>2000000</v>
      </c>
    </row>
    <row r="26" spans="1:13" s="48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44256</v>
      </c>
      <c r="J26" s="39">
        <v>44286</v>
      </c>
      <c r="K26" s="24">
        <f t="shared" si="0"/>
        <v>31</v>
      </c>
      <c r="L26" s="24">
        <f t="shared" si="1"/>
        <v>12145</v>
      </c>
      <c r="M26" s="24">
        <v>28600000</v>
      </c>
    </row>
    <row r="27" spans="1:13" s="48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44256</v>
      </c>
      <c r="J27" s="39">
        <v>44286</v>
      </c>
      <c r="K27" s="24">
        <f t="shared" si="0"/>
        <v>31</v>
      </c>
      <c r="L27" s="24">
        <f t="shared" si="1"/>
        <v>255</v>
      </c>
      <c r="M27" s="24">
        <v>600000</v>
      </c>
    </row>
    <row r="28" spans="1:13" s="48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44256</v>
      </c>
      <c r="J28" s="39">
        <v>44286</v>
      </c>
      <c r="K28" s="24">
        <f t="shared" si="0"/>
        <v>31</v>
      </c>
      <c r="L28" s="24">
        <f t="shared" si="1"/>
        <v>15288</v>
      </c>
      <c r="M28" s="24">
        <v>60000000</v>
      </c>
    </row>
    <row r="29" spans="1:13" s="48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44270</v>
      </c>
      <c r="J29" s="39">
        <v>44286</v>
      </c>
      <c r="K29" s="24">
        <f t="shared" si="0"/>
        <v>17</v>
      </c>
      <c r="L29" s="24">
        <f t="shared" si="1"/>
        <v>18630</v>
      </c>
      <c r="M29" s="24">
        <v>80000000</v>
      </c>
    </row>
    <row r="30" spans="1:13" s="48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44270</v>
      </c>
      <c r="J30" s="39">
        <v>44286</v>
      </c>
      <c r="K30" s="24">
        <f t="shared" si="0"/>
        <v>17</v>
      </c>
      <c r="L30" s="24">
        <f t="shared" si="1"/>
        <v>30274</v>
      </c>
      <c r="M30" s="24">
        <v>130000000</v>
      </c>
    </row>
    <row r="31" spans="1:13" s="48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44285</v>
      </c>
      <c r="J31" s="39">
        <v>44286</v>
      </c>
      <c r="K31" s="24">
        <f t="shared" si="0"/>
        <v>2</v>
      </c>
      <c r="L31" s="24">
        <f t="shared" si="1"/>
        <v>2299</v>
      </c>
      <c r="M31" s="24">
        <v>83911000</v>
      </c>
    </row>
    <row r="32" spans="1:13" s="48" customFormat="1" outlineLevel="2">
      <c r="A32" s="39" t="s">
        <v>15</v>
      </c>
      <c r="B32" s="40" t="s">
        <v>59</v>
      </c>
      <c r="C32" s="41" t="s">
        <v>60</v>
      </c>
      <c r="D32" s="40" t="s">
        <v>61</v>
      </c>
      <c r="E32" s="24">
        <v>20000000</v>
      </c>
      <c r="F32" s="39">
        <v>43922</v>
      </c>
      <c r="G32" s="24">
        <v>20000000</v>
      </c>
      <c r="H32" s="23">
        <v>5.0000000000000001E-3</v>
      </c>
      <c r="I32" s="39">
        <v>44256</v>
      </c>
      <c r="J32" s="39">
        <v>44286</v>
      </c>
      <c r="K32" s="24">
        <f t="shared" si="0"/>
        <v>31</v>
      </c>
      <c r="L32" s="24">
        <f t="shared" si="1"/>
        <v>8493</v>
      </c>
      <c r="M32" s="24">
        <v>20000000</v>
      </c>
    </row>
    <row r="33" spans="1:13" s="48" customFormat="1" outlineLevel="2">
      <c r="A33" s="39" t="s">
        <v>15</v>
      </c>
      <c r="B33" s="40" t="s">
        <v>62</v>
      </c>
      <c r="C33" s="41" t="s">
        <v>55</v>
      </c>
      <c r="D33" s="40" t="s">
        <v>56</v>
      </c>
      <c r="E33" s="24">
        <v>10000000</v>
      </c>
      <c r="F33" s="39">
        <v>43934</v>
      </c>
      <c r="G33" s="24">
        <v>10000000</v>
      </c>
      <c r="H33" s="23">
        <v>5.0000000000000001E-3</v>
      </c>
      <c r="I33" s="39">
        <v>44256</v>
      </c>
      <c r="J33" s="39">
        <v>44286</v>
      </c>
      <c r="K33" s="24">
        <f t="shared" si="0"/>
        <v>31</v>
      </c>
      <c r="L33" s="24">
        <f t="shared" si="1"/>
        <v>4247</v>
      </c>
      <c r="M33" s="24">
        <v>10000000</v>
      </c>
    </row>
    <row r="34" spans="1:13" s="48" customFormat="1" outlineLevel="2">
      <c r="A34" s="39" t="s">
        <v>15</v>
      </c>
      <c r="B34" s="40" t="s">
        <v>63</v>
      </c>
      <c r="C34" s="41" t="s">
        <v>55</v>
      </c>
      <c r="D34" s="40" t="s">
        <v>56</v>
      </c>
      <c r="E34" s="24">
        <v>30000000</v>
      </c>
      <c r="F34" s="39">
        <v>43937</v>
      </c>
      <c r="G34" s="24">
        <v>30000000</v>
      </c>
      <c r="H34" s="23">
        <v>5.0000000000000001E-3</v>
      </c>
      <c r="I34" s="39">
        <v>44256</v>
      </c>
      <c r="J34" s="39">
        <v>44286</v>
      </c>
      <c r="K34" s="24">
        <f t="shared" si="0"/>
        <v>31</v>
      </c>
      <c r="L34" s="24">
        <f t="shared" si="1"/>
        <v>12740</v>
      </c>
      <c r="M34" s="24">
        <v>30000000</v>
      </c>
    </row>
    <row r="35" spans="1:13" s="48" customFormat="1" outlineLevel="2">
      <c r="A35" s="39" t="s">
        <v>15</v>
      </c>
      <c r="B35" s="40" t="s">
        <v>64</v>
      </c>
      <c r="C35" s="41" t="s">
        <v>55</v>
      </c>
      <c r="D35" s="40" t="s">
        <v>56</v>
      </c>
      <c r="E35" s="24">
        <v>58360000</v>
      </c>
      <c r="F35" s="39">
        <v>43929</v>
      </c>
      <c r="G35" s="24">
        <v>58360000</v>
      </c>
      <c r="H35" s="23">
        <v>5.0000000000000001E-3</v>
      </c>
      <c r="I35" s="39">
        <v>44256</v>
      </c>
      <c r="J35" s="39">
        <v>44286</v>
      </c>
      <c r="K35" s="24">
        <f t="shared" si="0"/>
        <v>31</v>
      </c>
      <c r="L35" s="24">
        <f t="shared" si="1"/>
        <v>24783</v>
      </c>
      <c r="M35" s="24">
        <v>58360000</v>
      </c>
    </row>
    <row r="36" spans="1:13" s="48" customFormat="1" outlineLevel="2">
      <c r="A36" s="39" t="s">
        <v>15</v>
      </c>
      <c r="B36" s="40" t="s">
        <v>65</v>
      </c>
      <c r="C36" s="41" t="s">
        <v>66</v>
      </c>
      <c r="D36" s="40" t="s">
        <v>67</v>
      </c>
      <c r="E36" s="24">
        <v>64000000</v>
      </c>
      <c r="F36" s="39">
        <v>43966</v>
      </c>
      <c r="G36" s="24">
        <v>64000000</v>
      </c>
      <c r="H36" s="23">
        <v>5.0000000000000001E-3</v>
      </c>
      <c r="I36" s="39">
        <v>44256</v>
      </c>
      <c r="J36" s="39">
        <v>44286</v>
      </c>
      <c r="K36" s="24">
        <f t="shared" si="0"/>
        <v>31</v>
      </c>
      <c r="L36" s="24">
        <f t="shared" si="1"/>
        <v>27178</v>
      </c>
      <c r="M36" s="24">
        <v>64000000</v>
      </c>
    </row>
    <row r="37" spans="1:13" s="48" customFormat="1" outlineLevel="2">
      <c r="A37" s="39" t="s">
        <v>15</v>
      </c>
      <c r="B37" s="40" t="s">
        <v>68</v>
      </c>
      <c r="C37" s="41" t="s">
        <v>55</v>
      </c>
      <c r="D37" s="40" t="s">
        <v>56</v>
      </c>
      <c r="E37" s="24">
        <v>11400000</v>
      </c>
      <c r="F37" s="39">
        <v>43962</v>
      </c>
      <c r="G37" s="24">
        <v>11400000</v>
      </c>
      <c r="H37" s="23">
        <v>5.0000000000000001E-3</v>
      </c>
      <c r="I37" s="39">
        <v>44256</v>
      </c>
      <c r="J37" s="39">
        <v>44286</v>
      </c>
      <c r="K37" s="24">
        <f t="shared" si="0"/>
        <v>31</v>
      </c>
      <c r="L37" s="24">
        <f t="shared" si="1"/>
        <v>4841</v>
      </c>
      <c r="M37" s="24">
        <v>11400000</v>
      </c>
    </row>
    <row r="38" spans="1:13" s="48" customFormat="1" outlineLevel="1">
      <c r="A38" s="42" t="s">
        <v>69</v>
      </c>
      <c r="B38" s="43"/>
      <c r="C38" s="44"/>
      <c r="D38" s="43"/>
      <c r="E38" s="45">
        <f>SUBTOTAL(9,E4:E37)</f>
        <v>1733637000</v>
      </c>
      <c r="F38" s="46"/>
      <c r="G38" s="45"/>
      <c r="H38" s="47"/>
      <c r="I38" s="46"/>
      <c r="J38" s="46"/>
      <c r="K38" s="45"/>
      <c r="L38" s="45">
        <f>SUBTOTAL(9,L4:L37)</f>
        <v>624477</v>
      </c>
      <c r="M38" s="45">
        <f>SUBTOTAL(9,M4:M37)</f>
        <v>1733637000</v>
      </c>
    </row>
    <row r="39" spans="1:13" s="48" customFormat="1" outlineLevel="2">
      <c r="A39" s="39" t="s">
        <v>70</v>
      </c>
      <c r="B39" s="40" t="s">
        <v>16</v>
      </c>
      <c r="C39" s="41" t="s">
        <v>27</v>
      </c>
      <c r="D39" s="40" t="s">
        <v>28</v>
      </c>
      <c r="E39" s="24">
        <v>21330000</v>
      </c>
      <c r="F39" s="39">
        <v>44046</v>
      </c>
      <c r="G39" s="24">
        <v>21330000</v>
      </c>
      <c r="H39" s="23">
        <v>5.0000000000000001E-3</v>
      </c>
      <c r="I39" s="39">
        <v>44256</v>
      </c>
      <c r="J39" s="39">
        <v>44286</v>
      </c>
      <c r="K39" s="24">
        <f>J39-I39+1</f>
        <v>31</v>
      </c>
      <c r="L39" s="24">
        <f>ROUND(G39*H39*K39/365,0)</f>
        <v>9058</v>
      </c>
      <c r="M39" s="24">
        <v>21330000</v>
      </c>
    </row>
    <row r="40" spans="1:13" s="48" customFormat="1" outlineLevel="2">
      <c r="A40" s="39" t="s">
        <v>70</v>
      </c>
      <c r="B40" s="40" t="s">
        <v>39</v>
      </c>
      <c r="C40" s="41" t="s">
        <v>27</v>
      </c>
      <c r="D40" s="40" t="s">
        <v>28</v>
      </c>
      <c r="E40" s="24">
        <v>8670000</v>
      </c>
      <c r="F40" s="39">
        <v>44060</v>
      </c>
      <c r="G40" s="24">
        <v>8670000</v>
      </c>
      <c r="H40" s="23">
        <v>5.0000000000000001E-3</v>
      </c>
      <c r="I40" s="39">
        <v>44256</v>
      </c>
      <c r="J40" s="39">
        <v>44286</v>
      </c>
      <c r="K40" s="24">
        <f>J40-I40+1</f>
        <v>31</v>
      </c>
      <c r="L40" s="24">
        <f>ROUND(G40*H40*K40/365,0)</f>
        <v>3682</v>
      </c>
      <c r="M40" s="24">
        <v>8670000</v>
      </c>
    </row>
    <row r="41" spans="1:13" s="48" customFormat="1" outlineLevel="2">
      <c r="A41" s="39" t="s">
        <v>70</v>
      </c>
      <c r="B41" s="40" t="s">
        <v>54</v>
      </c>
      <c r="C41" s="41" t="s">
        <v>71</v>
      </c>
      <c r="D41" s="40" t="s">
        <v>72</v>
      </c>
      <c r="E41" s="24">
        <v>10600000</v>
      </c>
      <c r="F41" s="39">
        <v>44085</v>
      </c>
      <c r="G41" s="24">
        <v>10600000</v>
      </c>
      <c r="H41" s="23">
        <v>5.0000000000000001E-3</v>
      </c>
      <c r="I41" s="39">
        <v>44256</v>
      </c>
      <c r="J41" s="39">
        <v>44286</v>
      </c>
      <c r="K41" s="24">
        <f>J41-I41+1</f>
        <v>31</v>
      </c>
      <c r="L41" s="24">
        <f>ROUND(G41*H41*K41/365,0)</f>
        <v>4501</v>
      </c>
      <c r="M41" s="24">
        <v>10600000</v>
      </c>
    </row>
    <row r="42" spans="1:13" s="48" customFormat="1" outlineLevel="2">
      <c r="A42" s="39" t="s">
        <v>70</v>
      </c>
      <c r="B42" s="40" t="s">
        <v>59</v>
      </c>
      <c r="C42" s="41" t="s">
        <v>73</v>
      </c>
      <c r="D42" s="40" t="s">
        <v>74</v>
      </c>
      <c r="E42" s="24">
        <v>40170000</v>
      </c>
      <c r="F42" s="39">
        <v>44172</v>
      </c>
      <c r="G42" s="24">
        <v>40170000</v>
      </c>
      <c r="H42" s="23">
        <v>5.0000000000000001E-3</v>
      </c>
      <c r="I42" s="39">
        <v>44256</v>
      </c>
      <c r="J42" s="39">
        <v>44286</v>
      </c>
      <c r="K42" s="24">
        <f>J42-I42+1</f>
        <v>31</v>
      </c>
      <c r="L42" s="24">
        <f>ROUND(G42*H42*K42/365,0)</f>
        <v>17058</v>
      </c>
      <c r="M42" s="24">
        <v>40170000</v>
      </c>
    </row>
    <row r="43" spans="1:13" s="48" customFormat="1" outlineLevel="2">
      <c r="A43" s="39" t="s">
        <v>70</v>
      </c>
      <c r="B43" s="40" t="s">
        <v>62</v>
      </c>
      <c r="C43" s="41" t="s">
        <v>75</v>
      </c>
      <c r="D43" s="40" t="s">
        <v>76</v>
      </c>
      <c r="E43" s="24">
        <v>5170000</v>
      </c>
      <c r="F43" s="39">
        <v>44166</v>
      </c>
      <c r="G43" s="24">
        <v>5170000</v>
      </c>
      <c r="H43" s="23">
        <v>5.0000000000000001E-3</v>
      </c>
      <c r="I43" s="39">
        <v>44256</v>
      </c>
      <c r="J43" s="39">
        <v>44286</v>
      </c>
      <c r="K43" s="24">
        <f>J43-I43+1</f>
        <v>31</v>
      </c>
      <c r="L43" s="24">
        <f>ROUND(G43*H43*K43/365,0)</f>
        <v>2195</v>
      </c>
      <c r="M43" s="24">
        <v>5170000</v>
      </c>
    </row>
    <row r="44" spans="1:13" s="48" customFormat="1" outlineLevel="1">
      <c r="A44" s="42" t="s">
        <v>77</v>
      </c>
      <c r="B44" s="43"/>
      <c r="C44" s="44"/>
      <c r="D44" s="43"/>
      <c r="E44" s="45">
        <f>SUBTOTAL(9,E39:E43)</f>
        <v>85940000</v>
      </c>
      <c r="F44" s="46"/>
      <c r="G44" s="45"/>
      <c r="H44" s="47"/>
      <c r="I44" s="46"/>
      <c r="J44" s="46"/>
      <c r="K44" s="45"/>
      <c r="L44" s="45">
        <f>SUBTOTAL(9,L39:L43)</f>
        <v>36494</v>
      </c>
      <c r="M44" s="45">
        <f>SUBTOTAL(9,M39:M43)</f>
        <v>85940000</v>
      </c>
    </row>
    <row r="45" spans="1:13" s="48" customFormat="1" outlineLevel="2">
      <c r="A45" s="39" t="s">
        <v>78</v>
      </c>
      <c r="B45" s="40" t="s">
        <v>16</v>
      </c>
      <c r="C45" s="41" t="s">
        <v>55</v>
      </c>
      <c r="D45" s="40" t="s">
        <v>56</v>
      </c>
      <c r="E45" s="24">
        <v>26500000</v>
      </c>
      <c r="F45" s="39">
        <v>43907</v>
      </c>
      <c r="G45" s="24">
        <v>23029764</v>
      </c>
      <c r="H45" s="23">
        <v>5.0000000000000001E-3</v>
      </c>
      <c r="I45" s="39">
        <v>44256</v>
      </c>
      <c r="J45" s="39">
        <v>44269</v>
      </c>
      <c r="K45" s="24">
        <f t="shared" ref="K45:K76" si="2">J45-I45+1</f>
        <v>14</v>
      </c>
      <c r="L45" s="24">
        <f t="shared" ref="L45:L76" si="3">ROUND(G45*H45*K45/365,0)</f>
        <v>4417</v>
      </c>
      <c r="M45" s="24">
        <v>22714288</v>
      </c>
    </row>
    <row r="46" spans="1:13" s="48" customFormat="1" outlineLevel="2">
      <c r="A46" s="39" t="s">
        <v>78</v>
      </c>
      <c r="B46" s="40" t="s">
        <v>16</v>
      </c>
      <c r="C46" s="41" t="s">
        <v>55</v>
      </c>
      <c r="D46" s="40"/>
      <c r="E46" s="24"/>
      <c r="F46" s="39"/>
      <c r="G46" s="24">
        <v>22714288</v>
      </c>
      <c r="H46" s="23">
        <v>5.0000000000000001E-3</v>
      </c>
      <c r="I46" s="39">
        <v>44270</v>
      </c>
      <c r="J46" s="39">
        <v>44286</v>
      </c>
      <c r="K46" s="24">
        <f t="shared" si="2"/>
        <v>17</v>
      </c>
      <c r="L46" s="24">
        <f t="shared" si="3"/>
        <v>5290</v>
      </c>
      <c r="M46" s="24"/>
    </row>
    <row r="47" spans="1:13" s="48" customFormat="1" outlineLevel="2">
      <c r="A47" s="39" t="s">
        <v>78</v>
      </c>
      <c r="B47" s="40" t="s">
        <v>19</v>
      </c>
      <c r="C47" s="41" t="s">
        <v>79</v>
      </c>
      <c r="D47" s="40" t="s">
        <v>80</v>
      </c>
      <c r="E47" s="24">
        <v>130000000</v>
      </c>
      <c r="F47" s="39">
        <v>44013</v>
      </c>
      <c r="G47" s="24">
        <v>130000000</v>
      </c>
      <c r="H47" s="23">
        <v>5.0000000000000001E-3</v>
      </c>
      <c r="I47" s="39">
        <v>44256</v>
      </c>
      <c r="J47" s="39">
        <v>44286</v>
      </c>
      <c r="K47" s="24">
        <f t="shared" si="2"/>
        <v>31</v>
      </c>
      <c r="L47" s="24">
        <f t="shared" si="3"/>
        <v>55205</v>
      </c>
      <c r="M47" s="24">
        <v>130000000</v>
      </c>
    </row>
    <row r="48" spans="1:13" s="48" customFormat="1" outlineLevel="2">
      <c r="A48" s="39" t="s">
        <v>78</v>
      </c>
      <c r="B48" s="40" t="s">
        <v>22</v>
      </c>
      <c r="C48" s="41" t="s">
        <v>81</v>
      </c>
      <c r="D48" s="40" t="s">
        <v>82</v>
      </c>
      <c r="E48" s="24">
        <v>3400000</v>
      </c>
      <c r="F48" s="39">
        <v>44063</v>
      </c>
      <c r="G48" s="24">
        <v>3048280</v>
      </c>
      <c r="H48" s="23">
        <v>5.0000000000000001E-3</v>
      </c>
      <c r="I48" s="39">
        <v>44256</v>
      </c>
      <c r="J48" s="39">
        <v>44269</v>
      </c>
      <c r="K48" s="24">
        <f t="shared" si="2"/>
        <v>14</v>
      </c>
      <c r="L48" s="24">
        <f t="shared" si="3"/>
        <v>585</v>
      </c>
      <c r="M48" s="24">
        <v>2989660</v>
      </c>
    </row>
    <row r="49" spans="1:13" s="48" customFormat="1" outlineLevel="2">
      <c r="A49" s="39" t="s">
        <v>78</v>
      </c>
      <c r="B49" s="40" t="s">
        <v>22</v>
      </c>
      <c r="C49" s="41" t="s">
        <v>81</v>
      </c>
      <c r="D49" s="40"/>
      <c r="E49" s="24"/>
      <c r="F49" s="39"/>
      <c r="G49" s="24">
        <v>2989660</v>
      </c>
      <c r="H49" s="23">
        <v>5.0000000000000001E-3</v>
      </c>
      <c r="I49" s="39">
        <v>44270</v>
      </c>
      <c r="J49" s="39">
        <v>44286</v>
      </c>
      <c r="K49" s="24">
        <f t="shared" si="2"/>
        <v>17</v>
      </c>
      <c r="L49" s="24">
        <f t="shared" si="3"/>
        <v>696</v>
      </c>
      <c r="M49" s="24"/>
    </row>
    <row r="50" spans="1:13" s="48" customFormat="1" outlineLevel="2">
      <c r="A50" s="39" t="s">
        <v>78</v>
      </c>
      <c r="B50" s="40" t="s">
        <v>25</v>
      </c>
      <c r="C50" s="41" t="s">
        <v>81</v>
      </c>
      <c r="D50" s="40" t="s">
        <v>82</v>
      </c>
      <c r="E50" s="24">
        <v>9800000</v>
      </c>
      <c r="F50" s="39">
        <v>44071</v>
      </c>
      <c r="G50" s="24">
        <v>8786198</v>
      </c>
      <c r="H50" s="23">
        <v>5.0000000000000001E-3</v>
      </c>
      <c r="I50" s="39">
        <v>44256</v>
      </c>
      <c r="J50" s="39">
        <v>44269</v>
      </c>
      <c r="K50" s="24">
        <f t="shared" si="2"/>
        <v>14</v>
      </c>
      <c r="L50" s="24">
        <f t="shared" si="3"/>
        <v>1685</v>
      </c>
      <c r="M50" s="24">
        <v>8617231</v>
      </c>
    </row>
    <row r="51" spans="1:13" s="48" customFormat="1" outlineLevel="2">
      <c r="A51" s="39" t="s">
        <v>78</v>
      </c>
      <c r="B51" s="40" t="s">
        <v>25</v>
      </c>
      <c r="C51" s="41" t="s">
        <v>81</v>
      </c>
      <c r="D51" s="40"/>
      <c r="E51" s="24"/>
      <c r="F51" s="39"/>
      <c r="G51" s="24">
        <v>8617231</v>
      </c>
      <c r="H51" s="23">
        <v>5.0000000000000001E-3</v>
      </c>
      <c r="I51" s="39">
        <v>44270</v>
      </c>
      <c r="J51" s="39">
        <v>44286</v>
      </c>
      <c r="K51" s="24">
        <f t="shared" si="2"/>
        <v>17</v>
      </c>
      <c r="L51" s="24">
        <f t="shared" si="3"/>
        <v>2007</v>
      </c>
      <c r="M51" s="24"/>
    </row>
    <row r="52" spans="1:13" s="48" customFormat="1" outlineLevel="2">
      <c r="A52" s="39" t="s">
        <v>78</v>
      </c>
      <c r="B52" s="40" t="s">
        <v>26</v>
      </c>
      <c r="C52" s="41" t="s">
        <v>83</v>
      </c>
      <c r="D52" s="40" t="s">
        <v>84</v>
      </c>
      <c r="E52" s="24">
        <v>201000000</v>
      </c>
      <c r="F52" s="39">
        <v>44064</v>
      </c>
      <c r="G52" s="24">
        <v>201000000</v>
      </c>
      <c r="H52" s="23">
        <v>5.0000000000000001E-3</v>
      </c>
      <c r="I52" s="39">
        <v>44256</v>
      </c>
      <c r="J52" s="39">
        <v>44286</v>
      </c>
      <c r="K52" s="24">
        <f t="shared" si="2"/>
        <v>31</v>
      </c>
      <c r="L52" s="24">
        <f t="shared" si="3"/>
        <v>85356</v>
      </c>
      <c r="M52" s="24">
        <v>201000000</v>
      </c>
    </row>
    <row r="53" spans="1:13" s="48" customFormat="1" outlineLevel="2">
      <c r="A53" s="39" t="s">
        <v>78</v>
      </c>
      <c r="B53" s="40" t="s">
        <v>29</v>
      </c>
      <c r="C53" s="41" t="s">
        <v>85</v>
      </c>
      <c r="D53" s="40" t="s">
        <v>86</v>
      </c>
      <c r="E53" s="24">
        <v>211550000</v>
      </c>
      <c r="F53" s="39">
        <v>44078</v>
      </c>
      <c r="G53" s="24">
        <v>211550000</v>
      </c>
      <c r="H53" s="23">
        <v>5.0000000000000001E-3</v>
      </c>
      <c r="I53" s="39">
        <v>44256</v>
      </c>
      <c r="J53" s="39">
        <v>44286</v>
      </c>
      <c r="K53" s="24">
        <f t="shared" si="2"/>
        <v>31</v>
      </c>
      <c r="L53" s="24">
        <f t="shared" si="3"/>
        <v>89836</v>
      </c>
      <c r="M53" s="24">
        <v>211550000</v>
      </c>
    </row>
    <row r="54" spans="1:13" s="48" customFormat="1" outlineLevel="2">
      <c r="A54" s="39" t="s">
        <v>78</v>
      </c>
      <c r="B54" s="40" t="s">
        <v>32</v>
      </c>
      <c r="C54" s="41" t="s">
        <v>85</v>
      </c>
      <c r="D54" s="40" t="s">
        <v>86</v>
      </c>
      <c r="E54" s="24">
        <v>91330000</v>
      </c>
      <c r="F54" s="39">
        <v>44120</v>
      </c>
      <c r="G54" s="24">
        <v>91330000</v>
      </c>
      <c r="H54" s="23">
        <v>5.0000000000000001E-3</v>
      </c>
      <c r="I54" s="39">
        <v>44256</v>
      </c>
      <c r="J54" s="39">
        <v>44286</v>
      </c>
      <c r="K54" s="24">
        <f t="shared" si="2"/>
        <v>31</v>
      </c>
      <c r="L54" s="24">
        <f t="shared" si="3"/>
        <v>38784</v>
      </c>
      <c r="M54" s="24">
        <v>91330000</v>
      </c>
    </row>
    <row r="55" spans="1:13" s="48" customFormat="1" outlineLevel="2">
      <c r="A55" s="39" t="s">
        <v>78</v>
      </c>
      <c r="B55" s="40" t="s">
        <v>33</v>
      </c>
      <c r="C55" s="41" t="s">
        <v>45</v>
      </c>
      <c r="D55" s="40" t="s">
        <v>46</v>
      </c>
      <c r="E55" s="24">
        <v>10000000</v>
      </c>
      <c r="F55" s="39">
        <v>44120</v>
      </c>
      <c r="G55" s="24">
        <v>10000000</v>
      </c>
      <c r="H55" s="23">
        <v>5.0000000000000001E-3</v>
      </c>
      <c r="I55" s="39">
        <v>44256</v>
      </c>
      <c r="J55" s="39">
        <v>44286</v>
      </c>
      <c r="K55" s="24">
        <f t="shared" si="2"/>
        <v>31</v>
      </c>
      <c r="L55" s="24">
        <f t="shared" si="3"/>
        <v>4247</v>
      </c>
      <c r="M55" s="24">
        <v>10000000</v>
      </c>
    </row>
    <row r="56" spans="1:13" s="48" customFormat="1" outlineLevel="2">
      <c r="A56" s="39" t="s">
        <v>78</v>
      </c>
      <c r="B56" s="40" t="s">
        <v>34</v>
      </c>
      <c r="C56" s="41" t="s">
        <v>87</v>
      </c>
      <c r="D56" s="40" t="s">
        <v>88</v>
      </c>
      <c r="E56" s="24">
        <v>40000000</v>
      </c>
      <c r="F56" s="39">
        <v>44131</v>
      </c>
      <c r="G56" s="24">
        <v>40000000</v>
      </c>
      <c r="H56" s="23">
        <v>5.0000000000000001E-3</v>
      </c>
      <c r="I56" s="39">
        <v>44256</v>
      </c>
      <c r="J56" s="39">
        <v>44286</v>
      </c>
      <c r="K56" s="24">
        <f t="shared" si="2"/>
        <v>31</v>
      </c>
      <c r="L56" s="24">
        <f t="shared" si="3"/>
        <v>16986</v>
      </c>
      <c r="M56" s="24">
        <v>40000000</v>
      </c>
    </row>
    <row r="57" spans="1:13" s="48" customFormat="1" outlineLevel="2">
      <c r="A57" s="39" t="s">
        <v>78</v>
      </c>
      <c r="B57" s="40" t="s">
        <v>35</v>
      </c>
      <c r="C57" s="41" t="s">
        <v>89</v>
      </c>
      <c r="D57" s="40" t="s">
        <v>90</v>
      </c>
      <c r="E57" s="24">
        <v>88000000</v>
      </c>
      <c r="F57" s="39">
        <v>44119</v>
      </c>
      <c r="G57" s="24">
        <v>88000000</v>
      </c>
      <c r="H57" s="23">
        <v>5.0000000000000001E-3</v>
      </c>
      <c r="I57" s="39">
        <v>44256</v>
      </c>
      <c r="J57" s="39">
        <v>44286</v>
      </c>
      <c r="K57" s="24">
        <f t="shared" si="2"/>
        <v>31</v>
      </c>
      <c r="L57" s="24">
        <f t="shared" si="3"/>
        <v>37370</v>
      </c>
      <c r="M57" s="24">
        <v>88000000</v>
      </c>
    </row>
    <row r="58" spans="1:13" s="48" customFormat="1" outlineLevel="2">
      <c r="A58" s="39" t="s">
        <v>78</v>
      </c>
      <c r="B58" s="40" t="s">
        <v>36</v>
      </c>
      <c r="C58" s="41" t="s">
        <v>91</v>
      </c>
      <c r="D58" s="40" t="s">
        <v>92</v>
      </c>
      <c r="E58" s="24">
        <v>65800000</v>
      </c>
      <c r="F58" s="39">
        <v>44119</v>
      </c>
      <c r="G58" s="24">
        <v>65800000</v>
      </c>
      <c r="H58" s="23">
        <v>5.0000000000000001E-3</v>
      </c>
      <c r="I58" s="39">
        <v>44256</v>
      </c>
      <c r="J58" s="39">
        <v>44286</v>
      </c>
      <c r="K58" s="24">
        <f t="shared" si="2"/>
        <v>31</v>
      </c>
      <c r="L58" s="24">
        <f t="shared" si="3"/>
        <v>27942</v>
      </c>
      <c r="M58" s="24">
        <v>65800000</v>
      </c>
    </row>
    <row r="59" spans="1:13" s="48" customFormat="1" outlineLevel="2">
      <c r="A59" s="39" t="s">
        <v>78</v>
      </c>
      <c r="B59" s="40" t="s">
        <v>39</v>
      </c>
      <c r="C59" s="41" t="s">
        <v>60</v>
      </c>
      <c r="D59" s="40" t="s">
        <v>61</v>
      </c>
      <c r="E59" s="24">
        <v>90000000</v>
      </c>
      <c r="F59" s="39">
        <v>43913</v>
      </c>
      <c r="G59" s="24">
        <v>90000000</v>
      </c>
      <c r="H59" s="23">
        <v>5.0000000000000001E-3</v>
      </c>
      <c r="I59" s="39">
        <v>44256</v>
      </c>
      <c r="J59" s="39">
        <v>44286</v>
      </c>
      <c r="K59" s="24">
        <f t="shared" si="2"/>
        <v>31</v>
      </c>
      <c r="L59" s="24">
        <f t="shared" si="3"/>
        <v>38219</v>
      </c>
      <c r="M59" s="24">
        <v>90000000</v>
      </c>
    </row>
    <row r="60" spans="1:13" s="48" customFormat="1" outlineLevel="2">
      <c r="A60" s="39" t="s">
        <v>78</v>
      </c>
      <c r="B60" s="40" t="s">
        <v>40</v>
      </c>
      <c r="C60" s="41" t="s">
        <v>93</v>
      </c>
      <c r="D60" s="40" t="s">
        <v>94</v>
      </c>
      <c r="E60" s="24">
        <v>7611996</v>
      </c>
      <c r="F60" s="39">
        <v>44151</v>
      </c>
      <c r="G60" s="24">
        <v>7611996</v>
      </c>
      <c r="H60" s="23">
        <v>5.0000000000000001E-3</v>
      </c>
      <c r="I60" s="39">
        <v>44256</v>
      </c>
      <c r="J60" s="39">
        <v>44286</v>
      </c>
      <c r="K60" s="24">
        <f t="shared" si="2"/>
        <v>31</v>
      </c>
      <c r="L60" s="24">
        <f t="shared" si="3"/>
        <v>3232</v>
      </c>
      <c r="M60" s="24">
        <v>7611996</v>
      </c>
    </row>
    <row r="61" spans="1:13" s="48" customFormat="1" outlineLevel="2">
      <c r="A61" s="39" t="s">
        <v>78</v>
      </c>
      <c r="B61" s="40" t="s">
        <v>41</v>
      </c>
      <c r="C61" s="41" t="s">
        <v>93</v>
      </c>
      <c r="D61" s="40" t="s">
        <v>94</v>
      </c>
      <c r="E61" s="24">
        <v>4900000</v>
      </c>
      <c r="F61" s="39">
        <v>44151</v>
      </c>
      <c r="G61" s="24">
        <v>4900000</v>
      </c>
      <c r="H61" s="23">
        <v>5.0000000000000001E-3</v>
      </c>
      <c r="I61" s="39">
        <v>44256</v>
      </c>
      <c r="J61" s="39">
        <v>44286</v>
      </c>
      <c r="K61" s="24">
        <f t="shared" si="2"/>
        <v>31</v>
      </c>
      <c r="L61" s="24">
        <f t="shared" si="3"/>
        <v>2081</v>
      </c>
      <c r="M61" s="24">
        <v>4900000</v>
      </c>
    </row>
    <row r="62" spans="1:13" s="48" customFormat="1" outlineLevel="2">
      <c r="A62" s="39" t="s">
        <v>78</v>
      </c>
      <c r="B62" s="40" t="s">
        <v>42</v>
      </c>
      <c r="C62" s="41" t="s">
        <v>93</v>
      </c>
      <c r="D62" s="40" t="s">
        <v>94</v>
      </c>
      <c r="E62" s="24">
        <v>21838392</v>
      </c>
      <c r="F62" s="39">
        <v>44151</v>
      </c>
      <c r="G62" s="24">
        <v>21838392</v>
      </c>
      <c r="H62" s="23">
        <v>5.0000000000000001E-3</v>
      </c>
      <c r="I62" s="39">
        <v>44256</v>
      </c>
      <c r="J62" s="39">
        <v>44286</v>
      </c>
      <c r="K62" s="24">
        <f t="shared" si="2"/>
        <v>31</v>
      </c>
      <c r="L62" s="24">
        <f t="shared" si="3"/>
        <v>9274</v>
      </c>
      <c r="M62" s="24">
        <v>21838392</v>
      </c>
    </row>
    <row r="63" spans="1:13" s="48" customFormat="1" outlineLevel="2">
      <c r="A63" s="39" t="s">
        <v>78</v>
      </c>
      <c r="B63" s="40" t="s">
        <v>43</v>
      </c>
      <c r="C63" s="41" t="s">
        <v>95</v>
      </c>
      <c r="D63" s="40" t="s">
        <v>96</v>
      </c>
      <c r="E63" s="24">
        <v>41950000</v>
      </c>
      <c r="F63" s="39">
        <v>44154</v>
      </c>
      <c r="G63" s="24">
        <v>41950000</v>
      </c>
      <c r="H63" s="23">
        <v>5.0000000000000001E-3</v>
      </c>
      <c r="I63" s="39">
        <v>44256</v>
      </c>
      <c r="J63" s="39">
        <v>44286</v>
      </c>
      <c r="K63" s="24">
        <f t="shared" si="2"/>
        <v>31</v>
      </c>
      <c r="L63" s="24">
        <f t="shared" si="3"/>
        <v>17814</v>
      </c>
      <c r="M63" s="24">
        <v>41950000</v>
      </c>
    </row>
    <row r="64" spans="1:13" s="48" customFormat="1" outlineLevel="2">
      <c r="A64" s="39" t="s">
        <v>78</v>
      </c>
      <c r="B64" s="40" t="s">
        <v>44</v>
      </c>
      <c r="C64" s="41" t="s">
        <v>95</v>
      </c>
      <c r="D64" s="40" t="s">
        <v>96</v>
      </c>
      <c r="E64" s="24">
        <v>30000000</v>
      </c>
      <c r="F64" s="39">
        <v>44154</v>
      </c>
      <c r="G64" s="24">
        <v>28928571</v>
      </c>
      <c r="H64" s="23">
        <v>5.0000000000000001E-3</v>
      </c>
      <c r="I64" s="39">
        <v>44256</v>
      </c>
      <c r="J64" s="39">
        <v>44269</v>
      </c>
      <c r="K64" s="24">
        <f t="shared" si="2"/>
        <v>14</v>
      </c>
      <c r="L64" s="24">
        <f t="shared" si="3"/>
        <v>5548</v>
      </c>
      <c r="M64" s="24">
        <v>28571428</v>
      </c>
    </row>
    <row r="65" spans="1:13" s="48" customFormat="1" outlineLevel="2">
      <c r="A65" s="39" t="s">
        <v>78</v>
      </c>
      <c r="B65" s="40" t="s">
        <v>44</v>
      </c>
      <c r="C65" s="41" t="s">
        <v>95</v>
      </c>
      <c r="D65" s="40"/>
      <c r="E65" s="24"/>
      <c r="F65" s="39"/>
      <c r="G65" s="24">
        <v>28571428</v>
      </c>
      <c r="H65" s="23">
        <v>5.0000000000000001E-3</v>
      </c>
      <c r="I65" s="39">
        <v>44270</v>
      </c>
      <c r="J65" s="39">
        <v>44286</v>
      </c>
      <c r="K65" s="24">
        <f t="shared" si="2"/>
        <v>17</v>
      </c>
      <c r="L65" s="24">
        <f t="shared" si="3"/>
        <v>6654</v>
      </c>
      <c r="M65" s="24"/>
    </row>
    <row r="66" spans="1:13" s="48" customFormat="1" outlineLevel="2">
      <c r="A66" s="39" t="s">
        <v>78</v>
      </c>
      <c r="B66" s="40" t="s">
        <v>47</v>
      </c>
      <c r="C66" s="41" t="s">
        <v>81</v>
      </c>
      <c r="D66" s="40" t="s">
        <v>82</v>
      </c>
      <c r="E66" s="24">
        <v>3490000</v>
      </c>
      <c r="F66" s="39">
        <v>44138</v>
      </c>
      <c r="G66" s="24">
        <v>3299635</v>
      </c>
      <c r="H66" s="23">
        <v>5.0000000000000001E-3</v>
      </c>
      <c r="I66" s="39">
        <v>44256</v>
      </c>
      <c r="J66" s="39">
        <v>44269</v>
      </c>
      <c r="K66" s="24">
        <f t="shared" si="2"/>
        <v>14</v>
      </c>
      <c r="L66" s="24">
        <f t="shared" si="3"/>
        <v>633</v>
      </c>
      <c r="M66" s="24">
        <v>3236180</v>
      </c>
    </row>
    <row r="67" spans="1:13" s="48" customFormat="1" outlineLevel="2">
      <c r="A67" s="39" t="s">
        <v>78</v>
      </c>
      <c r="B67" s="40" t="s">
        <v>47</v>
      </c>
      <c r="C67" s="41" t="s">
        <v>81</v>
      </c>
      <c r="D67" s="40"/>
      <c r="E67" s="24"/>
      <c r="F67" s="39"/>
      <c r="G67" s="24">
        <v>3236180</v>
      </c>
      <c r="H67" s="23">
        <v>5.0000000000000001E-3</v>
      </c>
      <c r="I67" s="39">
        <v>44270</v>
      </c>
      <c r="J67" s="39">
        <v>44286</v>
      </c>
      <c r="K67" s="24">
        <f t="shared" si="2"/>
        <v>17</v>
      </c>
      <c r="L67" s="24">
        <f t="shared" si="3"/>
        <v>754</v>
      </c>
      <c r="M67" s="24"/>
    </row>
    <row r="68" spans="1:13" s="48" customFormat="1" outlineLevel="2">
      <c r="A68" s="39" t="s">
        <v>78</v>
      </c>
      <c r="B68" s="40" t="s">
        <v>50</v>
      </c>
      <c r="C68" s="41" t="s">
        <v>81</v>
      </c>
      <c r="D68" s="40" t="s">
        <v>82</v>
      </c>
      <c r="E68" s="24">
        <v>1970000</v>
      </c>
      <c r="F68" s="39">
        <v>44147</v>
      </c>
      <c r="G68" s="24">
        <v>1862543</v>
      </c>
      <c r="H68" s="23">
        <v>5.0000000000000001E-3</v>
      </c>
      <c r="I68" s="39">
        <v>44256</v>
      </c>
      <c r="J68" s="39">
        <v>44269</v>
      </c>
      <c r="K68" s="24">
        <f t="shared" si="2"/>
        <v>14</v>
      </c>
      <c r="L68" s="24">
        <f t="shared" si="3"/>
        <v>357</v>
      </c>
      <c r="M68" s="24">
        <v>1826724</v>
      </c>
    </row>
    <row r="69" spans="1:13" s="48" customFormat="1" outlineLevel="2">
      <c r="A69" s="39" t="s">
        <v>78</v>
      </c>
      <c r="B69" s="40" t="s">
        <v>50</v>
      </c>
      <c r="C69" s="41" t="s">
        <v>81</v>
      </c>
      <c r="D69" s="40"/>
      <c r="E69" s="24"/>
      <c r="F69" s="39"/>
      <c r="G69" s="24">
        <v>1826724</v>
      </c>
      <c r="H69" s="23">
        <v>5.0000000000000001E-3</v>
      </c>
      <c r="I69" s="39">
        <v>44270</v>
      </c>
      <c r="J69" s="39">
        <v>44286</v>
      </c>
      <c r="K69" s="24">
        <f t="shared" si="2"/>
        <v>17</v>
      </c>
      <c r="L69" s="24">
        <f t="shared" si="3"/>
        <v>425</v>
      </c>
      <c r="M69" s="24"/>
    </row>
    <row r="70" spans="1:13" s="48" customFormat="1" outlineLevel="2">
      <c r="A70" s="39" t="s">
        <v>78</v>
      </c>
      <c r="B70" s="40" t="s">
        <v>51</v>
      </c>
      <c r="C70" s="41" t="s">
        <v>93</v>
      </c>
      <c r="D70" s="40" t="s">
        <v>94</v>
      </c>
      <c r="E70" s="24">
        <v>20979731</v>
      </c>
      <c r="F70" s="39">
        <v>44167</v>
      </c>
      <c r="G70" s="24">
        <v>20979731</v>
      </c>
      <c r="H70" s="23">
        <v>5.0000000000000001E-3</v>
      </c>
      <c r="I70" s="39">
        <v>44256</v>
      </c>
      <c r="J70" s="39">
        <v>44286</v>
      </c>
      <c r="K70" s="24">
        <f t="shared" si="2"/>
        <v>31</v>
      </c>
      <c r="L70" s="24">
        <f t="shared" si="3"/>
        <v>8909</v>
      </c>
      <c r="M70" s="24">
        <v>20979731</v>
      </c>
    </row>
    <row r="71" spans="1:13" s="48" customFormat="1" outlineLevel="2">
      <c r="A71" s="39" t="s">
        <v>78</v>
      </c>
      <c r="B71" s="40" t="s">
        <v>52</v>
      </c>
      <c r="C71" s="41" t="s">
        <v>93</v>
      </c>
      <c r="D71" s="40" t="s">
        <v>94</v>
      </c>
      <c r="E71" s="24">
        <v>15036832</v>
      </c>
      <c r="F71" s="39">
        <v>44181</v>
      </c>
      <c r="G71" s="24">
        <v>15036832</v>
      </c>
      <c r="H71" s="23">
        <v>5.0000000000000001E-3</v>
      </c>
      <c r="I71" s="39">
        <v>44256</v>
      </c>
      <c r="J71" s="39">
        <v>44286</v>
      </c>
      <c r="K71" s="24">
        <f t="shared" si="2"/>
        <v>31</v>
      </c>
      <c r="L71" s="24">
        <f t="shared" si="3"/>
        <v>6386</v>
      </c>
      <c r="M71" s="24">
        <v>15036832</v>
      </c>
    </row>
    <row r="72" spans="1:13" s="48" customFormat="1" outlineLevel="2">
      <c r="A72" s="39" t="s">
        <v>78</v>
      </c>
      <c r="B72" s="40" t="s">
        <v>53</v>
      </c>
      <c r="C72" s="41" t="s">
        <v>93</v>
      </c>
      <c r="D72" s="40" t="s">
        <v>94</v>
      </c>
      <c r="E72" s="24">
        <v>2070415</v>
      </c>
      <c r="F72" s="39">
        <v>44193</v>
      </c>
      <c r="G72" s="24">
        <v>2070415</v>
      </c>
      <c r="H72" s="23">
        <v>5.0000000000000001E-3</v>
      </c>
      <c r="I72" s="39">
        <v>44256</v>
      </c>
      <c r="J72" s="39">
        <v>44286</v>
      </c>
      <c r="K72" s="24">
        <f t="shared" si="2"/>
        <v>31</v>
      </c>
      <c r="L72" s="24">
        <f t="shared" si="3"/>
        <v>879</v>
      </c>
      <c r="M72" s="24">
        <v>2070415</v>
      </c>
    </row>
    <row r="73" spans="1:13" s="48" customFormat="1" outlineLevel="2">
      <c r="A73" s="39" t="s">
        <v>78</v>
      </c>
      <c r="B73" s="40" t="s">
        <v>54</v>
      </c>
      <c r="C73" s="41" t="s">
        <v>55</v>
      </c>
      <c r="D73" s="40" t="s">
        <v>56</v>
      </c>
      <c r="E73" s="24">
        <v>23500000</v>
      </c>
      <c r="F73" s="39">
        <v>43928</v>
      </c>
      <c r="G73" s="24">
        <v>20422607</v>
      </c>
      <c r="H73" s="23">
        <v>5.0000000000000001E-3</v>
      </c>
      <c r="I73" s="39">
        <v>44256</v>
      </c>
      <c r="J73" s="39">
        <v>44269</v>
      </c>
      <c r="K73" s="24">
        <f t="shared" si="2"/>
        <v>14</v>
      </c>
      <c r="L73" s="24">
        <f t="shared" si="3"/>
        <v>3917</v>
      </c>
      <c r="M73" s="24">
        <v>20142844</v>
      </c>
    </row>
    <row r="74" spans="1:13" s="48" customFormat="1" outlineLevel="2">
      <c r="A74" s="39" t="s">
        <v>78</v>
      </c>
      <c r="B74" s="40" t="s">
        <v>54</v>
      </c>
      <c r="C74" s="41" t="s">
        <v>55</v>
      </c>
      <c r="D74" s="40"/>
      <c r="E74" s="24"/>
      <c r="F74" s="39"/>
      <c r="G74" s="24">
        <v>20142844</v>
      </c>
      <c r="H74" s="23">
        <v>5.0000000000000001E-3</v>
      </c>
      <c r="I74" s="39">
        <v>44270</v>
      </c>
      <c r="J74" s="39">
        <v>44286</v>
      </c>
      <c r="K74" s="24">
        <f t="shared" si="2"/>
        <v>17</v>
      </c>
      <c r="L74" s="24">
        <f t="shared" si="3"/>
        <v>4691</v>
      </c>
      <c r="M74" s="24"/>
    </row>
    <row r="75" spans="1:13" s="48" customFormat="1" outlineLevel="2">
      <c r="A75" s="39" t="s">
        <v>78</v>
      </c>
      <c r="B75" s="40" t="s">
        <v>57</v>
      </c>
      <c r="C75" s="41" t="s">
        <v>83</v>
      </c>
      <c r="D75" s="40" t="s">
        <v>84</v>
      </c>
      <c r="E75" s="24">
        <v>125000000</v>
      </c>
      <c r="F75" s="39">
        <v>44189</v>
      </c>
      <c r="G75" s="24">
        <v>125000000</v>
      </c>
      <c r="H75" s="23">
        <v>5.0000000000000001E-3</v>
      </c>
      <c r="I75" s="39">
        <v>44256</v>
      </c>
      <c r="J75" s="39">
        <v>44286</v>
      </c>
      <c r="K75" s="24">
        <f t="shared" si="2"/>
        <v>31</v>
      </c>
      <c r="L75" s="24">
        <f t="shared" si="3"/>
        <v>53082</v>
      </c>
      <c r="M75" s="24">
        <v>125000000</v>
      </c>
    </row>
    <row r="76" spans="1:13" s="48" customFormat="1" outlineLevel="2">
      <c r="A76" s="39" t="s">
        <v>78</v>
      </c>
      <c r="B76" s="40" t="s">
        <v>58</v>
      </c>
      <c r="C76" s="41" t="s">
        <v>97</v>
      </c>
      <c r="D76" s="40" t="s">
        <v>98</v>
      </c>
      <c r="E76" s="24">
        <v>51800000</v>
      </c>
      <c r="F76" s="39">
        <v>44180</v>
      </c>
      <c r="G76" s="24">
        <v>51800000</v>
      </c>
      <c r="H76" s="23">
        <v>5.0000000000000001E-3</v>
      </c>
      <c r="I76" s="39">
        <v>44256</v>
      </c>
      <c r="J76" s="39">
        <v>44286</v>
      </c>
      <c r="K76" s="24">
        <f t="shared" si="2"/>
        <v>31</v>
      </c>
      <c r="L76" s="24">
        <f t="shared" si="3"/>
        <v>21997</v>
      </c>
      <c r="M76" s="24">
        <v>51800000</v>
      </c>
    </row>
    <row r="77" spans="1:13" s="48" customFormat="1" outlineLevel="2">
      <c r="A77" s="39" t="s">
        <v>78</v>
      </c>
      <c r="B77" s="40" t="s">
        <v>99</v>
      </c>
      <c r="C77" s="41" t="s">
        <v>91</v>
      </c>
      <c r="D77" s="40" t="s">
        <v>92</v>
      </c>
      <c r="E77" s="24">
        <v>25000000</v>
      </c>
      <c r="F77" s="39">
        <v>44180</v>
      </c>
      <c r="G77" s="24">
        <v>25000000</v>
      </c>
      <c r="H77" s="23">
        <v>5.0000000000000001E-3</v>
      </c>
      <c r="I77" s="39">
        <v>44256</v>
      </c>
      <c r="J77" s="39">
        <v>44286</v>
      </c>
      <c r="K77" s="24">
        <f t="shared" ref="K77:K108" si="4">J77-I77+1</f>
        <v>31</v>
      </c>
      <c r="L77" s="24">
        <f t="shared" ref="L77:L108" si="5">ROUND(G77*H77*K77/365,0)</f>
        <v>10616</v>
      </c>
      <c r="M77" s="24">
        <v>25000000</v>
      </c>
    </row>
    <row r="78" spans="1:13" s="48" customFormat="1" outlineLevel="2">
      <c r="A78" s="39" t="s">
        <v>78</v>
      </c>
      <c r="B78" s="40" t="s">
        <v>100</v>
      </c>
      <c r="C78" s="41" t="s">
        <v>91</v>
      </c>
      <c r="D78" s="40" t="s">
        <v>92</v>
      </c>
      <c r="E78" s="24">
        <v>44000000</v>
      </c>
      <c r="F78" s="39">
        <v>44180</v>
      </c>
      <c r="G78" s="24">
        <v>44000000</v>
      </c>
      <c r="H78" s="23">
        <v>5.0000000000000001E-3</v>
      </c>
      <c r="I78" s="39">
        <v>44256</v>
      </c>
      <c r="J78" s="39">
        <v>44286</v>
      </c>
      <c r="K78" s="24">
        <f t="shared" si="4"/>
        <v>31</v>
      </c>
      <c r="L78" s="24">
        <f t="shared" si="5"/>
        <v>18685</v>
      </c>
      <c r="M78" s="24">
        <v>44000000</v>
      </c>
    </row>
    <row r="79" spans="1:13" s="48" customFormat="1" outlineLevel="2">
      <c r="A79" s="39" t="s">
        <v>78</v>
      </c>
      <c r="B79" s="40" t="s">
        <v>101</v>
      </c>
      <c r="C79" s="41" t="s">
        <v>95</v>
      </c>
      <c r="D79" s="40" t="s">
        <v>96</v>
      </c>
      <c r="E79" s="24">
        <v>129650000</v>
      </c>
      <c r="F79" s="39">
        <v>44195</v>
      </c>
      <c r="G79" s="24">
        <v>129650000</v>
      </c>
      <c r="H79" s="23">
        <v>5.0000000000000001E-3</v>
      </c>
      <c r="I79" s="39">
        <v>44256</v>
      </c>
      <c r="J79" s="39">
        <v>44286</v>
      </c>
      <c r="K79" s="24">
        <f t="shared" si="4"/>
        <v>31</v>
      </c>
      <c r="L79" s="24">
        <f t="shared" si="5"/>
        <v>55057</v>
      </c>
      <c r="M79" s="24">
        <v>129650000</v>
      </c>
    </row>
    <row r="80" spans="1:13" s="48" customFormat="1" outlineLevel="2">
      <c r="A80" s="39" t="s">
        <v>78</v>
      </c>
      <c r="B80" s="40" t="s">
        <v>102</v>
      </c>
      <c r="C80" s="41" t="s">
        <v>95</v>
      </c>
      <c r="D80" s="40" t="s">
        <v>96</v>
      </c>
      <c r="E80" s="24">
        <v>12000000</v>
      </c>
      <c r="F80" s="39">
        <v>44195</v>
      </c>
      <c r="G80" s="24">
        <v>11710842</v>
      </c>
      <c r="H80" s="23">
        <v>5.0000000000000001E-3</v>
      </c>
      <c r="I80" s="39">
        <v>44256</v>
      </c>
      <c r="J80" s="39">
        <v>44269</v>
      </c>
      <c r="K80" s="24">
        <f t="shared" si="4"/>
        <v>14</v>
      </c>
      <c r="L80" s="24">
        <f t="shared" si="5"/>
        <v>2246</v>
      </c>
      <c r="M80" s="24">
        <v>11566263</v>
      </c>
    </row>
    <row r="81" spans="1:13" s="48" customFormat="1" outlineLevel="2">
      <c r="A81" s="39" t="s">
        <v>78</v>
      </c>
      <c r="B81" s="40" t="s">
        <v>102</v>
      </c>
      <c r="C81" s="41" t="s">
        <v>95</v>
      </c>
      <c r="D81" s="40"/>
      <c r="E81" s="24"/>
      <c r="F81" s="39"/>
      <c r="G81" s="24">
        <v>11566263</v>
      </c>
      <c r="H81" s="23">
        <v>5.0000000000000001E-3</v>
      </c>
      <c r="I81" s="39">
        <v>44270</v>
      </c>
      <c r="J81" s="39">
        <v>44286</v>
      </c>
      <c r="K81" s="24">
        <f t="shared" si="4"/>
        <v>17</v>
      </c>
      <c r="L81" s="24">
        <f t="shared" si="5"/>
        <v>2694</v>
      </c>
      <c r="M81" s="24"/>
    </row>
    <row r="82" spans="1:13" s="48" customFormat="1" outlineLevel="2">
      <c r="A82" s="39" t="s">
        <v>78</v>
      </c>
      <c r="B82" s="40" t="s">
        <v>103</v>
      </c>
      <c r="C82" s="41" t="s">
        <v>66</v>
      </c>
      <c r="D82" s="40" t="s">
        <v>67</v>
      </c>
      <c r="E82" s="24">
        <v>144000000</v>
      </c>
      <c r="F82" s="39">
        <v>44196</v>
      </c>
      <c r="G82" s="24">
        <v>144000000</v>
      </c>
      <c r="H82" s="23">
        <v>5.0000000000000001E-3</v>
      </c>
      <c r="I82" s="39">
        <v>44256</v>
      </c>
      <c r="J82" s="39">
        <v>44286</v>
      </c>
      <c r="K82" s="24">
        <f t="shared" si="4"/>
        <v>31</v>
      </c>
      <c r="L82" s="24">
        <f t="shared" si="5"/>
        <v>61151</v>
      </c>
      <c r="M82" s="24">
        <v>144000000</v>
      </c>
    </row>
    <row r="83" spans="1:13" s="48" customFormat="1" outlineLevel="2">
      <c r="A83" s="39" t="s">
        <v>78</v>
      </c>
      <c r="B83" s="40" t="s">
        <v>104</v>
      </c>
      <c r="C83" s="41" t="s">
        <v>91</v>
      </c>
      <c r="D83" s="40" t="s">
        <v>92</v>
      </c>
      <c r="E83" s="24">
        <v>45000000</v>
      </c>
      <c r="F83" s="39">
        <v>44211</v>
      </c>
      <c r="G83" s="24">
        <v>45000000</v>
      </c>
      <c r="H83" s="23">
        <v>5.0000000000000001E-3</v>
      </c>
      <c r="I83" s="39">
        <v>44256</v>
      </c>
      <c r="J83" s="39">
        <v>44286</v>
      </c>
      <c r="K83" s="24">
        <f t="shared" si="4"/>
        <v>31</v>
      </c>
      <c r="L83" s="24">
        <f t="shared" si="5"/>
        <v>19110</v>
      </c>
      <c r="M83" s="24">
        <v>45000000</v>
      </c>
    </row>
    <row r="84" spans="1:13" s="48" customFormat="1" outlineLevel="2">
      <c r="A84" s="39" t="s">
        <v>78</v>
      </c>
      <c r="B84" s="40" t="s">
        <v>105</v>
      </c>
      <c r="C84" s="41" t="s">
        <v>91</v>
      </c>
      <c r="D84" s="40" t="s">
        <v>92</v>
      </c>
      <c r="E84" s="24">
        <v>31000000</v>
      </c>
      <c r="F84" s="39">
        <v>44211</v>
      </c>
      <c r="G84" s="24">
        <v>31000000</v>
      </c>
      <c r="H84" s="23">
        <v>5.0000000000000001E-3</v>
      </c>
      <c r="I84" s="39">
        <v>44256</v>
      </c>
      <c r="J84" s="39">
        <v>44286</v>
      </c>
      <c r="K84" s="24">
        <f t="shared" si="4"/>
        <v>31</v>
      </c>
      <c r="L84" s="24">
        <f t="shared" si="5"/>
        <v>13164</v>
      </c>
      <c r="M84" s="24">
        <v>31000000</v>
      </c>
    </row>
    <row r="85" spans="1:13" s="48" customFormat="1" outlineLevel="2">
      <c r="A85" s="39" t="s">
        <v>78</v>
      </c>
      <c r="B85" s="40" t="s">
        <v>106</v>
      </c>
      <c r="C85" s="41" t="s">
        <v>93</v>
      </c>
      <c r="D85" s="40" t="s">
        <v>94</v>
      </c>
      <c r="E85" s="24">
        <v>7174630</v>
      </c>
      <c r="F85" s="39">
        <v>44203</v>
      </c>
      <c r="G85" s="24">
        <v>7174630</v>
      </c>
      <c r="H85" s="23">
        <v>5.0000000000000001E-3</v>
      </c>
      <c r="I85" s="39">
        <v>44256</v>
      </c>
      <c r="J85" s="39">
        <v>44286</v>
      </c>
      <c r="K85" s="24">
        <f t="shared" si="4"/>
        <v>31</v>
      </c>
      <c r="L85" s="24">
        <f t="shared" si="5"/>
        <v>3047</v>
      </c>
      <c r="M85" s="24">
        <v>7174630</v>
      </c>
    </row>
    <row r="86" spans="1:13" s="48" customFormat="1" outlineLevel="2">
      <c r="A86" s="39" t="s">
        <v>78</v>
      </c>
      <c r="B86" s="40" t="s">
        <v>59</v>
      </c>
      <c r="C86" s="41" t="s">
        <v>81</v>
      </c>
      <c r="D86" s="40" t="s">
        <v>82</v>
      </c>
      <c r="E86" s="24">
        <v>7000000</v>
      </c>
      <c r="F86" s="39">
        <v>44004</v>
      </c>
      <c r="G86" s="24">
        <v>6066664</v>
      </c>
      <c r="H86" s="23">
        <v>5.0000000000000001E-3</v>
      </c>
      <c r="I86" s="39">
        <v>44256</v>
      </c>
      <c r="J86" s="39">
        <v>44269</v>
      </c>
      <c r="K86" s="24">
        <f t="shared" si="4"/>
        <v>14</v>
      </c>
      <c r="L86" s="24">
        <f t="shared" si="5"/>
        <v>1163</v>
      </c>
      <c r="M86" s="24">
        <v>5949997</v>
      </c>
    </row>
    <row r="87" spans="1:13" s="48" customFormat="1" outlineLevel="2">
      <c r="A87" s="39" t="s">
        <v>78</v>
      </c>
      <c r="B87" s="40" t="s">
        <v>59</v>
      </c>
      <c r="C87" s="41" t="s">
        <v>81</v>
      </c>
      <c r="D87" s="40"/>
      <c r="E87" s="24"/>
      <c r="F87" s="39"/>
      <c r="G87" s="24">
        <v>5949997</v>
      </c>
      <c r="H87" s="23">
        <v>5.0000000000000001E-3</v>
      </c>
      <c r="I87" s="39">
        <v>44270</v>
      </c>
      <c r="J87" s="39">
        <v>44286</v>
      </c>
      <c r="K87" s="24">
        <f t="shared" si="4"/>
        <v>17</v>
      </c>
      <c r="L87" s="24">
        <f t="shared" si="5"/>
        <v>1386</v>
      </c>
      <c r="M87" s="24"/>
    </row>
    <row r="88" spans="1:13" s="48" customFormat="1" outlineLevel="2">
      <c r="A88" s="39" t="s">
        <v>78</v>
      </c>
      <c r="B88" s="40" t="s">
        <v>136</v>
      </c>
      <c r="C88" s="41" t="s">
        <v>95</v>
      </c>
      <c r="D88" s="40" t="s">
        <v>96</v>
      </c>
      <c r="E88" s="24">
        <v>3650000</v>
      </c>
      <c r="F88" s="39">
        <v>44246</v>
      </c>
      <c r="G88" s="24">
        <v>3650000</v>
      </c>
      <c r="H88" s="23">
        <v>5.0000000000000001E-3</v>
      </c>
      <c r="I88" s="39">
        <v>44256</v>
      </c>
      <c r="J88" s="39">
        <v>44286</v>
      </c>
      <c r="K88" s="24">
        <f t="shared" si="4"/>
        <v>31</v>
      </c>
      <c r="L88" s="24">
        <f t="shared" si="5"/>
        <v>1550</v>
      </c>
      <c r="M88" s="24">
        <v>3650000</v>
      </c>
    </row>
    <row r="89" spans="1:13" s="48" customFormat="1" outlineLevel="2">
      <c r="A89" s="39" t="s">
        <v>78</v>
      </c>
      <c r="B89" s="40" t="s">
        <v>137</v>
      </c>
      <c r="C89" s="41" t="s">
        <v>93</v>
      </c>
      <c r="D89" s="40" t="s">
        <v>94</v>
      </c>
      <c r="E89" s="24">
        <v>1028354</v>
      </c>
      <c r="F89" s="39">
        <v>44236</v>
      </c>
      <c r="G89" s="24">
        <v>1028354</v>
      </c>
      <c r="H89" s="23">
        <v>5.0000000000000001E-3</v>
      </c>
      <c r="I89" s="39">
        <v>44256</v>
      </c>
      <c r="J89" s="39">
        <v>44286</v>
      </c>
      <c r="K89" s="24">
        <f t="shared" si="4"/>
        <v>31</v>
      </c>
      <c r="L89" s="24">
        <f t="shared" si="5"/>
        <v>437</v>
      </c>
      <c r="M89" s="24">
        <v>1028354</v>
      </c>
    </row>
    <row r="90" spans="1:13" s="48" customFormat="1" outlineLevel="2">
      <c r="A90" s="39" t="s">
        <v>78</v>
      </c>
      <c r="B90" s="40" t="s">
        <v>138</v>
      </c>
      <c r="C90" s="41" t="s">
        <v>93</v>
      </c>
      <c r="D90" s="40" t="s">
        <v>94</v>
      </c>
      <c r="E90" s="24">
        <v>1983370</v>
      </c>
      <c r="F90" s="39">
        <v>44246</v>
      </c>
      <c r="G90" s="24">
        <v>1983370</v>
      </c>
      <c r="H90" s="23">
        <v>5.0000000000000001E-3</v>
      </c>
      <c r="I90" s="39">
        <v>44256</v>
      </c>
      <c r="J90" s="39">
        <v>44286</v>
      </c>
      <c r="K90" s="24">
        <f t="shared" si="4"/>
        <v>31</v>
      </c>
      <c r="L90" s="24">
        <f t="shared" si="5"/>
        <v>842</v>
      </c>
      <c r="M90" s="24">
        <v>1983370</v>
      </c>
    </row>
    <row r="91" spans="1:13" s="48" customFormat="1" outlineLevel="2">
      <c r="A91" s="39" t="s">
        <v>78</v>
      </c>
      <c r="B91" s="40" t="s">
        <v>139</v>
      </c>
      <c r="C91" s="41" t="s">
        <v>306</v>
      </c>
      <c r="D91" s="40" t="s">
        <v>305</v>
      </c>
      <c r="E91" s="24">
        <v>10000000</v>
      </c>
      <c r="F91" s="39">
        <v>44252</v>
      </c>
      <c r="G91" s="24">
        <v>10000000</v>
      </c>
      <c r="H91" s="23">
        <v>5.0000000000000001E-3</v>
      </c>
      <c r="I91" s="39">
        <v>44256</v>
      </c>
      <c r="J91" s="39">
        <v>44286</v>
      </c>
      <c r="K91" s="24">
        <f t="shared" si="4"/>
        <v>31</v>
      </c>
      <c r="L91" s="24">
        <f t="shared" si="5"/>
        <v>4247</v>
      </c>
      <c r="M91" s="24">
        <v>10000000</v>
      </c>
    </row>
    <row r="92" spans="1:13" s="48" customFormat="1" outlineLevel="2">
      <c r="A92" s="39" t="s">
        <v>78</v>
      </c>
      <c r="B92" s="40" t="s">
        <v>140</v>
      </c>
      <c r="C92" s="41" t="s">
        <v>85</v>
      </c>
      <c r="D92" s="40" t="s">
        <v>86</v>
      </c>
      <c r="E92" s="24">
        <v>67620000</v>
      </c>
      <c r="F92" s="39">
        <v>44253</v>
      </c>
      <c r="G92" s="24">
        <v>67620000</v>
      </c>
      <c r="H92" s="23">
        <v>5.0000000000000001E-3</v>
      </c>
      <c r="I92" s="39">
        <v>44256</v>
      </c>
      <c r="J92" s="39">
        <v>44286</v>
      </c>
      <c r="K92" s="24">
        <f t="shared" si="4"/>
        <v>31</v>
      </c>
      <c r="L92" s="24">
        <f t="shared" si="5"/>
        <v>28715</v>
      </c>
      <c r="M92" s="24">
        <v>67620000</v>
      </c>
    </row>
    <row r="93" spans="1:13" s="48" customFormat="1" outlineLevel="2">
      <c r="A93" s="39" t="s">
        <v>78</v>
      </c>
      <c r="B93" s="40" t="s">
        <v>169</v>
      </c>
      <c r="C93" s="41" t="s">
        <v>91</v>
      </c>
      <c r="D93" s="40" t="s">
        <v>92</v>
      </c>
      <c r="E93" s="24">
        <v>33000000</v>
      </c>
      <c r="F93" s="39">
        <v>44270</v>
      </c>
      <c r="G93" s="24">
        <v>33000000</v>
      </c>
      <c r="H93" s="23">
        <v>5.0000000000000001E-3</v>
      </c>
      <c r="I93" s="39">
        <v>44270</v>
      </c>
      <c r="J93" s="39">
        <v>44286</v>
      </c>
      <c r="K93" s="24">
        <f t="shared" si="4"/>
        <v>17</v>
      </c>
      <c r="L93" s="24">
        <f t="shared" si="5"/>
        <v>7685</v>
      </c>
      <c r="M93" s="24">
        <v>33000000</v>
      </c>
    </row>
    <row r="94" spans="1:13" s="48" customFormat="1" outlineLevel="2">
      <c r="A94" s="39" t="s">
        <v>78</v>
      </c>
      <c r="B94" s="40" t="s">
        <v>170</v>
      </c>
      <c r="C94" s="41" t="s">
        <v>91</v>
      </c>
      <c r="D94" s="40" t="s">
        <v>92</v>
      </c>
      <c r="E94" s="24">
        <v>38900000</v>
      </c>
      <c r="F94" s="39">
        <v>44270</v>
      </c>
      <c r="G94" s="24">
        <v>38900000</v>
      </c>
      <c r="H94" s="23">
        <v>5.0000000000000001E-3</v>
      </c>
      <c r="I94" s="39">
        <v>44270</v>
      </c>
      <c r="J94" s="39">
        <v>44286</v>
      </c>
      <c r="K94" s="24">
        <f t="shared" si="4"/>
        <v>17</v>
      </c>
      <c r="L94" s="24">
        <f t="shared" si="5"/>
        <v>9059</v>
      </c>
      <c r="M94" s="24">
        <v>38900000</v>
      </c>
    </row>
    <row r="95" spans="1:13" s="48" customFormat="1" outlineLevel="2">
      <c r="A95" s="39" t="s">
        <v>78</v>
      </c>
      <c r="B95" s="40" t="s">
        <v>171</v>
      </c>
      <c r="C95" s="41" t="s">
        <v>81</v>
      </c>
      <c r="D95" s="40" t="s">
        <v>82</v>
      </c>
      <c r="E95" s="24">
        <v>6800000</v>
      </c>
      <c r="F95" s="39">
        <v>44272</v>
      </c>
      <c r="G95" s="24">
        <v>6800000</v>
      </c>
      <c r="H95" s="23">
        <v>5.0000000000000001E-3</v>
      </c>
      <c r="I95" s="39">
        <v>44272</v>
      </c>
      <c r="J95" s="39">
        <v>44286</v>
      </c>
      <c r="K95" s="24">
        <f t="shared" si="4"/>
        <v>15</v>
      </c>
      <c r="L95" s="24">
        <f t="shared" si="5"/>
        <v>1397</v>
      </c>
      <c r="M95" s="24">
        <v>6800000</v>
      </c>
    </row>
    <row r="96" spans="1:13" s="48" customFormat="1" outlineLevel="2">
      <c r="A96" s="39" t="s">
        <v>78</v>
      </c>
      <c r="B96" s="40" t="s">
        <v>172</v>
      </c>
      <c r="C96" s="41" t="s">
        <v>81</v>
      </c>
      <c r="D96" s="40" t="s">
        <v>82</v>
      </c>
      <c r="E96" s="24">
        <v>5540000</v>
      </c>
      <c r="F96" s="39">
        <v>44285</v>
      </c>
      <c r="G96" s="24">
        <v>5540000</v>
      </c>
      <c r="H96" s="23">
        <v>5.0000000000000001E-3</v>
      </c>
      <c r="I96" s="39">
        <v>44285</v>
      </c>
      <c r="J96" s="39">
        <v>44286</v>
      </c>
      <c r="K96" s="24">
        <f t="shared" si="4"/>
        <v>2</v>
      </c>
      <c r="L96" s="24">
        <f t="shared" si="5"/>
        <v>152</v>
      </c>
      <c r="M96" s="24">
        <v>5540000</v>
      </c>
    </row>
    <row r="97" spans="1:13" s="48" customFormat="1" outlineLevel="2">
      <c r="A97" s="39" t="s">
        <v>78</v>
      </c>
      <c r="B97" s="40" t="s">
        <v>173</v>
      </c>
      <c r="C97" s="41" t="s">
        <v>337</v>
      </c>
      <c r="D97" s="40" t="s">
        <v>336</v>
      </c>
      <c r="E97" s="24">
        <v>30000000</v>
      </c>
      <c r="F97" s="39">
        <v>44286</v>
      </c>
      <c r="G97" s="24">
        <v>30000000</v>
      </c>
      <c r="H97" s="23">
        <v>5.0000000000000001E-3</v>
      </c>
      <c r="I97" s="39">
        <v>44286</v>
      </c>
      <c r="J97" s="39">
        <v>44286</v>
      </c>
      <c r="K97" s="24">
        <f t="shared" si="4"/>
        <v>1</v>
      </c>
      <c r="L97" s="24">
        <f t="shared" si="5"/>
        <v>411</v>
      </c>
      <c r="M97" s="24">
        <v>30000000</v>
      </c>
    </row>
    <row r="98" spans="1:13" s="48" customFormat="1" outlineLevel="2">
      <c r="A98" s="39" t="s">
        <v>78</v>
      </c>
      <c r="B98" s="40" t="s">
        <v>62</v>
      </c>
      <c r="C98" s="41" t="s">
        <v>83</v>
      </c>
      <c r="D98" s="40" t="s">
        <v>84</v>
      </c>
      <c r="E98" s="24">
        <v>298410000</v>
      </c>
      <c r="F98" s="39">
        <v>44006</v>
      </c>
      <c r="G98" s="24">
        <v>298410000</v>
      </c>
      <c r="H98" s="23">
        <v>5.0000000000000001E-3</v>
      </c>
      <c r="I98" s="39">
        <v>44256</v>
      </c>
      <c r="J98" s="39">
        <v>44286</v>
      </c>
      <c r="K98" s="24">
        <f t="shared" si="4"/>
        <v>31</v>
      </c>
      <c r="L98" s="24">
        <f t="shared" si="5"/>
        <v>126722</v>
      </c>
      <c r="M98" s="24">
        <v>298410000</v>
      </c>
    </row>
    <row r="99" spans="1:13" s="48" customFormat="1" outlineLevel="2">
      <c r="A99" s="39" t="s">
        <v>78</v>
      </c>
      <c r="B99" s="40" t="s">
        <v>174</v>
      </c>
      <c r="C99" s="41" t="s">
        <v>155</v>
      </c>
      <c r="D99" s="40" t="s">
        <v>156</v>
      </c>
      <c r="E99" s="24">
        <v>120000000</v>
      </c>
      <c r="F99" s="39">
        <v>44270</v>
      </c>
      <c r="G99" s="24">
        <v>120000000</v>
      </c>
      <c r="H99" s="23">
        <v>5.0000000000000001E-3</v>
      </c>
      <c r="I99" s="39">
        <v>44270</v>
      </c>
      <c r="J99" s="39">
        <v>44286</v>
      </c>
      <c r="K99" s="24">
        <f t="shared" si="4"/>
        <v>17</v>
      </c>
      <c r="L99" s="24">
        <f t="shared" si="5"/>
        <v>27945</v>
      </c>
      <c r="M99" s="24">
        <v>120000000</v>
      </c>
    </row>
    <row r="100" spans="1:13" s="48" customFormat="1" outlineLevel="2">
      <c r="A100" s="39" t="s">
        <v>78</v>
      </c>
      <c r="B100" s="40" t="s">
        <v>63</v>
      </c>
      <c r="C100" s="41" t="s">
        <v>83</v>
      </c>
      <c r="D100" s="40" t="s">
        <v>84</v>
      </c>
      <c r="E100" s="24">
        <v>95370000</v>
      </c>
      <c r="F100" s="39">
        <v>44006</v>
      </c>
      <c r="G100" s="24">
        <v>95370000</v>
      </c>
      <c r="H100" s="23">
        <v>5.0000000000000001E-3</v>
      </c>
      <c r="I100" s="39">
        <v>44256</v>
      </c>
      <c r="J100" s="39">
        <v>44286</v>
      </c>
      <c r="K100" s="24">
        <f t="shared" si="4"/>
        <v>31</v>
      </c>
      <c r="L100" s="24">
        <f t="shared" si="5"/>
        <v>40500</v>
      </c>
      <c r="M100" s="24">
        <v>95370000</v>
      </c>
    </row>
    <row r="101" spans="1:13" s="48" customFormat="1" outlineLevel="2">
      <c r="A101" s="39" t="s">
        <v>78</v>
      </c>
      <c r="B101" s="40" t="s">
        <v>64</v>
      </c>
      <c r="C101" s="41" t="s">
        <v>83</v>
      </c>
      <c r="D101" s="40" t="s">
        <v>84</v>
      </c>
      <c r="E101" s="24">
        <v>73910000</v>
      </c>
      <c r="F101" s="39">
        <v>44032</v>
      </c>
      <c r="G101" s="24">
        <v>73910000</v>
      </c>
      <c r="H101" s="23">
        <v>5.0000000000000001E-3</v>
      </c>
      <c r="I101" s="39">
        <v>44256</v>
      </c>
      <c r="J101" s="39">
        <v>44286</v>
      </c>
      <c r="K101" s="24">
        <f t="shared" si="4"/>
        <v>31</v>
      </c>
      <c r="L101" s="24">
        <f t="shared" si="5"/>
        <v>31386</v>
      </c>
      <c r="M101" s="24">
        <v>73910000</v>
      </c>
    </row>
    <row r="102" spans="1:13" s="48" customFormat="1" outlineLevel="2">
      <c r="A102" s="39" t="s">
        <v>78</v>
      </c>
      <c r="B102" s="40" t="s">
        <v>65</v>
      </c>
      <c r="C102" s="41" t="s">
        <v>83</v>
      </c>
      <c r="D102" s="40" t="s">
        <v>84</v>
      </c>
      <c r="E102" s="24">
        <v>291200000</v>
      </c>
      <c r="F102" s="39">
        <v>44032</v>
      </c>
      <c r="G102" s="24">
        <v>291200000</v>
      </c>
      <c r="H102" s="23">
        <v>3.0000000000000001E-3</v>
      </c>
      <c r="I102" s="39">
        <v>44256</v>
      </c>
      <c r="J102" s="39">
        <v>44286</v>
      </c>
      <c r="K102" s="24">
        <f t="shared" si="4"/>
        <v>31</v>
      </c>
      <c r="L102" s="24">
        <f t="shared" si="5"/>
        <v>74196</v>
      </c>
      <c r="M102" s="24">
        <v>291200000</v>
      </c>
    </row>
    <row r="103" spans="1:13" s="48" customFormat="1" outlineLevel="2">
      <c r="A103" s="39" t="s">
        <v>78</v>
      </c>
      <c r="B103" s="40" t="s">
        <v>68</v>
      </c>
      <c r="C103" s="41" t="s">
        <v>81</v>
      </c>
      <c r="D103" s="40" t="s">
        <v>82</v>
      </c>
      <c r="E103" s="24">
        <v>10000000</v>
      </c>
      <c r="F103" s="39">
        <v>44025</v>
      </c>
      <c r="G103" s="24">
        <v>8813556</v>
      </c>
      <c r="H103" s="23">
        <v>5.0000000000000001E-3</v>
      </c>
      <c r="I103" s="39">
        <v>44256</v>
      </c>
      <c r="J103" s="39">
        <v>44269</v>
      </c>
      <c r="K103" s="24">
        <f t="shared" si="4"/>
        <v>14</v>
      </c>
      <c r="L103" s="24">
        <f t="shared" si="5"/>
        <v>1690</v>
      </c>
      <c r="M103" s="24">
        <v>8644064</v>
      </c>
    </row>
    <row r="104" spans="1:13" s="48" customFormat="1" outlineLevel="2">
      <c r="A104" s="39" t="s">
        <v>78</v>
      </c>
      <c r="B104" s="40" t="s">
        <v>68</v>
      </c>
      <c r="C104" s="41" t="s">
        <v>81</v>
      </c>
      <c r="D104" s="40"/>
      <c r="E104" s="24"/>
      <c r="F104" s="39"/>
      <c r="G104" s="24">
        <v>8644064</v>
      </c>
      <c r="H104" s="23">
        <v>5.0000000000000001E-3</v>
      </c>
      <c r="I104" s="39">
        <v>44270</v>
      </c>
      <c r="J104" s="39">
        <v>44286</v>
      </c>
      <c r="K104" s="24">
        <f t="shared" si="4"/>
        <v>17</v>
      </c>
      <c r="L104" s="24">
        <f t="shared" si="5"/>
        <v>2013</v>
      </c>
      <c r="M104" s="24"/>
    </row>
    <row r="105" spans="1:13" s="48" customFormat="1" outlineLevel="1">
      <c r="A105" s="42" t="s">
        <v>107</v>
      </c>
      <c r="B105" s="43"/>
      <c r="C105" s="44"/>
      <c r="D105" s="43"/>
      <c r="E105" s="45">
        <f>SUBTOTAL(9,E45:E104)</f>
        <v>2849763720</v>
      </c>
      <c r="F105" s="46"/>
      <c r="G105" s="45"/>
      <c r="H105" s="47"/>
      <c r="I105" s="46"/>
      <c r="J105" s="46"/>
      <c r="K105" s="45"/>
      <c r="L105" s="45">
        <f>SUBTOTAL(9,L45:L104)</f>
        <v>1102524</v>
      </c>
      <c r="M105" s="45">
        <f>SUBTOTAL(9,M45:M104)</f>
        <v>2836362399</v>
      </c>
    </row>
    <row r="106" spans="1:13" s="48" customFormat="1" outlineLevel="2">
      <c r="A106" s="39" t="s">
        <v>108</v>
      </c>
      <c r="B106" s="40" t="s">
        <v>16</v>
      </c>
      <c r="C106" s="41" t="s">
        <v>109</v>
      </c>
      <c r="D106" s="40" t="s">
        <v>110</v>
      </c>
      <c r="E106" s="24">
        <v>81465386</v>
      </c>
      <c r="F106" s="39">
        <v>43900</v>
      </c>
      <c r="G106" s="24">
        <v>81465386</v>
      </c>
      <c r="H106" s="23">
        <v>5.0000000000000001E-3</v>
      </c>
      <c r="I106" s="39">
        <v>44256</v>
      </c>
      <c r="J106" s="39">
        <v>44286</v>
      </c>
      <c r="K106" s="24">
        <f t="shared" ref="K106:K137" si="6">J106-I106+1</f>
        <v>31</v>
      </c>
      <c r="L106" s="24">
        <f t="shared" ref="L106:L137" si="7">ROUND(G106*H106*K106/365,0)</f>
        <v>34595</v>
      </c>
      <c r="M106" s="24">
        <v>81465386</v>
      </c>
    </row>
    <row r="107" spans="1:13" s="48" customFormat="1" outlineLevel="2">
      <c r="A107" s="39" t="s">
        <v>108</v>
      </c>
      <c r="B107" s="40" t="s">
        <v>19</v>
      </c>
      <c r="C107" s="41" t="s">
        <v>111</v>
      </c>
      <c r="D107" s="40" t="s">
        <v>112</v>
      </c>
      <c r="E107" s="24">
        <v>8860000</v>
      </c>
      <c r="F107" s="39">
        <v>43997</v>
      </c>
      <c r="G107" s="24">
        <v>8860000</v>
      </c>
      <c r="H107" s="23">
        <v>5.0000000000000001E-3</v>
      </c>
      <c r="I107" s="39">
        <v>44256</v>
      </c>
      <c r="J107" s="39">
        <v>44286</v>
      </c>
      <c r="K107" s="24">
        <f t="shared" si="6"/>
        <v>31</v>
      </c>
      <c r="L107" s="24">
        <f t="shared" si="7"/>
        <v>3762</v>
      </c>
      <c r="M107" s="24">
        <v>8860000</v>
      </c>
    </row>
    <row r="108" spans="1:13" s="48" customFormat="1" outlineLevel="2">
      <c r="A108" s="39" t="s">
        <v>108</v>
      </c>
      <c r="B108" s="40" t="s">
        <v>22</v>
      </c>
      <c r="C108" s="41" t="s">
        <v>113</v>
      </c>
      <c r="D108" s="40" t="s">
        <v>114</v>
      </c>
      <c r="E108" s="24">
        <v>20390000</v>
      </c>
      <c r="F108" s="39">
        <v>43997</v>
      </c>
      <c r="G108" s="24">
        <v>18400736</v>
      </c>
      <c r="H108" s="23">
        <v>5.0000000000000001E-3</v>
      </c>
      <c r="I108" s="39">
        <v>44256</v>
      </c>
      <c r="J108" s="39">
        <v>44269</v>
      </c>
      <c r="K108" s="24">
        <f t="shared" si="6"/>
        <v>14</v>
      </c>
      <c r="L108" s="24">
        <f t="shared" si="7"/>
        <v>3529</v>
      </c>
      <c r="M108" s="24">
        <v>18152078</v>
      </c>
    </row>
    <row r="109" spans="1:13" s="48" customFormat="1" outlineLevel="2">
      <c r="A109" s="39" t="s">
        <v>108</v>
      </c>
      <c r="B109" s="40" t="s">
        <v>22</v>
      </c>
      <c r="C109" s="41" t="s">
        <v>113</v>
      </c>
      <c r="D109" s="40"/>
      <c r="E109" s="24"/>
      <c r="F109" s="39"/>
      <c r="G109" s="24">
        <v>18152078</v>
      </c>
      <c r="H109" s="23">
        <v>5.0000000000000001E-3</v>
      </c>
      <c r="I109" s="39">
        <v>44270</v>
      </c>
      <c r="J109" s="39">
        <v>44286</v>
      </c>
      <c r="K109" s="24">
        <f t="shared" si="6"/>
        <v>17</v>
      </c>
      <c r="L109" s="24">
        <f t="shared" si="7"/>
        <v>4227</v>
      </c>
      <c r="M109" s="24"/>
    </row>
    <row r="110" spans="1:13" s="48" customFormat="1" outlineLevel="2">
      <c r="A110" s="39" t="s">
        <v>108</v>
      </c>
      <c r="B110" s="40" t="s">
        <v>25</v>
      </c>
      <c r="C110" s="41" t="s">
        <v>113</v>
      </c>
      <c r="D110" s="40" t="s">
        <v>114</v>
      </c>
      <c r="E110" s="24">
        <v>69600000</v>
      </c>
      <c r="F110" s="39">
        <v>43997</v>
      </c>
      <c r="G110" s="24">
        <v>64960000</v>
      </c>
      <c r="H110" s="23">
        <v>5.0000000000000001E-3</v>
      </c>
      <c r="I110" s="39">
        <v>44256</v>
      </c>
      <c r="J110" s="39">
        <v>44269</v>
      </c>
      <c r="K110" s="24">
        <f t="shared" si="6"/>
        <v>14</v>
      </c>
      <c r="L110" s="24">
        <f t="shared" si="7"/>
        <v>12458</v>
      </c>
      <c r="M110" s="24">
        <v>64380000</v>
      </c>
    </row>
    <row r="111" spans="1:13" s="48" customFormat="1" outlineLevel="2">
      <c r="A111" s="39" t="s">
        <v>108</v>
      </c>
      <c r="B111" s="40" t="s">
        <v>25</v>
      </c>
      <c r="C111" s="41" t="s">
        <v>113</v>
      </c>
      <c r="D111" s="40"/>
      <c r="E111" s="24"/>
      <c r="F111" s="39"/>
      <c r="G111" s="24">
        <v>64380000</v>
      </c>
      <c r="H111" s="23">
        <v>5.0000000000000001E-3</v>
      </c>
      <c r="I111" s="39">
        <v>44270</v>
      </c>
      <c r="J111" s="39">
        <v>44286</v>
      </c>
      <c r="K111" s="24">
        <f t="shared" si="6"/>
        <v>17</v>
      </c>
      <c r="L111" s="24">
        <f t="shared" si="7"/>
        <v>14993</v>
      </c>
      <c r="M111" s="24"/>
    </row>
    <row r="112" spans="1:13" s="48" customFormat="1" outlineLevel="2">
      <c r="A112" s="39" t="s">
        <v>108</v>
      </c>
      <c r="B112" s="40" t="s">
        <v>26</v>
      </c>
      <c r="C112" s="41" t="s">
        <v>109</v>
      </c>
      <c r="D112" s="40" t="s">
        <v>110</v>
      </c>
      <c r="E112" s="24">
        <v>16630000</v>
      </c>
      <c r="F112" s="39">
        <v>44011</v>
      </c>
      <c r="G112" s="24">
        <v>16630000</v>
      </c>
      <c r="H112" s="23">
        <v>5.0000000000000001E-3</v>
      </c>
      <c r="I112" s="39">
        <v>44256</v>
      </c>
      <c r="J112" s="39">
        <v>44286</v>
      </c>
      <c r="K112" s="24">
        <f t="shared" si="6"/>
        <v>31</v>
      </c>
      <c r="L112" s="24">
        <f t="shared" si="7"/>
        <v>7062</v>
      </c>
      <c r="M112" s="24">
        <v>16630000</v>
      </c>
    </row>
    <row r="113" spans="1:13" s="48" customFormat="1" outlineLevel="2">
      <c r="A113" s="39" t="s">
        <v>108</v>
      </c>
      <c r="B113" s="40" t="s">
        <v>29</v>
      </c>
      <c r="C113" s="41" t="s">
        <v>111</v>
      </c>
      <c r="D113" s="40" t="s">
        <v>112</v>
      </c>
      <c r="E113" s="24">
        <v>4650000</v>
      </c>
      <c r="F113" s="39">
        <v>44027</v>
      </c>
      <c r="G113" s="24">
        <v>4650000</v>
      </c>
      <c r="H113" s="23">
        <v>5.0000000000000001E-3</v>
      </c>
      <c r="I113" s="39">
        <v>44256</v>
      </c>
      <c r="J113" s="39">
        <v>44286</v>
      </c>
      <c r="K113" s="24">
        <f t="shared" si="6"/>
        <v>31</v>
      </c>
      <c r="L113" s="24">
        <f t="shared" si="7"/>
        <v>1975</v>
      </c>
      <c r="M113" s="24">
        <v>4650000</v>
      </c>
    </row>
    <row r="114" spans="1:13" s="48" customFormat="1" outlineLevel="2">
      <c r="A114" s="39" t="s">
        <v>108</v>
      </c>
      <c r="B114" s="40" t="s">
        <v>32</v>
      </c>
      <c r="C114" s="41" t="s">
        <v>113</v>
      </c>
      <c r="D114" s="40" t="s">
        <v>114</v>
      </c>
      <c r="E114" s="24">
        <v>10860000</v>
      </c>
      <c r="F114" s="39">
        <v>44027</v>
      </c>
      <c r="G114" s="24">
        <v>9921482</v>
      </c>
      <c r="H114" s="23">
        <v>5.0000000000000001E-3</v>
      </c>
      <c r="I114" s="39">
        <v>44256</v>
      </c>
      <c r="J114" s="39">
        <v>44269</v>
      </c>
      <c r="K114" s="24">
        <f t="shared" si="6"/>
        <v>14</v>
      </c>
      <c r="L114" s="24">
        <f t="shared" si="7"/>
        <v>1903</v>
      </c>
      <c r="M114" s="24">
        <v>9787408</v>
      </c>
    </row>
    <row r="115" spans="1:13" s="48" customFormat="1" outlineLevel="2">
      <c r="A115" s="39" t="s">
        <v>108</v>
      </c>
      <c r="B115" s="40" t="s">
        <v>32</v>
      </c>
      <c r="C115" s="41" t="s">
        <v>113</v>
      </c>
      <c r="D115" s="40"/>
      <c r="E115" s="24"/>
      <c r="F115" s="39"/>
      <c r="G115" s="24">
        <v>9787408</v>
      </c>
      <c r="H115" s="23">
        <v>5.0000000000000001E-3</v>
      </c>
      <c r="I115" s="39">
        <v>44270</v>
      </c>
      <c r="J115" s="39">
        <v>44286</v>
      </c>
      <c r="K115" s="24">
        <f t="shared" si="6"/>
        <v>17</v>
      </c>
      <c r="L115" s="24">
        <f t="shared" si="7"/>
        <v>2279</v>
      </c>
      <c r="M115" s="24"/>
    </row>
    <row r="116" spans="1:13" s="48" customFormat="1" outlineLevel="2">
      <c r="A116" s="39" t="s">
        <v>108</v>
      </c>
      <c r="B116" s="40" t="s">
        <v>33</v>
      </c>
      <c r="C116" s="41" t="s">
        <v>113</v>
      </c>
      <c r="D116" s="40" t="s">
        <v>114</v>
      </c>
      <c r="E116" s="24">
        <v>11600000</v>
      </c>
      <c r="F116" s="39">
        <v>44027</v>
      </c>
      <c r="G116" s="24">
        <v>10917654</v>
      </c>
      <c r="H116" s="23">
        <v>5.0000000000000001E-3</v>
      </c>
      <c r="I116" s="39">
        <v>44256</v>
      </c>
      <c r="J116" s="39">
        <v>44269</v>
      </c>
      <c r="K116" s="24">
        <f t="shared" si="6"/>
        <v>14</v>
      </c>
      <c r="L116" s="24">
        <f t="shared" si="7"/>
        <v>2094</v>
      </c>
      <c r="M116" s="24">
        <v>10820176</v>
      </c>
    </row>
    <row r="117" spans="1:13" s="48" customFormat="1" outlineLevel="2">
      <c r="A117" s="39" t="s">
        <v>108</v>
      </c>
      <c r="B117" s="40" t="s">
        <v>33</v>
      </c>
      <c r="C117" s="41" t="s">
        <v>113</v>
      </c>
      <c r="D117" s="40"/>
      <c r="E117" s="24"/>
      <c r="F117" s="39"/>
      <c r="G117" s="24">
        <v>10820176</v>
      </c>
      <c r="H117" s="23">
        <v>5.0000000000000001E-3</v>
      </c>
      <c r="I117" s="39">
        <v>44270</v>
      </c>
      <c r="J117" s="39">
        <v>44286</v>
      </c>
      <c r="K117" s="24">
        <f t="shared" si="6"/>
        <v>17</v>
      </c>
      <c r="L117" s="24">
        <f t="shared" si="7"/>
        <v>2520</v>
      </c>
      <c r="M117" s="24"/>
    </row>
    <row r="118" spans="1:13" s="48" customFormat="1" outlineLevel="2">
      <c r="A118" s="39" t="s">
        <v>108</v>
      </c>
      <c r="B118" s="40" t="s">
        <v>34</v>
      </c>
      <c r="C118" s="41" t="s">
        <v>23</v>
      </c>
      <c r="D118" s="40" t="s">
        <v>24</v>
      </c>
      <c r="E118" s="24">
        <v>18700000</v>
      </c>
      <c r="F118" s="39">
        <v>44032</v>
      </c>
      <c r="G118" s="24">
        <v>18700000</v>
      </c>
      <c r="H118" s="23">
        <v>5.0000000000000001E-3</v>
      </c>
      <c r="I118" s="39">
        <v>44256</v>
      </c>
      <c r="J118" s="39">
        <v>44286</v>
      </c>
      <c r="K118" s="24">
        <f t="shared" si="6"/>
        <v>31</v>
      </c>
      <c r="L118" s="24">
        <f t="shared" si="7"/>
        <v>7941</v>
      </c>
      <c r="M118" s="24">
        <v>18700000</v>
      </c>
    </row>
    <row r="119" spans="1:13" s="48" customFormat="1" outlineLevel="2">
      <c r="A119" s="39" t="s">
        <v>108</v>
      </c>
      <c r="B119" s="40" t="s">
        <v>35</v>
      </c>
      <c r="C119" s="41" t="s">
        <v>111</v>
      </c>
      <c r="D119" s="40" t="s">
        <v>112</v>
      </c>
      <c r="E119" s="24">
        <v>2950000</v>
      </c>
      <c r="F119" s="39">
        <v>44060</v>
      </c>
      <c r="G119" s="24">
        <v>2950000</v>
      </c>
      <c r="H119" s="23">
        <v>5.0000000000000001E-3</v>
      </c>
      <c r="I119" s="39">
        <v>44256</v>
      </c>
      <c r="J119" s="39">
        <v>44286</v>
      </c>
      <c r="K119" s="24">
        <f t="shared" si="6"/>
        <v>31</v>
      </c>
      <c r="L119" s="24">
        <f t="shared" si="7"/>
        <v>1253</v>
      </c>
      <c r="M119" s="24">
        <v>2950000</v>
      </c>
    </row>
    <row r="120" spans="1:13" s="48" customFormat="1" outlineLevel="2">
      <c r="A120" s="39" t="s">
        <v>108</v>
      </c>
      <c r="B120" s="40" t="s">
        <v>36</v>
      </c>
      <c r="C120" s="41" t="s">
        <v>109</v>
      </c>
      <c r="D120" s="40" t="s">
        <v>110</v>
      </c>
      <c r="E120" s="24">
        <v>15120000</v>
      </c>
      <c r="F120" s="39">
        <v>44091</v>
      </c>
      <c r="G120" s="24">
        <v>15120000</v>
      </c>
      <c r="H120" s="23">
        <v>5.0000000000000001E-3</v>
      </c>
      <c r="I120" s="39">
        <v>44256</v>
      </c>
      <c r="J120" s="39">
        <v>44286</v>
      </c>
      <c r="K120" s="24">
        <f t="shared" si="6"/>
        <v>31</v>
      </c>
      <c r="L120" s="24">
        <f t="shared" si="7"/>
        <v>6421</v>
      </c>
      <c r="M120" s="24">
        <v>15120000</v>
      </c>
    </row>
    <row r="121" spans="1:13" s="48" customFormat="1" outlineLevel="2">
      <c r="A121" s="39" t="s">
        <v>108</v>
      </c>
      <c r="B121" s="40" t="s">
        <v>39</v>
      </c>
      <c r="C121" s="41" t="s">
        <v>111</v>
      </c>
      <c r="D121" s="40" t="s">
        <v>112</v>
      </c>
      <c r="E121" s="24">
        <v>6200000</v>
      </c>
      <c r="F121" s="39">
        <v>43929</v>
      </c>
      <c r="G121" s="24">
        <v>6200000</v>
      </c>
      <c r="H121" s="23">
        <v>5.0000000000000001E-3</v>
      </c>
      <c r="I121" s="39">
        <v>44256</v>
      </c>
      <c r="J121" s="39">
        <v>44286</v>
      </c>
      <c r="K121" s="24">
        <f t="shared" si="6"/>
        <v>31</v>
      </c>
      <c r="L121" s="24">
        <f t="shared" si="7"/>
        <v>2633</v>
      </c>
      <c r="M121" s="24">
        <v>6200000</v>
      </c>
    </row>
    <row r="122" spans="1:13" s="48" customFormat="1" outlineLevel="2">
      <c r="A122" s="39" t="s">
        <v>108</v>
      </c>
      <c r="B122" s="40" t="s">
        <v>40</v>
      </c>
      <c r="C122" s="41" t="s">
        <v>27</v>
      </c>
      <c r="D122" s="40" t="s">
        <v>28</v>
      </c>
      <c r="E122" s="24">
        <v>10000000</v>
      </c>
      <c r="F122" s="39">
        <v>44111</v>
      </c>
      <c r="G122" s="24">
        <v>9166670</v>
      </c>
      <c r="H122" s="23">
        <v>5.0000000000000001E-3</v>
      </c>
      <c r="I122" s="39">
        <v>44256</v>
      </c>
      <c r="J122" s="39">
        <v>44269</v>
      </c>
      <c r="K122" s="24">
        <f t="shared" si="6"/>
        <v>14</v>
      </c>
      <c r="L122" s="24">
        <f t="shared" si="7"/>
        <v>1758</v>
      </c>
      <c r="M122" s="24">
        <v>9000004</v>
      </c>
    </row>
    <row r="123" spans="1:13" s="48" customFormat="1" outlineLevel="2">
      <c r="A123" s="39" t="s">
        <v>108</v>
      </c>
      <c r="B123" s="40" t="s">
        <v>40</v>
      </c>
      <c r="C123" s="41" t="s">
        <v>27</v>
      </c>
      <c r="D123" s="40"/>
      <c r="E123" s="24"/>
      <c r="F123" s="39"/>
      <c r="G123" s="24">
        <v>9000004</v>
      </c>
      <c r="H123" s="23">
        <v>5.0000000000000001E-3</v>
      </c>
      <c r="I123" s="39">
        <v>44270</v>
      </c>
      <c r="J123" s="39">
        <v>44286</v>
      </c>
      <c r="K123" s="24">
        <f t="shared" si="6"/>
        <v>17</v>
      </c>
      <c r="L123" s="24">
        <f t="shared" si="7"/>
        <v>2096</v>
      </c>
      <c r="M123" s="24"/>
    </row>
    <row r="124" spans="1:13" s="48" customFormat="1" outlineLevel="2">
      <c r="A124" s="39" t="s">
        <v>108</v>
      </c>
      <c r="B124" s="40" t="s">
        <v>41</v>
      </c>
      <c r="C124" s="41" t="s">
        <v>27</v>
      </c>
      <c r="D124" s="40" t="s">
        <v>28</v>
      </c>
      <c r="E124" s="24">
        <v>24450000</v>
      </c>
      <c r="F124" s="39">
        <v>44120</v>
      </c>
      <c r="G124" s="24">
        <v>22792376</v>
      </c>
      <c r="H124" s="23">
        <v>5.0000000000000001E-3</v>
      </c>
      <c r="I124" s="39">
        <v>44256</v>
      </c>
      <c r="J124" s="39">
        <v>44269</v>
      </c>
      <c r="K124" s="24">
        <f t="shared" si="6"/>
        <v>14</v>
      </c>
      <c r="L124" s="24">
        <f t="shared" si="7"/>
        <v>4371</v>
      </c>
      <c r="M124" s="24">
        <v>22377970</v>
      </c>
    </row>
    <row r="125" spans="1:13" s="48" customFormat="1" outlineLevel="2">
      <c r="A125" s="39" t="s">
        <v>108</v>
      </c>
      <c r="B125" s="40" t="s">
        <v>41</v>
      </c>
      <c r="C125" s="41" t="s">
        <v>27</v>
      </c>
      <c r="D125" s="40"/>
      <c r="E125" s="24"/>
      <c r="F125" s="39"/>
      <c r="G125" s="24">
        <v>22377970</v>
      </c>
      <c r="H125" s="23">
        <v>5.0000000000000001E-3</v>
      </c>
      <c r="I125" s="39">
        <v>44270</v>
      </c>
      <c r="J125" s="39">
        <v>44286</v>
      </c>
      <c r="K125" s="24">
        <f t="shared" si="6"/>
        <v>17</v>
      </c>
      <c r="L125" s="24">
        <f t="shared" si="7"/>
        <v>5211</v>
      </c>
      <c r="M125" s="24"/>
    </row>
    <row r="126" spans="1:13" s="48" customFormat="1" outlineLevel="2">
      <c r="A126" s="39" t="s">
        <v>108</v>
      </c>
      <c r="B126" s="40" t="s">
        <v>42</v>
      </c>
      <c r="C126" s="41" t="s">
        <v>23</v>
      </c>
      <c r="D126" s="40" t="s">
        <v>24</v>
      </c>
      <c r="E126" s="24">
        <v>26100000</v>
      </c>
      <c r="F126" s="39">
        <v>44124</v>
      </c>
      <c r="G126" s="24">
        <v>26100000</v>
      </c>
      <c r="H126" s="23">
        <v>5.0000000000000001E-3</v>
      </c>
      <c r="I126" s="39">
        <v>44256</v>
      </c>
      <c r="J126" s="39">
        <v>44286</v>
      </c>
      <c r="K126" s="24">
        <f t="shared" si="6"/>
        <v>31</v>
      </c>
      <c r="L126" s="24">
        <f t="shared" si="7"/>
        <v>11084</v>
      </c>
      <c r="M126" s="24">
        <v>26100000</v>
      </c>
    </row>
    <row r="127" spans="1:13" s="48" customFormat="1" outlineLevel="2">
      <c r="A127" s="39" t="s">
        <v>108</v>
      </c>
      <c r="B127" s="40" t="s">
        <v>43</v>
      </c>
      <c r="C127" s="41" t="s">
        <v>27</v>
      </c>
      <c r="D127" s="40" t="s">
        <v>28</v>
      </c>
      <c r="E127" s="24">
        <v>25800000</v>
      </c>
      <c r="F127" s="39">
        <v>44137</v>
      </c>
      <c r="G127" s="24">
        <v>24050848</v>
      </c>
      <c r="H127" s="23">
        <v>5.0000000000000001E-3</v>
      </c>
      <c r="I127" s="39">
        <v>44256</v>
      </c>
      <c r="J127" s="39">
        <v>44269</v>
      </c>
      <c r="K127" s="24">
        <f t="shared" si="6"/>
        <v>14</v>
      </c>
      <c r="L127" s="24">
        <f t="shared" si="7"/>
        <v>4612</v>
      </c>
      <c r="M127" s="24">
        <v>23613560</v>
      </c>
    </row>
    <row r="128" spans="1:13" s="48" customFormat="1" outlineLevel="2">
      <c r="A128" s="39" t="s">
        <v>108</v>
      </c>
      <c r="B128" s="40" t="s">
        <v>43</v>
      </c>
      <c r="C128" s="41" t="s">
        <v>27</v>
      </c>
      <c r="D128" s="40"/>
      <c r="E128" s="24"/>
      <c r="F128" s="39"/>
      <c r="G128" s="24">
        <v>23613560</v>
      </c>
      <c r="H128" s="23">
        <v>5.0000000000000001E-3</v>
      </c>
      <c r="I128" s="39">
        <v>44270</v>
      </c>
      <c r="J128" s="39">
        <v>44286</v>
      </c>
      <c r="K128" s="24">
        <f t="shared" si="6"/>
        <v>17</v>
      </c>
      <c r="L128" s="24">
        <f t="shared" si="7"/>
        <v>5499</v>
      </c>
      <c r="M128" s="24"/>
    </row>
    <row r="129" spans="1:13" s="48" customFormat="1" outlineLevel="2">
      <c r="A129" s="39" t="s">
        <v>108</v>
      </c>
      <c r="B129" s="40" t="s">
        <v>44</v>
      </c>
      <c r="C129" s="41" t="s">
        <v>115</v>
      </c>
      <c r="D129" s="40" t="s">
        <v>116</v>
      </c>
      <c r="E129" s="24">
        <v>1200000</v>
      </c>
      <c r="F129" s="39">
        <v>44138</v>
      </c>
      <c r="G129" s="24">
        <v>1200000</v>
      </c>
      <c r="H129" s="23">
        <v>5.0000000000000001E-3</v>
      </c>
      <c r="I129" s="39">
        <v>44256</v>
      </c>
      <c r="J129" s="39">
        <v>44286</v>
      </c>
      <c r="K129" s="24">
        <f t="shared" si="6"/>
        <v>31</v>
      </c>
      <c r="L129" s="24">
        <f t="shared" si="7"/>
        <v>510</v>
      </c>
      <c r="M129" s="24">
        <v>1200000</v>
      </c>
    </row>
    <row r="130" spans="1:13" s="48" customFormat="1" outlineLevel="2">
      <c r="A130" s="39" t="s">
        <v>108</v>
      </c>
      <c r="B130" s="40" t="s">
        <v>47</v>
      </c>
      <c r="C130" s="41" t="s">
        <v>115</v>
      </c>
      <c r="D130" s="40" t="s">
        <v>116</v>
      </c>
      <c r="E130" s="24">
        <v>2350000</v>
      </c>
      <c r="F130" s="39">
        <v>44138</v>
      </c>
      <c r="G130" s="24">
        <v>2350000</v>
      </c>
      <c r="H130" s="23">
        <v>5.0000000000000001E-3</v>
      </c>
      <c r="I130" s="39">
        <v>44256</v>
      </c>
      <c r="J130" s="39">
        <v>44286</v>
      </c>
      <c r="K130" s="24">
        <f t="shared" si="6"/>
        <v>31</v>
      </c>
      <c r="L130" s="24">
        <f t="shared" si="7"/>
        <v>998</v>
      </c>
      <c r="M130" s="24">
        <v>2350000</v>
      </c>
    </row>
    <row r="131" spans="1:13" s="48" customFormat="1" outlineLevel="2">
      <c r="A131" s="39" t="s">
        <v>108</v>
      </c>
      <c r="B131" s="40" t="s">
        <v>50</v>
      </c>
      <c r="C131" s="41" t="s">
        <v>113</v>
      </c>
      <c r="D131" s="40" t="s">
        <v>114</v>
      </c>
      <c r="E131" s="24">
        <v>23200000</v>
      </c>
      <c r="F131" s="39">
        <v>44151</v>
      </c>
      <c r="G131" s="24">
        <v>22594783</v>
      </c>
      <c r="H131" s="23">
        <v>5.0000000000000001E-3</v>
      </c>
      <c r="I131" s="39">
        <v>44256</v>
      </c>
      <c r="J131" s="39">
        <v>44269</v>
      </c>
      <c r="K131" s="24">
        <f t="shared" si="6"/>
        <v>14</v>
      </c>
      <c r="L131" s="24">
        <f t="shared" si="7"/>
        <v>4333</v>
      </c>
      <c r="M131" s="24">
        <v>22393044</v>
      </c>
    </row>
    <row r="132" spans="1:13" s="48" customFormat="1" outlineLevel="2">
      <c r="A132" s="39" t="s">
        <v>108</v>
      </c>
      <c r="B132" s="40" t="s">
        <v>50</v>
      </c>
      <c r="C132" s="41" t="s">
        <v>113</v>
      </c>
      <c r="D132" s="40"/>
      <c r="E132" s="24"/>
      <c r="F132" s="39"/>
      <c r="G132" s="24">
        <v>22393044</v>
      </c>
      <c r="H132" s="23">
        <v>5.0000000000000001E-3</v>
      </c>
      <c r="I132" s="39">
        <v>44270</v>
      </c>
      <c r="J132" s="39">
        <v>44286</v>
      </c>
      <c r="K132" s="24">
        <f t="shared" si="6"/>
        <v>17</v>
      </c>
      <c r="L132" s="24">
        <f t="shared" si="7"/>
        <v>5215</v>
      </c>
      <c r="M132" s="24"/>
    </row>
    <row r="133" spans="1:13" s="48" customFormat="1" outlineLevel="2">
      <c r="A133" s="39" t="s">
        <v>108</v>
      </c>
      <c r="B133" s="40" t="s">
        <v>51</v>
      </c>
      <c r="C133" s="41" t="s">
        <v>111</v>
      </c>
      <c r="D133" s="40" t="s">
        <v>112</v>
      </c>
      <c r="E133" s="24">
        <v>5910000</v>
      </c>
      <c r="F133" s="39">
        <v>44151</v>
      </c>
      <c r="G133" s="24">
        <v>5910000</v>
      </c>
      <c r="H133" s="23">
        <v>5.0000000000000001E-3</v>
      </c>
      <c r="I133" s="39">
        <v>44256</v>
      </c>
      <c r="J133" s="39">
        <v>44286</v>
      </c>
      <c r="K133" s="24">
        <f t="shared" si="6"/>
        <v>31</v>
      </c>
      <c r="L133" s="24">
        <f t="shared" si="7"/>
        <v>2510</v>
      </c>
      <c r="M133" s="24">
        <v>5910000</v>
      </c>
    </row>
    <row r="134" spans="1:13" s="48" customFormat="1" outlineLevel="2">
      <c r="A134" s="39" t="s">
        <v>108</v>
      </c>
      <c r="B134" s="40" t="s">
        <v>52</v>
      </c>
      <c r="C134" s="41" t="s">
        <v>117</v>
      </c>
      <c r="D134" s="40" t="s">
        <v>118</v>
      </c>
      <c r="E134" s="24">
        <v>26000000</v>
      </c>
      <c r="F134" s="39">
        <v>44162</v>
      </c>
      <c r="G134" s="24">
        <v>25309736</v>
      </c>
      <c r="H134" s="23">
        <v>5.0000000000000001E-3</v>
      </c>
      <c r="I134" s="39">
        <v>44256</v>
      </c>
      <c r="J134" s="39">
        <v>44269</v>
      </c>
      <c r="K134" s="24">
        <f t="shared" si="6"/>
        <v>14</v>
      </c>
      <c r="L134" s="24">
        <f t="shared" si="7"/>
        <v>4854</v>
      </c>
      <c r="M134" s="24">
        <v>25079648</v>
      </c>
    </row>
    <row r="135" spans="1:13" s="48" customFormat="1" outlineLevel="2">
      <c r="A135" s="39" t="s">
        <v>108</v>
      </c>
      <c r="B135" s="40" t="s">
        <v>52</v>
      </c>
      <c r="C135" s="41" t="s">
        <v>117</v>
      </c>
      <c r="D135" s="40"/>
      <c r="E135" s="24"/>
      <c r="F135" s="39"/>
      <c r="G135" s="24">
        <v>25079648</v>
      </c>
      <c r="H135" s="23">
        <v>5.0000000000000001E-3</v>
      </c>
      <c r="I135" s="39">
        <v>44270</v>
      </c>
      <c r="J135" s="39">
        <v>44286</v>
      </c>
      <c r="K135" s="24">
        <f t="shared" si="6"/>
        <v>17</v>
      </c>
      <c r="L135" s="24">
        <f t="shared" si="7"/>
        <v>5840</v>
      </c>
      <c r="M135" s="24"/>
    </row>
    <row r="136" spans="1:13" s="48" customFormat="1" outlineLevel="2">
      <c r="A136" s="39" t="s">
        <v>108</v>
      </c>
      <c r="B136" s="40" t="s">
        <v>53</v>
      </c>
      <c r="C136" s="41" t="s">
        <v>27</v>
      </c>
      <c r="D136" s="40" t="s">
        <v>28</v>
      </c>
      <c r="E136" s="24">
        <v>9280000</v>
      </c>
      <c r="F136" s="39">
        <v>44167</v>
      </c>
      <c r="G136" s="24">
        <v>8800000</v>
      </c>
      <c r="H136" s="23">
        <v>5.0000000000000001E-3</v>
      </c>
      <c r="I136" s="39">
        <v>44256</v>
      </c>
      <c r="J136" s="39">
        <v>44269</v>
      </c>
      <c r="K136" s="24">
        <f t="shared" si="6"/>
        <v>14</v>
      </c>
      <c r="L136" s="24">
        <f t="shared" si="7"/>
        <v>1688</v>
      </c>
      <c r="M136" s="24">
        <v>8640000</v>
      </c>
    </row>
    <row r="137" spans="1:13" s="48" customFormat="1" outlineLevel="2">
      <c r="A137" s="39" t="s">
        <v>108</v>
      </c>
      <c r="B137" s="40" t="s">
        <v>53</v>
      </c>
      <c r="C137" s="41" t="s">
        <v>27</v>
      </c>
      <c r="D137" s="40"/>
      <c r="E137" s="24"/>
      <c r="F137" s="39"/>
      <c r="G137" s="24">
        <v>8640000</v>
      </c>
      <c r="H137" s="23">
        <v>5.0000000000000001E-3</v>
      </c>
      <c r="I137" s="39">
        <v>44270</v>
      </c>
      <c r="J137" s="39">
        <v>44286</v>
      </c>
      <c r="K137" s="24">
        <f t="shared" si="6"/>
        <v>17</v>
      </c>
      <c r="L137" s="24">
        <f t="shared" si="7"/>
        <v>2012</v>
      </c>
      <c r="M137" s="24"/>
    </row>
    <row r="138" spans="1:13" s="48" customFormat="1" outlineLevel="2">
      <c r="A138" s="39" t="s">
        <v>108</v>
      </c>
      <c r="B138" s="40" t="s">
        <v>54</v>
      </c>
      <c r="C138" s="41" t="s">
        <v>111</v>
      </c>
      <c r="D138" s="40" t="s">
        <v>112</v>
      </c>
      <c r="E138" s="24">
        <v>23630000</v>
      </c>
      <c r="F138" s="39">
        <v>43936</v>
      </c>
      <c r="G138" s="24">
        <v>23630000</v>
      </c>
      <c r="H138" s="23">
        <v>5.0000000000000001E-3</v>
      </c>
      <c r="I138" s="39">
        <v>44256</v>
      </c>
      <c r="J138" s="39">
        <v>44286</v>
      </c>
      <c r="K138" s="24">
        <f t="shared" ref="K138:K169" si="8">J138-I138+1</f>
        <v>31</v>
      </c>
      <c r="L138" s="24">
        <f t="shared" ref="L138:L169" si="9">ROUND(G138*H138*K138/365,0)</f>
        <v>10035</v>
      </c>
      <c r="M138" s="24">
        <v>23630000</v>
      </c>
    </row>
    <row r="139" spans="1:13" s="48" customFormat="1" outlineLevel="2">
      <c r="A139" s="39" t="s">
        <v>108</v>
      </c>
      <c r="B139" s="40" t="s">
        <v>57</v>
      </c>
      <c r="C139" s="41" t="s">
        <v>27</v>
      </c>
      <c r="D139" s="40" t="s">
        <v>28</v>
      </c>
      <c r="E139" s="24">
        <v>10470000</v>
      </c>
      <c r="F139" s="39">
        <v>44181</v>
      </c>
      <c r="G139" s="24">
        <v>10102632</v>
      </c>
      <c r="H139" s="23">
        <v>5.0000000000000001E-3</v>
      </c>
      <c r="I139" s="39">
        <v>44256</v>
      </c>
      <c r="J139" s="39">
        <v>44269</v>
      </c>
      <c r="K139" s="24">
        <f t="shared" si="8"/>
        <v>14</v>
      </c>
      <c r="L139" s="24">
        <f t="shared" si="9"/>
        <v>1937</v>
      </c>
      <c r="M139" s="24">
        <v>9918948</v>
      </c>
    </row>
    <row r="140" spans="1:13" s="48" customFormat="1" outlineLevel="2">
      <c r="A140" s="39" t="s">
        <v>108</v>
      </c>
      <c r="B140" s="40" t="s">
        <v>57</v>
      </c>
      <c r="C140" s="41" t="s">
        <v>27</v>
      </c>
      <c r="D140" s="40"/>
      <c r="E140" s="24"/>
      <c r="F140" s="39"/>
      <c r="G140" s="24">
        <v>9918948</v>
      </c>
      <c r="H140" s="23">
        <v>5.0000000000000001E-3</v>
      </c>
      <c r="I140" s="39">
        <v>44270</v>
      </c>
      <c r="J140" s="39">
        <v>44286</v>
      </c>
      <c r="K140" s="24">
        <f t="shared" si="8"/>
        <v>17</v>
      </c>
      <c r="L140" s="24">
        <f t="shared" si="9"/>
        <v>2310</v>
      </c>
      <c r="M140" s="24"/>
    </row>
    <row r="141" spans="1:13" s="48" customFormat="1" outlineLevel="2">
      <c r="A141" s="39" t="s">
        <v>108</v>
      </c>
      <c r="B141" s="40" t="s">
        <v>58</v>
      </c>
      <c r="C141" s="41" t="s">
        <v>111</v>
      </c>
      <c r="D141" s="40" t="s">
        <v>112</v>
      </c>
      <c r="E141" s="24">
        <v>2950000</v>
      </c>
      <c r="F141" s="39">
        <v>44180</v>
      </c>
      <c r="G141" s="24">
        <v>2950000</v>
      </c>
      <c r="H141" s="23">
        <v>5.0000000000000001E-3</v>
      </c>
      <c r="I141" s="39">
        <v>44256</v>
      </c>
      <c r="J141" s="39">
        <v>44286</v>
      </c>
      <c r="K141" s="24">
        <f t="shared" si="8"/>
        <v>31</v>
      </c>
      <c r="L141" s="24">
        <f t="shared" si="9"/>
        <v>1253</v>
      </c>
      <c r="M141" s="24">
        <v>2950000</v>
      </c>
    </row>
    <row r="142" spans="1:13" s="48" customFormat="1" outlineLevel="2">
      <c r="A142" s="39" t="s">
        <v>108</v>
      </c>
      <c r="B142" s="40" t="s">
        <v>99</v>
      </c>
      <c r="C142" s="41" t="s">
        <v>115</v>
      </c>
      <c r="D142" s="40" t="s">
        <v>116</v>
      </c>
      <c r="E142" s="24">
        <v>24400000</v>
      </c>
      <c r="F142" s="39">
        <v>44193</v>
      </c>
      <c r="G142" s="24">
        <v>24400000</v>
      </c>
      <c r="H142" s="23">
        <v>5.0000000000000001E-3</v>
      </c>
      <c r="I142" s="39">
        <v>44256</v>
      </c>
      <c r="J142" s="39">
        <v>44286</v>
      </c>
      <c r="K142" s="24">
        <f t="shared" si="8"/>
        <v>31</v>
      </c>
      <c r="L142" s="24">
        <f t="shared" si="9"/>
        <v>10362</v>
      </c>
      <c r="M142" s="24">
        <v>24400000</v>
      </c>
    </row>
    <row r="143" spans="1:13" s="48" customFormat="1" outlineLevel="2">
      <c r="A143" s="39" t="s">
        <v>108</v>
      </c>
      <c r="B143" s="40" t="s">
        <v>100</v>
      </c>
      <c r="C143" s="41" t="s">
        <v>115</v>
      </c>
      <c r="D143" s="40" t="s">
        <v>116</v>
      </c>
      <c r="E143" s="24">
        <v>5500000</v>
      </c>
      <c r="F143" s="39">
        <v>44193</v>
      </c>
      <c r="G143" s="24">
        <v>5500000</v>
      </c>
      <c r="H143" s="23">
        <v>5.0000000000000001E-3</v>
      </c>
      <c r="I143" s="39">
        <v>44256</v>
      </c>
      <c r="J143" s="39">
        <v>44286</v>
      </c>
      <c r="K143" s="24">
        <f t="shared" si="8"/>
        <v>31</v>
      </c>
      <c r="L143" s="24">
        <f t="shared" si="9"/>
        <v>2336</v>
      </c>
      <c r="M143" s="24">
        <v>5500000</v>
      </c>
    </row>
    <row r="144" spans="1:13" s="48" customFormat="1" outlineLevel="2">
      <c r="A144" s="39" t="s">
        <v>108</v>
      </c>
      <c r="B144" s="40" t="s">
        <v>101</v>
      </c>
      <c r="C144" s="41" t="s">
        <v>115</v>
      </c>
      <c r="D144" s="40" t="s">
        <v>116</v>
      </c>
      <c r="E144" s="24">
        <v>28050000</v>
      </c>
      <c r="F144" s="39">
        <v>44193</v>
      </c>
      <c r="G144" s="24">
        <v>28050000</v>
      </c>
      <c r="H144" s="23">
        <v>5.0000000000000001E-3</v>
      </c>
      <c r="I144" s="39">
        <v>44256</v>
      </c>
      <c r="J144" s="39">
        <v>44286</v>
      </c>
      <c r="K144" s="24">
        <f t="shared" si="8"/>
        <v>31</v>
      </c>
      <c r="L144" s="24">
        <f t="shared" si="9"/>
        <v>11912</v>
      </c>
      <c r="M144" s="24">
        <v>28050000</v>
      </c>
    </row>
    <row r="145" spans="1:13" s="48" customFormat="1" outlineLevel="2">
      <c r="A145" s="39" t="s">
        <v>108</v>
      </c>
      <c r="B145" s="40" t="s">
        <v>102</v>
      </c>
      <c r="C145" s="41" t="s">
        <v>115</v>
      </c>
      <c r="D145" s="40" t="s">
        <v>116</v>
      </c>
      <c r="E145" s="24">
        <v>5000000</v>
      </c>
      <c r="F145" s="39">
        <v>44193</v>
      </c>
      <c r="G145" s="24">
        <v>5000000</v>
      </c>
      <c r="H145" s="23">
        <v>5.0000000000000001E-3</v>
      </c>
      <c r="I145" s="39">
        <v>44256</v>
      </c>
      <c r="J145" s="39">
        <v>44286</v>
      </c>
      <c r="K145" s="24">
        <f t="shared" si="8"/>
        <v>31</v>
      </c>
      <c r="L145" s="24">
        <f t="shared" si="9"/>
        <v>2123</v>
      </c>
      <c r="M145" s="24">
        <v>5000000</v>
      </c>
    </row>
    <row r="146" spans="1:13" s="48" customFormat="1" outlineLevel="2">
      <c r="A146" s="39" t="s">
        <v>108</v>
      </c>
      <c r="B146" s="40" t="s">
        <v>103</v>
      </c>
      <c r="C146" s="41" t="s">
        <v>111</v>
      </c>
      <c r="D146" s="40" t="s">
        <v>112</v>
      </c>
      <c r="E146" s="24">
        <v>4920000</v>
      </c>
      <c r="F146" s="39">
        <v>44211</v>
      </c>
      <c r="G146" s="24">
        <v>4920000</v>
      </c>
      <c r="H146" s="23">
        <v>5.0000000000000001E-3</v>
      </c>
      <c r="I146" s="39">
        <v>44256</v>
      </c>
      <c r="J146" s="39">
        <v>44286</v>
      </c>
      <c r="K146" s="24">
        <f t="shared" si="8"/>
        <v>31</v>
      </c>
      <c r="L146" s="24">
        <f t="shared" si="9"/>
        <v>2089</v>
      </c>
      <c r="M146" s="24">
        <v>4920000</v>
      </c>
    </row>
    <row r="147" spans="1:13" s="48" customFormat="1" outlineLevel="2">
      <c r="A147" s="39" t="s">
        <v>108</v>
      </c>
      <c r="B147" s="40" t="s">
        <v>104</v>
      </c>
      <c r="C147" s="41" t="s">
        <v>115</v>
      </c>
      <c r="D147" s="40" t="s">
        <v>116</v>
      </c>
      <c r="E147" s="24">
        <v>7300000</v>
      </c>
      <c r="F147" s="39">
        <v>44224</v>
      </c>
      <c r="G147" s="24">
        <v>7300000</v>
      </c>
      <c r="H147" s="23">
        <v>5.0000000000000001E-3</v>
      </c>
      <c r="I147" s="39">
        <v>44256</v>
      </c>
      <c r="J147" s="39">
        <v>44286</v>
      </c>
      <c r="K147" s="24">
        <f t="shared" si="8"/>
        <v>31</v>
      </c>
      <c r="L147" s="24">
        <f t="shared" si="9"/>
        <v>3100</v>
      </c>
      <c r="M147" s="24">
        <v>7300000</v>
      </c>
    </row>
    <row r="148" spans="1:13" s="48" customFormat="1" outlineLevel="2">
      <c r="A148" s="39" t="s">
        <v>108</v>
      </c>
      <c r="B148" s="40" t="s">
        <v>105</v>
      </c>
      <c r="C148" s="41" t="s">
        <v>115</v>
      </c>
      <c r="D148" s="40" t="s">
        <v>116</v>
      </c>
      <c r="E148" s="24">
        <v>15000000</v>
      </c>
      <c r="F148" s="39">
        <v>44224</v>
      </c>
      <c r="G148" s="24">
        <v>15000000</v>
      </c>
      <c r="H148" s="23">
        <v>5.0000000000000001E-3</v>
      </c>
      <c r="I148" s="39">
        <v>44256</v>
      </c>
      <c r="J148" s="39">
        <v>44286</v>
      </c>
      <c r="K148" s="24">
        <f t="shared" si="8"/>
        <v>31</v>
      </c>
      <c r="L148" s="24">
        <f t="shared" si="9"/>
        <v>6370</v>
      </c>
      <c r="M148" s="24">
        <v>15000000</v>
      </c>
    </row>
    <row r="149" spans="1:13" s="48" customFormat="1" outlineLevel="2">
      <c r="A149" s="39" t="s">
        <v>108</v>
      </c>
      <c r="B149" s="40" t="s">
        <v>106</v>
      </c>
      <c r="C149" s="41" t="s">
        <v>113</v>
      </c>
      <c r="D149" s="40" t="s">
        <v>114</v>
      </c>
      <c r="E149" s="24">
        <v>23200000</v>
      </c>
      <c r="F149" s="39">
        <v>44229</v>
      </c>
      <c r="G149" s="24">
        <v>22994691</v>
      </c>
      <c r="H149" s="23">
        <v>5.0000000000000001E-3</v>
      </c>
      <c r="I149" s="39">
        <v>44256</v>
      </c>
      <c r="J149" s="39">
        <v>44269</v>
      </c>
      <c r="K149" s="24">
        <f t="shared" si="8"/>
        <v>14</v>
      </c>
      <c r="L149" s="24">
        <f t="shared" si="9"/>
        <v>4410</v>
      </c>
      <c r="M149" s="24">
        <v>22789382</v>
      </c>
    </row>
    <row r="150" spans="1:13" s="48" customFormat="1" outlineLevel="2">
      <c r="A150" s="39" t="s">
        <v>108</v>
      </c>
      <c r="B150" s="40" t="s">
        <v>106</v>
      </c>
      <c r="C150" s="41" t="s">
        <v>113</v>
      </c>
      <c r="D150" s="40"/>
      <c r="E150" s="24"/>
      <c r="F150" s="39"/>
      <c r="G150" s="24">
        <v>22789382</v>
      </c>
      <c r="H150" s="23">
        <v>5.0000000000000001E-3</v>
      </c>
      <c r="I150" s="39">
        <v>44270</v>
      </c>
      <c r="J150" s="39">
        <v>44286</v>
      </c>
      <c r="K150" s="24">
        <f t="shared" si="8"/>
        <v>17</v>
      </c>
      <c r="L150" s="24">
        <f t="shared" si="9"/>
        <v>5307</v>
      </c>
      <c r="M150" s="24"/>
    </row>
    <row r="151" spans="1:13" s="48" customFormat="1" outlineLevel="2">
      <c r="A151" s="39" t="s">
        <v>108</v>
      </c>
      <c r="B151" s="40" t="s">
        <v>59</v>
      </c>
      <c r="C151" s="41" t="s">
        <v>117</v>
      </c>
      <c r="D151" s="40" t="s">
        <v>118</v>
      </c>
      <c r="E151" s="24">
        <v>24000000</v>
      </c>
      <c r="F151" s="39">
        <v>43937</v>
      </c>
      <c r="G151" s="24">
        <v>22000000</v>
      </c>
      <c r="H151" s="23">
        <v>5.0000000000000001E-3</v>
      </c>
      <c r="I151" s="39">
        <v>44256</v>
      </c>
      <c r="J151" s="39">
        <v>44269</v>
      </c>
      <c r="K151" s="24">
        <f t="shared" si="8"/>
        <v>14</v>
      </c>
      <c r="L151" s="24">
        <f t="shared" si="9"/>
        <v>4219</v>
      </c>
      <c r="M151" s="24">
        <v>21800000</v>
      </c>
    </row>
    <row r="152" spans="1:13" s="48" customFormat="1" outlineLevel="2">
      <c r="A152" s="39" t="s">
        <v>108</v>
      </c>
      <c r="B152" s="40" t="s">
        <v>59</v>
      </c>
      <c r="C152" s="41" t="s">
        <v>117</v>
      </c>
      <c r="D152" s="40"/>
      <c r="E152" s="24"/>
      <c r="F152" s="39"/>
      <c r="G152" s="24">
        <v>21800000</v>
      </c>
      <c r="H152" s="23">
        <v>5.0000000000000001E-3</v>
      </c>
      <c r="I152" s="39">
        <v>44270</v>
      </c>
      <c r="J152" s="39">
        <v>44286</v>
      </c>
      <c r="K152" s="24">
        <f t="shared" si="8"/>
        <v>17</v>
      </c>
      <c r="L152" s="24">
        <f t="shared" si="9"/>
        <v>5077</v>
      </c>
      <c r="M152" s="24"/>
    </row>
    <row r="153" spans="1:13" s="48" customFormat="1" outlineLevel="2">
      <c r="A153" s="39" t="s">
        <v>108</v>
      </c>
      <c r="B153" s="40" t="s">
        <v>136</v>
      </c>
      <c r="C153" s="41" t="s">
        <v>111</v>
      </c>
      <c r="D153" s="40" t="s">
        <v>112</v>
      </c>
      <c r="E153" s="24">
        <v>3410000</v>
      </c>
      <c r="F153" s="39">
        <v>44270</v>
      </c>
      <c r="G153" s="24">
        <v>3410000</v>
      </c>
      <c r="H153" s="23">
        <v>5.0000000000000001E-3</v>
      </c>
      <c r="I153" s="39">
        <v>44270</v>
      </c>
      <c r="J153" s="39">
        <v>44286</v>
      </c>
      <c r="K153" s="24">
        <f t="shared" si="8"/>
        <v>17</v>
      </c>
      <c r="L153" s="24">
        <f t="shared" si="9"/>
        <v>794</v>
      </c>
      <c r="M153" s="24">
        <v>3410000</v>
      </c>
    </row>
    <row r="154" spans="1:13" s="48" customFormat="1" outlineLevel="2">
      <c r="A154" s="39" t="s">
        <v>108</v>
      </c>
      <c r="B154" s="40" t="s">
        <v>137</v>
      </c>
      <c r="C154" s="41" t="s">
        <v>117</v>
      </c>
      <c r="D154" s="40" t="s">
        <v>118</v>
      </c>
      <c r="E154" s="24">
        <v>10000000</v>
      </c>
      <c r="F154" s="39">
        <v>44277</v>
      </c>
      <c r="G154" s="24">
        <v>10000000</v>
      </c>
      <c r="H154" s="23">
        <v>5.0000000000000001E-3</v>
      </c>
      <c r="I154" s="39">
        <v>44277</v>
      </c>
      <c r="J154" s="39">
        <v>44286</v>
      </c>
      <c r="K154" s="24">
        <f t="shared" si="8"/>
        <v>10</v>
      </c>
      <c r="L154" s="24">
        <f t="shared" si="9"/>
        <v>1370</v>
      </c>
      <c r="M154" s="24">
        <v>10000000</v>
      </c>
    </row>
    <row r="155" spans="1:13" s="48" customFormat="1" outlineLevel="2">
      <c r="A155" s="39" t="s">
        <v>108</v>
      </c>
      <c r="B155" s="40" t="s">
        <v>62</v>
      </c>
      <c r="C155" s="41" t="s">
        <v>113</v>
      </c>
      <c r="D155" s="40" t="s">
        <v>114</v>
      </c>
      <c r="E155" s="24">
        <v>28240000</v>
      </c>
      <c r="F155" s="39">
        <v>43951</v>
      </c>
      <c r="G155" s="24">
        <v>24878100</v>
      </c>
      <c r="H155" s="23">
        <v>5.0000000000000001E-3</v>
      </c>
      <c r="I155" s="39">
        <v>44256</v>
      </c>
      <c r="J155" s="39">
        <v>44269</v>
      </c>
      <c r="K155" s="24">
        <f t="shared" si="8"/>
        <v>14</v>
      </c>
      <c r="L155" s="24">
        <f t="shared" si="9"/>
        <v>4771</v>
      </c>
      <c r="M155" s="24">
        <v>24541910</v>
      </c>
    </row>
    <row r="156" spans="1:13" s="48" customFormat="1" outlineLevel="2">
      <c r="A156" s="39" t="s">
        <v>108</v>
      </c>
      <c r="B156" s="40" t="s">
        <v>62</v>
      </c>
      <c r="C156" s="41" t="s">
        <v>113</v>
      </c>
      <c r="D156" s="40"/>
      <c r="E156" s="24"/>
      <c r="F156" s="39"/>
      <c r="G156" s="24">
        <v>24541910</v>
      </c>
      <c r="H156" s="23">
        <v>5.0000000000000001E-3</v>
      </c>
      <c r="I156" s="39">
        <v>44270</v>
      </c>
      <c r="J156" s="39">
        <v>44286</v>
      </c>
      <c r="K156" s="24">
        <f t="shared" si="8"/>
        <v>17</v>
      </c>
      <c r="L156" s="24">
        <f t="shared" si="9"/>
        <v>5715</v>
      </c>
      <c r="M156" s="24"/>
    </row>
    <row r="157" spans="1:13" s="48" customFormat="1" outlineLevel="2">
      <c r="A157" s="39" t="s">
        <v>108</v>
      </c>
      <c r="B157" s="40" t="s">
        <v>63</v>
      </c>
      <c r="C157" s="41" t="s">
        <v>111</v>
      </c>
      <c r="D157" s="40" t="s">
        <v>112</v>
      </c>
      <c r="E157" s="24">
        <v>8000000</v>
      </c>
      <c r="F157" s="39">
        <v>43957</v>
      </c>
      <c r="G157" s="24">
        <v>6666670</v>
      </c>
      <c r="H157" s="23">
        <v>5.0000000000000001E-3</v>
      </c>
      <c r="I157" s="39">
        <v>44256</v>
      </c>
      <c r="J157" s="39">
        <v>44269</v>
      </c>
      <c r="K157" s="24">
        <f t="shared" si="8"/>
        <v>14</v>
      </c>
      <c r="L157" s="24">
        <f t="shared" si="9"/>
        <v>1279</v>
      </c>
      <c r="M157" s="24">
        <v>6533337</v>
      </c>
    </row>
    <row r="158" spans="1:13" s="48" customFormat="1" outlineLevel="2">
      <c r="A158" s="39" t="s">
        <v>108</v>
      </c>
      <c r="B158" s="40" t="s">
        <v>63</v>
      </c>
      <c r="C158" s="41" t="s">
        <v>111</v>
      </c>
      <c r="D158" s="40"/>
      <c r="E158" s="24"/>
      <c r="F158" s="39"/>
      <c r="G158" s="24">
        <v>6533337</v>
      </c>
      <c r="H158" s="23">
        <v>5.0000000000000001E-3</v>
      </c>
      <c r="I158" s="39">
        <v>44270</v>
      </c>
      <c r="J158" s="39">
        <v>44286</v>
      </c>
      <c r="K158" s="24">
        <f t="shared" si="8"/>
        <v>17</v>
      </c>
      <c r="L158" s="24">
        <f t="shared" si="9"/>
        <v>1521</v>
      </c>
      <c r="M158" s="24"/>
    </row>
    <row r="159" spans="1:13" s="48" customFormat="1" outlineLevel="2">
      <c r="A159" s="39" t="s">
        <v>108</v>
      </c>
      <c r="B159" s="40" t="s">
        <v>64</v>
      </c>
      <c r="C159" s="41" t="s">
        <v>111</v>
      </c>
      <c r="D159" s="40" t="s">
        <v>112</v>
      </c>
      <c r="E159" s="24">
        <v>5910000</v>
      </c>
      <c r="F159" s="39">
        <v>43966</v>
      </c>
      <c r="G159" s="24">
        <v>5910000</v>
      </c>
      <c r="H159" s="23">
        <v>5.0000000000000001E-3</v>
      </c>
      <c r="I159" s="39">
        <v>44256</v>
      </c>
      <c r="J159" s="39">
        <v>44286</v>
      </c>
      <c r="K159" s="24">
        <f t="shared" si="8"/>
        <v>31</v>
      </c>
      <c r="L159" s="24">
        <f t="shared" si="9"/>
        <v>2510</v>
      </c>
      <c r="M159" s="24">
        <v>5910000</v>
      </c>
    </row>
    <row r="160" spans="1:13" s="48" customFormat="1" outlineLevel="2">
      <c r="A160" s="39" t="s">
        <v>108</v>
      </c>
      <c r="B160" s="40" t="s">
        <v>65</v>
      </c>
      <c r="C160" s="41" t="s">
        <v>113</v>
      </c>
      <c r="D160" s="40" t="s">
        <v>114</v>
      </c>
      <c r="E160" s="24">
        <v>20510000</v>
      </c>
      <c r="F160" s="39">
        <v>43966</v>
      </c>
      <c r="G160" s="24">
        <v>18286028</v>
      </c>
      <c r="H160" s="23">
        <v>5.0000000000000001E-3</v>
      </c>
      <c r="I160" s="39">
        <v>44256</v>
      </c>
      <c r="J160" s="39">
        <v>44269</v>
      </c>
      <c r="K160" s="24">
        <f t="shared" si="8"/>
        <v>14</v>
      </c>
      <c r="L160" s="24">
        <f t="shared" si="9"/>
        <v>3507</v>
      </c>
      <c r="M160" s="24">
        <v>18038920</v>
      </c>
    </row>
    <row r="161" spans="1:13" s="48" customFormat="1" outlineLevel="2">
      <c r="A161" s="39" t="s">
        <v>108</v>
      </c>
      <c r="B161" s="40" t="s">
        <v>65</v>
      </c>
      <c r="C161" s="41" t="s">
        <v>113</v>
      </c>
      <c r="D161" s="40"/>
      <c r="E161" s="24"/>
      <c r="F161" s="39"/>
      <c r="G161" s="24">
        <v>18038920</v>
      </c>
      <c r="H161" s="23">
        <v>5.0000000000000001E-3</v>
      </c>
      <c r="I161" s="39">
        <v>44270</v>
      </c>
      <c r="J161" s="39">
        <v>44286</v>
      </c>
      <c r="K161" s="24">
        <f t="shared" si="8"/>
        <v>17</v>
      </c>
      <c r="L161" s="24">
        <f t="shared" si="9"/>
        <v>4201</v>
      </c>
      <c r="M161" s="24"/>
    </row>
    <row r="162" spans="1:13" s="48" customFormat="1" outlineLevel="2">
      <c r="A162" s="39" t="s">
        <v>108</v>
      </c>
      <c r="B162" s="40" t="s">
        <v>68</v>
      </c>
      <c r="C162" s="41" t="s">
        <v>109</v>
      </c>
      <c r="D162" s="40" t="s">
        <v>110</v>
      </c>
      <c r="E162" s="24">
        <v>33960000</v>
      </c>
      <c r="F162" s="39">
        <v>43978</v>
      </c>
      <c r="G162" s="24">
        <v>33960000</v>
      </c>
      <c r="H162" s="23">
        <v>5.0000000000000001E-3</v>
      </c>
      <c r="I162" s="39">
        <v>44256</v>
      </c>
      <c r="J162" s="39">
        <v>44286</v>
      </c>
      <c r="K162" s="24">
        <f t="shared" si="8"/>
        <v>31</v>
      </c>
      <c r="L162" s="24">
        <f t="shared" si="9"/>
        <v>14421</v>
      </c>
      <c r="M162" s="24">
        <v>33960000</v>
      </c>
    </row>
    <row r="163" spans="1:13" s="48" customFormat="1" outlineLevel="1">
      <c r="A163" s="42" t="s">
        <v>119</v>
      </c>
      <c r="B163" s="43"/>
      <c r="C163" s="44"/>
      <c r="D163" s="43"/>
      <c r="E163" s="45">
        <f>SUBTOTAL(9,E106:E162)</f>
        <v>705765386</v>
      </c>
      <c r="F163" s="46"/>
      <c r="G163" s="45"/>
      <c r="H163" s="47"/>
      <c r="I163" s="46"/>
      <c r="J163" s="46"/>
      <c r="K163" s="45"/>
      <c r="L163" s="45">
        <f>SUBTOTAL(9,L106:L162)</f>
        <v>285165</v>
      </c>
      <c r="M163" s="45">
        <f>SUBTOTAL(9,M106:M162)</f>
        <v>678031771</v>
      </c>
    </row>
    <row r="164" spans="1:13" s="48" customFormat="1" outlineLevel="2">
      <c r="A164" s="39" t="s">
        <v>120</v>
      </c>
      <c r="B164" s="40" t="s">
        <v>16</v>
      </c>
      <c r="C164" s="41" t="s">
        <v>121</v>
      </c>
      <c r="D164" s="40" t="s">
        <v>122</v>
      </c>
      <c r="E164" s="24">
        <v>69000000</v>
      </c>
      <c r="F164" s="39">
        <v>43822</v>
      </c>
      <c r="G164" s="24">
        <v>69000000</v>
      </c>
      <c r="H164" s="23">
        <v>5.0000000000000001E-3</v>
      </c>
      <c r="I164" s="39">
        <v>44256</v>
      </c>
      <c r="J164" s="39">
        <v>44286</v>
      </c>
      <c r="K164" s="24">
        <f t="shared" ref="K164:K195" si="10">J164-I164+1</f>
        <v>31</v>
      </c>
      <c r="L164" s="24">
        <f t="shared" ref="L164:L195" si="11">ROUND(G164*H164*K164/365,0)</f>
        <v>29301</v>
      </c>
      <c r="M164" s="24">
        <v>69000000</v>
      </c>
    </row>
    <row r="165" spans="1:13" s="48" customFormat="1" outlineLevel="2">
      <c r="A165" s="39" t="s">
        <v>120</v>
      </c>
      <c r="B165" s="40" t="s">
        <v>19</v>
      </c>
      <c r="C165" s="41" t="s">
        <v>37</v>
      </c>
      <c r="D165" s="40" t="s">
        <v>38</v>
      </c>
      <c r="E165" s="24">
        <v>247700000</v>
      </c>
      <c r="F165" s="39">
        <v>43985</v>
      </c>
      <c r="G165" s="24">
        <v>247700000</v>
      </c>
      <c r="H165" s="23">
        <v>5.0000000000000001E-3</v>
      </c>
      <c r="I165" s="39">
        <v>44256</v>
      </c>
      <c r="J165" s="39">
        <v>44286</v>
      </c>
      <c r="K165" s="24">
        <f t="shared" si="10"/>
        <v>31</v>
      </c>
      <c r="L165" s="24">
        <f t="shared" si="11"/>
        <v>105188</v>
      </c>
      <c r="M165" s="24">
        <v>247700000</v>
      </c>
    </row>
    <row r="166" spans="1:13" s="48" customFormat="1" outlineLevel="2">
      <c r="A166" s="39" t="s">
        <v>120</v>
      </c>
      <c r="B166" s="40" t="s">
        <v>22</v>
      </c>
      <c r="C166" s="41" t="s">
        <v>123</v>
      </c>
      <c r="D166" s="40" t="s">
        <v>124</v>
      </c>
      <c r="E166" s="24">
        <v>18612000</v>
      </c>
      <c r="F166" s="39">
        <v>43997</v>
      </c>
      <c r="G166" s="24">
        <v>3722400</v>
      </c>
      <c r="H166" s="23">
        <v>5.0000000000000001E-3</v>
      </c>
      <c r="I166" s="39">
        <v>44256</v>
      </c>
      <c r="J166" s="39">
        <v>44286</v>
      </c>
      <c r="K166" s="24">
        <f t="shared" si="10"/>
        <v>31</v>
      </c>
      <c r="L166" s="24">
        <f t="shared" si="11"/>
        <v>1581</v>
      </c>
      <c r="M166" s="24">
        <v>3722400</v>
      </c>
    </row>
    <row r="167" spans="1:13" s="48" customFormat="1" outlineLevel="2">
      <c r="A167" s="39" t="s">
        <v>120</v>
      </c>
      <c r="B167" s="40" t="s">
        <v>25</v>
      </c>
      <c r="C167" s="41" t="s">
        <v>20</v>
      </c>
      <c r="D167" s="40" t="s">
        <v>21</v>
      </c>
      <c r="E167" s="24">
        <v>624000000</v>
      </c>
      <c r="F167" s="39">
        <v>44014</v>
      </c>
      <c r="G167" s="24">
        <v>624000000</v>
      </c>
      <c r="H167" s="23">
        <v>5.0000000000000001E-3</v>
      </c>
      <c r="I167" s="39">
        <v>44256</v>
      </c>
      <c r="J167" s="39">
        <v>44286</v>
      </c>
      <c r="K167" s="24">
        <f t="shared" si="10"/>
        <v>31</v>
      </c>
      <c r="L167" s="24">
        <f t="shared" si="11"/>
        <v>264986</v>
      </c>
      <c r="M167" s="24">
        <v>624000000</v>
      </c>
    </row>
    <row r="168" spans="1:13" s="48" customFormat="1" outlineLevel="2">
      <c r="A168" s="39" t="s">
        <v>120</v>
      </c>
      <c r="B168" s="40" t="s">
        <v>26</v>
      </c>
      <c r="C168" s="41" t="s">
        <v>20</v>
      </c>
      <c r="D168" s="40" t="s">
        <v>21</v>
      </c>
      <c r="E168" s="24">
        <v>82000000</v>
      </c>
      <c r="F168" s="39">
        <v>44042</v>
      </c>
      <c r="G168" s="24">
        <v>82000000</v>
      </c>
      <c r="H168" s="23">
        <v>5.0000000000000001E-3</v>
      </c>
      <c r="I168" s="39">
        <v>44256</v>
      </c>
      <c r="J168" s="39">
        <v>44286</v>
      </c>
      <c r="K168" s="24">
        <f t="shared" si="10"/>
        <v>31</v>
      </c>
      <c r="L168" s="24">
        <f t="shared" si="11"/>
        <v>34822</v>
      </c>
      <c r="M168" s="24">
        <v>82000000</v>
      </c>
    </row>
    <row r="169" spans="1:13" s="48" customFormat="1" outlineLevel="2">
      <c r="A169" s="39" t="s">
        <v>120</v>
      </c>
      <c r="B169" s="40" t="s">
        <v>29</v>
      </c>
      <c r="C169" s="41" t="s">
        <v>20</v>
      </c>
      <c r="D169" s="40" t="s">
        <v>21</v>
      </c>
      <c r="E169" s="24">
        <v>406400000</v>
      </c>
      <c r="F169" s="39">
        <v>44042</v>
      </c>
      <c r="G169" s="24">
        <v>406400000</v>
      </c>
      <c r="H169" s="23">
        <v>3.0000000000000001E-3</v>
      </c>
      <c r="I169" s="39">
        <v>44256</v>
      </c>
      <c r="J169" s="39">
        <v>44286</v>
      </c>
      <c r="K169" s="24">
        <f t="shared" si="10"/>
        <v>31</v>
      </c>
      <c r="L169" s="24">
        <f t="shared" si="11"/>
        <v>103548</v>
      </c>
      <c r="M169" s="24">
        <v>406400000</v>
      </c>
    </row>
    <row r="170" spans="1:13" s="48" customFormat="1" outlineLevel="2">
      <c r="A170" s="39" t="s">
        <v>120</v>
      </c>
      <c r="B170" s="40" t="s">
        <v>32</v>
      </c>
      <c r="C170" s="41" t="s">
        <v>20</v>
      </c>
      <c r="D170" s="40" t="s">
        <v>21</v>
      </c>
      <c r="E170" s="24">
        <v>51600000</v>
      </c>
      <c r="F170" s="39">
        <v>44042</v>
      </c>
      <c r="G170" s="24">
        <v>51600000</v>
      </c>
      <c r="H170" s="23">
        <v>3.0000000000000001E-3</v>
      </c>
      <c r="I170" s="39">
        <v>44256</v>
      </c>
      <c r="J170" s="39">
        <v>44286</v>
      </c>
      <c r="K170" s="24">
        <f t="shared" si="10"/>
        <v>31</v>
      </c>
      <c r="L170" s="24">
        <f t="shared" si="11"/>
        <v>13147</v>
      </c>
      <c r="M170" s="24">
        <v>51600000</v>
      </c>
    </row>
    <row r="171" spans="1:13" s="48" customFormat="1" outlineLevel="2">
      <c r="A171" s="39" t="s">
        <v>120</v>
      </c>
      <c r="B171" s="40" t="s">
        <v>33</v>
      </c>
      <c r="C171" s="41" t="s">
        <v>125</v>
      </c>
      <c r="D171" s="40" t="s">
        <v>126</v>
      </c>
      <c r="E171" s="24">
        <v>1850000</v>
      </c>
      <c r="F171" s="39">
        <v>44018</v>
      </c>
      <c r="G171" s="24">
        <v>1850000</v>
      </c>
      <c r="H171" s="23">
        <v>5.0000000000000001E-3</v>
      </c>
      <c r="I171" s="39">
        <v>44256</v>
      </c>
      <c r="J171" s="39">
        <v>44286</v>
      </c>
      <c r="K171" s="24">
        <f t="shared" si="10"/>
        <v>31</v>
      </c>
      <c r="L171" s="24">
        <f t="shared" si="11"/>
        <v>786</v>
      </c>
      <c r="M171" s="24">
        <v>1850000</v>
      </c>
    </row>
    <row r="172" spans="1:13" s="48" customFormat="1" outlineLevel="2">
      <c r="A172" s="39" t="s">
        <v>120</v>
      </c>
      <c r="B172" s="40" t="s">
        <v>34</v>
      </c>
      <c r="C172" s="41" t="s">
        <v>125</v>
      </c>
      <c r="D172" s="40" t="s">
        <v>126</v>
      </c>
      <c r="E172" s="24">
        <v>5400000</v>
      </c>
      <c r="F172" s="39">
        <v>44019</v>
      </c>
      <c r="G172" s="24">
        <v>5400000</v>
      </c>
      <c r="H172" s="23">
        <v>5.0000000000000001E-3</v>
      </c>
      <c r="I172" s="39">
        <v>44256</v>
      </c>
      <c r="J172" s="39">
        <v>44286</v>
      </c>
      <c r="K172" s="24">
        <f t="shared" si="10"/>
        <v>31</v>
      </c>
      <c r="L172" s="24">
        <f t="shared" si="11"/>
        <v>2293</v>
      </c>
      <c r="M172" s="24">
        <v>5400000</v>
      </c>
    </row>
    <row r="173" spans="1:13" s="48" customFormat="1" outlineLevel="2">
      <c r="A173" s="39" t="s">
        <v>120</v>
      </c>
      <c r="B173" s="40" t="s">
        <v>35</v>
      </c>
      <c r="C173" s="41" t="s">
        <v>125</v>
      </c>
      <c r="D173" s="40" t="s">
        <v>126</v>
      </c>
      <c r="E173" s="24">
        <v>2300000</v>
      </c>
      <c r="F173" s="39">
        <v>44027</v>
      </c>
      <c r="G173" s="24">
        <v>2300000</v>
      </c>
      <c r="H173" s="23">
        <v>5.0000000000000001E-3</v>
      </c>
      <c r="I173" s="39">
        <v>44256</v>
      </c>
      <c r="J173" s="39">
        <v>44286</v>
      </c>
      <c r="K173" s="24">
        <f t="shared" si="10"/>
        <v>31</v>
      </c>
      <c r="L173" s="24">
        <f t="shared" si="11"/>
        <v>977</v>
      </c>
      <c r="M173" s="24">
        <v>2300000</v>
      </c>
    </row>
    <row r="174" spans="1:13" s="48" customFormat="1" outlineLevel="2">
      <c r="A174" s="39" t="s">
        <v>120</v>
      </c>
      <c r="B174" s="40" t="s">
        <v>36</v>
      </c>
      <c r="C174" s="41" t="s">
        <v>125</v>
      </c>
      <c r="D174" s="40" t="s">
        <v>126</v>
      </c>
      <c r="E174" s="24">
        <v>16280000</v>
      </c>
      <c r="F174" s="39">
        <v>44041</v>
      </c>
      <c r="G174" s="24">
        <v>16280000</v>
      </c>
      <c r="H174" s="23">
        <v>5.0000000000000001E-3</v>
      </c>
      <c r="I174" s="39">
        <v>44256</v>
      </c>
      <c r="J174" s="39">
        <v>44286</v>
      </c>
      <c r="K174" s="24">
        <f t="shared" si="10"/>
        <v>31</v>
      </c>
      <c r="L174" s="24">
        <f t="shared" si="11"/>
        <v>6913</v>
      </c>
      <c r="M174" s="24">
        <v>16280000</v>
      </c>
    </row>
    <row r="175" spans="1:13" s="48" customFormat="1" outlineLevel="2">
      <c r="A175" s="39" t="s">
        <v>120</v>
      </c>
      <c r="B175" s="40" t="s">
        <v>39</v>
      </c>
      <c r="C175" s="41" t="s">
        <v>127</v>
      </c>
      <c r="D175" s="40" t="s">
        <v>18</v>
      </c>
      <c r="E175" s="24">
        <v>162300000</v>
      </c>
      <c r="F175" s="39">
        <v>43829</v>
      </c>
      <c r="G175" s="24">
        <v>124430000</v>
      </c>
      <c r="H175" s="23">
        <v>5.0000000000000001E-3</v>
      </c>
      <c r="I175" s="39">
        <v>44256</v>
      </c>
      <c r="J175" s="39">
        <v>44269</v>
      </c>
      <c r="K175" s="24">
        <f t="shared" si="10"/>
        <v>14</v>
      </c>
      <c r="L175" s="24">
        <f t="shared" si="11"/>
        <v>23863</v>
      </c>
      <c r="M175" s="24">
        <v>121725000</v>
      </c>
    </row>
    <row r="176" spans="1:13" s="48" customFormat="1" outlineLevel="2">
      <c r="A176" s="39" t="s">
        <v>120</v>
      </c>
      <c r="B176" s="40" t="s">
        <v>39</v>
      </c>
      <c r="C176" s="41" t="s">
        <v>127</v>
      </c>
      <c r="D176" s="40"/>
      <c r="E176" s="24"/>
      <c r="F176" s="39"/>
      <c r="G176" s="24">
        <v>121725000</v>
      </c>
      <c r="H176" s="23">
        <v>5.0000000000000001E-3</v>
      </c>
      <c r="I176" s="39">
        <v>44270</v>
      </c>
      <c r="J176" s="39">
        <v>44286</v>
      </c>
      <c r="K176" s="24">
        <f t="shared" si="10"/>
        <v>17</v>
      </c>
      <c r="L176" s="24">
        <f t="shared" si="11"/>
        <v>28347</v>
      </c>
      <c r="M176" s="24"/>
    </row>
    <row r="177" spans="1:13" s="48" customFormat="1" outlineLevel="2">
      <c r="A177" s="39" t="s">
        <v>120</v>
      </c>
      <c r="B177" s="40" t="s">
        <v>40</v>
      </c>
      <c r="C177" s="41" t="s">
        <v>71</v>
      </c>
      <c r="D177" s="40" t="s">
        <v>72</v>
      </c>
      <c r="E177" s="24">
        <v>30000000</v>
      </c>
      <c r="F177" s="39">
        <v>44020</v>
      </c>
      <c r="G177" s="24">
        <v>30000000</v>
      </c>
      <c r="H177" s="23">
        <v>5.0000000000000001E-3</v>
      </c>
      <c r="I177" s="39">
        <v>44256</v>
      </c>
      <c r="J177" s="39">
        <v>44286</v>
      </c>
      <c r="K177" s="24">
        <f t="shared" si="10"/>
        <v>31</v>
      </c>
      <c r="L177" s="24">
        <f t="shared" si="11"/>
        <v>12740</v>
      </c>
      <c r="M177" s="24">
        <v>30000000</v>
      </c>
    </row>
    <row r="178" spans="1:13" s="48" customFormat="1" outlineLevel="2">
      <c r="A178" s="39" t="s">
        <v>120</v>
      </c>
      <c r="B178" s="40" t="s">
        <v>41</v>
      </c>
      <c r="C178" s="41" t="s">
        <v>27</v>
      </c>
      <c r="D178" s="40" t="s">
        <v>28</v>
      </c>
      <c r="E178" s="24">
        <v>35100000</v>
      </c>
      <c r="F178" s="39">
        <v>44013</v>
      </c>
      <c r="G178" s="24">
        <v>35100000</v>
      </c>
      <c r="H178" s="23">
        <v>5.0000000000000001E-3</v>
      </c>
      <c r="I178" s="39">
        <v>44256</v>
      </c>
      <c r="J178" s="39">
        <v>44286</v>
      </c>
      <c r="K178" s="24">
        <f t="shared" si="10"/>
        <v>31</v>
      </c>
      <c r="L178" s="24">
        <f t="shared" si="11"/>
        <v>14905</v>
      </c>
      <c r="M178" s="24">
        <v>35100000</v>
      </c>
    </row>
    <row r="179" spans="1:13" s="48" customFormat="1" outlineLevel="2">
      <c r="A179" s="39" t="s">
        <v>120</v>
      </c>
      <c r="B179" s="40" t="s">
        <v>42</v>
      </c>
      <c r="C179" s="41" t="s">
        <v>27</v>
      </c>
      <c r="D179" s="40" t="s">
        <v>28</v>
      </c>
      <c r="E179" s="24">
        <v>14900000</v>
      </c>
      <c r="F179" s="39">
        <v>44021</v>
      </c>
      <c r="G179" s="24">
        <v>14900000</v>
      </c>
      <c r="H179" s="23">
        <v>5.0000000000000001E-3</v>
      </c>
      <c r="I179" s="39">
        <v>44256</v>
      </c>
      <c r="J179" s="39">
        <v>44286</v>
      </c>
      <c r="K179" s="24">
        <f t="shared" si="10"/>
        <v>31</v>
      </c>
      <c r="L179" s="24">
        <f t="shared" si="11"/>
        <v>6327</v>
      </c>
      <c r="M179" s="24">
        <v>14900000</v>
      </c>
    </row>
    <row r="180" spans="1:13" s="48" customFormat="1" outlineLevel="2">
      <c r="A180" s="39" t="s">
        <v>120</v>
      </c>
      <c r="B180" s="40" t="s">
        <v>43</v>
      </c>
      <c r="C180" s="41" t="s">
        <v>71</v>
      </c>
      <c r="D180" s="40" t="s">
        <v>72</v>
      </c>
      <c r="E180" s="24">
        <v>30000000</v>
      </c>
      <c r="F180" s="39">
        <v>44050</v>
      </c>
      <c r="G180" s="24">
        <v>30000000</v>
      </c>
      <c r="H180" s="23">
        <v>5.0000000000000001E-3</v>
      </c>
      <c r="I180" s="39">
        <v>44256</v>
      </c>
      <c r="J180" s="39">
        <v>44286</v>
      </c>
      <c r="K180" s="24">
        <f t="shared" si="10"/>
        <v>31</v>
      </c>
      <c r="L180" s="24">
        <f t="shared" si="11"/>
        <v>12740</v>
      </c>
      <c r="M180" s="24">
        <v>30000000</v>
      </c>
    </row>
    <row r="181" spans="1:13" s="48" customFormat="1" outlineLevel="2">
      <c r="A181" s="39" t="s">
        <v>120</v>
      </c>
      <c r="B181" s="40" t="s">
        <v>44</v>
      </c>
      <c r="C181" s="41" t="s">
        <v>83</v>
      </c>
      <c r="D181" s="40" t="s">
        <v>84</v>
      </c>
      <c r="E181" s="24">
        <v>72450000</v>
      </c>
      <c r="F181" s="39">
        <v>44064</v>
      </c>
      <c r="G181" s="24">
        <v>72450000</v>
      </c>
      <c r="H181" s="23">
        <v>5.0000000000000001E-3</v>
      </c>
      <c r="I181" s="39">
        <v>44256</v>
      </c>
      <c r="J181" s="39">
        <v>44286</v>
      </c>
      <c r="K181" s="24">
        <f t="shared" si="10"/>
        <v>31</v>
      </c>
      <c r="L181" s="24">
        <f t="shared" si="11"/>
        <v>30766</v>
      </c>
      <c r="M181" s="24">
        <v>72450000</v>
      </c>
    </row>
    <row r="182" spans="1:13" s="48" customFormat="1" outlineLevel="2">
      <c r="A182" s="39" t="s">
        <v>120</v>
      </c>
      <c r="B182" s="40" t="s">
        <v>47</v>
      </c>
      <c r="C182" s="41" t="s">
        <v>97</v>
      </c>
      <c r="D182" s="40" t="s">
        <v>98</v>
      </c>
      <c r="E182" s="24">
        <v>77500000</v>
      </c>
      <c r="F182" s="39">
        <v>44060</v>
      </c>
      <c r="G182" s="24">
        <v>77500000</v>
      </c>
      <c r="H182" s="23">
        <v>5.0000000000000001E-3</v>
      </c>
      <c r="I182" s="39">
        <v>44256</v>
      </c>
      <c r="J182" s="39">
        <v>44286</v>
      </c>
      <c r="K182" s="24">
        <f t="shared" si="10"/>
        <v>31</v>
      </c>
      <c r="L182" s="24">
        <f t="shared" si="11"/>
        <v>32911</v>
      </c>
      <c r="M182" s="24">
        <v>77500000</v>
      </c>
    </row>
    <row r="183" spans="1:13" s="48" customFormat="1" outlineLevel="2">
      <c r="A183" s="39" t="s">
        <v>120</v>
      </c>
      <c r="B183" s="40" t="s">
        <v>50</v>
      </c>
      <c r="C183" s="41" t="s">
        <v>83</v>
      </c>
      <c r="D183" s="40" t="s">
        <v>84</v>
      </c>
      <c r="E183" s="24">
        <v>160000000</v>
      </c>
      <c r="F183" s="39">
        <v>44098</v>
      </c>
      <c r="G183" s="24">
        <v>160000000</v>
      </c>
      <c r="H183" s="23">
        <v>5.0000000000000001E-3</v>
      </c>
      <c r="I183" s="39">
        <v>44256</v>
      </c>
      <c r="J183" s="39">
        <v>44286</v>
      </c>
      <c r="K183" s="24">
        <f t="shared" si="10"/>
        <v>31</v>
      </c>
      <c r="L183" s="24">
        <f t="shared" si="11"/>
        <v>67945</v>
      </c>
      <c r="M183" s="24">
        <v>160000000</v>
      </c>
    </row>
    <row r="184" spans="1:13" s="48" customFormat="1" outlineLevel="2">
      <c r="A184" s="39" t="s">
        <v>120</v>
      </c>
      <c r="B184" s="40" t="s">
        <v>51</v>
      </c>
      <c r="C184" s="41" t="s">
        <v>128</v>
      </c>
      <c r="D184" s="40" t="s">
        <v>129</v>
      </c>
      <c r="E184" s="24">
        <v>73100000</v>
      </c>
      <c r="F184" s="39">
        <v>44095</v>
      </c>
      <c r="G184" s="24">
        <v>73100000</v>
      </c>
      <c r="H184" s="23">
        <v>5.0000000000000001E-3</v>
      </c>
      <c r="I184" s="39">
        <v>44256</v>
      </c>
      <c r="J184" s="39">
        <v>44286</v>
      </c>
      <c r="K184" s="24">
        <f t="shared" si="10"/>
        <v>31</v>
      </c>
      <c r="L184" s="24">
        <f t="shared" si="11"/>
        <v>31042</v>
      </c>
      <c r="M184" s="24">
        <v>73100000</v>
      </c>
    </row>
    <row r="185" spans="1:13" s="48" customFormat="1" outlineLevel="2">
      <c r="A185" s="39" t="s">
        <v>120</v>
      </c>
      <c r="B185" s="40" t="s">
        <v>52</v>
      </c>
      <c r="C185" s="41" t="s">
        <v>125</v>
      </c>
      <c r="D185" s="40" t="s">
        <v>126</v>
      </c>
      <c r="E185" s="24">
        <v>3000000</v>
      </c>
      <c r="F185" s="39">
        <v>44132</v>
      </c>
      <c r="G185" s="24">
        <v>3000000</v>
      </c>
      <c r="H185" s="23">
        <v>5.0000000000000001E-3</v>
      </c>
      <c r="I185" s="39">
        <v>44256</v>
      </c>
      <c r="J185" s="39">
        <v>44286</v>
      </c>
      <c r="K185" s="24">
        <f t="shared" si="10"/>
        <v>31</v>
      </c>
      <c r="L185" s="24">
        <f t="shared" si="11"/>
        <v>1274</v>
      </c>
      <c r="M185" s="24">
        <v>3000000</v>
      </c>
    </row>
    <row r="186" spans="1:13" s="48" customFormat="1" outlineLevel="2">
      <c r="A186" s="39" t="s">
        <v>120</v>
      </c>
      <c r="B186" s="40" t="s">
        <v>53</v>
      </c>
      <c r="C186" s="41" t="s">
        <v>97</v>
      </c>
      <c r="D186" s="40" t="s">
        <v>98</v>
      </c>
      <c r="E186" s="24">
        <v>141000000</v>
      </c>
      <c r="F186" s="39">
        <v>44119</v>
      </c>
      <c r="G186" s="24">
        <v>141000000</v>
      </c>
      <c r="H186" s="23">
        <v>5.0000000000000001E-3</v>
      </c>
      <c r="I186" s="39">
        <v>44256</v>
      </c>
      <c r="J186" s="39">
        <v>44286</v>
      </c>
      <c r="K186" s="24">
        <f t="shared" si="10"/>
        <v>31</v>
      </c>
      <c r="L186" s="24">
        <f t="shared" si="11"/>
        <v>59877</v>
      </c>
      <c r="M186" s="24">
        <v>141000000</v>
      </c>
    </row>
    <row r="187" spans="1:13" s="48" customFormat="1" outlineLevel="2">
      <c r="A187" s="39" t="s">
        <v>120</v>
      </c>
      <c r="B187" s="40" t="s">
        <v>54</v>
      </c>
      <c r="C187" s="41" t="s">
        <v>20</v>
      </c>
      <c r="D187" s="40" t="s">
        <v>21</v>
      </c>
      <c r="E187" s="24">
        <v>60000000</v>
      </c>
      <c r="F187" s="39">
        <v>43922</v>
      </c>
      <c r="G187" s="24">
        <v>60000000</v>
      </c>
      <c r="H187" s="23">
        <v>3.0000000000000001E-3</v>
      </c>
      <c r="I187" s="39">
        <v>44256</v>
      </c>
      <c r="J187" s="39">
        <v>44286</v>
      </c>
      <c r="K187" s="24">
        <f t="shared" si="10"/>
        <v>31</v>
      </c>
      <c r="L187" s="24">
        <f t="shared" si="11"/>
        <v>15288</v>
      </c>
      <c r="M187" s="24">
        <v>60000000</v>
      </c>
    </row>
    <row r="188" spans="1:13" s="48" customFormat="1" outlineLevel="2">
      <c r="A188" s="39" t="s">
        <v>120</v>
      </c>
      <c r="B188" s="40" t="s">
        <v>57</v>
      </c>
      <c r="C188" s="41" t="s">
        <v>125</v>
      </c>
      <c r="D188" s="40" t="s">
        <v>126</v>
      </c>
      <c r="E188" s="24">
        <v>2500000</v>
      </c>
      <c r="F188" s="39">
        <v>44146</v>
      </c>
      <c r="G188" s="24">
        <v>2500000</v>
      </c>
      <c r="H188" s="23">
        <v>5.0000000000000001E-3</v>
      </c>
      <c r="I188" s="39">
        <v>44256</v>
      </c>
      <c r="J188" s="39">
        <v>44286</v>
      </c>
      <c r="K188" s="24">
        <f t="shared" si="10"/>
        <v>31</v>
      </c>
      <c r="L188" s="24">
        <f t="shared" si="11"/>
        <v>1062</v>
      </c>
      <c r="M188" s="24">
        <v>2500000</v>
      </c>
    </row>
    <row r="189" spans="1:13" s="48" customFormat="1" outlineLevel="2">
      <c r="A189" s="39" t="s">
        <v>120</v>
      </c>
      <c r="B189" s="40" t="s">
        <v>58</v>
      </c>
      <c r="C189" s="41" t="s">
        <v>71</v>
      </c>
      <c r="D189" s="40" t="s">
        <v>72</v>
      </c>
      <c r="E189" s="24">
        <v>11610900</v>
      </c>
      <c r="F189" s="39">
        <v>44137</v>
      </c>
      <c r="G189" s="24">
        <v>11610900</v>
      </c>
      <c r="H189" s="23">
        <v>5.0000000000000001E-3</v>
      </c>
      <c r="I189" s="39">
        <v>44256</v>
      </c>
      <c r="J189" s="39">
        <v>44286</v>
      </c>
      <c r="K189" s="24">
        <f t="shared" si="10"/>
        <v>31</v>
      </c>
      <c r="L189" s="24">
        <f t="shared" si="11"/>
        <v>4931</v>
      </c>
      <c r="M189" s="24">
        <v>11610900</v>
      </c>
    </row>
    <row r="190" spans="1:13" s="48" customFormat="1" outlineLevel="2">
      <c r="A190" s="39" t="s">
        <v>120</v>
      </c>
      <c r="B190" s="40" t="s">
        <v>99</v>
      </c>
      <c r="C190" s="41" t="s">
        <v>130</v>
      </c>
      <c r="D190" s="40" t="s">
        <v>131</v>
      </c>
      <c r="E190" s="24">
        <v>12000000</v>
      </c>
      <c r="F190" s="39">
        <v>44145</v>
      </c>
      <c r="G190" s="24">
        <v>12000000</v>
      </c>
      <c r="H190" s="23">
        <v>5.0000000000000001E-3</v>
      </c>
      <c r="I190" s="39">
        <v>44256</v>
      </c>
      <c r="J190" s="39">
        <v>44278</v>
      </c>
      <c r="K190" s="24">
        <f t="shared" si="10"/>
        <v>23</v>
      </c>
      <c r="L190" s="24">
        <f t="shared" si="11"/>
        <v>3781</v>
      </c>
      <c r="M190" s="24">
        <v>7000000</v>
      </c>
    </row>
    <row r="191" spans="1:13" s="48" customFormat="1" outlineLevel="2">
      <c r="A191" s="39" t="s">
        <v>120</v>
      </c>
      <c r="B191" s="40" t="s">
        <v>99</v>
      </c>
      <c r="C191" s="41" t="s">
        <v>130</v>
      </c>
      <c r="D191" s="40"/>
      <c r="E191" s="24"/>
      <c r="F191" s="39"/>
      <c r="G191" s="24">
        <v>7000000</v>
      </c>
      <c r="H191" s="23">
        <v>5.0000000000000001E-3</v>
      </c>
      <c r="I191" s="39">
        <v>44279</v>
      </c>
      <c r="J191" s="39">
        <v>44286</v>
      </c>
      <c r="K191" s="24">
        <f t="shared" si="10"/>
        <v>8</v>
      </c>
      <c r="L191" s="24">
        <f t="shared" si="11"/>
        <v>767</v>
      </c>
      <c r="M191" s="24"/>
    </row>
    <row r="192" spans="1:13" s="48" customFormat="1" outlineLevel="2">
      <c r="A192" s="39" t="s">
        <v>120</v>
      </c>
      <c r="B192" s="40" t="s">
        <v>100</v>
      </c>
      <c r="C192" s="41" t="s">
        <v>132</v>
      </c>
      <c r="D192" s="40" t="s">
        <v>133</v>
      </c>
      <c r="E192" s="24">
        <v>23000000</v>
      </c>
      <c r="F192" s="39">
        <v>44137</v>
      </c>
      <c r="G192" s="24">
        <v>21466668</v>
      </c>
      <c r="H192" s="23">
        <v>5.0000000000000001E-3</v>
      </c>
      <c r="I192" s="39">
        <v>44256</v>
      </c>
      <c r="J192" s="39">
        <v>44269</v>
      </c>
      <c r="K192" s="24">
        <f t="shared" si="10"/>
        <v>14</v>
      </c>
      <c r="L192" s="24">
        <f t="shared" si="11"/>
        <v>4117</v>
      </c>
      <c r="M192" s="24">
        <v>21083335</v>
      </c>
    </row>
    <row r="193" spans="1:13" s="48" customFormat="1" outlineLevel="2">
      <c r="A193" s="39" t="s">
        <v>120</v>
      </c>
      <c r="B193" s="40" t="s">
        <v>100</v>
      </c>
      <c r="C193" s="41" t="s">
        <v>132</v>
      </c>
      <c r="D193" s="40"/>
      <c r="E193" s="24"/>
      <c r="F193" s="39"/>
      <c r="G193" s="24">
        <v>21083335</v>
      </c>
      <c r="H193" s="23">
        <v>5.0000000000000001E-3</v>
      </c>
      <c r="I193" s="39">
        <v>44270</v>
      </c>
      <c r="J193" s="39">
        <v>44286</v>
      </c>
      <c r="K193" s="24">
        <f t="shared" si="10"/>
        <v>17</v>
      </c>
      <c r="L193" s="24">
        <f t="shared" si="11"/>
        <v>4910</v>
      </c>
      <c r="M193" s="24"/>
    </row>
    <row r="194" spans="1:13" s="48" customFormat="1" outlineLevel="2">
      <c r="A194" s="39" t="s">
        <v>120</v>
      </c>
      <c r="B194" s="40" t="s">
        <v>101</v>
      </c>
      <c r="C194" s="41" t="s">
        <v>132</v>
      </c>
      <c r="D194" s="40" t="s">
        <v>133</v>
      </c>
      <c r="E194" s="24">
        <v>17000000</v>
      </c>
      <c r="F194" s="39">
        <v>44145</v>
      </c>
      <c r="G194" s="24">
        <v>15866668</v>
      </c>
      <c r="H194" s="23">
        <v>5.0000000000000001E-3</v>
      </c>
      <c r="I194" s="39">
        <v>44256</v>
      </c>
      <c r="J194" s="39">
        <v>44269</v>
      </c>
      <c r="K194" s="24">
        <f t="shared" si="10"/>
        <v>14</v>
      </c>
      <c r="L194" s="24">
        <f t="shared" si="11"/>
        <v>3043</v>
      </c>
      <c r="M194" s="24">
        <v>15583335</v>
      </c>
    </row>
    <row r="195" spans="1:13" s="48" customFormat="1" outlineLevel="2">
      <c r="A195" s="39" t="s">
        <v>120</v>
      </c>
      <c r="B195" s="40" t="s">
        <v>101</v>
      </c>
      <c r="C195" s="41" t="s">
        <v>132</v>
      </c>
      <c r="D195" s="40"/>
      <c r="E195" s="24"/>
      <c r="F195" s="39"/>
      <c r="G195" s="24">
        <v>15583335</v>
      </c>
      <c r="H195" s="23">
        <v>5.0000000000000001E-3</v>
      </c>
      <c r="I195" s="39">
        <v>44270</v>
      </c>
      <c r="J195" s="39">
        <v>44286</v>
      </c>
      <c r="K195" s="24">
        <f t="shared" si="10"/>
        <v>17</v>
      </c>
      <c r="L195" s="24">
        <f t="shared" si="11"/>
        <v>3629</v>
      </c>
      <c r="M195" s="24"/>
    </row>
    <row r="196" spans="1:13" s="48" customFormat="1" outlineLevel="2">
      <c r="A196" s="39" t="s">
        <v>120</v>
      </c>
      <c r="B196" s="40" t="s">
        <v>102</v>
      </c>
      <c r="C196" s="41" t="s">
        <v>17</v>
      </c>
      <c r="D196" s="40" t="s">
        <v>18</v>
      </c>
      <c r="E196" s="24">
        <v>4591000</v>
      </c>
      <c r="F196" s="39">
        <v>44160</v>
      </c>
      <c r="G196" s="24">
        <v>4361449</v>
      </c>
      <c r="H196" s="23">
        <v>5.0000000000000001E-3</v>
      </c>
      <c r="I196" s="39">
        <v>44256</v>
      </c>
      <c r="J196" s="39">
        <v>44269</v>
      </c>
      <c r="K196" s="24">
        <f t="shared" ref="K196:K227" si="12">J196-I196+1</f>
        <v>14</v>
      </c>
      <c r="L196" s="24">
        <f t="shared" ref="L196:L227" si="13">ROUND(G196*H196*K196/365,0)</f>
        <v>836</v>
      </c>
      <c r="M196" s="24">
        <v>4284932</v>
      </c>
    </row>
    <row r="197" spans="1:13" s="48" customFormat="1" outlineLevel="2">
      <c r="A197" s="39" t="s">
        <v>120</v>
      </c>
      <c r="B197" s="40" t="s">
        <v>102</v>
      </c>
      <c r="C197" s="41" t="s">
        <v>17</v>
      </c>
      <c r="D197" s="40"/>
      <c r="E197" s="24"/>
      <c r="F197" s="39"/>
      <c r="G197" s="24">
        <v>4284932</v>
      </c>
      <c r="H197" s="23">
        <v>5.0000000000000001E-3</v>
      </c>
      <c r="I197" s="39">
        <v>44270</v>
      </c>
      <c r="J197" s="39">
        <v>44286</v>
      </c>
      <c r="K197" s="24">
        <f t="shared" si="12"/>
        <v>17</v>
      </c>
      <c r="L197" s="24">
        <f t="shared" si="13"/>
        <v>998</v>
      </c>
      <c r="M197" s="24"/>
    </row>
    <row r="198" spans="1:13" s="48" customFormat="1" outlineLevel="2">
      <c r="A198" s="39" t="s">
        <v>120</v>
      </c>
      <c r="B198" s="40" t="s">
        <v>103</v>
      </c>
      <c r="C198" s="41" t="s">
        <v>83</v>
      </c>
      <c r="D198" s="40" t="s">
        <v>84</v>
      </c>
      <c r="E198" s="24">
        <v>238000000</v>
      </c>
      <c r="F198" s="39">
        <v>44189</v>
      </c>
      <c r="G198" s="24">
        <v>238000000</v>
      </c>
      <c r="H198" s="23">
        <v>5.0000000000000001E-3</v>
      </c>
      <c r="I198" s="39">
        <v>44256</v>
      </c>
      <c r="J198" s="39">
        <v>44286</v>
      </c>
      <c r="K198" s="24">
        <f t="shared" si="12"/>
        <v>31</v>
      </c>
      <c r="L198" s="24">
        <f t="shared" si="13"/>
        <v>101068</v>
      </c>
      <c r="M198" s="24">
        <v>238000000</v>
      </c>
    </row>
    <row r="199" spans="1:13" s="48" customFormat="1" outlineLevel="2">
      <c r="A199" s="39" t="s">
        <v>120</v>
      </c>
      <c r="B199" s="40" t="s">
        <v>104</v>
      </c>
      <c r="C199" s="41" t="s">
        <v>97</v>
      </c>
      <c r="D199" s="40" t="s">
        <v>98</v>
      </c>
      <c r="E199" s="24">
        <v>17000000</v>
      </c>
      <c r="F199" s="39">
        <v>44180</v>
      </c>
      <c r="G199" s="24">
        <v>17000000</v>
      </c>
      <c r="H199" s="23">
        <v>5.0000000000000001E-3</v>
      </c>
      <c r="I199" s="39">
        <v>44256</v>
      </c>
      <c r="J199" s="39">
        <v>44286</v>
      </c>
      <c r="K199" s="24">
        <f t="shared" si="12"/>
        <v>31</v>
      </c>
      <c r="L199" s="24">
        <f t="shared" si="13"/>
        <v>7219</v>
      </c>
      <c r="M199" s="24">
        <v>17000000</v>
      </c>
    </row>
    <row r="200" spans="1:13" s="48" customFormat="1" outlineLevel="2">
      <c r="A200" s="39" t="s">
        <v>120</v>
      </c>
      <c r="B200" s="40" t="s">
        <v>105</v>
      </c>
      <c r="C200" s="41" t="s">
        <v>134</v>
      </c>
      <c r="D200" s="40" t="s">
        <v>135</v>
      </c>
      <c r="E200" s="24">
        <v>8000000</v>
      </c>
      <c r="F200" s="39">
        <v>44169</v>
      </c>
      <c r="G200" s="24">
        <v>8000000</v>
      </c>
      <c r="H200" s="23">
        <v>5.0000000000000001E-3</v>
      </c>
      <c r="I200" s="39">
        <v>44256</v>
      </c>
      <c r="J200" s="39">
        <v>44286</v>
      </c>
      <c r="K200" s="24">
        <f t="shared" si="12"/>
        <v>31</v>
      </c>
      <c r="L200" s="24">
        <f t="shared" si="13"/>
        <v>3397</v>
      </c>
      <c r="M200" s="24">
        <v>8000000</v>
      </c>
    </row>
    <row r="201" spans="1:13" s="48" customFormat="1" outlineLevel="2">
      <c r="A201" s="39" t="s">
        <v>120</v>
      </c>
      <c r="B201" s="40" t="s">
        <v>106</v>
      </c>
      <c r="C201" s="41" t="s">
        <v>134</v>
      </c>
      <c r="D201" s="40" t="s">
        <v>135</v>
      </c>
      <c r="E201" s="24">
        <v>15000000</v>
      </c>
      <c r="F201" s="39">
        <v>44169</v>
      </c>
      <c r="G201" s="24">
        <v>15000000</v>
      </c>
      <c r="H201" s="23">
        <v>5.0000000000000001E-3</v>
      </c>
      <c r="I201" s="39">
        <v>44256</v>
      </c>
      <c r="J201" s="39">
        <v>44286</v>
      </c>
      <c r="K201" s="24">
        <f t="shared" si="12"/>
        <v>31</v>
      </c>
      <c r="L201" s="24">
        <f t="shared" si="13"/>
        <v>6370</v>
      </c>
      <c r="M201" s="24">
        <v>15000000</v>
      </c>
    </row>
    <row r="202" spans="1:13" s="48" customFormat="1" outlineLevel="2">
      <c r="A202" s="39" t="s">
        <v>120</v>
      </c>
      <c r="B202" s="40" t="s">
        <v>59</v>
      </c>
      <c r="C202" s="41" t="s">
        <v>20</v>
      </c>
      <c r="D202" s="40" t="s">
        <v>21</v>
      </c>
      <c r="E202" s="24">
        <v>144000000</v>
      </c>
      <c r="F202" s="39">
        <v>43922</v>
      </c>
      <c r="G202" s="24">
        <v>144000000</v>
      </c>
      <c r="H202" s="23">
        <v>5.0000000000000001E-3</v>
      </c>
      <c r="I202" s="39">
        <v>44256</v>
      </c>
      <c r="J202" s="39">
        <v>44286</v>
      </c>
      <c r="K202" s="24">
        <f t="shared" si="12"/>
        <v>31</v>
      </c>
      <c r="L202" s="24">
        <f t="shared" si="13"/>
        <v>61151</v>
      </c>
      <c r="M202" s="24">
        <v>144000000</v>
      </c>
    </row>
    <row r="203" spans="1:13" s="48" customFormat="1" outlineLevel="2">
      <c r="A203" s="39" t="s">
        <v>120</v>
      </c>
      <c r="B203" s="40" t="s">
        <v>136</v>
      </c>
      <c r="C203" s="41" t="s">
        <v>125</v>
      </c>
      <c r="D203" s="40" t="s">
        <v>126</v>
      </c>
      <c r="E203" s="24">
        <v>7000000</v>
      </c>
      <c r="F203" s="39">
        <v>44202</v>
      </c>
      <c r="G203" s="24">
        <v>7000000</v>
      </c>
      <c r="H203" s="23">
        <v>5.0000000000000001E-3</v>
      </c>
      <c r="I203" s="39">
        <v>44256</v>
      </c>
      <c r="J203" s="39">
        <v>44286</v>
      </c>
      <c r="K203" s="24">
        <f t="shared" si="12"/>
        <v>31</v>
      </c>
      <c r="L203" s="24">
        <f t="shared" si="13"/>
        <v>2973</v>
      </c>
      <c r="M203" s="24">
        <v>7000000</v>
      </c>
    </row>
    <row r="204" spans="1:13" s="48" customFormat="1" outlineLevel="2">
      <c r="A204" s="39" t="s">
        <v>120</v>
      </c>
      <c r="B204" s="40" t="s">
        <v>137</v>
      </c>
      <c r="C204" s="41" t="s">
        <v>125</v>
      </c>
      <c r="D204" s="40" t="s">
        <v>126</v>
      </c>
      <c r="E204" s="24">
        <v>26000000</v>
      </c>
      <c r="F204" s="39">
        <v>44218</v>
      </c>
      <c r="G204" s="24">
        <v>26000000</v>
      </c>
      <c r="H204" s="23">
        <v>5.0000000000000001E-3</v>
      </c>
      <c r="I204" s="39">
        <v>44256</v>
      </c>
      <c r="J204" s="39">
        <v>44286</v>
      </c>
      <c r="K204" s="24">
        <f t="shared" si="12"/>
        <v>31</v>
      </c>
      <c r="L204" s="24">
        <f t="shared" si="13"/>
        <v>11041</v>
      </c>
      <c r="M204" s="24">
        <v>26000000</v>
      </c>
    </row>
    <row r="205" spans="1:13" s="48" customFormat="1" outlineLevel="2">
      <c r="A205" s="39" t="s">
        <v>120</v>
      </c>
      <c r="B205" s="40" t="s">
        <v>138</v>
      </c>
      <c r="C205" s="41" t="s">
        <v>134</v>
      </c>
      <c r="D205" s="40" t="s">
        <v>135</v>
      </c>
      <c r="E205" s="24">
        <v>15000000</v>
      </c>
      <c r="F205" s="39">
        <v>44200</v>
      </c>
      <c r="G205" s="24">
        <v>15000000</v>
      </c>
      <c r="H205" s="23">
        <v>5.0000000000000001E-3</v>
      </c>
      <c r="I205" s="39">
        <v>44256</v>
      </c>
      <c r="J205" s="39">
        <v>44286</v>
      </c>
      <c r="K205" s="24">
        <f t="shared" si="12"/>
        <v>31</v>
      </c>
      <c r="L205" s="24">
        <f t="shared" si="13"/>
        <v>6370</v>
      </c>
      <c r="M205" s="24">
        <v>15000000</v>
      </c>
    </row>
    <row r="206" spans="1:13" s="48" customFormat="1" outlineLevel="2">
      <c r="A206" s="39" t="s">
        <v>120</v>
      </c>
      <c r="B206" s="40" t="s">
        <v>139</v>
      </c>
      <c r="C206" s="41" t="s">
        <v>134</v>
      </c>
      <c r="D206" s="40" t="s">
        <v>135</v>
      </c>
      <c r="E206" s="24">
        <v>6000000</v>
      </c>
      <c r="F206" s="39">
        <v>44203</v>
      </c>
      <c r="G206" s="24">
        <v>6000000</v>
      </c>
      <c r="H206" s="23">
        <v>5.0000000000000001E-3</v>
      </c>
      <c r="I206" s="39">
        <v>44256</v>
      </c>
      <c r="J206" s="39">
        <v>44286</v>
      </c>
      <c r="K206" s="24">
        <f t="shared" si="12"/>
        <v>31</v>
      </c>
      <c r="L206" s="24">
        <f t="shared" si="13"/>
        <v>2548</v>
      </c>
      <c r="M206" s="24">
        <v>6000000</v>
      </c>
    </row>
    <row r="207" spans="1:13" s="48" customFormat="1" outlineLevel="2">
      <c r="A207" s="39" t="s">
        <v>120</v>
      </c>
      <c r="B207" s="40" t="s">
        <v>140</v>
      </c>
      <c r="C207" s="41" t="s">
        <v>134</v>
      </c>
      <c r="D207" s="40" t="s">
        <v>135</v>
      </c>
      <c r="E207" s="24">
        <v>9000000</v>
      </c>
      <c r="F207" s="39">
        <v>44216</v>
      </c>
      <c r="G207" s="24">
        <v>9000000</v>
      </c>
      <c r="H207" s="23">
        <v>5.0000000000000001E-3</v>
      </c>
      <c r="I207" s="39">
        <v>44256</v>
      </c>
      <c r="J207" s="39">
        <v>44286</v>
      </c>
      <c r="K207" s="24">
        <f t="shared" si="12"/>
        <v>31</v>
      </c>
      <c r="L207" s="24">
        <f t="shared" si="13"/>
        <v>3822</v>
      </c>
      <c r="M207" s="24">
        <v>9000000</v>
      </c>
    </row>
    <row r="208" spans="1:13" s="48" customFormat="1" outlineLevel="2">
      <c r="A208" s="39" t="s">
        <v>120</v>
      </c>
      <c r="B208" s="40" t="s">
        <v>169</v>
      </c>
      <c r="C208" s="41" t="s">
        <v>20</v>
      </c>
      <c r="D208" s="40" t="s">
        <v>21</v>
      </c>
      <c r="E208" s="24">
        <v>150000000</v>
      </c>
      <c r="F208" s="39">
        <v>44231</v>
      </c>
      <c r="G208" s="24">
        <v>150000000</v>
      </c>
      <c r="H208" s="23">
        <v>3.0000000000000001E-3</v>
      </c>
      <c r="I208" s="39">
        <v>44256</v>
      </c>
      <c r="J208" s="39">
        <v>44286</v>
      </c>
      <c r="K208" s="24">
        <f t="shared" si="12"/>
        <v>31</v>
      </c>
      <c r="L208" s="24">
        <f t="shared" si="13"/>
        <v>38219</v>
      </c>
      <c r="M208" s="24">
        <v>150000000</v>
      </c>
    </row>
    <row r="209" spans="1:13" s="48" customFormat="1" outlineLevel="2">
      <c r="A209" s="39" t="s">
        <v>120</v>
      </c>
      <c r="B209" s="40" t="s">
        <v>170</v>
      </c>
      <c r="C209" s="41" t="s">
        <v>134</v>
      </c>
      <c r="D209" s="40" t="s">
        <v>135</v>
      </c>
      <c r="E209" s="24">
        <v>2000000</v>
      </c>
      <c r="F209" s="39">
        <v>44228</v>
      </c>
      <c r="G209" s="24">
        <v>2000000</v>
      </c>
      <c r="H209" s="23">
        <v>5.0000000000000001E-3</v>
      </c>
      <c r="I209" s="39">
        <v>44256</v>
      </c>
      <c r="J209" s="39">
        <v>44286</v>
      </c>
      <c r="K209" s="24">
        <f t="shared" si="12"/>
        <v>31</v>
      </c>
      <c r="L209" s="24">
        <f t="shared" si="13"/>
        <v>849</v>
      </c>
      <c r="M209" s="24">
        <v>2000000</v>
      </c>
    </row>
    <row r="210" spans="1:13" s="48" customFormat="1" outlineLevel="2">
      <c r="A210" s="39" t="s">
        <v>120</v>
      </c>
      <c r="B210" s="40" t="s">
        <v>171</v>
      </c>
      <c r="C210" s="41" t="s">
        <v>134</v>
      </c>
      <c r="D210" s="40" t="s">
        <v>135</v>
      </c>
      <c r="E210" s="24">
        <v>13000000</v>
      </c>
      <c r="F210" s="39">
        <v>44231</v>
      </c>
      <c r="G210" s="24">
        <v>13000000</v>
      </c>
      <c r="H210" s="23">
        <v>5.0000000000000001E-3</v>
      </c>
      <c r="I210" s="39">
        <v>44256</v>
      </c>
      <c r="J210" s="39">
        <v>44286</v>
      </c>
      <c r="K210" s="24">
        <f t="shared" si="12"/>
        <v>31</v>
      </c>
      <c r="L210" s="24">
        <f t="shared" si="13"/>
        <v>5521</v>
      </c>
      <c r="M210" s="24">
        <v>13000000</v>
      </c>
    </row>
    <row r="211" spans="1:13" s="48" customFormat="1" outlineLevel="2">
      <c r="A211" s="39" t="s">
        <v>120</v>
      </c>
      <c r="B211" s="40" t="s">
        <v>172</v>
      </c>
      <c r="C211" s="41" t="s">
        <v>134</v>
      </c>
      <c r="D211" s="40" t="s">
        <v>135</v>
      </c>
      <c r="E211" s="24">
        <v>8000000</v>
      </c>
      <c r="F211" s="39">
        <v>44235</v>
      </c>
      <c r="G211" s="24">
        <v>8000000</v>
      </c>
      <c r="H211" s="23">
        <v>5.0000000000000001E-3</v>
      </c>
      <c r="I211" s="39">
        <v>44256</v>
      </c>
      <c r="J211" s="39">
        <v>44286</v>
      </c>
      <c r="K211" s="24">
        <f t="shared" si="12"/>
        <v>31</v>
      </c>
      <c r="L211" s="24">
        <f t="shared" si="13"/>
        <v>3397</v>
      </c>
      <c r="M211" s="24">
        <v>8000000</v>
      </c>
    </row>
    <row r="212" spans="1:13" s="48" customFormat="1" outlineLevel="2">
      <c r="A212" s="39" t="s">
        <v>120</v>
      </c>
      <c r="B212" s="40" t="s">
        <v>173</v>
      </c>
      <c r="C212" s="41" t="s">
        <v>134</v>
      </c>
      <c r="D212" s="40" t="s">
        <v>135</v>
      </c>
      <c r="E212" s="24">
        <v>6000000</v>
      </c>
      <c r="F212" s="39">
        <v>44231</v>
      </c>
      <c r="G212" s="24">
        <v>6000000</v>
      </c>
      <c r="H212" s="23">
        <v>5.0000000000000001E-3</v>
      </c>
      <c r="I212" s="39">
        <v>44256</v>
      </c>
      <c r="J212" s="39">
        <v>44286</v>
      </c>
      <c r="K212" s="24">
        <f t="shared" si="12"/>
        <v>31</v>
      </c>
      <c r="L212" s="24">
        <f t="shared" si="13"/>
        <v>2548</v>
      </c>
      <c r="M212" s="24">
        <v>6000000</v>
      </c>
    </row>
    <row r="213" spans="1:13" s="48" customFormat="1" outlineLevel="2">
      <c r="A213" s="39" t="s">
        <v>120</v>
      </c>
      <c r="B213" s="40" t="s">
        <v>62</v>
      </c>
      <c r="C213" s="41" t="s">
        <v>125</v>
      </c>
      <c r="D213" s="40" t="s">
        <v>126</v>
      </c>
      <c r="E213" s="24">
        <v>34480000</v>
      </c>
      <c r="F213" s="39">
        <v>43980</v>
      </c>
      <c r="G213" s="24">
        <v>34480000</v>
      </c>
      <c r="H213" s="23">
        <v>5.0000000000000001E-3</v>
      </c>
      <c r="I213" s="39">
        <v>44256</v>
      </c>
      <c r="J213" s="39">
        <v>44286</v>
      </c>
      <c r="K213" s="24">
        <f t="shared" si="12"/>
        <v>31</v>
      </c>
      <c r="L213" s="24">
        <f t="shared" si="13"/>
        <v>14642</v>
      </c>
      <c r="M213" s="24">
        <v>34480000</v>
      </c>
    </row>
    <row r="214" spans="1:13" s="48" customFormat="1" outlineLevel="2">
      <c r="A214" s="39" t="s">
        <v>120</v>
      </c>
      <c r="B214" s="40" t="s">
        <v>174</v>
      </c>
      <c r="C214" s="41" t="s">
        <v>246</v>
      </c>
      <c r="D214" s="40" t="s">
        <v>247</v>
      </c>
      <c r="E214" s="24">
        <v>11000000</v>
      </c>
      <c r="F214" s="39">
        <v>44235</v>
      </c>
      <c r="G214" s="24">
        <v>11000000</v>
      </c>
      <c r="H214" s="23">
        <v>5.0000000000000001E-3</v>
      </c>
      <c r="I214" s="39">
        <v>44256</v>
      </c>
      <c r="J214" s="39">
        <v>44286</v>
      </c>
      <c r="K214" s="24">
        <f t="shared" si="12"/>
        <v>31</v>
      </c>
      <c r="L214" s="24">
        <f t="shared" si="13"/>
        <v>4671</v>
      </c>
      <c r="M214" s="24">
        <v>11000000</v>
      </c>
    </row>
    <row r="215" spans="1:13" s="48" customFormat="1" outlineLevel="2">
      <c r="A215" s="39" t="s">
        <v>120</v>
      </c>
      <c r="B215" s="40" t="s">
        <v>175</v>
      </c>
      <c r="C215" s="41" t="s">
        <v>246</v>
      </c>
      <c r="D215" s="40" t="s">
        <v>247</v>
      </c>
      <c r="E215" s="24">
        <v>67000000</v>
      </c>
      <c r="F215" s="39">
        <v>44251</v>
      </c>
      <c r="G215" s="24">
        <v>67000000</v>
      </c>
      <c r="H215" s="23">
        <v>5.0000000000000001E-3</v>
      </c>
      <c r="I215" s="39">
        <v>44256</v>
      </c>
      <c r="J215" s="39">
        <v>44286</v>
      </c>
      <c r="K215" s="24">
        <f t="shared" si="12"/>
        <v>31</v>
      </c>
      <c r="L215" s="24">
        <f t="shared" si="13"/>
        <v>28452</v>
      </c>
      <c r="M215" s="24">
        <v>67000000</v>
      </c>
    </row>
    <row r="216" spans="1:13" s="48" customFormat="1" outlineLevel="2">
      <c r="A216" s="39" t="s">
        <v>120</v>
      </c>
      <c r="B216" s="40" t="s">
        <v>176</v>
      </c>
      <c r="C216" s="41" t="s">
        <v>306</v>
      </c>
      <c r="D216" s="40" t="s">
        <v>305</v>
      </c>
      <c r="E216" s="24">
        <v>320000000</v>
      </c>
      <c r="F216" s="39">
        <v>44228</v>
      </c>
      <c r="G216" s="24">
        <v>320000000</v>
      </c>
      <c r="H216" s="23">
        <v>5.0000000000000001E-3</v>
      </c>
      <c r="I216" s="39">
        <v>44256</v>
      </c>
      <c r="J216" s="39">
        <v>44286</v>
      </c>
      <c r="K216" s="24">
        <f t="shared" si="12"/>
        <v>31</v>
      </c>
      <c r="L216" s="24">
        <f t="shared" si="13"/>
        <v>135890</v>
      </c>
      <c r="M216" s="24">
        <v>320000000</v>
      </c>
    </row>
    <row r="217" spans="1:13" s="48" customFormat="1" outlineLevel="2">
      <c r="A217" s="39" t="s">
        <v>120</v>
      </c>
      <c r="B217" s="40" t="s">
        <v>177</v>
      </c>
      <c r="C217" s="41" t="s">
        <v>306</v>
      </c>
      <c r="D217" s="40" t="s">
        <v>305</v>
      </c>
      <c r="E217" s="24">
        <v>17000000</v>
      </c>
      <c r="F217" s="39">
        <v>44246</v>
      </c>
      <c r="G217" s="24">
        <v>17000000</v>
      </c>
      <c r="H217" s="23">
        <v>5.0000000000000001E-3</v>
      </c>
      <c r="I217" s="39">
        <v>44256</v>
      </c>
      <c r="J217" s="39">
        <v>44286</v>
      </c>
      <c r="K217" s="24">
        <f t="shared" si="12"/>
        <v>31</v>
      </c>
      <c r="L217" s="24">
        <f t="shared" si="13"/>
        <v>7219</v>
      </c>
      <c r="M217" s="24">
        <v>17000000</v>
      </c>
    </row>
    <row r="218" spans="1:13" s="48" customFormat="1" outlineLevel="2">
      <c r="A218" s="39" t="s">
        <v>120</v>
      </c>
      <c r="B218" s="40" t="s">
        <v>178</v>
      </c>
      <c r="C218" s="41" t="s">
        <v>71</v>
      </c>
      <c r="D218" s="40" t="s">
        <v>72</v>
      </c>
      <c r="E218" s="24">
        <v>19980000</v>
      </c>
      <c r="F218" s="39">
        <v>44252</v>
      </c>
      <c r="G218" s="24">
        <v>19980000</v>
      </c>
      <c r="H218" s="23">
        <v>5.0000000000000001E-3</v>
      </c>
      <c r="I218" s="39">
        <v>44256</v>
      </c>
      <c r="J218" s="39">
        <v>44286</v>
      </c>
      <c r="K218" s="24">
        <f t="shared" si="12"/>
        <v>31</v>
      </c>
      <c r="L218" s="24">
        <f t="shared" si="13"/>
        <v>8485</v>
      </c>
      <c r="M218" s="24">
        <v>19980000</v>
      </c>
    </row>
    <row r="219" spans="1:13" s="48" customFormat="1" outlineLevel="2">
      <c r="A219" s="39" t="s">
        <v>120</v>
      </c>
      <c r="B219" s="40" t="s">
        <v>179</v>
      </c>
      <c r="C219" s="41" t="s">
        <v>219</v>
      </c>
      <c r="D219" s="40" t="s">
        <v>220</v>
      </c>
      <c r="E219" s="24">
        <v>9000000</v>
      </c>
      <c r="F219" s="39">
        <v>44253</v>
      </c>
      <c r="G219" s="24">
        <v>9000000</v>
      </c>
      <c r="H219" s="23">
        <v>5.0000000000000001E-3</v>
      </c>
      <c r="I219" s="39">
        <v>44256</v>
      </c>
      <c r="J219" s="39">
        <v>44286</v>
      </c>
      <c r="K219" s="24">
        <f t="shared" si="12"/>
        <v>31</v>
      </c>
      <c r="L219" s="24">
        <f t="shared" si="13"/>
        <v>3822</v>
      </c>
      <c r="M219" s="24">
        <v>9000000</v>
      </c>
    </row>
    <row r="220" spans="1:13" s="48" customFormat="1" outlineLevel="2">
      <c r="A220" s="39" t="s">
        <v>120</v>
      </c>
      <c r="B220" s="40" t="s">
        <v>180</v>
      </c>
      <c r="C220" s="41" t="s">
        <v>219</v>
      </c>
      <c r="D220" s="40" t="s">
        <v>220</v>
      </c>
      <c r="E220" s="24">
        <v>17000000</v>
      </c>
      <c r="F220" s="39">
        <v>44253</v>
      </c>
      <c r="G220" s="24">
        <v>17000000</v>
      </c>
      <c r="H220" s="23">
        <v>5.0000000000000001E-3</v>
      </c>
      <c r="I220" s="39">
        <v>44256</v>
      </c>
      <c r="J220" s="39">
        <v>44286</v>
      </c>
      <c r="K220" s="24">
        <f t="shared" si="12"/>
        <v>31</v>
      </c>
      <c r="L220" s="24">
        <f t="shared" si="13"/>
        <v>7219</v>
      </c>
      <c r="M220" s="24">
        <v>17000000</v>
      </c>
    </row>
    <row r="221" spans="1:13" s="48" customFormat="1" outlineLevel="2">
      <c r="A221" s="39" t="s">
        <v>120</v>
      </c>
      <c r="B221" s="40" t="s">
        <v>181</v>
      </c>
      <c r="C221" s="41" t="s">
        <v>37</v>
      </c>
      <c r="D221" s="40" t="s">
        <v>38</v>
      </c>
      <c r="E221" s="24">
        <v>90862000</v>
      </c>
      <c r="F221" s="39">
        <v>44285</v>
      </c>
      <c r="G221" s="24">
        <v>90862000</v>
      </c>
      <c r="H221" s="23">
        <v>5.0000000000000001E-3</v>
      </c>
      <c r="I221" s="39">
        <v>44285</v>
      </c>
      <c r="J221" s="39">
        <v>44286</v>
      </c>
      <c r="K221" s="24">
        <f t="shared" si="12"/>
        <v>2</v>
      </c>
      <c r="L221" s="24">
        <f t="shared" si="13"/>
        <v>2489</v>
      </c>
      <c r="M221" s="24">
        <v>90862000</v>
      </c>
    </row>
    <row r="222" spans="1:13" s="48" customFormat="1" outlineLevel="2">
      <c r="A222" s="39" t="s">
        <v>120</v>
      </c>
      <c r="B222" s="40" t="s">
        <v>182</v>
      </c>
      <c r="C222" s="41" t="s">
        <v>37</v>
      </c>
      <c r="D222" s="40" t="s">
        <v>38</v>
      </c>
      <c r="E222" s="24">
        <v>49390000</v>
      </c>
      <c r="F222" s="39">
        <v>44285</v>
      </c>
      <c r="G222" s="24">
        <v>49390000</v>
      </c>
      <c r="H222" s="23">
        <v>5.0000000000000001E-3</v>
      </c>
      <c r="I222" s="39">
        <v>44285</v>
      </c>
      <c r="J222" s="39">
        <v>44286</v>
      </c>
      <c r="K222" s="24">
        <f t="shared" si="12"/>
        <v>2</v>
      </c>
      <c r="L222" s="24">
        <f t="shared" si="13"/>
        <v>1353</v>
      </c>
      <c r="M222" s="24">
        <v>49390000</v>
      </c>
    </row>
    <row r="223" spans="1:13" s="48" customFormat="1" outlineLevel="2">
      <c r="A223" s="39" t="s">
        <v>120</v>
      </c>
      <c r="B223" s="40" t="s">
        <v>183</v>
      </c>
      <c r="C223" s="41" t="s">
        <v>134</v>
      </c>
      <c r="D223" s="40" t="s">
        <v>135</v>
      </c>
      <c r="E223" s="24">
        <v>9000000</v>
      </c>
      <c r="F223" s="39">
        <v>44285</v>
      </c>
      <c r="G223" s="24">
        <v>9000000</v>
      </c>
      <c r="H223" s="23">
        <v>5.0000000000000001E-3</v>
      </c>
      <c r="I223" s="39">
        <v>44285</v>
      </c>
      <c r="J223" s="39">
        <v>44286</v>
      </c>
      <c r="K223" s="24">
        <f t="shared" si="12"/>
        <v>2</v>
      </c>
      <c r="L223" s="24">
        <f t="shared" si="13"/>
        <v>247</v>
      </c>
      <c r="M223" s="24">
        <v>9000000</v>
      </c>
    </row>
    <row r="224" spans="1:13" s="48" customFormat="1" outlineLevel="2">
      <c r="A224" s="39" t="s">
        <v>120</v>
      </c>
      <c r="B224" s="40" t="s">
        <v>63</v>
      </c>
      <c r="C224" s="41" t="s">
        <v>66</v>
      </c>
      <c r="D224" s="40" t="s">
        <v>67</v>
      </c>
      <c r="E224" s="24">
        <v>56000000</v>
      </c>
      <c r="F224" s="39">
        <v>43966</v>
      </c>
      <c r="G224" s="24">
        <v>56000000</v>
      </c>
      <c r="H224" s="23">
        <v>5.0000000000000001E-3</v>
      </c>
      <c r="I224" s="39">
        <v>44256</v>
      </c>
      <c r="J224" s="39">
        <v>44286</v>
      </c>
      <c r="K224" s="24">
        <f t="shared" si="12"/>
        <v>31</v>
      </c>
      <c r="L224" s="24">
        <f t="shared" si="13"/>
        <v>23781</v>
      </c>
      <c r="M224" s="24">
        <v>56000000</v>
      </c>
    </row>
    <row r="225" spans="1:13" s="48" customFormat="1" outlineLevel="2">
      <c r="A225" s="39" t="s">
        <v>120</v>
      </c>
      <c r="B225" s="40" t="s">
        <v>184</v>
      </c>
      <c r="C225" s="41" t="s">
        <v>125</v>
      </c>
      <c r="D225" s="40" t="s">
        <v>126</v>
      </c>
      <c r="E225" s="24">
        <v>28000000</v>
      </c>
      <c r="F225" s="39">
        <v>44264</v>
      </c>
      <c r="G225" s="24">
        <v>28000000</v>
      </c>
      <c r="H225" s="23">
        <v>5.0000000000000001E-3</v>
      </c>
      <c r="I225" s="39">
        <v>44264</v>
      </c>
      <c r="J225" s="39">
        <v>44286</v>
      </c>
      <c r="K225" s="24">
        <f t="shared" si="12"/>
        <v>23</v>
      </c>
      <c r="L225" s="24">
        <f t="shared" si="13"/>
        <v>8822</v>
      </c>
      <c r="M225" s="24">
        <v>28000000</v>
      </c>
    </row>
    <row r="226" spans="1:13" s="48" customFormat="1" outlineLevel="2">
      <c r="A226" s="39" t="s">
        <v>120</v>
      </c>
      <c r="B226" s="40" t="s">
        <v>185</v>
      </c>
      <c r="C226" s="41" t="s">
        <v>125</v>
      </c>
      <c r="D226" s="40" t="s">
        <v>126</v>
      </c>
      <c r="E226" s="24">
        <v>26000000</v>
      </c>
      <c r="F226" s="39">
        <v>44264</v>
      </c>
      <c r="G226" s="24">
        <v>26000000</v>
      </c>
      <c r="H226" s="23">
        <v>5.0000000000000001E-3</v>
      </c>
      <c r="I226" s="39">
        <v>44264</v>
      </c>
      <c r="J226" s="39">
        <v>44286</v>
      </c>
      <c r="K226" s="24">
        <f t="shared" si="12"/>
        <v>23</v>
      </c>
      <c r="L226" s="24">
        <f t="shared" si="13"/>
        <v>8192</v>
      </c>
      <c r="M226" s="24">
        <v>26000000</v>
      </c>
    </row>
    <row r="227" spans="1:13" s="48" customFormat="1" outlineLevel="2">
      <c r="A227" s="39" t="s">
        <v>120</v>
      </c>
      <c r="B227" s="40" t="s">
        <v>186</v>
      </c>
      <c r="C227" s="41" t="s">
        <v>30</v>
      </c>
      <c r="D227" s="40" t="s">
        <v>31</v>
      </c>
      <c r="E227" s="24">
        <v>60000000</v>
      </c>
      <c r="F227" s="39">
        <v>44272</v>
      </c>
      <c r="G227" s="24">
        <v>60000000</v>
      </c>
      <c r="H227" s="23">
        <v>5.0000000000000001E-3</v>
      </c>
      <c r="I227" s="39">
        <v>44272</v>
      </c>
      <c r="J227" s="39">
        <v>44286</v>
      </c>
      <c r="K227" s="24">
        <f t="shared" si="12"/>
        <v>15</v>
      </c>
      <c r="L227" s="24">
        <f t="shared" si="13"/>
        <v>12329</v>
      </c>
      <c r="M227" s="24">
        <v>60000000</v>
      </c>
    </row>
    <row r="228" spans="1:13" s="48" customFormat="1" outlineLevel="2">
      <c r="A228" s="39" t="s">
        <v>120</v>
      </c>
      <c r="B228" s="40" t="s">
        <v>189</v>
      </c>
      <c r="C228" s="41" t="s">
        <v>324</v>
      </c>
      <c r="D228" s="40" t="s">
        <v>323</v>
      </c>
      <c r="E228" s="24">
        <v>37000000</v>
      </c>
      <c r="F228" s="39">
        <v>44270</v>
      </c>
      <c r="G228" s="24">
        <v>37000000</v>
      </c>
      <c r="H228" s="23">
        <v>5.0000000000000001E-3</v>
      </c>
      <c r="I228" s="39">
        <v>44270</v>
      </c>
      <c r="J228" s="39">
        <v>44286</v>
      </c>
      <c r="K228" s="24">
        <f t="shared" ref="K228:K259" si="14">J228-I228+1</f>
        <v>17</v>
      </c>
      <c r="L228" s="24">
        <f t="shared" ref="L228:L259" si="15">ROUND(G228*H228*K228/365,0)</f>
        <v>8616</v>
      </c>
      <c r="M228" s="24">
        <v>37000000</v>
      </c>
    </row>
    <row r="229" spans="1:13" s="48" customFormat="1" outlineLevel="2">
      <c r="A229" s="39" t="s">
        <v>120</v>
      </c>
      <c r="B229" s="40" t="s">
        <v>190</v>
      </c>
      <c r="C229" s="41" t="s">
        <v>324</v>
      </c>
      <c r="D229" s="40" t="s">
        <v>323</v>
      </c>
      <c r="E229" s="24">
        <v>23000000</v>
      </c>
      <c r="F229" s="39">
        <v>44270</v>
      </c>
      <c r="G229" s="24">
        <v>23000000</v>
      </c>
      <c r="H229" s="23">
        <v>5.0000000000000001E-3</v>
      </c>
      <c r="I229" s="39">
        <v>44270</v>
      </c>
      <c r="J229" s="39">
        <v>44286</v>
      </c>
      <c r="K229" s="24">
        <f t="shared" si="14"/>
        <v>17</v>
      </c>
      <c r="L229" s="24">
        <f t="shared" si="15"/>
        <v>5356</v>
      </c>
      <c r="M229" s="24">
        <v>23000000</v>
      </c>
    </row>
    <row r="230" spans="1:13" s="48" customFormat="1" outlineLevel="2">
      <c r="A230" s="39" t="s">
        <v>120</v>
      </c>
      <c r="B230" s="40" t="s">
        <v>191</v>
      </c>
      <c r="C230" s="41" t="s">
        <v>324</v>
      </c>
      <c r="D230" s="40" t="s">
        <v>323</v>
      </c>
      <c r="E230" s="24">
        <v>30000000</v>
      </c>
      <c r="F230" s="39">
        <v>44270</v>
      </c>
      <c r="G230" s="24">
        <v>30000000</v>
      </c>
      <c r="H230" s="23">
        <v>5.0000000000000001E-3</v>
      </c>
      <c r="I230" s="39">
        <v>44270</v>
      </c>
      <c r="J230" s="39">
        <v>44286</v>
      </c>
      <c r="K230" s="24">
        <f t="shared" si="14"/>
        <v>17</v>
      </c>
      <c r="L230" s="24">
        <f t="shared" si="15"/>
        <v>6986</v>
      </c>
      <c r="M230" s="24">
        <v>30000000</v>
      </c>
    </row>
    <row r="231" spans="1:13" s="48" customFormat="1" outlineLevel="2">
      <c r="A231" s="39" t="s">
        <v>120</v>
      </c>
      <c r="B231" s="40" t="s">
        <v>64</v>
      </c>
      <c r="C231" s="41" t="s">
        <v>20</v>
      </c>
      <c r="D231" s="40" t="s">
        <v>21</v>
      </c>
      <c r="E231" s="24">
        <v>150000000</v>
      </c>
      <c r="F231" s="39">
        <v>43958</v>
      </c>
      <c r="G231" s="24">
        <v>150000000</v>
      </c>
      <c r="H231" s="23">
        <v>5.0000000000000001E-3</v>
      </c>
      <c r="I231" s="39">
        <v>44256</v>
      </c>
      <c r="J231" s="39">
        <v>44286</v>
      </c>
      <c r="K231" s="24">
        <f t="shared" si="14"/>
        <v>31</v>
      </c>
      <c r="L231" s="24">
        <f t="shared" si="15"/>
        <v>63699</v>
      </c>
      <c r="M231" s="24">
        <v>150000000</v>
      </c>
    </row>
    <row r="232" spans="1:13" s="48" customFormat="1" outlineLevel="2">
      <c r="A232" s="39" t="s">
        <v>120</v>
      </c>
      <c r="B232" s="40" t="s">
        <v>65</v>
      </c>
      <c r="C232" s="41" t="s">
        <v>125</v>
      </c>
      <c r="D232" s="40" t="s">
        <v>126</v>
      </c>
      <c r="E232" s="24">
        <v>5000000</v>
      </c>
      <c r="F232" s="39">
        <v>43998</v>
      </c>
      <c r="G232" s="24">
        <v>5000000</v>
      </c>
      <c r="H232" s="23">
        <v>5.0000000000000001E-3</v>
      </c>
      <c r="I232" s="39">
        <v>44256</v>
      </c>
      <c r="J232" s="39">
        <v>44286</v>
      </c>
      <c r="K232" s="24">
        <f t="shared" si="14"/>
        <v>31</v>
      </c>
      <c r="L232" s="24">
        <f t="shared" si="15"/>
        <v>2123</v>
      </c>
      <c r="M232" s="24">
        <v>5000000</v>
      </c>
    </row>
    <row r="233" spans="1:13" s="48" customFormat="1" outlineLevel="2">
      <c r="A233" s="39" t="s">
        <v>120</v>
      </c>
      <c r="B233" s="40" t="s">
        <v>68</v>
      </c>
      <c r="C233" s="41" t="s">
        <v>125</v>
      </c>
      <c r="D233" s="40" t="s">
        <v>126</v>
      </c>
      <c r="E233" s="24">
        <v>17292000</v>
      </c>
      <c r="F233" s="39">
        <v>44002</v>
      </c>
      <c r="G233" s="24">
        <v>17292000</v>
      </c>
      <c r="H233" s="23">
        <v>5.0000000000000001E-3</v>
      </c>
      <c r="I233" s="39">
        <v>44256</v>
      </c>
      <c r="J233" s="39">
        <v>44286</v>
      </c>
      <c r="K233" s="24">
        <f t="shared" si="14"/>
        <v>31</v>
      </c>
      <c r="L233" s="24">
        <f t="shared" si="15"/>
        <v>7343</v>
      </c>
      <c r="M233" s="24">
        <v>17292000</v>
      </c>
    </row>
    <row r="234" spans="1:13" s="48" customFormat="1" outlineLevel="1">
      <c r="A234" s="42" t="s">
        <v>141</v>
      </c>
      <c r="B234" s="43"/>
      <c r="C234" s="44"/>
      <c r="D234" s="43"/>
      <c r="E234" s="45">
        <f>SUBTOTAL(9,E164:E233)</f>
        <v>4196197900</v>
      </c>
      <c r="F234" s="46"/>
      <c r="G234" s="45"/>
      <c r="H234" s="47"/>
      <c r="I234" s="46"/>
      <c r="J234" s="46"/>
      <c r="K234" s="45"/>
      <c r="L234" s="45">
        <f>SUBTOTAL(9,L164:L233)</f>
        <v>1547870</v>
      </c>
      <c r="M234" s="45">
        <f>SUBTOTAL(9,M164:M233)</f>
        <v>4132093902</v>
      </c>
    </row>
    <row r="235" spans="1:13" s="48" customFormat="1" outlineLevel="2">
      <c r="A235" s="39" t="s">
        <v>142</v>
      </c>
      <c r="B235" s="40" t="s">
        <v>16</v>
      </c>
      <c r="C235" s="41" t="s">
        <v>143</v>
      </c>
      <c r="D235" s="40" t="s">
        <v>144</v>
      </c>
      <c r="E235" s="24">
        <v>38000000</v>
      </c>
      <c r="F235" s="39">
        <v>43762</v>
      </c>
      <c r="G235" s="24">
        <v>38000000</v>
      </c>
      <c r="H235" s="23">
        <v>5.0000000000000001E-3</v>
      </c>
      <c r="I235" s="39">
        <v>44256</v>
      </c>
      <c r="J235" s="39">
        <v>44286</v>
      </c>
      <c r="K235" s="24">
        <f t="shared" ref="K235:K266" si="16">J235-I235+1</f>
        <v>31</v>
      </c>
      <c r="L235" s="24">
        <f t="shared" ref="L235:L266" si="17">ROUND(G235*H235*K235/365,0)</f>
        <v>16137</v>
      </c>
      <c r="M235" s="24">
        <v>38000000</v>
      </c>
    </row>
    <row r="236" spans="1:13" s="48" customFormat="1" outlineLevel="2">
      <c r="A236" s="39" t="s">
        <v>142</v>
      </c>
      <c r="B236" s="40" t="s">
        <v>19</v>
      </c>
      <c r="C236" s="41" t="s">
        <v>60</v>
      </c>
      <c r="D236" s="40" t="s">
        <v>61</v>
      </c>
      <c r="E236" s="24">
        <v>110000000</v>
      </c>
      <c r="F236" s="39">
        <v>43913</v>
      </c>
      <c r="G236" s="24">
        <v>110000000</v>
      </c>
      <c r="H236" s="23">
        <v>5.0000000000000001E-3</v>
      </c>
      <c r="I236" s="39">
        <v>44256</v>
      </c>
      <c r="J236" s="39">
        <v>44286</v>
      </c>
      <c r="K236" s="24">
        <f t="shared" si="16"/>
        <v>31</v>
      </c>
      <c r="L236" s="24">
        <f t="shared" si="17"/>
        <v>46712</v>
      </c>
      <c r="M236" s="24">
        <v>110000000</v>
      </c>
    </row>
    <row r="237" spans="1:13" s="48" customFormat="1" outlineLevel="2">
      <c r="A237" s="39" t="s">
        <v>142</v>
      </c>
      <c r="B237" s="40" t="s">
        <v>145</v>
      </c>
      <c r="C237" s="41" t="s">
        <v>146</v>
      </c>
      <c r="D237" s="40" t="s">
        <v>147</v>
      </c>
      <c r="E237" s="24">
        <v>5000000</v>
      </c>
      <c r="F237" s="39">
        <v>44204</v>
      </c>
      <c r="G237" s="24">
        <v>5000000</v>
      </c>
      <c r="H237" s="23">
        <v>5.0000000000000001E-3</v>
      </c>
      <c r="I237" s="39">
        <v>44256</v>
      </c>
      <c r="J237" s="39">
        <v>44286</v>
      </c>
      <c r="K237" s="24">
        <f t="shared" si="16"/>
        <v>31</v>
      </c>
      <c r="L237" s="24">
        <f t="shared" si="17"/>
        <v>2123</v>
      </c>
      <c r="M237" s="24">
        <v>5000000</v>
      </c>
    </row>
    <row r="238" spans="1:13" s="48" customFormat="1" outlineLevel="2">
      <c r="A238" s="39" t="s">
        <v>142</v>
      </c>
      <c r="B238" s="40" t="s">
        <v>148</v>
      </c>
      <c r="C238" s="41" t="s">
        <v>149</v>
      </c>
      <c r="D238" s="40" t="s">
        <v>150</v>
      </c>
      <c r="E238" s="24">
        <v>3528000</v>
      </c>
      <c r="F238" s="39">
        <v>44207</v>
      </c>
      <c r="G238" s="24">
        <v>3528000</v>
      </c>
      <c r="H238" s="23">
        <v>5.0000000000000001E-3</v>
      </c>
      <c r="I238" s="39">
        <v>44256</v>
      </c>
      <c r="J238" s="39">
        <v>44286</v>
      </c>
      <c r="K238" s="24">
        <f t="shared" si="16"/>
        <v>31</v>
      </c>
      <c r="L238" s="24">
        <f t="shared" si="17"/>
        <v>1498</v>
      </c>
      <c r="M238" s="24">
        <v>3528000</v>
      </c>
    </row>
    <row r="239" spans="1:13" s="48" customFormat="1" outlineLevel="2">
      <c r="A239" s="39" t="s">
        <v>142</v>
      </c>
      <c r="B239" s="40" t="s">
        <v>151</v>
      </c>
      <c r="C239" s="41" t="s">
        <v>149</v>
      </c>
      <c r="D239" s="40" t="s">
        <v>150</v>
      </c>
      <c r="E239" s="24">
        <v>2520000</v>
      </c>
      <c r="F239" s="39">
        <v>44207</v>
      </c>
      <c r="G239" s="24">
        <v>2520000</v>
      </c>
      <c r="H239" s="23">
        <v>5.0000000000000001E-3</v>
      </c>
      <c r="I239" s="39">
        <v>44256</v>
      </c>
      <c r="J239" s="39">
        <v>44286</v>
      </c>
      <c r="K239" s="24">
        <f t="shared" si="16"/>
        <v>31</v>
      </c>
      <c r="L239" s="24">
        <f t="shared" si="17"/>
        <v>1070</v>
      </c>
      <c r="M239" s="24">
        <v>2520000</v>
      </c>
    </row>
    <row r="240" spans="1:13" s="48" customFormat="1" outlineLevel="2">
      <c r="A240" s="39" t="s">
        <v>142</v>
      </c>
      <c r="B240" s="40" t="s">
        <v>152</v>
      </c>
      <c r="C240" s="41" t="s">
        <v>149</v>
      </c>
      <c r="D240" s="40" t="s">
        <v>150</v>
      </c>
      <c r="E240" s="24">
        <v>4368000</v>
      </c>
      <c r="F240" s="39">
        <v>44210</v>
      </c>
      <c r="G240" s="24">
        <v>4368000</v>
      </c>
      <c r="H240" s="23">
        <v>5.0000000000000001E-3</v>
      </c>
      <c r="I240" s="39">
        <v>44256</v>
      </c>
      <c r="J240" s="39">
        <v>44286</v>
      </c>
      <c r="K240" s="24">
        <f t="shared" si="16"/>
        <v>31</v>
      </c>
      <c r="L240" s="24">
        <f t="shared" si="17"/>
        <v>1855</v>
      </c>
      <c r="M240" s="24">
        <v>4368000</v>
      </c>
    </row>
    <row r="241" spans="1:13" s="48" customFormat="1" outlineLevel="2">
      <c r="A241" s="39" t="s">
        <v>142</v>
      </c>
      <c r="B241" s="40" t="s">
        <v>153</v>
      </c>
      <c r="C241" s="41" t="s">
        <v>149</v>
      </c>
      <c r="D241" s="40" t="s">
        <v>150</v>
      </c>
      <c r="E241" s="24">
        <v>95583736</v>
      </c>
      <c r="F241" s="39">
        <v>44225</v>
      </c>
      <c r="G241" s="24">
        <v>95583736</v>
      </c>
      <c r="H241" s="23">
        <v>5.0000000000000001E-3</v>
      </c>
      <c r="I241" s="39">
        <v>44256</v>
      </c>
      <c r="J241" s="39">
        <v>44286</v>
      </c>
      <c r="K241" s="24">
        <f t="shared" si="16"/>
        <v>31</v>
      </c>
      <c r="L241" s="24">
        <f t="shared" si="17"/>
        <v>40590</v>
      </c>
      <c r="M241" s="24">
        <v>95583736</v>
      </c>
    </row>
    <row r="242" spans="1:13" s="48" customFormat="1" outlineLevel="2">
      <c r="A242" s="39" t="s">
        <v>142</v>
      </c>
      <c r="B242" s="40" t="s">
        <v>154</v>
      </c>
      <c r="C242" s="41" t="s">
        <v>155</v>
      </c>
      <c r="D242" s="40" t="s">
        <v>156</v>
      </c>
      <c r="E242" s="24">
        <v>200000000</v>
      </c>
      <c r="F242" s="39">
        <v>44211</v>
      </c>
      <c r="G242" s="24">
        <v>200000000</v>
      </c>
      <c r="H242" s="23">
        <v>5.0000000000000001E-3</v>
      </c>
      <c r="I242" s="39">
        <v>44256</v>
      </c>
      <c r="J242" s="39">
        <v>44286</v>
      </c>
      <c r="K242" s="24">
        <f t="shared" si="16"/>
        <v>31</v>
      </c>
      <c r="L242" s="24">
        <f t="shared" si="17"/>
        <v>84932</v>
      </c>
      <c r="M242" s="24">
        <v>200000000</v>
      </c>
    </row>
    <row r="243" spans="1:13" s="48" customFormat="1" outlineLevel="2">
      <c r="A243" s="39" t="s">
        <v>142</v>
      </c>
      <c r="B243" s="40" t="s">
        <v>157</v>
      </c>
      <c r="C243" s="41" t="s">
        <v>125</v>
      </c>
      <c r="D243" s="40" t="s">
        <v>126</v>
      </c>
      <c r="E243" s="24">
        <v>3000000</v>
      </c>
      <c r="F243" s="39">
        <v>44216</v>
      </c>
      <c r="G243" s="24">
        <v>3000000</v>
      </c>
      <c r="H243" s="23">
        <v>5.0000000000000001E-3</v>
      </c>
      <c r="I243" s="39">
        <v>44256</v>
      </c>
      <c r="J243" s="39">
        <v>44286</v>
      </c>
      <c r="K243" s="24">
        <f t="shared" si="16"/>
        <v>31</v>
      </c>
      <c r="L243" s="24">
        <f t="shared" si="17"/>
        <v>1274</v>
      </c>
      <c r="M243" s="24">
        <v>3000000</v>
      </c>
    </row>
    <row r="244" spans="1:13" s="48" customFormat="1" outlineLevel="2">
      <c r="A244" s="39" t="s">
        <v>142</v>
      </c>
      <c r="B244" s="40" t="s">
        <v>158</v>
      </c>
      <c r="C244" s="41" t="s">
        <v>125</v>
      </c>
      <c r="D244" s="40" t="s">
        <v>126</v>
      </c>
      <c r="E244" s="24">
        <v>10000000</v>
      </c>
      <c r="F244" s="39">
        <v>44216</v>
      </c>
      <c r="G244" s="24">
        <v>10000000</v>
      </c>
      <c r="H244" s="23">
        <v>5.0000000000000001E-3</v>
      </c>
      <c r="I244" s="39">
        <v>44256</v>
      </c>
      <c r="J244" s="39">
        <v>44286</v>
      </c>
      <c r="K244" s="24">
        <f t="shared" si="16"/>
        <v>31</v>
      </c>
      <c r="L244" s="24">
        <f t="shared" si="17"/>
        <v>4247</v>
      </c>
      <c r="M244" s="24">
        <v>10000000</v>
      </c>
    </row>
    <row r="245" spans="1:13" s="48" customFormat="1" outlineLevel="2">
      <c r="A245" s="39" t="s">
        <v>142</v>
      </c>
      <c r="B245" s="40" t="s">
        <v>159</v>
      </c>
      <c r="C245" s="41" t="s">
        <v>87</v>
      </c>
      <c r="D245" s="40" t="s">
        <v>88</v>
      </c>
      <c r="E245" s="24">
        <v>14776161</v>
      </c>
      <c r="F245" s="39">
        <v>44221</v>
      </c>
      <c r="G245" s="24">
        <v>14776161</v>
      </c>
      <c r="H245" s="23">
        <v>5.0000000000000001E-3</v>
      </c>
      <c r="I245" s="39">
        <v>44256</v>
      </c>
      <c r="J245" s="39">
        <v>44286</v>
      </c>
      <c r="K245" s="24">
        <f t="shared" si="16"/>
        <v>31</v>
      </c>
      <c r="L245" s="24">
        <f t="shared" si="17"/>
        <v>6275</v>
      </c>
      <c r="M245" s="24">
        <v>14776161</v>
      </c>
    </row>
    <row r="246" spans="1:13" s="48" customFormat="1" outlineLevel="2">
      <c r="A246" s="39" t="s">
        <v>142</v>
      </c>
      <c r="B246" s="40" t="s">
        <v>320</v>
      </c>
      <c r="C246" s="41" t="s">
        <v>143</v>
      </c>
      <c r="D246" s="40" t="s">
        <v>144</v>
      </c>
      <c r="E246" s="24">
        <v>4100000</v>
      </c>
      <c r="F246" s="39">
        <v>44228</v>
      </c>
      <c r="G246" s="24">
        <v>4100000</v>
      </c>
      <c r="H246" s="23">
        <v>5.0000000000000001E-3</v>
      </c>
      <c r="I246" s="39">
        <v>44256</v>
      </c>
      <c r="J246" s="39">
        <v>44286</v>
      </c>
      <c r="K246" s="24">
        <f t="shared" si="16"/>
        <v>31</v>
      </c>
      <c r="L246" s="24">
        <f t="shared" si="17"/>
        <v>1741</v>
      </c>
      <c r="M246" s="24">
        <v>4100000</v>
      </c>
    </row>
    <row r="247" spans="1:13" s="48" customFormat="1" outlineLevel="2">
      <c r="A247" s="39" t="s">
        <v>142</v>
      </c>
      <c r="B247" s="40" t="s">
        <v>22</v>
      </c>
      <c r="C247" s="41" t="s">
        <v>149</v>
      </c>
      <c r="D247" s="40" t="s">
        <v>150</v>
      </c>
      <c r="E247" s="24">
        <v>95655336</v>
      </c>
      <c r="F247" s="39">
        <v>43951</v>
      </c>
      <c r="G247" s="24">
        <v>95655336</v>
      </c>
      <c r="H247" s="23">
        <v>5.0000000000000001E-3</v>
      </c>
      <c r="I247" s="39">
        <v>44256</v>
      </c>
      <c r="J247" s="39">
        <v>44286</v>
      </c>
      <c r="K247" s="24">
        <f t="shared" si="16"/>
        <v>31</v>
      </c>
      <c r="L247" s="24">
        <f t="shared" si="17"/>
        <v>40621</v>
      </c>
      <c r="M247" s="24">
        <v>95655336</v>
      </c>
    </row>
    <row r="248" spans="1:13" s="48" customFormat="1" outlineLevel="2">
      <c r="A248" s="39" t="s">
        <v>142</v>
      </c>
      <c r="B248" s="40" t="s">
        <v>319</v>
      </c>
      <c r="C248" s="41" t="s">
        <v>149</v>
      </c>
      <c r="D248" s="40" t="s">
        <v>150</v>
      </c>
      <c r="E248" s="24">
        <v>13843200</v>
      </c>
      <c r="F248" s="39">
        <v>44232</v>
      </c>
      <c r="G248" s="24">
        <v>13843200</v>
      </c>
      <c r="H248" s="23">
        <v>5.0000000000000001E-3</v>
      </c>
      <c r="I248" s="39">
        <v>44256</v>
      </c>
      <c r="J248" s="39">
        <v>44286</v>
      </c>
      <c r="K248" s="24">
        <f t="shared" si="16"/>
        <v>31</v>
      </c>
      <c r="L248" s="24">
        <f t="shared" si="17"/>
        <v>5879</v>
      </c>
      <c r="M248" s="24">
        <v>13843200</v>
      </c>
    </row>
    <row r="249" spans="1:13" s="48" customFormat="1" outlineLevel="2">
      <c r="A249" s="39" t="s">
        <v>142</v>
      </c>
      <c r="B249" s="40" t="s">
        <v>318</v>
      </c>
      <c r="C249" s="41" t="s">
        <v>149</v>
      </c>
      <c r="D249" s="40" t="s">
        <v>150</v>
      </c>
      <c r="E249" s="24">
        <v>7056000</v>
      </c>
      <c r="F249" s="39">
        <v>44235</v>
      </c>
      <c r="G249" s="24">
        <v>7056000</v>
      </c>
      <c r="H249" s="23">
        <v>5.0000000000000001E-3</v>
      </c>
      <c r="I249" s="39">
        <v>44256</v>
      </c>
      <c r="J249" s="39">
        <v>44286</v>
      </c>
      <c r="K249" s="24">
        <f t="shared" si="16"/>
        <v>31</v>
      </c>
      <c r="L249" s="24">
        <f t="shared" si="17"/>
        <v>2996</v>
      </c>
      <c r="M249" s="24">
        <v>7056000</v>
      </c>
    </row>
    <row r="250" spans="1:13" s="48" customFormat="1" outlineLevel="2">
      <c r="A250" s="39" t="s">
        <v>142</v>
      </c>
      <c r="B250" s="40" t="s">
        <v>317</v>
      </c>
      <c r="C250" s="41" t="s">
        <v>149</v>
      </c>
      <c r="D250" s="40" t="s">
        <v>150</v>
      </c>
      <c r="E250" s="24">
        <v>2184000</v>
      </c>
      <c r="F250" s="39">
        <v>44235</v>
      </c>
      <c r="G250" s="24">
        <v>2184000</v>
      </c>
      <c r="H250" s="23">
        <v>5.0000000000000001E-3</v>
      </c>
      <c r="I250" s="39">
        <v>44256</v>
      </c>
      <c r="J250" s="39">
        <v>44286</v>
      </c>
      <c r="K250" s="24">
        <f t="shared" si="16"/>
        <v>31</v>
      </c>
      <c r="L250" s="24">
        <f t="shared" si="17"/>
        <v>927</v>
      </c>
      <c r="M250" s="24">
        <v>2184000</v>
      </c>
    </row>
    <row r="251" spans="1:13" s="48" customFormat="1" outlineLevel="2">
      <c r="A251" s="39" t="s">
        <v>142</v>
      </c>
      <c r="B251" s="40" t="s">
        <v>316</v>
      </c>
      <c r="C251" s="41" t="s">
        <v>149</v>
      </c>
      <c r="D251" s="40" t="s">
        <v>150</v>
      </c>
      <c r="E251" s="24">
        <v>5040000</v>
      </c>
      <c r="F251" s="39">
        <v>44235</v>
      </c>
      <c r="G251" s="24">
        <v>5040000</v>
      </c>
      <c r="H251" s="23">
        <v>5.0000000000000001E-3</v>
      </c>
      <c r="I251" s="39">
        <v>44256</v>
      </c>
      <c r="J251" s="39">
        <v>44286</v>
      </c>
      <c r="K251" s="24">
        <f t="shared" si="16"/>
        <v>31</v>
      </c>
      <c r="L251" s="24">
        <f t="shared" si="17"/>
        <v>2140</v>
      </c>
      <c r="M251" s="24">
        <v>5040000</v>
      </c>
    </row>
    <row r="252" spans="1:13" s="48" customFormat="1" outlineLevel="2">
      <c r="A252" s="39" t="s">
        <v>142</v>
      </c>
      <c r="B252" s="40" t="s">
        <v>315</v>
      </c>
      <c r="C252" s="41" t="s">
        <v>149</v>
      </c>
      <c r="D252" s="40" t="s">
        <v>150</v>
      </c>
      <c r="E252" s="24">
        <v>8316000</v>
      </c>
      <c r="F252" s="39">
        <v>44244</v>
      </c>
      <c r="G252" s="24">
        <v>8316000</v>
      </c>
      <c r="H252" s="23">
        <v>5.0000000000000001E-3</v>
      </c>
      <c r="I252" s="39">
        <v>44256</v>
      </c>
      <c r="J252" s="39">
        <v>44286</v>
      </c>
      <c r="K252" s="24">
        <f t="shared" si="16"/>
        <v>31</v>
      </c>
      <c r="L252" s="24">
        <f t="shared" si="17"/>
        <v>3531</v>
      </c>
      <c r="M252" s="24">
        <v>8316000</v>
      </c>
    </row>
    <row r="253" spans="1:13" s="48" customFormat="1" outlineLevel="2">
      <c r="A253" s="39" t="s">
        <v>142</v>
      </c>
      <c r="B253" s="40" t="s">
        <v>314</v>
      </c>
      <c r="C253" s="41" t="s">
        <v>149</v>
      </c>
      <c r="D253" s="40" t="s">
        <v>150</v>
      </c>
      <c r="E253" s="24">
        <v>8547840</v>
      </c>
      <c r="F253" s="39">
        <v>44244</v>
      </c>
      <c r="G253" s="24">
        <v>8547840</v>
      </c>
      <c r="H253" s="23">
        <v>5.0000000000000001E-3</v>
      </c>
      <c r="I253" s="39">
        <v>44256</v>
      </c>
      <c r="J253" s="39">
        <v>44286</v>
      </c>
      <c r="K253" s="24">
        <f t="shared" si="16"/>
        <v>31</v>
      </c>
      <c r="L253" s="24">
        <f t="shared" si="17"/>
        <v>3630</v>
      </c>
      <c r="M253" s="24">
        <v>8547840</v>
      </c>
    </row>
    <row r="254" spans="1:13" s="48" customFormat="1" outlineLevel="2">
      <c r="A254" s="39" t="s">
        <v>142</v>
      </c>
      <c r="B254" s="40" t="s">
        <v>313</v>
      </c>
      <c r="C254" s="41" t="s">
        <v>149</v>
      </c>
      <c r="D254" s="40" t="s">
        <v>150</v>
      </c>
      <c r="E254" s="24">
        <v>6384000</v>
      </c>
      <c r="F254" s="39">
        <v>44244</v>
      </c>
      <c r="G254" s="24">
        <v>6384000</v>
      </c>
      <c r="H254" s="23">
        <v>5.0000000000000001E-3</v>
      </c>
      <c r="I254" s="39">
        <v>44256</v>
      </c>
      <c r="J254" s="39">
        <v>44286</v>
      </c>
      <c r="K254" s="24">
        <f t="shared" si="16"/>
        <v>31</v>
      </c>
      <c r="L254" s="24">
        <f t="shared" si="17"/>
        <v>2711</v>
      </c>
      <c r="M254" s="24">
        <v>6384000</v>
      </c>
    </row>
    <row r="255" spans="1:13" s="48" customFormat="1" outlineLevel="2">
      <c r="A255" s="39" t="s">
        <v>142</v>
      </c>
      <c r="B255" s="40" t="s">
        <v>312</v>
      </c>
      <c r="C255" s="41" t="s">
        <v>149</v>
      </c>
      <c r="D255" s="40" t="s">
        <v>150</v>
      </c>
      <c r="E255" s="24">
        <v>226800</v>
      </c>
      <c r="F255" s="39">
        <v>44244</v>
      </c>
      <c r="G255" s="24">
        <v>226800</v>
      </c>
      <c r="H255" s="23">
        <v>5.0000000000000001E-3</v>
      </c>
      <c r="I255" s="39">
        <v>44256</v>
      </c>
      <c r="J255" s="39">
        <v>44286</v>
      </c>
      <c r="K255" s="24">
        <f t="shared" si="16"/>
        <v>31</v>
      </c>
      <c r="L255" s="24">
        <f t="shared" si="17"/>
        <v>96</v>
      </c>
      <c r="M255" s="24">
        <v>226800</v>
      </c>
    </row>
    <row r="256" spans="1:13" s="48" customFormat="1" outlineLevel="2">
      <c r="A256" s="39" t="s">
        <v>142</v>
      </c>
      <c r="B256" s="40" t="s">
        <v>311</v>
      </c>
      <c r="C256" s="41" t="s">
        <v>155</v>
      </c>
      <c r="D256" s="40" t="s">
        <v>156</v>
      </c>
      <c r="E256" s="24">
        <v>100000000</v>
      </c>
      <c r="F256" s="39">
        <v>44236</v>
      </c>
      <c r="G256" s="24">
        <v>100000000</v>
      </c>
      <c r="H256" s="23">
        <v>5.0000000000000001E-3</v>
      </c>
      <c r="I256" s="39">
        <v>44256</v>
      </c>
      <c r="J256" s="39">
        <v>44286</v>
      </c>
      <c r="K256" s="24">
        <f t="shared" si="16"/>
        <v>31</v>
      </c>
      <c r="L256" s="24">
        <f t="shared" si="17"/>
        <v>42466</v>
      </c>
      <c r="M256" s="24">
        <v>100000000</v>
      </c>
    </row>
    <row r="257" spans="1:13" s="48" customFormat="1" outlineLevel="2">
      <c r="A257" s="39" t="s">
        <v>142</v>
      </c>
      <c r="B257" s="40" t="s">
        <v>310</v>
      </c>
      <c r="C257" s="41" t="s">
        <v>155</v>
      </c>
      <c r="D257" s="40" t="s">
        <v>156</v>
      </c>
      <c r="E257" s="24">
        <v>200000000</v>
      </c>
      <c r="F257" s="39">
        <v>44244</v>
      </c>
      <c r="G257" s="24">
        <v>200000000</v>
      </c>
      <c r="H257" s="23">
        <v>5.0000000000000001E-3</v>
      </c>
      <c r="I257" s="39">
        <v>44256</v>
      </c>
      <c r="J257" s="39">
        <v>44286</v>
      </c>
      <c r="K257" s="24">
        <f t="shared" si="16"/>
        <v>31</v>
      </c>
      <c r="L257" s="24">
        <f t="shared" si="17"/>
        <v>84932</v>
      </c>
      <c r="M257" s="24">
        <v>200000000</v>
      </c>
    </row>
    <row r="258" spans="1:13" s="48" customFormat="1" outlineLevel="2">
      <c r="A258" s="39" t="s">
        <v>142</v>
      </c>
      <c r="B258" s="40" t="s">
        <v>25</v>
      </c>
      <c r="C258" s="41" t="s">
        <v>143</v>
      </c>
      <c r="D258" s="40" t="s">
        <v>144</v>
      </c>
      <c r="E258" s="24">
        <v>38000000</v>
      </c>
      <c r="F258" s="39">
        <v>43962</v>
      </c>
      <c r="G258" s="24">
        <v>38000000</v>
      </c>
      <c r="H258" s="23">
        <v>5.0000000000000001E-3</v>
      </c>
      <c r="I258" s="39">
        <v>44256</v>
      </c>
      <c r="J258" s="39">
        <v>44286</v>
      </c>
      <c r="K258" s="24">
        <f t="shared" si="16"/>
        <v>31</v>
      </c>
      <c r="L258" s="24">
        <f t="shared" si="17"/>
        <v>16137</v>
      </c>
      <c r="M258" s="24">
        <v>38000000</v>
      </c>
    </row>
    <row r="259" spans="1:13" s="48" customFormat="1" outlineLevel="2">
      <c r="A259" s="39" t="s">
        <v>142</v>
      </c>
      <c r="B259" s="40" t="s">
        <v>309</v>
      </c>
      <c r="C259" s="41" t="s">
        <v>219</v>
      </c>
      <c r="D259" s="40" t="s">
        <v>220</v>
      </c>
      <c r="E259" s="24">
        <v>20000000</v>
      </c>
      <c r="F259" s="39">
        <v>44251</v>
      </c>
      <c r="G259" s="24">
        <v>20000000</v>
      </c>
      <c r="H259" s="23">
        <v>5.0000000000000001E-3</v>
      </c>
      <c r="I259" s="39">
        <v>44256</v>
      </c>
      <c r="J259" s="39">
        <v>44286</v>
      </c>
      <c r="K259" s="24">
        <f t="shared" si="16"/>
        <v>31</v>
      </c>
      <c r="L259" s="24">
        <f t="shared" si="17"/>
        <v>8493</v>
      </c>
      <c r="M259" s="24">
        <v>20000000</v>
      </c>
    </row>
    <row r="260" spans="1:13" s="48" customFormat="1" outlineLevel="2">
      <c r="A260" s="39" t="s">
        <v>142</v>
      </c>
      <c r="B260" s="40" t="s">
        <v>308</v>
      </c>
      <c r="C260" s="41" t="s">
        <v>125</v>
      </c>
      <c r="D260" s="40" t="s">
        <v>126</v>
      </c>
      <c r="E260" s="24">
        <v>5000000</v>
      </c>
      <c r="F260" s="39">
        <v>44251</v>
      </c>
      <c r="G260" s="24">
        <v>5000000</v>
      </c>
      <c r="H260" s="23">
        <v>5.0000000000000001E-3</v>
      </c>
      <c r="I260" s="39">
        <v>44256</v>
      </c>
      <c r="J260" s="39">
        <v>44286</v>
      </c>
      <c r="K260" s="24">
        <f t="shared" si="16"/>
        <v>31</v>
      </c>
      <c r="L260" s="24">
        <f t="shared" si="17"/>
        <v>2123</v>
      </c>
      <c r="M260" s="24">
        <v>5000000</v>
      </c>
    </row>
    <row r="261" spans="1:13" s="48" customFormat="1" outlineLevel="2">
      <c r="A261" s="39" t="s">
        <v>142</v>
      </c>
      <c r="B261" s="40" t="s">
        <v>307</v>
      </c>
      <c r="C261" s="41" t="s">
        <v>89</v>
      </c>
      <c r="D261" s="40" t="s">
        <v>90</v>
      </c>
      <c r="E261" s="24">
        <v>80000000</v>
      </c>
      <c r="F261" s="39">
        <v>44253</v>
      </c>
      <c r="G261" s="24">
        <v>80000000</v>
      </c>
      <c r="H261" s="23">
        <v>5.0000000000000001E-3</v>
      </c>
      <c r="I261" s="39">
        <v>44256</v>
      </c>
      <c r="J261" s="39">
        <v>44286</v>
      </c>
      <c r="K261" s="24">
        <f t="shared" si="16"/>
        <v>31</v>
      </c>
      <c r="L261" s="24">
        <f t="shared" si="17"/>
        <v>33973</v>
      </c>
      <c r="M261" s="24">
        <v>80000000</v>
      </c>
    </row>
    <row r="262" spans="1:13" s="48" customFormat="1" outlineLevel="2">
      <c r="A262" s="39" t="s">
        <v>142</v>
      </c>
      <c r="B262" s="40" t="s">
        <v>335</v>
      </c>
      <c r="C262" s="41" t="s">
        <v>143</v>
      </c>
      <c r="D262" s="40" t="s">
        <v>144</v>
      </c>
      <c r="E262" s="24">
        <v>1350000</v>
      </c>
      <c r="F262" s="39">
        <v>44257</v>
      </c>
      <c r="G262" s="24">
        <v>1350000</v>
      </c>
      <c r="H262" s="23">
        <v>5.0000000000000001E-3</v>
      </c>
      <c r="I262" s="39">
        <v>44257</v>
      </c>
      <c r="J262" s="39">
        <v>44286</v>
      </c>
      <c r="K262" s="24">
        <f t="shared" si="16"/>
        <v>30</v>
      </c>
      <c r="L262" s="24">
        <f t="shared" si="17"/>
        <v>555</v>
      </c>
      <c r="M262" s="24">
        <v>1350000</v>
      </c>
    </row>
    <row r="263" spans="1:13" s="48" customFormat="1" outlineLevel="2">
      <c r="A263" s="39" t="s">
        <v>142</v>
      </c>
      <c r="B263" s="40" t="s">
        <v>334</v>
      </c>
      <c r="C263" s="41" t="s">
        <v>143</v>
      </c>
      <c r="D263" s="40" t="s">
        <v>144</v>
      </c>
      <c r="E263" s="24">
        <v>3000000</v>
      </c>
      <c r="F263" s="39">
        <v>44286</v>
      </c>
      <c r="G263" s="24">
        <v>3000000</v>
      </c>
      <c r="H263" s="23">
        <v>5.0000000000000001E-3</v>
      </c>
      <c r="I263" s="39">
        <v>44286</v>
      </c>
      <c r="J263" s="39">
        <v>44286</v>
      </c>
      <c r="K263" s="24">
        <f t="shared" si="16"/>
        <v>1</v>
      </c>
      <c r="L263" s="24">
        <f t="shared" si="17"/>
        <v>41</v>
      </c>
      <c r="M263" s="24">
        <v>3000000</v>
      </c>
    </row>
    <row r="264" spans="1:13" s="48" customFormat="1" outlineLevel="2">
      <c r="A264" s="39" t="s">
        <v>142</v>
      </c>
      <c r="B264" s="40" t="s">
        <v>333</v>
      </c>
      <c r="C264" s="41" t="s">
        <v>143</v>
      </c>
      <c r="D264" s="40" t="s">
        <v>144</v>
      </c>
      <c r="E264" s="24">
        <v>12800000</v>
      </c>
      <c r="F264" s="39">
        <v>44286</v>
      </c>
      <c r="G264" s="24">
        <v>12800000</v>
      </c>
      <c r="H264" s="23">
        <v>5.0000000000000001E-3</v>
      </c>
      <c r="I264" s="39">
        <v>44286</v>
      </c>
      <c r="J264" s="39">
        <v>44286</v>
      </c>
      <c r="K264" s="24">
        <f t="shared" si="16"/>
        <v>1</v>
      </c>
      <c r="L264" s="24">
        <f t="shared" si="17"/>
        <v>175</v>
      </c>
      <c r="M264" s="24">
        <v>12800000</v>
      </c>
    </row>
    <row r="265" spans="1:13" s="48" customFormat="1" outlineLevel="2">
      <c r="A265" s="39" t="s">
        <v>142</v>
      </c>
      <c r="B265" s="40" t="s">
        <v>332</v>
      </c>
      <c r="C265" s="41" t="s">
        <v>125</v>
      </c>
      <c r="D265" s="40" t="s">
        <v>126</v>
      </c>
      <c r="E265" s="24">
        <v>29000000</v>
      </c>
      <c r="F265" s="39">
        <v>44257</v>
      </c>
      <c r="G265" s="24">
        <v>29000000</v>
      </c>
      <c r="H265" s="23">
        <v>5.0000000000000001E-3</v>
      </c>
      <c r="I265" s="39">
        <v>44257</v>
      </c>
      <c r="J265" s="39">
        <v>44286</v>
      </c>
      <c r="K265" s="24">
        <f t="shared" si="16"/>
        <v>30</v>
      </c>
      <c r="L265" s="24">
        <f t="shared" si="17"/>
        <v>11918</v>
      </c>
      <c r="M265" s="24">
        <v>29000000</v>
      </c>
    </row>
    <row r="266" spans="1:13" s="48" customFormat="1" outlineLevel="2">
      <c r="A266" s="39" t="s">
        <v>142</v>
      </c>
      <c r="B266" s="40" t="s">
        <v>331</v>
      </c>
      <c r="C266" s="41" t="s">
        <v>125</v>
      </c>
      <c r="D266" s="40" t="s">
        <v>126</v>
      </c>
      <c r="E266" s="24">
        <v>5000000</v>
      </c>
      <c r="F266" s="39">
        <v>44279</v>
      </c>
      <c r="G266" s="24">
        <v>5000000</v>
      </c>
      <c r="H266" s="23">
        <v>5.0000000000000001E-3</v>
      </c>
      <c r="I266" s="39">
        <v>44279</v>
      </c>
      <c r="J266" s="39">
        <v>44286</v>
      </c>
      <c r="K266" s="24">
        <f t="shared" si="16"/>
        <v>8</v>
      </c>
      <c r="L266" s="24">
        <f t="shared" si="17"/>
        <v>548</v>
      </c>
      <c r="M266" s="24">
        <v>5000000</v>
      </c>
    </row>
    <row r="267" spans="1:13" s="48" customFormat="1" outlineLevel="2">
      <c r="A267" s="39" t="s">
        <v>142</v>
      </c>
      <c r="B267" s="40" t="s">
        <v>330</v>
      </c>
      <c r="C267" s="41" t="s">
        <v>125</v>
      </c>
      <c r="D267" s="40" t="s">
        <v>126</v>
      </c>
      <c r="E267" s="24">
        <v>5000000</v>
      </c>
      <c r="F267" s="39">
        <v>44286</v>
      </c>
      <c r="G267" s="24">
        <v>5000000</v>
      </c>
      <c r="H267" s="23">
        <v>5.0000000000000001E-3</v>
      </c>
      <c r="I267" s="39">
        <v>44286</v>
      </c>
      <c r="J267" s="39">
        <v>44286</v>
      </c>
      <c r="K267" s="24">
        <f t="shared" ref="K267:K298" si="18">J267-I267+1</f>
        <v>1</v>
      </c>
      <c r="L267" s="24">
        <f t="shared" ref="L267:L298" si="19">ROUND(G267*H267*K267/365,0)</f>
        <v>68</v>
      </c>
      <c r="M267" s="24">
        <v>5000000</v>
      </c>
    </row>
    <row r="268" spans="1:13" s="48" customFormat="1" outlineLevel="2">
      <c r="A268" s="39" t="s">
        <v>142</v>
      </c>
      <c r="B268" s="40" t="s">
        <v>329</v>
      </c>
      <c r="C268" s="41" t="s">
        <v>149</v>
      </c>
      <c r="D268" s="40" t="s">
        <v>150</v>
      </c>
      <c r="E268" s="24">
        <v>1176000</v>
      </c>
      <c r="F268" s="39">
        <v>44270</v>
      </c>
      <c r="G268" s="24">
        <v>1176000</v>
      </c>
      <c r="H268" s="23">
        <v>5.0000000000000001E-3</v>
      </c>
      <c r="I268" s="39">
        <v>44270</v>
      </c>
      <c r="J268" s="39">
        <v>44286</v>
      </c>
      <c r="K268" s="24">
        <f t="shared" si="18"/>
        <v>17</v>
      </c>
      <c r="L268" s="24">
        <f t="shared" si="19"/>
        <v>274</v>
      </c>
      <c r="M268" s="24">
        <v>1176000</v>
      </c>
    </row>
    <row r="269" spans="1:13" s="48" customFormat="1" outlineLevel="2">
      <c r="A269" s="39" t="s">
        <v>142</v>
      </c>
      <c r="B269" s="40" t="s">
        <v>26</v>
      </c>
      <c r="C269" s="41" t="s">
        <v>143</v>
      </c>
      <c r="D269" s="40" t="s">
        <v>144</v>
      </c>
      <c r="E269" s="24">
        <v>10500000</v>
      </c>
      <c r="F269" s="39">
        <v>43962</v>
      </c>
      <c r="G269" s="24">
        <v>10500000</v>
      </c>
      <c r="H269" s="23">
        <v>5.0000000000000001E-3</v>
      </c>
      <c r="I269" s="39">
        <v>44256</v>
      </c>
      <c r="J269" s="39">
        <v>44286</v>
      </c>
      <c r="K269" s="24">
        <f t="shared" si="18"/>
        <v>31</v>
      </c>
      <c r="L269" s="24">
        <f t="shared" si="19"/>
        <v>4459</v>
      </c>
      <c r="M269" s="24">
        <v>10500000</v>
      </c>
    </row>
    <row r="270" spans="1:13" s="48" customFormat="1" outlineLevel="2">
      <c r="A270" s="39" t="s">
        <v>142</v>
      </c>
      <c r="B270" s="40" t="s">
        <v>328</v>
      </c>
      <c r="C270" s="41" t="s">
        <v>149</v>
      </c>
      <c r="D270" s="40" t="s">
        <v>150</v>
      </c>
      <c r="E270" s="24">
        <v>840000</v>
      </c>
      <c r="F270" s="39">
        <v>44270</v>
      </c>
      <c r="G270" s="24">
        <v>840000</v>
      </c>
      <c r="H270" s="23">
        <v>5.0000000000000001E-3</v>
      </c>
      <c r="I270" s="39">
        <v>44270</v>
      </c>
      <c r="J270" s="39">
        <v>44286</v>
      </c>
      <c r="K270" s="24">
        <f t="shared" si="18"/>
        <v>17</v>
      </c>
      <c r="L270" s="24">
        <f t="shared" si="19"/>
        <v>196</v>
      </c>
      <c r="M270" s="24">
        <v>840000</v>
      </c>
    </row>
    <row r="271" spans="1:13" s="48" customFormat="1" outlineLevel="2">
      <c r="A271" s="39" t="s">
        <v>142</v>
      </c>
      <c r="B271" s="40" t="s">
        <v>327</v>
      </c>
      <c r="C271" s="41" t="s">
        <v>187</v>
      </c>
      <c r="D271" s="40" t="s">
        <v>188</v>
      </c>
      <c r="E271" s="24">
        <v>190400000</v>
      </c>
      <c r="F271" s="39">
        <v>44273</v>
      </c>
      <c r="G271" s="24">
        <v>190400000</v>
      </c>
      <c r="H271" s="23">
        <v>5.0000000000000001E-3</v>
      </c>
      <c r="I271" s="39">
        <v>44273</v>
      </c>
      <c r="J271" s="39">
        <v>44286</v>
      </c>
      <c r="K271" s="24">
        <f t="shared" si="18"/>
        <v>14</v>
      </c>
      <c r="L271" s="24">
        <f t="shared" si="19"/>
        <v>36515</v>
      </c>
      <c r="M271" s="24">
        <v>190400000</v>
      </c>
    </row>
    <row r="272" spans="1:13" s="48" customFormat="1" outlineLevel="2">
      <c r="A272" s="39" t="s">
        <v>142</v>
      </c>
      <c r="B272" s="40" t="s">
        <v>326</v>
      </c>
      <c r="C272" s="41" t="s">
        <v>121</v>
      </c>
      <c r="D272" s="40" t="s">
        <v>122</v>
      </c>
      <c r="E272" s="24">
        <v>54000000</v>
      </c>
      <c r="F272" s="39">
        <v>44278</v>
      </c>
      <c r="G272" s="24">
        <v>54000000</v>
      </c>
      <c r="H272" s="23">
        <v>5.0000000000000001E-3</v>
      </c>
      <c r="I272" s="39">
        <v>44278</v>
      </c>
      <c r="J272" s="39">
        <v>44286</v>
      </c>
      <c r="K272" s="24">
        <f t="shared" si="18"/>
        <v>9</v>
      </c>
      <c r="L272" s="24">
        <f t="shared" si="19"/>
        <v>6658</v>
      </c>
      <c r="M272" s="24">
        <v>54000000</v>
      </c>
    </row>
    <row r="273" spans="1:13" s="48" customFormat="1" outlineLevel="2">
      <c r="A273" s="39" t="s">
        <v>142</v>
      </c>
      <c r="B273" s="40" t="s">
        <v>325</v>
      </c>
      <c r="C273" s="41" t="s">
        <v>165</v>
      </c>
      <c r="D273" s="40" t="s">
        <v>166</v>
      </c>
      <c r="E273" s="24">
        <v>24800000</v>
      </c>
      <c r="F273" s="39">
        <v>44284</v>
      </c>
      <c r="G273" s="24">
        <v>24800000</v>
      </c>
      <c r="H273" s="23">
        <v>5.0000000000000001E-3</v>
      </c>
      <c r="I273" s="39">
        <v>44284</v>
      </c>
      <c r="J273" s="39">
        <v>44286</v>
      </c>
      <c r="K273" s="24">
        <f t="shared" si="18"/>
        <v>3</v>
      </c>
      <c r="L273" s="24">
        <f t="shared" si="19"/>
        <v>1019</v>
      </c>
      <c r="M273" s="24">
        <v>24800000</v>
      </c>
    </row>
    <row r="274" spans="1:13" s="48" customFormat="1" outlineLevel="2">
      <c r="A274" s="39" t="s">
        <v>142</v>
      </c>
      <c r="B274" s="40" t="s">
        <v>29</v>
      </c>
      <c r="C274" s="41" t="s">
        <v>123</v>
      </c>
      <c r="D274" s="40" t="s">
        <v>124</v>
      </c>
      <c r="E274" s="24">
        <v>160000000</v>
      </c>
      <c r="F274" s="39">
        <v>43970</v>
      </c>
      <c r="G274" s="24">
        <v>160000000</v>
      </c>
      <c r="H274" s="23">
        <v>5.0000000000000001E-3</v>
      </c>
      <c r="I274" s="39">
        <v>44256</v>
      </c>
      <c r="J274" s="39">
        <v>44286</v>
      </c>
      <c r="K274" s="24">
        <f t="shared" si="18"/>
        <v>31</v>
      </c>
      <c r="L274" s="24">
        <f t="shared" si="19"/>
        <v>67945</v>
      </c>
      <c r="M274" s="24">
        <v>160000000</v>
      </c>
    </row>
    <row r="275" spans="1:13" s="48" customFormat="1" outlineLevel="2">
      <c r="A275" s="39" t="s">
        <v>142</v>
      </c>
      <c r="B275" s="40" t="s">
        <v>32</v>
      </c>
      <c r="C275" s="41" t="s">
        <v>160</v>
      </c>
      <c r="D275" s="40" t="s">
        <v>150</v>
      </c>
      <c r="E275" s="24">
        <v>13104000</v>
      </c>
      <c r="F275" s="39">
        <v>43979</v>
      </c>
      <c r="G275" s="24">
        <v>13104000</v>
      </c>
      <c r="H275" s="23">
        <v>5.0000000000000001E-3</v>
      </c>
      <c r="I275" s="39">
        <v>44256</v>
      </c>
      <c r="J275" s="39">
        <v>44286</v>
      </c>
      <c r="K275" s="24">
        <f t="shared" si="18"/>
        <v>31</v>
      </c>
      <c r="L275" s="24">
        <f t="shared" si="19"/>
        <v>5565</v>
      </c>
      <c r="M275" s="24">
        <v>13104000</v>
      </c>
    </row>
    <row r="276" spans="1:13" s="48" customFormat="1" outlineLevel="2">
      <c r="A276" s="39" t="s">
        <v>142</v>
      </c>
      <c r="B276" s="40" t="s">
        <v>33</v>
      </c>
      <c r="C276" s="41" t="s">
        <v>89</v>
      </c>
      <c r="D276" s="40" t="s">
        <v>90</v>
      </c>
      <c r="E276" s="24">
        <v>6550000</v>
      </c>
      <c r="F276" s="39">
        <v>43993</v>
      </c>
      <c r="G276" s="24">
        <v>6550000</v>
      </c>
      <c r="H276" s="23">
        <v>5.0000000000000001E-3</v>
      </c>
      <c r="I276" s="39">
        <v>44256</v>
      </c>
      <c r="J276" s="39">
        <v>44286</v>
      </c>
      <c r="K276" s="24">
        <f t="shared" si="18"/>
        <v>31</v>
      </c>
      <c r="L276" s="24">
        <f t="shared" si="19"/>
        <v>2782</v>
      </c>
      <c r="M276" s="24">
        <v>6550000</v>
      </c>
    </row>
    <row r="277" spans="1:13" s="48" customFormat="1" outlineLevel="2">
      <c r="A277" s="39" t="s">
        <v>142</v>
      </c>
      <c r="B277" s="40" t="s">
        <v>34</v>
      </c>
      <c r="C277" s="41" t="s">
        <v>89</v>
      </c>
      <c r="D277" s="40" t="s">
        <v>90</v>
      </c>
      <c r="E277" s="24">
        <v>19710000</v>
      </c>
      <c r="F277" s="39">
        <v>43993</v>
      </c>
      <c r="G277" s="24">
        <v>19710000</v>
      </c>
      <c r="H277" s="23">
        <v>5.0000000000000001E-3</v>
      </c>
      <c r="I277" s="39">
        <v>44256</v>
      </c>
      <c r="J277" s="39">
        <v>44286</v>
      </c>
      <c r="K277" s="24">
        <f t="shared" si="18"/>
        <v>31</v>
      </c>
      <c r="L277" s="24">
        <f t="shared" si="19"/>
        <v>8370</v>
      </c>
      <c r="M277" s="24">
        <v>19710000</v>
      </c>
    </row>
    <row r="278" spans="1:13" s="48" customFormat="1" outlineLevel="2">
      <c r="A278" s="39" t="s">
        <v>142</v>
      </c>
      <c r="B278" s="40" t="s">
        <v>35</v>
      </c>
      <c r="C278" s="41" t="s">
        <v>89</v>
      </c>
      <c r="D278" s="40" t="s">
        <v>90</v>
      </c>
      <c r="E278" s="24">
        <v>16860000</v>
      </c>
      <c r="F278" s="39">
        <v>43993</v>
      </c>
      <c r="G278" s="24">
        <v>16860000</v>
      </c>
      <c r="H278" s="23">
        <v>5.0000000000000001E-3</v>
      </c>
      <c r="I278" s="39">
        <v>44256</v>
      </c>
      <c r="J278" s="39">
        <v>44286</v>
      </c>
      <c r="K278" s="24">
        <f t="shared" si="18"/>
        <v>31</v>
      </c>
      <c r="L278" s="24">
        <f t="shared" si="19"/>
        <v>7160</v>
      </c>
      <c r="M278" s="24">
        <v>16860000</v>
      </c>
    </row>
    <row r="279" spans="1:13" s="48" customFormat="1" outlineLevel="2">
      <c r="A279" s="39" t="s">
        <v>142</v>
      </c>
      <c r="B279" s="40" t="s">
        <v>36</v>
      </c>
      <c r="C279" s="41" t="s">
        <v>161</v>
      </c>
      <c r="D279" s="40" t="s">
        <v>162</v>
      </c>
      <c r="E279" s="24">
        <v>240000000</v>
      </c>
      <c r="F279" s="39">
        <v>44000</v>
      </c>
      <c r="G279" s="24">
        <v>240000000</v>
      </c>
      <c r="H279" s="23">
        <v>5.0000000000000001E-3</v>
      </c>
      <c r="I279" s="39">
        <v>44256</v>
      </c>
      <c r="J279" s="39">
        <v>44286</v>
      </c>
      <c r="K279" s="24">
        <f t="shared" si="18"/>
        <v>31</v>
      </c>
      <c r="L279" s="24">
        <f t="shared" si="19"/>
        <v>101918</v>
      </c>
      <c r="M279" s="24">
        <v>240000000</v>
      </c>
    </row>
    <row r="280" spans="1:13" s="48" customFormat="1" outlineLevel="2">
      <c r="A280" s="39" t="s">
        <v>142</v>
      </c>
      <c r="B280" s="40" t="s">
        <v>39</v>
      </c>
      <c r="C280" s="41" t="s">
        <v>143</v>
      </c>
      <c r="D280" s="40" t="s">
        <v>144</v>
      </c>
      <c r="E280" s="24">
        <v>57000000</v>
      </c>
      <c r="F280" s="39">
        <v>43822</v>
      </c>
      <c r="G280" s="24">
        <v>57000000</v>
      </c>
      <c r="H280" s="23">
        <v>5.0000000000000001E-3</v>
      </c>
      <c r="I280" s="39">
        <v>44256</v>
      </c>
      <c r="J280" s="39">
        <v>44286</v>
      </c>
      <c r="K280" s="24">
        <f t="shared" si="18"/>
        <v>31</v>
      </c>
      <c r="L280" s="24">
        <f t="shared" si="19"/>
        <v>24205</v>
      </c>
      <c r="M280" s="24">
        <v>57000000</v>
      </c>
    </row>
    <row r="281" spans="1:13" s="48" customFormat="1" outlineLevel="2">
      <c r="A281" s="39" t="s">
        <v>142</v>
      </c>
      <c r="B281" s="40" t="s">
        <v>40</v>
      </c>
      <c r="C281" s="41" t="s">
        <v>123</v>
      </c>
      <c r="D281" s="40" t="s">
        <v>124</v>
      </c>
      <c r="E281" s="24">
        <v>55000000</v>
      </c>
      <c r="F281" s="39">
        <v>44001</v>
      </c>
      <c r="G281" s="24">
        <v>55000000</v>
      </c>
      <c r="H281" s="23">
        <v>5.0000000000000001E-3</v>
      </c>
      <c r="I281" s="39">
        <v>44256</v>
      </c>
      <c r="J281" s="39">
        <v>44286</v>
      </c>
      <c r="K281" s="24">
        <f t="shared" si="18"/>
        <v>31</v>
      </c>
      <c r="L281" s="24">
        <f t="shared" si="19"/>
        <v>23356</v>
      </c>
      <c r="M281" s="24">
        <v>55000000</v>
      </c>
    </row>
    <row r="282" spans="1:13" s="48" customFormat="1" outlineLevel="2">
      <c r="A282" s="39" t="s">
        <v>142</v>
      </c>
      <c r="B282" s="40" t="s">
        <v>41</v>
      </c>
      <c r="C282" s="41" t="s">
        <v>87</v>
      </c>
      <c r="D282" s="40" t="s">
        <v>88</v>
      </c>
      <c r="E282" s="24">
        <v>8907064</v>
      </c>
      <c r="F282" s="39">
        <v>44006</v>
      </c>
      <c r="G282" s="24">
        <v>8907064</v>
      </c>
      <c r="H282" s="23">
        <v>5.0000000000000001E-3</v>
      </c>
      <c r="I282" s="39">
        <v>44256</v>
      </c>
      <c r="J282" s="39">
        <v>44286</v>
      </c>
      <c r="K282" s="24">
        <f t="shared" si="18"/>
        <v>31</v>
      </c>
      <c r="L282" s="24">
        <f t="shared" si="19"/>
        <v>3782</v>
      </c>
      <c r="M282" s="24">
        <v>8907064</v>
      </c>
    </row>
    <row r="283" spans="1:13" s="48" customFormat="1" outlineLevel="2">
      <c r="A283" s="39" t="s">
        <v>142</v>
      </c>
      <c r="B283" s="40" t="s">
        <v>42</v>
      </c>
      <c r="C283" s="41" t="s">
        <v>149</v>
      </c>
      <c r="D283" s="40" t="s">
        <v>150</v>
      </c>
      <c r="E283" s="24">
        <v>7560000</v>
      </c>
      <c r="F283" s="39">
        <v>44018</v>
      </c>
      <c r="G283" s="24">
        <v>7560000</v>
      </c>
      <c r="H283" s="23">
        <v>5.0000000000000001E-3</v>
      </c>
      <c r="I283" s="39">
        <v>44256</v>
      </c>
      <c r="J283" s="39">
        <v>44286</v>
      </c>
      <c r="K283" s="24">
        <f t="shared" si="18"/>
        <v>31</v>
      </c>
      <c r="L283" s="24">
        <f t="shared" si="19"/>
        <v>3210</v>
      </c>
      <c r="M283" s="24">
        <v>7560000</v>
      </c>
    </row>
    <row r="284" spans="1:13" s="48" customFormat="1" outlineLevel="2">
      <c r="A284" s="39" t="s">
        <v>142</v>
      </c>
      <c r="B284" s="40" t="s">
        <v>43</v>
      </c>
      <c r="C284" s="41" t="s">
        <v>143</v>
      </c>
      <c r="D284" s="40" t="s">
        <v>144</v>
      </c>
      <c r="E284" s="24">
        <v>38000000</v>
      </c>
      <c r="F284" s="39">
        <v>44022</v>
      </c>
      <c r="G284" s="24">
        <v>38000000</v>
      </c>
      <c r="H284" s="23">
        <v>5.0000000000000001E-3</v>
      </c>
      <c r="I284" s="39">
        <v>44256</v>
      </c>
      <c r="J284" s="39">
        <v>44286</v>
      </c>
      <c r="K284" s="24">
        <f t="shared" si="18"/>
        <v>31</v>
      </c>
      <c r="L284" s="24">
        <f t="shared" si="19"/>
        <v>16137</v>
      </c>
      <c r="M284" s="24">
        <v>38000000</v>
      </c>
    </row>
    <row r="285" spans="1:13" s="48" customFormat="1" outlineLevel="2">
      <c r="A285" s="39" t="s">
        <v>142</v>
      </c>
      <c r="B285" s="40" t="s">
        <v>44</v>
      </c>
      <c r="C285" s="41" t="s">
        <v>143</v>
      </c>
      <c r="D285" s="40" t="s">
        <v>144</v>
      </c>
      <c r="E285" s="24">
        <v>10500000</v>
      </c>
      <c r="F285" s="39">
        <v>44022</v>
      </c>
      <c r="G285" s="24">
        <v>10500000</v>
      </c>
      <c r="H285" s="23">
        <v>5.0000000000000001E-3</v>
      </c>
      <c r="I285" s="39">
        <v>44256</v>
      </c>
      <c r="J285" s="39">
        <v>44286</v>
      </c>
      <c r="K285" s="24">
        <f t="shared" si="18"/>
        <v>31</v>
      </c>
      <c r="L285" s="24">
        <f t="shared" si="19"/>
        <v>4459</v>
      </c>
      <c r="M285" s="24">
        <v>10500000</v>
      </c>
    </row>
    <row r="286" spans="1:13" s="48" customFormat="1" outlineLevel="2">
      <c r="A286" s="39" t="s">
        <v>142</v>
      </c>
      <c r="B286" s="40" t="s">
        <v>47</v>
      </c>
      <c r="C286" s="41" t="s">
        <v>163</v>
      </c>
      <c r="D286" s="40" t="s">
        <v>164</v>
      </c>
      <c r="E286" s="24">
        <v>72000000</v>
      </c>
      <c r="F286" s="39">
        <v>44025</v>
      </c>
      <c r="G286" s="24">
        <v>67764706</v>
      </c>
      <c r="H286" s="23">
        <v>5.0000000000000001E-3</v>
      </c>
      <c r="I286" s="39">
        <v>44256</v>
      </c>
      <c r="J286" s="39">
        <v>44269</v>
      </c>
      <c r="K286" s="24">
        <f t="shared" si="18"/>
        <v>14</v>
      </c>
      <c r="L286" s="24">
        <f t="shared" si="19"/>
        <v>12996</v>
      </c>
      <c r="M286" s="24">
        <v>67159664</v>
      </c>
    </row>
    <row r="287" spans="1:13" s="48" customFormat="1" outlineLevel="2">
      <c r="A287" s="39" t="s">
        <v>142</v>
      </c>
      <c r="B287" s="40" t="s">
        <v>47</v>
      </c>
      <c r="C287" s="41" t="s">
        <v>163</v>
      </c>
      <c r="D287" s="40"/>
      <c r="E287" s="24"/>
      <c r="F287" s="39"/>
      <c r="G287" s="24">
        <v>67159664</v>
      </c>
      <c r="H287" s="23">
        <v>5.0000000000000001E-3</v>
      </c>
      <c r="I287" s="39">
        <v>44270</v>
      </c>
      <c r="J287" s="39">
        <v>44286</v>
      </c>
      <c r="K287" s="24">
        <f t="shared" si="18"/>
        <v>17</v>
      </c>
      <c r="L287" s="24">
        <f t="shared" si="19"/>
        <v>15640</v>
      </c>
      <c r="M287" s="24"/>
    </row>
    <row r="288" spans="1:13" s="48" customFormat="1" outlineLevel="2">
      <c r="A288" s="39" t="s">
        <v>142</v>
      </c>
      <c r="B288" s="40" t="s">
        <v>50</v>
      </c>
      <c r="C288" s="41" t="s">
        <v>97</v>
      </c>
      <c r="D288" s="40" t="s">
        <v>98</v>
      </c>
      <c r="E288" s="24">
        <v>87500000</v>
      </c>
      <c r="F288" s="39">
        <v>44027</v>
      </c>
      <c r="G288" s="24">
        <v>87500000</v>
      </c>
      <c r="H288" s="23">
        <v>5.0000000000000001E-3</v>
      </c>
      <c r="I288" s="39">
        <v>44256</v>
      </c>
      <c r="J288" s="39">
        <v>44286</v>
      </c>
      <c r="K288" s="24">
        <f t="shared" si="18"/>
        <v>31</v>
      </c>
      <c r="L288" s="24">
        <f t="shared" si="19"/>
        <v>37158</v>
      </c>
      <c r="M288" s="24">
        <v>87500000</v>
      </c>
    </row>
    <row r="289" spans="1:13" s="48" customFormat="1" outlineLevel="2">
      <c r="A289" s="39" t="s">
        <v>142</v>
      </c>
      <c r="B289" s="40" t="s">
        <v>51</v>
      </c>
      <c r="C289" s="41" t="s">
        <v>165</v>
      </c>
      <c r="D289" s="40" t="s">
        <v>166</v>
      </c>
      <c r="E289" s="24">
        <v>84000000</v>
      </c>
      <c r="F289" s="39">
        <v>44027</v>
      </c>
      <c r="G289" s="24">
        <v>84000000</v>
      </c>
      <c r="H289" s="23">
        <v>5.0000000000000001E-3</v>
      </c>
      <c r="I289" s="39">
        <v>44256</v>
      </c>
      <c r="J289" s="39">
        <v>44286</v>
      </c>
      <c r="K289" s="24">
        <f t="shared" si="18"/>
        <v>31</v>
      </c>
      <c r="L289" s="24">
        <f t="shared" si="19"/>
        <v>35671</v>
      </c>
      <c r="M289" s="24">
        <v>84000000</v>
      </c>
    </row>
    <row r="290" spans="1:13" s="48" customFormat="1" outlineLevel="2">
      <c r="A290" s="39" t="s">
        <v>142</v>
      </c>
      <c r="B290" s="40" t="s">
        <v>52</v>
      </c>
      <c r="C290" s="41" t="s">
        <v>30</v>
      </c>
      <c r="D290" s="40" t="s">
        <v>31</v>
      </c>
      <c r="E290" s="24">
        <v>12230000</v>
      </c>
      <c r="F290" s="39">
        <v>44034</v>
      </c>
      <c r="G290" s="24">
        <v>12230000</v>
      </c>
      <c r="H290" s="23">
        <v>5.0000000000000001E-3</v>
      </c>
      <c r="I290" s="39">
        <v>44256</v>
      </c>
      <c r="J290" s="39">
        <v>44286</v>
      </c>
      <c r="K290" s="24">
        <f t="shared" si="18"/>
        <v>31</v>
      </c>
      <c r="L290" s="24">
        <f t="shared" si="19"/>
        <v>5194</v>
      </c>
      <c r="M290" s="24">
        <v>12230000</v>
      </c>
    </row>
    <row r="291" spans="1:13" s="48" customFormat="1" outlineLevel="2">
      <c r="A291" s="39" t="s">
        <v>142</v>
      </c>
      <c r="B291" s="40" t="s">
        <v>53</v>
      </c>
      <c r="C291" s="41" t="s">
        <v>123</v>
      </c>
      <c r="D291" s="40" t="s">
        <v>124</v>
      </c>
      <c r="E291" s="24">
        <v>40000000</v>
      </c>
      <c r="F291" s="39">
        <v>44040</v>
      </c>
      <c r="G291" s="24">
        <v>40000000</v>
      </c>
      <c r="H291" s="23">
        <v>5.0000000000000001E-3</v>
      </c>
      <c r="I291" s="39">
        <v>44256</v>
      </c>
      <c r="J291" s="39">
        <v>44286</v>
      </c>
      <c r="K291" s="24">
        <f t="shared" si="18"/>
        <v>31</v>
      </c>
      <c r="L291" s="24">
        <f t="shared" si="19"/>
        <v>16986</v>
      </c>
      <c r="M291" s="24">
        <v>40000000</v>
      </c>
    </row>
    <row r="292" spans="1:13" s="48" customFormat="1" outlineLevel="2">
      <c r="A292" s="39" t="s">
        <v>142</v>
      </c>
      <c r="B292" s="40" t="s">
        <v>54</v>
      </c>
      <c r="C292" s="41" t="s">
        <v>121</v>
      </c>
      <c r="D292" s="40" t="s">
        <v>122</v>
      </c>
      <c r="E292" s="24">
        <v>171000000</v>
      </c>
      <c r="F292" s="39">
        <v>43822</v>
      </c>
      <c r="G292" s="24">
        <v>171000000</v>
      </c>
      <c r="H292" s="23">
        <v>5.0000000000000001E-3</v>
      </c>
      <c r="I292" s="39">
        <v>44256</v>
      </c>
      <c r="J292" s="39">
        <v>44286</v>
      </c>
      <c r="K292" s="24">
        <f t="shared" si="18"/>
        <v>31</v>
      </c>
      <c r="L292" s="24">
        <f t="shared" si="19"/>
        <v>72616</v>
      </c>
      <c r="M292" s="24">
        <v>171000000</v>
      </c>
    </row>
    <row r="293" spans="1:13" s="48" customFormat="1" outlineLevel="2">
      <c r="A293" s="39" t="s">
        <v>142</v>
      </c>
      <c r="B293" s="40" t="s">
        <v>57</v>
      </c>
      <c r="C293" s="41" t="s">
        <v>167</v>
      </c>
      <c r="D293" s="40" t="s">
        <v>168</v>
      </c>
      <c r="E293" s="24">
        <v>18000000</v>
      </c>
      <c r="F293" s="39">
        <v>44043</v>
      </c>
      <c r="G293" s="24">
        <v>18000000</v>
      </c>
      <c r="H293" s="23">
        <v>5.0000000000000001E-3</v>
      </c>
      <c r="I293" s="39">
        <v>44256</v>
      </c>
      <c r="J293" s="39">
        <v>44286</v>
      </c>
      <c r="K293" s="24">
        <f t="shared" si="18"/>
        <v>31</v>
      </c>
      <c r="L293" s="24">
        <f t="shared" si="19"/>
        <v>7644</v>
      </c>
      <c r="M293" s="24">
        <v>18000000</v>
      </c>
    </row>
    <row r="294" spans="1:13" s="48" customFormat="1" outlineLevel="2">
      <c r="A294" s="39" t="s">
        <v>142</v>
      </c>
      <c r="B294" s="40" t="s">
        <v>58</v>
      </c>
      <c r="C294" s="41" t="s">
        <v>167</v>
      </c>
      <c r="D294" s="40" t="s">
        <v>168</v>
      </c>
      <c r="E294" s="24">
        <v>21000000</v>
      </c>
      <c r="F294" s="39">
        <v>44043</v>
      </c>
      <c r="G294" s="24">
        <v>21000000</v>
      </c>
      <c r="H294" s="23">
        <v>5.0000000000000001E-3</v>
      </c>
      <c r="I294" s="39">
        <v>44256</v>
      </c>
      <c r="J294" s="39">
        <v>44286</v>
      </c>
      <c r="K294" s="24">
        <f t="shared" si="18"/>
        <v>31</v>
      </c>
      <c r="L294" s="24">
        <f t="shared" si="19"/>
        <v>8918</v>
      </c>
      <c r="M294" s="24">
        <v>21000000</v>
      </c>
    </row>
    <row r="295" spans="1:13" s="48" customFormat="1" outlineLevel="2">
      <c r="A295" s="39" t="s">
        <v>142</v>
      </c>
      <c r="B295" s="40" t="s">
        <v>99</v>
      </c>
      <c r="C295" s="41" t="s">
        <v>167</v>
      </c>
      <c r="D295" s="40" t="s">
        <v>168</v>
      </c>
      <c r="E295" s="24">
        <v>13600000</v>
      </c>
      <c r="F295" s="39">
        <v>44043</v>
      </c>
      <c r="G295" s="24">
        <v>13600000</v>
      </c>
      <c r="H295" s="23">
        <v>5.0000000000000001E-3</v>
      </c>
      <c r="I295" s="39">
        <v>44256</v>
      </c>
      <c r="J295" s="39">
        <v>44286</v>
      </c>
      <c r="K295" s="24">
        <f t="shared" si="18"/>
        <v>31</v>
      </c>
      <c r="L295" s="24">
        <f t="shared" si="19"/>
        <v>5775</v>
      </c>
      <c r="M295" s="24">
        <v>13600000</v>
      </c>
    </row>
    <row r="296" spans="1:13" s="48" customFormat="1" outlineLevel="2">
      <c r="A296" s="39" t="s">
        <v>142</v>
      </c>
      <c r="B296" s="40" t="s">
        <v>100</v>
      </c>
      <c r="C296" s="41" t="s">
        <v>143</v>
      </c>
      <c r="D296" s="40" t="s">
        <v>144</v>
      </c>
      <c r="E296" s="24">
        <v>28000000</v>
      </c>
      <c r="F296" s="39">
        <v>44046</v>
      </c>
      <c r="G296" s="24">
        <v>28000000</v>
      </c>
      <c r="H296" s="23">
        <v>5.0000000000000001E-3</v>
      </c>
      <c r="I296" s="39">
        <v>44256</v>
      </c>
      <c r="J296" s="39">
        <v>44286</v>
      </c>
      <c r="K296" s="24">
        <f t="shared" si="18"/>
        <v>31</v>
      </c>
      <c r="L296" s="24">
        <f t="shared" si="19"/>
        <v>11890</v>
      </c>
      <c r="M296" s="24">
        <v>28000000</v>
      </c>
    </row>
    <row r="297" spans="1:13" s="48" customFormat="1" outlineLevel="2">
      <c r="A297" s="39" t="s">
        <v>142</v>
      </c>
      <c r="B297" s="40" t="s">
        <v>101</v>
      </c>
      <c r="C297" s="41" t="s">
        <v>143</v>
      </c>
      <c r="D297" s="40" t="s">
        <v>144</v>
      </c>
      <c r="E297" s="24">
        <v>2700000</v>
      </c>
      <c r="F297" s="39">
        <v>44056</v>
      </c>
      <c r="G297" s="24">
        <v>2700000</v>
      </c>
      <c r="H297" s="23">
        <v>5.0000000000000001E-3</v>
      </c>
      <c r="I297" s="39">
        <v>44256</v>
      </c>
      <c r="J297" s="39">
        <v>44286</v>
      </c>
      <c r="K297" s="24">
        <f t="shared" si="18"/>
        <v>31</v>
      </c>
      <c r="L297" s="24">
        <f t="shared" si="19"/>
        <v>1147</v>
      </c>
      <c r="M297" s="24">
        <v>2700000</v>
      </c>
    </row>
    <row r="298" spans="1:13" s="48" customFormat="1" outlineLevel="2">
      <c r="A298" s="39" t="s">
        <v>142</v>
      </c>
      <c r="B298" s="40" t="s">
        <v>102</v>
      </c>
      <c r="C298" s="41" t="s">
        <v>143</v>
      </c>
      <c r="D298" s="40" t="s">
        <v>144</v>
      </c>
      <c r="E298" s="24">
        <v>29500000</v>
      </c>
      <c r="F298" s="39">
        <v>44074</v>
      </c>
      <c r="G298" s="24">
        <v>29500000</v>
      </c>
      <c r="H298" s="23">
        <v>5.0000000000000001E-3</v>
      </c>
      <c r="I298" s="39">
        <v>44256</v>
      </c>
      <c r="J298" s="39">
        <v>44286</v>
      </c>
      <c r="K298" s="24">
        <f t="shared" si="18"/>
        <v>31</v>
      </c>
      <c r="L298" s="24">
        <f t="shared" si="19"/>
        <v>12527</v>
      </c>
      <c r="M298" s="24">
        <v>29500000</v>
      </c>
    </row>
    <row r="299" spans="1:13" s="48" customFormat="1" outlineLevel="2">
      <c r="A299" s="39" t="s">
        <v>142</v>
      </c>
      <c r="B299" s="40" t="s">
        <v>103</v>
      </c>
      <c r="C299" s="41" t="s">
        <v>79</v>
      </c>
      <c r="D299" s="40" t="s">
        <v>80</v>
      </c>
      <c r="E299" s="24">
        <v>120000000</v>
      </c>
      <c r="F299" s="39">
        <v>44046</v>
      </c>
      <c r="G299" s="24">
        <v>120000000</v>
      </c>
      <c r="H299" s="23">
        <v>5.0000000000000001E-3</v>
      </c>
      <c r="I299" s="39">
        <v>44256</v>
      </c>
      <c r="J299" s="39">
        <v>44286</v>
      </c>
      <c r="K299" s="24">
        <f t="shared" ref="K299:K330" si="20">J299-I299+1</f>
        <v>31</v>
      </c>
      <c r="L299" s="24">
        <f t="shared" ref="L299:L330" si="21">ROUND(G299*H299*K299/365,0)</f>
        <v>50959</v>
      </c>
      <c r="M299" s="24">
        <v>120000000</v>
      </c>
    </row>
    <row r="300" spans="1:13" s="48" customFormat="1" outlineLevel="2">
      <c r="A300" s="39" t="s">
        <v>142</v>
      </c>
      <c r="B300" s="40" t="s">
        <v>104</v>
      </c>
      <c r="C300" s="41" t="s">
        <v>149</v>
      </c>
      <c r="D300" s="40" t="s">
        <v>150</v>
      </c>
      <c r="E300" s="24">
        <v>8736000</v>
      </c>
      <c r="F300" s="39">
        <v>44047</v>
      </c>
      <c r="G300" s="24">
        <v>8736000</v>
      </c>
      <c r="H300" s="23">
        <v>5.0000000000000001E-3</v>
      </c>
      <c r="I300" s="39">
        <v>44256</v>
      </c>
      <c r="J300" s="39">
        <v>44286</v>
      </c>
      <c r="K300" s="24">
        <f t="shared" si="20"/>
        <v>31</v>
      </c>
      <c r="L300" s="24">
        <f t="shared" si="21"/>
        <v>3710</v>
      </c>
      <c r="M300" s="24">
        <v>8736000</v>
      </c>
    </row>
    <row r="301" spans="1:13" s="48" customFormat="1" outlineLevel="2">
      <c r="A301" s="39" t="s">
        <v>142</v>
      </c>
      <c r="B301" s="40" t="s">
        <v>105</v>
      </c>
      <c r="C301" s="41" t="s">
        <v>149</v>
      </c>
      <c r="D301" s="40" t="s">
        <v>150</v>
      </c>
      <c r="E301" s="24">
        <v>8988000</v>
      </c>
      <c r="F301" s="39">
        <v>44067</v>
      </c>
      <c r="G301" s="24">
        <v>8988000</v>
      </c>
      <c r="H301" s="23">
        <v>5.0000000000000001E-3</v>
      </c>
      <c r="I301" s="39">
        <v>44256</v>
      </c>
      <c r="J301" s="39">
        <v>44286</v>
      </c>
      <c r="K301" s="24">
        <f t="shared" si="20"/>
        <v>31</v>
      </c>
      <c r="L301" s="24">
        <f t="shared" si="21"/>
        <v>3817</v>
      </c>
      <c r="M301" s="24">
        <v>8988000</v>
      </c>
    </row>
    <row r="302" spans="1:13" s="48" customFormat="1" outlineLevel="2">
      <c r="A302" s="39" t="s">
        <v>142</v>
      </c>
      <c r="B302" s="40" t="s">
        <v>106</v>
      </c>
      <c r="C302" s="41" t="s">
        <v>149</v>
      </c>
      <c r="D302" s="40" t="s">
        <v>150</v>
      </c>
      <c r="E302" s="24">
        <v>34608000</v>
      </c>
      <c r="F302" s="39">
        <v>44070</v>
      </c>
      <c r="G302" s="24">
        <v>34608000</v>
      </c>
      <c r="H302" s="23">
        <v>5.0000000000000001E-3</v>
      </c>
      <c r="I302" s="39">
        <v>44256</v>
      </c>
      <c r="J302" s="39">
        <v>44286</v>
      </c>
      <c r="K302" s="24">
        <f t="shared" si="20"/>
        <v>31</v>
      </c>
      <c r="L302" s="24">
        <f t="shared" si="21"/>
        <v>14697</v>
      </c>
      <c r="M302" s="24">
        <v>34608000</v>
      </c>
    </row>
    <row r="303" spans="1:13" s="48" customFormat="1" outlineLevel="2">
      <c r="A303" s="39" t="s">
        <v>142</v>
      </c>
      <c r="B303" s="40" t="s">
        <v>59</v>
      </c>
      <c r="C303" s="41" t="s">
        <v>143</v>
      </c>
      <c r="D303" s="40" t="s">
        <v>144</v>
      </c>
      <c r="E303" s="24">
        <v>38000000</v>
      </c>
      <c r="F303" s="39">
        <v>43850</v>
      </c>
      <c r="G303" s="24">
        <v>38000000</v>
      </c>
      <c r="H303" s="23">
        <v>5.0000000000000001E-3</v>
      </c>
      <c r="I303" s="39">
        <v>44256</v>
      </c>
      <c r="J303" s="39">
        <v>44286</v>
      </c>
      <c r="K303" s="24">
        <f t="shared" si="20"/>
        <v>31</v>
      </c>
      <c r="L303" s="24">
        <f t="shared" si="21"/>
        <v>16137</v>
      </c>
      <c r="M303" s="24">
        <v>38000000</v>
      </c>
    </row>
    <row r="304" spans="1:13" s="48" customFormat="1" outlineLevel="2">
      <c r="A304" s="39" t="s">
        <v>142</v>
      </c>
      <c r="B304" s="40" t="s">
        <v>136</v>
      </c>
      <c r="C304" s="41" t="s">
        <v>146</v>
      </c>
      <c r="D304" s="40" t="s">
        <v>147</v>
      </c>
      <c r="E304" s="24">
        <v>13000000</v>
      </c>
      <c r="F304" s="39">
        <v>44047</v>
      </c>
      <c r="G304" s="24">
        <v>13000000</v>
      </c>
      <c r="H304" s="23">
        <v>5.0000000000000001E-3</v>
      </c>
      <c r="I304" s="39">
        <v>44256</v>
      </c>
      <c r="J304" s="39">
        <v>44286</v>
      </c>
      <c r="K304" s="24">
        <f t="shared" si="20"/>
        <v>31</v>
      </c>
      <c r="L304" s="24">
        <f t="shared" si="21"/>
        <v>5521</v>
      </c>
      <c r="M304" s="24">
        <v>13000000</v>
      </c>
    </row>
    <row r="305" spans="1:13" s="48" customFormat="1" outlineLevel="2">
      <c r="A305" s="39" t="s">
        <v>142</v>
      </c>
      <c r="B305" s="40" t="s">
        <v>137</v>
      </c>
      <c r="C305" s="41" t="s">
        <v>146</v>
      </c>
      <c r="D305" s="40" t="s">
        <v>147</v>
      </c>
      <c r="E305" s="24">
        <v>5000000</v>
      </c>
      <c r="F305" s="39">
        <v>44053</v>
      </c>
      <c r="G305" s="24">
        <v>5000000</v>
      </c>
      <c r="H305" s="23">
        <v>5.0000000000000001E-3</v>
      </c>
      <c r="I305" s="39">
        <v>44256</v>
      </c>
      <c r="J305" s="39">
        <v>44286</v>
      </c>
      <c r="K305" s="24">
        <f t="shared" si="20"/>
        <v>31</v>
      </c>
      <c r="L305" s="24">
        <f t="shared" si="21"/>
        <v>2123</v>
      </c>
      <c r="M305" s="24">
        <v>5000000</v>
      </c>
    </row>
    <row r="306" spans="1:13" s="48" customFormat="1" outlineLevel="2">
      <c r="A306" s="39" t="s">
        <v>142</v>
      </c>
      <c r="B306" s="40" t="s">
        <v>138</v>
      </c>
      <c r="C306" s="41" t="s">
        <v>163</v>
      </c>
      <c r="D306" s="40" t="s">
        <v>164</v>
      </c>
      <c r="E306" s="24">
        <v>5300000</v>
      </c>
      <c r="F306" s="39">
        <v>44050</v>
      </c>
      <c r="G306" s="24">
        <v>5030510</v>
      </c>
      <c r="H306" s="23">
        <v>5.0000000000000001E-3</v>
      </c>
      <c r="I306" s="39">
        <v>44256</v>
      </c>
      <c r="J306" s="39">
        <v>44269</v>
      </c>
      <c r="K306" s="24">
        <f t="shared" si="20"/>
        <v>14</v>
      </c>
      <c r="L306" s="24">
        <f t="shared" si="21"/>
        <v>965</v>
      </c>
      <c r="M306" s="24">
        <v>4985595</v>
      </c>
    </row>
    <row r="307" spans="1:13" s="48" customFormat="1" outlineLevel="2">
      <c r="A307" s="39" t="s">
        <v>142</v>
      </c>
      <c r="B307" s="40" t="s">
        <v>138</v>
      </c>
      <c r="C307" s="41" t="s">
        <v>163</v>
      </c>
      <c r="D307" s="40"/>
      <c r="E307" s="24"/>
      <c r="F307" s="39"/>
      <c r="G307" s="24">
        <v>4985595</v>
      </c>
      <c r="H307" s="23">
        <v>5.0000000000000001E-3</v>
      </c>
      <c r="I307" s="39">
        <v>44270</v>
      </c>
      <c r="J307" s="39">
        <v>44286</v>
      </c>
      <c r="K307" s="24">
        <f t="shared" si="20"/>
        <v>17</v>
      </c>
      <c r="L307" s="24">
        <f t="shared" si="21"/>
        <v>1161</v>
      </c>
      <c r="M307" s="24"/>
    </row>
    <row r="308" spans="1:13" s="48" customFormat="1" outlineLevel="2">
      <c r="A308" s="39" t="s">
        <v>142</v>
      </c>
      <c r="B308" s="40" t="s">
        <v>139</v>
      </c>
      <c r="C308" s="41" t="s">
        <v>117</v>
      </c>
      <c r="D308" s="40" t="s">
        <v>118</v>
      </c>
      <c r="E308" s="24">
        <v>40000000</v>
      </c>
      <c r="F308" s="39">
        <v>44060</v>
      </c>
      <c r="G308" s="24">
        <v>40000000</v>
      </c>
      <c r="H308" s="23">
        <v>5.0000000000000001E-3</v>
      </c>
      <c r="I308" s="39">
        <v>44256</v>
      </c>
      <c r="J308" s="39">
        <v>44286</v>
      </c>
      <c r="K308" s="24">
        <f t="shared" si="20"/>
        <v>31</v>
      </c>
      <c r="L308" s="24">
        <f t="shared" si="21"/>
        <v>16986</v>
      </c>
      <c r="M308" s="24">
        <v>40000000</v>
      </c>
    </row>
    <row r="309" spans="1:13" s="48" customFormat="1" outlineLevel="2">
      <c r="A309" s="39" t="s">
        <v>142</v>
      </c>
      <c r="B309" s="40" t="s">
        <v>140</v>
      </c>
      <c r="C309" s="41" t="s">
        <v>45</v>
      </c>
      <c r="D309" s="40" t="s">
        <v>46</v>
      </c>
      <c r="E309" s="24">
        <v>10000000</v>
      </c>
      <c r="F309" s="39">
        <v>44067</v>
      </c>
      <c r="G309" s="24">
        <v>10000000</v>
      </c>
      <c r="H309" s="23">
        <v>5.0000000000000001E-3</v>
      </c>
      <c r="I309" s="39">
        <v>44256</v>
      </c>
      <c r="J309" s="39">
        <v>44286</v>
      </c>
      <c r="K309" s="24">
        <f t="shared" si="20"/>
        <v>31</v>
      </c>
      <c r="L309" s="24">
        <f t="shared" si="21"/>
        <v>4247</v>
      </c>
      <c r="M309" s="24">
        <v>10000000</v>
      </c>
    </row>
    <row r="310" spans="1:13" s="48" customFormat="1" outlineLevel="2">
      <c r="A310" s="39" t="s">
        <v>142</v>
      </c>
      <c r="B310" s="40" t="s">
        <v>169</v>
      </c>
      <c r="C310" s="41" t="s">
        <v>79</v>
      </c>
      <c r="D310" s="40" t="s">
        <v>80</v>
      </c>
      <c r="E310" s="24">
        <v>125000000</v>
      </c>
      <c r="F310" s="39">
        <v>44075</v>
      </c>
      <c r="G310" s="24">
        <v>125000000</v>
      </c>
      <c r="H310" s="23">
        <v>5.0000000000000001E-3</v>
      </c>
      <c r="I310" s="39">
        <v>44256</v>
      </c>
      <c r="J310" s="39">
        <v>44286</v>
      </c>
      <c r="K310" s="24">
        <f t="shared" si="20"/>
        <v>31</v>
      </c>
      <c r="L310" s="24">
        <f t="shared" si="21"/>
        <v>53082</v>
      </c>
      <c r="M310" s="24">
        <v>125000000</v>
      </c>
    </row>
    <row r="311" spans="1:13" s="48" customFormat="1" outlineLevel="2">
      <c r="A311" s="39" t="s">
        <v>142</v>
      </c>
      <c r="B311" s="40" t="s">
        <v>170</v>
      </c>
      <c r="C311" s="41" t="s">
        <v>79</v>
      </c>
      <c r="D311" s="40" t="s">
        <v>80</v>
      </c>
      <c r="E311" s="24">
        <v>105000000</v>
      </c>
      <c r="F311" s="39">
        <v>44104</v>
      </c>
      <c r="G311" s="24">
        <v>105000000</v>
      </c>
      <c r="H311" s="23">
        <v>5.0000000000000001E-3</v>
      </c>
      <c r="I311" s="39">
        <v>44256</v>
      </c>
      <c r="J311" s="39">
        <v>44286</v>
      </c>
      <c r="K311" s="24">
        <f t="shared" si="20"/>
        <v>31</v>
      </c>
      <c r="L311" s="24">
        <f t="shared" si="21"/>
        <v>44589</v>
      </c>
      <c r="M311" s="24">
        <v>105000000</v>
      </c>
    </row>
    <row r="312" spans="1:13" s="48" customFormat="1" outlineLevel="2">
      <c r="A312" s="39" t="s">
        <v>142</v>
      </c>
      <c r="B312" s="40" t="s">
        <v>171</v>
      </c>
      <c r="C312" s="41" t="s">
        <v>146</v>
      </c>
      <c r="D312" s="40" t="s">
        <v>147</v>
      </c>
      <c r="E312" s="24">
        <v>13000000</v>
      </c>
      <c r="F312" s="39">
        <v>44077</v>
      </c>
      <c r="G312" s="24">
        <v>13000000</v>
      </c>
      <c r="H312" s="23">
        <v>5.0000000000000001E-3</v>
      </c>
      <c r="I312" s="39">
        <v>44256</v>
      </c>
      <c r="J312" s="39">
        <v>44286</v>
      </c>
      <c r="K312" s="24">
        <f t="shared" si="20"/>
        <v>31</v>
      </c>
      <c r="L312" s="24">
        <f t="shared" si="21"/>
        <v>5521</v>
      </c>
      <c r="M312" s="24">
        <v>13000000</v>
      </c>
    </row>
    <row r="313" spans="1:13" s="48" customFormat="1" outlineLevel="2">
      <c r="A313" s="39" t="s">
        <v>142</v>
      </c>
      <c r="B313" s="40" t="s">
        <v>172</v>
      </c>
      <c r="C313" s="41" t="s">
        <v>146</v>
      </c>
      <c r="D313" s="40" t="s">
        <v>147</v>
      </c>
      <c r="E313" s="24">
        <v>5800000</v>
      </c>
      <c r="F313" s="39">
        <v>44083</v>
      </c>
      <c r="G313" s="24">
        <v>5800000</v>
      </c>
      <c r="H313" s="23">
        <v>5.0000000000000001E-3</v>
      </c>
      <c r="I313" s="39">
        <v>44256</v>
      </c>
      <c r="J313" s="39">
        <v>44286</v>
      </c>
      <c r="K313" s="24">
        <f t="shared" si="20"/>
        <v>31</v>
      </c>
      <c r="L313" s="24">
        <f t="shared" si="21"/>
        <v>2463</v>
      </c>
      <c r="M313" s="24">
        <v>5800000</v>
      </c>
    </row>
    <row r="314" spans="1:13" s="48" customFormat="1" outlineLevel="2">
      <c r="A314" s="39" t="s">
        <v>142</v>
      </c>
      <c r="B314" s="40" t="s">
        <v>173</v>
      </c>
      <c r="C314" s="41" t="s">
        <v>149</v>
      </c>
      <c r="D314" s="40" t="s">
        <v>150</v>
      </c>
      <c r="E314" s="24">
        <v>4989600</v>
      </c>
      <c r="F314" s="39">
        <v>44088</v>
      </c>
      <c r="G314" s="24">
        <v>4989600</v>
      </c>
      <c r="H314" s="23">
        <v>5.0000000000000001E-3</v>
      </c>
      <c r="I314" s="39">
        <v>44256</v>
      </c>
      <c r="J314" s="39">
        <v>44286</v>
      </c>
      <c r="K314" s="24">
        <f t="shared" si="20"/>
        <v>31</v>
      </c>
      <c r="L314" s="24">
        <f t="shared" si="21"/>
        <v>2119</v>
      </c>
      <c r="M314" s="24">
        <v>4989600</v>
      </c>
    </row>
    <row r="315" spans="1:13" s="48" customFormat="1" outlineLevel="2">
      <c r="A315" s="39" t="s">
        <v>142</v>
      </c>
      <c r="B315" s="40" t="s">
        <v>62</v>
      </c>
      <c r="C315" s="41" t="s">
        <v>143</v>
      </c>
      <c r="D315" s="40" t="s">
        <v>144</v>
      </c>
      <c r="E315" s="24">
        <v>10000000</v>
      </c>
      <c r="F315" s="39">
        <v>43850</v>
      </c>
      <c r="G315" s="24">
        <v>10000000</v>
      </c>
      <c r="H315" s="23">
        <v>5.0000000000000001E-3</v>
      </c>
      <c r="I315" s="39">
        <v>44256</v>
      </c>
      <c r="J315" s="39">
        <v>44286</v>
      </c>
      <c r="K315" s="24">
        <f t="shared" si="20"/>
        <v>31</v>
      </c>
      <c r="L315" s="24">
        <f t="shared" si="21"/>
        <v>4247</v>
      </c>
      <c r="M315" s="24">
        <v>10000000</v>
      </c>
    </row>
    <row r="316" spans="1:13" s="48" customFormat="1" outlineLevel="2">
      <c r="A316" s="39" t="s">
        <v>142</v>
      </c>
      <c r="B316" s="40" t="s">
        <v>174</v>
      </c>
      <c r="C316" s="41" t="s">
        <v>66</v>
      </c>
      <c r="D316" s="40" t="s">
        <v>67</v>
      </c>
      <c r="E316" s="24">
        <v>96000000</v>
      </c>
      <c r="F316" s="39">
        <v>44089</v>
      </c>
      <c r="G316" s="24">
        <v>96000000</v>
      </c>
      <c r="H316" s="23">
        <v>5.0000000000000001E-3</v>
      </c>
      <c r="I316" s="39">
        <v>44256</v>
      </c>
      <c r="J316" s="39">
        <v>44286</v>
      </c>
      <c r="K316" s="24">
        <f t="shared" si="20"/>
        <v>31</v>
      </c>
      <c r="L316" s="24">
        <f t="shared" si="21"/>
        <v>40767</v>
      </c>
      <c r="M316" s="24">
        <v>96000000</v>
      </c>
    </row>
    <row r="317" spans="1:13" s="48" customFormat="1" outlineLevel="2">
      <c r="A317" s="39" t="s">
        <v>142</v>
      </c>
      <c r="B317" s="40" t="s">
        <v>175</v>
      </c>
      <c r="C317" s="41" t="s">
        <v>66</v>
      </c>
      <c r="D317" s="40" t="s">
        <v>67</v>
      </c>
      <c r="E317" s="24">
        <v>16000000</v>
      </c>
      <c r="F317" s="39">
        <v>44089</v>
      </c>
      <c r="G317" s="24">
        <v>16000000</v>
      </c>
      <c r="H317" s="23">
        <v>5.0000000000000001E-3</v>
      </c>
      <c r="I317" s="39">
        <v>44256</v>
      </c>
      <c r="J317" s="39">
        <v>44286</v>
      </c>
      <c r="K317" s="24">
        <f t="shared" si="20"/>
        <v>31</v>
      </c>
      <c r="L317" s="24">
        <f t="shared" si="21"/>
        <v>6795</v>
      </c>
      <c r="M317" s="24">
        <v>16000000</v>
      </c>
    </row>
    <row r="318" spans="1:13" s="48" customFormat="1" outlineLevel="2">
      <c r="A318" s="39" t="s">
        <v>142</v>
      </c>
      <c r="B318" s="40" t="s">
        <v>176</v>
      </c>
      <c r="C318" s="41" t="s">
        <v>143</v>
      </c>
      <c r="D318" s="40" t="s">
        <v>144</v>
      </c>
      <c r="E318" s="24">
        <v>21600000</v>
      </c>
      <c r="F318" s="39">
        <v>44095</v>
      </c>
      <c r="G318" s="24">
        <v>21600000</v>
      </c>
      <c r="H318" s="23">
        <v>5.0000000000000001E-3</v>
      </c>
      <c r="I318" s="39">
        <v>44256</v>
      </c>
      <c r="J318" s="39">
        <v>44286</v>
      </c>
      <c r="K318" s="24">
        <f t="shared" si="20"/>
        <v>31</v>
      </c>
      <c r="L318" s="24">
        <f t="shared" si="21"/>
        <v>9173</v>
      </c>
      <c r="M318" s="24">
        <v>21600000</v>
      </c>
    </row>
    <row r="319" spans="1:13" s="48" customFormat="1" outlineLevel="2">
      <c r="A319" s="39" t="s">
        <v>142</v>
      </c>
      <c r="B319" s="40" t="s">
        <v>177</v>
      </c>
      <c r="C319" s="41" t="s">
        <v>123</v>
      </c>
      <c r="D319" s="40" t="s">
        <v>124</v>
      </c>
      <c r="E319" s="24">
        <v>40000000</v>
      </c>
      <c r="F319" s="39">
        <v>44100</v>
      </c>
      <c r="G319" s="24">
        <v>40000000</v>
      </c>
      <c r="H319" s="23">
        <v>5.0000000000000001E-3</v>
      </c>
      <c r="I319" s="39">
        <v>44256</v>
      </c>
      <c r="J319" s="39">
        <v>44286</v>
      </c>
      <c r="K319" s="24">
        <f t="shared" si="20"/>
        <v>31</v>
      </c>
      <c r="L319" s="24">
        <f t="shared" si="21"/>
        <v>16986</v>
      </c>
      <c r="M319" s="24">
        <v>40000000</v>
      </c>
    </row>
    <row r="320" spans="1:13" s="48" customFormat="1" outlineLevel="2">
      <c r="A320" s="39" t="s">
        <v>142</v>
      </c>
      <c r="B320" s="40" t="s">
        <v>178</v>
      </c>
      <c r="C320" s="41" t="s">
        <v>125</v>
      </c>
      <c r="D320" s="40" t="s">
        <v>126</v>
      </c>
      <c r="E320" s="24">
        <v>2000000</v>
      </c>
      <c r="F320" s="39">
        <v>44103</v>
      </c>
      <c r="G320" s="24">
        <v>2000000</v>
      </c>
      <c r="H320" s="23">
        <v>5.0000000000000001E-3</v>
      </c>
      <c r="I320" s="39">
        <v>44256</v>
      </c>
      <c r="J320" s="39">
        <v>44286</v>
      </c>
      <c r="K320" s="24">
        <f t="shared" si="20"/>
        <v>31</v>
      </c>
      <c r="L320" s="24">
        <f t="shared" si="21"/>
        <v>849</v>
      </c>
      <c r="M320" s="24">
        <v>2000000</v>
      </c>
    </row>
    <row r="321" spans="1:13" s="48" customFormat="1" outlineLevel="2">
      <c r="A321" s="39" t="s">
        <v>142</v>
      </c>
      <c r="B321" s="40" t="s">
        <v>179</v>
      </c>
      <c r="C321" s="41" t="s">
        <v>146</v>
      </c>
      <c r="D321" s="40" t="s">
        <v>147</v>
      </c>
      <c r="E321" s="24">
        <v>13200000</v>
      </c>
      <c r="F321" s="39">
        <v>44109</v>
      </c>
      <c r="G321" s="24">
        <v>13200000</v>
      </c>
      <c r="H321" s="23">
        <v>5.0000000000000001E-3</v>
      </c>
      <c r="I321" s="39">
        <v>44256</v>
      </c>
      <c r="J321" s="39">
        <v>44286</v>
      </c>
      <c r="K321" s="24">
        <f t="shared" si="20"/>
        <v>31</v>
      </c>
      <c r="L321" s="24">
        <f t="shared" si="21"/>
        <v>5605</v>
      </c>
      <c r="M321" s="24">
        <v>13200000</v>
      </c>
    </row>
    <row r="322" spans="1:13" s="48" customFormat="1" outlineLevel="2">
      <c r="A322" s="39" t="s">
        <v>142</v>
      </c>
      <c r="B322" s="40" t="s">
        <v>180</v>
      </c>
      <c r="C322" s="41" t="s">
        <v>146</v>
      </c>
      <c r="D322" s="40" t="s">
        <v>147</v>
      </c>
      <c r="E322" s="24">
        <v>3000000</v>
      </c>
      <c r="F322" s="39">
        <v>44116</v>
      </c>
      <c r="G322" s="24">
        <v>3000000</v>
      </c>
      <c r="H322" s="23">
        <v>5.0000000000000001E-3</v>
      </c>
      <c r="I322" s="39">
        <v>44256</v>
      </c>
      <c r="J322" s="39">
        <v>44286</v>
      </c>
      <c r="K322" s="24">
        <f t="shared" si="20"/>
        <v>31</v>
      </c>
      <c r="L322" s="24">
        <f t="shared" si="21"/>
        <v>1274</v>
      </c>
      <c r="M322" s="24">
        <v>3000000</v>
      </c>
    </row>
    <row r="323" spans="1:13" s="48" customFormat="1" outlineLevel="2">
      <c r="A323" s="39" t="s">
        <v>142</v>
      </c>
      <c r="B323" s="40" t="s">
        <v>181</v>
      </c>
      <c r="C323" s="41" t="s">
        <v>149</v>
      </c>
      <c r="D323" s="40" t="s">
        <v>150</v>
      </c>
      <c r="E323" s="24">
        <v>8736000</v>
      </c>
      <c r="F323" s="39">
        <v>44109</v>
      </c>
      <c r="G323" s="24">
        <v>8736000</v>
      </c>
      <c r="H323" s="23">
        <v>5.0000000000000001E-3</v>
      </c>
      <c r="I323" s="39">
        <v>44256</v>
      </c>
      <c r="J323" s="39">
        <v>44286</v>
      </c>
      <c r="K323" s="24">
        <f t="shared" si="20"/>
        <v>31</v>
      </c>
      <c r="L323" s="24">
        <f t="shared" si="21"/>
        <v>3710</v>
      </c>
      <c r="M323" s="24">
        <v>8736000</v>
      </c>
    </row>
    <row r="324" spans="1:13" s="48" customFormat="1" outlineLevel="2">
      <c r="A324" s="39" t="s">
        <v>142</v>
      </c>
      <c r="B324" s="40" t="s">
        <v>182</v>
      </c>
      <c r="C324" s="41" t="s">
        <v>149</v>
      </c>
      <c r="D324" s="40" t="s">
        <v>150</v>
      </c>
      <c r="E324" s="24">
        <v>4273920</v>
      </c>
      <c r="F324" s="39">
        <v>44111</v>
      </c>
      <c r="G324" s="24">
        <v>4273920</v>
      </c>
      <c r="H324" s="23">
        <v>5.0000000000000001E-3</v>
      </c>
      <c r="I324" s="39">
        <v>44256</v>
      </c>
      <c r="J324" s="39">
        <v>44286</v>
      </c>
      <c r="K324" s="24">
        <f t="shared" si="20"/>
        <v>31</v>
      </c>
      <c r="L324" s="24">
        <f t="shared" si="21"/>
        <v>1815</v>
      </c>
      <c r="M324" s="24">
        <v>4273920</v>
      </c>
    </row>
    <row r="325" spans="1:13" s="48" customFormat="1" outlineLevel="2">
      <c r="A325" s="39" t="s">
        <v>142</v>
      </c>
      <c r="B325" s="40" t="s">
        <v>183</v>
      </c>
      <c r="C325" s="41" t="s">
        <v>149</v>
      </c>
      <c r="D325" s="40" t="s">
        <v>150</v>
      </c>
      <c r="E325" s="24">
        <v>4368000</v>
      </c>
      <c r="F325" s="39">
        <v>44132</v>
      </c>
      <c r="G325" s="24">
        <v>4368000</v>
      </c>
      <c r="H325" s="23">
        <v>5.0000000000000001E-3</v>
      </c>
      <c r="I325" s="39">
        <v>44256</v>
      </c>
      <c r="J325" s="39">
        <v>44286</v>
      </c>
      <c r="K325" s="24">
        <f t="shared" si="20"/>
        <v>31</v>
      </c>
      <c r="L325" s="24">
        <f t="shared" si="21"/>
        <v>1855</v>
      </c>
      <c r="M325" s="24">
        <v>4368000</v>
      </c>
    </row>
    <row r="326" spans="1:13" s="48" customFormat="1" outlineLevel="2">
      <c r="A326" s="39" t="s">
        <v>142</v>
      </c>
      <c r="B326" s="40" t="s">
        <v>63</v>
      </c>
      <c r="C326" s="41" t="s">
        <v>149</v>
      </c>
      <c r="D326" s="40" t="s">
        <v>150</v>
      </c>
      <c r="E326" s="24">
        <v>96176976</v>
      </c>
      <c r="F326" s="39">
        <v>43861</v>
      </c>
      <c r="G326" s="24">
        <v>96176976</v>
      </c>
      <c r="H326" s="23">
        <v>5.0000000000000001E-3</v>
      </c>
      <c r="I326" s="39">
        <v>44256</v>
      </c>
      <c r="J326" s="39">
        <v>44286</v>
      </c>
      <c r="K326" s="24">
        <f t="shared" si="20"/>
        <v>31</v>
      </c>
      <c r="L326" s="24">
        <f t="shared" si="21"/>
        <v>40842</v>
      </c>
      <c r="M326" s="24">
        <v>96176976</v>
      </c>
    </row>
    <row r="327" spans="1:13" s="48" customFormat="1" outlineLevel="2">
      <c r="A327" s="39" t="s">
        <v>142</v>
      </c>
      <c r="B327" s="40" t="s">
        <v>184</v>
      </c>
      <c r="C327" s="41" t="s">
        <v>149</v>
      </c>
      <c r="D327" s="40" t="s">
        <v>150</v>
      </c>
      <c r="E327" s="24">
        <v>8064000</v>
      </c>
      <c r="F327" s="39">
        <v>44133</v>
      </c>
      <c r="G327" s="24">
        <v>8064000</v>
      </c>
      <c r="H327" s="23">
        <v>5.0000000000000001E-3</v>
      </c>
      <c r="I327" s="39">
        <v>44256</v>
      </c>
      <c r="J327" s="39">
        <v>44286</v>
      </c>
      <c r="K327" s="24">
        <f t="shared" si="20"/>
        <v>31</v>
      </c>
      <c r="L327" s="24">
        <f t="shared" si="21"/>
        <v>3424</v>
      </c>
      <c r="M327" s="24">
        <v>8064000</v>
      </c>
    </row>
    <row r="328" spans="1:13" s="48" customFormat="1" outlineLevel="2">
      <c r="A328" s="39" t="s">
        <v>142</v>
      </c>
      <c r="B328" s="40" t="s">
        <v>185</v>
      </c>
      <c r="C328" s="41" t="s">
        <v>149</v>
      </c>
      <c r="D328" s="40" t="s">
        <v>150</v>
      </c>
      <c r="E328" s="24">
        <v>113400</v>
      </c>
      <c r="F328" s="39">
        <v>44133</v>
      </c>
      <c r="G328" s="24">
        <v>113400</v>
      </c>
      <c r="H328" s="23">
        <v>5.0000000000000001E-3</v>
      </c>
      <c r="I328" s="39">
        <v>44256</v>
      </c>
      <c r="J328" s="39">
        <v>44286</v>
      </c>
      <c r="K328" s="24">
        <f t="shared" si="20"/>
        <v>31</v>
      </c>
      <c r="L328" s="24">
        <f t="shared" si="21"/>
        <v>48</v>
      </c>
      <c r="M328" s="24">
        <v>113400</v>
      </c>
    </row>
    <row r="329" spans="1:13" s="48" customFormat="1" outlineLevel="2">
      <c r="A329" s="39" t="s">
        <v>142</v>
      </c>
      <c r="B329" s="40" t="s">
        <v>186</v>
      </c>
      <c r="C329" s="41" t="s">
        <v>187</v>
      </c>
      <c r="D329" s="40" t="s">
        <v>188</v>
      </c>
      <c r="E329" s="24">
        <v>93700000</v>
      </c>
      <c r="F329" s="39">
        <v>44109</v>
      </c>
      <c r="G329" s="24">
        <v>93700000</v>
      </c>
      <c r="H329" s="23">
        <v>5.0000000000000001E-3</v>
      </c>
      <c r="I329" s="39">
        <v>44256</v>
      </c>
      <c r="J329" s="39">
        <v>44286</v>
      </c>
      <c r="K329" s="24">
        <f t="shared" si="20"/>
        <v>31</v>
      </c>
      <c r="L329" s="24">
        <f t="shared" si="21"/>
        <v>39790</v>
      </c>
      <c r="M329" s="24">
        <v>93700000</v>
      </c>
    </row>
    <row r="330" spans="1:13" s="48" customFormat="1" outlineLevel="2">
      <c r="A330" s="39" t="s">
        <v>142</v>
      </c>
      <c r="B330" s="40" t="s">
        <v>189</v>
      </c>
      <c r="C330" s="41" t="s">
        <v>187</v>
      </c>
      <c r="D330" s="40" t="s">
        <v>188</v>
      </c>
      <c r="E330" s="24">
        <v>21400000</v>
      </c>
      <c r="F330" s="39">
        <v>44109</v>
      </c>
      <c r="G330" s="24">
        <v>21400000</v>
      </c>
      <c r="H330" s="23">
        <v>5.0000000000000001E-3</v>
      </c>
      <c r="I330" s="39">
        <v>44256</v>
      </c>
      <c r="J330" s="39">
        <v>44286</v>
      </c>
      <c r="K330" s="24">
        <f t="shared" si="20"/>
        <v>31</v>
      </c>
      <c r="L330" s="24">
        <f t="shared" si="21"/>
        <v>9088</v>
      </c>
      <c r="M330" s="24">
        <v>21400000</v>
      </c>
    </row>
    <row r="331" spans="1:13" s="48" customFormat="1" outlineLevel="2">
      <c r="A331" s="39" t="s">
        <v>142</v>
      </c>
      <c r="B331" s="40" t="s">
        <v>190</v>
      </c>
      <c r="C331" s="41" t="s">
        <v>143</v>
      </c>
      <c r="D331" s="40" t="s">
        <v>144</v>
      </c>
      <c r="E331" s="24">
        <v>7150000</v>
      </c>
      <c r="F331" s="39">
        <v>44119</v>
      </c>
      <c r="G331" s="24">
        <v>7150000</v>
      </c>
      <c r="H331" s="23">
        <v>5.0000000000000001E-3</v>
      </c>
      <c r="I331" s="39">
        <v>44256</v>
      </c>
      <c r="J331" s="39">
        <v>44286</v>
      </c>
      <c r="K331" s="24">
        <f t="shared" ref="K331:K362" si="22">J331-I331+1</f>
        <v>31</v>
      </c>
      <c r="L331" s="24">
        <f t="shared" ref="L331:L362" si="23">ROUND(G331*H331*K331/365,0)</f>
        <v>3036</v>
      </c>
      <c r="M331" s="24">
        <v>7150000</v>
      </c>
    </row>
    <row r="332" spans="1:13" s="48" customFormat="1" outlineLevel="2">
      <c r="A332" s="39" t="s">
        <v>142</v>
      </c>
      <c r="B332" s="40" t="s">
        <v>191</v>
      </c>
      <c r="C332" s="41" t="s">
        <v>143</v>
      </c>
      <c r="D332" s="40" t="s">
        <v>144</v>
      </c>
      <c r="E332" s="24">
        <v>14400000</v>
      </c>
      <c r="F332" s="39">
        <v>44124</v>
      </c>
      <c r="G332" s="24">
        <v>14400000</v>
      </c>
      <c r="H332" s="23">
        <v>5.0000000000000001E-3</v>
      </c>
      <c r="I332" s="39">
        <v>44256</v>
      </c>
      <c r="J332" s="39">
        <v>44286</v>
      </c>
      <c r="K332" s="24">
        <f t="shared" si="22"/>
        <v>31</v>
      </c>
      <c r="L332" s="24">
        <f t="shared" si="23"/>
        <v>6115</v>
      </c>
      <c r="M332" s="24">
        <v>14400000</v>
      </c>
    </row>
    <row r="333" spans="1:13" s="48" customFormat="1" outlineLevel="2">
      <c r="A333" s="39" t="s">
        <v>142</v>
      </c>
      <c r="B333" s="40" t="s">
        <v>192</v>
      </c>
      <c r="C333" s="41" t="s">
        <v>125</v>
      </c>
      <c r="D333" s="40" t="s">
        <v>126</v>
      </c>
      <c r="E333" s="24">
        <v>24000000</v>
      </c>
      <c r="F333" s="39">
        <v>44120</v>
      </c>
      <c r="G333" s="24">
        <v>24000000</v>
      </c>
      <c r="H333" s="23">
        <v>5.0000000000000001E-3</v>
      </c>
      <c r="I333" s="39">
        <v>44256</v>
      </c>
      <c r="J333" s="39">
        <v>44286</v>
      </c>
      <c r="K333" s="24">
        <f t="shared" si="22"/>
        <v>31</v>
      </c>
      <c r="L333" s="24">
        <f t="shared" si="23"/>
        <v>10192</v>
      </c>
      <c r="M333" s="24">
        <v>24000000</v>
      </c>
    </row>
    <row r="334" spans="1:13" s="48" customFormat="1" outlineLevel="2">
      <c r="A334" s="39" t="s">
        <v>142</v>
      </c>
      <c r="B334" s="40" t="s">
        <v>193</v>
      </c>
      <c r="C334" s="41" t="s">
        <v>125</v>
      </c>
      <c r="D334" s="40" t="s">
        <v>126</v>
      </c>
      <c r="E334" s="24">
        <v>24000000</v>
      </c>
      <c r="F334" s="39">
        <v>44127</v>
      </c>
      <c r="G334" s="24">
        <v>24000000</v>
      </c>
      <c r="H334" s="23">
        <v>5.0000000000000001E-3</v>
      </c>
      <c r="I334" s="39">
        <v>44256</v>
      </c>
      <c r="J334" s="39">
        <v>44286</v>
      </c>
      <c r="K334" s="24">
        <f t="shared" si="22"/>
        <v>31</v>
      </c>
      <c r="L334" s="24">
        <f t="shared" si="23"/>
        <v>10192</v>
      </c>
      <c r="M334" s="24">
        <v>24000000</v>
      </c>
    </row>
    <row r="335" spans="1:13" s="48" customFormat="1" outlineLevel="2">
      <c r="A335" s="39" t="s">
        <v>142</v>
      </c>
      <c r="B335" s="40" t="s">
        <v>194</v>
      </c>
      <c r="C335" s="41" t="s">
        <v>123</v>
      </c>
      <c r="D335" s="40" t="s">
        <v>124</v>
      </c>
      <c r="E335" s="24">
        <v>5000000</v>
      </c>
      <c r="F335" s="39">
        <v>44134</v>
      </c>
      <c r="G335" s="24">
        <v>5000000</v>
      </c>
      <c r="H335" s="23">
        <v>5.0000000000000001E-3</v>
      </c>
      <c r="I335" s="39">
        <v>44256</v>
      </c>
      <c r="J335" s="39">
        <v>44286</v>
      </c>
      <c r="K335" s="24">
        <f t="shared" si="22"/>
        <v>31</v>
      </c>
      <c r="L335" s="24">
        <f t="shared" si="23"/>
        <v>2123</v>
      </c>
      <c r="M335" s="24">
        <v>5000000</v>
      </c>
    </row>
    <row r="336" spans="1:13" s="48" customFormat="1" outlineLevel="2">
      <c r="A336" s="39" t="s">
        <v>142</v>
      </c>
      <c r="B336" s="40" t="s">
        <v>195</v>
      </c>
      <c r="C336" s="41" t="s">
        <v>146</v>
      </c>
      <c r="D336" s="40" t="s">
        <v>147</v>
      </c>
      <c r="E336" s="24">
        <v>16000000</v>
      </c>
      <c r="F336" s="39">
        <v>44139</v>
      </c>
      <c r="G336" s="24">
        <v>16000000</v>
      </c>
      <c r="H336" s="23">
        <v>5.0000000000000001E-3</v>
      </c>
      <c r="I336" s="39">
        <v>44256</v>
      </c>
      <c r="J336" s="39">
        <v>44286</v>
      </c>
      <c r="K336" s="24">
        <f t="shared" si="22"/>
        <v>31</v>
      </c>
      <c r="L336" s="24">
        <f t="shared" si="23"/>
        <v>6795</v>
      </c>
      <c r="M336" s="24">
        <v>16000000</v>
      </c>
    </row>
    <row r="337" spans="1:13" s="48" customFormat="1" outlineLevel="2">
      <c r="A337" s="39" t="s">
        <v>142</v>
      </c>
      <c r="B337" s="40" t="s">
        <v>64</v>
      </c>
      <c r="C337" s="41" t="s">
        <v>143</v>
      </c>
      <c r="D337" s="40" t="s">
        <v>144</v>
      </c>
      <c r="E337" s="24">
        <v>1800000</v>
      </c>
      <c r="F337" s="39">
        <v>43876</v>
      </c>
      <c r="G337" s="24">
        <v>1800000</v>
      </c>
      <c r="H337" s="23">
        <v>5.0000000000000001E-3</v>
      </c>
      <c r="I337" s="39">
        <v>44256</v>
      </c>
      <c r="J337" s="39">
        <v>44286</v>
      </c>
      <c r="K337" s="24">
        <f t="shared" si="22"/>
        <v>31</v>
      </c>
      <c r="L337" s="24">
        <f t="shared" si="23"/>
        <v>764</v>
      </c>
      <c r="M337" s="24">
        <v>1800000</v>
      </c>
    </row>
    <row r="338" spans="1:13" s="48" customFormat="1" outlineLevel="2">
      <c r="A338" s="39" t="s">
        <v>142</v>
      </c>
      <c r="B338" s="40" t="s">
        <v>196</v>
      </c>
      <c r="C338" s="41" t="s">
        <v>146</v>
      </c>
      <c r="D338" s="40" t="s">
        <v>147</v>
      </c>
      <c r="E338" s="24">
        <v>6000000</v>
      </c>
      <c r="F338" s="39">
        <v>44145</v>
      </c>
      <c r="G338" s="24">
        <v>6000000</v>
      </c>
      <c r="H338" s="23">
        <v>5.0000000000000001E-3</v>
      </c>
      <c r="I338" s="39">
        <v>44256</v>
      </c>
      <c r="J338" s="39">
        <v>44286</v>
      </c>
      <c r="K338" s="24">
        <f t="shared" si="22"/>
        <v>31</v>
      </c>
      <c r="L338" s="24">
        <f t="shared" si="23"/>
        <v>2548</v>
      </c>
      <c r="M338" s="24">
        <v>6000000</v>
      </c>
    </row>
    <row r="339" spans="1:13" s="48" customFormat="1" outlineLevel="2">
      <c r="A339" s="39" t="s">
        <v>142</v>
      </c>
      <c r="B339" s="40" t="s">
        <v>197</v>
      </c>
      <c r="C339" s="41" t="s">
        <v>143</v>
      </c>
      <c r="D339" s="40" t="s">
        <v>144</v>
      </c>
      <c r="E339" s="24">
        <v>19000000</v>
      </c>
      <c r="F339" s="39">
        <v>44140</v>
      </c>
      <c r="G339" s="24">
        <v>19000000</v>
      </c>
      <c r="H339" s="23">
        <v>5.0000000000000001E-3</v>
      </c>
      <c r="I339" s="39">
        <v>44256</v>
      </c>
      <c r="J339" s="39">
        <v>44286</v>
      </c>
      <c r="K339" s="24">
        <f t="shared" si="22"/>
        <v>31</v>
      </c>
      <c r="L339" s="24">
        <f t="shared" si="23"/>
        <v>8068</v>
      </c>
      <c r="M339" s="24">
        <v>19000000</v>
      </c>
    </row>
    <row r="340" spans="1:13" s="48" customFormat="1" outlineLevel="2">
      <c r="A340" s="39" t="s">
        <v>142</v>
      </c>
      <c r="B340" s="40" t="s">
        <v>198</v>
      </c>
      <c r="C340" s="41" t="s">
        <v>143</v>
      </c>
      <c r="D340" s="40" t="s">
        <v>144</v>
      </c>
      <c r="E340" s="24">
        <v>1800000</v>
      </c>
      <c r="F340" s="39">
        <v>44165</v>
      </c>
      <c r="G340" s="24">
        <v>1800000</v>
      </c>
      <c r="H340" s="23">
        <v>5.0000000000000001E-3</v>
      </c>
      <c r="I340" s="39">
        <v>44256</v>
      </c>
      <c r="J340" s="39">
        <v>44286</v>
      </c>
      <c r="K340" s="24">
        <f t="shared" si="22"/>
        <v>31</v>
      </c>
      <c r="L340" s="24">
        <f t="shared" si="23"/>
        <v>764</v>
      </c>
      <c r="M340" s="24">
        <v>1800000</v>
      </c>
    </row>
    <row r="341" spans="1:13" s="48" customFormat="1" outlineLevel="2">
      <c r="A341" s="39" t="s">
        <v>142</v>
      </c>
      <c r="B341" s="40" t="s">
        <v>199</v>
      </c>
      <c r="C341" s="41" t="s">
        <v>143</v>
      </c>
      <c r="D341" s="40" t="s">
        <v>144</v>
      </c>
      <c r="E341" s="24">
        <v>5500000</v>
      </c>
      <c r="F341" s="39">
        <v>44165</v>
      </c>
      <c r="G341" s="24">
        <v>5500000</v>
      </c>
      <c r="H341" s="23">
        <v>5.0000000000000001E-3</v>
      </c>
      <c r="I341" s="39">
        <v>44256</v>
      </c>
      <c r="J341" s="39">
        <v>44286</v>
      </c>
      <c r="K341" s="24">
        <f t="shared" si="22"/>
        <v>31</v>
      </c>
      <c r="L341" s="24">
        <f t="shared" si="23"/>
        <v>2336</v>
      </c>
      <c r="M341" s="24">
        <v>5500000</v>
      </c>
    </row>
    <row r="342" spans="1:13" s="48" customFormat="1" outlineLevel="2">
      <c r="A342" s="39" t="s">
        <v>142</v>
      </c>
      <c r="B342" s="40" t="s">
        <v>200</v>
      </c>
      <c r="C342" s="41" t="s">
        <v>143</v>
      </c>
      <c r="D342" s="40" t="s">
        <v>144</v>
      </c>
      <c r="E342" s="24">
        <v>8600000</v>
      </c>
      <c r="F342" s="39">
        <v>44165</v>
      </c>
      <c r="G342" s="24">
        <v>8600000</v>
      </c>
      <c r="H342" s="23">
        <v>5.0000000000000001E-3</v>
      </c>
      <c r="I342" s="39">
        <v>44256</v>
      </c>
      <c r="J342" s="39">
        <v>44286</v>
      </c>
      <c r="K342" s="24">
        <f t="shared" si="22"/>
        <v>31</v>
      </c>
      <c r="L342" s="24">
        <f t="shared" si="23"/>
        <v>3652</v>
      </c>
      <c r="M342" s="24">
        <v>8600000</v>
      </c>
    </row>
    <row r="343" spans="1:13" s="48" customFormat="1" outlineLevel="2">
      <c r="A343" s="39" t="s">
        <v>142</v>
      </c>
      <c r="B343" s="40" t="s">
        <v>201</v>
      </c>
      <c r="C343" s="41" t="s">
        <v>161</v>
      </c>
      <c r="D343" s="40" t="s">
        <v>162</v>
      </c>
      <c r="E343" s="24">
        <v>150000000</v>
      </c>
      <c r="F343" s="39">
        <v>44144</v>
      </c>
      <c r="G343" s="24">
        <v>150000000</v>
      </c>
      <c r="H343" s="23">
        <v>5.0000000000000001E-3</v>
      </c>
      <c r="I343" s="39">
        <v>44256</v>
      </c>
      <c r="J343" s="39">
        <v>44286</v>
      </c>
      <c r="K343" s="24">
        <f t="shared" si="22"/>
        <v>31</v>
      </c>
      <c r="L343" s="24">
        <f t="shared" si="23"/>
        <v>63699</v>
      </c>
      <c r="M343" s="24">
        <v>150000000</v>
      </c>
    </row>
    <row r="344" spans="1:13" s="48" customFormat="1" outlineLevel="2">
      <c r="A344" s="39" t="s">
        <v>142</v>
      </c>
      <c r="B344" s="40" t="s">
        <v>202</v>
      </c>
      <c r="C344" s="41" t="s">
        <v>125</v>
      </c>
      <c r="D344" s="40" t="s">
        <v>126</v>
      </c>
      <c r="E344" s="24">
        <v>2500000</v>
      </c>
      <c r="F344" s="39">
        <v>44147</v>
      </c>
      <c r="G344" s="24">
        <v>2500000</v>
      </c>
      <c r="H344" s="23">
        <v>5.0000000000000001E-3</v>
      </c>
      <c r="I344" s="39">
        <v>44256</v>
      </c>
      <c r="J344" s="39">
        <v>44286</v>
      </c>
      <c r="K344" s="24">
        <f t="shared" si="22"/>
        <v>31</v>
      </c>
      <c r="L344" s="24">
        <f t="shared" si="23"/>
        <v>1062</v>
      </c>
      <c r="M344" s="24">
        <v>2500000</v>
      </c>
    </row>
    <row r="345" spans="1:13" s="48" customFormat="1" outlineLevel="2">
      <c r="A345" s="39" t="s">
        <v>142</v>
      </c>
      <c r="B345" s="40" t="s">
        <v>203</v>
      </c>
      <c r="C345" s="41" t="s">
        <v>125</v>
      </c>
      <c r="D345" s="40" t="s">
        <v>126</v>
      </c>
      <c r="E345" s="24">
        <v>18000000</v>
      </c>
      <c r="F345" s="39">
        <v>44158</v>
      </c>
      <c r="G345" s="24">
        <v>18000000</v>
      </c>
      <c r="H345" s="23">
        <v>5.0000000000000001E-3</v>
      </c>
      <c r="I345" s="39">
        <v>44256</v>
      </c>
      <c r="J345" s="39">
        <v>44286</v>
      </c>
      <c r="K345" s="24">
        <f t="shared" si="22"/>
        <v>31</v>
      </c>
      <c r="L345" s="24">
        <f t="shared" si="23"/>
        <v>7644</v>
      </c>
      <c r="M345" s="24">
        <v>18000000</v>
      </c>
    </row>
    <row r="346" spans="1:13" s="48" customFormat="1" outlineLevel="2">
      <c r="A346" s="39" t="s">
        <v>142</v>
      </c>
      <c r="B346" s="40" t="s">
        <v>204</v>
      </c>
      <c r="C346" s="41" t="s">
        <v>149</v>
      </c>
      <c r="D346" s="40" t="s">
        <v>150</v>
      </c>
      <c r="E346" s="24">
        <v>1764000</v>
      </c>
      <c r="F346" s="39">
        <v>44147</v>
      </c>
      <c r="G346" s="24">
        <v>1764000</v>
      </c>
      <c r="H346" s="23">
        <v>5.0000000000000001E-3</v>
      </c>
      <c r="I346" s="39">
        <v>44256</v>
      </c>
      <c r="J346" s="39">
        <v>44286</v>
      </c>
      <c r="K346" s="24">
        <f t="shared" si="22"/>
        <v>31</v>
      </c>
      <c r="L346" s="24">
        <f t="shared" si="23"/>
        <v>749</v>
      </c>
      <c r="M346" s="24">
        <v>1764000</v>
      </c>
    </row>
    <row r="347" spans="1:13" s="48" customFormat="1" outlineLevel="2">
      <c r="A347" s="39" t="s">
        <v>142</v>
      </c>
      <c r="B347" s="40" t="s">
        <v>205</v>
      </c>
      <c r="C347" s="41" t="s">
        <v>163</v>
      </c>
      <c r="D347" s="40" t="s">
        <v>164</v>
      </c>
      <c r="E347" s="24">
        <v>15000000</v>
      </c>
      <c r="F347" s="39">
        <v>44153</v>
      </c>
      <c r="G347" s="24">
        <v>14608695</v>
      </c>
      <c r="H347" s="23">
        <v>5.0000000000000001E-3</v>
      </c>
      <c r="I347" s="39">
        <v>44256</v>
      </c>
      <c r="J347" s="39">
        <v>44269</v>
      </c>
      <c r="K347" s="24">
        <f t="shared" si="22"/>
        <v>14</v>
      </c>
      <c r="L347" s="24">
        <f t="shared" si="23"/>
        <v>2802</v>
      </c>
      <c r="M347" s="24">
        <v>14478260</v>
      </c>
    </row>
    <row r="348" spans="1:13" s="48" customFormat="1" outlineLevel="2">
      <c r="A348" s="39" t="s">
        <v>142</v>
      </c>
      <c r="B348" s="40" t="s">
        <v>205</v>
      </c>
      <c r="C348" s="41" t="s">
        <v>163</v>
      </c>
      <c r="D348" s="40"/>
      <c r="E348" s="24"/>
      <c r="F348" s="39"/>
      <c r="G348" s="24">
        <v>14478260</v>
      </c>
      <c r="H348" s="23">
        <v>5.0000000000000001E-3</v>
      </c>
      <c r="I348" s="39">
        <v>44270</v>
      </c>
      <c r="J348" s="39">
        <v>44286</v>
      </c>
      <c r="K348" s="24">
        <f t="shared" si="22"/>
        <v>17</v>
      </c>
      <c r="L348" s="24">
        <f t="shared" si="23"/>
        <v>3372</v>
      </c>
      <c r="M348" s="24"/>
    </row>
    <row r="349" spans="1:13" s="48" customFormat="1" outlineLevel="2">
      <c r="A349" s="39" t="s">
        <v>142</v>
      </c>
      <c r="B349" s="40" t="s">
        <v>65</v>
      </c>
      <c r="C349" s="41" t="s">
        <v>117</v>
      </c>
      <c r="D349" s="40" t="s">
        <v>118</v>
      </c>
      <c r="E349" s="24">
        <v>30000000</v>
      </c>
      <c r="F349" s="39">
        <v>43906</v>
      </c>
      <c r="G349" s="24">
        <v>30000000</v>
      </c>
      <c r="H349" s="23">
        <v>5.0000000000000001E-3</v>
      </c>
      <c r="I349" s="39">
        <v>44256</v>
      </c>
      <c r="J349" s="39">
        <v>44286</v>
      </c>
      <c r="K349" s="24">
        <f t="shared" si="22"/>
        <v>31</v>
      </c>
      <c r="L349" s="24">
        <f t="shared" si="23"/>
        <v>12740</v>
      </c>
      <c r="M349" s="24">
        <v>30000000</v>
      </c>
    </row>
    <row r="350" spans="1:13" s="48" customFormat="1" outlineLevel="2">
      <c r="A350" s="39" t="s">
        <v>142</v>
      </c>
      <c r="B350" s="40" t="s">
        <v>206</v>
      </c>
      <c r="C350" s="41" t="s">
        <v>87</v>
      </c>
      <c r="D350" s="40" t="s">
        <v>88</v>
      </c>
      <c r="E350" s="24">
        <v>13481921</v>
      </c>
      <c r="F350" s="39">
        <v>44158</v>
      </c>
      <c r="G350" s="24">
        <v>13481921</v>
      </c>
      <c r="H350" s="23">
        <v>5.0000000000000001E-3</v>
      </c>
      <c r="I350" s="39">
        <v>44256</v>
      </c>
      <c r="J350" s="39">
        <v>44286</v>
      </c>
      <c r="K350" s="24">
        <f t="shared" si="22"/>
        <v>31</v>
      </c>
      <c r="L350" s="24">
        <f t="shared" si="23"/>
        <v>5725</v>
      </c>
      <c r="M350" s="24">
        <v>13481921</v>
      </c>
    </row>
    <row r="351" spans="1:13" s="48" customFormat="1" outlineLevel="2">
      <c r="A351" s="39" t="s">
        <v>142</v>
      </c>
      <c r="B351" s="40" t="s">
        <v>207</v>
      </c>
      <c r="C351" s="41" t="s">
        <v>85</v>
      </c>
      <c r="D351" s="40" t="s">
        <v>86</v>
      </c>
      <c r="E351" s="24">
        <v>2682500</v>
      </c>
      <c r="F351" s="39">
        <v>44165</v>
      </c>
      <c r="G351" s="24">
        <v>2682500</v>
      </c>
      <c r="H351" s="23">
        <v>5.0000000000000001E-3</v>
      </c>
      <c r="I351" s="39">
        <v>44256</v>
      </c>
      <c r="J351" s="39">
        <v>44286</v>
      </c>
      <c r="K351" s="24">
        <f t="shared" si="22"/>
        <v>31</v>
      </c>
      <c r="L351" s="24">
        <f t="shared" si="23"/>
        <v>1139</v>
      </c>
      <c r="M351" s="24">
        <v>2682500</v>
      </c>
    </row>
    <row r="352" spans="1:13" s="48" customFormat="1" outlineLevel="2">
      <c r="A352" s="39" t="s">
        <v>142</v>
      </c>
      <c r="B352" s="40" t="s">
        <v>208</v>
      </c>
      <c r="C352" s="41" t="s">
        <v>85</v>
      </c>
      <c r="D352" s="40" t="s">
        <v>86</v>
      </c>
      <c r="E352" s="24">
        <v>8047500</v>
      </c>
      <c r="F352" s="39">
        <v>44165</v>
      </c>
      <c r="G352" s="24">
        <v>8047500</v>
      </c>
      <c r="H352" s="23">
        <v>5.0000000000000001E-3</v>
      </c>
      <c r="I352" s="39">
        <v>44256</v>
      </c>
      <c r="J352" s="39">
        <v>44286</v>
      </c>
      <c r="K352" s="24">
        <f t="shared" si="22"/>
        <v>31</v>
      </c>
      <c r="L352" s="24">
        <f t="shared" si="23"/>
        <v>3417</v>
      </c>
      <c r="M352" s="24">
        <v>8047500</v>
      </c>
    </row>
    <row r="353" spans="1:13" s="48" customFormat="1" outlineLevel="2">
      <c r="A353" s="39" t="s">
        <v>142</v>
      </c>
      <c r="B353" s="40" t="s">
        <v>209</v>
      </c>
      <c r="C353" s="41" t="s">
        <v>146</v>
      </c>
      <c r="D353" s="40" t="s">
        <v>147</v>
      </c>
      <c r="E353" s="24">
        <v>15600000</v>
      </c>
      <c r="F353" s="39">
        <v>44168</v>
      </c>
      <c r="G353" s="24">
        <v>15600000</v>
      </c>
      <c r="H353" s="23">
        <v>5.0000000000000001E-3</v>
      </c>
      <c r="I353" s="39">
        <v>44256</v>
      </c>
      <c r="J353" s="39">
        <v>44286</v>
      </c>
      <c r="K353" s="24">
        <f t="shared" si="22"/>
        <v>31</v>
      </c>
      <c r="L353" s="24">
        <f t="shared" si="23"/>
        <v>6625</v>
      </c>
      <c r="M353" s="24">
        <v>15600000</v>
      </c>
    </row>
    <row r="354" spans="1:13" s="48" customFormat="1" outlineLevel="2">
      <c r="A354" s="39" t="s">
        <v>142</v>
      </c>
      <c r="B354" s="40" t="s">
        <v>210</v>
      </c>
      <c r="C354" s="41" t="s">
        <v>146</v>
      </c>
      <c r="D354" s="40" t="s">
        <v>147</v>
      </c>
      <c r="E354" s="24">
        <v>4400000</v>
      </c>
      <c r="F354" s="39">
        <v>44173</v>
      </c>
      <c r="G354" s="24">
        <v>4400000</v>
      </c>
      <c r="H354" s="23">
        <v>5.0000000000000001E-3</v>
      </c>
      <c r="I354" s="39">
        <v>44256</v>
      </c>
      <c r="J354" s="39">
        <v>44286</v>
      </c>
      <c r="K354" s="24">
        <f t="shared" si="22"/>
        <v>31</v>
      </c>
      <c r="L354" s="24">
        <f t="shared" si="23"/>
        <v>1868</v>
      </c>
      <c r="M354" s="24">
        <v>4400000</v>
      </c>
    </row>
    <row r="355" spans="1:13" s="48" customFormat="1" outlineLevel="2">
      <c r="A355" s="39" t="s">
        <v>142</v>
      </c>
      <c r="B355" s="40" t="s">
        <v>211</v>
      </c>
      <c r="C355" s="41" t="s">
        <v>187</v>
      </c>
      <c r="D355" s="40" t="s">
        <v>188</v>
      </c>
      <c r="E355" s="24">
        <v>88900000</v>
      </c>
      <c r="F355" s="39">
        <v>44169</v>
      </c>
      <c r="G355" s="24">
        <v>88900000</v>
      </c>
      <c r="H355" s="23">
        <v>5.0000000000000001E-3</v>
      </c>
      <c r="I355" s="39">
        <v>44256</v>
      </c>
      <c r="J355" s="39">
        <v>44286</v>
      </c>
      <c r="K355" s="24">
        <f t="shared" si="22"/>
        <v>31</v>
      </c>
      <c r="L355" s="24">
        <f t="shared" si="23"/>
        <v>37752</v>
      </c>
      <c r="M355" s="24">
        <v>88900000</v>
      </c>
    </row>
    <row r="356" spans="1:13" s="48" customFormat="1" outlineLevel="2">
      <c r="A356" s="39" t="s">
        <v>142</v>
      </c>
      <c r="B356" s="40" t="s">
        <v>212</v>
      </c>
      <c r="C356" s="41" t="s">
        <v>163</v>
      </c>
      <c r="D356" s="40" t="s">
        <v>164</v>
      </c>
      <c r="E356" s="24">
        <v>7300000</v>
      </c>
      <c r="F356" s="39">
        <v>44173</v>
      </c>
      <c r="G356" s="24">
        <v>7171930</v>
      </c>
      <c r="H356" s="23">
        <v>5.0000000000000001E-3</v>
      </c>
      <c r="I356" s="39">
        <v>44256</v>
      </c>
      <c r="J356" s="39">
        <v>44269</v>
      </c>
      <c r="K356" s="24">
        <f t="shared" si="22"/>
        <v>14</v>
      </c>
      <c r="L356" s="24">
        <f t="shared" si="23"/>
        <v>1375</v>
      </c>
      <c r="M356" s="24">
        <v>7107895</v>
      </c>
    </row>
    <row r="357" spans="1:13" s="48" customFormat="1" outlineLevel="2">
      <c r="A357" s="39" t="s">
        <v>142</v>
      </c>
      <c r="B357" s="40" t="s">
        <v>212</v>
      </c>
      <c r="C357" s="41" t="s">
        <v>163</v>
      </c>
      <c r="D357" s="40"/>
      <c r="E357" s="24"/>
      <c r="F357" s="39"/>
      <c r="G357" s="24">
        <v>7107895</v>
      </c>
      <c r="H357" s="23">
        <v>5.0000000000000001E-3</v>
      </c>
      <c r="I357" s="39">
        <v>44270</v>
      </c>
      <c r="J357" s="39">
        <v>44286</v>
      </c>
      <c r="K357" s="24">
        <f t="shared" si="22"/>
        <v>17</v>
      </c>
      <c r="L357" s="24">
        <f t="shared" si="23"/>
        <v>1655</v>
      </c>
      <c r="M357" s="24"/>
    </row>
    <row r="358" spans="1:13" s="48" customFormat="1" outlineLevel="2">
      <c r="A358" s="39" t="s">
        <v>142</v>
      </c>
      <c r="B358" s="40" t="s">
        <v>213</v>
      </c>
      <c r="C358" s="41" t="s">
        <v>149</v>
      </c>
      <c r="D358" s="40" t="s">
        <v>150</v>
      </c>
      <c r="E358" s="24">
        <v>2184000</v>
      </c>
      <c r="F358" s="39">
        <v>44174</v>
      </c>
      <c r="G358" s="24">
        <v>2184000</v>
      </c>
      <c r="H358" s="23">
        <v>5.0000000000000001E-3</v>
      </c>
      <c r="I358" s="39">
        <v>44256</v>
      </c>
      <c r="J358" s="39">
        <v>44286</v>
      </c>
      <c r="K358" s="24">
        <f t="shared" si="22"/>
        <v>31</v>
      </c>
      <c r="L358" s="24">
        <f t="shared" si="23"/>
        <v>927</v>
      </c>
      <c r="M358" s="24">
        <v>2184000</v>
      </c>
    </row>
    <row r="359" spans="1:13" s="48" customFormat="1" outlineLevel="2">
      <c r="A359" s="39" t="s">
        <v>142</v>
      </c>
      <c r="B359" s="40" t="s">
        <v>214</v>
      </c>
      <c r="C359" s="41" t="s">
        <v>149</v>
      </c>
      <c r="D359" s="40" t="s">
        <v>150</v>
      </c>
      <c r="E359" s="24">
        <v>20764000</v>
      </c>
      <c r="F359" s="39">
        <v>44176</v>
      </c>
      <c r="G359" s="24">
        <v>20764000</v>
      </c>
      <c r="H359" s="23">
        <v>5.0000000000000001E-3</v>
      </c>
      <c r="I359" s="39">
        <v>44256</v>
      </c>
      <c r="J359" s="39">
        <v>44286</v>
      </c>
      <c r="K359" s="24">
        <f t="shared" si="22"/>
        <v>31</v>
      </c>
      <c r="L359" s="24">
        <f t="shared" si="23"/>
        <v>8818</v>
      </c>
      <c r="M359" s="24">
        <v>20764000</v>
      </c>
    </row>
    <row r="360" spans="1:13" s="48" customFormat="1" outlineLevel="2">
      <c r="A360" s="39" t="s">
        <v>142</v>
      </c>
      <c r="B360" s="40" t="s">
        <v>215</v>
      </c>
      <c r="C360" s="41" t="s">
        <v>149</v>
      </c>
      <c r="D360" s="40" t="s">
        <v>150</v>
      </c>
      <c r="E360" s="24">
        <v>2423030</v>
      </c>
      <c r="F360" s="39">
        <v>44190</v>
      </c>
      <c r="G360" s="24">
        <v>2423030</v>
      </c>
      <c r="H360" s="23">
        <v>5.0000000000000001E-3</v>
      </c>
      <c r="I360" s="39">
        <v>44256</v>
      </c>
      <c r="J360" s="39">
        <v>44286</v>
      </c>
      <c r="K360" s="24">
        <f t="shared" si="22"/>
        <v>31</v>
      </c>
      <c r="L360" s="24">
        <f t="shared" si="23"/>
        <v>1029</v>
      </c>
      <c r="M360" s="24">
        <v>2423030</v>
      </c>
    </row>
    <row r="361" spans="1:13" s="48" customFormat="1" outlineLevel="2">
      <c r="A361" s="39" t="s">
        <v>142</v>
      </c>
      <c r="B361" s="40" t="s">
        <v>68</v>
      </c>
      <c r="C361" s="41" t="s">
        <v>117</v>
      </c>
      <c r="D361" s="40" t="s">
        <v>118</v>
      </c>
      <c r="E361" s="24">
        <v>50000000</v>
      </c>
      <c r="F361" s="39">
        <v>43908</v>
      </c>
      <c r="G361" s="24">
        <v>50000000</v>
      </c>
      <c r="H361" s="23">
        <v>5.0000000000000001E-3</v>
      </c>
      <c r="I361" s="39">
        <v>44256</v>
      </c>
      <c r="J361" s="39">
        <v>44286</v>
      </c>
      <c r="K361" s="24">
        <f t="shared" si="22"/>
        <v>31</v>
      </c>
      <c r="L361" s="24">
        <f t="shared" si="23"/>
        <v>21233</v>
      </c>
      <c r="M361" s="24">
        <v>50000000</v>
      </c>
    </row>
    <row r="362" spans="1:13" s="48" customFormat="1" outlineLevel="2">
      <c r="A362" s="39" t="s">
        <v>142</v>
      </c>
      <c r="B362" s="40" t="s">
        <v>216</v>
      </c>
      <c r="C362" s="41" t="s">
        <v>149</v>
      </c>
      <c r="D362" s="40" t="s">
        <v>150</v>
      </c>
      <c r="E362" s="24">
        <v>5653738</v>
      </c>
      <c r="F362" s="39">
        <v>44196</v>
      </c>
      <c r="G362" s="24">
        <v>5653738</v>
      </c>
      <c r="H362" s="23">
        <v>5.0000000000000001E-3</v>
      </c>
      <c r="I362" s="39">
        <v>44256</v>
      </c>
      <c r="J362" s="39">
        <v>44286</v>
      </c>
      <c r="K362" s="24">
        <f t="shared" si="22"/>
        <v>31</v>
      </c>
      <c r="L362" s="24">
        <f t="shared" si="23"/>
        <v>2401</v>
      </c>
      <c r="M362" s="24">
        <v>5653738</v>
      </c>
    </row>
    <row r="363" spans="1:13" s="48" customFormat="1" outlineLevel="2">
      <c r="A363" s="39" t="s">
        <v>142</v>
      </c>
      <c r="B363" s="40" t="s">
        <v>217</v>
      </c>
      <c r="C363" s="41" t="s">
        <v>155</v>
      </c>
      <c r="D363" s="40" t="s">
        <v>156</v>
      </c>
      <c r="E363" s="24">
        <v>200000000</v>
      </c>
      <c r="F363" s="39">
        <v>44190</v>
      </c>
      <c r="G363" s="24">
        <v>200000000</v>
      </c>
      <c r="H363" s="23">
        <v>5.0000000000000001E-3</v>
      </c>
      <c r="I363" s="39">
        <v>44256</v>
      </c>
      <c r="J363" s="39">
        <v>44286</v>
      </c>
      <c r="K363" s="24">
        <f t="shared" ref="K363:K394" si="24">J363-I363+1</f>
        <v>31</v>
      </c>
      <c r="L363" s="24">
        <f t="shared" ref="L363:L394" si="25">ROUND(G363*H363*K363/365,0)</f>
        <v>84932</v>
      </c>
      <c r="M363" s="24">
        <v>200000000</v>
      </c>
    </row>
    <row r="364" spans="1:13" s="48" customFormat="1" outlineLevel="2">
      <c r="A364" s="39" t="s">
        <v>142</v>
      </c>
      <c r="B364" s="40" t="s">
        <v>218</v>
      </c>
      <c r="C364" s="41" t="s">
        <v>219</v>
      </c>
      <c r="D364" s="40" t="s">
        <v>220</v>
      </c>
      <c r="E364" s="24">
        <v>14160000</v>
      </c>
      <c r="F364" s="39">
        <v>44190</v>
      </c>
      <c r="G364" s="24">
        <v>14160000</v>
      </c>
      <c r="H364" s="23">
        <v>5.0000000000000001E-3</v>
      </c>
      <c r="I364" s="39">
        <v>44256</v>
      </c>
      <c r="J364" s="39">
        <v>44286</v>
      </c>
      <c r="K364" s="24">
        <f t="shared" si="24"/>
        <v>31</v>
      </c>
      <c r="L364" s="24">
        <f t="shared" si="25"/>
        <v>6013</v>
      </c>
      <c r="M364" s="24">
        <v>14160000</v>
      </c>
    </row>
    <row r="365" spans="1:13" s="48" customFormat="1" outlineLevel="2">
      <c r="A365" s="39" t="s">
        <v>142</v>
      </c>
      <c r="B365" s="40" t="s">
        <v>221</v>
      </c>
      <c r="C365" s="41" t="s">
        <v>87</v>
      </c>
      <c r="D365" s="40" t="s">
        <v>88</v>
      </c>
      <c r="E365" s="24">
        <v>13481921</v>
      </c>
      <c r="F365" s="39">
        <v>44190</v>
      </c>
      <c r="G365" s="24">
        <v>13481921</v>
      </c>
      <c r="H365" s="23">
        <v>5.0000000000000001E-3</v>
      </c>
      <c r="I365" s="39">
        <v>44256</v>
      </c>
      <c r="J365" s="39">
        <v>44286</v>
      </c>
      <c r="K365" s="24">
        <f t="shared" si="24"/>
        <v>31</v>
      </c>
      <c r="L365" s="24">
        <f t="shared" si="25"/>
        <v>5725</v>
      </c>
      <c r="M365" s="24">
        <v>13481921</v>
      </c>
    </row>
    <row r="366" spans="1:13" s="48" customFormat="1" outlineLevel="2">
      <c r="A366" s="39" t="s">
        <v>142</v>
      </c>
      <c r="B366" s="40" t="s">
        <v>222</v>
      </c>
      <c r="C366" s="41" t="s">
        <v>143</v>
      </c>
      <c r="D366" s="40" t="s">
        <v>144</v>
      </c>
      <c r="E366" s="24">
        <v>1800000</v>
      </c>
      <c r="F366" s="39">
        <v>44190</v>
      </c>
      <c r="G366" s="24">
        <v>1800000</v>
      </c>
      <c r="H366" s="23">
        <v>5.0000000000000001E-3</v>
      </c>
      <c r="I366" s="39">
        <v>44256</v>
      </c>
      <c r="J366" s="39">
        <v>44286</v>
      </c>
      <c r="K366" s="24">
        <f t="shared" si="24"/>
        <v>31</v>
      </c>
      <c r="L366" s="24">
        <f t="shared" si="25"/>
        <v>764</v>
      </c>
      <c r="M366" s="24">
        <v>1800000</v>
      </c>
    </row>
    <row r="367" spans="1:13" s="48" customFormat="1" outlineLevel="2">
      <c r="A367" s="39" t="s">
        <v>142</v>
      </c>
      <c r="B367" s="40" t="s">
        <v>223</v>
      </c>
      <c r="C367" s="41" t="s">
        <v>143</v>
      </c>
      <c r="D367" s="40" t="s">
        <v>144</v>
      </c>
      <c r="E367" s="24">
        <v>8300000</v>
      </c>
      <c r="F367" s="39">
        <v>44196</v>
      </c>
      <c r="G367" s="24">
        <v>8300000</v>
      </c>
      <c r="H367" s="23">
        <v>5.0000000000000001E-3</v>
      </c>
      <c r="I367" s="39">
        <v>44256</v>
      </c>
      <c r="J367" s="39">
        <v>44286</v>
      </c>
      <c r="K367" s="24">
        <f t="shared" si="24"/>
        <v>31</v>
      </c>
      <c r="L367" s="24">
        <f t="shared" si="25"/>
        <v>3525</v>
      </c>
      <c r="M367" s="24">
        <v>8300000</v>
      </c>
    </row>
    <row r="368" spans="1:13" s="48" customFormat="1" outlineLevel="2">
      <c r="A368" s="39" t="s">
        <v>142</v>
      </c>
      <c r="B368" s="40" t="s">
        <v>224</v>
      </c>
      <c r="C368" s="41" t="s">
        <v>165</v>
      </c>
      <c r="D368" s="40" t="s">
        <v>166</v>
      </c>
      <c r="E368" s="24">
        <v>39740000</v>
      </c>
      <c r="F368" s="39">
        <v>44195</v>
      </c>
      <c r="G368" s="24">
        <v>39740000</v>
      </c>
      <c r="H368" s="23">
        <v>5.0000000000000001E-3</v>
      </c>
      <c r="I368" s="39">
        <v>44256</v>
      </c>
      <c r="J368" s="39">
        <v>44286</v>
      </c>
      <c r="K368" s="24">
        <f t="shared" si="24"/>
        <v>31</v>
      </c>
      <c r="L368" s="24">
        <f t="shared" si="25"/>
        <v>16876</v>
      </c>
      <c r="M368" s="24">
        <v>39740000</v>
      </c>
    </row>
    <row r="369" spans="1:13" s="48" customFormat="1" outlineLevel="2">
      <c r="A369" s="39" t="s">
        <v>142</v>
      </c>
      <c r="B369" s="40" t="s">
        <v>225</v>
      </c>
      <c r="C369" s="41" t="s">
        <v>85</v>
      </c>
      <c r="D369" s="40" t="s">
        <v>86</v>
      </c>
      <c r="E369" s="24">
        <v>4842500</v>
      </c>
      <c r="F369" s="39">
        <v>44202</v>
      </c>
      <c r="G369" s="24">
        <v>4842500</v>
      </c>
      <c r="H369" s="23">
        <v>5.0000000000000001E-3</v>
      </c>
      <c r="I369" s="39">
        <v>44256</v>
      </c>
      <c r="J369" s="39">
        <v>44286</v>
      </c>
      <c r="K369" s="24">
        <f t="shared" si="24"/>
        <v>31</v>
      </c>
      <c r="L369" s="24">
        <f t="shared" si="25"/>
        <v>2056</v>
      </c>
      <c r="M369" s="24">
        <v>4842500</v>
      </c>
    </row>
    <row r="370" spans="1:13" s="48" customFormat="1" outlineLevel="2">
      <c r="A370" s="39" t="s">
        <v>142</v>
      </c>
      <c r="B370" s="40" t="s">
        <v>226</v>
      </c>
      <c r="C370" s="41" t="s">
        <v>85</v>
      </c>
      <c r="D370" s="40" t="s">
        <v>86</v>
      </c>
      <c r="E370" s="24">
        <v>14527500</v>
      </c>
      <c r="F370" s="39">
        <v>44202</v>
      </c>
      <c r="G370" s="24">
        <v>14527500</v>
      </c>
      <c r="H370" s="23">
        <v>5.0000000000000001E-3</v>
      </c>
      <c r="I370" s="39">
        <v>44256</v>
      </c>
      <c r="J370" s="39">
        <v>44286</v>
      </c>
      <c r="K370" s="24">
        <f t="shared" si="24"/>
        <v>31</v>
      </c>
      <c r="L370" s="24">
        <f t="shared" si="25"/>
        <v>6169</v>
      </c>
      <c r="M370" s="24">
        <v>14527500</v>
      </c>
    </row>
    <row r="371" spans="1:13" s="48" customFormat="1" outlineLevel="2">
      <c r="A371" s="39" t="s">
        <v>142</v>
      </c>
      <c r="B371" s="40" t="s">
        <v>227</v>
      </c>
      <c r="C371" s="41" t="s">
        <v>143</v>
      </c>
      <c r="D371" s="40" t="s">
        <v>144</v>
      </c>
      <c r="E371" s="24">
        <v>4600000</v>
      </c>
      <c r="F371" s="39">
        <v>44204</v>
      </c>
      <c r="G371" s="24">
        <v>4600000</v>
      </c>
      <c r="H371" s="23">
        <v>5.0000000000000001E-3</v>
      </c>
      <c r="I371" s="39">
        <v>44256</v>
      </c>
      <c r="J371" s="39">
        <v>44286</v>
      </c>
      <c r="K371" s="24">
        <f t="shared" si="24"/>
        <v>31</v>
      </c>
      <c r="L371" s="24">
        <f t="shared" si="25"/>
        <v>1953</v>
      </c>
      <c r="M371" s="24">
        <v>4600000</v>
      </c>
    </row>
    <row r="372" spans="1:13" s="48" customFormat="1" outlineLevel="1">
      <c r="A372" s="42" t="s">
        <v>228</v>
      </c>
      <c r="B372" s="43"/>
      <c r="C372" s="44"/>
      <c r="D372" s="43"/>
      <c r="E372" s="45">
        <f>SUBTOTAL(9,E235:E371)</f>
        <v>4481172643</v>
      </c>
      <c r="F372" s="46"/>
      <c r="G372" s="45"/>
      <c r="H372" s="47"/>
      <c r="I372" s="46"/>
      <c r="J372" s="46"/>
      <c r="K372" s="45"/>
      <c r="L372" s="45">
        <f>SUBTOTAL(9,L235:L371)</f>
        <v>1819581</v>
      </c>
      <c r="M372" s="45">
        <f>SUBTOTAL(9,M235:M371)</f>
        <v>4475304057</v>
      </c>
    </row>
    <row r="373" spans="1:13" s="48" customFormat="1" outlineLevel="2">
      <c r="A373" s="39" t="s">
        <v>229</v>
      </c>
      <c r="B373" s="40" t="s">
        <v>16</v>
      </c>
      <c r="C373" s="41" t="s">
        <v>117</v>
      </c>
      <c r="D373" s="40" t="s">
        <v>118</v>
      </c>
      <c r="E373" s="24">
        <v>1210000</v>
      </c>
      <c r="F373" s="39">
        <v>44061</v>
      </c>
      <c r="G373" s="24">
        <v>1210000</v>
      </c>
      <c r="H373" s="23">
        <v>5.0000000000000001E-3</v>
      </c>
      <c r="I373" s="39">
        <v>44256</v>
      </c>
      <c r="J373" s="39">
        <v>44286</v>
      </c>
      <c r="K373" s="24">
        <f>J373-I373+1</f>
        <v>31</v>
      </c>
      <c r="L373" s="24">
        <f>ROUND(G373*H373*K373/365,0)</f>
        <v>514</v>
      </c>
      <c r="M373" s="24">
        <v>1210000</v>
      </c>
    </row>
    <row r="374" spans="1:13" s="48" customFormat="1" outlineLevel="1">
      <c r="A374" s="42" t="s">
        <v>230</v>
      </c>
      <c r="B374" s="43"/>
      <c r="C374" s="44"/>
      <c r="D374" s="43"/>
      <c r="E374" s="45">
        <f>SUBTOTAL(9,E373:E373)</f>
        <v>1210000</v>
      </c>
      <c r="F374" s="46"/>
      <c r="G374" s="45"/>
      <c r="H374" s="47"/>
      <c r="I374" s="46"/>
      <c r="J374" s="46"/>
      <c r="K374" s="45"/>
      <c r="L374" s="45">
        <f>SUBTOTAL(9,L373:L373)</f>
        <v>514</v>
      </c>
      <c r="M374" s="45">
        <f>SUBTOTAL(9,M373:M373)</f>
        <v>1210000</v>
      </c>
    </row>
    <row r="375" spans="1:13" s="48" customFormat="1" outlineLevel="2">
      <c r="A375" s="39" t="s">
        <v>231</v>
      </c>
      <c r="B375" s="40" t="s">
        <v>16</v>
      </c>
      <c r="C375" s="41" t="s">
        <v>17</v>
      </c>
      <c r="D375" s="40" t="s">
        <v>18</v>
      </c>
      <c r="E375" s="24">
        <v>150000000</v>
      </c>
      <c r="F375" s="39">
        <v>43829</v>
      </c>
      <c r="G375" s="24">
        <v>115000000</v>
      </c>
      <c r="H375" s="23">
        <v>5.0000000000000001E-3</v>
      </c>
      <c r="I375" s="39">
        <v>44256</v>
      </c>
      <c r="J375" s="39">
        <v>44269</v>
      </c>
      <c r="K375" s="24">
        <f t="shared" ref="K375:K402" si="26">J375-I375+1</f>
        <v>14</v>
      </c>
      <c r="L375" s="24">
        <f t="shared" ref="L375:L402" si="27">ROUND(G375*H375*K375/365,0)</f>
        <v>22055</v>
      </c>
      <c r="M375" s="24">
        <v>112500000</v>
      </c>
    </row>
    <row r="376" spans="1:13" s="48" customFormat="1" outlineLevel="2">
      <c r="A376" s="39" t="s">
        <v>231</v>
      </c>
      <c r="B376" s="40" t="s">
        <v>16</v>
      </c>
      <c r="C376" s="41" t="s">
        <v>17</v>
      </c>
      <c r="D376" s="40"/>
      <c r="E376" s="24"/>
      <c r="F376" s="39"/>
      <c r="G376" s="24">
        <v>112500000</v>
      </c>
      <c r="H376" s="23">
        <v>5.0000000000000001E-3</v>
      </c>
      <c r="I376" s="39">
        <v>44270</v>
      </c>
      <c r="J376" s="39">
        <v>44286</v>
      </c>
      <c r="K376" s="24">
        <f t="shared" si="26"/>
        <v>17</v>
      </c>
      <c r="L376" s="24">
        <f t="shared" si="27"/>
        <v>26199</v>
      </c>
      <c r="M376" s="24"/>
    </row>
    <row r="377" spans="1:13" s="48" customFormat="1" outlineLevel="2">
      <c r="A377" s="39" t="s">
        <v>231</v>
      </c>
      <c r="B377" s="40" t="s">
        <v>19</v>
      </c>
      <c r="C377" s="41" t="s">
        <v>17</v>
      </c>
      <c r="D377" s="40" t="s">
        <v>18</v>
      </c>
      <c r="E377" s="24">
        <v>9460000</v>
      </c>
      <c r="F377" s="39">
        <v>43990</v>
      </c>
      <c r="G377" s="24">
        <v>7912000</v>
      </c>
      <c r="H377" s="23">
        <v>5.0000000000000001E-3</v>
      </c>
      <c r="I377" s="39">
        <v>44256</v>
      </c>
      <c r="J377" s="39">
        <v>44269</v>
      </c>
      <c r="K377" s="24">
        <f t="shared" si="26"/>
        <v>14</v>
      </c>
      <c r="L377" s="24">
        <f t="shared" si="27"/>
        <v>1517</v>
      </c>
      <c r="M377" s="24">
        <v>7740000</v>
      </c>
    </row>
    <row r="378" spans="1:13" s="48" customFormat="1" outlineLevel="2">
      <c r="A378" s="39" t="s">
        <v>231</v>
      </c>
      <c r="B378" s="40" t="s">
        <v>19</v>
      </c>
      <c r="C378" s="41" t="s">
        <v>17</v>
      </c>
      <c r="D378" s="40"/>
      <c r="E378" s="24"/>
      <c r="F378" s="39"/>
      <c r="G378" s="24">
        <v>7740000</v>
      </c>
      <c r="H378" s="23">
        <v>5.0000000000000001E-3</v>
      </c>
      <c r="I378" s="39">
        <v>44270</v>
      </c>
      <c r="J378" s="39">
        <v>44286</v>
      </c>
      <c r="K378" s="24">
        <f t="shared" si="26"/>
        <v>17</v>
      </c>
      <c r="L378" s="24">
        <f t="shared" si="27"/>
        <v>1802</v>
      </c>
      <c r="M378" s="24"/>
    </row>
    <row r="379" spans="1:13" s="48" customFormat="1" outlineLevel="2">
      <c r="A379" s="39" t="s">
        <v>231</v>
      </c>
      <c r="B379" s="40" t="s">
        <v>22</v>
      </c>
      <c r="C379" s="41" t="s">
        <v>45</v>
      </c>
      <c r="D379" s="40" t="s">
        <v>46</v>
      </c>
      <c r="E379" s="24">
        <v>5000000</v>
      </c>
      <c r="F379" s="39">
        <v>44046</v>
      </c>
      <c r="G379" s="24">
        <v>5000000</v>
      </c>
      <c r="H379" s="23">
        <v>5.0000000000000001E-3</v>
      </c>
      <c r="I379" s="39">
        <v>44256</v>
      </c>
      <c r="J379" s="39">
        <v>44286</v>
      </c>
      <c r="K379" s="24">
        <f t="shared" si="26"/>
        <v>31</v>
      </c>
      <c r="L379" s="24">
        <f t="shared" si="27"/>
        <v>2123</v>
      </c>
      <c r="M379" s="24">
        <v>5000000</v>
      </c>
    </row>
    <row r="380" spans="1:13" s="48" customFormat="1" outlineLevel="2">
      <c r="A380" s="39" t="s">
        <v>231</v>
      </c>
      <c r="B380" s="40" t="s">
        <v>25</v>
      </c>
      <c r="C380" s="41" t="s">
        <v>143</v>
      </c>
      <c r="D380" s="40" t="s">
        <v>144</v>
      </c>
      <c r="E380" s="24">
        <v>20000000</v>
      </c>
      <c r="F380" s="39">
        <v>44155</v>
      </c>
      <c r="G380" s="24">
        <v>20000000</v>
      </c>
      <c r="H380" s="23">
        <v>5.0000000000000001E-3</v>
      </c>
      <c r="I380" s="39">
        <v>44256</v>
      </c>
      <c r="J380" s="39">
        <v>44286</v>
      </c>
      <c r="K380" s="24">
        <f t="shared" si="26"/>
        <v>31</v>
      </c>
      <c r="L380" s="24">
        <f t="shared" si="27"/>
        <v>8493</v>
      </c>
      <c r="M380" s="24">
        <v>20000000</v>
      </c>
    </row>
    <row r="381" spans="1:13" s="48" customFormat="1" outlineLevel="2">
      <c r="A381" s="39" t="s">
        <v>231</v>
      </c>
      <c r="B381" s="40" t="s">
        <v>26</v>
      </c>
      <c r="C381" s="41" t="s">
        <v>232</v>
      </c>
      <c r="D381" s="40" t="s">
        <v>233</v>
      </c>
      <c r="E381" s="24">
        <v>125000000</v>
      </c>
      <c r="F381" s="39">
        <v>44193</v>
      </c>
      <c r="G381" s="24">
        <v>125000000</v>
      </c>
      <c r="H381" s="23">
        <v>5.0000000000000001E-3</v>
      </c>
      <c r="I381" s="39">
        <v>44256</v>
      </c>
      <c r="J381" s="39">
        <v>44286</v>
      </c>
      <c r="K381" s="24">
        <f t="shared" si="26"/>
        <v>31</v>
      </c>
      <c r="L381" s="24">
        <f t="shared" si="27"/>
        <v>53082</v>
      </c>
      <c r="M381" s="24">
        <v>125000000</v>
      </c>
    </row>
    <row r="382" spans="1:13" s="48" customFormat="1" outlineLevel="2">
      <c r="A382" s="39" t="s">
        <v>231</v>
      </c>
      <c r="B382" s="40" t="s">
        <v>29</v>
      </c>
      <c r="C382" s="41" t="s">
        <v>143</v>
      </c>
      <c r="D382" s="40" t="s">
        <v>144</v>
      </c>
      <c r="E382" s="24">
        <v>20000000</v>
      </c>
      <c r="F382" s="39">
        <v>44194</v>
      </c>
      <c r="G382" s="24">
        <v>20000000</v>
      </c>
      <c r="H382" s="23">
        <v>5.0000000000000001E-3</v>
      </c>
      <c r="I382" s="39">
        <v>44256</v>
      </c>
      <c r="J382" s="39">
        <v>44286</v>
      </c>
      <c r="K382" s="24">
        <f t="shared" si="26"/>
        <v>31</v>
      </c>
      <c r="L382" s="24">
        <f t="shared" si="27"/>
        <v>8493</v>
      </c>
      <c r="M382" s="24">
        <v>20000000</v>
      </c>
    </row>
    <row r="383" spans="1:13" s="48" customFormat="1" outlineLevel="2">
      <c r="A383" s="39" t="s">
        <v>231</v>
      </c>
      <c r="B383" s="40" t="s">
        <v>32</v>
      </c>
      <c r="C383" s="41" t="s">
        <v>30</v>
      </c>
      <c r="D383" s="40" t="s">
        <v>31</v>
      </c>
      <c r="E383" s="24">
        <v>120000000</v>
      </c>
      <c r="F383" s="39">
        <v>44214</v>
      </c>
      <c r="G383" s="24">
        <v>120000000</v>
      </c>
      <c r="H383" s="23">
        <v>5.0000000000000001E-3</v>
      </c>
      <c r="I383" s="39">
        <v>44256</v>
      </c>
      <c r="J383" s="39">
        <v>44286</v>
      </c>
      <c r="K383" s="24">
        <f t="shared" si="26"/>
        <v>31</v>
      </c>
      <c r="L383" s="24">
        <f t="shared" si="27"/>
        <v>50959</v>
      </c>
      <c r="M383" s="24">
        <v>120000000</v>
      </c>
    </row>
    <row r="384" spans="1:13" s="48" customFormat="1" outlineLevel="2">
      <c r="A384" s="39" t="s">
        <v>231</v>
      </c>
      <c r="B384" s="40" t="s">
        <v>33</v>
      </c>
      <c r="C384" s="41" t="s">
        <v>143</v>
      </c>
      <c r="D384" s="40" t="s">
        <v>144</v>
      </c>
      <c r="E384" s="24">
        <v>20000000</v>
      </c>
      <c r="F384" s="39">
        <v>44225</v>
      </c>
      <c r="G384" s="24">
        <v>20000000</v>
      </c>
      <c r="H384" s="23">
        <v>5.0000000000000001E-3</v>
      </c>
      <c r="I384" s="39">
        <v>44256</v>
      </c>
      <c r="J384" s="39">
        <v>44286</v>
      </c>
      <c r="K384" s="24">
        <f t="shared" si="26"/>
        <v>31</v>
      </c>
      <c r="L384" s="24">
        <f t="shared" si="27"/>
        <v>8493</v>
      </c>
      <c r="M384" s="24">
        <v>20000000</v>
      </c>
    </row>
    <row r="385" spans="1:13" s="48" customFormat="1" outlineLevel="2">
      <c r="A385" s="39" t="s">
        <v>231</v>
      </c>
      <c r="B385" s="40" t="s">
        <v>34</v>
      </c>
      <c r="C385" s="41" t="s">
        <v>280</v>
      </c>
      <c r="D385" s="40" t="s">
        <v>281</v>
      </c>
      <c r="E385" s="24">
        <v>250000000</v>
      </c>
      <c r="F385" s="39">
        <v>44228</v>
      </c>
      <c r="G385" s="24">
        <v>250000000</v>
      </c>
      <c r="H385" s="23">
        <v>3.0000000000000001E-3</v>
      </c>
      <c r="I385" s="39">
        <v>44256</v>
      </c>
      <c r="J385" s="39">
        <v>44286</v>
      </c>
      <c r="K385" s="24">
        <f t="shared" si="26"/>
        <v>31</v>
      </c>
      <c r="L385" s="24">
        <f t="shared" si="27"/>
        <v>63699</v>
      </c>
      <c r="M385" s="24">
        <v>250000000</v>
      </c>
    </row>
    <row r="386" spans="1:13" s="48" customFormat="1" outlineLevel="2">
      <c r="A386" s="39" t="s">
        <v>231</v>
      </c>
      <c r="B386" s="40" t="s">
        <v>35</v>
      </c>
      <c r="C386" s="41" t="s">
        <v>143</v>
      </c>
      <c r="D386" s="40" t="s">
        <v>144</v>
      </c>
      <c r="E386" s="24">
        <v>20000000</v>
      </c>
      <c r="F386" s="39">
        <v>44253</v>
      </c>
      <c r="G386" s="24">
        <v>20000000</v>
      </c>
      <c r="H386" s="23">
        <v>5.0000000000000001E-3</v>
      </c>
      <c r="I386" s="39">
        <v>44256</v>
      </c>
      <c r="J386" s="39">
        <v>44286</v>
      </c>
      <c r="K386" s="24">
        <f t="shared" si="26"/>
        <v>31</v>
      </c>
      <c r="L386" s="24">
        <f t="shared" si="27"/>
        <v>8493</v>
      </c>
      <c r="M386" s="24">
        <v>20000000</v>
      </c>
    </row>
    <row r="387" spans="1:13" s="48" customFormat="1" outlineLevel="2">
      <c r="A387" s="39" t="s">
        <v>231</v>
      </c>
      <c r="B387" s="40" t="s">
        <v>36</v>
      </c>
      <c r="C387" s="41" t="s">
        <v>280</v>
      </c>
      <c r="D387" s="40" t="s">
        <v>281</v>
      </c>
      <c r="E387" s="24">
        <v>160000000</v>
      </c>
      <c r="F387" s="39">
        <v>44286</v>
      </c>
      <c r="G387" s="24">
        <v>160000000</v>
      </c>
      <c r="H387" s="23">
        <v>3.0000000000000001E-3</v>
      </c>
      <c r="I387" s="39">
        <v>44286</v>
      </c>
      <c r="J387" s="39">
        <v>44286</v>
      </c>
      <c r="K387" s="24">
        <f t="shared" si="26"/>
        <v>1</v>
      </c>
      <c r="L387" s="24">
        <f t="shared" si="27"/>
        <v>1315</v>
      </c>
      <c r="M387" s="24">
        <v>160000000</v>
      </c>
    </row>
    <row r="388" spans="1:13" s="48" customFormat="1" outlineLevel="2">
      <c r="A388" s="39" t="s">
        <v>231</v>
      </c>
      <c r="B388" s="40" t="s">
        <v>39</v>
      </c>
      <c r="C388" s="41" t="s">
        <v>17</v>
      </c>
      <c r="D388" s="40" t="s">
        <v>18</v>
      </c>
      <c r="E388" s="24">
        <v>32900000</v>
      </c>
      <c r="F388" s="39">
        <v>43829</v>
      </c>
      <c r="G388" s="24">
        <v>25223338</v>
      </c>
      <c r="H388" s="23">
        <v>5.0000000000000001E-3</v>
      </c>
      <c r="I388" s="39">
        <v>44256</v>
      </c>
      <c r="J388" s="39">
        <v>44269</v>
      </c>
      <c r="K388" s="24">
        <f t="shared" si="26"/>
        <v>14</v>
      </c>
      <c r="L388" s="24">
        <f t="shared" si="27"/>
        <v>4837</v>
      </c>
      <c r="M388" s="24">
        <v>24675005</v>
      </c>
    </row>
    <row r="389" spans="1:13" s="48" customFormat="1" outlineLevel="2">
      <c r="A389" s="39" t="s">
        <v>231</v>
      </c>
      <c r="B389" s="40" t="s">
        <v>39</v>
      </c>
      <c r="C389" s="41" t="s">
        <v>17</v>
      </c>
      <c r="D389" s="40"/>
      <c r="E389" s="24"/>
      <c r="F389" s="39"/>
      <c r="G389" s="24">
        <v>24675005</v>
      </c>
      <c r="H389" s="23">
        <v>5.0000000000000001E-3</v>
      </c>
      <c r="I389" s="39">
        <v>44270</v>
      </c>
      <c r="J389" s="39">
        <v>44286</v>
      </c>
      <c r="K389" s="24">
        <f t="shared" si="26"/>
        <v>17</v>
      </c>
      <c r="L389" s="24">
        <f t="shared" si="27"/>
        <v>5746</v>
      </c>
      <c r="M389" s="24"/>
    </row>
    <row r="390" spans="1:13" s="48" customFormat="1" outlineLevel="2">
      <c r="A390" s="39" t="s">
        <v>231</v>
      </c>
      <c r="B390" s="40" t="s">
        <v>54</v>
      </c>
      <c r="C390" s="41" t="s">
        <v>17</v>
      </c>
      <c r="D390" s="40" t="s">
        <v>18</v>
      </c>
      <c r="E390" s="24">
        <v>2790000</v>
      </c>
      <c r="F390" s="39">
        <v>43921</v>
      </c>
      <c r="G390" s="24">
        <v>2251583</v>
      </c>
      <c r="H390" s="23">
        <v>5.0000000000000001E-3</v>
      </c>
      <c r="I390" s="39">
        <v>44256</v>
      </c>
      <c r="J390" s="39">
        <v>44269</v>
      </c>
      <c r="K390" s="24">
        <f t="shared" si="26"/>
        <v>14</v>
      </c>
      <c r="L390" s="24">
        <f t="shared" si="27"/>
        <v>432</v>
      </c>
      <c r="M390" s="24">
        <v>2202636</v>
      </c>
    </row>
    <row r="391" spans="1:13" s="48" customFormat="1" outlineLevel="2">
      <c r="A391" s="39" t="s">
        <v>231</v>
      </c>
      <c r="B391" s="40" t="s">
        <v>54</v>
      </c>
      <c r="C391" s="41" t="s">
        <v>17</v>
      </c>
      <c r="D391" s="40"/>
      <c r="E391" s="24"/>
      <c r="F391" s="39"/>
      <c r="G391" s="24">
        <v>2202636</v>
      </c>
      <c r="H391" s="23">
        <v>5.0000000000000001E-3</v>
      </c>
      <c r="I391" s="39">
        <v>44270</v>
      </c>
      <c r="J391" s="39">
        <v>44286</v>
      </c>
      <c r="K391" s="24">
        <f t="shared" si="26"/>
        <v>17</v>
      </c>
      <c r="L391" s="24">
        <f t="shared" si="27"/>
        <v>513</v>
      </c>
      <c r="M391" s="24"/>
    </row>
    <row r="392" spans="1:13" s="48" customFormat="1" outlineLevel="2">
      <c r="A392" s="39" t="s">
        <v>231</v>
      </c>
      <c r="B392" s="40" t="s">
        <v>59</v>
      </c>
      <c r="C392" s="41" t="s">
        <v>55</v>
      </c>
      <c r="D392" s="40" t="s">
        <v>56</v>
      </c>
      <c r="E392" s="24">
        <v>12000000</v>
      </c>
      <c r="F392" s="39">
        <v>43948</v>
      </c>
      <c r="G392" s="24">
        <v>10000000</v>
      </c>
      <c r="H392" s="23">
        <v>5.0000000000000001E-3</v>
      </c>
      <c r="I392" s="39">
        <v>44256</v>
      </c>
      <c r="J392" s="39">
        <v>44269</v>
      </c>
      <c r="K392" s="24">
        <f t="shared" si="26"/>
        <v>14</v>
      </c>
      <c r="L392" s="24">
        <f t="shared" si="27"/>
        <v>1918</v>
      </c>
      <c r="M392" s="24">
        <v>9800000</v>
      </c>
    </row>
    <row r="393" spans="1:13" s="48" customFormat="1" outlineLevel="2">
      <c r="A393" s="39" t="s">
        <v>231</v>
      </c>
      <c r="B393" s="40" t="s">
        <v>59</v>
      </c>
      <c r="C393" s="41" t="s">
        <v>55</v>
      </c>
      <c r="D393" s="40"/>
      <c r="E393" s="24"/>
      <c r="F393" s="39"/>
      <c r="G393" s="24">
        <v>9800000</v>
      </c>
      <c r="H393" s="23">
        <v>5.0000000000000001E-3</v>
      </c>
      <c r="I393" s="39">
        <v>44270</v>
      </c>
      <c r="J393" s="39">
        <v>44286</v>
      </c>
      <c r="K393" s="24">
        <f t="shared" si="26"/>
        <v>17</v>
      </c>
      <c r="L393" s="24">
        <f t="shared" si="27"/>
        <v>2282</v>
      </c>
      <c r="M393" s="24"/>
    </row>
    <row r="394" spans="1:13" s="48" customFormat="1" outlineLevel="2">
      <c r="A394" s="39" t="s">
        <v>231</v>
      </c>
      <c r="B394" s="40" t="s">
        <v>62</v>
      </c>
      <c r="C394" s="41" t="s">
        <v>30</v>
      </c>
      <c r="D394" s="40" t="s">
        <v>31</v>
      </c>
      <c r="E394" s="24">
        <v>71750000</v>
      </c>
      <c r="F394" s="39">
        <v>43955</v>
      </c>
      <c r="G394" s="24">
        <v>71750000</v>
      </c>
      <c r="H394" s="23">
        <v>5.0000000000000001E-3</v>
      </c>
      <c r="I394" s="39">
        <v>44256</v>
      </c>
      <c r="J394" s="39">
        <v>44286</v>
      </c>
      <c r="K394" s="24">
        <f t="shared" si="26"/>
        <v>31</v>
      </c>
      <c r="L394" s="24">
        <f t="shared" si="27"/>
        <v>30469</v>
      </c>
      <c r="M394" s="24">
        <v>71750000</v>
      </c>
    </row>
    <row r="395" spans="1:13" s="48" customFormat="1" outlineLevel="2">
      <c r="A395" s="39" t="s">
        <v>231</v>
      </c>
      <c r="B395" s="40" t="s">
        <v>63</v>
      </c>
      <c r="C395" s="41" t="s">
        <v>55</v>
      </c>
      <c r="D395" s="40" t="s">
        <v>56</v>
      </c>
      <c r="E395" s="24">
        <v>10000000</v>
      </c>
      <c r="F395" s="39">
        <v>43963</v>
      </c>
      <c r="G395" s="24">
        <v>8333339</v>
      </c>
      <c r="H395" s="23">
        <v>5.0000000000000001E-3</v>
      </c>
      <c r="I395" s="39">
        <v>44256</v>
      </c>
      <c r="J395" s="39">
        <v>44269</v>
      </c>
      <c r="K395" s="24">
        <f t="shared" si="26"/>
        <v>14</v>
      </c>
      <c r="L395" s="24">
        <f t="shared" si="27"/>
        <v>1598</v>
      </c>
      <c r="M395" s="24">
        <v>8166673</v>
      </c>
    </row>
    <row r="396" spans="1:13" s="48" customFormat="1" outlineLevel="2">
      <c r="A396" s="39" t="s">
        <v>231</v>
      </c>
      <c r="B396" s="40" t="s">
        <v>63</v>
      </c>
      <c r="C396" s="41" t="s">
        <v>55</v>
      </c>
      <c r="D396" s="40"/>
      <c r="E396" s="24"/>
      <c r="F396" s="39"/>
      <c r="G396" s="24">
        <v>8166673</v>
      </c>
      <c r="H396" s="23">
        <v>5.0000000000000001E-3</v>
      </c>
      <c r="I396" s="39">
        <v>44270</v>
      </c>
      <c r="J396" s="39">
        <v>44286</v>
      </c>
      <c r="K396" s="24">
        <f t="shared" si="26"/>
        <v>17</v>
      </c>
      <c r="L396" s="24">
        <f t="shared" si="27"/>
        <v>1902</v>
      </c>
      <c r="M396" s="24"/>
    </row>
    <row r="397" spans="1:13" s="48" customFormat="1" outlineLevel="2">
      <c r="A397" s="39" t="s">
        <v>231</v>
      </c>
      <c r="B397" s="40" t="s">
        <v>64</v>
      </c>
      <c r="C397" s="41" t="s">
        <v>55</v>
      </c>
      <c r="D397" s="40" t="s">
        <v>56</v>
      </c>
      <c r="E397" s="24">
        <v>4000000</v>
      </c>
      <c r="F397" s="39">
        <v>43970</v>
      </c>
      <c r="G397" s="24">
        <v>3389836</v>
      </c>
      <c r="H397" s="23">
        <v>5.0000000000000001E-3</v>
      </c>
      <c r="I397" s="39">
        <v>44256</v>
      </c>
      <c r="J397" s="39">
        <v>44269</v>
      </c>
      <c r="K397" s="24">
        <f t="shared" si="26"/>
        <v>14</v>
      </c>
      <c r="L397" s="24">
        <f t="shared" si="27"/>
        <v>650</v>
      </c>
      <c r="M397" s="24">
        <v>3322040</v>
      </c>
    </row>
    <row r="398" spans="1:13" s="48" customFormat="1" outlineLevel="2">
      <c r="A398" s="39" t="s">
        <v>231</v>
      </c>
      <c r="B398" s="40" t="s">
        <v>64</v>
      </c>
      <c r="C398" s="41" t="s">
        <v>55</v>
      </c>
      <c r="D398" s="40"/>
      <c r="E398" s="24"/>
      <c r="F398" s="39"/>
      <c r="G398" s="24">
        <v>3322040</v>
      </c>
      <c r="H398" s="23">
        <v>5.0000000000000001E-3</v>
      </c>
      <c r="I398" s="39">
        <v>44270</v>
      </c>
      <c r="J398" s="39">
        <v>44286</v>
      </c>
      <c r="K398" s="24">
        <f t="shared" si="26"/>
        <v>17</v>
      </c>
      <c r="L398" s="24">
        <f t="shared" si="27"/>
        <v>774</v>
      </c>
      <c r="M398" s="24"/>
    </row>
    <row r="399" spans="1:13" s="48" customFormat="1" outlineLevel="2">
      <c r="A399" s="39" t="s">
        <v>231</v>
      </c>
      <c r="B399" s="40" t="s">
        <v>65</v>
      </c>
      <c r="C399" s="41" t="s">
        <v>55</v>
      </c>
      <c r="D399" s="40" t="s">
        <v>56</v>
      </c>
      <c r="E399" s="24">
        <v>18000000</v>
      </c>
      <c r="F399" s="39">
        <v>43977</v>
      </c>
      <c r="G399" s="24">
        <v>15254244</v>
      </c>
      <c r="H399" s="23">
        <v>5.0000000000000001E-3</v>
      </c>
      <c r="I399" s="39">
        <v>44256</v>
      </c>
      <c r="J399" s="39">
        <v>44269</v>
      </c>
      <c r="K399" s="24">
        <f t="shared" si="26"/>
        <v>14</v>
      </c>
      <c r="L399" s="24">
        <f t="shared" si="27"/>
        <v>2925</v>
      </c>
      <c r="M399" s="24">
        <v>14949160</v>
      </c>
    </row>
    <row r="400" spans="1:13" s="48" customFormat="1" outlineLevel="2">
      <c r="A400" s="39" t="s">
        <v>231</v>
      </c>
      <c r="B400" s="40" t="s">
        <v>65</v>
      </c>
      <c r="C400" s="41" t="s">
        <v>55</v>
      </c>
      <c r="D400" s="40"/>
      <c r="E400" s="24"/>
      <c r="F400" s="39"/>
      <c r="G400" s="24">
        <v>14949160</v>
      </c>
      <c r="H400" s="23">
        <v>5.0000000000000001E-3</v>
      </c>
      <c r="I400" s="39">
        <v>44270</v>
      </c>
      <c r="J400" s="39">
        <v>44286</v>
      </c>
      <c r="K400" s="24">
        <f t="shared" si="26"/>
        <v>17</v>
      </c>
      <c r="L400" s="24">
        <f t="shared" si="27"/>
        <v>3481</v>
      </c>
      <c r="M400" s="24"/>
    </row>
    <row r="401" spans="1:13" s="48" customFormat="1" outlineLevel="2">
      <c r="A401" s="39" t="s">
        <v>231</v>
      </c>
      <c r="B401" s="40" t="s">
        <v>68</v>
      </c>
      <c r="C401" s="41" t="s">
        <v>55</v>
      </c>
      <c r="D401" s="40" t="s">
        <v>56</v>
      </c>
      <c r="E401" s="24">
        <v>6000000</v>
      </c>
      <c r="F401" s="39">
        <v>43984</v>
      </c>
      <c r="G401" s="24">
        <v>5084754</v>
      </c>
      <c r="H401" s="23">
        <v>5.0000000000000001E-3</v>
      </c>
      <c r="I401" s="39">
        <v>44256</v>
      </c>
      <c r="J401" s="39">
        <v>44269</v>
      </c>
      <c r="K401" s="24">
        <f t="shared" si="26"/>
        <v>14</v>
      </c>
      <c r="L401" s="24">
        <f t="shared" si="27"/>
        <v>975</v>
      </c>
      <c r="M401" s="24">
        <v>4983060</v>
      </c>
    </row>
    <row r="402" spans="1:13" s="48" customFormat="1" outlineLevel="2">
      <c r="A402" s="39" t="s">
        <v>231</v>
      </c>
      <c r="B402" s="40" t="s">
        <v>68</v>
      </c>
      <c r="C402" s="41" t="s">
        <v>55</v>
      </c>
      <c r="D402" s="40"/>
      <c r="E402" s="24"/>
      <c r="F402" s="39"/>
      <c r="G402" s="24">
        <v>4983060</v>
      </c>
      <c r="H402" s="23">
        <v>5.0000000000000001E-3</v>
      </c>
      <c r="I402" s="39">
        <v>44270</v>
      </c>
      <c r="J402" s="39">
        <v>44286</v>
      </c>
      <c r="K402" s="24">
        <f t="shared" si="26"/>
        <v>17</v>
      </c>
      <c r="L402" s="24">
        <f t="shared" si="27"/>
        <v>1160</v>
      </c>
      <c r="M402" s="24"/>
    </row>
    <row r="403" spans="1:13" s="48" customFormat="1" outlineLevel="1">
      <c r="A403" s="42" t="s">
        <v>234</v>
      </c>
      <c r="B403" s="43"/>
      <c r="C403" s="44"/>
      <c r="D403" s="43"/>
      <c r="E403" s="45">
        <f>SUBTOTAL(9,E375:E402)</f>
        <v>1056900000</v>
      </c>
      <c r="F403" s="46"/>
      <c r="G403" s="45"/>
      <c r="H403" s="47"/>
      <c r="I403" s="46"/>
      <c r="J403" s="46"/>
      <c r="K403" s="45"/>
      <c r="L403" s="45">
        <f>SUBTOTAL(9,L375:L402)</f>
        <v>316385</v>
      </c>
      <c r="M403" s="45">
        <f>SUBTOTAL(9,M375:M402)</f>
        <v>1000088574</v>
      </c>
    </row>
    <row r="404" spans="1:13" s="48" customFormat="1" outlineLevel="2">
      <c r="A404" s="39" t="s">
        <v>235</v>
      </c>
      <c r="B404" s="40" t="s">
        <v>16</v>
      </c>
      <c r="C404" s="41" t="s">
        <v>17</v>
      </c>
      <c r="D404" s="40" t="s">
        <v>18</v>
      </c>
      <c r="E404" s="24">
        <v>50000000</v>
      </c>
      <c r="F404" s="39">
        <v>43829</v>
      </c>
      <c r="G404" s="24">
        <v>38333324</v>
      </c>
      <c r="H404" s="23">
        <v>5.0000000000000001E-3</v>
      </c>
      <c r="I404" s="39">
        <v>44256</v>
      </c>
      <c r="J404" s="39">
        <v>44269</v>
      </c>
      <c r="K404" s="24">
        <f t="shared" ref="K404:K415" si="28">J404-I404+1</f>
        <v>14</v>
      </c>
      <c r="L404" s="24">
        <f t="shared" ref="L404:L415" si="29">ROUND(G404*H404*K404/365,0)</f>
        <v>7352</v>
      </c>
      <c r="M404" s="24">
        <v>37499990</v>
      </c>
    </row>
    <row r="405" spans="1:13" s="48" customFormat="1" outlineLevel="2">
      <c r="A405" s="39" t="s">
        <v>235</v>
      </c>
      <c r="B405" s="40" t="s">
        <v>16</v>
      </c>
      <c r="C405" s="41" t="s">
        <v>17</v>
      </c>
      <c r="D405" s="40"/>
      <c r="E405" s="24"/>
      <c r="F405" s="39"/>
      <c r="G405" s="24">
        <v>37499990</v>
      </c>
      <c r="H405" s="23">
        <v>5.0000000000000001E-3</v>
      </c>
      <c r="I405" s="39">
        <v>44270</v>
      </c>
      <c r="J405" s="39">
        <v>44286</v>
      </c>
      <c r="K405" s="24">
        <f t="shared" si="28"/>
        <v>17</v>
      </c>
      <c r="L405" s="24">
        <f t="shared" si="29"/>
        <v>8733</v>
      </c>
      <c r="M405" s="24"/>
    </row>
    <row r="406" spans="1:13" s="48" customFormat="1" outlineLevel="2">
      <c r="A406" s="39" t="s">
        <v>235</v>
      </c>
      <c r="B406" s="40" t="s">
        <v>39</v>
      </c>
      <c r="C406" s="41" t="s">
        <v>17</v>
      </c>
      <c r="D406" s="40" t="s">
        <v>18</v>
      </c>
      <c r="E406" s="24">
        <v>25200000</v>
      </c>
      <c r="F406" s="39">
        <v>43829</v>
      </c>
      <c r="G406" s="24">
        <v>19320000</v>
      </c>
      <c r="H406" s="23">
        <v>5.0000000000000001E-3</v>
      </c>
      <c r="I406" s="39">
        <v>44256</v>
      </c>
      <c r="J406" s="39">
        <v>44269</v>
      </c>
      <c r="K406" s="24">
        <f t="shared" si="28"/>
        <v>14</v>
      </c>
      <c r="L406" s="24">
        <f t="shared" si="29"/>
        <v>3705</v>
      </c>
      <c r="M406" s="24">
        <v>18900000</v>
      </c>
    </row>
    <row r="407" spans="1:13" s="48" customFormat="1" outlineLevel="2">
      <c r="A407" s="39" t="s">
        <v>235</v>
      </c>
      <c r="B407" s="40" t="s">
        <v>39</v>
      </c>
      <c r="C407" s="41" t="s">
        <v>17</v>
      </c>
      <c r="D407" s="40"/>
      <c r="E407" s="24"/>
      <c r="F407" s="39"/>
      <c r="G407" s="24">
        <v>18900000</v>
      </c>
      <c r="H407" s="23">
        <v>5.0000000000000001E-3</v>
      </c>
      <c r="I407" s="39">
        <v>44270</v>
      </c>
      <c r="J407" s="39">
        <v>44286</v>
      </c>
      <c r="K407" s="24">
        <f t="shared" si="28"/>
        <v>17</v>
      </c>
      <c r="L407" s="24">
        <f t="shared" si="29"/>
        <v>4401</v>
      </c>
      <c r="M407" s="24"/>
    </row>
    <row r="408" spans="1:13" s="48" customFormat="1" outlineLevel="2">
      <c r="A408" s="39" t="s">
        <v>235</v>
      </c>
      <c r="B408" s="40" t="s">
        <v>54</v>
      </c>
      <c r="C408" s="41" t="s">
        <v>17</v>
      </c>
      <c r="D408" s="40" t="s">
        <v>18</v>
      </c>
      <c r="E408" s="24">
        <v>11310000</v>
      </c>
      <c r="F408" s="39">
        <v>43920</v>
      </c>
      <c r="G408" s="24">
        <v>9127369</v>
      </c>
      <c r="H408" s="23">
        <v>5.0000000000000001E-3</v>
      </c>
      <c r="I408" s="39">
        <v>44256</v>
      </c>
      <c r="J408" s="39">
        <v>44269</v>
      </c>
      <c r="K408" s="24">
        <f t="shared" si="28"/>
        <v>14</v>
      </c>
      <c r="L408" s="24">
        <f t="shared" si="29"/>
        <v>1750</v>
      </c>
      <c r="M408" s="24">
        <v>8928948</v>
      </c>
    </row>
    <row r="409" spans="1:13" s="48" customFormat="1" outlineLevel="2">
      <c r="A409" s="39" t="s">
        <v>235</v>
      </c>
      <c r="B409" s="40" t="s">
        <v>54</v>
      </c>
      <c r="C409" s="41" t="s">
        <v>17</v>
      </c>
      <c r="D409" s="40"/>
      <c r="E409" s="24"/>
      <c r="F409" s="39"/>
      <c r="G409" s="24">
        <v>8928948</v>
      </c>
      <c r="H409" s="23">
        <v>5.0000000000000001E-3</v>
      </c>
      <c r="I409" s="39">
        <v>44270</v>
      </c>
      <c r="J409" s="39">
        <v>44286</v>
      </c>
      <c r="K409" s="24">
        <f t="shared" si="28"/>
        <v>17</v>
      </c>
      <c r="L409" s="24">
        <f t="shared" si="29"/>
        <v>2079</v>
      </c>
      <c r="M409" s="24"/>
    </row>
    <row r="410" spans="1:13" s="48" customFormat="1" outlineLevel="2">
      <c r="A410" s="39" t="s">
        <v>235</v>
      </c>
      <c r="B410" s="40" t="s">
        <v>59</v>
      </c>
      <c r="C410" s="41" t="s">
        <v>17</v>
      </c>
      <c r="D410" s="40" t="s">
        <v>18</v>
      </c>
      <c r="E410" s="24">
        <v>6050000</v>
      </c>
      <c r="F410" s="39">
        <v>43990</v>
      </c>
      <c r="G410" s="24">
        <v>5060000</v>
      </c>
      <c r="H410" s="23">
        <v>5.0000000000000001E-3</v>
      </c>
      <c r="I410" s="39">
        <v>44256</v>
      </c>
      <c r="J410" s="39">
        <v>44269</v>
      </c>
      <c r="K410" s="24">
        <f t="shared" si="28"/>
        <v>14</v>
      </c>
      <c r="L410" s="24">
        <f t="shared" si="29"/>
        <v>970</v>
      </c>
      <c r="M410" s="24">
        <v>4950000</v>
      </c>
    </row>
    <row r="411" spans="1:13" s="48" customFormat="1" outlineLevel="2">
      <c r="A411" s="39" t="s">
        <v>235</v>
      </c>
      <c r="B411" s="40" t="s">
        <v>59</v>
      </c>
      <c r="C411" s="41" t="s">
        <v>17</v>
      </c>
      <c r="D411" s="40"/>
      <c r="E411" s="24"/>
      <c r="F411" s="39"/>
      <c r="G411" s="24">
        <v>4950000</v>
      </c>
      <c r="H411" s="23">
        <v>5.0000000000000001E-3</v>
      </c>
      <c r="I411" s="39">
        <v>44270</v>
      </c>
      <c r="J411" s="39">
        <v>44286</v>
      </c>
      <c r="K411" s="24">
        <f t="shared" si="28"/>
        <v>17</v>
      </c>
      <c r="L411" s="24">
        <f t="shared" si="29"/>
        <v>1153</v>
      </c>
      <c r="M411" s="24"/>
    </row>
    <row r="412" spans="1:13" s="48" customFormat="1" outlineLevel="2">
      <c r="A412" s="39" t="s">
        <v>235</v>
      </c>
      <c r="B412" s="40" t="s">
        <v>62</v>
      </c>
      <c r="C412" s="41" t="s">
        <v>17</v>
      </c>
      <c r="D412" s="40" t="s">
        <v>18</v>
      </c>
      <c r="E412" s="24">
        <v>7541000</v>
      </c>
      <c r="F412" s="39">
        <v>44074</v>
      </c>
      <c r="G412" s="24">
        <v>6670886</v>
      </c>
      <c r="H412" s="23">
        <v>5.0000000000000001E-3</v>
      </c>
      <c r="I412" s="39">
        <v>44256</v>
      </c>
      <c r="J412" s="39">
        <v>44269</v>
      </c>
      <c r="K412" s="24">
        <f t="shared" si="28"/>
        <v>14</v>
      </c>
      <c r="L412" s="24">
        <f t="shared" si="29"/>
        <v>1279</v>
      </c>
      <c r="M412" s="24">
        <v>6525867</v>
      </c>
    </row>
    <row r="413" spans="1:13" s="48" customFormat="1" outlineLevel="2">
      <c r="A413" s="39" t="s">
        <v>235</v>
      </c>
      <c r="B413" s="40" t="s">
        <v>62</v>
      </c>
      <c r="C413" s="41" t="s">
        <v>17</v>
      </c>
      <c r="D413" s="40"/>
      <c r="E413" s="24"/>
      <c r="F413" s="39"/>
      <c r="G413" s="24">
        <v>6525867</v>
      </c>
      <c r="H413" s="23">
        <v>5.0000000000000001E-3</v>
      </c>
      <c r="I413" s="39">
        <v>44270</v>
      </c>
      <c r="J413" s="39">
        <v>44286</v>
      </c>
      <c r="K413" s="24">
        <f t="shared" si="28"/>
        <v>17</v>
      </c>
      <c r="L413" s="24">
        <f t="shared" si="29"/>
        <v>1520</v>
      </c>
      <c r="M413" s="24"/>
    </row>
    <row r="414" spans="1:13" s="48" customFormat="1" outlineLevel="2">
      <c r="A414" s="39" t="s">
        <v>235</v>
      </c>
      <c r="B414" s="40" t="s">
        <v>63</v>
      </c>
      <c r="C414" s="41" t="s">
        <v>17</v>
      </c>
      <c r="D414" s="40" t="s">
        <v>18</v>
      </c>
      <c r="E414" s="24">
        <v>8986000</v>
      </c>
      <c r="F414" s="39">
        <v>44160</v>
      </c>
      <c r="G414" s="24">
        <v>8435836</v>
      </c>
      <c r="H414" s="23">
        <v>5.0000000000000001E-3</v>
      </c>
      <c r="I414" s="39">
        <v>44256</v>
      </c>
      <c r="J414" s="39">
        <v>44269</v>
      </c>
      <c r="K414" s="24">
        <f t="shared" si="28"/>
        <v>14</v>
      </c>
      <c r="L414" s="24">
        <f t="shared" si="29"/>
        <v>1618</v>
      </c>
      <c r="M414" s="24">
        <v>8252448</v>
      </c>
    </row>
    <row r="415" spans="1:13" s="48" customFormat="1" outlineLevel="2">
      <c r="A415" s="39" t="s">
        <v>235</v>
      </c>
      <c r="B415" s="40" t="s">
        <v>63</v>
      </c>
      <c r="C415" s="41" t="s">
        <v>17</v>
      </c>
      <c r="D415" s="40"/>
      <c r="E415" s="24"/>
      <c r="F415" s="39"/>
      <c r="G415" s="24">
        <v>8252448</v>
      </c>
      <c r="H415" s="23">
        <v>5.0000000000000001E-3</v>
      </c>
      <c r="I415" s="39">
        <v>44270</v>
      </c>
      <c r="J415" s="39">
        <v>44286</v>
      </c>
      <c r="K415" s="24">
        <f t="shared" si="28"/>
        <v>17</v>
      </c>
      <c r="L415" s="24">
        <f t="shared" si="29"/>
        <v>1922</v>
      </c>
      <c r="M415" s="24"/>
    </row>
    <row r="416" spans="1:13" s="48" customFormat="1" outlineLevel="1">
      <c r="A416" s="42" t="s">
        <v>236</v>
      </c>
      <c r="B416" s="43"/>
      <c r="C416" s="44"/>
      <c r="D416" s="43"/>
      <c r="E416" s="45">
        <f>SUBTOTAL(9,E404:E415)</f>
        <v>109087000</v>
      </c>
      <c r="F416" s="46"/>
      <c r="G416" s="45"/>
      <c r="H416" s="47"/>
      <c r="I416" s="46"/>
      <c r="J416" s="46"/>
      <c r="K416" s="45"/>
      <c r="L416" s="45">
        <f>SUBTOTAL(9,L404:L415)</f>
        <v>36482</v>
      </c>
      <c r="M416" s="45">
        <f>SUBTOTAL(9,M404:M415)</f>
        <v>85057253</v>
      </c>
    </row>
    <row r="417" spans="1:13" s="48" customFormat="1" outlineLevel="2">
      <c r="A417" s="39" t="s">
        <v>237</v>
      </c>
      <c r="B417" s="40" t="s">
        <v>16</v>
      </c>
      <c r="C417" s="41" t="s">
        <v>45</v>
      </c>
      <c r="D417" s="40" t="s">
        <v>46</v>
      </c>
      <c r="E417" s="24">
        <v>4300000</v>
      </c>
      <c r="F417" s="39">
        <v>43966</v>
      </c>
      <c r="G417" s="24">
        <v>4300000</v>
      </c>
      <c r="H417" s="23">
        <v>5.0000000000000001E-3</v>
      </c>
      <c r="I417" s="39">
        <v>44256</v>
      </c>
      <c r="J417" s="39">
        <v>44286</v>
      </c>
      <c r="K417" s="24">
        <f>J417-I417+1</f>
        <v>31</v>
      </c>
      <c r="L417" s="24">
        <f>ROUND(G417*H417*K417/365,0)</f>
        <v>1826</v>
      </c>
      <c r="M417" s="24">
        <v>4300000</v>
      </c>
    </row>
    <row r="418" spans="1:13" s="48" customFormat="1" outlineLevel="2">
      <c r="A418" s="39" t="s">
        <v>237</v>
      </c>
      <c r="B418" s="40" t="s">
        <v>39</v>
      </c>
      <c r="C418" s="41" t="s">
        <v>66</v>
      </c>
      <c r="D418" s="40" t="s">
        <v>67</v>
      </c>
      <c r="E418" s="24">
        <v>120000000</v>
      </c>
      <c r="F418" s="39">
        <v>44060</v>
      </c>
      <c r="G418" s="24">
        <v>120000000</v>
      </c>
      <c r="H418" s="23">
        <v>5.0000000000000001E-3</v>
      </c>
      <c r="I418" s="39">
        <v>44256</v>
      </c>
      <c r="J418" s="39">
        <v>44286</v>
      </c>
      <c r="K418" s="24">
        <f>J418-I418+1</f>
        <v>31</v>
      </c>
      <c r="L418" s="24">
        <f>ROUND(G418*H418*K418/365,0)</f>
        <v>50959</v>
      </c>
      <c r="M418" s="24">
        <v>120000000</v>
      </c>
    </row>
    <row r="419" spans="1:13" s="48" customFormat="1" outlineLevel="1">
      <c r="A419" s="42" t="s">
        <v>238</v>
      </c>
      <c r="B419" s="43"/>
      <c r="C419" s="44"/>
      <c r="D419" s="43"/>
      <c r="E419" s="45">
        <f>SUBTOTAL(9,E417:E418)</f>
        <v>124300000</v>
      </c>
      <c r="F419" s="46"/>
      <c r="G419" s="45"/>
      <c r="H419" s="47"/>
      <c r="I419" s="46"/>
      <c r="J419" s="46"/>
      <c r="K419" s="45"/>
      <c r="L419" s="45">
        <f>SUBTOTAL(9,L417:L418)</f>
        <v>52785</v>
      </c>
      <c r="M419" s="45">
        <f>SUBTOTAL(9,M417:M418)</f>
        <v>124300000</v>
      </c>
    </row>
    <row r="420" spans="1:13" s="48" customFormat="1" outlineLevel="2">
      <c r="A420" s="39" t="s">
        <v>239</v>
      </c>
      <c r="B420" s="40" t="s">
        <v>16</v>
      </c>
      <c r="C420" s="41" t="s">
        <v>109</v>
      </c>
      <c r="D420" s="40" t="s">
        <v>110</v>
      </c>
      <c r="E420" s="24">
        <v>38650000</v>
      </c>
      <c r="F420" s="39">
        <v>43986</v>
      </c>
      <c r="G420" s="24">
        <v>38650000</v>
      </c>
      <c r="H420" s="23">
        <v>5.0000000000000001E-3</v>
      </c>
      <c r="I420" s="39">
        <v>44256</v>
      </c>
      <c r="J420" s="39">
        <v>44286</v>
      </c>
      <c r="K420" s="24">
        <f t="shared" ref="K420:K456" si="30">J420-I420+1</f>
        <v>31</v>
      </c>
      <c r="L420" s="24">
        <f t="shared" ref="L420:L456" si="31">ROUND(G420*H420*K420/365,0)</f>
        <v>16413</v>
      </c>
      <c r="M420" s="24">
        <v>38650000</v>
      </c>
    </row>
    <row r="421" spans="1:13" s="48" customFormat="1" outlineLevel="2">
      <c r="A421" s="39" t="s">
        <v>239</v>
      </c>
      <c r="B421" s="40" t="s">
        <v>19</v>
      </c>
      <c r="C421" s="41" t="s">
        <v>125</v>
      </c>
      <c r="D421" s="40" t="s">
        <v>126</v>
      </c>
      <c r="E421" s="24">
        <v>23000000</v>
      </c>
      <c r="F421" s="39">
        <v>44155</v>
      </c>
      <c r="G421" s="24">
        <v>23000000</v>
      </c>
      <c r="H421" s="23">
        <v>5.0000000000000001E-3</v>
      </c>
      <c r="I421" s="39">
        <v>44256</v>
      </c>
      <c r="J421" s="39">
        <v>44286</v>
      </c>
      <c r="K421" s="24">
        <f t="shared" si="30"/>
        <v>31</v>
      </c>
      <c r="L421" s="24">
        <f t="shared" si="31"/>
        <v>9767</v>
      </c>
      <c r="M421" s="24">
        <v>23000000</v>
      </c>
    </row>
    <row r="422" spans="1:13" s="48" customFormat="1" outlineLevel="2">
      <c r="A422" s="39" t="s">
        <v>239</v>
      </c>
      <c r="B422" s="40" t="s">
        <v>22</v>
      </c>
      <c r="C422" s="41" t="s">
        <v>125</v>
      </c>
      <c r="D422" s="40" t="s">
        <v>126</v>
      </c>
      <c r="E422" s="24">
        <v>1000000</v>
      </c>
      <c r="F422" s="39">
        <v>44160</v>
      </c>
      <c r="G422" s="24">
        <v>1000000</v>
      </c>
      <c r="H422" s="23">
        <v>5.0000000000000001E-3</v>
      </c>
      <c r="I422" s="39">
        <v>44256</v>
      </c>
      <c r="J422" s="39">
        <v>44286</v>
      </c>
      <c r="K422" s="24">
        <f t="shared" si="30"/>
        <v>31</v>
      </c>
      <c r="L422" s="24">
        <f t="shared" si="31"/>
        <v>425</v>
      </c>
      <c r="M422" s="24">
        <v>1000000</v>
      </c>
    </row>
    <row r="423" spans="1:13" s="48" customFormat="1" outlineLevel="2">
      <c r="A423" s="39" t="s">
        <v>239</v>
      </c>
      <c r="B423" s="40" t="s">
        <v>25</v>
      </c>
      <c r="C423" s="41" t="s">
        <v>95</v>
      </c>
      <c r="D423" s="40" t="s">
        <v>96</v>
      </c>
      <c r="E423" s="24">
        <v>6030000</v>
      </c>
      <c r="F423" s="39">
        <v>44145</v>
      </c>
      <c r="G423" s="24">
        <v>6030000</v>
      </c>
      <c r="H423" s="23">
        <v>5.0000000000000001E-3</v>
      </c>
      <c r="I423" s="39">
        <v>44256</v>
      </c>
      <c r="J423" s="39">
        <v>44286</v>
      </c>
      <c r="K423" s="24">
        <f t="shared" si="30"/>
        <v>31</v>
      </c>
      <c r="L423" s="24">
        <f t="shared" si="31"/>
        <v>2561</v>
      </c>
      <c r="M423" s="24">
        <v>6030000</v>
      </c>
    </row>
    <row r="424" spans="1:13" s="48" customFormat="1" outlineLevel="2">
      <c r="A424" s="39" t="s">
        <v>239</v>
      </c>
      <c r="B424" s="40" t="s">
        <v>26</v>
      </c>
      <c r="C424" s="41" t="s">
        <v>240</v>
      </c>
      <c r="D424" s="40" t="s">
        <v>241</v>
      </c>
      <c r="E424" s="24">
        <v>16018839</v>
      </c>
      <c r="F424" s="39">
        <v>44188</v>
      </c>
      <c r="G424" s="24">
        <v>16018839</v>
      </c>
      <c r="H424" s="23">
        <v>5.0000000000000001E-3</v>
      </c>
      <c r="I424" s="39">
        <v>44256</v>
      </c>
      <c r="J424" s="39">
        <v>44286</v>
      </c>
      <c r="K424" s="24">
        <f t="shared" si="30"/>
        <v>31</v>
      </c>
      <c r="L424" s="24">
        <f t="shared" si="31"/>
        <v>6803</v>
      </c>
      <c r="M424" s="24">
        <v>16018839</v>
      </c>
    </row>
    <row r="425" spans="1:13" s="48" customFormat="1" outlineLevel="2">
      <c r="A425" s="39" t="s">
        <v>239</v>
      </c>
      <c r="B425" s="40" t="s">
        <v>29</v>
      </c>
      <c r="C425" s="41" t="s">
        <v>240</v>
      </c>
      <c r="D425" s="40" t="s">
        <v>241</v>
      </c>
      <c r="E425" s="24">
        <v>31481161</v>
      </c>
      <c r="F425" s="39">
        <v>44188</v>
      </c>
      <c r="G425" s="24">
        <v>31481161</v>
      </c>
      <c r="H425" s="23">
        <v>5.0000000000000001E-3</v>
      </c>
      <c r="I425" s="39">
        <v>44256</v>
      </c>
      <c r="J425" s="39">
        <v>44286</v>
      </c>
      <c r="K425" s="24">
        <f t="shared" si="30"/>
        <v>31</v>
      </c>
      <c r="L425" s="24">
        <f t="shared" si="31"/>
        <v>13369</v>
      </c>
      <c r="M425" s="24">
        <v>31481161</v>
      </c>
    </row>
    <row r="426" spans="1:13" s="48" customFormat="1" outlineLevel="2">
      <c r="A426" s="39" t="s">
        <v>239</v>
      </c>
      <c r="B426" s="40" t="s">
        <v>32</v>
      </c>
      <c r="C426" s="41" t="s">
        <v>242</v>
      </c>
      <c r="D426" s="40" t="s">
        <v>243</v>
      </c>
      <c r="E426" s="24">
        <v>10000000</v>
      </c>
      <c r="F426" s="39">
        <v>44172</v>
      </c>
      <c r="G426" s="24">
        <v>10000000</v>
      </c>
      <c r="H426" s="23">
        <v>5.0000000000000001E-3</v>
      </c>
      <c r="I426" s="39">
        <v>44256</v>
      </c>
      <c r="J426" s="39">
        <v>44286</v>
      </c>
      <c r="K426" s="24">
        <f t="shared" si="30"/>
        <v>31</v>
      </c>
      <c r="L426" s="24">
        <f t="shared" si="31"/>
        <v>4247</v>
      </c>
      <c r="M426" s="24">
        <v>10000000</v>
      </c>
    </row>
    <row r="427" spans="1:13" s="48" customFormat="1" outlineLevel="2">
      <c r="A427" s="39" t="s">
        <v>239</v>
      </c>
      <c r="B427" s="40" t="s">
        <v>33</v>
      </c>
      <c r="C427" s="41" t="s">
        <v>242</v>
      </c>
      <c r="D427" s="40" t="s">
        <v>243</v>
      </c>
      <c r="E427" s="24">
        <v>10000000</v>
      </c>
      <c r="F427" s="39">
        <v>44181</v>
      </c>
      <c r="G427" s="24">
        <v>10000000</v>
      </c>
      <c r="H427" s="23">
        <v>5.0000000000000001E-3</v>
      </c>
      <c r="I427" s="39">
        <v>44256</v>
      </c>
      <c r="J427" s="39">
        <v>44286</v>
      </c>
      <c r="K427" s="24">
        <f t="shared" si="30"/>
        <v>31</v>
      </c>
      <c r="L427" s="24">
        <f t="shared" si="31"/>
        <v>4247</v>
      </c>
      <c r="M427" s="24">
        <v>10000000</v>
      </c>
    </row>
    <row r="428" spans="1:13" s="48" customFormat="1" outlineLevel="2">
      <c r="A428" s="39" t="s">
        <v>239</v>
      </c>
      <c r="B428" s="40" t="s">
        <v>34</v>
      </c>
      <c r="C428" s="41" t="s">
        <v>244</v>
      </c>
      <c r="D428" s="40" t="s">
        <v>245</v>
      </c>
      <c r="E428" s="24">
        <v>210000000</v>
      </c>
      <c r="F428" s="39">
        <v>44172</v>
      </c>
      <c r="G428" s="24">
        <v>210000000</v>
      </c>
      <c r="H428" s="23">
        <v>5.0000000000000001E-3</v>
      </c>
      <c r="I428" s="39">
        <v>44256</v>
      </c>
      <c r="J428" s="39">
        <v>44286</v>
      </c>
      <c r="K428" s="24">
        <f t="shared" si="30"/>
        <v>31</v>
      </c>
      <c r="L428" s="24">
        <f t="shared" si="31"/>
        <v>89178</v>
      </c>
      <c r="M428" s="24">
        <v>210000000</v>
      </c>
    </row>
    <row r="429" spans="1:13" s="48" customFormat="1" outlineLevel="2">
      <c r="A429" s="39" t="s">
        <v>239</v>
      </c>
      <c r="B429" s="40" t="s">
        <v>35</v>
      </c>
      <c r="C429" s="41" t="s">
        <v>246</v>
      </c>
      <c r="D429" s="40" t="s">
        <v>247</v>
      </c>
      <c r="E429" s="24">
        <v>3000000</v>
      </c>
      <c r="F429" s="39">
        <v>44167</v>
      </c>
      <c r="G429" s="24">
        <v>3000000</v>
      </c>
      <c r="H429" s="23">
        <v>5.0000000000000001E-3</v>
      </c>
      <c r="I429" s="39">
        <v>44256</v>
      </c>
      <c r="J429" s="39">
        <v>44286</v>
      </c>
      <c r="K429" s="24">
        <f t="shared" si="30"/>
        <v>31</v>
      </c>
      <c r="L429" s="24">
        <f t="shared" si="31"/>
        <v>1274</v>
      </c>
      <c r="M429" s="24">
        <v>3000000</v>
      </c>
    </row>
    <row r="430" spans="1:13" s="48" customFormat="1" outlineLevel="2">
      <c r="A430" s="39" t="s">
        <v>239</v>
      </c>
      <c r="B430" s="40" t="s">
        <v>36</v>
      </c>
      <c r="C430" s="41" t="s">
        <v>95</v>
      </c>
      <c r="D430" s="40" t="s">
        <v>96</v>
      </c>
      <c r="E430" s="24">
        <v>5530000</v>
      </c>
      <c r="F430" s="39">
        <v>44168</v>
      </c>
      <c r="G430" s="24">
        <v>5530000</v>
      </c>
      <c r="H430" s="23">
        <v>5.0000000000000001E-3</v>
      </c>
      <c r="I430" s="39">
        <v>44256</v>
      </c>
      <c r="J430" s="39">
        <v>44286</v>
      </c>
      <c r="K430" s="24">
        <f t="shared" si="30"/>
        <v>31</v>
      </c>
      <c r="L430" s="24">
        <f t="shared" si="31"/>
        <v>2348</v>
      </c>
      <c r="M430" s="24">
        <v>5530000</v>
      </c>
    </row>
    <row r="431" spans="1:13" s="48" customFormat="1" outlineLevel="2">
      <c r="A431" s="39" t="s">
        <v>239</v>
      </c>
      <c r="B431" s="40" t="s">
        <v>39</v>
      </c>
      <c r="C431" s="41" t="s">
        <v>248</v>
      </c>
      <c r="D431" s="40" t="s">
        <v>249</v>
      </c>
      <c r="E431" s="24">
        <v>23530000</v>
      </c>
      <c r="F431" s="39">
        <v>44013</v>
      </c>
      <c r="G431" s="24">
        <v>23530000</v>
      </c>
      <c r="H431" s="23">
        <v>5.0000000000000001E-3</v>
      </c>
      <c r="I431" s="39">
        <v>44256</v>
      </c>
      <c r="J431" s="39">
        <v>44286</v>
      </c>
      <c r="K431" s="24">
        <f t="shared" si="30"/>
        <v>31</v>
      </c>
      <c r="L431" s="24">
        <f t="shared" si="31"/>
        <v>9992</v>
      </c>
      <c r="M431" s="24">
        <v>23530000</v>
      </c>
    </row>
    <row r="432" spans="1:13" s="48" customFormat="1" outlineLevel="2">
      <c r="A432" s="39" t="s">
        <v>239</v>
      </c>
      <c r="B432" s="40" t="s">
        <v>40</v>
      </c>
      <c r="C432" s="41" t="s">
        <v>242</v>
      </c>
      <c r="D432" s="40" t="s">
        <v>243</v>
      </c>
      <c r="E432" s="24">
        <v>10000000</v>
      </c>
      <c r="F432" s="39">
        <v>44208</v>
      </c>
      <c r="G432" s="24">
        <v>10000000</v>
      </c>
      <c r="H432" s="23">
        <v>5.0000000000000001E-3</v>
      </c>
      <c r="I432" s="39">
        <v>44256</v>
      </c>
      <c r="J432" s="39">
        <v>44286</v>
      </c>
      <c r="K432" s="24">
        <f t="shared" si="30"/>
        <v>31</v>
      </c>
      <c r="L432" s="24">
        <f t="shared" si="31"/>
        <v>4247</v>
      </c>
      <c r="M432" s="24">
        <v>10000000</v>
      </c>
    </row>
    <row r="433" spans="1:13" s="48" customFormat="1" outlineLevel="2">
      <c r="A433" s="39" t="s">
        <v>239</v>
      </c>
      <c r="B433" s="40" t="s">
        <v>41</v>
      </c>
      <c r="C433" s="41" t="s">
        <v>125</v>
      </c>
      <c r="D433" s="40" t="s">
        <v>126</v>
      </c>
      <c r="E433" s="24">
        <v>28000000</v>
      </c>
      <c r="F433" s="39">
        <v>44217</v>
      </c>
      <c r="G433" s="24">
        <v>28000000</v>
      </c>
      <c r="H433" s="23">
        <v>5.0000000000000001E-3</v>
      </c>
      <c r="I433" s="39">
        <v>44256</v>
      </c>
      <c r="J433" s="39">
        <v>44286</v>
      </c>
      <c r="K433" s="24">
        <f t="shared" si="30"/>
        <v>31</v>
      </c>
      <c r="L433" s="24">
        <f t="shared" si="31"/>
        <v>11890</v>
      </c>
      <c r="M433" s="24">
        <v>28000000</v>
      </c>
    </row>
    <row r="434" spans="1:13" s="48" customFormat="1" outlineLevel="2">
      <c r="A434" s="39" t="s">
        <v>239</v>
      </c>
      <c r="B434" s="40" t="s">
        <v>42</v>
      </c>
      <c r="C434" s="41" t="s">
        <v>250</v>
      </c>
      <c r="D434" s="40" t="s">
        <v>251</v>
      </c>
      <c r="E434" s="24">
        <v>22500000</v>
      </c>
      <c r="F434" s="39">
        <v>44215</v>
      </c>
      <c r="G434" s="24">
        <v>22125000</v>
      </c>
      <c r="H434" s="23">
        <v>5.0000000000000001E-3</v>
      </c>
      <c r="I434" s="39">
        <v>44256</v>
      </c>
      <c r="J434" s="39">
        <v>44269</v>
      </c>
      <c r="K434" s="24">
        <f t="shared" si="30"/>
        <v>14</v>
      </c>
      <c r="L434" s="24">
        <f t="shared" si="31"/>
        <v>4243</v>
      </c>
      <c r="M434" s="24">
        <v>21750000</v>
      </c>
    </row>
    <row r="435" spans="1:13" s="48" customFormat="1" outlineLevel="2">
      <c r="A435" s="39" t="s">
        <v>239</v>
      </c>
      <c r="B435" s="40" t="s">
        <v>42</v>
      </c>
      <c r="C435" s="41" t="s">
        <v>250</v>
      </c>
      <c r="D435" s="40"/>
      <c r="E435" s="24"/>
      <c r="F435" s="39"/>
      <c r="G435" s="24">
        <v>21750000</v>
      </c>
      <c r="H435" s="23">
        <v>5.0000000000000001E-3</v>
      </c>
      <c r="I435" s="39">
        <v>44270</v>
      </c>
      <c r="J435" s="39">
        <v>44286</v>
      </c>
      <c r="K435" s="24">
        <f t="shared" si="30"/>
        <v>17</v>
      </c>
      <c r="L435" s="24">
        <f t="shared" si="31"/>
        <v>5065</v>
      </c>
      <c r="M435" s="24"/>
    </row>
    <row r="436" spans="1:13" s="48" customFormat="1" outlineLevel="2">
      <c r="A436" s="39" t="s">
        <v>239</v>
      </c>
      <c r="B436" s="40" t="s">
        <v>43</v>
      </c>
      <c r="C436" s="41" t="s">
        <v>250</v>
      </c>
      <c r="D436" s="40" t="s">
        <v>251</v>
      </c>
      <c r="E436" s="24">
        <v>4950000</v>
      </c>
      <c r="F436" s="39">
        <v>44215</v>
      </c>
      <c r="G436" s="24">
        <v>4867500</v>
      </c>
      <c r="H436" s="23">
        <v>5.0000000000000001E-3</v>
      </c>
      <c r="I436" s="39">
        <v>44256</v>
      </c>
      <c r="J436" s="39">
        <v>44269</v>
      </c>
      <c r="K436" s="24">
        <f t="shared" si="30"/>
        <v>14</v>
      </c>
      <c r="L436" s="24">
        <f t="shared" si="31"/>
        <v>933</v>
      </c>
      <c r="M436" s="24">
        <v>4785000</v>
      </c>
    </row>
    <row r="437" spans="1:13" s="48" customFormat="1" outlineLevel="2">
      <c r="A437" s="39" t="s">
        <v>239</v>
      </c>
      <c r="B437" s="40" t="s">
        <v>43</v>
      </c>
      <c r="C437" s="41" t="s">
        <v>250</v>
      </c>
      <c r="D437" s="40"/>
      <c r="E437" s="24"/>
      <c r="F437" s="39"/>
      <c r="G437" s="24">
        <v>4785000</v>
      </c>
      <c r="H437" s="23">
        <v>5.0000000000000001E-3</v>
      </c>
      <c r="I437" s="39">
        <v>44270</v>
      </c>
      <c r="J437" s="39">
        <v>44286</v>
      </c>
      <c r="K437" s="24">
        <f t="shared" si="30"/>
        <v>17</v>
      </c>
      <c r="L437" s="24">
        <f t="shared" si="31"/>
        <v>1114</v>
      </c>
      <c r="M437" s="24"/>
    </row>
    <row r="438" spans="1:13" s="48" customFormat="1" outlineLevel="2">
      <c r="A438" s="39" t="s">
        <v>239</v>
      </c>
      <c r="B438" s="40" t="s">
        <v>44</v>
      </c>
      <c r="C438" s="41" t="s">
        <v>242</v>
      </c>
      <c r="D438" s="40" t="s">
        <v>243</v>
      </c>
      <c r="E438" s="24">
        <v>10000000</v>
      </c>
      <c r="F438" s="39">
        <v>44244</v>
      </c>
      <c r="G438" s="24">
        <v>10000000</v>
      </c>
      <c r="H438" s="23">
        <v>5.0000000000000001E-3</v>
      </c>
      <c r="I438" s="39">
        <v>44256</v>
      </c>
      <c r="J438" s="39">
        <v>44286</v>
      </c>
      <c r="K438" s="24">
        <f t="shared" si="30"/>
        <v>31</v>
      </c>
      <c r="L438" s="24">
        <f t="shared" si="31"/>
        <v>4247</v>
      </c>
      <c r="M438" s="24">
        <v>10000000</v>
      </c>
    </row>
    <row r="439" spans="1:13" s="48" customFormat="1" outlineLevel="2">
      <c r="A439" s="39" t="s">
        <v>239</v>
      </c>
      <c r="B439" s="40" t="s">
        <v>47</v>
      </c>
      <c r="C439" s="41" t="s">
        <v>242</v>
      </c>
      <c r="D439" s="40" t="s">
        <v>243</v>
      </c>
      <c r="E439" s="24">
        <v>4000000</v>
      </c>
      <c r="F439" s="39">
        <v>44249</v>
      </c>
      <c r="G439" s="24">
        <v>4000000</v>
      </c>
      <c r="H439" s="23">
        <v>5.0000000000000001E-3</v>
      </c>
      <c r="I439" s="39">
        <v>44256</v>
      </c>
      <c r="J439" s="39">
        <v>44286</v>
      </c>
      <c r="K439" s="24">
        <f t="shared" si="30"/>
        <v>31</v>
      </c>
      <c r="L439" s="24">
        <f t="shared" si="31"/>
        <v>1699</v>
      </c>
      <c r="M439" s="24">
        <v>4000000</v>
      </c>
    </row>
    <row r="440" spans="1:13" s="48" customFormat="1" outlineLevel="2">
      <c r="A440" s="39" t="s">
        <v>239</v>
      </c>
      <c r="B440" s="40" t="s">
        <v>50</v>
      </c>
      <c r="C440" s="41" t="s">
        <v>306</v>
      </c>
      <c r="D440" s="40" t="s">
        <v>305</v>
      </c>
      <c r="E440" s="24">
        <v>23949000</v>
      </c>
      <c r="F440" s="39">
        <v>44251</v>
      </c>
      <c r="G440" s="24">
        <v>23949000</v>
      </c>
      <c r="H440" s="23">
        <v>5.0000000000000001E-3</v>
      </c>
      <c r="I440" s="39">
        <v>44256</v>
      </c>
      <c r="J440" s="39">
        <v>44286</v>
      </c>
      <c r="K440" s="24">
        <f t="shared" si="30"/>
        <v>31</v>
      </c>
      <c r="L440" s="24">
        <f t="shared" si="31"/>
        <v>10170</v>
      </c>
      <c r="M440" s="24">
        <v>23949000</v>
      </c>
    </row>
    <row r="441" spans="1:13" s="48" customFormat="1" outlineLevel="2">
      <c r="A441" s="39" t="s">
        <v>239</v>
      </c>
      <c r="B441" s="40" t="s">
        <v>51</v>
      </c>
      <c r="C441" s="41" t="s">
        <v>66</v>
      </c>
      <c r="D441" s="40" t="s">
        <v>67</v>
      </c>
      <c r="E441" s="24">
        <v>40000000</v>
      </c>
      <c r="F441" s="39">
        <v>44235</v>
      </c>
      <c r="G441" s="24">
        <v>40000000</v>
      </c>
      <c r="H441" s="23">
        <v>5.0000000000000001E-3</v>
      </c>
      <c r="I441" s="39">
        <v>44256</v>
      </c>
      <c r="J441" s="39">
        <v>44286</v>
      </c>
      <c r="K441" s="24">
        <f t="shared" si="30"/>
        <v>31</v>
      </c>
      <c r="L441" s="24">
        <f t="shared" si="31"/>
        <v>16986</v>
      </c>
      <c r="M441" s="24">
        <v>40000000</v>
      </c>
    </row>
    <row r="442" spans="1:13" s="48" customFormat="1" outlineLevel="2">
      <c r="A442" s="39" t="s">
        <v>239</v>
      </c>
      <c r="B442" s="40" t="s">
        <v>52</v>
      </c>
      <c r="C442" s="41" t="s">
        <v>244</v>
      </c>
      <c r="D442" s="40" t="s">
        <v>245</v>
      </c>
      <c r="E442" s="24">
        <v>64000000</v>
      </c>
      <c r="F442" s="39">
        <v>44228</v>
      </c>
      <c r="G442" s="24">
        <v>64000000</v>
      </c>
      <c r="H442" s="23">
        <v>5.0000000000000001E-3</v>
      </c>
      <c r="I442" s="39">
        <v>44256</v>
      </c>
      <c r="J442" s="39">
        <v>44286</v>
      </c>
      <c r="K442" s="24">
        <f t="shared" si="30"/>
        <v>31</v>
      </c>
      <c r="L442" s="24">
        <f t="shared" si="31"/>
        <v>27178</v>
      </c>
      <c r="M442" s="24">
        <v>64000000</v>
      </c>
    </row>
    <row r="443" spans="1:13" s="48" customFormat="1" outlineLevel="2">
      <c r="A443" s="39" t="s">
        <v>239</v>
      </c>
      <c r="B443" s="40" t="s">
        <v>53</v>
      </c>
      <c r="C443" s="41" t="s">
        <v>246</v>
      </c>
      <c r="D443" s="40" t="s">
        <v>247</v>
      </c>
      <c r="E443" s="24">
        <v>100000000</v>
      </c>
      <c r="F443" s="39">
        <v>44251</v>
      </c>
      <c r="G443" s="24">
        <v>100000000</v>
      </c>
      <c r="H443" s="23">
        <v>5.0000000000000001E-3</v>
      </c>
      <c r="I443" s="39">
        <v>44256</v>
      </c>
      <c r="J443" s="39">
        <v>44286</v>
      </c>
      <c r="K443" s="24">
        <f t="shared" si="30"/>
        <v>31</v>
      </c>
      <c r="L443" s="24">
        <f t="shared" si="31"/>
        <v>42466</v>
      </c>
      <c r="M443" s="24">
        <v>100000000</v>
      </c>
    </row>
    <row r="444" spans="1:13" s="48" customFormat="1" outlineLevel="2">
      <c r="A444" s="39" t="s">
        <v>239</v>
      </c>
      <c r="B444" s="40" t="s">
        <v>54</v>
      </c>
      <c r="C444" s="41" t="s">
        <v>248</v>
      </c>
      <c r="D444" s="40" t="s">
        <v>249</v>
      </c>
      <c r="E444" s="24">
        <v>47470000</v>
      </c>
      <c r="F444" s="39">
        <v>44013</v>
      </c>
      <c r="G444" s="24">
        <v>47470000</v>
      </c>
      <c r="H444" s="23">
        <v>5.0000000000000001E-3</v>
      </c>
      <c r="I444" s="39">
        <v>44256</v>
      </c>
      <c r="J444" s="39">
        <v>44286</v>
      </c>
      <c r="K444" s="24">
        <f t="shared" si="30"/>
        <v>31</v>
      </c>
      <c r="L444" s="24">
        <f t="shared" si="31"/>
        <v>20158</v>
      </c>
      <c r="M444" s="24">
        <v>47470000</v>
      </c>
    </row>
    <row r="445" spans="1:13" s="48" customFormat="1" outlineLevel="2">
      <c r="A445" s="39" t="s">
        <v>239</v>
      </c>
      <c r="B445" s="40" t="s">
        <v>57</v>
      </c>
      <c r="C445" s="41" t="s">
        <v>246</v>
      </c>
      <c r="D445" s="40" t="s">
        <v>247</v>
      </c>
      <c r="E445" s="24">
        <v>93000000</v>
      </c>
      <c r="F445" s="39">
        <v>44251</v>
      </c>
      <c r="G445" s="24">
        <v>93000000</v>
      </c>
      <c r="H445" s="23">
        <v>5.0000000000000001E-3</v>
      </c>
      <c r="I445" s="39">
        <v>44256</v>
      </c>
      <c r="J445" s="39">
        <v>44286</v>
      </c>
      <c r="K445" s="24">
        <f t="shared" si="30"/>
        <v>31</v>
      </c>
      <c r="L445" s="24">
        <f t="shared" si="31"/>
        <v>39493</v>
      </c>
      <c r="M445" s="24">
        <v>93000000</v>
      </c>
    </row>
    <row r="446" spans="1:13" s="48" customFormat="1" outlineLevel="2">
      <c r="A446" s="39" t="s">
        <v>239</v>
      </c>
      <c r="B446" s="40" t="s">
        <v>58</v>
      </c>
      <c r="C446" s="41" t="s">
        <v>276</v>
      </c>
      <c r="D446" s="40" t="s">
        <v>277</v>
      </c>
      <c r="E446" s="24">
        <v>436800</v>
      </c>
      <c r="F446" s="39">
        <v>44235</v>
      </c>
      <c r="G446" s="24">
        <v>436800</v>
      </c>
      <c r="H446" s="23">
        <v>5.0000000000000001E-3</v>
      </c>
      <c r="I446" s="39">
        <v>44256</v>
      </c>
      <c r="J446" s="39">
        <v>44285</v>
      </c>
      <c r="K446" s="24">
        <f t="shared" si="30"/>
        <v>30</v>
      </c>
      <c r="L446" s="24">
        <f t="shared" si="31"/>
        <v>180</v>
      </c>
      <c r="M446" s="24">
        <v>0</v>
      </c>
    </row>
    <row r="447" spans="1:13" s="48" customFormat="1" outlineLevel="2">
      <c r="A447" s="39" t="s">
        <v>239</v>
      </c>
      <c r="B447" s="40" t="s">
        <v>99</v>
      </c>
      <c r="C447" s="41" t="s">
        <v>95</v>
      </c>
      <c r="D447" s="40" t="s">
        <v>96</v>
      </c>
      <c r="E447" s="24">
        <v>4840000</v>
      </c>
      <c r="F447" s="39">
        <v>44235</v>
      </c>
      <c r="G447" s="24">
        <v>4840000</v>
      </c>
      <c r="H447" s="23">
        <v>5.0000000000000001E-3</v>
      </c>
      <c r="I447" s="39">
        <v>44256</v>
      </c>
      <c r="J447" s="39">
        <v>44286</v>
      </c>
      <c r="K447" s="24">
        <f t="shared" si="30"/>
        <v>31</v>
      </c>
      <c r="L447" s="24">
        <f t="shared" si="31"/>
        <v>2055</v>
      </c>
      <c r="M447" s="24">
        <v>4840000</v>
      </c>
    </row>
    <row r="448" spans="1:13" s="48" customFormat="1" outlineLevel="2">
      <c r="A448" s="39" t="s">
        <v>239</v>
      </c>
      <c r="B448" s="40" t="s">
        <v>100</v>
      </c>
      <c r="C448" s="41" t="s">
        <v>130</v>
      </c>
      <c r="D448" s="40" t="s">
        <v>131</v>
      </c>
      <c r="E448" s="24">
        <v>10000000</v>
      </c>
      <c r="F448" s="39">
        <v>44284</v>
      </c>
      <c r="G448" s="24">
        <v>10000000</v>
      </c>
      <c r="H448" s="23">
        <v>5.0000000000000001E-3</v>
      </c>
      <c r="I448" s="39">
        <v>44284</v>
      </c>
      <c r="J448" s="39">
        <v>44286</v>
      </c>
      <c r="K448" s="24">
        <f t="shared" si="30"/>
        <v>3</v>
      </c>
      <c r="L448" s="24">
        <f t="shared" si="31"/>
        <v>411</v>
      </c>
      <c r="M448" s="24">
        <v>10000000</v>
      </c>
    </row>
    <row r="449" spans="1:13" s="48" customFormat="1" outlineLevel="2">
      <c r="A449" s="39" t="s">
        <v>239</v>
      </c>
      <c r="B449" s="40" t="s">
        <v>101</v>
      </c>
      <c r="C449" s="41" t="s">
        <v>244</v>
      </c>
      <c r="D449" s="40" t="s">
        <v>245</v>
      </c>
      <c r="E449" s="24">
        <v>70000000</v>
      </c>
      <c r="F449" s="39">
        <v>44260</v>
      </c>
      <c r="G449" s="24">
        <v>70000000</v>
      </c>
      <c r="H449" s="23">
        <v>5.0000000000000001E-3</v>
      </c>
      <c r="I449" s="39">
        <v>44260</v>
      </c>
      <c r="J449" s="39">
        <v>44286</v>
      </c>
      <c r="K449" s="24">
        <f t="shared" si="30"/>
        <v>27</v>
      </c>
      <c r="L449" s="24">
        <f t="shared" si="31"/>
        <v>25890</v>
      </c>
      <c r="M449" s="24">
        <v>70000000</v>
      </c>
    </row>
    <row r="450" spans="1:13" s="48" customFormat="1" outlineLevel="2">
      <c r="A450" s="39" t="s">
        <v>239</v>
      </c>
      <c r="B450" s="40" t="s">
        <v>102</v>
      </c>
      <c r="C450" s="41" t="s">
        <v>125</v>
      </c>
      <c r="D450" s="40" t="s">
        <v>126</v>
      </c>
      <c r="E450" s="24">
        <v>5000000</v>
      </c>
      <c r="F450" s="39">
        <v>44259</v>
      </c>
      <c r="G450" s="24">
        <v>5000000</v>
      </c>
      <c r="H450" s="23">
        <v>5.0000000000000001E-3</v>
      </c>
      <c r="I450" s="39">
        <v>44259</v>
      </c>
      <c r="J450" s="39">
        <v>44286</v>
      </c>
      <c r="K450" s="24">
        <f t="shared" si="30"/>
        <v>28</v>
      </c>
      <c r="L450" s="24">
        <f t="shared" si="31"/>
        <v>1918</v>
      </c>
      <c r="M450" s="24">
        <v>5000000</v>
      </c>
    </row>
    <row r="451" spans="1:13" s="48" customFormat="1" outlineLevel="2">
      <c r="A451" s="39" t="s">
        <v>239</v>
      </c>
      <c r="B451" s="40" t="s">
        <v>59</v>
      </c>
      <c r="C451" s="41" t="s">
        <v>240</v>
      </c>
      <c r="D451" s="40" t="s">
        <v>241</v>
      </c>
      <c r="E451" s="24">
        <v>6665394</v>
      </c>
      <c r="F451" s="39">
        <v>44029</v>
      </c>
      <c r="G451" s="24">
        <v>6665394</v>
      </c>
      <c r="H451" s="23">
        <v>5.0000000000000001E-3</v>
      </c>
      <c r="I451" s="39">
        <v>44256</v>
      </c>
      <c r="J451" s="39">
        <v>44286</v>
      </c>
      <c r="K451" s="24">
        <f t="shared" si="30"/>
        <v>31</v>
      </c>
      <c r="L451" s="24">
        <f t="shared" si="31"/>
        <v>2831</v>
      </c>
      <c r="M451" s="24">
        <v>6665394</v>
      </c>
    </row>
    <row r="452" spans="1:13" s="48" customFormat="1" outlineLevel="2">
      <c r="A452" s="39" t="s">
        <v>239</v>
      </c>
      <c r="B452" s="40" t="s">
        <v>62</v>
      </c>
      <c r="C452" s="41" t="s">
        <v>240</v>
      </c>
      <c r="D452" s="40" t="s">
        <v>241</v>
      </c>
      <c r="E452" s="24">
        <v>12334606</v>
      </c>
      <c r="F452" s="39">
        <v>44029</v>
      </c>
      <c r="G452" s="24">
        <v>12334606</v>
      </c>
      <c r="H452" s="23">
        <v>5.0000000000000001E-3</v>
      </c>
      <c r="I452" s="39">
        <v>44256</v>
      </c>
      <c r="J452" s="39">
        <v>44286</v>
      </c>
      <c r="K452" s="24">
        <f t="shared" si="30"/>
        <v>31</v>
      </c>
      <c r="L452" s="24">
        <f t="shared" si="31"/>
        <v>5238</v>
      </c>
      <c r="M452" s="24">
        <v>12334606</v>
      </c>
    </row>
    <row r="453" spans="1:13" s="48" customFormat="1" outlineLevel="2">
      <c r="A453" s="39" t="s">
        <v>239</v>
      </c>
      <c r="B453" s="40" t="s">
        <v>63</v>
      </c>
      <c r="C453" s="41" t="s">
        <v>252</v>
      </c>
      <c r="D453" s="40" t="s">
        <v>253</v>
      </c>
      <c r="E453" s="24">
        <v>131500000</v>
      </c>
      <c r="F453" s="39">
        <v>44089</v>
      </c>
      <c r="G453" s="24">
        <v>131500000</v>
      </c>
      <c r="H453" s="23">
        <v>5.0000000000000001E-3</v>
      </c>
      <c r="I453" s="39">
        <v>44256</v>
      </c>
      <c r="J453" s="39">
        <v>44286</v>
      </c>
      <c r="K453" s="24">
        <f t="shared" si="30"/>
        <v>31</v>
      </c>
      <c r="L453" s="24">
        <f t="shared" si="31"/>
        <v>55842</v>
      </c>
      <c r="M453" s="24">
        <v>131500000</v>
      </c>
    </row>
    <row r="454" spans="1:13" s="48" customFormat="1" outlineLevel="2">
      <c r="A454" s="39" t="s">
        <v>239</v>
      </c>
      <c r="B454" s="40" t="s">
        <v>64</v>
      </c>
      <c r="C454" s="41" t="s">
        <v>109</v>
      </c>
      <c r="D454" s="40" t="s">
        <v>110</v>
      </c>
      <c r="E454" s="24">
        <v>10400000</v>
      </c>
      <c r="F454" s="39">
        <v>44096</v>
      </c>
      <c r="G454" s="24">
        <v>10400000</v>
      </c>
      <c r="H454" s="23">
        <v>5.0000000000000001E-3</v>
      </c>
      <c r="I454" s="39">
        <v>44256</v>
      </c>
      <c r="J454" s="39">
        <v>44286</v>
      </c>
      <c r="K454" s="24">
        <f t="shared" si="30"/>
        <v>31</v>
      </c>
      <c r="L454" s="24">
        <f t="shared" si="31"/>
        <v>4416</v>
      </c>
      <c r="M454" s="24">
        <v>10400000</v>
      </c>
    </row>
    <row r="455" spans="1:13" s="48" customFormat="1" outlineLevel="2">
      <c r="A455" s="39" t="s">
        <v>239</v>
      </c>
      <c r="B455" s="40" t="s">
        <v>65</v>
      </c>
      <c r="C455" s="41" t="s">
        <v>242</v>
      </c>
      <c r="D455" s="40" t="s">
        <v>243</v>
      </c>
      <c r="E455" s="24">
        <v>10000000</v>
      </c>
      <c r="F455" s="39">
        <v>44139</v>
      </c>
      <c r="G455" s="24">
        <v>10000000</v>
      </c>
      <c r="H455" s="23">
        <v>5.0000000000000001E-3</v>
      </c>
      <c r="I455" s="39">
        <v>44256</v>
      </c>
      <c r="J455" s="39">
        <v>44286</v>
      </c>
      <c r="K455" s="24">
        <f t="shared" si="30"/>
        <v>31</v>
      </c>
      <c r="L455" s="24">
        <f t="shared" si="31"/>
        <v>4247</v>
      </c>
      <c r="M455" s="24">
        <v>10000000</v>
      </c>
    </row>
    <row r="456" spans="1:13" s="48" customFormat="1" outlineLevel="2">
      <c r="A456" s="39" t="s">
        <v>239</v>
      </c>
      <c r="B456" s="40" t="s">
        <v>68</v>
      </c>
      <c r="C456" s="41" t="s">
        <v>242</v>
      </c>
      <c r="D456" s="40" t="s">
        <v>243</v>
      </c>
      <c r="E456" s="24">
        <v>10000000</v>
      </c>
      <c r="F456" s="39">
        <v>44152</v>
      </c>
      <c r="G456" s="24">
        <v>10000000</v>
      </c>
      <c r="H456" s="23">
        <v>5.0000000000000001E-3</v>
      </c>
      <c r="I456" s="39">
        <v>44256</v>
      </c>
      <c r="J456" s="39">
        <v>44286</v>
      </c>
      <c r="K456" s="24">
        <f t="shared" si="30"/>
        <v>31</v>
      </c>
      <c r="L456" s="24">
        <f t="shared" si="31"/>
        <v>4247</v>
      </c>
      <c r="M456" s="24">
        <v>10000000</v>
      </c>
    </row>
    <row r="457" spans="1:13" s="48" customFormat="1" outlineLevel="1">
      <c r="A457" s="42" t="s">
        <v>254</v>
      </c>
      <c r="B457" s="43"/>
      <c r="C457" s="44"/>
      <c r="D457" s="43"/>
      <c r="E457" s="45">
        <f>SUBTOTAL(9,E420:E456)</f>
        <v>1097285800</v>
      </c>
      <c r="F457" s="46"/>
      <c r="G457" s="45"/>
      <c r="H457" s="47"/>
      <c r="I457" s="46"/>
      <c r="J457" s="46"/>
      <c r="K457" s="45"/>
      <c r="L457" s="45">
        <f>SUBTOTAL(9,L420:L456)</f>
        <v>457788</v>
      </c>
      <c r="M457" s="45">
        <f>SUBTOTAL(9,M420:M456)</f>
        <v>1095934000</v>
      </c>
    </row>
    <row r="458" spans="1:13" s="48" customFormat="1" outlineLevel="2">
      <c r="A458" s="39" t="s">
        <v>255</v>
      </c>
      <c r="B458" s="40" t="s">
        <v>16</v>
      </c>
      <c r="C458" s="41" t="s">
        <v>20</v>
      </c>
      <c r="D458" s="40" t="s">
        <v>21</v>
      </c>
      <c r="E458" s="24">
        <v>330000000</v>
      </c>
      <c r="F458" s="39">
        <v>43915</v>
      </c>
      <c r="G458" s="24">
        <v>330000000</v>
      </c>
      <c r="H458" s="23">
        <v>5.0000000000000001E-3</v>
      </c>
      <c r="I458" s="39">
        <v>44256</v>
      </c>
      <c r="J458" s="39">
        <v>44286</v>
      </c>
      <c r="K458" s="24">
        <f>J458-I458+1</f>
        <v>31</v>
      </c>
      <c r="L458" s="24">
        <f>ROUND(G458*H458*K458/365,0)</f>
        <v>140137</v>
      </c>
      <c r="M458" s="24">
        <v>330000000</v>
      </c>
    </row>
    <row r="459" spans="1:13" s="48" customFormat="1" outlineLevel="2">
      <c r="A459" s="39" t="s">
        <v>255</v>
      </c>
      <c r="B459" s="40" t="s">
        <v>39</v>
      </c>
      <c r="C459" s="41" t="s">
        <v>20</v>
      </c>
      <c r="D459" s="40" t="s">
        <v>21</v>
      </c>
      <c r="E459" s="24">
        <v>93600000</v>
      </c>
      <c r="F459" s="39">
        <v>43955</v>
      </c>
      <c r="G459" s="24">
        <v>93600000</v>
      </c>
      <c r="H459" s="23">
        <v>5.0000000000000001E-3</v>
      </c>
      <c r="I459" s="39">
        <v>44256</v>
      </c>
      <c r="J459" s="39">
        <v>44286</v>
      </c>
      <c r="K459" s="24">
        <f>J459-I459+1</f>
        <v>31</v>
      </c>
      <c r="L459" s="24">
        <f>ROUND(G459*H459*K459/365,0)</f>
        <v>39748</v>
      </c>
      <c r="M459" s="24">
        <v>93600000</v>
      </c>
    </row>
    <row r="460" spans="1:13" s="48" customFormat="1" outlineLevel="2">
      <c r="A460" s="39" t="s">
        <v>255</v>
      </c>
      <c r="B460" s="40" t="s">
        <v>54</v>
      </c>
      <c r="C460" s="41" t="s">
        <v>20</v>
      </c>
      <c r="D460" s="40" t="s">
        <v>21</v>
      </c>
      <c r="E460" s="24">
        <v>576400000</v>
      </c>
      <c r="F460" s="39">
        <v>44013</v>
      </c>
      <c r="G460" s="24">
        <v>576400000</v>
      </c>
      <c r="H460" s="23">
        <v>5.0000000000000001E-3</v>
      </c>
      <c r="I460" s="39">
        <v>44256</v>
      </c>
      <c r="J460" s="39">
        <v>44286</v>
      </c>
      <c r="K460" s="24">
        <f>J460-I460+1</f>
        <v>31</v>
      </c>
      <c r="L460" s="24">
        <f>ROUND(G460*H460*K460/365,0)</f>
        <v>244773</v>
      </c>
      <c r="M460" s="24">
        <v>576400000</v>
      </c>
    </row>
    <row r="461" spans="1:13" s="48" customFormat="1" outlineLevel="1">
      <c r="A461" s="42" t="s">
        <v>256</v>
      </c>
      <c r="B461" s="43"/>
      <c r="C461" s="44"/>
      <c r="D461" s="43"/>
      <c r="E461" s="45">
        <f>SUBTOTAL(9,E458:E460)</f>
        <v>1000000000</v>
      </c>
      <c r="F461" s="46"/>
      <c r="G461" s="45"/>
      <c r="H461" s="47"/>
      <c r="I461" s="46"/>
      <c r="J461" s="46"/>
      <c r="K461" s="45"/>
      <c r="L461" s="45">
        <f>SUBTOTAL(9,L458:L460)</f>
        <v>424658</v>
      </c>
      <c r="M461" s="45">
        <f>SUBTOTAL(9,M458:M460)</f>
        <v>1000000000</v>
      </c>
    </row>
    <row r="462" spans="1:13" s="48" customFormat="1" outlineLevel="2">
      <c r="A462" s="39" t="s">
        <v>257</v>
      </c>
      <c r="B462" s="40" t="s">
        <v>16</v>
      </c>
      <c r="C462" s="41" t="s">
        <v>262</v>
      </c>
      <c r="D462" s="40" t="s">
        <v>259</v>
      </c>
      <c r="E462" s="24">
        <v>3400000</v>
      </c>
      <c r="F462" s="39">
        <v>43927</v>
      </c>
      <c r="G462" s="24">
        <v>3400000</v>
      </c>
      <c r="H462" s="23">
        <v>5.0000000000000001E-3</v>
      </c>
      <c r="I462" s="39">
        <v>44256</v>
      </c>
      <c r="J462" s="39">
        <v>44286</v>
      </c>
      <c r="K462" s="24">
        <f t="shared" ref="K462:K499" si="32">J462-I462+1</f>
        <v>31</v>
      </c>
      <c r="L462" s="24">
        <f t="shared" ref="L462:L499" si="33">ROUND(G462*H462*K462/365,0)</f>
        <v>1444</v>
      </c>
      <c r="M462" s="24">
        <v>3400000</v>
      </c>
    </row>
    <row r="463" spans="1:13" s="48" customFormat="1" outlineLevel="2">
      <c r="A463" s="39" t="s">
        <v>257</v>
      </c>
      <c r="B463" s="40" t="s">
        <v>19</v>
      </c>
      <c r="C463" s="41" t="s">
        <v>260</v>
      </c>
      <c r="D463" s="40" t="s">
        <v>261</v>
      </c>
      <c r="E463" s="24">
        <v>620000</v>
      </c>
      <c r="F463" s="39">
        <v>44148</v>
      </c>
      <c r="G463" s="24">
        <v>540000</v>
      </c>
      <c r="H463" s="23">
        <v>5.0000000000000001E-3</v>
      </c>
      <c r="I463" s="39">
        <v>44256</v>
      </c>
      <c r="J463" s="39">
        <v>44269</v>
      </c>
      <c r="K463" s="24">
        <f t="shared" si="32"/>
        <v>14</v>
      </c>
      <c r="L463" s="24">
        <f t="shared" si="33"/>
        <v>104</v>
      </c>
      <c r="M463" s="24">
        <v>530000</v>
      </c>
    </row>
    <row r="464" spans="1:13" s="48" customFormat="1" outlineLevel="2">
      <c r="A464" s="39" t="s">
        <v>257</v>
      </c>
      <c r="B464" s="40" t="s">
        <v>19</v>
      </c>
      <c r="C464" s="41" t="s">
        <v>260</v>
      </c>
      <c r="D464" s="40"/>
      <c r="E464" s="24"/>
      <c r="F464" s="39"/>
      <c r="G464" s="24">
        <v>530000</v>
      </c>
      <c r="H464" s="23">
        <v>5.0000000000000001E-3</v>
      </c>
      <c r="I464" s="39">
        <v>44270</v>
      </c>
      <c r="J464" s="39">
        <v>44286</v>
      </c>
      <c r="K464" s="24">
        <f t="shared" si="32"/>
        <v>17</v>
      </c>
      <c r="L464" s="24">
        <f t="shared" si="33"/>
        <v>123</v>
      </c>
      <c r="M464" s="24"/>
    </row>
    <row r="465" spans="1:13" s="48" customFormat="1" outlineLevel="2">
      <c r="A465" s="39" t="s">
        <v>257</v>
      </c>
      <c r="B465" s="40" t="s">
        <v>22</v>
      </c>
      <c r="C465" s="41" t="s">
        <v>260</v>
      </c>
      <c r="D465" s="40" t="s">
        <v>261</v>
      </c>
      <c r="E465" s="24">
        <v>3910000</v>
      </c>
      <c r="F465" s="39">
        <v>44165</v>
      </c>
      <c r="G465" s="24">
        <v>3672000</v>
      </c>
      <c r="H465" s="23">
        <v>5.0000000000000001E-3</v>
      </c>
      <c r="I465" s="39">
        <v>44256</v>
      </c>
      <c r="J465" s="39">
        <v>44269</v>
      </c>
      <c r="K465" s="24">
        <f t="shared" si="32"/>
        <v>14</v>
      </c>
      <c r="L465" s="24">
        <f t="shared" si="33"/>
        <v>704</v>
      </c>
      <c r="M465" s="24">
        <v>3604000</v>
      </c>
    </row>
    <row r="466" spans="1:13" s="48" customFormat="1" outlineLevel="2">
      <c r="A466" s="39" t="s">
        <v>257</v>
      </c>
      <c r="B466" s="40" t="s">
        <v>22</v>
      </c>
      <c r="C466" s="41" t="s">
        <v>260</v>
      </c>
      <c r="D466" s="40"/>
      <c r="E466" s="24"/>
      <c r="F466" s="39"/>
      <c r="G466" s="24">
        <v>3604000</v>
      </c>
      <c r="H466" s="23">
        <v>5.0000000000000001E-3</v>
      </c>
      <c r="I466" s="39">
        <v>44270</v>
      </c>
      <c r="J466" s="39">
        <v>44286</v>
      </c>
      <c r="K466" s="24">
        <f t="shared" si="32"/>
        <v>17</v>
      </c>
      <c r="L466" s="24">
        <f t="shared" si="33"/>
        <v>839</v>
      </c>
      <c r="M466" s="24"/>
    </row>
    <row r="467" spans="1:13" s="48" customFormat="1" outlineLevel="2">
      <c r="A467" s="39" t="s">
        <v>257</v>
      </c>
      <c r="B467" s="40" t="s">
        <v>25</v>
      </c>
      <c r="C467" s="41" t="s">
        <v>260</v>
      </c>
      <c r="D467" s="40" t="s">
        <v>261</v>
      </c>
      <c r="E467" s="24">
        <v>4030000</v>
      </c>
      <c r="F467" s="39">
        <v>44165</v>
      </c>
      <c r="G467" s="24">
        <v>3780000</v>
      </c>
      <c r="H467" s="23">
        <v>5.0000000000000001E-3</v>
      </c>
      <c r="I467" s="39">
        <v>44256</v>
      </c>
      <c r="J467" s="39">
        <v>44269</v>
      </c>
      <c r="K467" s="24">
        <f t="shared" si="32"/>
        <v>14</v>
      </c>
      <c r="L467" s="24">
        <f t="shared" si="33"/>
        <v>725</v>
      </c>
      <c r="M467" s="24">
        <v>3710000</v>
      </c>
    </row>
    <row r="468" spans="1:13" s="48" customFormat="1" outlineLevel="2">
      <c r="A468" s="39" t="s">
        <v>257</v>
      </c>
      <c r="B468" s="40" t="s">
        <v>25</v>
      </c>
      <c r="C468" s="41" t="s">
        <v>260</v>
      </c>
      <c r="D468" s="40"/>
      <c r="E468" s="24"/>
      <c r="F468" s="39"/>
      <c r="G468" s="24">
        <v>3710000</v>
      </c>
      <c r="H468" s="23">
        <v>5.0000000000000001E-3</v>
      </c>
      <c r="I468" s="39">
        <v>44270</v>
      </c>
      <c r="J468" s="39">
        <v>44286</v>
      </c>
      <c r="K468" s="24">
        <f t="shared" si="32"/>
        <v>17</v>
      </c>
      <c r="L468" s="24">
        <f t="shared" si="33"/>
        <v>864</v>
      </c>
      <c r="M468" s="24"/>
    </row>
    <row r="469" spans="1:13" s="48" customFormat="1" outlineLevel="2">
      <c r="A469" s="39" t="s">
        <v>257</v>
      </c>
      <c r="B469" s="40" t="s">
        <v>26</v>
      </c>
      <c r="C469" s="41" t="s">
        <v>260</v>
      </c>
      <c r="D469" s="40" t="s">
        <v>261</v>
      </c>
      <c r="E469" s="24">
        <v>570000</v>
      </c>
      <c r="F469" s="39">
        <v>44155</v>
      </c>
      <c r="G469" s="24">
        <v>570000</v>
      </c>
      <c r="H469" s="23">
        <v>5.0000000000000001E-3</v>
      </c>
      <c r="I469" s="39">
        <v>44256</v>
      </c>
      <c r="J469" s="39">
        <v>44286</v>
      </c>
      <c r="K469" s="24">
        <f t="shared" si="32"/>
        <v>31</v>
      </c>
      <c r="L469" s="24">
        <f t="shared" si="33"/>
        <v>242</v>
      </c>
      <c r="M469" s="24">
        <v>570000</v>
      </c>
    </row>
    <row r="470" spans="1:13" s="48" customFormat="1" outlineLevel="2">
      <c r="A470" s="39" t="s">
        <v>257</v>
      </c>
      <c r="B470" s="40" t="s">
        <v>29</v>
      </c>
      <c r="C470" s="41" t="s">
        <v>260</v>
      </c>
      <c r="D470" s="40" t="s">
        <v>261</v>
      </c>
      <c r="E470" s="24">
        <v>6000000</v>
      </c>
      <c r="F470" s="39">
        <v>44155</v>
      </c>
      <c r="G470" s="24">
        <v>6000000</v>
      </c>
      <c r="H470" s="23">
        <v>5.0000000000000001E-3</v>
      </c>
      <c r="I470" s="39">
        <v>44256</v>
      </c>
      <c r="J470" s="39">
        <v>44286</v>
      </c>
      <c r="K470" s="24">
        <f t="shared" si="32"/>
        <v>31</v>
      </c>
      <c r="L470" s="24">
        <f t="shared" si="33"/>
        <v>2548</v>
      </c>
      <c r="M470" s="24">
        <v>6000000</v>
      </c>
    </row>
    <row r="471" spans="1:13" s="48" customFormat="1" outlineLevel="2">
      <c r="A471" s="39" t="s">
        <v>257</v>
      </c>
      <c r="B471" s="40" t="s">
        <v>32</v>
      </c>
      <c r="C471" s="41" t="s">
        <v>260</v>
      </c>
      <c r="D471" s="40" t="s">
        <v>261</v>
      </c>
      <c r="E471" s="24">
        <v>270000</v>
      </c>
      <c r="F471" s="39">
        <v>44181</v>
      </c>
      <c r="G471" s="24">
        <v>216000</v>
      </c>
      <c r="H471" s="23">
        <v>5.0000000000000001E-3</v>
      </c>
      <c r="I471" s="39">
        <v>44256</v>
      </c>
      <c r="J471" s="39">
        <v>44269</v>
      </c>
      <c r="K471" s="24">
        <f t="shared" si="32"/>
        <v>14</v>
      </c>
      <c r="L471" s="24">
        <f t="shared" si="33"/>
        <v>41</v>
      </c>
      <c r="M471" s="24">
        <v>212000</v>
      </c>
    </row>
    <row r="472" spans="1:13" s="48" customFormat="1" outlineLevel="2">
      <c r="A472" s="39" t="s">
        <v>257</v>
      </c>
      <c r="B472" s="40" t="s">
        <v>32</v>
      </c>
      <c r="C472" s="41" t="s">
        <v>260</v>
      </c>
      <c r="D472" s="40"/>
      <c r="E472" s="24"/>
      <c r="F472" s="39"/>
      <c r="G472" s="24">
        <v>212000</v>
      </c>
      <c r="H472" s="23">
        <v>5.0000000000000001E-3</v>
      </c>
      <c r="I472" s="39">
        <v>44270</v>
      </c>
      <c r="J472" s="39">
        <v>44286</v>
      </c>
      <c r="K472" s="24">
        <f t="shared" si="32"/>
        <v>17</v>
      </c>
      <c r="L472" s="24">
        <f t="shared" si="33"/>
        <v>49</v>
      </c>
      <c r="M472" s="24"/>
    </row>
    <row r="473" spans="1:13" s="48" customFormat="1" outlineLevel="2">
      <c r="A473" s="39" t="s">
        <v>257</v>
      </c>
      <c r="B473" s="40" t="s">
        <v>33</v>
      </c>
      <c r="C473" s="41" t="s">
        <v>260</v>
      </c>
      <c r="D473" s="40" t="s">
        <v>261</v>
      </c>
      <c r="E473" s="24">
        <v>2400000</v>
      </c>
      <c r="F473" s="39">
        <v>44181</v>
      </c>
      <c r="G473" s="24">
        <v>2400000</v>
      </c>
      <c r="H473" s="23">
        <v>5.0000000000000001E-3</v>
      </c>
      <c r="I473" s="39">
        <v>44256</v>
      </c>
      <c r="J473" s="39">
        <v>44286</v>
      </c>
      <c r="K473" s="24">
        <f t="shared" si="32"/>
        <v>31</v>
      </c>
      <c r="L473" s="24">
        <f t="shared" si="33"/>
        <v>1019</v>
      </c>
      <c r="M473" s="24">
        <v>2400000</v>
      </c>
    </row>
    <row r="474" spans="1:13" s="48" customFormat="1" outlineLevel="2">
      <c r="A474" s="39" t="s">
        <v>257</v>
      </c>
      <c r="B474" s="40" t="s">
        <v>34</v>
      </c>
      <c r="C474" s="41" t="s">
        <v>260</v>
      </c>
      <c r="D474" s="40" t="s">
        <v>261</v>
      </c>
      <c r="E474" s="24">
        <v>11000000</v>
      </c>
      <c r="F474" s="39">
        <v>44181</v>
      </c>
      <c r="G474" s="24">
        <v>11000000</v>
      </c>
      <c r="H474" s="23">
        <v>5.0000000000000001E-3</v>
      </c>
      <c r="I474" s="39">
        <v>44256</v>
      </c>
      <c r="J474" s="39">
        <v>44286</v>
      </c>
      <c r="K474" s="24">
        <f t="shared" si="32"/>
        <v>31</v>
      </c>
      <c r="L474" s="24">
        <f t="shared" si="33"/>
        <v>4671</v>
      </c>
      <c r="M474" s="24">
        <v>11000000</v>
      </c>
    </row>
    <row r="475" spans="1:13" s="48" customFormat="1" outlineLevel="2">
      <c r="A475" s="39" t="s">
        <v>257</v>
      </c>
      <c r="B475" s="40" t="s">
        <v>35</v>
      </c>
      <c r="C475" s="41" t="s">
        <v>260</v>
      </c>
      <c r="D475" s="40" t="s">
        <v>261</v>
      </c>
      <c r="E475" s="24">
        <v>220000</v>
      </c>
      <c r="F475" s="39">
        <v>44215</v>
      </c>
      <c r="G475" s="24">
        <v>216000</v>
      </c>
      <c r="H475" s="23">
        <v>5.0000000000000001E-3</v>
      </c>
      <c r="I475" s="39">
        <v>44256</v>
      </c>
      <c r="J475" s="39">
        <v>44269</v>
      </c>
      <c r="K475" s="24">
        <f t="shared" si="32"/>
        <v>14</v>
      </c>
      <c r="L475" s="24">
        <f t="shared" si="33"/>
        <v>41</v>
      </c>
      <c r="M475" s="24">
        <v>212000</v>
      </c>
    </row>
    <row r="476" spans="1:13" s="48" customFormat="1" outlineLevel="2">
      <c r="A476" s="39" t="s">
        <v>257</v>
      </c>
      <c r="B476" s="40" t="s">
        <v>35</v>
      </c>
      <c r="C476" s="41" t="s">
        <v>260</v>
      </c>
      <c r="D476" s="40"/>
      <c r="E476" s="24"/>
      <c r="F476" s="39"/>
      <c r="G476" s="24">
        <v>212000</v>
      </c>
      <c r="H476" s="23">
        <v>5.0000000000000001E-3</v>
      </c>
      <c r="I476" s="39">
        <v>44270</v>
      </c>
      <c r="J476" s="39">
        <v>44286</v>
      </c>
      <c r="K476" s="24">
        <f t="shared" si="32"/>
        <v>17</v>
      </c>
      <c r="L476" s="24">
        <f t="shared" si="33"/>
        <v>49</v>
      </c>
      <c r="M476" s="24"/>
    </row>
    <row r="477" spans="1:13" s="48" customFormat="1" outlineLevel="2">
      <c r="A477" s="39" t="s">
        <v>257</v>
      </c>
      <c r="B477" s="40" t="s">
        <v>36</v>
      </c>
      <c r="C477" s="41" t="s">
        <v>260</v>
      </c>
      <c r="D477" s="40" t="s">
        <v>261</v>
      </c>
      <c r="E477" s="24">
        <v>1000000</v>
      </c>
      <c r="F477" s="39">
        <v>44215</v>
      </c>
      <c r="G477" s="24">
        <v>972000</v>
      </c>
      <c r="H477" s="23">
        <v>5.0000000000000001E-3</v>
      </c>
      <c r="I477" s="39">
        <v>44256</v>
      </c>
      <c r="J477" s="39">
        <v>44269</v>
      </c>
      <c r="K477" s="24">
        <f t="shared" si="32"/>
        <v>14</v>
      </c>
      <c r="L477" s="24">
        <f t="shared" si="33"/>
        <v>186</v>
      </c>
      <c r="M477" s="24">
        <v>954000</v>
      </c>
    </row>
    <row r="478" spans="1:13" s="48" customFormat="1" outlineLevel="2">
      <c r="A478" s="39" t="s">
        <v>257</v>
      </c>
      <c r="B478" s="40" t="s">
        <v>36</v>
      </c>
      <c r="C478" s="41" t="s">
        <v>260</v>
      </c>
      <c r="D478" s="40"/>
      <c r="E478" s="24"/>
      <c r="F478" s="39"/>
      <c r="G478" s="24">
        <v>954000</v>
      </c>
      <c r="H478" s="23">
        <v>5.0000000000000001E-3</v>
      </c>
      <c r="I478" s="39">
        <v>44270</v>
      </c>
      <c r="J478" s="39">
        <v>44286</v>
      </c>
      <c r="K478" s="24">
        <f t="shared" si="32"/>
        <v>17</v>
      </c>
      <c r="L478" s="24">
        <f t="shared" si="33"/>
        <v>222</v>
      </c>
      <c r="M478" s="24"/>
    </row>
    <row r="479" spans="1:13" s="48" customFormat="1" outlineLevel="2">
      <c r="A479" s="39" t="s">
        <v>257</v>
      </c>
      <c r="B479" s="40" t="s">
        <v>39</v>
      </c>
      <c r="C479" s="41" t="s">
        <v>262</v>
      </c>
      <c r="D479" s="40" t="s">
        <v>259</v>
      </c>
      <c r="E479" s="24">
        <v>70440000</v>
      </c>
      <c r="F479" s="39">
        <v>43951</v>
      </c>
      <c r="G479" s="24">
        <v>70440000</v>
      </c>
      <c r="H479" s="23">
        <v>5.0000000000000001E-3</v>
      </c>
      <c r="I479" s="39">
        <v>44256</v>
      </c>
      <c r="J479" s="39">
        <v>44286</v>
      </c>
      <c r="K479" s="24">
        <f t="shared" si="32"/>
        <v>31</v>
      </c>
      <c r="L479" s="24">
        <f t="shared" si="33"/>
        <v>29913</v>
      </c>
      <c r="M479" s="24">
        <v>70440000</v>
      </c>
    </row>
    <row r="480" spans="1:13" s="48" customFormat="1" outlineLevel="2">
      <c r="A480" s="39" t="s">
        <v>257</v>
      </c>
      <c r="B480" s="40" t="s">
        <v>40</v>
      </c>
      <c r="C480" s="41" t="s">
        <v>262</v>
      </c>
      <c r="D480" s="40" t="s">
        <v>259</v>
      </c>
      <c r="E480" s="24">
        <v>54250000</v>
      </c>
      <c r="F480" s="39">
        <v>44228</v>
      </c>
      <c r="G480" s="24">
        <v>54250000</v>
      </c>
      <c r="H480" s="23">
        <v>5.0000000000000001E-3</v>
      </c>
      <c r="I480" s="39">
        <v>44256</v>
      </c>
      <c r="J480" s="39">
        <v>44286</v>
      </c>
      <c r="K480" s="24">
        <f t="shared" si="32"/>
        <v>31</v>
      </c>
      <c r="L480" s="24">
        <f t="shared" si="33"/>
        <v>23038</v>
      </c>
      <c r="M480" s="24">
        <v>54250000</v>
      </c>
    </row>
    <row r="481" spans="1:13" s="48" customFormat="1" outlineLevel="2">
      <c r="A481" s="39" t="s">
        <v>257</v>
      </c>
      <c r="B481" s="40" t="s">
        <v>41</v>
      </c>
      <c r="C481" s="41" t="s">
        <v>304</v>
      </c>
      <c r="D481" s="40" t="s">
        <v>303</v>
      </c>
      <c r="E481" s="24">
        <v>40000000</v>
      </c>
      <c r="F481" s="39">
        <v>44229</v>
      </c>
      <c r="G481" s="24">
        <v>40000000</v>
      </c>
      <c r="H481" s="23">
        <v>5.0000000000000001E-3</v>
      </c>
      <c r="I481" s="39">
        <v>44256</v>
      </c>
      <c r="J481" s="39">
        <v>44286</v>
      </c>
      <c r="K481" s="24">
        <f t="shared" si="32"/>
        <v>31</v>
      </c>
      <c r="L481" s="24">
        <f t="shared" si="33"/>
        <v>16986</v>
      </c>
      <c r="M481" s="24">
        <v>40000000</v>
      </c>
    </row>
    <row r="482" spans="1:13" s="48" customFormat="1" outlineLevel="2">
      <c r="A482" s="39" t="s">
        <v>257</v>
      </c>
      <c r="B482" s="40" t="s">
        <v>42</v>
      </c>
      <c r="C482" s="41" t="s">
        <v>304</v>
      </c>
      <c r="D482" s="40" t="s">
        <v>303</v>
      </c>
      <c r="E482" s="24">
        <v>38000000</v>
      </c>
      <c r="F482" s="39">
        <v>44245</v>
      </c>
      <c r="G482" s="24">
        <v>38000000</v>
      </c>
      <c r="H482" s="23">
        <v>5.0000000000000001E-3</v>
      </c>
      <c r="I482" s="39">
        <v>44256</v>
      </c>
      <c r="J482" s="39">
        <v>44286</v>
      </c>
      <c r="K482" s="24">
        <f t="shared" si="32"/>
        <v>31</v>
      </c>
      <c r="L482" s="24">
        <f t="shared" si="33"/>
        <v>16137</v>
      </c>
      <c r="M482" s="24">
        <v>38000000</v>
      </c>
    </row>
    <row r="483" spans="1:13" s="48" customFormat="1" outlineLevel="2">
      <c r="A483" s="39" t="s">
        <v>257</v>
      </c>
      <c r="B483" s="40" t="s">
        <v>43</v>
      </c>
      <c r="C483" s="41" t="s">
        <v>89</v>
      </c>
      <c r="D483" s="40" t="s">
        <v>90</v>
      </c>
      <c r="E483" s="24">
        <v>66000000</v>
      </c>
      <c r="F483" s="39">
        <v>44270</v>
      </c>
      <c r="G483" s="24">
        <v>66000000</v>
      </c>
      <c r="H483" s="23">
        <v>5.0000000000000001E-3</v>
      </c>
      <c r="I483" s="39">
        <v>44270</v>
      </c>
      <c r="J483" s="39">
        <v>44286</v>
      </c>
      <c r="K483" s="24">
        <f t="shared" si="32"/>
        <v>17</v>
      </c>
      <c r="L483" s="24">
        <f t="shared" si="33"/>
        <v>15370</v>
      </c>
      <c r="M483" s="24">
        <v>66000000</v>
      </c>
    </row>
    <row r="484" spans="1:13" s="48" customFormat="1" outlineLevel="2">
      <c r="A484" s="39" t="s">
        <v>257</v>
      </c>
      <c r="B484" s="40" t="s">
        <v>44</v>
      </c>
      <c r="C484" s="41" t="s">
        <v>260</v>
      </c>
      <c r="D484" s="40" t="s">
        <v>261</v>
      </c>
      <c r="E484" s="24">
        <v>10800000</v>
      </c>
      <c r="F484" s="39">
        <v>44273</v>
      </c>
      <c r="G484" s="24">
        <v>10800000</v>
      </c>
      <c r="H484" s="23">
        <v>5.0000000000000001E-3</v>
      </c>
      <c r="I484" s="39">
        <v>44273</v>
      </c>
      <c r="J484" s="39">
        <v>44286</v>
      </c>
      <c r="K484" s="24">
        <f t="shared" si="32"/>
        <v>14</v>
      </c>
      <c r="L484" s="24">
        <f t="shared" si="33"/>
        <v>2071</v>
      </c>
      <c r="M484" s="24">
        <v>10800000</v>
      </c>
    </row>
    <row r="485" spans="1:13" s="48" customFormat="1" outlineLevel="2">
      <c r="A485" s="39" t="s">
        <v>257</v>
      </c>
      <c r="B485" s="40" t="s">
        <v>47</v>
      </c>
      <c r="C485" s="41" t="s">
        <v>260</v>
      </c>
      <c r="D485" s="40" t="s">
        <v>261</v>
      </c>
      <c r="E485" s="24">
        <v>1720000</v>
      </c>
      <c r="F485" s="39">
        <v>44285</v>
      </c>
      <c r="G485" s="24">
        <v>1720000</v>
      </c>
      <c r="H485" s="23">
        <v>5.0000000000000001E-3</v>
      </c>
      <c r="I485" s="39">
        <v>44285</v>
      </c>
      <c r="J485" s="39">
        <v>44286</v>
      </c>
      <c r="K485" s="24">
        <f t="shared" si="32"/>
        <v>2</v>
      </c>
      <c r="L485" s="24">
        <f t="shared" si="33"/>
        <v>47</v>
      </c>
      <c r="M485" s="24">
        <v>1720000</v>
      </c>
    </row>
    <row r="486" spans="1:13" s="48" customFormat="1" outlineLevel="2">
      <c r="A486" s="39" t="s">
        <v>257</v>
      </c>
      <c r="B486" s="40" t="s">
        <v>50</v>
      </c>
      <c r="C486" s="41" t="s">
        <v>324</v>
      </c>
      <c r="D486" s="40" t="s">
        <v>323</v>
      </c>
      <c r="E486" s="24">
        <v>28800000</v>
      </c>
      <c r="F486" s="39">
        <v>44271</v>
      </c>
      <c r="G486" s="24">
        <v>28800000</v>
      </c>
      <c r="H486" s="23">
        <v>5.0000000000000001E-3</v>
      </c>
      <c r="I486" s="39">
        <v>44271</v>
      </c>
      <c r="J486" s="39">
        <v>44286</v>
      </c>
      <c r="K486" s="24">
        <f t="shared" si="32"/>
        <v>16</v>
      </c>
      <c r="L486" s="24">
        <f t="shared" si="33"/>
        <v>6312</v>
      </c>
      <c r="M486" s="24">
        <v>28800000</v>
      </c>
    </row>
    <row r="487" spans="1:13" s="48" customFormat="1" outlineLevel="2">
      <c r="A487" s="39" t="s">
        <v>257</v>
      </c>
      <c r="B487" s="40" t="s">
        <v>51</v>
      </c>
      <c r="C487" s="41" t="s">
        <v>324</v>
      </c>
      <c r="D487" s="40" t="s">
        <v>323</v>
      </c>
      <c r="E487" s="24">
        <v>45270000</v>
      </c>
      <c r="F487" s="39">
        <v>44271</v>
      </c>
      <c r="G487" s="24">
        <v>45270000</v>
      </c>
      <c r="H487" s="23">
        <v>5.0000000000000001E-3</v>
      </c>
      <c r="I487" s="39">
        <v>44271</v>
      </c>
      <c r="J487" s="39">
        <v>44286</v>
      </c>
      <c r="K487" s="24">
        <f t="shared" si="32"/>
        <v>16</v>
      </c>
      <c r="L487" s="24">
        <f t="shared" si="33"/>
        <v>9922</v>
      </c>
      <c r="M487" s="24">
        <v>45270000</v>
      </c>
    </row>
    <row r="488" spans="1:13" s="48" customFormat="1" outlineLevel="2">
      <c r="A488" s="39" t="s">
        <v>257</v>
      </c>
      <c r="B488" s="40" t="s">
        <v>52</v>
      </c>
      <c r="C488" s="41" t="s">
        <v>324</v>
      </c>
      <c r="D488" s="40" t="s">
        <v>323</v>
      </c>
      <c r="E488" s="24">
        <v>32000000</v>
      </c>
      <c r="F488" s="39">
        <v>44271</v>
      </c>
      <c r="G488" s="24">
        <v>32000000</v>
      </c>
      <c r="H488" s="23">
        <v>5.0000000000000001E-3</v>
      </c>
      <c r="I488" s="39">
        <v>44271</v>
      </c>
      <c r="J488" s="39">
        <v>44286</v>
      </c>
      <c r="K488" s="24">
        <f t="shared" si="32"/>
        <v>16</v>
      </c>
      <c r="L488" s="24">
        <f t="shared" si="33"/>
        <v>7014</v>
      </c>
      <c r="M488" s="24">
        <v>32000000</v>
      </c>
    </row>
    <row r="489" spans="1:13" s="48" customFormat="1" outlineLevel="2">
      <c r="A489" s="39" t="s">
        <v>257</v>
      </c>
      <c r="B489" s="40" t="s">
        <v>54</v>
      </c>
      <c r="C489" s="41" t="s">
        <v>248</v>
      </c>
      <c r="D489" s="40" t="s">
        <v>249</v>
      </c>
      <c r="E489" s="24">
        <v>182300000</v>
      </c>
      <c r="F489" s="39">
        <v>43959</v>
      </c>
      <c r="G489" s="24">
        <v>182300000</v>
      </c>
      <c r="H489" s="23">
        <v>5.0000000000000001E-3</v>
      </c>
      <c r="I489" s="39">
        <v>44256</v>
      </c>
      <c r="J489" s="39">
        <v>44286</v>
      </c>
      <c r="K489" s="24">
        <f t="shared" si="32"/>
        <v>31</v>
      </c>
      <c r="L489" s="24">
        <f t="shared" si="33"/>
        <v>77415</v>
      </c>
      <c r="M489" s="24">
        <v>182300000</v>
      </c>
    </row>
    <row r="490" spans="1:13" s="48" customFormat="1" outlineLevel="2">
      <c r="A490" s="39" t="s">
        <v>257</v>
      </c>
      <c r="B490" s="40" t="s">
        <v>59</v>
      </c>
      <c r="C490" s="41" t="s">
        <v>260</v>
      </c>
      <c r="D490" s="40" t="s">
        <v>261</v>
      </c>
      <c r="E490" s="24">
        <v>610000</v>
      </c>
      <c r="F490" s="39">
        <v>44085</v>
      </c>
      <c r="G490" s="24">
        <v>540000</v>
      </c>
      <c r="H490" s="23">
        <v>5.0000000000000001E-3</v>
      </c>
      <c r="I490" s="39">
        <v>44256</v>
      </c>
      <c r="J490" s="39">
        <v>44269</v>
      </c>
      <c r="K490" s="24">
        <f t="shared" si="32"/>
        <v>14</v>
      </c>
      <c r="L490" s="24">
        <f t="shared" si="33"/>
        <v>104</v>
      </c>
      <c r="M490" s="24">
        <v>530000</v>
      </c>
    </row>
    <row r="491" spans="1:13" s="48" customFormat="1" outlineLevel="2">
      <c r="A491" s="39" t="s">
        <v>257</v>
      </c>
      <c r="B491" s="40" t="s">
        <v>59</v>
      </c>
      <c r="C491" s="41" t="s">
        <v>260</v>
      </c>
      <c r="D491" s="40"/>
      <c r="E491" s="24"/>
      <c r="F491" s="39"/>
      <c r="G491" s="24">
        <v>530000</v>
      </c>
      <c r="H491" s="23">
        <v>5.0000000000000001E-3</v>
      </c>
      <c r="I491" s="39">
        <v>44270</v>
      </c>
      <c r="J491" s="39">
        <v>44286</v>
      </c>
      <c r="K491" s="24">
        <f t="shared" si="32"/>
        <v>17</v>
      </c>
      <c r="L491" s="24">
        <f t="shared" si="33"/>
        <v>123</v>
      </c>
      <c r="M491" s="24"/>
    </row>
    <row r="492" spans="1:13" s="48" customFormat="1" outlineLevel="2">
      <c r="A492" s="39" t="s">
        <v>257</v>
      </c>
      <c r="B492" s="40" t="s">
        <v>62</v>
      </c>
      <c r="C492" s="41" t="s">
        <v>262</v>
      </c>
      <c r="D492" s="40" t="s">
        <v>259</v>
      </c>
      <c r="E492" s="24">
        <v>18080000</v>
      </c>
      <c r="F492" s="39">
        <v>44102</v>
      </c>
      <c r="G492" s="24">
        <v>18080000</v>
      </c>
      <c r="H492" s="23">
        <v>5.0000000000000001E-3</v>
      </c>
      <c r="I492" s="39">
        <v>44256</v>
      </c>
      <c r="J492" s="39">
        <v>44286</v>
      </c>
      <c r="K492" s="24">
        <f t="shared" si="32"/>
        <v>31</v>
      </c>
      <c r="L492" s="24">
        <f t="shared" si="33"/>
        <v>7678</v>
      </c>
      <c r="M492" s="24">
        <v>18080000</v>
      </c>
    </row>
    <row r="493" spans="1:13" s="48" customFormat="1" outlineLevel="2">
      <c r="A493" s="39" t="s">
        <v>257</v>
      </c>
      <c r="B493" s="40" t="s">
        <v>63</v>
      </c>
      <c r="C493" s="41" t="s">
        <v>262</v>
      </c>
      <c r="D493" s="40" t="s">
        <v>259</v>
      </c>
      <c r="E493" s="24">
        <v>50630000</v>
      </c>
      <c r="F493" s="39">
        <v>44131</v>
      </c>
      <c r="G493" s="24">
        <v>50630000</v>
      </c>
      <c r="H493" s="23">
        <v>5.0000000000000001E-3</v>
      </c>
      <c r="I493" s="39">
        <v>44256</v>
      </c>
      <c r="J493" s="39">
        <v>44286</v>
      </c>
      <c r="K493" s="24">
        <f t="shared" si="32"/>
        <v>31</v>
      </c>
      <c r="L493" s="24">
        <f t="shared" si="33"/>
        <v>21500</v>
      </c>
      <c r="M493" s="24">
        <v>50630000</v>
      </c>
    </row>
    <row r="494" spans="1:13" s="48" customFormat="1" outlineLevel="2">
      <c r="A494" s="39" t="s">
        <v>257</v>
      </c>
      <c r="B494" s="40" t="s">
        <v>64</v>
      </c>
      <c r="C494" s="41" t="s">
        <v>260</v>
      </c>
      <c r="D494" s="40" t="s">
        <v>261</v>
      </c>
      <c r="E494" s="24">
        <v>710000</v>
      </c>
      <c r="F494" s="39">
        <v>44110</v>
      </c>
      <c r="G494" s="24">
        <v>648000</v>
      </c>
      <c r="H494" s="23">
        <v>5.0000000000000001E-3</v>
      </c>
      <c r="I494" s="39">
        <v>44256</v>
      </c>
      <c r="J494" s="39">
        <v>44269</v>
      </c>
      <c r="K494" s="24">
        <f t="shared" si="32"/>
        <v>14</v>
      </c>
      <c r="L494" s="24">
        <f t="shared" si="33"/>
        <v>124</v>
      </c>
      <c r="M494" s="24">
        <v>636000</v>
      </c>
    </row>
    <row r="495" spans="1:13" s="48" customFormat="1" outlineLevel="2">
      <c r="A495" s="39" t="s">
        <v>257</v>
      </c>
      <c r="B495" s="40" t="s">
        <v>64</v>
      </c>
      <c r="C495" s="41" t="s">
        <v>260</v>
      </c>
      <c r="D495" s="40"/>
      <c r="E495" s="24"/>
      <c r="F495" s="39"/>
      <c r="G495" s="24">
        <v>636000</v>
      </c>
      <c r="H495" s="23">
        <v>5.0000000000000001E-3</v>
      </c>
      <c r="I495" s="39">
        <v>44270</v>
      </c>
      <c r="J495" s="39">
        <v>44286</v>
      </c>
      <c r="K495" s="24">
        <f t="shared" si="32"/>
        <v>17</v>
      </c>
      <c r="L495" s="24">
        <f t="shared" si="33"/>
        <v>148</v>
      </c>
      <c r="M495" s="24"/>
    </row>
    <row r="496" spans="1:13" s="48" customFormat="1" outlineLevel="2">
      <c r="A496" s="39" t="s">
        <v>257</v>
      </c>
      <c r="B496" s="40" t="s">
        <v>65</v>
      </c>
      <c r="C496" s="41" t="s">
        <v>260</v>
      </c>
      <c r="D496" s="40" t="s">
        <v>261</v>
      </c>
      <c r="E496" s="24">
        <v>830000</v>
      </c>
      <c r="F496" s="39">
        <v>44137</v>
      </c>
      <c r="G496" s="24">
        <v>756000</v>
      </c>
      <c r="H496" s="23">
        <v>5.0000000000000001E-3</v>
      </c>
      <c r="I496" s="39">
        <v>44256</v>
      </c>
      <c r="J496" s="39">
        <v>44269</v>
      </c>
      <c r="K496" s="24">
        <f t="shared" si="32"/>
        <v>14</v>
      </c>
      <c r="L496" s="24">
        <f t="shared" si="33"/>
        <v>145</v>
      </c>
      <c r="M496" s="24">
        <v>742000</v>
      </c>
    </row>
    <row r="497" spans="1:13" s="48" customFormat="1" outlineLevel="2">
      <c r="A497" s="39" t="s">
        <v>257</v>
      </c>
      <c r="B497" s="40" t="s">
        <v>65</v>
      </c>
      <c r="C497" s="41" t="s">
        <v>260</v>
      </c>
      <c r="D497" s="40"/>
      <c r="E497" s="24"/>
      <c r="F497" s="39"/>
      <c r="G497" s="24">
        <v>742000</v>
      </c>
      <c r="H497" s="23">
        <v>5.0000000000000001E-3</v>
      </c>
      <c r="I497" s="39">
        <v>44270</v>
      </c>
      <c r="J497" s="39">
        <v>44286</v>
      </c>
      <c r="K497" s="24">
        <f t="shared" si="32"/>
        <v>17</v>
      </c>
      <c r="L497" s="24">
        <f t="shared" si="33"/>
        <v>173</v>
      </c>
      <c r="M497" s="24"/>
    </row>
    <row r="498" spans="1:13" s="48" customFormat="1" outlineLevel="2">
      <c r="A498" s="39" t="s">
        <v>257</v>
      </c>
      <c r="B498" s="40" t="s">
        <v>68</v>
      </c>
      <c r="C498" s="41" t="s">
        <v>260</v>
      </c>
      <c r="D498" s="40" t="s">
        <v>261</v>
      </c>
      <c r="E498" s="24">
        <v>180000</v>
      </c>
      <c r="F498" s="39">
        <v>44141</v>
      </c>
      <c r="G498" s="24">
        <v>162000</v>
      </c>
      <c r="H498" s="23">
        <v>5.0000000000000001E-3</v>
      </c>
      <c r="I498" s="39">
        <v>44256</v>
      </c>
      <c r="J498" s="39">
        <v>44269</v>
      </c>
      <c r="K498" s="24">
        <f t="shared" si="32"/>
        <v>14</v>
      </c>
      <c r="L498" s="24">
        <f t="shared" si="33"/>
        <v>31</v>
      </c>
      <c r="M498" s="24">
        <v>159000</v>
      </c>
    </row>
    <row r="499" spans="1:13" s="48" customFormat="1" outlineLevel="2">
      <c r="A499" s="39" t="s">
        <v>257</v>
      </c>
      <c r="B499" s="40" t="s">
        <v>68</v>
      </c>
      <c r="C499" s="41" t="s">
        <v>260</v>
      </c>
      <c r="D499" s="40"/>
      <c r="E499" s="24"/>
      <c r="F499" s="39"/>
      <c r="G499" s="24">
        <v>159000</v>
      </c>
      <c r="H499" s="23">
        <v>5.0000000000000001E-3</v>
      </c>
      <c r="I499" s="39">
        <v>44270</v>
      </c>
      <c r="J499" s="39">
        <v>44286</v>
      </c>
      <c r="K499" s="24">
        <f t="shared" si="32"/>
        <v>17</v>
      </c>
      <c r="L499" s="24">
        <f t="shared" si="33"/>
        <v>37</v>
      </c>
      <c r="M499" s="24"/>
    </row>
    <row r="500" spans="1:13" s="48" customFormat="1" outlineLevel="1">
      <c r="A500" s="42" t="s">
        <v>263</v>
      </c>
      <c r="B500" s="43"/>
      <c r="C500" s="44"/>
      <c r="D500" s="43"/>
      <c r="E500" s="45">
        <f>SUBTOTAL(9,E462:E499)</f>
        <v>674040000</v>
      </c>
      <c r="F500" s="46"/>
      <c r="G500" s="45"/>
      <c r="H500" s="47"/>
      <c r="I500" s="46"/>
      <c r="J500" s="46"/>
      <c r="K500" s="45"/>
      <c r="L500" s="45">
        <f>SUBTOTAL(9,L462:L499)</f>
        <v>248159</v>
      </c>
      <c r="M500" s="45">
        <f>SUBTOTAL(9,M462:M499)</f>
        <v>672949000</v>
      </c>
    </row>
    <row r="501" spans="1:13" s="48" customFormat="1" outlineLevel="2">
      <c r="A501" s="39" t="s">
        <v>264</v>
      </c>
      <c r="B501" s="40" t="s">
        <v>16</v>
      </c>
      <c r="C501" s="41" t="s">
        <v>27</v>
      </c>
      <c r="D501" s="40" t="s">
        <v>28</v>
      </c>
      <c r="E501" s="24">
        <v>26000000</v>
      </c>
      <c r="F501" s="39">
        <v>44140</v>
      </c>
      <c r="G501" s="24">
        <v>26000000</v>
      </c>
      <c r="H501" s="23">
        <v>5.0000000000000001E-3</v>
      </c>
      <c r="I501" s="39">
        <v>44256</v>
      </c>
      <c r="J501" s="39">
        <v>44286</v>
      </c>
      <c r="K501" s="24">
        <f>J501-I501+1</f>
        <v>31</v>
      </c>
      <c r="L501" s="24">
        <f>ROUND(G501*H501*K501/365,0)</f>
        <v>11041</v>
      </c>
      <c r="M501" s="24">
        <v>26000000</v>
      </c>
    </row>
    <row r="502" spans="1:13" s="48" customFormat="1" outlineLevel="2">
      <c r="A502" s="39" t="s">
        <v>264</v>
      </c>
      <c r="B502" s="40" t="s">
        <v>39</v>
      </c>
      <c r="C502" s="41" t="s">
        <v>27</v>
      </c>
      <c r="D502" s="40" t="s">
        <v>28</v>
      </c>
      <c r="E502" s="24">
        <v>10250000</v>
      </c>
      <c r="F502" s="39">
        <v>44140</v>
      </c>
      <c r="G502" s="24">
        <v>10250000</v>
      </c>
      <c r="H502" s="23">
        <v>5.0000000000000001E-3</v>
      </c>
      <c r="I502" s="39">
        <v>44256</v>
      </c>
      <c r="J502" s="39">
        <v>44286</v>
      </c>
      <c r="K502" s="24">
        <f>J502-I502+1</f>
        <v>31</v>
      </c>
      <c r="L502" s="24">
        <f>ROUND(G502*H502*K502/365,0)</f>
        <v>4353</v>
      </c>
      <c r="M502" s="24">
        <v>10250000</v>
      </c>
    </row>
    <row r="503" spans="1:13" s="48" customFormat="1" outlineLevel="2">
      <c r="A503" s="39" t="s">
        <v>264</v>
      </c>
      <c r="B503" s="40" t="s">
        <v>54</v>
      </c>
      <c r="C503" s="41" t="s">
        <v>27</v>
      </c>
      <c r="D503" s="40" t="s">
        <v>28</v>
      </c>
      <c r="E503" s="24">
        <v>3960000</v>
      </c>
      <c r="F503" s="39">
        <v>44148</v>
      </c>
      <c r="G503" s="24">
        <v>3960000</v>
      </c>
      <c r="H503" s="23">
        <v>5.0000000000000001E-3</v>
      </c>
      <c r="I503" s="39">
        <v>44256</v>
      </c>
      <c r="J503" s="39">
        <v>44286</v>
      </c>
      <c r="K503" s="24">
        <f>J503-I503+1</f>
        <v>31</v>
      </c>
      <c r="L503" s="24">
        <f>ROUND(G503*H503*K503/365,0)</f>
        <v>1682</v>
      </c>
      <c r="M503" s="24">
        <v>3960000</v>
      </c>
    </row>
    <row r="504" spans="1:13" s="48" customFormat="1" outlineLevel="2">
      <c r="A504" s="39" t="s">
        <v>264</v>
      </c>
      <c r="B504" s="40" t="s">
        <v>59</v>
      </c>
      <c r="C504" s="41" t="s">
        <v>27</v>
      </c>
      <c r="D504" s="40" t="s">
        <v>28</v>
      </c>
      <c r="E504" s="24">
        <v>8000000</v>
      </c>
      <c r="F504" s="39">
        <v>44244</v>
      </c>
      <c r="G504" s="24">
        <v>8000000</v>
      </c>
      <c r="H504" s="23">
        <v>5.0000000000000001E-3</v>
      </c>
      <c r="I504" s="39">
        <v>44256</v>
      </c>
      <c r="J504" s="39">
        <v>44286</v>
      </c>
      <c r="K504" s="24">
        <f>J504-I504+1</f>
        <v>31</v>
      </c>
      <c r="L504" s="24">
        <f>ROUND(G504*H504*K504/365,0)</f>
        <v>3397</v>
      </c>
      <c r="M504" s="24">
        <v>8000000</v>
      </c>
    </row>
    <row r="505" spans="1:13" s="48" customFormat="1" outlineLevel="1">
      <c r="A505" s="42" t="s">
        <v>265</v>
      </c>
      <c r="B505" s="43"/>
      <c r="C505" s="44"/>
      <c r="D505" s="43"/>
      <c r="E505" s="45">
        <f>SUBTOTAL(9,E501:E504)</f>
        <v>48210000</v>
      </c>
      <c r="F505" s="46"/>
      <c r="G505" s="45"/>
      <c r="H505" s="47"/>
      <c r="I505" s="46"/>
      <c r="J505" s="46"/>
      <c r="K505" s="45"/>
      <c r="L505" s="45">
        <f>SUBTOTAL(9,L501:L504)</f>
        <v>20473</v>
      </c>
      <c r="M505" s="45">
        <f>SUBTOTAL(9,M501:M504)</f>
        <v>48210000</v>
      </c>
    </row>
    <row r="506" spans="1:13" s="48" customFormat="1" outlineLevel="2">
      <c r="A506" s="39" t="s">
        <v>266</v>
      </c>
      <c r="B506" s="40" t="s">
        <v>16</v>
      </c>
      <c r="C506" s="41" t="s">
        <v>128</v>
      </c>
      <c r="D506" s="40" t="s">
        <v>129</v>
      </c>
      <c r="E506" s="24">
        <v>50000000</v>
      </c>
      <c r="F506" s="39">
        <v>44099</v>
      </c>
      <c r="G506" s="24">
        <v>50000000</v>
      </c>
      <c r="H506" s="23">
        <v>5.0000000000000001E-3</v>
      </c>
      <c r="I506" s="39">
        <v>44256</v>
      </c>
      <c r="J506" s="39">
        <v>44286</v>
      </c>
      <c r="K506" s="24">
        <f>J506-I506+1</f>
        <v>31</v>
      </c>
      <c r="L506" s="24">
        <f>ROUND(G506*H506*K506/365,0)</f>
        <v>21233</v>
      </c>
      <c r="M506" s="24">
        <v>50000000</v>
      </c>
    </row>
    <row r="507" spans="1:13" s="48" customFormat="1" outlineLevel="2">
      <c r="A507" s="39" t="s">
        <v>266</v>
      </c>
      <c r="B507" s="40" t="s">
        <v>39</v>
      </c>
      <c r="C507" s="41" t="s">
        <v>128</v>
      </c>
      <c r="D507" s="40" t="s">
        <v>129</v>
      </c>
      <c r="E507" s="24">
        <v>30000000</v>
      </c>
      <c r="F507" s="39">
        <v>44232</v>
      </c>
      <c r="G507" s="24">
        <v>30000000</v>
      </c>
      <c r="H507" s="23">
        <v>5.0000000000000001E-3</v>
      </c>
      <c r="I507" s="39">
        <v>44256</v>
      </c>
      <c r="J507" s="39">
        <v>44286</v>
      </c>
      <c r="K507" s="24">
        <f>J507-I507+1</f>
        <v>31</v>
      </c>
      <c r="L507" s="24">
        <f>ROUND(G507*H507*K507/365,0)</f>
        <v>12740</v>
      </c>
      <c r="M507" s="24">
        <v>30000000</v>
      </c>
    </row>
    <row r="508" spans="1:13" s="48" customFormat="1" outlineLevel="1">
      <c r="A508" s="42" t="s">
        <v>267</v>
      </c>
      <c r="B508" s="43"/>
      <c r="C508" s="44"/>
      <c r="D508" s="43"/>
      <c r="E508" s="45">
        <f>SUBTOTAL(9,E506:E507)</f>
        <v>80000000</v>
      </c>
      <c r="F508" s="46"/>
      <c r="G508" s="45"/>
      <c r="H508" s="47"/>
      <c r="I508" s="46"/>
      <c r="J508" s="46"/>
      <c r="K508" s="45"/>
      <c r="L508" s="45">
        <f>SUBTOTAL(9,L506:L507)</f>
        <v>33973</v>
      </c>
      <c r="M508" s="45">
        <f>SUBTOTAL(9,M506:M507)</f>
        <v>80000000</v>
      </c>
    </row>
    <row r="509" spans="1:13" s="48" customFormat="1" outlineLevel="2">
      <c r="A509" s="39" t="s">
        <v>268</v>
      </c>
      <c r="B509" s="40" t="s">
        <v>16</v>
      </c>
      <c r="C509" s="41" t="s">
        <v>20</v>
      </c>
      <c r="D509" s="40" t="s">
        <v>21</v>
      </c>
      <c r="E509" s="24">
        <v>43200000</v>
      </c>
      <c r="F509" s="39">
        <v>43937</v>
      </c>
      <c r="G509" s="24">
        <v>43200000</v>
      </c>
      <c r="H509" s="23">
        <v>3.0000000000000001E-3</v>
      </c>
      <c r="I509" s="39">
        <v>44256</v>
      </c>
      <c r="J509" s="39">
        <v>44286</v>
      </c>
      <c r="K509" s="24">
        <f t="shared" ref="K509:K514" si="34">J509-I509+1</f>
        <v>31</v>
      </c>
      <c r="L509" s="24">
        <f t="shared" ref="L509:L514" si="35">ROUND(G509*H509*K509/365,0)</f>
        <v>11007</v>
      </c>
      <c r="M509" s="24">
        <v>43200000</v>
      </c>
    </row>
    <row r="510" spans="1:13" s="48" customFormat="1" outlineLevel="2">
      <c r="A510" s="39" t="s">
        <v>268</v>
      </c>
      <c r="B510" s="40" t="s">
        <v>39</v>
      </c>
      <c r="C510" s="41" t="s">
        <v>20</v>
      </c>
      <c r="D510" s="40" t="s">
        <v>21</v>
      </c>
      <c r="E510" s="24">
        <v>330000000</v>
      </c>
      <c r="F510" s="39">
        <v>44013</v>
      </c>
      <c r="G510" s="24">
        <v>330000000</v>
      </c>
      <c r="H510" s="23">
        <v>3.0000000000000001E-3</v>
      </c>
      <c r="I510" s="39">
        <v>44256</v>
      </c>
      <c r="J510" s="39">
        <v>44286</v>
      </c>
      <c r="K510" s="24">
        <f t="shared" si="34"/>
        <v>31</v>
      </c>
      <c r="L510" s="24">
        <f t="shared" si="35"/>
        <v>84082</v>
      </c>
      <c r="M510" s="24">
        <v>330000000</v>
      </c>
    </row>
    <row r="511" spans="1:13" s="48" customFormat="1" outlineLevel="2">
      <c r="A511" s="39" t="s">
        <v>268</v>
      </c>
      <c r="B511" s="40" t="s">
        <v>54</v>
      </c>
      <c r="C511" s="41" t="s">
        <v>20</v>
      </c>
      <c r="D511" s="40" t="s">
        <v>21</v>
      </c>
      <c r="E511" s="24">
        <v>120000000</v>
      </c>
      <c r="F511" s="39">
        <v>44049</v>
      </c>
      <c r="G511" s="24">
        <v>120000000</v>
      </c>
      <c r="H511" s="23">
        <v>3.0000000000000001E-3</v>
      </c>
      <c r="I511" s="39">
        <v>44256</v>
      </c>
      <c r="J511" s="39">
        <v>44286</v>
      </c>
      <c r="K511" s="24">
        <f t="shared" si="34"/>
        <v>31</v>
      </c>
      <c r="L511" s="24">
        <f t="shared" si="35"/>
        <v>30575</v>
      </c>
      <c r="M511" s="24">
        <v>120000000</v>
      </c>
    </row>
    <row r="512" spans="1:13" s="48" customFormat="1" outlineLevel="2">
      <c r="A512" s="39" t="s">
        <v>268</v>
      </c>
      <c r="B512" s="40" t="s">
        <v>59</v>
      </c>
      <c r="C512" s="41" t="s">
        <v>20</v>
      </c>
      <c r="D512" s="40" t="s">
        <v>21</v>
      </c>
      <c r="E512" s="24">
        <v>39840000</v>
      </c>
      <c r="F512" s="39">
        <v>44111</v>
      </c>
      <c r="G512" s="24">
        <v>39840000</v>
      </c>
      <c r="H512" s="23">
        <v>3.0000000000000001E-3</v>
      </c>
      <c r="I512" s="39">
        <v>44256</v>
      </c>
      <c r="J512" s="39">
        <v>44286</v>
      </c>
      <c r="K512" s="24">
        <f t="shared" si="34"/>
        <v>31</v>
      </c>
      <c r="L512" s="24">
        <f t="shared" si="35"/>
        <v>10151</v>
      </c>
      <c r="M512" s="24">
        <v>39840000</v>
      </c>
    </row>
    <row r="513" spans="1:13" s="48" customFormat="1" outlineLevel="2">
      <c r="A513" s="39" t="s">
        <v>268</v>
      </c>
      <c r="B513" s="40" t="s">
        <v>62</v>
      </c>
      <c r="C513" s="41" t="s">
        <v>20</v>
      </c>
      <c r="D513" s="40" t="s">
        <v>21</v>
      </c>
      <c r="E513" s="24">
        <v>252000000</v>
      </c>
      <c r="F513" s="39">
        <v>44231</v>
      </c>
      <c r="G513" s="24">
        <v>252000000</v>
      </c>
      <c r="H513" s="23">
        <v>3.0000000000000001E-3</v>
      </c>
      <c r="I513" s="39">
        <v>44256</v>
      </c>
      <c r="J513" s="39">
        <v>44286</v>
      </c>
      <c r="K513" s="24">
        <f t="shared" si="34"/>
        <v>31</v>
      </c>
      <c r="L513" s="24">
        <f t="shared" si="35"/>
        <v>64208</v>
      </c>
      <c r="M513" s="24">
        <v>252000000</v>
      </c>
    </row>
    <row r="514" spans="1:13" s="48" customFormat="1" outlineLevel="2">
      <c r="A514" s="39" t="s">
        <v>268</v>
      </c>
      <c r="B514" s="40" t="s">
        <v>63</v>
      </c>
      <c r="C514" s="41" t="s">
        <v>280</v>
      </c>
      <c r="D514" s="40" t="s">
        <v>281</v>
      </c>
      <c r="E514" s="24">
        <v>250000000</v>
      </c>
      <c r="F514" s="39">
        <v>44228</v>
      </c>
      <c r="G514" s="24">
        <v>250000000</v>
      </c>
      <c r="H514" s="23">
        <v>3.0000000000000001E-3</v>
      </c>
      <c r="I514" s="39">
        <v>44256</v>
      </c>
      <c r="J514" s="39">
        <v>44286</v>
      </c>
      <c r="K514" s="24">
        <f t="shared" si="34"/>
        <v>31</v>
      </c>
      <c r="L514" s="24">
        <f t="shared" si="35"/>
        <v>63699</v>
      </c>
      <c r="M514" s="24">
        <v>250000000</v>
      </c>
    </row>
    <row r="515" spans="1:13" s="48" customFormat="1" outlineLevel="1">
      <c r="A515" s="42" t="s">
        <v>269</v>
      </c>
      <c r="B515" s="43"/>
      <c r="C515" s="44"/>
      <c r="D515" s="43"/>
      <c r="E515" s="45">
        <f>SUBTOTAL(9,E509:E514)</f>
        <v>1035040000</v>
      </c>
      <c r="F515" s="46"/>
      <c r="G515" s="45"/>
      <c r="H515" s="47"/>
      <c r="I515" s="46"/>
      <c r="J515" s="46"/>
      <c r="K515" s="45"/>
      <c r="L515" s="45">
        <f>SUBTOTAL(9,L509:L514)</f>
        <v>263722</v>
      </c>
      <c r="M515" s="45">
        <f>SUBTOTAL(9,M509:M514)</f>
        <v>1035040000</v>
      </c>
    </row>
    <row r="516" spans="1:13" s="48" customFormat="1" outlineLevel="2">
      <c r="A516" s="39" t="s">
        <v>270</v>
      </c>
      <c r="B516" s="40" t="s">
        <v>16</v>
      </c>
      <c r="C516" s="41" t="s">
        <v>271</v>
      </c>
      <c r="D516" s="40" t="s">
        <v>272</v>
      </c>
      <c r="E516" s="24">
        <v>126000000</v>
      </c>
      <c r="F516" s="39">
        <v>43804</v>
      </c>
      <c r="G516" s="24">
        <v>126000000</v>
      </c>
      <c r="H516" s="23">
        <v>5.0000000000000001E-3</v>
      </c>
      <c r="I516" s="39">
        <v>44256</v>
      </c>
      <c r="J516" s="39">
        <v>44286</v>
      </c>
      <c r="K516" s="24">
        <f t="shared" ref="K516:K547" si="36">J516-I516+1</f>
        <v>31</v>
      </c>
      <c r="L516" s="24">
        <f t="shared" ref="L516:L547" si="37">ROUND(G516*H516*K516/365,0)</f>
        <v>53507</v>
      </c>
      <c r="M516" s="24">
        <v>126000000</v>
      </c>
    </row>
    <row r="517" spans="1:13" s="48" customFormat="1" outlineLevel="2">
      <c r="A517" s="39" t="s">
        <v>270</v>
      </c>
      <c r="B517" s="40" t="s">
        <v>19</v>
      </c>
      <c r="C517" s="41" t="s">
        <v>273</v>
      </c>
      <c r="D517" s="40" t="s">
        <v>272</v>
      </c>
      <c r="E517" s="24">
        <v>46600000</v>
      </c>
      <c r="F517" s="39">
        <v>43866</v>
      </c>
      <c r="G517" s="24">
        <v>46600000</v>
      </c>
      <c r="H517" s="23">
        <v>5.0000000000000001E-3</v>
      </c>
      <c r="I517" s="39">
        <v>44256</v>
      </c>
      <c r="J517" s="39">
        <v>44286</v>
      </c>
      <c r="K517" s="24">
        <f t="shared" si="36"/>
        <v>31</v>
      </c>
      <c r="L517" s="24">
        <f t="shared" si="37"/>
        <v>19789</v>
      </c>
      <c r="M517" s="24">
        <v>46600000</v>
      </c>
    </row>
    <row r="518" spans="1:13" s="48" customFormat="1" outlineLevel="2">
      <c r="A518" s="39" t="s">
        <v>270</v>
      </c>
      <c r="B518" s="40" t="s">
        <v>22</v>
      </c>
      <c r="C518" s="41" t="s">
        <v>273</v>
      </c>
      <c r="D518" s="40" t="s">
        <v>272</v>
      </c>
      <c r="E518" s="24">
        <v>1300000</v>
      </c>
      <c r="F518" s="39">
        <v>43866</v>
      </c>
      <c r="G518" s="24">
        <v>1300000</v>
      </c>
      <c r="H518" s="23">
        <v>5.0000000000000001E-3</v>
      </c>
      <c r="I518" s="39">
        <v>44256</v>
      </c>
      <c r="J518" s="39">
        <v>44286</v>
      </c>
      <c r="K518" s="24">
        <f t="shared" si="36"/>
        <v>31</v>
      </c>
      <c r="L518" s="24">
        <f t="shared" si="37"/>
        <v>552</v>
      </c>
      <c r="M518" s="24">
        <v>1300000</v>
      </c>
    </row>
    <row r="519" spans="1:13" s="48" customFormat="1" outlineLevel="2">
      <c r="A519" s="39" t="s">
        <v>270</v>
      </c>
      <c r="B519" s="40" t="s">
        <v>25</v>
      </c>
      <c r="C519" s="41" t="s">
        <v>274</v>
      </c>
      <c r="D519" s="40" t="s">
        <v>275</v>
      </c>
      <c r="E519" s="24">
        <v>9087600</v>
      </c>
      <c r="F519" s="39">
        <v>43901</v>
      </c>
      <c r="G519" s="24">
        <v>9087600</v>
      </c>
      <c r="H519" s="23">
        <v>5.0000000000000001E-3</v>
      </c>
      <c r="I519" s="39">
        <v>44256</v>
      </c>
      <c r="J519" s="39">
        <v>44286</v>
      </c>
      <c r="K519" s="24">
        <f t="shared" si="36"/>
        <v>31</v>
      </c>
      <c r="L519" s="24">
        <f t="shared" si="37"/>
        <v>3859</v>
      </c>
      <c r="M519" s="24">
        <v>9087600</v>
      </c>
    </row>
    <row r="520" spans="1:13" s="48" customFormat="1" outlineLevel="2">
      <c r="A520" s="39" t="s">
        <v>270</v>
      </c>
      <c r="B520" s="40" t="s">
        <v>26</v>
      </c>
      <c r="C520" s="41" t="s">
        <v>274</v>
      </c>
      <c r="D520" s="40" t="s">
        <v>275</v>
      </c>
      <c r="E520" s="24">
        <v>7270080</v>
      </c>
      <c r="F520" s="39">
        <v>43901</v>
      </c>
      <c r="G520" s="24">
        <v>7270080</v>
      </c>
      <c r="H520" s="23">
        <v>5.0000000000000001E-3</v>
      </c>
      <c r="I520" s="39">
        <v>44256</v>
      </c>
      <c r="J520" s="39">
        <v>44286</v>
      </c>
      <c r="K520" s="24">
        <f t="shared" si="36"/>
        <v>31</v>
      </c>
      <c r="L520" s="24">
        <f t="shared" si="37"/>
        <v>3087</v>
      </c>
      <c r="M520" s="24">
        <v>7270080</v>
      </c>
    </row>
    <row r="521" spans="1:13" s="48" customFormat="1" outlineLevel="2">
      <c r="A521" s="39" t="s">
        <v>270</v>
      </c>
      <c r="B521" s="40" t="s">
        <v>29</v>
      </c>
      <c r="C521" s="41" t="s">
        <v>273</v>
      </c>
      <c r="D521" s="40" t="s">
        <v>272</v>
      </c>
      <c r="E521" s="24">
        <v>99400000</v>
      </c>
      <c r="F521" s="39">
        <v>43917</v>
      </c>
      <c r="G521" s="24">
        <v>99400000</v>
      </c>
      <c r="H521" s="23">
        <v>5.0000000000000001E-3</v>
      </c>
      <c r="I521" s="39">
        <v>44256</v>
      </c>
      <c r="J521" s="39">
        <v>44286</v>
      </c>
      <c r="K521" s="24">
        <f t="shared" si="36"/>
        <v>31</v>
      </c>
      <c r="L521" s="24">
        <f t="shared" si="37"/>
        <v>42211</v>
      </c>
      <c r="M521" s="24">
        <v>99400000</v>
      </c>
    </row>
    <row r="522" spans="1:13" s="48" customFormat="1" outlineLevel="2">
      <c r="A522" s="39" t="s">
        <v>270</v>
      </c>
      <c r="B522" s="40" t="s">
        <v>32</v>
      </c>
      <c r="C522" s="41" t="s">
        <v>274</v>
      </c>
      <c r="D522" s="40" t="s">
        <v>275</v>
      </c>
      <c r="E522" s="24">
        <v>9087600</v>
      </c>
      <c r="F522" s="39">
        <v>43929</v>
      </c>
      <c r="G522" s="24">
        <v>9087600</v>
      </c>
      <c r="H522" s="23">
        <v>5.0000000000000001E-3</v>
      </c>
      <c r="I522" s="39">
        <v>44256</v>
      </c>
      <c r="J522" s="39">
        <v>44286</v>
      </c>
      <c r="K522" s="24">
        <f t="shared" si="36"/>
        <v>31</v>
      </c>
      <c r="L522" s="24">
        <f t="shared" si="37"/>
        <v>3859</v>
      </c>
      <c r="M522" s="24">
        <v>9087600</v>
      </c>
    </row>
    <row r="523" spans="1:13" s="48" customFormat="1" outlineLevel="2">
      <c r="A523" s="39" t="s">
        <v>270</v>
      </c>
      <c r="B523" s="40" t="s">
        <v>33</v>
      </c>
      <c r="C523" s="41" t="s">
        <v>274</v>
      </c>
      <c r="D523" s="40" t="s">
        <v>275</v>
      </c>
      <c r="E523" s="24">
        <v>13007640</v>
      </c>
      <c r="F523" s="39">
        <v>43929</v>
      </c>
      <c r="G523" s="24">
        <v>13007640</v>
      </c>
      <c r="H523" s="23">
        <v>5.0000000000000001E-3</v>
      </c>
      <c r="I523" s="39">
        <v>44256</v>
      </c>
      <c r="J523" s="39">
        <v>44286</v>
      </c>
      <c r="K523" s="24">
        <f t="shared" si="36"/>
        <v>31</v>
      </c>
      <c r="L523" s="24">
        <f t="shared" si="37"/>
        <v>5524</v>
      </c>
      <c r="M523" s="24">
        <v>13007640</v>
      </c>
    </row>
    <row r="524" spans="1:13" s="48" customFormat="1" outlineLevel="2">
      <c r="A524" s="39" t="s">
        <v>270</v>
      </c>
      <c r="B524" s="40" t="s">
        <v>34</v>
      </c>
      <c r="C524" s="41" t="s">
        <v>276</v>
      </c>
      <c r="D524" s="40" t="s">
        <v>277</v>
      </c>
      <c r="E524" s="24">
        <v>61668037</v>
      </c>
      <c r="F524" s="39">
        <v>43949</v>
      </c>
      <c r="G524" s="24">
        <v>61668037</v>
      </c>
      <c r="H524" s="23">
        <v>5.0000000000000001E-3</v>
      </c>
      <c r="I524" s="39">
        <v>44256</v>
      </c>
      <c r="J524" s="39">
        <v>44286</v>
      </c>
      <c r="K524" s="24">
        <f t="shared" si="36"/>
        <v>31</v>
      </c>
      <c r="L524" s="24">
        <f t="shared" si="37"/>
        <v>26188</v>
      </c>
      <c r="M524" s="24">
        <v>61668037</v>
      </c>
    </row>
    <row r="525" spans="1:13" s="48" customFormat="1" outlineLevel="2">
      <c r="A525" s="39" t="s">
        <v>270</v>
      </c>
      <c r="B525" s="40" t="s">
        <v>35</v>
      </c>
      <c r="C525" s="41" t="s">
        <v>274</v>
      </c>
      <c r="D525" s="40" t="s">
        <v>275</v>
      </c>
      <c r="E525" s="24">
        <v>13007640</v>
      </c>
      <c r="F525" s="39">
        <v>43964</v>
      </c>
      <c r="G525" s="24">
        <v>13007640</v>
      </c>
      <c r="H525" s="23">
        <v>5.0000000000000001E-3</v>
      </c>
      <c r="I525" s="39">
        <v>44256</v>
      </c>
      <c r="J525" s="39">
        <v>44286</v>
      </c>
      <c r="K525" s="24">
        <f t="shared" si="36"/>
        <v>31</v>
      </c>
      <c r="L525" s="24">
        <f t="shared" si="37"/>
        <v>5524</v>
      </c>
      <c r="M525" s="24">
        <v>13007640</v>
      </c>
    </row>
    <row r="526" spans="1:13" s="48" customFormat="1" outlineLevel="2">
      <c r="A526" s="39" t="s">
        <v>270</v>
      </c>
      <c r="B526" s="40" t="s">
        <v>36</v>
      </c>
      <c r="C526" s="41" t="s">
        <v>274</v>
      </c>
      <c r="D526" s="40" t="s">
        <v>275</v>
      </c>
      <c r="E526" s="24">
        <v>6361320</v>
      </c>
      <c r="F526" s="39">
        <v>43964</v>
      </c>
      <c r="G526" s="24">
        <v>6361320</v>
      </c>
      <c r="H526" s="23">
        <v>5.0000000000000001E-3</v>
      </c>
      <c r="I526" s="39">
        <v>44256</v>
      </c>
      <c r="J526" s="39">
        <v>44286</v>
      </c>
      <c r="K526" s="24">
        <f t="shared" si="36"/>
        <v>31</v>
      </c>
      <c r="L526" s="24">
        <f t="shared" si="37"/>
        <v>2701</v>
      </c>
      <c r="M526" s="24">
        <v>6361320</v>
      </c>
    </row>
    <row r="527" spans="1:13" s="48" customFormat="1" outlineLevel="2">
      <c r="A527" s="39" t="s">
        <v>270</v>
      </c>
      <c r="B527" s="40" t="s">
        <v>39</v>
      </c>
      <c r="C527" s="41" t="s">
        <v>274</v>
      </c>
      <c r="D527" s="40" t="s">
        <v>275</v>
      </c>
      <c r="E527" s="24">
        <v>5452560</v>
      </c>
      <c r="F527" s="39">
        <v>43810</v>
      </c>
      <c r="G527" s="24">
        <v>5452560</v>
      </c>
      <c r="H527" s="23">
        <v>5.0000000000000001E-3</v>
      </c>
      <c r="I527" s="39">
        <v>44256</v>
      </c>
      <c r="J527" s="39">
        <v>44286</v>
      </c>
      <c r="K527" s="24">
        <f t="shared" si="36"/>
        <v>31</v>
      </c>
      <c r="L527" s="24">
        <f t="shared" si="37"/>
        <v>2315</v>
      </c>
      <c r="M527" s="24">
        <v>5452560</v>
      </c>
    </row>
    <row r="528" spans="1:13" s="48" customFormat="1" outlineLevel="2">
      <c r="A528" s="39" t="s">
        <v>270</v>
      </c>
      <c r="B528" s="40" t="s">
        <v>40</v>
      </c>
      <c r="C528" s="41" t="s">
        <v>273</v>
      </c>
      <c r="D528" s="40" t="s">
        <v>272</v>
      </c>
      <c r="E528" s="24">
        <v>69800000</v>
      </c>
      <c r="F528" s="39">
        <v>43956</v>
      </c>
      <c r="G528" s="24">
        <v>69800000</v>
      </c>
      <c r="H528" s="23">
        <v>5.0000000000000001E-3</v>
      </c>
      <c r="I528" s="39">
        <v>44256</v>
      </c>
      <c r="J528" s="39">
        <v>44286</v>
      </c>
      <c r="K528" s="24">
        <f t="shared" si="36"/>
        <v>31</v>
      </c>
      <c r="L528" s="24">
        <f t="shared" si="37"/>
        <v>29641</v>
      </c>
      <c r="M528" s="24">
        <v>69800000</v>
      </c>
    </row>
    <row r="529" spans="1:13" s="48" customFormat="1" outlineLevel="2">
      <c r="A529" s="39" t="s">
        <v>270</v>
      </c>
      <c r="B529" s="40" t="s">
        <v>41</v>
      </c>
      <c r="C529" s="41" t="s">
        <v>273</v>
      </c>
      <c r="D529" s="40" t="s">
        <v>272</v>
      </c>
      <c r="E529" s="24">
        <v>1500000</v>
      </c>
      <c r="F529" s="39">
        <v>43956</v>
      </c>
      <c r="G529" s="24">
        <v>1500000</v>
      </c>
      <c r="H529" s="23">
        <v>5.0000000000000001E-3</v>
      </c>
      <c r="I529" s="39">
        <v>44256</v>
      </c>
      <c r="J529" s="39">
        <v>44286</v>
      </c>
      <c r="K529" s="24">
        <f t="shared" si="36"/>
        <v>31</v>
      </c>
      <c r="L529" s="24">
        <f t="shared" si="37"/>
        <v>637</v>
      </c>
      <c r="M529" s="24">
        <v>1500000</v>
      </c>
    </row>
    <row r="530" spans="1:13" s="48" customFormat="1" outlineLevel="2">
      <c r="A530" s="39" t="s">
        <v>270</v>
      </c>
      <c r="B530" s="40" t="s">
        <v>42</v>
      </c>
      <c r="C530" s="41" t="s">
        <v>30</v>
      </c>
      <c r="D530" s="40" t="s">
        <v>31</v>
      </c>
      <c r="E530" s="24">
        <v>50000000</v>
      </c>
      <c r="F530" s="39">
        <v>43976</v>
      </c>
      <c r="G530" s="24">
        <v>50000000</v>
      </c>
      <c r="H530" s="23">
        <v>5.0000000000000001E-3</v>
      </c>
      <c r="I530" s="39">
        <v>44256</v>
      </c>
      <c r="J530" s="39">
        <v>44286</v>
      </c>
      <c r="K530" s="24">
        <f t="shared" si="36"/>
        <v>31</v>
      </c>
      <c r="L530" s="24">
        <f t="shared" si="37"/>
        <v>21233</v>
      </c>
      <c r="M530" s="24">
        <v>50000000</v>
      </c>
    </row>
    <row r="531" spans="1:13" s="48" customFormat="1" outlineLevel="2">
      <c r="A531" s="39" t="s">
        <v>270</v>
      </c>
      <c r="B531" s="40" t="s">
        <v>43</v>
      </c>
      <c r="C531" s="41" t="s">
        <v>274</v>
      </c>
      <c r="D531" s="40" t="s">
        <v>275</v>
      </c>
      <c r="E531" s="24">
        <v>6657720</v>
      </c>
      <c r="F531" s="39">
        <v>43992</v>
      </c>
      <c r="G531" s="24">
        <v>6657720</v>
      </c>
      <c r="H531" s="23">
        <v>5.0000000000000001E-3</v>
      </c>
      <c r="I531" s="39">
        <v>44256</v>
      </c>
      <c r="J531" s="39">
        <v>44286</v>
      </c>
      <c r="K531" s="24">
        <f t="shared" si="36"/>
        <v>31</v>
      </c>
      <c r="L531" s="24">
        <f t="shared" si="37"/>
        <v>2827</v>
      </c>
      <c r="M531" s="24">
        <v>6657720</v>
      </c>
    </row>
    <row r="532" spans="1:13" s="48" customFormat="1" outlineLevel="2">
      <c r="A532" s="39" t="s">
        <v>270</v>
      </c>
      <c r="B532" s="40" t="s">
        <v>44</v>
      </c>
      <c r="C532" s="41" t="s">
        <v>274</v>
      </c>
      <c r="D532" s="40" t="s">
        <v>275</v>
      </c>
      <c r="E532" s="24">
        <v>6361320</v>
      </c>
      <c r="F532" s="39">
        <v>43992</v>
      </c>
      <c r="G532" s="24">
        <v>6361320</v>
      </c>
      <c r="H532" s="23">
        <v>5.0000000000000001E-3</v>
      </c>
      <c r="I532" s="39">
        <v>44256</v>
      </c>
      <c r="J532" s="39">
        <v>44286</v>
      </c>
      <c r="K532" s="24">
        <f t="shared" si="36"/>
        <v>31</v>
      </c>
      <c r="L532" s="24">
        <f t="shared" si="37"/>
        <v>2701</v>
      </c>
      <c r="M532" s="24">
        <v>6361320</v>
      </c>
    </row>
    <row r="533" spans="1:13" s="48" customFormat="1" outlineLevel="2">
      <c r="A533" s="39" t="s">
        <v>270</v>
      </c>
      <c r="B533" s="40" t="s">
        <v>47</v>
      </c>
      <c r="C533" s="41" t="s">
        <v>273</v>
      </c>
      <c r="D533" s="40" t="s">
        <v>272</v>
      </c>
      <c r="E533" s="24">
        <v>41200000</v>
      </c>
      <c r="F533" s="39">
        <v>43987</v>
      </c>
      <c r="G533" s="24">
        <v>41200000</v>
      </c>
      <c r="H533" s="23">
        <v>5.0000000000000001E-3</v>
      </c>
      <c r="I533" s="39">
        <v>44256</v>
      </c>
      <c r="J533" s="39">
        <v>44286</v>
      </c>
      <c r="K533" s="24">
        <f t="shared" si="36"/>
        <v>31</v>
      </c>
      <c r="L533" s="24">
        <f t="shared" si="37"/>
        <v>17496</v>
      </c>
      <c r="M533" s="24">
        <v>41200000</v>
      </c>
    </row>
    <row r="534" spans="1:13" s="48" customFormat="1" outlineLevel="2">
      <c r="A534" s="39" t="s">
        <v>270</v>
      </c>
      <c r="B534" s="40" t="s">
        <v>50</v>
      </c>
      <c r="C534" s="41" t="s">
        <v>274</v>
      </c>
      <c r="D534" s="40" t="s">
        <v>275</v>
      </c>
      <c r="E534" s="24">
        <v>6657720</v>
      </c>
      <c r="F534" s="39">
        <v>44020</v>
      </c>
      <c r="G534" s="24">
        <v>6657720</v>
      </c>
      <c r="H534" s="23">
        <v>5.0000000000000001E-3</v>
      </c>
      <c r="I534" s="39">
        <v>44256</v>
      </c>
      <c r="J534" s="39">
        <v>44286</v>
      </c>
      <c r="K534" s="24">
        <f t="shared" si="36"/>
        <v>31</v>
      </c>
      <c r="L534" s="24">
        <f t="shared" si="37"/>
        <v>2827</v>
      </c>
      <c r="M534" s="24">
        <v>6657720</v>
      </c>
    </row>
    <row r="535" spans="1:13" s="48" customFormat="1" outlineLevel="2">
      <c r="A535" s="39" t="s">
        <v>270</v>
      </c>
      <c r="B535" s="40" t="s">
        <v>51</v>
      </c>
      <c r="C535" s="41" t="s">
        <v>274</v>
      </c>
      <c r="D535" s="40" t="s">
        <v>275</v>
      </c>
      <c r="E535" s="24">
        <v>6657720</v>
      </c>
      <c r="F535" s="39">
        <v>44020</v>
      </c>
      <c r="G535" s="24">
        <v>6657720</v>
      </c>
      <c r="H535" s="23">
        <v>5.0000000000000001E-3</v>
      </c>
      <c r="I535" s="39">
        <v>44256</v>
      </c>
      <c r="J535" s="39">
        <v>44286</v>
      </c>
      <c r="K535" s="24">
        <f t="shared" si="36"/>
        <v>31</v>
      </c>
      <c r="L535" s="24">
        <f t="shared" si="37"/>
        <v>2827</v>
      </c>
      <c r="M535" s="24">
        <v>6657720</v>
      </c>
    </row>
    <row r="536" spans="1:13" s="48" customFormat="1" outlineLevel="2">
      <c r="A536" s="39" t="s">
        <v>270</v>
      </c>
      <c r="B536" s="40" t="s">
        <v>52</v>
      </c>
      <c r="C536" s="41" t="s">
        <v>273</v>
      </c>
      <c r="D536" s="40" t="s">
        <v>272</v>
      </c>
      <c r="E536" s="24">
        <v>11800000</v>
      </c>
      <c r="F536" s="39">
        <v>44015</v>
      </c>
      <c r="G536" s="24">
        <v>11800000</v>
      </c>
      <c r="H536" s="23">
        <v>5.0000000000000001E-3</v>
      </c>
      <c r="I536" s="39">
        <v>44256</v>
      </c>
      <c r="J536" s="39">
        <v>44286</v>
      </c>
      <c r="K536" s="24">
        <f t="shared" si="36"/>
        <v>31</v>
      </c>
      <c r="L536" s="24">
        <f t="shared" si="37"/>
        <v>5011</v>
      </c>
      <c r="M536" s="24">
        <v>11800000</v>
      </c>
    </row>
    <row r="537" spans="1:13" s="48" customFormat="1" outlineLevel="2">
      <c r="A537" s="39" t="s">
        <v>270</v>
      </c>
      <c r="B537" s="40" t="s">
        <v>53</v>
      </c>
      <c r="C537" s="41" t="s">
        <v>273</v>
      </c>
      <c r="D537" s="40" t="s">
        <v>272</v>
      </c>
      <c r="E537" s="24">
        <v>2600000</v>
      </c>
      <c r="F537" s="39">
        <v>44015</v>
      </c>
      <c r="G537" s="24">
        <v>2600000</v>
      </c>
      <c r="H537" s="23">
        <v>5.0000000000000001E-3</v>
      </c>
      <c r="I537" s="39">
        <v>44256</v>
      </c>
      <c r="J537" s="39">
        <v>44286</v>
      </c>
      <c r="K537" s="24">
        <f t="shared" si="36"/>
        <v>31</v>
      </c>
      <c r="L537" s="24">
        <f t="shared" si="37"/>
        <v>1104</v>
      </c>
      <c r="M537" s="24">
        <v>2600000</v>
      </c>
    </row>
    <row r="538" spans="1:13" s="48" customFormat="1" outlineLevel="2">
      <c r="A538" s="39" t="s">
        <v>270</v>
      </c>
      <c r="B538" s="40" t="s">
        <v>54</v>
      </c>
      <c r="C538" s="41" t="s">
        <v>278</v>
      </c>
      <c r="D538" s="40" t="s">
        <v>279</v>
      </c>
      <c r="E538" s="24">
        <v>220000000</v>
      </c>
      <c r="F538" s="39">
        <v>43815</v>
      </c>
      <c r="G538" s="24">
        <v>220000000</v>
      </c>
      <c r="H538" s="23">
        <v>5.0000000000000001E-3</v>
      </c>
      <c r="I538" s="39">
        <v>44256</v>
      </c>
      <c r="J538" s="39">
        <v>44286</v>
      </c>
      <c r="K538" s="24">
        <f t="shared" si="36"/>
        <v>31</v>
      </c>
      <c r="L538" s="24">
        <f t="shared" si="37"/>
        <v>93425</v>
      </c>
      <c r="M538" s="24">
        <v>220000000</v>
      </c>
    </row>
    <row r="539" spans="1:13" s="48" customFormat="1" outlineLevel="2">
      <c r="A539" s="39" t="s">
        <v>270</v>
      </c>
      <c r="B539" s="40" t="s">
        <v>57</v>
      </c>
      <c r="C539" s="41" t="s">
        <v>143</v>
      </c>
      <c r="D539" s="40" t="s">
        <v>144</v>
      </c>
      <c r="E539" s="24">
        <v>10400000</v>
      </c>
      <c r="F539" s="39">
        <v>44033</v>
      </c>
      <c r="G539" s="24">
        <v>10400000</v>
      </c>
      <c r="H539" s="23">
        <v>5.0000000000000001E-3</v>
      </c>
      <c r="I539" s="39">
        <v>44256</v>
      </c>
      <c r="J539" s="39">
        <v>44286</v>
      </c>
      <c r="K539" s="24">
        <f t="shared" si="36"/>
        <v>31</v>
      </c>
      <c r="L539" s="24">
        <f t="shared" si="37"/>
        <v>4416</v>
      </c>
      <c r="M539" s="24">
        <v>10400000</v>
      </c>
    </row>
    <row r="540" spans="1:13" s="48" customFormat="1" outlineLevel="2">
      <c r="A540" s="39" t="s">
        <v>270</v>
      </c>
      <c r="B540" s="40" t="s">
        <v>58</v>
      </c>
      <c r="C540" s="41" t="s">
        <v>97</v>
      </c>
      <c r="D540" s="40" t="s">
        <v>98</v>
      </c>
      <c r="E540" s="24">
        <v>28200000</v>
      </c>
      <c r="F540" s="39">
        <v>44027</v>
      </c>
      <c r="G540" s="24">
        <v>28200000</v>
      </c>
      <c r="H540" s="23">
        <v>5.0000000000000001E-3</v>
      </c>
      <c r="I540" s="39">
        <v>44256</v>
      </c>
      <c r="J540" s="39">
        <v>44286</v>
      </c>
      <c r="K540" s="24">
        <f t="shared" si="36"/>
        <v>31</v>
      </c>
      <c r="L540" s="24">
        <f t="shared" si="37"/>
        <v>11975</v>
      </c>
      <c r="M540" s="24">
        <v>28200000</v>
      </c>
    </row>
    <row r="541" spans="1:13" s="48" customFormat="1" outlineLevel="2">
      <c r="A541" s="39" t="s">
        <v>270</v>
      </c>
      <c r="B541" s="40" t="s">
        <v>99</v>
      </c>
      <c r="C541" s="41" t="s">
        <v>274</v>
      </c>
      <c r="D541" s="40" t="s">
        <v>275</v>
      </c>
      <c r="E541" s="24">
        <v>6657720</v>
      </c>
      <c r="F541" s="39">
        <v>44055</v>
      </c>
      <c r="G541" s="24">
        <v>6657720</v>
      </c>
      <c r="H541" s="23">
        <v>5.0000000000000001E-3</v>
      </c>
      <c r="I541" s="39">
        <v>44256</v>
      </c>
      <c r="J541" s="39">
        <v>44286</v>
      </c>
      <c r="K541" s="24">
        <f t="shared" si="36"/>
        <v>31</v>
      </c>
      <c r="L541" s="24">
        <f t="shared" si="37"/>
        <v>2827</v>
      </c>
      <c r="M541" s="24">
        <v>6657720</v>
      </c>
    </row>
    <row r="542" spans="1:13" s="48" customFormat="1" outlineLevel="2">
      <c r="A542" s="39" t="s">
        <v>270</v>
      </c>
      <c r="B542" s="40" t="s">
        <v>100</v>
      </c>
      <c r="C542" s="41" t="s">
        <v>274</v>
      </c>
      <c r="D542" s="40" t="s">
        <v>275</v>
      </c>
      <c r="E542" s="24">
        <v>6714720</v>
      </c>
      <c r="F542" s="39">
        <v>44055</v>
      </c>
      <c r="G542" s="24">
        <v>6714720</v>
      </c>
      <c r="H542" s="23">
        <v>5.0000000000000001E-3</v>
      </c>
      <c r="I542" s="39">
        <v>44256</v>
      </c>
      <c r="J542" s="39">
        <v>44286</v>
      </c>
      <c r="K542" s="24">
        <f t="shared" si="36"/>
        <v>31</v>
      </c>
      <c r="L542" s="24">
        <f t="shared" si="37"/>
        <v>2851</v>
      </c>
      <c r="M542" s="24">
        <v>6714720</v>
      </c>
    </row>
    <row r="543" spans="1:13" s="48" customFormat="1" outlineLevel="2">
      <c r="A543" s="39" t="s">
        <v>270</v>
      </c>
      <c r="B543" s="40" t="s">
        <v>101</v>
      </c>
      <c r="C543" s="41" t="s">
        <v>273</v>
      </c>
      <c r="D543" s="40" t="s">
        <v>272</v>
      </c>
      <c r="E543" s="24">
        <v>47630000</v>
      </c>
      <c r="F543" s="39">
        <v>44048</v>
      </c>
      <c r="G543" s="24">
        <v>47630000</v>
      </c>
      <c r="H543" s="23">
        <v>5.0000000000000001E-3</v>
      </c>
      <c r="I543" s="39">
        <v>44256</v>
      </c>
      <c r="J543" s="39">
        <v>44286</v>
      </c>
      <c r="K543" s="24">
        <f t="shared" si="36"/>
        <v>31</v>
      </c>
      <c r="L543" s="24">
        <f t="shared" si="37"/>
        <v>20226</v>
      </c>
      <c r="M543" s="24">
        <v>47630000</v>
      </c>
    </row>
    <row r="544" spans="1:13" s="48" customFormat="1" outlineLevel="2">
      <c r="A544" s="39" t="s">
        <v>270</v>
      </c>
      <c r="B544" s="40" t="s">
        <v>102</v>
      </c>
      <c r="C544" s="41" t="s">
        <v>273</v>
      </c>
      <c r="D544" s="40" t="s">
        <v>272</v>
      </c>
      <c r="E544" s="24">
        <v>1970000</v>
      </c>
      <c r="F544" s="39">
        <v>44048</v>
      </c>
      <c r="G544" s="24">
        <v>1970000</v>
      </c>
      <c r="H544" s="23">
        <v>5.0000000000000001E-3</v>
      </c>
      <c r="I544" s="39">
        <v>44256</v>
      </c>
      <c r="J544" s="39">
        <v>44286</v>
      </c>
      <c r="K544" s="24">
        <f t="shared" si="36"/>
        <v>31</v>
      </c>
      <c r="L544" s="24">
        <f t="shared" si="37"/>
        <v>837</v>
      </c>
      <c r="M544" s="24">
        <v>1970000</v>
      </c>
    </row>
    <row r="545" spans="1:13" s="48" customFormat="1" outlineLevel="2">
      <c r="A545" s="39" t="s">
        <v>270</v>
      </c>
      <c r="B545" s="40" t="s">
        <v>103</v>
      </c>
      <c r="C545" s="41" t="s">
        <v>252</v>
      </c>
      <c r="D545" s="40" t="s">
        <v>253</v>
      </c>
      <c r="E545" s="24">
        <v>27700000</v>
      </c>
      <c r="F545" s="39">
        <v>44071</v>
      </c>
      <c r="G545" s="24">
        <v>27700000</v>
      </c>
      <c r="H545" s="23">
        <v>5.0000000000000001E-3</v>
      </c>
      <c r="I545" s="39">
        <v>44256</v>
      </c>
      <c r="J545" s="39">
        <v>44286</v>
      </c>
      <c r="K545" s="24">
        <f t="shared" si="36"/>
        <v>31</v>
      </c>
      <c r="L545" s="24">
        <f t="shared" si="37"/>
        <v>11763</v>
      </c>
      <c r="M545" s="24">
        <v>27700000</v>
      </c>
    </row>
    <row r="546" spans="1:13" s="48" customFormat="1" outlineLevel="2">
      <c r="A546" s="39" t="s">
        <v>270</v>
      </c>
      <c r="B546" s="40" t="s">
        <v>104</v>
      </c>
      <c r="C546" s="41" t="s">
        <v>274</v>
      </c>
      <c r="D546" s="40" t="s">
        <v>275</v>
      </c>
      <c r="E546" s="24">
        <v>6714720</v>
      </c>
      <c r="F546" s="39">
        <v>44083</v>
      </c>
      <c r="G546" s="24">
        <v>6714720</v>
      </c>
      <c r="H546" s="23">
        <v>5.0000000000000001E-3</v>
      </c>
      <c r="I546" s="39">
        <v>44256</v>
      </c>
      <c r="J546" s="39">
        <v>44286</v>
      </c>
      <c r="K546" s="24">
        <f t="shared" si="36"/>
        <v>31</v>
      </c>
      <c r="L546" s="24">
        <f t="shared" si="37"/>
        <v>2851</v>
      </c>
      <c r="M546" s="24">
        <v>6714720</v>
      </c>
    </row>
    <row r="547" spans="1:13" s="48" customFormat="1" outlineLevel="2">
      <c r="A547" s="39" t="s">
        <v>270</v>
      </c>
      <c r="B547" s="40" t="s">
        <v>105</v>
      </c>
      <c r="C547" s="41" t="s">
        <v>274</v>
      </c>
      <c r="D547" s="40" t="s">
        <v>275</v>
      </c>
      <c r="E547" s="24">
        <v>5805960</v>
      </c>
      <c r="F547" s="39">
        <v>44083</v>
      </c>
      <c r="G547" s="24">
        <v>5805960</v>
      </c>
      <c r="H547" s="23">
        <v>5.0000000000000001E-3</v>
      </c>
      <c r="I547" s="39">
        <v>44256</v>
      </c>
      <c r="J547" s="39">
        <v>44286</v>
      </c>
      <c r="K547" s="24">
        <f t="shared" si="36"/>
        <v>31</v>
      </c>
      <c r="L547" s="24">
        <f t="shared" si="37"/>
        <v>2466</v>
      </c>
      <c r="M547" s="24">
        <v>5805960</v>
      </c>
    </row>
    <row r="548" spans="1:13" s="48" customFormat="1" outlineLevel="2">
      <c r="A548" s="39" t="s">
        <v>270</v>
      </c>
      <c r="B548" s="40" t="s">
        <v>106</v>
      </c>
      <c r="C548" s="41" t="s">
        <v>273</v>
      </c>
      <c r="D548" s="40" t="s">
        <v>272</v>
      </c>
      <c r="E548" s="24">
        <v>19100000</v>
      </c>
      <c r="F548" s="39">
        <v>44078</v>
      </c>
      <c r="G548" s="24">
        <v>19100000</v>
      </c>
      <c r="H548" s="23">
        <v>5.0000000000000001E-3</v>
      </c>
      <c r="I548" s="39">
        <v>44256</v>
      </c>
      <c r="J548" s="39">
        <v>44286</v>
      </c>
      <c r="K548" s="24">
        <f t="shared" ref="K548:K579" si="38">J548-I548+1</f>
        <v>31</v>
      </c>
      <c r="L548" s="24">
        <f t="shared" ref="L548:L579" si="39">ROUND(G548*H548*K548/365,0)</f>
        <v>8111</v>
      </c>
      <c r="M548" s="24">
        <v>19100000</v>
      </c>
    </row>
    <row r="549" spans="1:13" s="48" customFormat="1" outlineLevel="2">
      <c r="A549" s="39" t="s">
        <v>270</v>
      </c>
      <c r="B549" s="40" t="s">
        <v>59</v>
      </c>
      <c r="C549" s="41" t="s">
        <v>274</v>
      </c>
      <c r="D549" s="40" t="s">
        <v>275</v>
      </c>
      <c r="E549" s="24">
        <v>5452560</v>
      </c>
      <c r="F549" s="39">
        <v>43838</v>
      </c>
      <c r="G549" s="24">
        <v>5452560</v>
      </c>
      <c r="H549" s="23">
        <v>5.0000000000000001E-3</v>
      </c>
      <c r="I549" s="39">
        <v>44256</v>
      </c>
      <c r="J549" s="39">
        <v>44286</v>
      </c>
      <c r="K549" s="24">
        <f t="shared" si="38"/>
        <v>31</v>
      </c>
      <c r="L549" s="24">
        <f t="shared" si="39"/>
        <v>2315</v>
      </c>
      <c r="M549" s="24">
        <v>5452560</v>
      </c>
    </row>
    <row r="550" spans="1:13" s="48" customFormat="1" outlineLevel="2">
      <c r="A550" s="39" t="s">
        <v>270</v>
      </c>
      <c r="B550" s="40" t="s">
        <v>136</v>
      </c>
      <c r="C550" s="41" t="s">
        <v>30</v>
      </c>
      <c r="D550" s="40" t="s">
        <v>31</v>
      </c>
      <c r="E550" s="24">
        <v>31000000</v>
      </c>
      <c r="F550" s="39">
        <v>44102</v>
      </c>
      <c r="G550" s="24">
        <v>31000000</v>
      </c>
      <c r="H550" s="23">
        <v>5.0000000000000001E-3</v>
      </c>
      <c r="I550" s="39">
        <v>44256</v>
      </c>
      <c r="J550" s="39">
        <v>44286</v>
      </c>
      <c r="K550" s="24">
        <f t="shared" si="38"/>
        <v>31</v>
      </c>
      <c r="L550" s="24">
        <f t="shared" si="39"/>
        <v>13164</v>
      </c>
      <c r="M550" s="24">
        <v>31000000</v>
      </c>
    </row>
    <row r="551" spans="1:13" s="48" customFormat="1" outlineLevel="2">
      <c r="A551" s="39" t="s">
        <v>270</v>
      </c>
      <c r="B551" s="40" t="s">
        <v>137</v>
      </c>
      <c r="C551" s="41" t="s">
        <v>143</v>
      </c>
      <c r="D551" s="40" t="s">
        <v>144</v>
      </c>
      <c r="E551" s="24">
        <v>10700000</v>
      </c>
      <c r="F551" s="39">
        <v>44104</v>
      </c>
      <c r="G551" s="24">
        <v>10700000</v>
      </c>
      <c r="H551" s="23">
        <v>5.0000000000000001E-3</v>
      </c>
      <c r="I551" s="39">
        <v>44256</v>
      </c>
      <c r="J551" s="39">
        <v>44286</v>
      </c>
      <c r="K551" s="24">
        <f t="shared" si="38"/>
        <v>31</v>
      </c>
      <c r="L551" s="24">
        <f t="shared" si="39"/>
        <v>4544</v>
      </c>
      <c r="M551" s="24">
        <v>10700000</v>
      </c>
    </row>
    <row r="552" spans="1:13" s="48" customFormat="1" outlineLevel="2">
      <c r="A552" s="39" t="s">
        <v>270</v>
      </c>
      <c r="B552" s="40" t="s">
        <v>138</v>
      </c>
      <c r="C552" s="41" t="s">
        <v>280</v>
      </c>
      <c r="D552" s="40" t="s">
        <v>281</v>
      </c>
      <c r="E552" s="24">
        <v>1000000000</v>
      </c>
      <c r="F552" s="39">
        <v>44102</v>
      </c>
      <c r="G552" s="24">
        <v>1000000000</v>
      </c>
      <c r="H552" s="23">
        <v>5.0000000000000001E-3</v>
      </c>
      <c r="I552" s="39">
        <v>44256</v>
      </c>
      <c r="J552" s="39">
        <v>44286</v>
      </c>
      <c r="K552" s="24">
        <f t="shared" si="38"/>
        <v>31</v>
      </c>
      <c r="L552" s="24">
        <f t="shared" si="39"/>
        <v>424658</v>
      </c>
      <c r="M552" s="24">
        <v>1000000000</v>
      </c>
    </row>
    <row r="553" spans="1:13" s="48" customFormat="1" outlineLevel="2">
      <c r="A553" s="39" t="s">
        <v>270</v>
      </c>
      <c r="B553" s="40" t="s">
        <v>139</v>
      </c>
      <c r="C553" s="41" t="s">
        <v>274</v>
      </c>
      <c r="D553" s="40" t="s">
        <v>275</v>
      </c>
      <c r="E553" s="24">
        <v>5805960</v>
      </c>
      <c r="F553" s="39">
        <v>44111</v>
      </c>
      <c r="G553" s="24">
        <v>5805960</v>
      </c>
      <c r="H553" s="23">
        <v>5.0000000000000001E-3</v>
      </c>
      <c r="I553" s="39">
        <v>44256</v>
      </c>
      <c r="J553" s="39">
        <v>44286</v>
      </c>
      <c r="K553" s="24">
        <f t="shared" si="38"/>
        <v>31</v>
      </c>
      <c r="L553" s="24">
        <f t="shared" si="39"/>
        <v>2466</v>
      </c>
      <c r="M553" s="24">
        <v>5805960</v>
      </c>
    </row>
    <row r="554" spans="1:13" s="48" customFormat="1" outlineLevel="2">
      <c r="A554" s="39" t="s">
        <v>270</v>
      </c>
      <c r="B554" s="40" t="s">
        <v>140</v>
      </c>
      <c r="C554" s="41" t="s">
        <v>274</v>
      </c>
      <c r="D554" s="40" t="s">
        <v>275</v>
      </c>
      <c r="E554" s="24">
        <v>5805960</v>
      </c>
      <c r="F554" s="39">
        <v>44111</v>
      </c>
      <c r="G554" s="24">
        <v>5805960</v>
      </c>
      <c r="H554" s="23">
        <v>5.0000000000000001E-3</v>
      </c>
      <c r="I554" s="39">
        <v>44256</v>
      </c>
      <c r="J554" s="39">
        <v>44286</v>
      </c>
      <c r="K554" s="24">
        <f t="shared" si="38"/>
        <v>31</v>
      </c>
      <c r="L554" s="24">
        <f t="shared" si="39"/>
        <v>2466</v>
      </c>
      <c r="M554" s="24">
        <v>5805960</v>
      </c>
    </row>
    <row r="555" spans="1:13" s="48" customFormat="1" outlineLevel="2">
      <c r="A555" s="39" t="s">
        <v>270</v>
      </c>
      <c r="B555" s="40" t="s">
        <v>169</v>
      </c>
      <c r="C555" s="41" t="s">
        <v>273</v>
      </c>
      <c r="D555" s="40" t="s">
        <v>272</v>
      </c>
      <c r="E555" s="24">
        <v>18400000</v>
      </c>
      <c r="F555" s="39">
        <v>44109</v>
      </c>
      <c r="G555" s="24">
        <v>18400000</v>
      </c>
      <c r="H555" s="23">
        <v>5.0000000000000001E-3</v>
      </c>
      <c r="I555" s="39">
        <v>44256</v>
      </c>
      <c r="J555" s="39">
        <v>44286</v>
      </c>
      <c r="K555" s="24">
        <f t="shared" si="38"/>
        <v>31</v>
      </c>
      <c r="L555" s="24">
        <f t="shared" si="39"/>
        <v>7814</v>
      </c>
      <c r="M555" s="24">
        <v>18400000</v>
      </c>
    </row>
    <row r="556" spans="1:13" s="48" customFormat="1" outlineLevel="2">
      <c r="A556" s="39" t="s">
        <v>270</v>
      </c>
      <c r="B556" s="40" t="s">
        <v>170</v>
      </c>
      <c r="C556" s="41" t="s">
        <v>273</v>
      </c>
      <c r="D556" s="40" t="s">
        <v>272</v>
      </c>
      <c r="E556" s="24">
        <v>1500000</v>
      </c>
      <c r="F556" s="39">
        <v>44109</v>
      </c>
      <c r="G556" s="24">
        <v>1500000</v>
      </c>
      <c r="H556" s="23">
        <v>5.0000000000000001E-3</v>
      </c>
      <c r="I556" s="39">
        <v>44256</v>
      </c>
      <c r="J556" s="39">
        <v>44286</v>
      </c>
      <c r="K556" s="24">
        <f t="shared" si="38"/>
        <v>31</v>
      </c>
      <c r="L556" s="24">
        <f t="shared" si="39"/>
        <v>637</v>
      </c>
      <c r="M556" s="24">
        <v>1500000</v>
      </c>
    </row>
    <row r="557" spans="1:13" s="48" customFormat="1" outlineLevel="2">
      <c r="A557" s="39" t="s">
        <v>270</v>
      </c>
      <c r="B557" s="40" t="s">
        <v>171</v>
      </c>
      <c r="C557" s="41" t="s">
        <v>125</v>
      </c>
      <c r="D557" s="40" t="s">
        <v>126</v>
      </c>
      <c r="E557" s="24">
        <v>3480000</v>
      </c>
      <c r="F557" s="39">
        <v>44125</v>
      </c>
      <c r="G557" s="24">
        <v>3480000</v>
      </c>
      <c r="H557" s="23">
        <v>5.0000000000000001E-3</v>
      </c>
      <c r="I557" s="39">
        <v>44256</v>
      </c>
      <c r="J557" s="39">
        <v>44286</v>
      </c>
      <c r="K557" s="24">
        <f t="shared" si="38"/>
        <v>31</v>
      </c>
      <c r="L557" s="24">
        <f t="shared" si="39"/>
        <v>1478</v>
      </c>
      <c r="M557" s="24">
        <v>3480000</v>
      </c>
    </row>
    <row r="558" spans="1:13" s="48" customFormat="1" outlineLevel="2">
      <c r="A558" s="39" t="s">
        <v>270</v>
      </c>
      <c r="B558" s="40" t="s">
        <v>172</v>
      </c>
      <c r="C558" s="41" t="s">
        <v>276</v>
      </c>
      <c r="D558" s="40" t="s">
        <v>277</v>
      </c>
      <c r="E558" s="24">
        <v>32000000</v>
      </c>
      <c r="F558" s="39">
        <v>44133</v>
      </c>
      <c r="G558" s="24">
        <v>32000000</v>
      </c>
      <c r="H558" s="23">
        <v>5.0000000000000001E-3</v>
      </c>
      <c r="I558" s="39">
        <v>44256</v>
      </c>
      <c r="J558" s="39">
        <v>44286</v>
      </c>
      <c r="K558" s="24">
        <f t="shared" si="38"/>
        <v>31</v>
      </c>
      <c r="L558" s="24">
        <f t="shared" si="39"/>
        <v>13589</v>
      </c>
      <c r="M558" s="24">
        <v>32000000</v>
      </c>
    </row>
    <row r="559" spans="1:13" s="48" customFormat="1" outlineLevel="2">
      <c r="A559" s="39" t="s">
        <v>270</v>
      </c>
      <c r="B559" s="40" t="s">
        <v>173</v>
      </c>
      <c r="C559" s="41" t="s">
        <v>274</v>
      </c>
      <c r="D559" s="40" t="s">
        <v>275</v>
      </c>
      <c r="E559" s="24">
        <v>5805960</v>
      </c>
      <c r="F559" s="39">
        <v>44146</v>
      </c>
      <c r="G559" s="24">
        <v>5805960</v>
      </c>
      <c r="H559" s="23">
        <v>5.0000000000000001E-3</v>
      </c>
      <c r="I559" s="39">
        <v>44256</v>
      </c>
      <c r="J559" s="39">
        <v>44286</v>
      </c>
      <c r="K559" s="24">
        <f t="shared" si="38"/>
        <v>31</v>
      </c>
      <c r="L559" s="24">
        <f t="shared" si="39"/>
        <v>2466</v>
      </c>
      <c r="M559" s="24">
        <v>5805960</v>
      </c>
    </row>
    <row r="560" spans="1:13" s="48" customFormat="1" outlineLevel="2">
      <c r="A560" s="39" t="s">
        <v>270</v>
      </c>
      <c r="B560" s="40" t="s">
        <v>62</v>
      </c>
      <c r="C560" s="41" t="s">
        <v>274</v>
      </c>
      <c r="D560" s="40" t="s">
        <v>275</v>
      </c>
      <c r="E560" s="24">
        <v>5452560</v>
      </c>
      <c r="F560" s="39">
        <v>43838</v>
      </c>
      <c r="G560" s="24">
        <v>5452560</v>
      </c>
      <c r="H560" s="23">
        <v>5.0000000000000001E-3</v>
      </c>
      <c r="I560" s="39">
        <v>44256</v>
      </c>
      <c r="J560" s="39">
        <v>44286</v>
      </c>
      <c r="K560" s="24">
        <f t="shared" si="38"/>
        <v>31</v>
      </c>
      <c r="L560" s="24">
        <f t="shared" si="39"/>
        <v>2315</v>
      </c>
      <c r="M560" s="24">
        <v>5452560</v>
      </c>
    </row>
    <row r="561" spans="1:13" s="48" customFormat="1" outlineLevel="2">
      <c r="A561" s="39" t="s">
        <v>270</v>
      </c>
      <c r="B561" s="40" t="s">
        <v>174</v>
      </c>
      <c r="C561" s="41" t="s">
        <v>274</v>
      </c>
      <c r="D561" s="40" t="s">
        <v>275</v>
      </c>
      <c r="E561" s="24">
        <v>14338200</v>
      </c>
      <c r="F561" s="39">
        <v>44146</v>
      </c>
      <c r="G561" s="24">
        <v>14338200</v>
      </c>
      <c r="H561" s="23">
        <v>5.0000000000000001E-3</v>
      </c>
      <c r="I561" s="39">
        <v>44256</v>
      </c>
      <c r="J561" s="39">
        <v>44286</v>
      </c>
      <c r="K561" s="24">
        <f t="shared" si="38"/>
        <v>31</v>
      </c>
      <c r="L561" s="24">
        <f t="shared" si="39"/>
        <v>6089</v>
      </c>
      <c r="M561" s="24">
        <v>14338200</v>
      </c>
    </row>
    <row r="562" spans="1:13" s="48" customFormat="1" outlineLevel="2">
      <c r="A562" s="39" t="s">
        <v>270</v>
      </c>
      <c r="B562" s="40" t="s">
        <v>175</v>
      </c>
      <c r="C562" s="41" t="s">
        <v>273</v>
      </c>
      <c r="D562" s="40" t="s">
        <v>272</v>
      </c>
      <c r="E562" s="24">
        <v>31500000</v>
      </c>
      <c r="F562" s="39">
        <v>44140</v>
      </c>
      <c r="G562" s="24">
        <v>31500000</v>
      </c>
      <c r="H562" s="23">
        <v>5.0000000000000001E-3</v>
      </c>
      <c r="I562" s="39">
        <v>44256</v>
      </c>
      <c r="J562" s="39">
        <v>44286</v>
      </c>
      <c r="K562" s="24">
        <f t="shared" si="38"/>
        <v>31</v>
      </c>
      <c r="L562" s="24">
        <f t="shared" si="39"/>
        <v>13377</v>
      </c>
      <c r="M562" s="24">
        <v>31500000</v>
      </c>
    </row>
    <row r="563" spans="1:13" s="48" customFormat="1" outlineLevel="2">
      <c r="A563" s="39" t="s">
        <v>270</v>
      </c>
      <c r="B563" s="40" t="s">
        <v>176</v>
      </c>
      <c r="C563" s="41" t="s">
        <v>125</v>
      </c>
      <c r="D563" s="40" t="s">
        <v>126</v>
      </c>
      <c r="E563" s="24">
        <v>2500000</v>
      </c>
      <c r="F563" s="39">
        <v>44146</v>
      </c>
      <c r="G563" s="24">
        <v>2500000</v>
      </c>
      <c r="H563" s="23">
        <v>5.0000000000000001E-3</v>
      </c>
      <c r="I563" s="39">
        <v>44256</v>
      </c>
      <c r="J563" s="39">
        <v>44286</v>
      </c>
      <c r="K563" s="24">
        <f t="shared" si="38"/>
        <v>31</v>
      </c>
      <c r="L563" s="24">
        <f t="shared" si="39"/>
        <v>1062</v>
      </c>
      <c r="M563" s="24">
        <v>2500000</v>
      </c>
    </row>
    <row r="564" spans="1:13" s="48" customFormat="1" outlineLevel="2">
      <c r="A564" s="39" t="s">
        <v>270</v>
      </c>
      <c r="B564" s="40" t="s">
        <v>177</v>
      </c>
      <c r="C564" s="41" t="s">
        <v>276</v>
      </c>
      <c r="D564" s="40" t="s">
        <v>277</v>
      </c>
      <c r="E564" s="24">
        <v>30000000</v>
      </c>
      <c r="F564" s="39">
        <v>44140</v>
      </c>
      <c r="G564" s="24">
        <v>30000000</v>
      </c>
      <c r="H564" s="23">
        <v>5.0000000000000001E-3</v>
      </c>
      <c r="I564" s="39">
        <v>44256</v>
      </c>
      <c r="J564" s="39">
        <v>44286</v>
      </c>
      <c r="K564" s="24">
        <f t="shared" si="38"/>
        <v>31</v>
      </c>
      <c r="L564" s="24">
        <f t="shared" si="39"/>
        <v>12740</v>
      </c>
      <c r="M564" s="24">
        <v>30000000</v>
      </c>
    </row>
    <row r="565" spans="1:13" s="48" customFormat="1" outlineLevel="2">
      <c r="A565" s="39" t="s">
        <v>270</v>
      </c>
      <c r="B565" s="40" t="s">
        <v>178</v>
      </c>
      <c r="C565" s="41" t="s">
        <v>115</v>
      </c>
      <c r="D565" s="40" t="s">
        <v>116</v>
      </c>
      <c r="E565" s="24">
        <v>6100000</v>
      </c>
      <c r="F565" s="39">
        <v>44138</v>
      </c>
      <c r="G565" s="24">
        <v>6100000</v>
      </c>
      <c r="H565" s="23">
        <v>5.0000000000000001E-3</v>
      </c>
      <c r="I565" s="39">
        <v>44256</v>
      </c>
      <c r="J565" s="39">
        <v>44286</v>
      </c>
      <c r="K565" s="24">
        <f t="shared" si="38"/>
        <v>31</v>
      </c>
      <c r="L565" s="24">
        <f t="shared" si="39"/>
        <v>2590</v>
      </c>
      <c r="M565" s="24">
        <v>6100000</v>
      </c>
    </row>
    <row r="566" spans="1:13" s="48" customFormat="1" outlineLevel="2">
      <c r="A566" s="39" t="s">
        <v>270</v>
      </c>
      <c r="B566" s="40" t="s">
        <v>179</v>
      </c>
      <c r="C566" s="41" t="s">
        <v>278</v>
      </c>
      <c r="D566" s="40" t="s">
        <v>279</v>
      </c>
      <c r="E566" s="24">
        <v>82036355</v>
      </c>
      <c r="F566" s="39">
        <v>44137</v>
      </c>
      <c r="G566" s="24">
        <v>82036355</v>
      </c>
      <c r="H566" s="23">
        <v>5.0000000000000001E-3</v>
      </c>
      <c r="I566" s="39">
        <v>44256</v>
      </c>
      <c r="J566" s="39">
        <v>44286</v>
      </c>
      <c r="K566" s="24">
        <f t="shared" si="38"/>
        <v>31</v>
      </c>
      <c r="L566" s="24">
        <f t="shared" si="39"/>
        <v>34837</v>
      </c>
      <c r="M566" s="24">
        <v>82036355</v>
      </c>
    </row>
    <row r="567" spans="1:13" s="48" customFormat="1" outlineLevel="2">
      <c r="A567" s="39" t="s">
        <v>270</v>
      </c>
      <c r="B567" s="40" t="s">
        <v>180</v>
      </c>
      <c r="C567" s="41" t="s">
        <v>280</v>
      </c>
      <c r="D567" s="40" t="s">
        <v>281</v>
      </c>
      <c r="E567" s="24">
        <v>1000000000</v>
      </c>
      <c r="F567" s="39">
        <v>44162</v>
      </c>
      <c r="G567" s="24">
        <v>1000000000</v>
      </c>
      <c r="H567" s="23">
        <v>5.0000000000000001E-3</v>
      </c>
      <c r="I567" s="39">
        <v>44256</v>
      </c>
      <c r="J567" s="39">
        <v>44286</v>
      </c>
      <c r="K567" s="24">
        <f t="shared" si="38"/>
        <v>31</v>
      </c>
      <c r="L567" s="24">
        <f t="shared" si="39"/>
        <v>424658</v>
      </c>
      <c r="M567" s="24">
        <v>1000000000</v>
      </c>
    </row>
    <row r="568" spans="1:13" s="48" customFormat="1" outlineLevel="2">
      <c r="A568" s="39" t="s">
        <v>270</v>
      </c>
      <c r="B568" s="40" t="s">
        <v>181</v>
      </c>
      <c r="C568" s="41" t="s">
        <v>75</v>
      </c>
      <c r="D568" s="40" t="s">
        <v>76</v>
      </c>
      <c r="E568" s="24">
        <v>47490000</v>
      </c>
      <c r="F568" s="39">
        <v>44137</v>
      </c>
      <c r="G568" s="24">
        <v>47490000</v>
      </c>
      <c r="H568" s="23">
        <v>5.0000000000000001E-3</v>
      </c>
      <c r="I568" s="39">
        <v>44256</v>
      </c>
      <c r="J568" s="39">
        <v>44286</v>
      </c>
      <c r="K568" s="24">
        <f t="shared" si="38"/>
        <v>31</v>
      </c>
      <c r="L568" s="24">
        <f t="shared" si="39"/>
        <v>20167</v>
      </c>
      <c r="M568" s="24">
        <v>47490000</v>
      </c>
    </row>
    <row r="569" spans="1:13" s="48" customFormat="1" outlineLevel="2">
      <c r="A569" s="39" t="s">
        <v>270</v>
      </c>
      <c r="B569" s="40" t="s">
        <v>182</v>
      </c>
      <c r="C569" s="41" t="s">
        <v>143</v>
      </c>
      <c r="D569" s="40" t="s">
        <v>144</v>
      </c>
      <c r="E569" s="24">
        <v>5300000</v>
      </c>
      <c r="F569" s="39">
        <v>44145</v>
      </c>
      <c r="G569" s="24">
        <v>5300000</v>
      </c>
      <c r="H569" s="23">
        <v>5.0000000000000001E-3</v>
      </c>
      <c r="I569" s="39">
        <v>44256</v>
      </c>
      <c r="J569" s="39">
        <v>44286</v>
      </c>
      <c r="K569" s="24">
        <f t="shared" si="38"/>
        <v>31</v>
      </c>
      <c r="L569" s="24">
        <f t="shared" si="39"/>
        <v>2251</v>
      </c>
      <c r="M569" s="24">
        <v>5300000</v>
      </c>
    </row>
    <row r="570" spans="1:13" s="48" customFormat="1" outlineLevel="2">
      <c r="A570" s="39" t="s">
        <v>270</v>
      </c>
      <c r="B570" s="40" t="s">
        <v>183</v>
      </c>
      <c r="C570" s="41" t="s">
        <v>143</v>
      </c>
      <c r="D570" s="40" t="s">
        <v>144</v>
      </c>
      <c r="E570" s="24">
        <v>4130000</v>
      </c>
      <c r="F570" s="39">
        <v>44151</v>
      </c>
      <c r="G570" s="24">
        <v>4130000</v>
      </c>
      <c r="H570" s="23">
        <v>5.0000000000000001E-3</v>
      </c>
      <c r="I570" s="39">
        <v>44256</v>
      </c>
      <c r="J570" s="39">
        <v>44286</v>
      </c>
      <c r="K570" s="24">
        <f t="shared" si="38"/>
        <v>31</v>
      </c>
      <c r="L570" s="24">
        <f t="shared" si="39"/>
        <v>1754</v>
      </c>
      <c r="M570" s="24">
        <v>4130000</v>
      </c>
    </row>
    <row r="571" spans="1:13" s="48" customFormat="1" outlineLevel="2">
      <c r="A571" s="39" t="s">
        <v>270</v>
      </c>
      <c r="B571" s="40" t="s">
        <v>63</v>
      </c>
      <c r="C571" s="41" t="s">
        <v>273</v>
      </c>
      <c r="D571" s="40" t="s">
        <v>272</v>
      </c>
      <c r="E571" s="24">
        <v>55600000</v>
      </c>
      <c r="F571" s="39">
        <v>43833</v>
      </c>
      <c r="G571" s="24">
        <v>55600000</v>
      </c>
      <c r="H571" s="23">
        <v>5.0000000000000001E-3</v>
      </c>
      <c r="I571" s="39">
        <v>44256</v>
      </c>
      <c r="J571" s="39">
        <v>44286</v>
      </c>
      <c r="K571" s="24">
        <f t="shared" si="38"/>
        <v>31</v>
      </c>
      <c r="L571" s="24">
        <f t="shared" si="39"/>
        <v>23611</v>
      </c>
      <c r="M571" s="24">
        <v>55600000</v>
      </c>
    </row>
    <row r="572" spans="1:13" s="48" customFormat="1" outlineLevel="2">
      <c r="A572" s="39" t="s">
        <v>270</v>
      </c>
      <c r="B572" s="40" t="s">
        <v>184</v>
      </c>
      <c r="C572" s="41" t="s">
        <v>143</v>
      </c>
      <c r="D572" s="40" t="s">
        <v>144</v>
      </c>
      <c r="E572" s="24">
        <v>6450000</v>
      </c>
      <c r="F572" s="39">
        <v>44165</v>
      </c>
      <c r="G572" s="24">
        <v>6450000</v>
      </c>
      <c r="H572" s="23">
        <v>5.0000000000000001E-3</v>
      </c>
      <c r="I572" s="39">
        <v>44256</v>
      </c>
      <c r="J572" s="39">
        <v>44286</v>
      </c>
      <c r="K572" s="24">
        <f t="shared" si="38"/>
        <v>31</v>
      </c>
      <c r="L572" s="24">
        <f t="shared" si="39"/>
        <v>2739</v>
      </c>
      <c r="M572" s="24">
        <v>6450000</v>
      </c>
    </row>
    <row r="573" spans="1:13" s="48" customFormat="1" outlineLevel="2">
      <c r="A573" s="39" t="s">
        <v>270</v>
      </c>
      <c r="B573" s="40" t="s">
        <v>185</v>
      </c>
      <c r="C573" s="41" t="s">
        <v>55</v>
      </c>
      <c r="D573" s="40" t="s">
        <v>56</v>
      </c>
      <c r="E573" s="24">
        <v>31466520</v>
      </c>
      <c r="F573" s="39">
        <v>44189</v>
      </c>
      <c r="G573" s="24">
        <v>31466520</v>
      </c>
      <c r="H573" s="23">
        <v>5.0000000000000001E-3</v>
      </c>
      <c r="I573" s="39">
        <v>44256</v>
      </c>
      <c r="J573" s="39">
        <v>44286</v>
      </c>
      <c r="K573" s="24">
        <f t="shared" si="38"/>
        <v>31</v>
      </c>
      <c r="L573" s="24">
        <f t="shared" si="39"/>
        <v>13362</v>
      </c>
      <c r="M573" s="24">
        <v>31466520</v>
      </c>
    </row>
    <row r="574" spans="1:13" s="48" customFormat="1" outlineLevel="2">
      <c r="A574" s="39" t="s">
        <v>270</v>
      </c>
      <c r="B574" s="40" t="s">
        <v>186</v>
      </c>
      <c r="C574" s="41" t="s">
        <v>274</v>
      </c>
      <c r="D574" s="40" t="s">
        <v>275</v>
      </c>
      <c r="E574" s="24">
        <v>14338200</v>
      </c>
      <c r="F574" s="39">
        <v>44174</v>
      </c>
      <c r="G574" s="24">
        <v>14338200</v>
      </c>
      <c r="H574" s="23">
        <v>5.0000000000000001E-3</v>
      </c>
      <c r="I574" s="39">
        <v>44256</v>
      </c>
      <c r="J574" s="39">
        <v>44286</v>
      </c>
      <c r="K574" s="24">
        <f t="shared" si="38"/>
        <v>31</v>
      </c>
      <c r="L574" s="24">
        <f t="shared" si="39"/>
        <v>6089</v>
      </c>
      <c r="M574" s="24">
        <v>14338200</v>
      </c>
    </row>
    <row r="575" spans="1:13" s="48" customFormat="1" outlineLevel="2">
      <c r="A575" s="39" t="s">
        <v>270</v>
      </c>
      <c r="B575" s="40" t="s">
        <v>189</v>
      </c>
      <c r="C575" s="41" t="s">
        <v>274</v>
      </c>
      <c r="D575" s="40" t="s">
        <v>275</v>
      </c>
      <c r="E575" s="24">
        <v>4977000</v>
      </c>
      <c r="F575" s="39">
        <v>44174</v>
      </c>
      <c r="G575" s="24">
        <v>4977000</v>
      </c>
      <c r="H575" s="23">
        <v>5.0000000000000001E-3</v>
      </c>
      <c r="I575" s="39">
        <v>44256</v>
      </c>
      <c r="J575" s="39">
        <v>44286</v>
      </c>
      <c r="K575" s="24">
        <f t="shared" si="38"/>
        <v>31</v>
      </c>
      <c r="L575" s="24">
        <f t="shared" si="39"/>
        <v>2114</v>
      </c>
      <c r="M575" s="24">
        <v>4977000</v>
      </c>
    </row>
    <row r="576" spans="1:13" s="48" customFormat="1" outlineLevel="2">
      <c r="A576" s="39" t="s">
        <v>270</v>
      </c>
      <c r="B576" s="40" t="s">
        <v>190</v>
      </c>
      <c r="C576" s="41" t="s">
        <v>115</v>
      </c>
      <c r="D576" s="40" t="s">
        <v>116</v>
      </c>
      <c r="E576" s="24">
        <v>40000000</v>
      </c>
      <c r="F576" s="39">
        <v>44193</v>
      </c>
      <c r="G576" s="24">
        <v>40000000</v>
      </c>
      <c r="H576" s="23">
        <v>5.0000000000000001E-3</v>
      </c>
      <c r="I576" s="39">
        <v>44256</v>
      </c>
      <c r="J576" s="39">
        <v>44286</v>
      </c>
      <c r="K576" s="24">
        <f t="shared" si="38"/>
        <v>31</v>
      </c>
      <c r="L576" s="24">
        <f t="shared" si="39"/>
        <v>16986</v>
      </c>
      <c r="M576" s="24">
        <v>40000000</v>
      </c>
    </row>
    <row r="577" spans="1:13" s="48" customFormat="1" outlineLevel="2">
      <c r="A577" s="39" t="s">
        <v>270</v>
      </c>
      <c r="B577" s="40" t="s">
        <v>191</v>
      </c>
      <c r="C577" s="41" t="s">
        <v>143</v>
      </c>
      <c r="D577" s="40" t="s">
        <v>144</v>
      </c>
      <c r="E577" s="24">
        <v>8890000</v>
      </c>
      <c r="F577" s="39">
        <v>44175</v>
      </c>
      <c r="G577" s="24">
        <v>8890000</v>
      </c>
      <c r="H577" s="23">
        <v>5.0000000000000001E-3</v>
      </c>
      <c r="I577" s="39">
        <v>44256</v>
      </c>
      <c r="J577" s="39">
        <v>44286</v>
      </c>
      <c r="K577" s="24">
        <f t="shared" si="38"/>
        <v>31</v>
      </c>
      <c r="L577" s="24">
        <f t="shared" si="39"/>
        <v>3775</v>
      </c>
      <c r="M577" s="24">
        <v>8890000</v>
      </c>
    </row>
    <row r="578" spans="1:13" s="48" customFormat="1" outlineLevel="2">
      <c r="A578" s="39" t="s">
        <v>270</v>
      </c>
      <c r="B578" s="40" t="s">
        <v>192</v>
      </c>
      <c r="C578" s="41" t="s">
        <v>143</v>
      </c>
      <c r="D578" s="40" t="s">
        <v>144</v>
      </c>
      <c r="E578" s="24">
        <v>4020000</v>
      </c>
      <c r="F578" s="39">
        <v>44196</v>
      </c>
      <c r="G578" s="24">
        <v>4020000</v>
      </c>
      <c r="H578" s="23">
        <v>5.0000000000000001E-3</v>
      </c>
      <c r="I578" s="39">
        <v>44256</v>
      </c>
      <c r="J578" s="39">
        <v>44286</v>
      </c>
      <c r="K578" s="24">
        <f t="shared" si="38"/>
        <v>31</v>
      </c>
      <c r="L578" s="24">
        <f t="shared" si="39"/>
        <v>1707</v>
      </c>
      <c r="M578" s="24">
        <v>4020000</v>
      </c>
    </row>
    <row r="579" spans="1:13" s="48" customFormat="1" outlineLevel="2">
      <c r="A579" s="39" t="s">
        <v>270</v>
      </c>
      <c r="B579" s="40" t="s">
        <v>193</v>
      </c>
      <c r="C579" s="41" t="s">
        <v>273</v>
      </c>
      <c r="D579" s="40" t="s">
        <v>272</v>
      </c>
      <c r="E579" s="24">
        <v>86700000</v>
      </c>
      <c r="F579" s="39">
        <v>44169</v>
      </c>
      <c r="G579" s="24">
        <v>86700000</v>
      </c>
      <c r="H579" s="23">
        <v>5.0000000000000001E-3</v>
      </c>
      <c r="I579" s="39">
        <v>44256</v>
      </c>
      <c r="J579" s="39">
        <v>44286</v>
      </c>
      <c r="K579" s="24">
        <f t="shared" si="38"/>
        <v>31</v>
      </c>
      <c r="L579" s="24">
        <f t="shared" si="39"/>
        <v>36818</v>
      </c>
      <c r="M579" s="24">
        <v>86700000</v>
      </c>
    </row>
    <row r="580" spans="1:13" s="48" customFormat="1" outlineLevel="2">
      <c r="A580" s="39" t="s">
        <v>270</v>
      </c>
      <c r="B580" s="40" t="s">
        <v>194</v>
      </c>
      <c r="C580" s="41" t="s">
        <v>274</v>
      </c>
      <c r="D580" s="40" t="s">
        <v>275</v>
      </c>
      <c r="E580" s="24">
        <v>4977000</v>
      </c>
      <c r="F580" s="39">
        <v>44209</v>
      </c>
      <c r="G580" s="24">
        <v>4977000</v>
      </c>
      <c r="H580" s="23">
        <v>5.0000000000000001E-3</v>
      </c>
      <c r="I580" s="39">
        <v>44256</v>
      </c>
      <c r="J580" s="39">
        <v>44286</v>
      </c>
      <c r="K580" s="24">
        <f t="shared" ref="K580:K611" si="40">J580-I580+1</f>
        <v>31</v>
      </c>
      <c r="L580" s="24">
        <f t="shared" ref="L580:L611" si="41">ROUND(G580*H580*K580/365,0)</f>
        <v>2114</v>
      </c>
      <c r="M580" s="24">
        <v>4977000</v>
      </c>
    </row>
    <row r="581" spans="1:13" s="48" customFormat="1" outlineLevel="2">
      <c r="A581" s="39" t="s">
        <v>270</v>
      </c>
      <c r="B581" s="40" t="s">
        <v>195</v>
      </c>
      <c r="C581" s="41" t="s">
        <v>274</v>
      </c>
      <c r="D581" s="40" t="s">
        <v>275</v>
      </c>
      <c r="E581" s="24">
        <v>9862800</v>
      </c>
      <c r="F581" s="39">
        <v>44209</v>
      </c>
      <c r="G581" s="24">
        <v>9862800</v>
      </c>
      <c r="H581" s="23">
        <v>5.0000000000000001E-3</v>
      </c>
      <c r="I581" s="39">
        <v>44256</v>
      </c>
      <c r="J581" s="39">
        <v>44286</v>
      </c>
      <c r="K581" s="24">
        <f t="shared" si="40"/>
        <v>31</v>
      </c>
      <c r="L581" s="24">
        <f t="shared" si="41"/>
        <v>4188</v>
      </c>
      <c r="M581" s="24">
        <v>9862800</v>
      </c>
    </row>
    <row r="582" spans="1:13" s="48" customFormat="1" outlineLevel="2">
      <c r="A582" s="39" t="s">
        <v>270</v>
      </c>
      <c r="B582" s="40" t="s">
        <v>64</v>
      </c>
      <c r="C582" s="41" t="s">
        <v>273</v>
      </c>
      <c r="D582" s="40" t="s">
        <v>272</v>
      </c>
      <c r="E582" s="24">
        <v>28400000</v>
      </c>
      <c r="F582" s="39">
        <v>43833</v>
      </c>
      <c r="G582" s="24">
        <v>28400000</v>
      </c>
      <c r="H582" s="23">
        <v>5.0000000000000001E-3</v>
      </c>
      <c r="I582" s="39">
        <v>44256</v>
      </c>
      <c r="J582" s="39">
        <v>44286</v>
      </c>
      <c r="K582" s="24">
        <f t="shared" si="40"/>
        <v>31</v>
      </c>
      <c r="L582" s="24">
        <f t="shared" si="41"/>
        <v>12060</v>
      </c>
      <c r="M582" s="24">
        <v>28400000</v>
      </c>
    </row>
    <row r="583" spans="1:13" s="48" customFormat="1" outlineLevel="2">
      <c r="A583" s="39" t="s">
        <v>270</v>
      </c>
      <c r="B583" s="40" t="s">
        <v>196</v>
      </c>
      <c r="C583" s="41" t="s">
        <v>143</v>
      </c>
      <c r="D583" s="40" t="s">
        <v>144</v>
      </c>
      <c r="E583" s="24">
        <v>3620000</v>
      </c>
      <c r="F583" s="39">
        <v>44207</v>
      </c>
      <c r="G583" s="24">
        <v>3620000</v>
      </c>
      <c r="H583" s="23">
        <v>5.0000000000000001E-3</v>
      </c>
      <c r="I583" s="39">
        <v>44256</v>
      </c>
      <c r="J583" s="39">
        <v>44286</v>
      </c>
      <c r="K583" s="24">
        <f t="shared" si="40"/>
        <v>31</v>
      </c>
      <c r="L583" s="24">
        <f t="shared" si="41"/>
        <v>1537</v>
      </c>
      <c r="M583" s="24">
        <v>3620000</v>
      </c>
    </row>
    <row r="584" spans="1:13" s="48" customFormat="1" outlineLevel="2">
      <c r="A584" s="39" t="s">
        <v>270</v>
      </c>
      <c r="B584" s="40" t="s">
        <v>197</v>
      </c>
      <c r="C584" s="41" t="s">
        <v>273</v>
      </c>
      <c r="D584" s="40" t="s">
        <v>272</v>
      </c>
      <c r="E584" s="24">
        <v>20600000</v>
      </c>
      <c r="F584" s="39">
        <v>44201</v>
      </c>
      <c r="G584" s="24">
        <v>20600000</v>
      </c>
      <c r="H584" s="23">
        <v>5.0000000000000001E-3</v>
      </c>
      <c r="I584" s="39">
        <v>44256</v>
      </c>
      <c r="J584" s="39">
        <v>44286</v>
      </c>
      <c r="K584" s="24">
        <f t="shared" si="40"/>
        <v>31</v>
      </c>
      <c r="L584" s="24">
        <f t="shared" si="41"/>
        <v>8748</v>
      </c>
      <c r="M584" s="24">
        <v>20600000</v>
      </c>
    </row>
    <row r="585" spans="1:13" s="48" customFormat="1" outlineLevel="2">
      <c r="A585" s="39" t="s">
        <v>270</v>
      </c>
      <c r="B585" s="40" t="s">
        <v>198</v>
      </c>
      <c r="C585" s="41" t="s">
        <v>75</v>
      </c>
      <c r="D585" s="40" t="s">
        <v>76</v>
      </c>
      <c r="E585" s="24">
        <v>53640000</v>
      </c>
      <c r="F585" s="39">
        <v>44203</v>
      </c>
      <c r="G585" s="24">
        <v>53640000</v>
      </c>
      <c r="H585" s="23">
        <v>5.0000000000000001E-3</v>
      </c>
      <c r="I585" s="39">
        <v>44256</v>
      </c>
      <c r="J585" s="39">
        <v>44286</v>
      </c>
      <c r="K585" s="24">
        <f t="shared" si="40"/>
        <v>31</v>
      </c>
      <c r="L585" s="24">
        <f t="shared" si="41"/>
        <v>22779</v>
      </c>
      <c r="M585" s="24">
        <v>53640000</v>
      </c>
    </row>
    <row r="586" spans="1:13" s="48" customFormat="1" outlineLevel="2">
      <c r="A586" s="39" t="s">
        <v>270</v>
      </c>
      <c r="B586" s="40" t="s">
        <v>199</v>
      </c>
      <c r="C586" s="41" t="s">
        <v>302</v>
      </c>
      <c r="D586" s="40" t="s">
        <v>301</v>
      </c>
      <c r="E586" s="24">
        <v>40160000</v>
      </c>
      <c r="F586" s="39">
        <v>44232</v>
      </c>
      <c r="G586" s="24">
        <v>40160000</v>
      </c>
      <c r="H586" s="23">
        <v>5.0000000000000001E-3</v>
      </c>
      <c r="I586" s="39">
        <v>44256</v>
      </c>
      <c r="J586" s="39">
        <v>44286</v>
      </c>
      <c r="K586" s="24">
        <f t="shared" si="40"/>
        <v>31</v>
      </c>
      <c r="L586" s="24">
        <f t="shared" si="41"/>
        <v>17054</v>
      </c>
      <c r="M586" s="24">
        <v>40160000</v>
      </c>
    </row>
    <row r="587" spans="1:13" s="48" customFormat="1" outlineLevel="2">
      <c r="A587" s="39" t="s">
        <v>270</v>
      </c>
      <c r="B587" s="40" t="s">
        <v>200</v>
      </c>
      <c r="C587" s="41" t="s">
        <v>274</v>
      </c>
      <c r="D587" s="40" t="s">
        <v>275</v>
      </c>
      <c r="E587" s="24">
        <v>3655380</v>
      </c>
      <c r="F587" s="39">
        <v>44230</v>
      </c>
      <c r="G587" s="24">
        <v>3655380</v>
      </c>
      <c r="H587" s="23">
        <v>5.0000000000000001E-3</v>
      </c>
      <c r="I587" s="39">
        <v>44256</v>
      </c>
      <c r="J587" s="39">
        <v>44286</v>
      </c>
      <c r="K587" s="24">
        <f t="shared" si="40"/>
        <v>31</v>
      </c>
      <c r="L587" s="24">
        <f t="shared" si="41"/>
        <v>1552</v>
      </c>
      <c r="M587" s="24">
        <v>3655380</v>
      </c>
    </row>
    <row r="588" spans="1:13" s="48" customFormat="1" outlineLevel="2">
      <c r="A588" s="39" t="s">
        <v>270</v>
      </c>
      <c r="B588" s="40" t="s">
        <v>201</v>
      </c>
      <c r="C588" s="41" t="s">
        <v>274</v>
      </c>
      <c r="D588" s="40" t="s">
        <v>275</v>
      </c>
      <c r="E588" s="24">
        <v>9862800</v>
      </c>
      <c r="F588" s="39">
        <v>44230</v>
      </c>
      <c r="G588" s="24">
        <v>9862800</v>
      </c>
      <c r="H588" s="23">
        <v>5.0000000000000001E-3</v>
      </c>
      <c r="I588" s="39">
        <v>44256</v>
      </c>
      <c r="J588" s="39">
        <v>44286</v>
      </c>
      <c r="K588" s="24">
        <f t="shared" si="40"/>
        <v>31</v>
      </c>
      <c r="L588" s="24">
        <f t="shared" si="41"/>
        <v>4188</v>
      </c>
      <c r="M588" s="24">
        <v>9862800</v>
      </c>
    </row>
    <row r="589" spans="1:13" s="48" customFormat="1" outlineLevel="2">
      <c r="A589" s="39" t="s">
        <v>270</v>
      </c>
      <c r="B589" s="40" t="s">
        <v>202</v>
      </c>
      <c r="C589" s="41" t="s">
        <v>125</v>
      </c>
      <c r="D589" s="40" t="s">
        <v>126</v>
      </c>
      <c r="E589" s="24">
        <v>32000000</v>
      </c>
      <c r="F589" s="39">
        <v>44250</v>
      </c>
      <c r="G589" s="24">
        <v>32000000</v>
      </c>
      <c r="H589" s="23">
        <v>5.0000000000000001E-3</v>
      </c>
      <c r="I589" s="39">
        <v>44256</v>
      </c>
      <c r="J589" s="39">
        <v>44286</v>
      </c>
      <c r="K589" s="24">
        <f t="shared" si="40"/>
        <v>31</v>
      </c>
      <c r="L589" s="24">
        <f t="shared" si="41"/>
        <v>13589</v>
      </c>
      <c r="M589" s="24">
        <v>32000000</v>
      </c>
    </row>
    <row r="590" spans="1:13" s="48" customFormat="1" outlineLevel="2">
      <c r="A590" s="39" t="s">
        <v>270</v>
      </c>
      <c r="B590" s="40" t="s">
        <v>203</v>
      </c>
      <c r="C590" s="41" t="s">
        <v>143</v>
      </c>
      <c r="D590" s="40" t="s">
        <v>144</v>
      </c>
      <c r="E590" s="24">
        <v>2390000</v>
      </c>
      <c r="F590" s="39">
        <v>44228</v>
      </c>
      <c r="G590" s="24">
        <v>2390000</v>
      </c>
      <c r="H590" s="23">
        <v>5.0000000000000001E-3</v>
      </c>
      <c r="I590" s="39">
        <v>44256</v>
      </c>
      <c r="J590" s="39">
        <v>44286</v>
      </c>
      <c r="K590" s="24">
        <f t="shared" si="40"/>
        <v>31</v>
      </c>
      <c r="L590" s="24">
        <f t="shared" si="41"/>
        <v>1015</v>
      </c>
      <c r="M590" s="24">
        <v>2390000</v>
      </c>
    </row>
    <row r="591" spans="1:13" s="48" customFormat="1" outlineLevel="2">
      <c r="A591" s="39" t="s">
        <v>270</v>
      </c>
      <c r="B591" s="40" t="s">
        <v>204</v>
      </c>
      <c r="C591" s="41" t="s">
        <v>273</v>
      </c>
      <c r="D591" s="40" t="s">
        <v>272</v>
      </c>
      <c r="E591" s="24">
        <v>43200000</v>
      </c>
      <c r="F591" s="39">
        <v>44232</v>
      </c>
      <c r="G591" s="24">
        <v>43200000</v>
      </c>
      <c r="H591" s="23">
        <v>5.0000000000000001E-3</v>
      </c>
      <c r="I591" s="39">
        <v>44256</v>
      </c>
      <c r="J591" s="39">
        <v>44286</v>
      </c>
      <c r="K591" s="24">
        <f t="shared" si="40"/>
        <v>31</v>
      </c>
      <c r="L591" s="24">
        <f t="shared" si="41"/>
        <v>18345</v>
      </c>
      <c r="M591" s="24">
        <v>43200000</v>
      </c>
    </row>
    <row r="592" spans="1:13" s="48" customFormat="1" outlineLevel="2">
      <c r="A592" s="39" t="s">
        <v>270</v>
      </c>
      <c r="B592" s="40" t="s">
        <v>205</v>
      </c>
      <c r="C592" s="41" t="s">
        <v>273</v>
      </c>
      <c r="D592" s="40" t="s">
        <v>272</v>
      </c>
      <c r="E592" s="24">
        <v>4600000</v>
      </c>
      <c r="F592" s="39">
        <v>44232</v>
      </c>
      <c r="G592" s="24">
        <v>4600000</v>
      </c>
      <c r="H592" s="23">
        <v>5.0000000000000001E-3</v>
      </c>
      <c r="I592" s="39">
        <v>44256</v>
      </c>
      <c r="J592" s="39">
        <v>44286</v>
      </c>
      <c r="K592" s="24">
        <f t="shared" si="40"/>
        <v>31</v>
      </c>
      <c r="L592" s="24">
        <f t="shared" si="41"/>
        <v>1953</v>
      </c>
      <c r="M592" s="24">
        <v>4600000</v>
      </c>
    </row>
    <row r="593" spans="1:13" s="48" customFormat="1" outlineLevel="2">
      <c r="A593" s="39" t="s">
        <v>270</v>
      </c>
      <c r="B593" s="40" t="s">
        <v>65</v>
      </c>
      <c r="C593" s="41" t="s">
        <v>274</v>
      </c>
      <c r="D593" s="40" t="s">
        <v>275</v>
      </c>
      <c r="E593" s="24">
        <v>5452560</v>
      </c>
      <c r="F593" s="39">
        <v>43873</v>
      </c>
      <c r="G593" s="24">
        <v>5452560</v>
      </c>
      <c r="H593" s="23">
        <v>5.0000000000000001E-3</v>
      </c>
      <c r="I593" s="39">
        <v>44256</v>
      </c>
      <c r="J593" s="39">
        <v>44286</v>
      </c>
      <c r="K593" s="24">
        <f t="shared" si="40"/>
        <v>31</v>
      </c>
      <c r="L593" s="24">
        <f t="shared" si="41"/>
        <v>2315</v>
      </c>
      <c r="M593" s="24">
        <v>5452560</v>
      </c>
    </row>
    <row r="594" spans="1:13" s="48" customFormat="1" outlineLevel="2">
      <c r="A594" s="39" t="s">
        <v>270</v>
      </c>
      <c r="B594" s="40" t="s">
        <v>206</v>
      </c>
      <c r="C594" s="41" t="s">
        <v>302</v>
      </c>
      <c r="D594" s="40" t="s">
        <v>301</v>
      </c>
      <c r="E594" s="24">
        <v>40660000</v>
      </c>
      <c r="F594" s="39">
        <v>44272</v>
      </c>
      <c r="G594" s="24">
        <v>40660000</v>
      </c>
      <c r="H594" s="23">
        <v>5.0000000000000001E-3</v>
      </c>
      <c r="I594" s="39">
        <v>44272</v>
      </c>
      <c r="J594" s="39">
        <v>44286</v>
      </c>
      <c r="K594" s="24">
        <f t="shared" si="40"/>
        <v>15</v>
      </c>
      <c r="L594" s="24">
        <f t="shared" si="41"/>
        <v>8355</v>
      </c>
      <c r="M594" s="24">
        <v>40660000</v>
      </c>
    </row>
    <row r="595" spans="1:13" s="48" customFormat="1" outlineLevel="2">
      <c r="A595" s="39" t="s">
        <v>270</v>
      </c>
      <c r="B595" s="40" t="s">
        <v>207</v>
      </c>
      <c r="C595" s="41" t="s">
        <v>322</v>
      </c>
      <c r="D595" s="40" t="s">
        <v>321</v>
      </c>
      <c r="E595" s="24">
        <v>13800000</v>
      </c>
      <c r="F595" s="39">
        <v>44264</v>
      </c>
      <c r="G595" s="24">
        <v>13800000</v>
      </c>
      <c r="H595" s="23">
        <v>5.0000000000000001E-3</v>
      </c>
      <c r="I595" s="39">
        <v>44264</v>
      </c>
      <c r="J595" s="39">
        <v>44286</v>
      </c>
      <c r="K595" s="24">
        <f t="shared" si="40"/>
        <v>23</v>
      </c>
      <c r="L595" s="24">
        <f t="shared" si="41"/>
        <v>4348</v>
      </c>
      <c r="M595" s="24">
        <v>13800000</v>
      </c>
    </row>
    <row r="596" spans="1:13" s="48" customFormat="1" outlineLevel="2">
      <c r="A596" s="39" t="s">
        <v>270</v>
      </c>
      <c r="B596" s="40" t="s">
        <v>208</v>
      </c>
      <c r="C596" s="41" t="s">
        <v>274</v>
      </c>
      <c r="D596" s="40" t="s">
        <v>275</v>
      </c>
      <c r="E596" s="24">
        <v>8641320</v>
      </c>
      <c r="F596" s="39">
        <v>44265</v>
      </c>
      <c r="G596" s="24">
        <v>8641320</v>
      </c>
      <c r="H596" s="23">
        <v>5.0000000000000001E-3</v>
      </c>
      <c r="I596" s="39">
        <v>44265</v>
      </c>
      <c r="J596" s="39">
        <v>44286</v>
      </c>
      <c r="K596" s="24">
        <f t="shared" si="40"/>
        <v>22</v>
      </c>
      <c r="L596" s="24">
        <f t="shared" si="41"/>
        <v>2604</v>
      </c>
      <c r="M596" s="24">
        <v>8641320</v>
      </c>
    </row>
    <row r="597" spans="1:13" s="48" customFormat="1" outlineLevel="2">
      <c r="A597" s="39" t="s">
        <v>270</v>
      </c>
      <c r="B597" s="40" t="s">
        <v>209</v>
      </c>
      <c r="C597" s="41" t="s">
        <v>274</v>
      </c>
      <c r="D597" s="40" t="s">
        <v>275</v>
      </c>
      <c r="E597" s="24">
        <v>3655380</v>
      </c>
      <c r="F597" s="39">
        <v>44265</v>
      </c>
      <c r="G597" s="24">
        <v>3655380</v>
      </c>
      <c r="H597" s="23">
        <v>5.0000000000000001E-3</v>
      </c>
      <c r="I597" s="39">
        <v>44265</v>
      </c>
      <c r="J597" s="39">
        <v>44286</v>
      </c>
      <c r="K597" s="24">
        <f t="shared" si="40"/>
        <v>22</v>
      </c>
      <c r="L597" s="24">
        <f t="shared" si="41"/>
        <v>1102</v>
      </c>
      <c r="M597" s="24">
        <v>3655380</v>
      </c>
    </row>
    <row r="598" spans="1:13" s="48" customFormat="1" outlineLevel="2">
      <c r="A598" s="39" t="s">
        <v>270</v>
      </c>
      <c r="B598" s="40" t="s">
        <v>210</v>
      </c>
      <c r="C598" s="41" t="s">
        <v>274</v>
      </c>
      <c r="D598" s="40" t="s">
        <v>275</v>
      </c>
      <c r="E598" s="24">
        <v>13280000</v>
      </c>
      <c r="F598" s="39">
        <v>44272</v>
      </c>
      <c r="G598" s="24">
        <v>13280000</v>
      </c>
      <c r="H598" s="23">
        <v>5.0000000000000001E-3</v>
      </c>
      <c r="I598" s="39">
        <v>44272</v>
      </c>
      <c r="J598" s="39">
        <v>44286</v>
      </c>
      <c r="K598" s="24">
        <f t="shared" si="40"/>
        <v>15</v>
      </c>
      <c r="L598" s="24">
        <f t="shared" si="41"/>
        <v>2729</v>
      </c>
      <c r="M598" s="24">
        <v>13280000</v>
      </c>
    </row>
    <row r="599" spans="1:13" s="48" customFormat="1" outlineLevel="2">
      <c r="A599" s="39" t="s">
        <v>270</v>
      </c>
      <c r="B599" s="40" t="s">
        <v>211</v>
      </c>
      <c r="C599" s="41" t="s">
        <v>115</v>
      </c>
      <c r="D599" s="40" t="s">
        <v>116</v>
      </c>
      <c r="E599" s="24">
        <v>47000000</v>
      </c>
      <c r="F599" s="39">
        <v>44284</v>
      </c>
      <c r="G599" s="24">
        <v>47000000</v>
      </c>
      <c r="H599" s="23">
        <v>5.0000000000000001E-3</v>
      </c>
      <c r="I599" s="39">
        <v>44284</v>
      </c>
      <c r="J599" s="39">
        <v>44286</v>
      </c>
      <c r="K599" s="24">
        <f t="shared" si="40"/>
        <v>3</v>
      </c>
      <c r="L599" s="24">
        <f t="shared" si="41"/>
        <v>1932</v>
      </c>
      <c r="M599" s="24">
        <v>47000000</v>
      </c>
    </row>
    <row r="600" spans="1:13" s="48" customFormat="1" outlineLevel="2">
      <c r="A600" s="39" t="s">
        <v>270</v>
      </c>
      <c r="B600" s="40" t="s">
        <v>212</v>
      </c>
      <c r="C600" s="41" t="s">
        <v>143</v>
      </c>
      <c r="D600" s="40" t="s">
        <v>144</v>
      </c>
      <c r="E600" s="24">
        <v>5840000</v>
      </c>
      <c r="F600" s="39">
        <v>44257</v>
      </c>
      <c r="G600" s="24">
        <v>5840000</v>
      </c>
      <c r="H600" s="23">
        <v>5.0000000000000001E-3</v>
      </c>
      <c r="I600" s="39">
        <v>44257</v>
      </c>
      <c r="J600" s="39">
        <v>44286</v>
      </c>
      <c r="K600" s="24">
        <f t="shared" si="40"/>
        <v>30</v>
      </c>
      <c r="L600" s="24">
        <f t="shared" si="41"/>
        <v>2400</v>
      </c>
      <c r="M600" s="24">
        <v>5840000</v>
      </c>
    </row>
    <row r="601" spans="1:13" s="48" customFormat="1" outlineLevel="2">
      <c r="A601" s="39" t="s">
        <v>270</v>
      </c>
      <c r="B601" s="40" t="s">
        <v>213</v>
      </c>
      <c r="C601" s="41" t="s">
        <v>143</v>
      </c>
      <c r="D601" s="40" t="s">
        <v>144</v>
      </c>
      <c r="E601" s="24">
        <v>3570000</v>
      </c>
      <c r="F601" s="39">
        <v>44286</v>
      </c>
      <c r="G601" s="24">
        <v>3570000</v>
      </c>
      <c r="H601" s="23">
        <v>5.0000000000000001E-3</v>
      </c>
      <c r="I601" s="39">
        <v>44286</v>
      </c>
      <c r="J601" s="39">
        <v>44286</v>
      </c>
      <c r="K601" s="24">
        <f t="shared" si="40"/>
        <v>1</v>
      </c>
      <c r="L601" s="24">
        <f t="shared" si="41"/>
        <v>49</v>
      </c>
      <c r="M601" s="24">
        <v>3570000</v>
      </c>
    </row>
    <row r="602" spans="1:13" s="48" customFormat="1" outlineLevel="2">
      <c r="A602" s="39" t="s">
        <v>270</v>
      </c>
      <c r="B602" s="40" t="s">
        <v>214</v>
      </c>
      <c r="C602" s="41" t="s">
        <v>273</v>
      </c>
      <c r="D602" s="40" t="s">
        <v>272</v>
      </c>
      <c r="E602" s="24">
        <v>63400000</v>
      </c>
      <c r="F602" s="39">
        <v>44260</v>
      </c>
      <c r="G602" s="24">
        <v>63400000</v>
      </c>
      <c r="H602" s="23">
        <v>5.0000000000000001E-3</v>
      </c>
      <c r="I602" s="39">
        <v>44260</v>
      </c>
      <c r="J602" s="39">
        <v>44286</v>
      </c>
      <c r="K602" s="24">
        <f t="shared" si="40"/>
        <v>27</v>
      </c>
      <c r="L602" s="24">
        <f t="shared" si="41"/>
        <v>23449</v>
      </c>
      <c r="M602" s="24">
        <v>63400000</v>
      </c>
    </row>
    <row r="603" spans="1:13" s="48" customFormat="1" outlineLevel="2">
      <c r="A603" s="39" t="s">
        <v>270</v>
      </c>
      <c r="B603" s="40" t="s">
        <v>215</v>
      </c>
      <c r="C603" s="41" t="s">
        <v>273</v>
      </c>
      <c r="D603" s="40" t="s">
        <v>272</v>
      </c>
      <c r="E603" s="24">
        <v>2800000</v>
      </c>
      <c r="F603" s="39">
        <v>44260</v>
      </c>
      <c r="G603" s="24">
        <v>2800000</v>
      </c>
      <c r="H603" s="23">
        <v>5.0000000000000001E-3</v>
      </c>
      <c r="I603" s="39">
        <v>44260</v>
      </c>
      <c r="J603" s="39">
        <v>44286</v>
      </c>
      <c r="K603" s="24">
        <f t="shared" si="40"/>
        <v>27</v>
      </c>
      <c r="L603" s="24">
        <f t="shared" si="41"/>
        <v>1036</v>
      </c>
      <c r="M603" s="24">
        <v>2800000</v>
      </c>
    </row>
    <row r="604" spans="1:13" s="48" customFormat="1" outlineLevel="2">
      <c r="A604" s="39" t="s">
        <v>270</v>
      </c>
      <c r="B604" s="40" t="s">
        <v>68</v>
      </c>
      <c r="C604" s="41" t="s">
        <v>274</v>
      </c>
      <c r="D604" s="40" t="s">
        <v>275</v>
      </c>
      <c r="E604" s="24">
        <v>7270080</v>
      </c>
      <c r="F604" s="39">
        <v>43873</v>
      </c>
      <c r="G604" s="24">
        <v>7270080</v>
      </c>
      <c r="H604" s="23">
        <v>5.0000000000000001E-3</v>
      </c>
      <c r="I604" s="39">
        <v>44256</v>
      </c>
      <c r="J604" s="39">
        <v>44286</v>
      </c>
      <c r="K604" s="24">
        <f t="shared" si="40"/>
        <v>31</v>
      </c>
      <c r="L604" s="24">
        <f t="shared" si="41"/>
        <v>3087</v>
      </c>
      <c r="M604" s="24">
        <v>7270080</v>
      </c>
    </row>
    <row r="605" spans="1:13" s="48" customFormat="1" outlineLevel="2">
      <c r="A605" s="39" t="s">
        <v>270</v>
      </c>
      <c r="B605" s="40" t="s">
        <v>216</v>
      </c>
      <c r="C605" s="41" t="s">
        <v>75</v>
      </c>
      <c r="D605" s="40" t="s">
        <v>76</v>
      </c>
      <c r="E605" s="24">
        <v>48420000</v>
      </c>
      <c r="F605" s="39">
        <v>44280</v>
      </c>
      <c r="G605" s="24">
        <v>48420000</v>
      </c>
      <c r="H605" s="23">
        <v>5.0000000000000001E-3</v>
      </c>
      <c r="I605" s="39">
        <v>44280</v>
      </c>
      <c r="J605" s="39">
        <v>44286</v>
      </c>
      <c r="K605" s="24">
        <f t="shared" si="40"/>
        <v>7</v>
      </c>
      <c r="L605" s="24">
        <f t="shared" si="41"/>
        <v>4643</v>
      </c>
      <c r="M605" s="24">
        <v>48420000</v>
      </c>
    </row>
    <row r="606" spans="1:13" s="48" customFormat="1" outlineLevel="1">
      <c r="A606" s="42" t="s">
        <v>282</v>
      </c>
      <c r="B606" s="43"/>
      <c r="C606" s="44"/>
      <c r="D606" s="43"/>
      <c r="E606" s="45">
        <f>SUBTOTAL(9,E516:E605)</f>
        <v>4104366672</v>
      </c>
      <c r="F606" s="46"/>
      <c r="G606" s="45"/>
      <c r="H606" s="47"/>
      <c r="I606" s="46"/>
      <c r="J606" s="46"/>
      <c r="K606" s="45"/>
      <c r="L606" s="45">
        <f>SUBTOTAL(9,L516:L605)</f>
        <v>1688977</v>
      </c>
      <c r="M606" s="45">
        <f>SUBTOTAL(9,M516:M605)</f>
        <v>4104366672</v>
      </c>
    </row>
    <row r="607" spans="1:13" s="48" customFormat="1" outlineLevel="2">
      <c r="A607" s="39" t="s">
        <v>283</v>
      </c>
      <c r="B607" s="40" t="s">
        <v>16</v>
      </c>
      <c r="C607" s="41" t="s">
        <v>284</v>
      </c>
      <c r="D607" s="40" t="s">
        <v>285</v>
      </c>
      <c r="E607" s="24">
        <v>50000000</v>
      </c>
      <c r="F607" s="39">
        <v>44211</v>
      </c>
      <c r="G607" s="24">
        <v>50000000</v>
      </c>
      <c r="H607" s="23">
        <v>5.0000000000000001E-3</v>
      </c>
      <c r="I607" s="39">
        <v>44256</v>
      </c>
      <c r="J607" s="39">
        <v>44286</v>
      </c>
      <c r="K607" s="24">
        <f>J607-I607+1</f>
        <v>31</v>
      </c>
      <c r="L607" s="24">
        <f>ROUND(G607*H607*K607/365,0)</f>
        <v>21233</v>
      </c>
      <c r="M607" s="24">
        <v>50000000</v>
      </c>
    </row>
    <row r="608" spans="1:13" s="48" customFormat="1" outlineLevel="1">
      <c r="A608" s="42" t="s">
        <v>286</v>
      </c>
      <c r="B608" s="43"/>
      <c r="C608" s="44"/>
      <c r="D608" s="43"/>
      <c r="E608" s="45">
        <f>SUBTOTAL(9,E607:E607)</f>
        <v>50000000</v>
      </c>
      <c r="F608" s="46"/>
      <c r="G608" s="45"/>
      <c r="H608" s="47"/>
      <c r="I608" s="46"/>
      <c r="J608" s="46"/>
      <c r="K608" s="45"/>
      <c r="L608" s="45">
        <f>SUBTOTAL(9,L607:L607)</f>
        <v>21233</v>
      </c>
      <c r="M608" s="45">
        <f>SUBTOTAL(9,M607:M607)</f>
        <v>50000000</v>
      </c>
    </row>
    <row r="609" spans="1:13" s="48" customFormat="1" outlineLevel="2">
      <c r="A609" s="39" t="s">
        <v>287</v>
      </c>
      <c r="B609" s="40" t="s">
        <v>16</v>
      </c>
      <c r="C609" s="41" t="s">
        <v>30</v>
      </c>
      <c r="D609" s="40" t="s">
        <v>31</v>
      </c>
      <c r="E609" s="24">
        <v>20000000</v>
      </c>
      <c r="F609" s="39">
        <v>43985</v>
      </c>
      <c r="G609" s="24">
        <v>20000000</v>
      </c>
      <c r="H609" s="23">
        <v>5.0000000000000001E-3</v>
      </c>
      <c r="I609" s="39">
        <v>44256</v>
      </c>
      <c r="J609" s="39">
        <v>44286</v>
      </c>
      <c r="K609" s="24">
        <f>J609-I609+1</f>
        <v>31</v>
      </c>
      <c r="L609" s="24">
        <f>ROUND(G609*H609*K609/365,0)</f>
        <v>8493</v>
      </c>
      <c r="M609" s="24">
        <v>20000000</v>
      </c>
    </row>
    <row r="610" spans="1:13" s="48" customFormat="1" outlineLevel="2">
      <c r="A610" s="39" t="s">
        <v>287</v>
      </c>
      <c r="B610" s="40" t="s">
        <v>39</v>
      </c>
      <c r="C610" s="41" t="s">
        <v>30</v>
      </c>
      <c r="D610" s="40" t="s">
        <v>31</v>
      </c>
      <c r="E610" s="24">
        <v>13800000</v>
      </c>
      <c r="F610" s="39">
        <v>44034</v>
      </c>
      <c r="G610" s="24">
        <v>13800000</v>
      </c>
      <c r="H610" s="23">
        <v>5.0000000000000001E-3</v>
      </c>
      <c r="I610" s="39">
        <v>44256</v>
      </c>
      <c r="J610" s="39">
        <v>44286</v>
      </c>
      <c r="K610" s="24">
        <f>J610-I610+1</f>
        <v>31</v>
      </c>
      <c r="L610" s="24">
        <f>ROUND(G610*H610*K610/365,0)</f>
        <v>5860</v>
      </c>
      <c r="M610" s="24">
        <v>13800000</v>
      </c>
    </row>
    <row r="611" spans="1:13" s="48" customFormat="1" outlineLevel="2">
      <c r="A611" s="39" t="s">
        <v>287</v>
      </c>
      <c r="B611" s="40" t="s">
        <v>54</v>
      </c>
      <c r="C611" s="41" t="s">
        <v>30</v>
      </c>
      <c r="D611" s="40" t="s">
        <v>31</v>
      </c>
      <c r="E611" s="24">
        <v>25000000</v>
      </c>
      <c r="F611" s="39">
        <v>44102</v>
      </c>
      <c r="G611" s="24">
        <v>25000000</v>
      </c>
      <c r="H611" s="23">
        <v>5.0000000000000001E-3</v>
      </c>
      <c r="I611" s="39">
        <v>44256</v>
      </c>
      <c r="J611" s="39">
        <v>44286</v>
      </c>
      <c r="K611" s="24">
        <f>J611-I611+1</f>
        <v>31</v>
      </c>
      <c r="L611" s="24">
        <f>ROUND(G611*H611*K611/365,0)</f>
        <v>10616</v>
      </c>
      <c r="M611" s="24">
        <v>25000000</v>
      </c>
    </row>
    <row r="612" spans="1:13" s="48" customFormat="1" outlineLevel="2">
      <c r="A612" s="39" t="s">
        <v>287</v>
      </c>
      <c r="B612" s="40" t="s">
        <v>59</v>
      </c>
      <c r="C612" s="41" t="s">
        <v>30</v>
      </c>
      <c r="D612" s="40" t="s">
        <v>31</v>
      </c>
      <c r="E612" s="24">
        <v>5600000</v>
      </c>
      <c r="F612" s="39">
        <v>44103</v>
      </c>
      <c r="G612" s="24">
        <v>5600000</v>
      </c>
      <c r="H612" s="23">
        <v>5.0000000000000001E-3</v>
      </c>
      <c r="I612" s="39">
        <v>44256</v>
      </c>
      <c r="J612" s="39">
        <v>44286</v>
      </c>
      <c r="K612" s="24">
        <f>J612-I612+1</f>
        <v>31</v>
      </c>
      <c r="L612" s="24">
        <f>ROUND(G612*H612*K612/365,0)</f>
        <v>2378</v>
      </c>
      <c r="M612" s="24">
        <v>5600000</v>
      </c>
    </row>
    <row r="613" spans="1:13" s="48" customFormat="1" outlineLevel="1">
      <c r="A613" s="42" t="s">
        <v>288</v>
      </c>
      <c r="B613" s="43"/>
      <c r="C613" s="44"/>
      <c r="D613" s="43"/>
      <c r="E613" s="45">
        <f>SUBTOTAL(9,E609:E612)</f>
        <v>64400000</v>
      </c>
      <c r="F613" s="46"/>
      <c r="G613" s="45"/>
      <c r="H613" s="47"/>
      <c r="I613" s="46"/>
      <c r="J613" s="46"/>
      <c r="K613" s="45"/>
      <c r="L613" s="45">
        <f>SUBTOTAL(9,L609:L612)</f>
        <v>27347</v>
      </c>
      <c r="M613" s="45">
        <f>SUBTOTAL(9,M609:M612)</f>
        <v>64400000</v>
      </c>
    </row>
    <row r="614" spans="1:13" s="48" customFormat="1" outlineLevel="2">
      <c r="A614" s="39" t="s">
        <v>289</v>
      </c>
      <c r="B614" s="40" t="s">
        <v>16</v>
      </c>
      <c r="C614" s="41" t="s">
        <v>121</v>
      </c>
      <c r="D614" s="40" t="s">
        <v>122</v>
      </c>
      <c r="E614" s="24">
        <v>72000000</v>
      </c>
      <c r="F614" s="39">
        <v>43917</v>
      </c>
      <c r="G614" s="24">
        <v>72000000</v>
      </c>
      <c r="H614" s="23">
        <v>5.0000000000000001E-3</v>
      </c>
      <c r="I614" s="39">
        <v>44256</v>
      </c>
      <c r="J614" s="39">
        <v>44286</v>
      </c>
      <c r="K614" s="24">
        <f t="shared" ref="K614:K625" si="42">J614-I614+1</f>
        <v>31</v>
      </c>
      <c r="L614" s="24">
        <f t="shared" ref="L614:L625" si="43">ROUND(G614*H614*K614/365,0)</f>
        <v>30575</v>
      </c>
      <c r="M614" s="24">
        <v>72000000</v>
      </c>
    </row>
    <row r="615" spans="1:13" s="48" customFormat="1" outlineLevel="2">
      <c r="A615" s="39" t="s">
        <v>289</v>
      </c>
      <c r="B615" s="40" t="s">
        <v>39</v>
      </c>
      <c r="C615" s="41" t="s">
        <v>121</v>
      </c>
      <c r="D615" s="40" t="s">
        <v>122</v>
      </c>
      <c r="E615" s="24">
        <v>144000000</v>
      </c>
      <c r="F615" s="39">
        <v>44018</v>
      </c>
      <c r="G615" s="24">
        <v>144000000</v>
      </c>
      <c r="H615" s="23">
        <v>5.0000000000000001E-3</v>
      </c>
      <c r="I615" s="39">
        <v>44256</v>
      </c>
      <c r="J615" s="39">
        <v>44286</v>
      </c>
      <c r="K615" s="24">
        <f t="shared" si="42"/>
        <v>31</v>
      </c>
      <c r="L615" s="24">
        <f t="shared" si="43"/>
        <v>61151</v>
      </c>
      <c r="M615" s="24">
        <v>144000000</v>
      </c>
    </row>
    <row r="616" spans="1:13" s="48" customFormat="1" outlineLevel="2">
      <c r="A616" s="39" t="s">
        <v>289</v>
      </c>
      <c r="B616" s="40" t="s">
        <v>54</v>
      </c>
      <c r="C616" s="41" t="s">
        <v>290</v>
      </c>
      <c r="D616" s="40" t="s">
        <v>291</v>
      </c>
      <c r="E616" s="24">
        <v>6820000</v>
      </c>
      <c r="F616" s="39">
        <v>44092</v>
      </c>
      <c r="G616" s="24">
        <v>6251665</v>
      </c>
      <c r="H616" s="23">
        <v>5.0000000000000001E-3</v>
      </c>
      <c r="I616" s="39">
        <v>44256</v>
      </c>
      <c r="J616" s="39">
        <v>44269</v>
      </c>
      <c r="K616" s="24">
        <f t="shared" si="42"/>
        <v>14</v>
      </c>
      <c r="L616" s="24">
        <f t="shared" si="43"/>
        <v>1199</v>
      </c>
      <c r="M616" s="24">
        <v>6137998</v>
      </c>
    </row>
    <row r="617" spans="1:13" s="48" customFormat="1" outlineLevel="2">
      <c r="A617" s="39" t="s">
        <v>289</v>
      </c>
      <c r="B617" s="40" t="s">
        <v>54</v>
      </c>
      <c r="C617" s="41" t="s">
        <v>290</v>
      </c>
      <c r="D617" s="40"/>
      <c r="E617" s="24"/>
      <c r="F617" s="39"/>
      <c r="G617" s="24">
        <v>6137998</v>
      </c>
      <c r="H617" s="23">
        <v>5.0000000000000001E-3</v>
      </c>
      <c r="I617" s="39">
        <v>44270</v>
      </c>
      <c r="J617" s="39">
        <v>44286</v>
      </c>
      <c r="K617" s="24">
        <f t="shared" si="42"/>
        <v>17</v>
      </c>
      <c r="L617" s="24">
        <f t="shared" si="43"/>
        <v>1429</v>
      </c>
      <c r="M617" s="24"/>
    </row>
    <row r="618" spans="1:13" s="48" customFormat="1" outlineLevel="2">
      <c r="A618" s="39" t="s">
        <v>289</v>
      </c>
      <c r="B618" s="40" t="s">
        <v>59</v>
      </c>
      <c r="C618" s="41" t="s">
        <v>290</v>
      </c>
      <c r="D618" s="40" t="s">
        <v>291</v>
      </c>
      <c r="E618" s="24">
        <v>17380000</v>
      </c>
      <c r="F618" s="39">
        <v>44092</v>
      </c>
      <c r="G618" s="24">
        <v>14966110</v>
      </c>
      <c r="H618" s="23">
        <v>5.0000000000000001E-3</v>
      </c>
      <c r="I618" s="39">
        <v>44256</v>
      </c>
      <c r="J618" s="39">
        <v>44269</v>
      </c>
      <c r="K618" s="24">
        <f t="shared" si="42"/>
        <v>14</v>
      </c>
      <c r="L618" s="24">
        <f t="shared" si="43"/>
        <v>2870</v>
      </c>
      <c r="M618" s="24">
        <v>14483332</v>
      </c>
    </row>
    <row r="619" spans="1:13" s="48" customFormat="1" outlineLevel="2">
      <c r="A619" s="39" t="s">
        <v>289</v>
      </c>
      <c r="B619" s="40" t="s">
        <v>59</v>
      </c>
      <c r="C619" s="41" t="s">
        <v>290</v>
      </c>
      <c r="D619" s="40"/>
      <c r="E619" s="24"/>
      <c r="F619" s="39"/>
      <c r="G619" s="24">
        <v>14483332</v>
      </c>
      <c r="H619" s="23">
        <v>5.0000000000000001E-3</v>
      </c>
      <c r="I619" s="39">
        <v>44270</v>
      </c>
      <c r="J619" s="39">
        <v>44286</v>
      </c>
      <c r="K619" s="24">
        <f t="shared" si="42"/>
        <v>17</v>
      </c>
      <c r="L619" s="24">
        <f t="shared" si="43"/>
        <v>3373</v>
      </c>
      <c r="M619" s="24"/>
    </row>
    <row r="620" spans="1:13" s="48" customFormat="1" outlineLevel="2">
      <c r="A620" s="39" t="s">
        <v>289</v>
      </c>
      <c r="B620" s="40" t="s">
        <v>62</v>
      </c>
      <c r="C620" s="41" t="s">
        <v>121</v>
      </c>
      <c r="D620" s="40" t="s">
        <v>122</v>
      </c>
      <c r="E620" s="24">
        <v>41000000</v>
      </c>
      <c r="F620" s="39">
        <v>44140</v>
      </c>
      <c r="G620" s="24">
        <v>41000000</v>
      </c>
      <c r="H620" s="23">
        <v>5.0000000000000001E-3</v>
      </c>
      <c r="I620" s="39">
        <v>44256</v>
      </c>
      <c r="J620" s="39">
        <v>44286</v>
      </c>
      <c r="K620" s="24">
        <f t="shared" si="42"/>
        <v>31</v>
      </c>
      <c r="L620" s="24">
        <f t="shared" si="43"/>
        <v>17411</v>
      </c>
      <c r="M620" s="24">
        <v>41000000</v>
      </c>
    </row>
    <row r="621" spans="1:13" s="48" customFormat="1" outlineLevel="2">
      <c r="A621" s="39" t="s">
        <v>289</v>
      </c>
      <c r="B621" s="40" t="s">
        <v>63</v>
      </c>
      <c r="C621" s="41" t="s">
        <v>290</v>
      </c>
      <c r="D621" s="40" t="s">
        <v>291</v>
      </c>
      <c r="E621" s="24">
        <v>3220000</v>
      </c>
      <c r="F621" s="39">
        <v>44161</v>
      </c>
      <c r="G621" s="24">
        <v>3053449</v>
      </c>
      <c r="H621" s="23">
        <v>5.0000000000000001E-3</v>
      </c>
      <c r="I621" s="39">
        <v>44256</v>
      </c>
      <c r="J621" s="39">
        <v>44269</v>
      </c>
      <c r="K621" s="24">
        <f t="shared" si="42"/>
        <v>14</v>
      </c>
      <c r="L621" s="24">
        <f t="shared" si="43"/>
        <v>586</v>
      </c>
      <c r="M621" s="24">
        <v>2997932</v>
      </c>
    </row>
    <row r="622" spans="1:13" s="48" customFormat="1" outlineLevel="2">
      <c r="A622" s="39" t="s">
        <v>289</v>
      </c>
      <c r="B622" s="40" t="s">
        <v>63</v>
      </c>
      <c r="C622" s="41" t="s">
        <v>290</v>
      </c>
      <c r="D622" s="40"/>
      <c r="E622" s="24"/>
      <c r="F622" s="39"/>
      <c r="G622" s="24">
        <v>2997932</v>
      </c>
      <c r="H622" s="23">
        <v>5.0000000000000001E-3</v>
      </c>
      <c r="I622" s="39">
        <v>44270</v>
      </c>
      <c r="J622" s="39">
        <v>44286</v>
      </c>
      <c r="K622" s="24">
        <f t="shared" si="42"/>
        <v>17</v>
      </c>
      <c r="L622" s="24">
        <f t="shared" si="43"/>
        <v>698</v>
      </c>
      <c r="M622" s="24"/>
    </row>
    <row r="623" spans="1:13" s="48" customFormat="1" outlineLevel="2">
      <c r="A623" s="39" t="s">
        <v>289</v>
      </c>
      <c r="B623" s="40" t="s">
        <v>64</v>
      </c>
      <c r="C623" s="41" t="s">
        <v>121</v>
      </c>
      <c r="D623" s="40" t="s">
        <v>122</v>
      </c>
      <c r="E623" s="24">
        <v>50000000</v>
      </c>
      <c r="F623" s="39">
        <v>44189</v>
      </c>
      <c r="G623" s="24">
        <v>50000000</v>
      </c>
      <c r="H623" s="23">
        <v>5.0000000000000001E-3</v>
      </c>
      <c r="I623" s="39">
        <v>44256</v>
      </c>
      <c r="J623" s="39">
        <v>44286</v>
      </c>
      <c r="K623" s="24">
        <f t="shared" si="42"/>
        <v>31</v>
      </c>
      <c r="L623" s="24">
        <f t="shared" si="43"/>
        <v>21233</v>
      </c>
      <c r="M623" s="24">
        <v>50000000</v>
      </c>
    </row>
    <row r="624" spans="1:13" s="48" customFormat="1" outlineLevel="2">
      <c r="A624" s="39" t="s">
        <v>289</v>
      </c>
      <c r="B624" s="40" t="s">
        <v>65</v>
      </c>
      <c r="C624" s="41" t="s">
        <v>121</v>
      </c>
      <c r="D624" s="40" t="s">
        <v>122</v>
      </c>
      <c r="E624" s="24">
        <v>15000000</v>
      </c>
      <c r="F624" s="39">
        <v>44189</v>
      </c>
      <c r="G624" s="24">
        <v>15000000</v>
      </c>
      <c r="H624" s="23">
        <v>5.0000000000000001E-3</v>
      </c>
      <c r="I624" s="39">
        <v>44256</v>
      </c>
      <c r="J624" s="39">
        <v>44286</v>
      </c>
      <c r="K624" s="24">
        <f t="shared" si="42"/>
        <v>31</v>
      </c>
      <c r="L624" s="24">
        <f t="shared" si="43"/>
        <v>6370</v>
      </c>
      <c r="M624" s="24">
        <v>15000000</v>
      </c>
    </row>
    <row r="625" spans="1:13" s="48" customFormat="1" outlineLevel="2">
      <c r="A625" s="39" t="s">
        <v>289</v>
      </c>
      <c r="B625" s="40" t="s">
        <v>68</v>
      </c>
      <c r="C625" s="41" t="s">
        <v>121</v>
      </c>
      <c r="D625" s="40" t="s">
        <v>122</v>
      </c>
      <c r="E625" s="24">
        <v>850000</v>
      </c>
      <c r="F625" s="39">
        <v>44253</v>
      </c>
      <c r="G625" s="24">
        <v>850000</v>
      </c>
      <c r="H625" s="23">
        <v>5.0000000000000001E-3</v>
      </c>
      <c r="I625" s="39">
        <v>44256</v>
      </c>
      <c r="J625" s="39">
        <v>44286</v>
      </c>
      <c r="K625" s="24">
        <f t="shared" si="42"/>
        <v>31</v>
      </c>
      <c r="L625" s="24">
        <f t="shared" si="43"/>
        <v>361</v>
      </c>
      <c r="M625" s="24">
        <v>850000</v>
      </c>
    </row>
    <row r="626" spans="1:13" s="48" customFormat="1" outlineLevel="1">
      <c r="A626" s="42" t="s">
        <v>292</v>
      </c>
      <c r="B626" s="43"/>
      <c r="C626" s="44"/>
      <c r="D626" s="43"/>
      <c r="E626" s="45">
        <f>SUBTOTAL(9,E614:E625)</f>
        <v>350270000</v>
      </c>
      <c r="F626" s="46"/>
      <c r="G626" s="45"/>
      <c r="H626" s="47"/>
      <c r="I626" s="46"/>
      <c r="J626" s="46"/>
      <c r="K626" s="45"/>
      <c r="L626" s="45">
        <f>SUBTOTAL(9,L614:L625)</f>
        <v>147256</v>
      </c>
      <c r="M626" s="45">
        <f>SUBTOTAL(9,M614:M625)</f>
        <v>346469262</v>
      </c>
    </row>
    <row r="627" spans="1:13" s="48" customFormat="1" outlineLevel="2">
      <c r="A627" s="39" t="s">
        <v>293</v>
      </c>
      <c r="B627" s="40" t="s">
        <v>16</v>
      </c>
      <c r="C627" s="41" t="s">
        <v>121</v>
      </c>
      <c r="D627" s="40" t="s">
        <v>122</v>
      </c>
      <c r="E627" s="24">
        <v>190000000</v>
      </c>
      <c r="F627" s="39">
        <v>43797</v>
      </c>
      <c r="G627" s="24">
        <v>190000000</v>
      </c>
      <c r="H627" s="23">
        <v>5.0000000000000001E-3</v>
      </c>
      <c r="I627" s="39">
        <v>44256</v>
      </c>
      <c r="J627" s="39">
        <v>44286</v>
      </c>
      <c r="K627" s="24">
        <f t="shared" ref="K627:K667" si="44">J627-I627+1</f>
        <v>31</v>
      </c>
      <c r="L627" s="24">
        <f t="shared" ref="L627:L667" si="45">ROUND(G627*H627*K627/365,0)</f>
        <v>80685</v>
      </c>
      <c r="M627" s="24">
        <v>190000000</v>
      </c>
    </row>
    <row r="628" spans="1:13" s="48" customFormat="1" outlineLevel="2">
      <c r="A628" s="39" t="s">
        <v>293</v>
      </c>
      <c r="B628" s="40" t="s">
        <v>19</v>
      </c>
      <c r="C628" s="41" t="s">
        <v>55</v>
      </c>
      <c r="D628" s="40" t="s">
        <v>56</v>
      </c>
      <c r="E628" s="24">
        <v>1310400</v>
      </c>
      <c r="F628" s="39">
        <v>44043</v>
      </c>
      <c r="G628" s="24">
        <v>1143625</v>
      </c>
      <c r="H628" s="23">
        <v>5.0000000000000001E-3</v>
      </c>
      <c r="I628" s="39">
        <v>44256</v>
      </c>
      <c r="J628" s="39">
        <v>44269</v>
      </c>
      <c r="K628" s="24">
        <f t="shared" si="44"/>
        <v>14</v>
      </c>
      <c r="L628" s="24">
        <f t="shared" si="45"/>
        <v>219</v>
      </c>
      <c r="M628" s="24">
        <v>1119800</v>
      </c>
    </row>
    <row r="629" spans="1:13" s="48" customFormat="1" outlineLevel="2">
      <c r="A629" s="39" t="s">
        <v>293</v>
      </c>
      <c r="B629" s="40" t="s">
        <v>19</v>
      </c>
      <c r="C629" s="41" t="s">
        <v>55</v>
      </c>
      <c r="D629" s="40"/>
      <c r="E629" s="24"/>
      <c r="F629" s="39"/>
      <c r="G629" s="24">
        <v>1119800</v>
      </c>
      <c r="H629" s="23">
        <v>5.0000000000000001E-3</v>
      </c>
      <c r="I629" s="39">
        <v>44270</v>
      </c>
      <c r="J629" s="39">
        <v>44286</v>
      </c>
      <c r="K629" s="24">
        <f t="shared" si="44"/>
        <v>17</v>
      </c>
      <c r="L629" s="24">
        <f t="shared" si="45"/>
        <v>261</v>
      </c>
      <c r="M629" s="24"/>
    </row>
    <row r="630" spans="1:13" s="48" customFormat="1" outlineLevel="2">
      <c r="A630" s="39" t="s">
        <v>293</v>
      </c>
      <c r="B630" s="40" t="s">
        <v>22</v>
      </c>
      <c r="C630" s="41" t="s">
        <v>20</v>
      </c>
      <c r="D630" s="40" t="s">
        <v>21</v>
      </c>
      <c r="E630" s="24">
        <v>201600000</v>
      </c>
      <c r="F630" s="39">
        <v>44028</v>
      </c>
      <c r="G630" s="24">
        <v>201600000</v>
      </c>
      <c r="H630" s="23">
        <v>3.0000000000000001E-3</v>
      </c>
      <c r="I630" s="39">
        <v>44256</v>
      </c>
      <c r="J630" s="39">
        <v>44286</v>
      </c>
      <c r="K630" s="24">
        <f t="shared" si="44"/>
        <v>31</v>
      </c>
      <c r="L630" s="24">
        <f t="shared" si="45"/>
        <v>51367</v>
      </c>
      <c r="M630" s="24">
        <v>201600000</v>
      </c>
    </row>
    <row r="631" spans="1:13" s="48" customFormat="1" outlineLevel="2">
      <c r="A631" s="39" t="s">
        <v>293</v>
      </c>
      <c r="B631" s="40" t="s">
        <v>25</v>
      </c>
      <c r="C631" s="41" t="s">
        <v>294</v>
      </c>
      <c r="D631" s="40" t="s">
        <v>295</v>
      </c>
      <c r="E631" s="24">
        <v>67678400</v>
      </c>
      <c r="F631" s="39">
        <v>44041</v>
      </c>
      <c r="G631" s="24">
        <v>67678400</v>
      </c>
      <c r="H631" s="23">
        <v>5.0000000000000001E-3</v>
      </c>
      <c r="I631" s="39">
        <v>44256</v>
      </c>
      <c r="J631" s="39">
        <v>44286</v>
      </c>
      <c r="K631" s="24">
        <f t="shared" si="44"/>
        <v>31</v>
      </c>
      <c r="L631" s="24">
        <f t="shared" si="45"/>
        <v>28740</v>
      </c>
      <c r="M631" s="24">
        <v>67678400</v>
      </c>
    </row>
    <row r="632" spans="1:13" s="48" customFormat="1" outlineLevel="2">
      <c r="A632" s="39" t="s">
        <v>293</v>
      </c>
      <c r="B632" s="40" t="s">
        <v>26</v>
      </c>
      <c r="C632" s="41" t="s">
        <v>294</v>
      </c>
      <c r="D632" s="40" t="s">
        <v>295</v>
      </c>
      <c r="E632" s="24">
        <v>56400000</v>
      </c>
      <c r="F632" s="39">
        <v>44060</v>
      </c>
      <c r="G632" s="24">
        <v>56400000</v>
      </c>
      <c r="H632" s="23">
        <v>5.0000000000000001E-3</v>
      </c>
      <c r="I632" s="39">
        <v>44256</v>
      </c>
      <c r="J632" s="39">
        <v>44286</v>
      </c>
      <c r="K632" s="24">
        <f t="shared" si="44"/>
        <v>31</v>
      </c>
      <c r="L632" s="24">
        <f t="shared" si="45"/>
        <v>23951</v>
      </c>
      <c r="M632" s="24">
        <v>56400000</v>
      </c>
    </row>
    <row r="633" spans="1:13" s="48" customFormat="1" outlineLevel="2">
      <c r="A633" s="39" t="s">
        <v>293</v>
      </c>
      <c r="B633" s="40" t="s">
        <v>29</v>
      </c>
      <c r="C633" s="41" t="s">
        <v>294</v>
      </c>
      <c r="D633" s="40" t="s">
        <v>295</v>
      </c>
      <c r="E633" s="24">
        <v>56400000</v>
      </c>
      <c r="F633" s="39">
        <v>44089</v>
      </c>
      <c r="G633" s="24">
        <v>56400000</v>
      </c>
      <c r="H633" s="23">
        <v>5.0000000000000001E-3</v>
      </c>
      <c r="I633" s="39">
        <v>44256</v>
      </c>
      <c r="J633" s="39">
        <v>44286</v>
      </c>
      <c r="K633" s="24">
        <f t="shared" si="44"/>
        <v>31</v>
      </c>
      <c r="L633" s="24">
        <f t="shared" si="45"/>
        <v>23951</v>
      </c>
      <c r="M633" s="24">
        <v>56400000</v>
      </c>
    </row>
    <row r="634" spans="1:13" s="48" customFormat="1" outlineLevel="2">
      <c r="A634" s="39" t="s">
        <v>293</v>
      </c>
      <c r="B634" s="40" t="s">
        <v>32</v>
      </c>
      <c r="C634" s="41" t="s">
        <v>294</v>
      </c>
      <c r="D634" s="40" t="s">
        <v>295</v>
      </c>
      <c r="E634" s="24">
        <v>56400000</v>
      </c>
      <c r="F634" s="39">
        <v>44119</v>
      </c>
      <c r="G634" s="24">
        <v>56400000</v>
      </c>
      <c r="H634" s="23">
        <v>5.0000000000000001E-3</v>
      </c>
      <c r="I634" s="39">
        <v>44256</v>
      </c>
      <c r="J634" s="39">
        <v>44286</v>
      </c>
      <c r="K634" s="24">
        <f t="shared" si="44"/>
        <v>31</v>
      </c>
      <c r="L634" s="24">
        <f t="shared" si="45"/>
        <v>23951</v>
      </c>
      <c r="M634" s="24">
        <v>56400000</v>
      </c>
    </row>
    <row r="635" spans="1:13" s="48" customFormat="1" outlineLevel="2">
      <c r="A635" s="39" t="s">
        <v>293</v>
      </c>
      <c r="B635" s="40" t="s">
        <v>33</v>
      </c>
      <c r="C635" s="41" t="s">
        <v>55</v>
      </c>
      <c r="D635" s="40" t="s">
        <v>56</v>
      </c>
      <c r="E635" s="24">
        <v>1169666</v>
      </c>
      <c r="F635" s="39">
        <v>44134</v>
      </c>
      <c r="G635" s="24">
        <v>1079690</v>
      </c>
      <c r="H635" s="23">
        <v>5.0000000000000001E-3</v>
      </c>
      <c r="I635" s="39">
        <v>44256</v>
      </c>
      <c r="J635" s="39">
        <v>44269</v>
      </c>
      <c r="K635" s="24">
        <f t="shared" si="44"/>
        <v>14</v>
      </c>
      <c r="L635" s="24">
        <f t="shared" si="45"/>
        <v>207</v>
      </c>
      <c r="M635" s="24">
        <v>1057196</v>
      </c>
    </row>
    <row r="636" spans="1:13" s="48" customFormat="1" outlineLevel="2">
      <c r="A636" s="39" t="s">
        <v>293</v>
      </c>
      <c r="B636" s="40" t="s">
        <v>33</v>
      </c>
      <c r="C636" s="41" t="s">
        <v>55</v>
      </c>
      <c r="D636" s="40"/>
      <c r="E636" s="24"/>
      <c r="F636" s="39"/>
      <c r="G636" s="24">
        <v>1057196</v>
      </c>
      <c r="H636" s="23">
        <v>5.0000000000000001E-3</v>
      </c>
      <c r="I636" s="39">
        <v>44270</v>
      </c>
      <c r="J636" s="39">
        <v>44286</v>
      </c>
      <c r="K636" s="24">
        <f t="shared" si="44"/>
        <v>17</v>
      </c>
      <c r="L636" s="24">
        <f t="shared" si="45"/>
        <v>246</v>
      </c>
      <c r="M636" s="24"/>
    </row>
    <row r="637" spans="1:13" s="48" customFormat="1" outlineLevel="2">
      <c r="A637" s="39" t="s">
        <v>293</v>
      </c>
      <c r="B637" s="40" t="s">
        <v>34</v>
      </c>
      <c r="C637" s="41" t="s">
        <v>294</v>
      </c>
      <c r="D637" s="40" t="s">
        <v>295</v>
      </c>
      <c r="E637" s="24">
        <v>56400000</v>
      </c>
      <c r="F637" s="39">
        <v>44151</v>
      </c>
      <c r="G637" s="24">
        <v>56400000</v>
      </c>
      <c r="H637" s="23">
        <v>5.0000000000000001E-3</v>
      </c>
      <c r="I637" s="39">
        <v>44256</v>
      </c>
      <c r="J637" s="39">
        <v>44286</v>
      </c>
      <c r="K637" s="24">
        <f t="shared" si="44"/>
        <v>31</v>
      </c>
      <c r="L637" s="24">
        <f t="shared" si="45"/>
        <v>23951</v>
      </c>
      <c r="M637" s="24">
        <v>56400000</v>
      </c>
    </row>
    <row r="638" spans="1:13" s="48" customFormat="1" outlineLevel="2">
      <c r="A638" s="39" t="s">
        <v>293</v>
      </c>
      <c r="B638" s="40" t="s">
        <v>35</v>
      </c>
      <c r="C638" s="41" t="s">
        <v>115</v>
      </c>
      <c r="D638" s="40" t="s">
        <v>116</v>
      </c>
      <c r="E638" s="24">
        <v>2230000</v>
      </c>
      <c r="F638" s="39">
        <v>44138</v>
      </c>
      <c r="G638" s="24">
        <v>2230000</v>
      </c>
      <c r="H638" s="23">
        <v>5.0000000000000001E-3</v>
      </c>
      <c r="I638" s="39">
        <v>44256</v>
      </c>
      <c r="J638" s="39">
        <v>44286</v>
      </c>
      <c r="K638" s="24">
        <f t="shared" si="44"/>
        <v>31</v>
      </c>
      <c r="L638" s="24">
        <f t="shared" si="45"/>
        <v>947</v>
      </c>
      <c r="M638" s="24">
        <v>2230000</v>
      </c>
    </row>
    <row r="639" spans="1:13" s="48" customFormat="1" outlineLevel="2">
      <c r="A639" s="39" t="s">
        <v>293</v>
      </c>
      <c r="B639" s="40" t="s">
        <v>36</v>
      </c>
      <c r="C639" s="41" t="s">
        <v>294</v>
      </c>
      <c r="D639" s="40" t="s">
        <v>295</v>
      </c>
      <c r="E639" s="24">
        <v>112800000</v>
      </c>
      <c r="F639" s="39">
        <v>44180</v>
      </c>
      <c r="G639" s="24">
        <v>112800000</v>
      </c>
      <c r="H639" s="23">
        <v>5.0000000000000001E-3</v>
      </c>
      <c r="I639" s="39">
        <v>44256</v>
      </c>
      <c r="J639" s="39">
        <v>44286</v>
      </c>
      <c r="K639" s="24">
        <f t="shared" si="44"/>
        <v>31</v>
      </c>
      <c r="L639" s="24">
        <f t="shared" si="45"/>
        <v>47901</v>
      </c>
      <c r="M639" s="24">
        <v>112800000</v>
      </c>
    </row>
    <row r="640" spans="1:13" s="48" customFormat="1" outlineLevel="2">
      <c r="A640" s="39" t="s">
        <v>293</v>
      </c>
      <c r="B640" s="40" t="s">
        <v>39</v>
      </c>
      <c r="C640" s="41" t="s">
        <v>121</v>
      </c>
      <c r="D640" s="40" t="s">
        <v>122</v>
      </c>
      <c r="E640" s="24">
        <v>37000000</v>
      </c>
      <c r="F640" s="39">
        <v>43829</v>
      </c>
      <c r="G640" s="24">
        <v>37000000</v>
      </c>
      <c r="H640" s="23">
        <v>5.0000000000000001E-3</v>
      </c>
      <c r="I640" s="39">
        <v>44256</v>
      </c>
      <c r="J640" s="39">
        <v>44286</v>
      </c>
      <c r="K640" s="24">
        <f t="shared" si="44"/>
        <v>31</v>
      </c>
      <c r="L640" s="24">
        <f t="shared" si="45"/>
        <v>15712</v>
      </c>
      <c r="M640" s="24">
        <v>37000000</v>
      </c>
    </row>
    <row r="641" spans="1:13" s="48" customFormat="1" outlineLevel="2">
      <c r="A641" s="39" t="s">
        <v>293</v>
      </c>
      <c r="B641" s="40" t="s">
        <v>40</v>
      </c>
      <c r="C641" s="41" t="s">
        <v>294</v>
      </c>
      <c r="D641" s="40" t="s">
        <v>295</v>
      </c>
      <c r="E641" s="24">
        <v>3667200</v>
      </c>
      <c r="F641" s="39">
        <v>44180</v>
      </c>
      <c r="G641" s="24">
        <v>3667200</v>
      </c>
      <c r="H641" s="23">
        <v>5.0000000000000001E-3</v>
      </c>
      <c r="I641" s="39">
        <v>44256</v>
      </c>
      <c r="J641" s="39">
        <v>44286</v>
      </c>
      <c r="K641" s="24">
        <f t="shared" si="44"/>
        <v>31</v>
      </c>
      <c r="L641" s="24">
        <f t="shared" si="45"/>
        <v>1557</v>
      </c>
      <c r="M641" s="24">
        <v>3667200</v>
      </c>
    </row>
    <row r="642" spans="1:13" s="48" customFormat="1" outlineLevel="2">
      <c r="A642" s="39" t="s">
        <v>293</v>
      </c>
      <c r="B642" s="40" t="s">
        <v>41</v>
      </c>
      <c r="C642" s="41" t="s">
        <v>132</v>
      </c>
      <c r="D642" s="40" t="s">
        <v>133</v>
      </c>
      <c r="E642" s="24">
        <v>30870000</v>
      </c>
      <c r="F642" s="39">
        <v>44175</v>
      </c>
      <c r="G642" s="24">
        <v>30870000</v>
      </c>
      <c r="H642" s="23">
        <v>5.0000000000000001E-3</v>
      </c>
      <c r="I642" s="39">
        <v>44256</v>
      </c>
      <c r="J642" s="39">
        <v>44286</v>
      </c>
      <c r="K642" s="24">
        <f t="shared" si="44"/>
        <v>31</v>
      </c>
      <c r="L642" s="24">
        <f t="shared" si="45"/>
        <v>13109</v>
      </c>
      <c r="M642" s="24">
        <v>30870000</v>
      </c>
    </row>
    <row r="643" spans="1:13" s="48" customFormat="1" outlineLevel="2">
      <c r="A643" s="39" t="s">
        <v>293</v>
      </c>
      <c r="B643" s="40" t="s">
        <v>42</v>
      </c>
      <c r="C643" s="41" t="s">
        <v>294</v>
      </c>
      <c r="D643" s="40" t="s">
        <v>295</v>
      </c>
      <c r="E643" s="24">
        <v>57011200</v>
      </c>
      <c r="F643" s="39">
        <v>44211</v>
      </c>
      <c r="G643" s="24">
        <v>57011200</v>
      </c>
      <c r="H643" s="23">
        <v>5.0000000000000001E-3</v>
      </c>
      <c r="I643" s="39">
        <v>44256</v>
      </c>
      <c r="J643" s="39">
        <v>44286</v>
      </c>
      <c r="K643" s="24">
        <f t="shared" si="44"/>
        <v>31</v>
      </c>
      <c r="L643" s="24">
        <f t="shared" si="45"/>
        <v>24210</v>
      </c>
      <c r="M643" s="24">
        <v>57011200</v>
      </c>
    </row>
    <row r="644" spans="1:13" s="48" customFormat="1" outlineLevel="2">
      <c r="A644" s="39" t="s">
        <v>293</v>
      </c>
      <c r="B644" s="40" t="s">
        <v>43</v>
      </c>
      <c r="C644" s="41" t="s">
        <v>115</v>
      </c>
      <c r="D644" s="40" t="s">
        <v>116</v>
      </c>
      <c r="E644" s="24">
        <v>10000000</v>
      </c>
      <c r="F644" s="39">
        <v>44225</v>
      </c>
      <c r="G644" s="24">
        <v>10000000</v>
      </c>
      <c r="H644" s="23">
        <v>5.0000000000000001E-3</v>
      </c>
      <c r="I644" s="39">
        <v>44256</v>
      </c>
      <c r="J644" s="39">
        <v>44286</v>
      </c>
      <c r="K644" s="24">
        <f t="shared" si="44"/>
        <v>31</v>
      </c>
      <c r="L644" s="24">
        <f t="shared" si="45"/>
        <v>4247</v>
      </c>
      <c r="M644" s="24">
        <v>10000000</v>
      </c>
    </row>
    <row r="645" spans="1:13" s="48" customFormat="1" outlineLevel="2">
      <c r="A645" s="39" t="s">
        <v>293</v>
      </c>
      <c r="B645" s="40" t="s">
        <v>44</v>
      </c>
      <c r="C645" s="41" t="s">
        <v>132</v>
      </c>
      <c r="D645" s="40" t="s">
        <v>133</v>
      </c>
      <c r="E645" s="24">
        <v>5880000</v>
      </c>
      <c r="F645" s="39">
        <v>44207</v>
      </c>
      <c r="G645" s="24">
        <v>5880000</v>
      </c>
      <c r="H645" s="23">
        <v>5.0000000000000001E-3</v>
      </c>
      <c r="I645" s="39">
        <v>44256</v>
      </c>
      <c r="J645" s="39">
        <v>44286</v>
      </c>
      <c r="K645" s="24">
        <f t="shared" si="44"/>
        <v>31</v>
      </c>
      <c r="L645" s="24">
        <f t="shared" si="45"/>
        <v>2497</v>
      </c>
      <c r="M645" s="24">
        <v>5880000</v>
      </c>
    </row>
    <row r="646" spans="1:13" s="48" customFormat="1" outlineLevel="2">
      <c r="A646" s="39" t="s">
        <v>293</v>
      </c>
      <c r="B646" s="40" t="s">
        <v>47</v>
      </c>
      <c r="C646" s="41" t="s">
        <v>132</v>
      </c>
      <c r="D646" s="40" t="s">
        <v>133</v>
      </c>
      <c r="E646" s="24">
        <v>660000</v>
      </c>
      <c r="F646" s="39">
        <v>44221</v>
      </c>
      <c r="G646" s="24">
        <v>660000</v>
      </c>
      <c r="H646" s="23">
        <v>5.0000000000000001E-3</v>
      </c>
      <c r="I646" s="39">
        <v>44256</v>
      </c>
      <c r="J646" s="39">
        <v>44286</v>
      </c>
      <c r="K646" s="24">
        <f t="shared" si="44"/>
        <v>31</v>
      </c>
      <c r="L646" s="24">
        <f t="shared" si="45"/>
        <v>280</v>
      </c>
      <c r="M646" s="24">
        <v>660000</v>
      </c>
    </row>
    <row r="647" spans="1:13" s="48" customFormat="1" outlineLevel="2">
      <c r="A647" s="39" t="s">
        <v>293</v>
      </c>
      <c r="B647" s="40" t="s">
        <v>50</v>
      </c>
      <c r="C647" s="41" t="s">
        <v>132</v>
      </c>
      <c r="D647" s="40" t="s">
        <v>133</v>
      </c>
      <c r="E647" s="24">
        <v>4160000</v>
      </c>
      <c r="F647" s="39">
        <v>44207</v>
      </c>
      <c r="G647" s="24">
        <v>4160000</v>
      </c>
      <c r="H647" s="23">
        <v>5.0000000000000001E-3</v>
      </c>
      <c r="I647" s="39">
        <v>44256</v>
      </c>
      <c r="J647" s="39">
        <v>44286</v>
      </c>
      <c r="K647" s="24">
        <f t="shared" si="44"/>
        <v>31</v>
      </c>
      <c r="L647" s="24">
        <f t="shared" si="45"/>
        <v>1767</v>
      </c>
      <c r="M647" s="24">
        <v>4160000</v>
      </c>
    </row>
    <row r="648" spans="1:13" s="48" customFormat="1" outlineLevel="2">
      <c r="A648" s="39" t="s">
        <v>293</v>
      </c>
      <c r="B648" s="40" t="s">
        <v>51</v>
      </c>
      <c r="C648" s="41" t="s">
        <v>294</v>
      </c>
      <c r="D648" s="40" t="s">
        <v>295</v>
      </c>
      <c r="E648" s="24">
        <v>64400000</v>
      </c>
      <c r="F648" s="39">
        <v>44236</v>
      </c>
      <c r="G648" s="24">
        <v>64400000</v>
      </c>
      <c r="H648" s="23">
        <v>5.0000000000000001E-3</v>
      </c>
      <c r="I648" s="39">
        <v>44256</v>
      </c>
      <c r="J648" s="39">
        <v>44286</v>
      </c>
      <c r="K648" s="24">
        <f t="shared" si="44"/>
        <v>31</v>
      </c>
      <c r="L648" s="24">
        <f t="shared" si="45"/>
        <v>27348</v>
      </c>
      <c r="M648" s="24">
        <v>64400000</v>
      </c>
    </row>
    <row r="649" spans="1:13" s="48" customFormat="1" outlineLevel="2">
      <c r="A649" s="39" t="s">
        <v>293</v>
      </c>
      <c r="B649" s="40" t="s">
        <v>52</v>
      </c>
      <c r="C649" s="41" t="s">
        <v>294</v>
      </c>
      <c r="D649" s="40" t="s">
        <v>295</v>
      </c>
      <c r="E649" s="24">
        <v>57011200</v>
      </c>
      <c r="F649" s="39">
        <v>44245</v>
      </c>
      <c r="G649" s="24">
        <v>57011200</v>
      </c>
      <c r="H649" s="23">
        <v>5.0000000000000001E-3</v>
      </c>
      <c r="I649" s="39">
        <v>44256</v>
      </c>
      <c r="J649" s="39">
        <v>44286</v>
      </c>
      <c r="K649" s="24">
        <f t="shared" si="44"/>
        <v>31</v>
      </c>
      <c r="L649" s="24">
        <f t="shared" si="45"/>
        <v>24210</v>
      </c>
      <c r="M649" s="24">
        <v>57011200</v>
      </c>
    </row>
    <row r="650" spans="1:13" s="48" customFormat="1" outlineLevel="2">
      <c r="A650" s="39" t="s">
        <v>293</v>
      </c>
      <c r="B650" s="40" t="s">
        <v>53</v>
      </c>
      <c r="C650" s="41" t="s">
        <v>132</v>
      </c>
      <c r="D650" s="40" t="s">
        <v>133</v>
      </c>
      <c r="E650" s="24">
        <v>3640000</v>
      </c>
      <c r="F650" s="39">
        <v>44244</v>
      </c>
      <c r="G650" s="24">
        <v>3640000</v>
      </c>
      <c r="H650" s="23">
        <v>5.0000000000000001E-3</v>
      </c>
      <c r="I650" s="39">
        <v>44256</v>
      </c>
      <c r="J650" s="39">
        <v>44286</v>
      </c>
      <c r="K650" s="24">
        <f t="shared" si="44"/>
        <v>31</v>
      </c>
      <c r="L650" s="24">
        <f t="shared" si="45"/>
        <v>1546</v>
      </c>
      <c r="M650" s="24">
        <v>3640000</v>
      </c>
    </row>
    <row r="651" spans="1:13" s="48" customFormat="1" outlineLevel="2">
      <c r="A651" s="39" t="s">
        <v>293</v>
      </c>
      <c r="B651" s="40" t="s">
        <v>54</v>
      </c>
      <c r="C651" s="41" t="s">
        <v>55</v>
      </c>
      <c r="D651" s="40" t="s">
        <v>56</v>
      </c>
      <c r="E651" s="24">
        <v>17276700</v>
      </c>
      <c r="F651" s="39">
        <v>43878</v>
      </c>
      <c r="G651" s="24">
        <v>13821360</v>
      </c>
      <c r="H651" s="23">
        <v>5.0000000000000001E-3</v>
      </c>
      <c r="I651" s="39">
        <v>44256</v>
      </c>
      <c r="J651" s="39">
        <v>44269</v>
      </c>
      <c r="K651" s="24">
        <f t="shared" si="44"/>
        <v>14</v>
      </c>
      <c r="L651" s="24">
        <f t="shared" si="45"/>
        <v>2651</v>
      </c>
      <c r="M651" s="24">
        <v>13533415</v>
      </c>
    </row>
    <row r="652" spans="1:13" s="48" customFormat="1" outlineLevel="2">
      <c r="A652" s="39" t="s">
        <v>293</v>
      </c>
      <c r="B652" s="40" t="s">
        <v>54</v>
      </c>
      <c r="C652" s="41" t="s">
        <v>55</v>
      </c>
      <c r="D652" s="40"/>
      <c r="E652" s="24"/>
      <c r="F652" s="39"/>
      <c r="G652" s="24">
        <v>13533415</v>
      </c>
      <c r="H652" s="23">
        <v>5.0000000000000001E-3</v>
      </c>
      <c r="I652" s="39">
        <v>44270</v>
      </c>
      <c r="J652" s="39">
        <v>44286</v>
      </c>
      <c r="K652" s="24">
        <f t="shared" si="44"/>
        <v>17</v>
      </c>
      <c r="L652" s="24">
        <f t="shared" si="45"/>
        <v>3152</v>
      </c>
      <c r="M652" s="24"/>
    </row>
    <row r="653" spans="1:13" s="48" customFormat="1" outlineLevel="2">
      <c r="A653" s="39" t="s">
        <v>293</v>
      </c>
      <c r="B653" s="40" t="s">
        <v>57</v>
      </c>
      <c r="C653" s="41" t="s">
        <v>132</v>
      </c>
      <c r="D653" s="40" t="s">
        <v>133</v>
      </c>
      <c r="E653" s="24">
        <v>7500000</v>
      </c>
      <c r="F653" s="39">
        <v>44228</v>
      </c>
      <c r="G653" s="24">
        <v>7500000</v>
      </c>
      <c r="H653" s="23">
        <v>5.0000000000000001E-3</v>
      </c>
      <c r="I653" s="39">
        <v>44256</v>
      </c>
      <c r="J653" s="39">
        <v>44286</v>
      </c>
      <c r="K653" s="24">
        <f t="shared" si="44"/>
        <v>31</v>
      </c>
      <c r="L653" s="24">
        <f t="shared" si="45"/>
        <v>3185</v>
      </c>
      <c r="M653" s="24">
        <v>7500000</v>
      </c>
    </row>
    <row r="654" spans="1:13" s="48" customFormat="1" outlineLevel="2">
      <c r="A654" s="39" t="s">
        <v>293</v>
      </c>
      <c r="B654" s="40" t="s">
        <v>58</v>
      </c>
      <c r="C654" s="41" t="s">
        <v>132</v>
      </c>
      <c r="D654" s="40" t="s">
        <v>133</v>
      </c>
      <c r="E654" s="24">
        <v>7490000</v>
      </c>
      <c r="F654" s="39">
        <v>44235</v>
      </c>
      <c r="G654" s="24">
        <v>7490000</v>
      </c>
      <c r="H654" s="23">
        <v>5.0000000000000001E-3</v>
      </c>
      <c r="I654" s="39">
        <v>44256</v>
      </c>
      <c r="J654" s="39">
        <v>44286</v>
      </c>
      <c r="K654" s="24">
        <f t="shared" si="44"/>
        <v>31</v>
      </c>
      <c r="L654" s="24">
        <f t="shared" si="45"/>
        <v>3181</v>
      </c>
      <c r="M654" s="24">
        <v>7490000</v>
      </c>
    </row>
    <row r="655" spans="1:13" s="48" customFormat="1" outlineLevel="2">
      <c r="A655" s="39" t="s">
        <v>293</v>
      </c>
      <c r="B655" s="40" t="s">
        <v>99</v>
      </c>
      <c r="C655" s="41" t="s">
        <v>132</v>
      </c>
      <c r="D655" s="40" t="s">
        <v>133</v>
      </c>
      <c r="E655" s="24">
        <v>6670000</v>
      </c>
      <c r="F655" s="39">
        <v>44252</v>
      </c>
      <c r="G655" s="24">
        <v>6670000</v>
      </c>
      <c r="H655" s="23">
        <v>5.0000000000000001E-3</v>
      </c>
      <c r="I655" s="39">
        <v>44256</v>
      </c>
      <c r="J655" s="39">
        <v>44286</v>
      </c>
      <c r="K655" s="24">
        <f t="shared" si="44"/>
        <v>31</v>
      </c>
      <c r="L655" s="24">
        <f t="shared" si="45"/>
        <v>2832</v>
      </c>
      <c r="M655" s="24">
        <v>6670000</v>
      </c>
    </row>
    <row r="656" spans="1:13" s="48" customFormat="1" outlineLevel="2">
      <c r="A656" s="39" t="s">
        <v>293</v>
      </c>
      <c r="B656" s="40" t="s">
        <v>100</v>
      </c>
      <c r="C656" s="41" t="s">
        <v>20</v>
      </c>
      <c r="D656" s="40" t="s">
        <v>21</v>
      </c>
      <c r="E656" s="24">
        <v>199200000</v>
      </c>
      <c r="F656" s="39">
        <v>44259</v>
      </c>
      <c r="G656" s="24">
        <v>199200000</v>
      </c>
      <c r="H656" s="23">
        <v>3.0000000000000001E-3</v>
      </c>
      <c r="I656" s="39">
        <v>44259</v>
      </c>
      <c r="J656" s="39">
        <v>44286</v>
      </c>
      <c r="K656" s="24">
        <f t="shared" si="44"/>
        <v>28</v>
      </c>
      <c r="L656" s="24">
        <f t="shared" si="45"/>
        <v>45843</v>
      </c>
      <c r="M656" s="24">
        <v>199200000</v>
      </c>
    </row>
    <row r="657" spans="1:16" s="48" customFormat="1" outlineLevel="2">
      <c r="A657" s="39" t="s">
        <v>293</v>
      </c>
      <c r="B657" s="40" t="s">
        <v>101</v>
      </c>
      <c r="C657" s="41" t="s">
        <v>294</v>
      </c>
      <c r="D657" s="40" t="s">
        <v>295</v>
      </c>
      <c r="E657" s="24">
        <v>39703444</v>
      </c>
      <c r="F657" s="39">
        <v>44270</v>
      </c>
      <c r="G657" s="24">
        <v>39703444</v>
      </c>
      <c r="H657" s="23">
        <v>5.0000000000000001E-3</v>
      </c>
      <c r="I657" s="39">
        <v>44270</v>
      </c>
      <c r="J657" s="39">
        <v>44286</v>
      </c>
      <c r="K657" s="24">
        <f t="shared" si="44"/>
        <v>17</v>
      </c>
      <c r="L657" s="24">
        <f t="shared" si="45"/>
        <v>9246</v>
      </c>
      <c r="M657" s="24">
        <v>39703444</v>
      </c>
    </row>
    <row r="658" spans="1:16" s="48" customFormat="1" outlineLevel="2">
      <c r="A658" s="39" t="s">
        <v>293</v>
      </c>
      <c r="B658" s="40" t="s">
        <v>102</v>
      </c>
      <c r="C658" s="41" t="s">
        <v>115</v>
      </c>
      <c r="D658" s="40" t="s">
        <v>116</v>
      </c>
      <c r="E658" s="24">
        <v>27770000</v>
      </c>
      <c r="F658" s="39">
        <v>44273</v>
      </c>
      <c r="G658" s="24">
        <v>27770000</v>
      </c>
      <c r="H658" s="23">
        <v>5.0000000000000001E-3</v>
      </c>
      <c r="I658" s="39">
        <v>44273</v>
      </c>
      <c r="J658" s="39">
        <v>44286</v>
      </c>
      <c r="K658" s="24">
        <f t="shared" si="44"/>
        <v>14</v>
      </c>
      <c r="L658" s="24">
        <f t="shared" si="45"/>
        <v>5326</v>
      </c>
      <c r="M658" s="24">
        <v>27770000</v>
      </c>
    </row>
    <row r="659" spans="1:16" s="48" customFormat="1" outlineLevel="2">
      <c r="A659" s="39" t="s">
        <v>293</v>
      </c>
      <c r="B659" s="40" t="s">
        <v>103</v>
      </c>
      <c r="C659" s="41" t="s">
        <v>132</v>
      </c>
      <c r="D659" s="40" t="s">
        <v>133</v>
      </c>
      <c r="E659" s="24">
        <v>2620000</v>
      </c>
      <c r="F659" s="39">
        <v>44280</v>
      </c>
      <c r="G659" s="24">
        <v>2620000</v>
      </c>
      <c r="H659" s="23">
        <v>5.0000000000000001E-3</v>
      </c>
      <c r="I659" s="39">
        <v>44280</v>
      </c>
      <c r="J659" s="39">
        <v>44286</v>
      </c>
      <c r="K659" s="24">
        <f t="shared" si="44"/>
        <v>7</v>
      </c>
      <c r="L659" s="24">
        <f t="shared" si="45"/>
        <v>251</v>
      </c>
      <c r="M659" s="24">
        <v>2620000</v>
      </c>
    </row>
    <row r="660" spans="1:16" s="48" customFormat="1" outlineLevel="2">
      <c r="A660" s="39" t="s">
        <v>293</v>
      </c>
      <c r="B660" s="40" t="s">
        <v>104</v>
      </c>
      <c r="C660" s="41" t="s">
        <v>132</v>
      </c>
      <c r="D660" s="40" t="s">
        <v>133</v>
      </c>
      <c r="E660" s="24">
        <v>6350000</v>
      </c>
      <c r="F660" s="39">
        <v>44265</v>
      </c>
      <c r="G660" s="24">
        <v>6350000</v>
      </c>
      <c r="H660" s="23">
        <v>5.0000000000000001E-3</v>
      </c>
      <c r="I660" s="39">
        <v>44265</v>
      </c>
      <c r="J660" s="39">
        <v>44286</v>
      </c>
      <c r="K660" s="24">
        <f t="shared" si="44"/>
        <v>22</v>
      </c>
      <c r="L660" s="24">
        <f t="shared" si="45"/>
        <v>1914</v>
      </c>
      <c r="M660" s="24">
        <v>6350000</v>
      </c>
    </row>
    <row r="661" spans="1:16" s="48" customFormat="1" outlineLevel="2">
      <c r="A661" s="39" t="s">
        <v>293</v>
      </c>
      <c r="B661" s="40" t="s">
        <v>105</v>
      </c>
      <c r="C661" s="41" t="s">
        <v>132</v>
      </c>
      <c r="D661" s="40" t="s">
        <v>133</v>
      </c>
      <c r="E661" s="24">
        <v>1870000</v>
      </c>
      <c r="F661" s="39">
        <v>44280</v>
      </c>
      <c r="G661" s="24">
        <v>1870000</v>
      </c>
      <c r="H661" s="23">
        <v>5.0000000000000001E-3</v>
      </c>
      <c r="I661" s="39">
        <v>44280</v>
      </c>
      <c r="J661" s="39">
        <v>44286</v>
      </c>
      <c r="K661" s="24">
        <f t="shared" si="44"/>
        <v>7</v>
      </c>
      <c r="L661" s="24">
        <f t="shared" si="45"/>
        <v>179</v>
      </c>
      <c r="M661" s="24">
        <v>1870000</v>
      </c>
    </row>
    <row r="662" spans="1:16" s="48" customFormat="1" outlineLevel="2">
      <c r="A662" s="39" t="s">
        <v>293</v>
      </c>
      <c r="B662" s="40" t="s">
        <v>59</v>
      </c>
      <c r="C662" s="41" t="s">
        <v>121</v>
      </c>
      <c r="D662" s="40" t="s">
        <v>122</v>
      </c>
      <c r="E662" s="24">
        <v>73000000</v>
      </c>
      <c r="F662" s="39">
        <v>43896</v>
      </c>
      <c r="G662" s="24">
        <v>73000000</v>
      </c>
      <c r="H662" s="23">
        <v>5.0000000000000001E-3</v>
      </c>
      <c r="I662" s="39">
        <v>44256</v>
      </c>
      <c r="J662" s="39">
        <v>44286</v>
      </c>
      <c r="K662" s="24">
        <f t="shared" si="44"/>
        <v>31</v>
      </c>
      <c r="L662" s="24">
        <f t="shared" si="45"/>
        <v>31000</v>
      </c>
      <c r="M662" s="24">
        <v>73000000</v>
      </c>
    </row>
    <row r="663" spans="1:16" s="48" customFormat="1" outlineLevel="2">
      <c r="A663" s="39" t="s">
        <v>293</v>
      </c>
      <c r="B663" s="40" t="s">
        <v>62</v>
      </c>
      <c r="C663" s="41" t="s">
        <v>55</v>
      </c>
      <c r="D663" s="40" t="s">
        <v>56</v>
      </c>
      <c r="E663" s="24">
        <v>19997321</v>
      </c>
      <c r="F663" s="39">
        <v>43948</v>
      </c>
      <c r="G663" s="24">
        <v>19997321</v>
      </c>
      <c r="H663" s="23">
        <v>5.0000000000000001E-3</v>
      </c>
      <c r="I663" s="39">
        <v>44256</v>
      </c>
      <c r="J663" s="39">
        <v>44286</v>
      </c>
      <c r="K663" s="24">
        <f t="shared" si="44"/>
        <v>31</v>
      </c>
      <c r="L663" s="24">
        <f t="shared" si="45"/>
        <v>8492</v>
      </c>
      <c r="M663" s="24">
        <v>19997321</v>
      </c>
    </row>
    <row r="664" spans="1:16" s="48" customFormat="1" outlineLevel="2">
      <c r="A664" s="39" t="s">
        <v>293</v>
      </c>
      <c r="B664" s="40" t="s">
        <v>63</v>
      </c>
      <c r="C664" s="41" t="s">
        <v>20</v>
      </c>
      <c r="D664" s="40" t="s">
        <v>21</v>
      </c>
      <c r="E664" s="24">
        <v>242400000</v>
      </c>
      <c r="F664" s="39">
        <v>43930</v>
      </c>
      <c r="G664" s="24">
        <v>242400000</v>
      </c>
      <c r="H664" s="23">
        <v>3.0000000000000001E-3</v>
      </c>
      <c r="I664" s="39">
        <v>44256</v>
      </c>
      <c r="J664" s="39">
        <v>44286</v>
      </c>
      <c r="K664" s="24">
        <f t="shared" si="44"/>
        <v>31</v>
      </c>
      <c r="L664" s="24">
        <f t="shared" si="45"/>
        <v>61762</v>
      </c>
      <c r="M664" s="24">
        <v>242400000</v>
      </c>
    </row>
    <row r="665" spans="1:16" s="48" customFormat="1" outlineLevel="2">
      <c r="A665" s="39" t="s">
        <v>293</v>
      </c>
      <c r="B665" s="40" t="s">
        <v>64</v>
      </c>
      <c r="C665" s="41" t="s">
        <v>20</v>
      </c>
      <c r="D665" s="40" t="s">
        <v>21</v>
      </c>
      <c r="E665" s="24">
        <v>156000000</v>
      </c>
      <c r="F665" s="39">
        <v>43958</v>
      </c>
      <c r="G665" s="24">
        <v>156000000</v>
      </c>
      <c r="H665" s="23">
        <v>3.0000000000000001E-3</v>
      </c>
      <c r="I665" s="39">
        <v>44256</v>
      </c>
      <c r="J665" s="39">
        <v>44286</v>
      </c>
      <c r="K665" s="24">
        <f t="shared" si="44"/>
        <v>31</v>
      </c>
      <c r="L665" s="24">
        <f t="shared" si="45"/>
        <v>39748</v>
      </c>
      <c r="M665" s="24">
        <v>156000000</v>
      </c>
    </row>
    <row r="666" spans="1:16" s="48" customFormat="1" outlineLevel="2">
      <c r="A666" s="39" t="s">
        <v>293</v>
      </c>
      <c r="B666" s="40" t="s">
        <v>65</v>
      </c>
      <c r="C666" s="41" t="s">
        <v>294</v>
      </c>
      <c r="D666" s="40" t="s">
        <v>295</v>
      </c>
      <c r="E666" s="24">
        <v>33840000</v>
      </c>
      <c r="F666" s="39">
        <v>43986</v>
      </c>
      <c r="G666" s="24">
        <v>33840000</v>
      </c>
      <c r="H666" s="23">
        <v>5.0000000000000001E-3</v>
      </c>
      <c r="I666" s="39">
        <v>44256</v>
      </c>
      <c r="J666" s="39">
        <v>44286</v>
      </c>
      <c r="K666" s="24">
        <f t="shared" si="44"/>
        <v>31</v>
      </c>
      <c r="L666" s="24">
        <f t="shared" si="45"/>
        <v>14370</v>
      </c>
      <c r="M666" s="24">
        <v>33840000</v>
      </c>
    </row>
    <row r="667" spans="1:16" s="48" customFormat="1" outlineLevel="2">
      <c r="A667" s="39" t="s">
        <v>293</v>
      </c>
      <c r="B667" s="40" t="s">
        <v>68</v>
      </c>
      <c r="C667" s="41" t="s">
        <v>294</v>
      </c>
      <c r="D667" s="40" t="s">
        <v>295</v>
      </c>
      <c r="E667" s="24">
        <v>134396612</v>
      </c>
      <c r="F667" s="39">
        <v>43986</v>
      </c>
      <c r="G667" s="24">
        <v>134396612</v>
      </c>
      <c r="H667" s="23">
        <v>5.0000000000000001E-3</v>
      </c>
      <c r="I667" s="39">
        <v>44256</v>
      </c>
      <c r="J667" s="39">
        <v>44286</v>
      </c>
      <c r="K667" s="24">
        <f t="shared" si="44"/>
        <v>31</v>
      </c>
      <c r="L667" s="24">
        <f t="shared" si="45"/>
        <v>57073</v>
      </c>
      <c r="M667" s="24">
        <v>134396612</v>
      </c>
    </row>
    <row r="668" spans="1:16" s="48" customFormat="1" outlineLevel="1">
      <c r="A668" s="42" t="s">
        <v>296</v>
      </c>
      <c r="B668" s="43"/>
      <c r="C668" s="44"/>
      <c r="D668" s="43"/>
      <c r="E668" s="45">
        <f>SUBTOTAL(9,E627:E667)</f>
        <v>2052772143</v>
      </c>
      <c r="F668" s="46"/>
      <c r="G668" s="45"/>
      <c r="H668" s="47"/>
      <c r="I668" s="46"/>
      <c r="J668" s="46"/>
      <c r="K668" s="45"/>
      <c r="L668" s="45">
        <f>SUBTOTAL(9,L627:L667)</f>
        <v>713065</v>
      </c>
      <c r="M668" s="45">
        <f>SUBTOTAL(9,M627:M667)</f>
        <v>2048725788</v>
      </c>
    </row>
    <row r="669" spans="1:16" s="55" customFormat="1" outlineLevel="1">
      <c r="A669" s="49"/>
      <c r="B669" s="50"/>
      <c r="C669" s="51"/>
      <c r="D669" s="50"/>
      <c r="E669" s="52"/>
      <c r="F669" s="53"/>
      <c r="G669" s="52"/>
      <c r="H669" s="54"/>
      <c r="I669" s="53"/>
      <c r="J669" s="53"/>
      <c r="K669" s="52"/>
      <c r="L669" s="52"/>
      <c r="M669" s="52"/>
    </row>
    <row r="670" spans="1:16" s="48" customFormat="1">
      <c r="A670" s="46" t="s">
        <v>297</v>
      </c>
      <c r="B670" s="43"/>
      <c r="C670" s="44"/>
      <c r="D670" s="43"/>
      <c r="E670" s="45">
        <f>SUBTOTAL(9,E4:E667)</f>
        <v>25900358264</v>
      </c>
      <c r="F670" s="46"/>
      <c r="G670" s="45"/>
      <c r="H670" s="47"/>
      <c r="I670" s="46"/>
      <c r="J670" s="46"/>
      <c r="K670" s="45"/>
      <c r="L670" s="45">
        <f>SUBTOTAL(9,L4:L667)</f>
        <v>9868928</v>
      </c>
      <c r="M670" s="45">
        <f>SUBTOTAL(9,M4:M667)</f>
        <v>25698119678</v>
      </c>
    </row>
    <row r="671" spans="1:16" s="48" customForma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</row>
    <row r="672" spans="1:16">
      <c r="A672" s="56" t="s">
        <v>298</v>
      </c>
      <c r="B672" s="56"/>
      <c r="E672" s="57" t="s">
        <v>374</v>
      </c>
      <c r="G672" s="27"/>
      <c r="H672" s="58" t="s">
        <v>300</v>
      </c>
      <c r="I672" s="59"/>
    </row>
    <row r="673" spans="1:16" s="48" customForma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</row>
    <row r="674" spans="1:16" s="48" customForma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</row>
    <row r="675" spans="1:16" s="48" customForma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</row>
    <row r="676" spans="1:16" s="48" customForma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</row>
    <row r="677" spans="1:16" s="48" customForma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</row>
    <row r="678" spans="1:16" s="48" customForma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</row>
    <row r="679" spans="1:16" s="48" customForma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</row>
    <row r="680" spans="1:16" s="48" customForma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</row>
    <row r="681" spans="1:16" s="48" customForma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</row>
    <row r="682" spans="1:16" s="48" customForma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</row>
    <row r="683" spans="1:16" s="48" customForma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</row>
    <row r="684" spans="1:16" s="48" customForma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</row>
    <row r="685" spans="1:16" s="48" customForma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</row>
    <row r="686" spans="1:16" s="48" customForma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</row>
    <row r="687" spans="1:16" s="48" customForma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</row>
    <row r="688" spans="1:16" s="48" customForma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</row>
    <row r="689" spans="1:16" s="48" customForma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</row>
    <row r="690" spans="1:16" s="48" customForma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</row>
    <row r="691" spans="1:16" s="48" customForma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</row>
    <row r="692" spans="1:16" s="48" customForma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</row>
    <row r="693" spans="1:16" s="48" customForma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</row>
    <row r="694" spans="1:16" s="48" customForma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</row>
    <row r="695" spans="1:16" s="48" customForma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</row>
    <row r="696" spans="1:16" s="48" customForma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</row>
    <row r="697" spans="1:16" s="48" customForma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</row>
    <row r="698" spans="1:16" s="48" customForma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</row>
    <row r="699" spans="1:16" s="48" customForma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</row>
    <row r="700" spans="1:16" s="48" customForma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</row>
    <row r="701" spans="1:16" s="48" customForma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</row>
    <row r="702" spans="1:16" s="48" customForma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</row>
    <row r="703" spans="1:16" s="48" customForma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</row>
    <row r="704" spans="1:16" s="48" customForma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</row>
    <row r="705" spans="1:16" s="48" customForma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</row>
    <row r="706" spans="1:16" s="48" customForma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</row>
    <row r="707" spans="1:16" s="48" customForma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</row>
    <row r="708" spans="1:16" s="48" customForma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</row>
    <row r="709" spans="1:16" s="48" customForma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</row>
    <row r="710" spans="1:16" s="48" customForma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</row>
    <row r="711" spans="1:16" s="48" customForma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</row>
    <row r="712" spans="1:16" s="48" customForma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</row>
    <row r="713" spans="1:16" s="48" customForma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</row>
    <row r="714" spans="1:16" s="48" customForma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</row>
    <row r="715" spans="1:16" s="48" customForma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</row>
    <row r="716" spans="1:16" s="48" customForma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</row>
    <row r="717" spans="1:16" s="48" customForma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</row>
    <row r="718" spans="1:16" s="48" customForma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</row>
    <row r="719" spans="1:16" s="48" customForma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</row>
    <row r="720" spans="1:16" s="48" customForma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</row>
    <row r="721" spans="1:16" s="48" customForma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</row>
    <row r="722" spans="1:16" s="48" customForma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</row>
    <row r="723" spans="1:16" s="48" customForma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</row>
    <row r="724" spans="1:16" s="48" customForma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</row>
    <row r="725" spans="1:16" s="48" customForma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</row>
    <row r="726" spans="1:16" s="48" customForma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</row>
    <row r="727" spans="1:16" s="48" customForma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</row>
    <row r="728" spans="1:16" s="48" customForma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</row>
    <row r="729" spans="1:16" s="48" customForma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</row>
    <row r="730" spans="1:16" s="48" customForma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</row>
    <row r="731" spans="1:16" s="48" customForma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</row>
    <row r="732" spans="1:16" s="48" customForma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</row>
    <row r="733" spans="1:16" s="48" customForma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</row>
    <row r="734" spans="1:16" s="48" customForma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</row>
    <row r="735" spans="1:16" s="48" customForma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</row>
    <row r="736" spans="1:16" s="48" customForma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</row>
    <row r="737" spans="1:16" s="48" customForma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</row>
    <row r="738" spans="1:16" s="48" customForma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</row>
    <row r="739" spans="1:16" s="48" customForma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</row>
    <row r="740" spans="1:16" s="48" customForma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</row>
    <row r="741" spans="1:16" s="48" customForma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</row>
    <row r="742" spans="1:16" s="48" customForma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</row>
    <row r="743" spans="1:16" s="48" customForma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</row>
    <row r="744" spans="1:16" s="48" customForma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</row>
    <row r="745" spans="1:16" s="48" customForma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</row>
    <row r="746" spans="1:16" s="48" customForma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</row>
    <row r="747" spans="1:16" s="48" customForma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</row>
    <row r="748" spans="1:16" s="48" customForma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</row>
    <row r="749" spans="1:16" s="48" customForma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</row>
    <row r="750" spans="1:16" s="48" customForma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</row>
    <row r="751" spans="1:16" s="48" customForma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</row>
    <row r="752" spans="1:16" s="48" customForma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</row>
    <row r="753" spans="1:16" s="48" customForma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</row>
    <row r="754" spans="1:16" s="48" customForma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</row>
    <row r="755" spans="1:16" s="48" customForma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</row>
    <row r="756" spans="1:16" s="48" customForma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</row>
    <row r="757" spans="1:16" s="48" customForma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</row>
    <row r="758" spans="1:16" s="48" customForma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</row>
    <row r="759" spans="1:16" s="48" customForma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</row>
    <row r="760" spans="1:16" s="48" customForma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</row>
    <row r="761" spans="1:16" s="48" customForma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</row>
    <row r="762" spans="1:16" s="48" customForma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</row>
    <row r="763" spans="1:16" s="48" customForma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</row>
    <row r="764" spans="1:16" s="48" customForma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</row>
    <row r="765" spans="1:16" s="48" customForma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</row>
    <row r="766" spans="1:16" s="48" customForma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</row>
    <row r="767" spans="1:16" s="48" customForma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</row>
    <row r="768" spans="1:16" s="48" customForma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</row>
    <row r="769" spans="1:16" s="48" customForma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</row>
    <row r="770" spans="1:16" s="48" customForma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</row>
    <row r="771" spans="1:16" s="48" customForma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</row>
    <row r="772" spans="1:16" s="48" customForma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</row>
    <row r="773" spans="1:16" s="48" customForma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</row>
    <row r="774" spans="1:16" s="48" customForma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</row>
    <row r="775" spans="1:16" s="48" customForma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</row>
    <row r="776" spans="1:16" s="48" customForma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</row>
    <row r="777" spans="1:16" s="48" customForma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</row>
    <row r="778" spans="1:16" s="48" customForma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</row>
    <row r="779" spans="1:16" s="48" customForma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</row>
    <row r="780" spans="1:16" s="48" customForma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</row>
    <row r="781" spans="1:16" s="48" customForma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</row>
    <row r="782" spans="1:16" s="48" customForma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</row>
    <row r="783" spans="1:16" s="48" customForma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</row>
    <row r="784" spans="1:16" s="48" customForma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</row>
    <row r="785" spans="1:16" s="48" customForma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</row>
    <row r="786" spans="1:16" s="48" customForma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</row>
    <row r="787" spans="1:16" s="48" customForma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</row>
    <row r="788" spans="1:16" s="48" customForma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</row>
    <row r="789" spans="1:16" s="48" customForma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</row>
    <row r="790" spans="1:16" s="48" customForma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</row>
    <row r="791" spans="1:16" s="48" customForma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</row>
    <row r="792" spans="1:16" s="48" customForma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</row>
    <row r="793" spans="1:16" s="48" customForma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</row>
    <row r="794" spans="1:16" s="48" customForma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</row>
    <row r="795" spans="1:16" s="48" customForma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</row>
    <row r="796" spans="1:16" s="48" customForma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</row>
    <row r="797" spans="1:16" s="48" customForma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</row>
    <row r="798" spans="1:16" s="48" customForma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</row>
    <row r="799" spans="1:16" s="48" customForma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</row>
    <row r="800" spans="1:16" s="48" customForma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</row>
    <row r="801" spans="1:16" s="48" customForma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</row>
    <row r="802" spans="1:16" s="48" customForma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</row>
    <row r="803" spans="1:16" s="48" customForma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</row>
    <row r="804" spans="1:16" s="48" customForma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</row>
    <row r="805" spans="1:16" s="48" customForma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</row>
    <row r="806" spans="1:16" s="48" customForma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</row>
    <row r="807" spans="1:16" s="48" customForma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</row>
    <row r="808" spans="1:16" s="48" customForma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</row>
    <row r="809" spans="1:16" s="48" customForma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</row>
    <row r="810" spans="1:16" s="48" customForma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</row>
    <row r="811" spans="1:16" s="48" customForma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</row>
    <row r="812" spans="1:16" s="48" customForma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</row>
    <row r="813" spans="1:16" s="48" customForma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</row>
    <row r="814" spans="1:16" s="48" customForma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</row>
    <row r="815" spans="1:16" s="48" customForma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</row>
    <row r="816" spans="1:16" s="48" customForma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</row>
    <row r="817" spans="1:16" s="48" customForma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</row>
    <row r="818" spans="1:16" s="48" customForma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</row>
    <row r="819" spans="1:16" s="48" customForma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</row>
    <row r="820" spans="1:16" s="48" customForma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</row>
    <row r="821" spans="1:16" s="48" customForma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</row>
    <row r="822" spans="1:16" s="48" customForma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</row>
    <row r="823" spans="1:16" s="48" customForma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</row>
    <row r="824" spans="1:16" s="48" customForma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</row>
    <row r="825" spans="1:16" s="48" customForma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</row>
    <row r="826" spans="1:16" s="48" customForma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</row>
    <row r="827" spans="1:16" s="48" customForma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</row>
    <row r="828" spans="1:16" s="48" customForma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</row>
    <row r="829" spans="1:16" s="48" customForma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</row>
    <row r="830" spans="1:16" s="48" customForma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</row>
    <row r="831" spans="1:16" s="48" customForma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</row>
    <row r="832" spans="1:16" s="48" customForma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</row>
    <row r="833" spans="1:16" s="48" customForma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</row>
    <row r="834" spans="1:16" s="48" customForma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</row>
    <row r="835" spans="1:16" s="48" customForma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</row>
    <row r="836" spans="1:16" s="48" customForma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</row>
    <row r="837" spans="1:16" s="48" customForma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</row>
    <row r="838" spans="1:16" s="48" customForma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</row>
    <row r="839" spans="1:16" s="48" customForma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</row>
    <row r="840" spans="1:16" s="48" customForma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</row>
    <row r="841" spans="1:16" s="48" customForma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</row>
    <row r="842" spans="1:16" s="48" customForma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</row>
    <row r="843" spans="1:16" s="48" customForma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</row>
    <row r="844" spans="1:16" s="48" customForma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</row>
    <row r="845" spans="1:16" s="48" customForma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</row>
  </sheetData>
  <autoFilter ref="A3:M668" xr:uid="{00000000-0009-0000-0000-000000000000}"/>
  <phoneticPr fontId="2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EE32-FF11-4FD3-8611-4429199498E5}">
  <dimension ref="A1:P846"/>
  <sheetViews>
    <sheetView zoomScaleNormal="100" workbookViewId="0">
      <selection activeCell="C8" sqref="C8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8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6384" width="5.375" style="1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A2" s="27"/>
      <c r="B2" s="28" t="s">
        <v>0</v>
      </c>
      <c r="C2" s="29">
        <v>44316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</row>
    <row r="3" spans="1:13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44287</v>
      </c>
      <c r="J4" s="39">
        <v>44316</v>
      </c>
      <c r="K4" s="24">
        <f t="shared" ref="K4:K39" si="0">J4-I4+1</f>
        <v>30</v>
      </c>
      <c r="L4" s="24">
        <f t="shared" ref="L4:L39" si="1">ROUND(G4*H4*K4/365,0)</f>
        <v>66781</v>
      </c>
      <c r="M4" s="24">
        <v>162500000</v>
      </c>
    </row>
    <row r="5" spans="1:13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44287</v>
      </c>
      <c r="J5" s="39">
        <v>44316</v>
      </c>
      <c r="K5" s="24">
        <f t="shared" si="0"/>
        <v>30</v>
      </c>
      <c r="L5" s="24">
        <f t="shared" si="1"/>
        <v>592</v>
      </c>
      <c r="M5" s="24">
        <v>2400000</v>
      </c>
    </row>
    <row r="6" spans="1:13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44287</v>
      </c>
      <c r="J6" s="39">
        <v>44316</v>
      </c>
      <c r="K6" s="24">
        <f t="shared" si="0"/>
        <v>30</v>
      </c>
      <c r="L6" s="24">
        <f t="shared" si="1"/>
        <v>3029</v>
      </c>
      <c r="M6" s="24">
        <v>7370000</v>
      </c>
    </row>
    <row r="7" spans="1:13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44287</v>
      </c>
      <c r="J7" s="39">
        <v>44316</v>
      </c>
      <c r="K7" s="24">
        <f t="shared" si="0"/>
        <v>30</v>
      </c>
      <c r="L7" s="24">
        <f t="shared" si="1"/>
        <v>2421</v>
      </c>
      <c r="M7" s="24">
        <v>5890000</v>
      </c>
    </row>
    <row r="8" spans="1:13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44287</v>
      </c>
      <c r="J8" s="39">
        <v>44316</v>
      </c>
      <c r="K8" s="24">
        <f t="shared" si="0"/>
        <v>30</v>
      </c>
      <c r="L8" s="24">
        <f t="shared" si="1"/>
        <v>1241</v>
      </c>
      <c r="M8" s="24">
        <v>3020000</v>
      </c>
    </row>
    <row r="9" spans="1:13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44287</v>
      </c>
      <c r="J9" s="39">
        <v>44316</v>
      </c>
      <c r="K9" s="24">
        <f t="shared" si="0"/>
        <v>30</v>
      </c>
      <c r="L9" s="24">
        <f t="shared" si="1"/>
        <v>34767</v>
      </c>
      <c r="M9" s="24">
        <v>84600000</v>
      </c>
    </row>
    <row r="10" spans="1:13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44287</v>
      </c>
      <c r="J10" s="39">
        <v>44316</v>
      </c>
      <c r="K10" s="24">
        <f t="shared" si="0"/>
        <v>30</v>
      </c>
      <c r="L10" s="24">
        <f t="shared" si="1"/>
        <v>24658</v>
      </c>
      <c r="M10" s="24">
        <v>60000000</v>
      </c>
    </row>
    <row r="11" spans="1:13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44287</v>
      </c>
      <c r="J11" s="39">
        <v>44316</v>
      </c>
      <c r="K11" s="24">
        <f t="shared" si="0"/>
        <v>30</v>
      </c>
      <c r="L11" s="24">
        <f t="shared" si="1"/>
        <v>39945</v>
      </c>
      <c r="M11" s="24">
        <v>162000000</v>
      </c>
    </row>
    <row r="12" spans="1:13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44287</v>
      </c>
      <c r="J12" s="39">
        <v>44316</v>
      </c>
      <c r="K12" s="24">
        <f t="shared" si="0"/>
        <v>30</v>
      </c>
      <c r="L12" s="24">
        <f t="shared" si="1"/>
        <v>1704</v>
      </c>
      <c r="M12" s="24">
        <v>4147000</v>
      </c>
    </row>
    <row r="13" spans="1:13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44287</v>
      </c>
      <c r="J13" s="39">
        <v>44316</v>
      </c>
      <c r="K13" s="24">
        <f t="shared" si="0"/>
        <v>30</v>
      </c>
      <c r="L13" s="24">
        <f t="shared" si="1"/>
        <v>304</v>
      </c>
      <c r="M13" s="24">
        <v>740000</v>
      </c>
    </row>
    <row r="14" spans="1:13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44287</v>
      </c>
      <c r="J14" s="39">
        <v>44316</v>
      </c>
      <c r="K14" s="24">
        <f t="shared" si="0"/>
        <v>30</v>
      </c>
      <c r="L14" s="24">
        <f t="shared" si="1"/>
        <v>72424</v>
      </c>
      <c r="M14" s="24">
        <v>176232000</v>
      </c>
    </row>
    <row r="15" spans="1:13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44287</v>
      </c>
      <c r="J15" s="39">
        <v>44316</v>
      </c>
      <c r="K15" s="24">
        <f t="shared" si="0"/>
        <v>30</v>
      </c>
      <c r="L15" s="24">
        <f t="shared" si="1"/>
        <v>2642</v>
      </c>
      <c r="M15" s="24">
        <v>6430000</v>
      </c>
    </row>
    <row r="16" spans="1:13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44287</v>
      </c>
      <c r="J16" s="39">
        <v>44316</v>
      </c>
      <c r="K16" s="24">
        <f t="shared" si="0"/>
        <v>30</v>
      </c>
      <c r="L16" s="24">
        <f t="shared" si="1"/>
        <v>2219</v>
      </c>
      <c r="M16" s="24">
        <v>5400000</v>
      </c>
    </row>
    <row r="17" spans="1:13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44287</v>
      </c>
      <c r="J17" s="39">
        <v>44316</v>
      </c>
      <c r="K17" s="24">
        <f t="shared" si="0"/>
        <v>30</v>
      </c>
      <c r="L17" s="24">
        <f t="shared" si="1"/>
        <v>156</v>
      </c>
      <c r="M17" s="24">
        <v>380000</v>
      </c>
    </row>
    <row r="18" spans="1:13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44287</v>
      </c>
      <c r="J18" s="39">
        <v>44316</v>
      </c>
      <c r="K18" s="24">
        <f t="shared" si="0"/>
        <v>30</v>
      </c>
      <c r="L18" s="24">
        <f t="shared" si="1"/>
        <v>986</v>
      </c>
      <c r="M18" s="24">
        <v>2400000</v>
      </c>
    </row>
    <row r="19" spans="1:13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44287</v>
      </c>
      <c r="J19" s="39">
        <v>44316</v>
      </c>
      <c r="K19" s="24">
        <f t="shared" si="0"/>
        <v>30</v>
      </c>
      <c r="L19" s="24">
        <f t="shared" si="1"/>
        <v>411</v>
      </c>
      <c r="M19" s="24">
        <v>1000000</v>
      </c>
    </row>
    <row r="20" spans="1:13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44287</v>
      </c>
      <c r="J20" s="39">
        <v>44316</v>
      </c>
      <c r="K20" s="24">
        <f t="shared" si="0"/>
        <v>30</v>
      </c>
      <c r="L20" s="24">
        <f t="shared" si="1"/>
        <v>4110</v>
      </c>
      <c r="M20" s="24">
        <v>10000000</v>
      </c>
    </row>
    <row r="21" spans="1:13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44287</v>
      </c>
      <c r="J21" s="39">
        <v>44316</v>
      </c>
      <c r="K21" s="24">
        <f t="shared" si="0"/>
        <v>30</v>
      </c>
      <c r="L21" s="24">
        <f t="shared" si="1"/>
        <v>102740</v>
      </c>
      <c r="M21" s="24">
        <v>250000000</v>
      </c>
    </row>
    <row r="22" spans="1:13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44287</v>
      </c>
      <c r="J22" s="39">
        <v>44316</v>
      </c>
      <c r="K22" s="24">
        <f t="shared" si="0"/>
        <v>30</v>
      </c>
      <c r="L22" s="24">
        <f t="shared" si="1"/>
        <v>82192</v>
      </c>
      <c r="M22" s="24">
        <v>200000000</v>
      </c>
    </row>
    <row r="23" spans="1:13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44287</v>
      </c>
      <c r="J23" s="39">
        <v>44316</v>
      </c>
      <c r="K23" s="24">
        <f t="shared" si="0"/>
        <v>30</v>
      </c>
      <c r="L23" s="24">
        <f t="shared" si="1"/>
        <v>3534</v>
      </c>
      <c r="M23" s="24">
        <v>8600000</v>
      </c>
    </row>
    <row r="24" spans="1:13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44287</v>
      </c>
      <c r="J24" s="39">
        <v>44316</v>
      </c>
      <c r="K24" s="24">
        <f t="shared" si="0"/>
        <v>30</v>
      </c>
      <c r="L24" s="24">
        <f t="shared" si="1"/>
        <v>681</v>
      </c>
      <c r="M24" s="24">
        <v>1657000</v>
      </c>
    </row>
    <row r="25" spans="1:13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44287</v>
      </c>
      <c r="J25" s="39">
        <v>44316</v>
      </c>
      <c r="K25" s="24">
        <f t="shared" si="0"/>
        <v>30</v>
      </c>
      <c r="L25" s="24">
        <f t="shared" si="1"/>
        <v>822</v>
      </c>
      <c r="M25" s="24">
        <v>2000000</v>
      </c>
    </row>
    <row r="26" spans="1:13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44287</v>
      </c>
      <c r="J26" s="39">
        <v>44316</v>
      </c>
      <c r="K26" s="24">
        <f t="shared" si="0"/>
        <v>30</v>
      </c>
      <c r="L26" s="24">
        <f t="shared" si="1"/>
        <v>11753</v>
      </c>
      <c r="M26" s="24">
        <v>28600000</v>
      </c>
    </row>
    <row r="27" spans="1:13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44287</v>
      </c>
      <c r="J27" s="39">
        <v>44316</v>
      </c>
      <c r="K27" s="24">
        <f t="shared" si="0"/>
        <v>30</v>
      </c>
      <c r="L27" s="24">
        <f t="shared" si="1"/>
        <v>247</v>
      </c>
      <c r="M27" s="24">
        <v>600000</v>
      </c>
    </row>
    <row r="28" spans="1:13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44287</v>
      </c>
      <c r="J28" s="39">
        <v>44316</v>
      </c>
      <c r="K28" s="24">
        <f t="shared" si="0"/>
        <v>30</v>
      </c>
      <c r="L28" s="24">
        <f t="shared" si="1"/>
        <v>14795</v>
      </c>
      <c r="M28" s="24">
        <v>60000000</v>
      </c>
    </row>
    <row r="29" spans="1:13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44287</v>
      </c>
      <c r="J29" s="39">
        <v>44316</v>
      </c>
      <c r="K29" s="24">
        <f t="shared" si="0"/>
        <v>30</v>
      </c>
      <c r="L29" s="24">
        <f t="shared" si="1"/>
        <v>32877</v>
      </c>
      <c r="M29" s="24">
        <v>80000000</v>
      </c>
    </row>
    <row r="30" spans="1:13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44287</v>
      </c>
      <c r="J30" s="39">
        <v>44316</v>
      </c>
      <c r="K30" s="24">
        <f t="shared" si="0"/>
        <v>30</v>
      </c>
      <c r="L30" s="24">
        <f t="shared" si="1"/>
        <v>53425</v>
      </c>
      <c r="M30" s="24">
        <v>130000000</v>
      </c>
    </row>
    <row r="31" spans="1:13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44287</v>
      </c>
      <c r="J31" s="39">
        <v>44316</v>
      </c>
      <c r="K31" s="24">
        <f t="shared" si="0"/>
        <v>30</v>
      </c>
      <c r="L31" s="24">
        <f t="shared" si="1"/>
        <v>34484</v>
      </c>
      <c r="M31" s="24">
        <v>83911000</v>
      </c>
    </row>
    <row r="32" spans="1:13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14500000</v>
      </c>
      <c r="H32" s="23">
        <v>5.0000000000000001E-3</v>
      </c>
      <c r="I32" s="39">
        <v>44301</v>
      </c>
      <c r="J32" s="39">
        <v>44316</v>
      </c>
      <c r="K32" s="24">
        <f t="shared" si="0"/>
        <v>16</v>
      </c>
      <c r="L32" s="24">
        <f t="shared" si="1"/>
        <v>3178</v>
      </c>
      <c r="M32" s="24">
        <v>14500000</v>
      </c>
    </row>
    <row r="33" spans="1:13" s="5" customFormat="1" outlineLevel="2">
      <c r="A33" s="39" t="s">
        <v>15</v>
      </c>
      <c r="B33" s="40" t="s">
        <v>103</v>
      </c>
      <c r="C33" s="41" t="s">
        <v>20</v>
      </c>
      <c r="D33" s="40" t="s">
        <v>21</v>
      </c>
      <c r="E33" s="24">
        <v>206400000</v>
      </c>
      <c r="F33" s="39">
        <v>44294</v>
      </c>
      <c r="G33" s="24">
        <v>206400000</v>
      </c>
      <c r="H33" s="23">
        <v>3.0000000000000001E-3</v>
      </c>
      <c r="I33" s="39">
        <v>44294</v>
      </c>
      <c r="J33" s="39">
        <v>44316</v>
      </c>
      <c r="K33" s="24">
        <f t="shared" si="0"/>
        <v>23</v>
      </c>
      <c r="L33" s="24">
        <f t="shared" si="1"/>
        <v>39018</v>
      </c>
      <c r="M33" s="24">
        <v>206400000</v>
      </c>
    </row>
    <row r="34" spans="1:13" s="5" customFormat="1" outlineLevel="2">
      <c r="A34" s="39" t="s">
        <v>15</v>
      </c>
      <c r="B34" s="40" t="s">
        <v>59</v>
      </c>
      <c r="C34" s="41" t="s">
        <v>60</v>
      </c>
      <c r="D34" s="40" t="s">
        <v>61</v>
      </c>
      <c r="E34" s="24">
        <v>20000000</v>
      </c>
      <c r="F34" s="39">
        <v>43922</v>
      </c>
      <c r="G34" s="24">
        <v>20000000</v>
      </c>
      <c r="H34" s="23">
        <v>5.0000000000000001E-3</v>
      </c>
      <c r="I34" s="39">
        <v>44287</v>
      </c>
      <c r="J34" s="39">
        <v>44316</v>
      </c>
      <c r="K34" s="24">
        <f t="shared" si="0"/>
        <v>30</v>
      </c>
      <c r="L34" s="24">
        <f t="shared" si="1"/>
        <v>8219</v>
      </c>
      <c r="M34" s="24">
        <v>20000000</v>
      </c>
    </row>
    <row r="35" spans="1:13" s="5" customFormat="1" outlineLevel="2">
      <c r="A35" s="39" t="s">
        <v>15</v>
      </c>
      <c r="B35" s="40" t="s">
        <v>62</v>
      </c>
      <c r="C35" s="41" t="s">
        <v>55</v>
      </c>
      <c r="D35" s="40" t="s">
        <v>56</v>
      </c>
      <c r="E35" s="24">
        <v>10000000</v>
      </c>
      <c r="F35" s="39">
        <v>43934</v>
      </c>
      <c r="G35" s="24">
        <v>10000000</v>
      </c>
      <c r="H35" s="23">
        <v>5.0000000000000001E-3</v>
      </c>
      <c r="I35" s="39">
        <v>44287</v>
      </c>
      <c r="J35" s="39">
        <v>44316</v>
      </c>
      <c r="K35" s="24">
        <f t="shared" si="0"/>
        <v>30</v>
      </c>
      <c r="L35" s="24">
        <f t="shared" si="1"/>
        <v>4110</v>
      </c>
      <c r="M35" s="24">
        <v>10000000</v>
      </c>
    </row>
    <row r="36" spans="1:13" s="5" customFormat="1" outlineLevel="2">
      <c r="A36" s="39" t="s">
        <v>15</v>
      </c>
      <c r="B36" s="40" t="s">
        <v>63</v>
      </c>
      <c r="C36" s="41" t="s">
        <v>55</v>
      </c>
      <c r="D36" s="40" t="s">
        <v>56</v>
      </c>
      <c r="E36" s="24">
        <v>30000000</v>
      </c>
      <c r="F36" s="39">
        <v>43937</v>
      </c>
      <c r="G36" s="24">
        <v>30000000</v>
      </c>
      <c r="H36" s="23">
        <v>5.0000000000000001E-3</v>
      </c>
      <c r="I36" s="39">
        <v>44287</v>
      </c>
      <c r="J36" s="39">
        <v>44316</v>
      </c>
      <c r="K36" s="24">
        <f t="shared" si="0"/>
        <v>30</v>
      </c>
      <c r="L36" s="24">
        <f t="shared" si="1"/>
        <v>12329</v>
      </c>
      <c r="M36" s="24">
        <v>30000000</v>
      </c>
    </row>
    <row r="37" spans="1:13" s="5" customFormat="1" outlineLevel="2">
      <c r="A37" s="39" t="s">
        <v>15</v>
      </c>
      <c r="B37" s="40" t="s">
        <v>64</v>
      </c>
      <c r="C37" s="41" t="s">
        <v>55</v>
      </c>
      <c r="D37" s="40" t="s">
        <v>56</v>
      </c>
      <c r="E37" s="24">
        <v>58360000</v>
      </c>
      <c r="F37" s="39">
        <v>43929</v>
      </c>
      <c r="G37" s="24">
        <v>58360000</v>
      </c>
      <c r="H37" s="23">
        <v>5.0000000000000001E-3</v>
      </c>
      <c r="I37" s="39">
        <v>44287</v>
      </c>
      <c r="J37" s="39">
        <v>44316</v>
      </c>
      <c r="K37" s="24">
        <f t="shared" si="0"/>
        <v>30</v>
      </c>
      <c r="L37" s="24">
        <f t="shared" si="1"/>
        <v>23984</v>
      </c>
      <c r="M37" s="24">
        <v>58360000</v>
      </c>
    </row>
    <row r="38" spans="1:13" s="5" customFormat="1" outlineLevel="2">
      <c r="A38" s="39" t="s">
        <v>15</v>
      </c>
      <c r="B38" s="40" t="s">
        <v>65</v>
      </c>
      <c r="C38" s="41" t="s">
        <v>66</v>
      </c>
      <c r="D38" s="40" t="s">
        <v>67</v>
      </c>
      <c r="E38" s="24">
        <v>64000000</v>
      </c>
      <c r="F38" s="39">
        <v>43966</v>
      </c>
      <c r="G38" s="24">
        <v>64000000</v>
      </c>
      <c r="H38" s="23">
        <v>5.0000000000000001E-3</v>
      </c>
      <c r="I38" s="39">
        <v>44287</v>
      </c>
      <c r="J38" s="39">
        <v>44316</v>
      </c>
      <c r="K38" s="24">
        <f t="shared" si="0"/>
        <v>30</v>
      </c>
      <c r="L38" s="24">
        <f t="shared" si="1"/>
        <v>26301</v>
      </c>
      <c r="M38" s="24">
        <v>64000000</v>
      </c>
    </row>
    <row r="39" spans="1:13" s="5" customFormat="1" outlineLevel="2">
      <c r="A39" s="39" t="s">
        <v>15</v>
      </c>
      <c r="B39" s="40" t="s">
        <v>68</v>
      </c>
      <c r="C39" s="41" t="s">
        <v>55</v>
      </c>
      <c r="D39" s="40" t="s">
        <v>56</v>
      </c>
      <c r="E39" s="24">
        <v>11400000</v>
      </c>
      <c r="F39" s="39">
        <v>43962</v>
      </c>
      <c r="G39" s="24">
        <v>11400000</v>
      </c>
      <c r="H39" s="23">
        <v>5.0000000000000001E-3</v>
      </c>
      <c r="I39" s="39">
        <v>44287</v>
      </c>
      <c r="J39" s="39">
        <v>44316</v>
      </c>
      <c r="K39" s="24">
        <f t="shared" si="0"/>
        <v>30</v>
      </c>
      <c r="L39" s="24">
        <f t="shared" si="1"/>
        <v>4685</v>
      </c>
      <c r="M39" s="24">
        <v>11400000</v>
      </c>
    </row>
    <row r="40" spans="1:13" s="5" customFormat="1" outlineLevel="1">
      <c r="A40" s="42" t="s">
        <v>69</v>
      </c>
      <c r="B40" s="43"/>
      <c r="C40" s="44"/>
      <c r="D40" s="43"/>
      <c r="E40" s="45">
        <f>SUBTOTAL(9,E4:E39)</f>
        <v>1954537000</v>
      </c>
      <c r="F40" s="46"/>
      <c r="G40" s="45"/>
      <c r="H40" s="47"/>
      <c r="I40" s="46"/>
      <c r="J40" s="46"/>
      <c r="K40" s="45"/>
      <c r="L40" s="45">
        <f>SUBTOTAL(9,L4:L39)</f>
        <v>717764</v>
      </c>
      <c r="M40" s="45">
        <f>SUBTOTAL(9,M4:M39)</f>
        <v>1954537000</v>
      </c>
    </row>
    <row r="41" spans="1:13" s="5" customFormat="1" outlineLevel="2">
      <c r="A41" s="39" t="s">
        <v>70</v>
      </c>
      <c r="B41" s="40" t="s">
        <v>16</v>
      </c>
      <c r="C41" s="41" t="s">
        <v>27</v>
      </c>
      <c r="D41" s="40" t="s">
        <v>28</v>
      </c>
      <c r="E41" s="24">
        <v>21330000</v>
      </c>
      <c r="F41" s="39">
        <v>44046</v>
      </c>
      <c r="G41" s="24">
        <v>21330000</v>
      </c>
      <c r="H41" s="23">
        <v>5.0000000000000001E-3</v>
      </c>
      <c r="I41" s="39">
        <v>44287</v>
      </c>
      <c r="J41" s="39">
        <v>44316</v>
      </c>
      <c r="K41" s="24">
        <f>J41-I41+1</f>
        <v>30</v>
      </c>
      <c r="L41" s="24">
        <f>ROUND(G41*H41*K41/365,0)</f>
        <v>8766</v>
      </c>
      <c r="M41" s="24">
        <v>21330000</v>
      </c>
    </row>
    <row r="42" spans="1:13" s="5" customFormat="1" outlineLevel="2">
      <c r="A42" s="39" t="s">
        <v>70</v>
      </c>
      <c r="B42" s="40" t="s">
        <v>39</v>
      </c>
      <c r="C42" s="41" t="s">
        <v>27</v>
      </c>
      <c r="D42" s="40" t="s">
        <v>28</v>
      </c>
      <c r="E42" s="24">
        <v>8670000</v>
      </c>
      <c r="F42" s="39">
        <v>44060</v>
      </c>
      <c r="G42" s="24">
        <v>8670000</v>
      </c>
      <c r="H42" s="23">
        <v>5.0000000000000001E-3</v>
      </c>
      <c r="I42" s="39">
        <v>44287</v>
      </c>
      <c r="J42" s="39">
        <v>44316</v>
      </c>
      <c r="K42" s="24">
        <f>J42-I42+1</f>
        <v>30</v>
      </c>
      <c r="L42" s="24">
        <f>ROUND(G42*H42*K42/365,0)</f>
        <v>3563</v>
      </c>
      <c r="M42" s="24">
        <v>8670000</v>
      </c>
    </row>
    <row r="43" spans="1:13" s="5" customFormat="1" outlineLevel="2">
      <c r="A43" s="39" t="s">
        <v>70</v>
      </c>
      <c r="B43" s="40" t="s">
        <v>54</v>
      </c>
      <c r="C43" s="41" t="s">
        <v>71</v>
      </c>
      <c r="D43" s="40" t="s">
        <v>72</v>
      </c>
      <c r="E43" s="24">
        <v>10600000</v>
      </c>
      <c r="F43" s="39">
        <v>44085</v>
      </c>
      <c r="G43" s="24">
        <v>10600000</v>
      </c>
      <c r="H43" s="23">
        <v>5.0000000000000001E-3</v>
      </c>
      <c r="I43" s="39">
        <v>44287</v>
      </c>
      <c r="J43" s="39">
        <v>44316</v>
      </c>
      <c r="K43" s="24">
        <f>J43-I43+1</f>
        <v>30</v>
      </c>
      <c r="L43" s="24">
        <f>ROUND(G43*H43*K43/365,0)</f>
        <v>4356</v>
      </c>
      <c r="M43" s="24">
        <v>10600000</v>
      </c>
    </row>
    <row r="44" spans="1:13" s="5" customFormat="1" outlineLevel="2">
      <c r="A44" s="39" t="s">
        <v>70</v>
      </c>
      <c r="B44" s="40" t="s">
        <v>59</v>
      </c>
      <c r="C44" s="41" t="s">
        <v>73</v>
      </c>
      <c r="D44" s="40" t="s">
        <v>74</v>
      </c>
      <c r="E44" s="24">
        <v>40170000</v>
      </c>
      <c r="F44" s="39">
        <v>44172</v>
      </c>
      <c r="G44" s="24">
        <v>40170000</v>
      </c>
      <c r="H44" s="23">
        <v>5.0000000000000001E-3</v>
      </c>
      <c r="I44" s="39">
        <v>44287</v>
      </c>
      <c r="J44" s="39">
        <v>44316</v>
      </c>
      <c r="K44" s="24">
        <f>J44-I44+1</f>
        <v>30</v>
      </c>
      <c r="L44" s="24">
        <f>ROUND(G44*H44*K44/365,0)</f>
        <v>16508</v>
      </c>
      <c r="M44" s="24">
        <v>40170000</v>
      </c>
    </row>
    <row r="45" spans="1:13" s="5" customFormat="1" outlineLevel="2">
      <c r="A45" s="39" t="s">
        <v>70</v>
      </c>
      <c r="B45" s="40" t="s">
        <v>62</v>
      </c>
      <c r="C45" s="41" t="s">
        <v>75</v>
      </c>
      <c r="D45" s="40" t="s">
        <v>76</v>
      </c>
      <c r="E45" s="24">
        <v>5170000</v>
      </c>
      <c r="F45" s="39">
        <v>44166</v>
      </c>
      <c r="G45" s="24">
        <v>5170000</v>
      </c>
      <c r="H45" s="23">
        <v>5.0000000000000001E-3</v>
      </c>
      <c r="I45" s="39">
        <v>44287</v>
      </c>
      <c r="J45" s="39">
        <v>44316</v>
      </c>
      <c r="K45" s="24">
        <f>J45-I45+1</f>
        <v>30</v>
      </c>
      <c r="L45" s="24">
        <f>ROUND(G45*H45*K45/365,0)</f>
        <v>2125</v>
      </c>
      <c r="M45" s="24">
        <v>5170000</v>
      </c>
    </row>
    <row r="46" spans="1:13" s="5" customFormat="1" outlineLevel="1">
      <c r="A46" s="42" t="s">
        <v>77</v>
      </c>
      <c r="B46" s="43"/>
      <c r="C46" s="44"/>
      <c r="D46" s="43"/>
      <c r="E46" s="45">
        <f>SUBTOTAL(9,E41:E45)</f>
        <v>85940000</v>
      </c>
      <c r="F46" s="46"/>
      <c r="G46" s="45"/>
      <c r="H46" s="47"/>
      <c r="I46" s="46"/>
      <c r="J46" s="46"/>
      <c r="K46" s="45"/>
      <c r="L46" s="45">
        <f>SUBTOTAL(9,L41:L45)</f>
        <v>35318</v>
      </c>
      <c r="M46" s="45">
        <f>SUBTOTAL(9,M41:M45)</f>
        <v>85940000</v>
      </c>
    </row>
    <row r="47" spans="1:13" s="5" customFormat="1" outlineLevel="2">
      <c r="A47" s="39" t="s">
        <v>78</v>
      </c>
      <c r="B47" s="40" t="s">
        <v>16</v>
      </c>
      <c r="C47" s="41" t="s">
        <v>55</v>
      </c>
      <c r="D47" s="40" t="s">
        <v>56</v>
      </c>
      <c r="E47" s="24">
        <v>26500000</v>
      </c>
      <c r="F47" s="39">
        <v>43907</v>
      </c>
      <c r="G47" s="24">
        <v>22714288</v>
      </c>
      <c r="H47" s="23">
        <v>5.0000000000000001E-3</v>
      </c>
      <c r="I47" s="39">
        <v>44287</v>
      </c>
      <c r="J47" s="39">
        <v>44300</v>
      </c>
      <c r="K47" s="24">
        <f t="shared" ref="K47:K78" si="2">J47-I47+1</f>
        <v>14</v>
      </c>
      <c r="L47" s="24">
        <f t="shared" ref="L47:L78" si="3">ROUND(G47*H47*K47/365,0)</f>
        <v>4356</v>
      </c>
      <c r="M47" s="24">
        <v>22398812</v>
      </c>
    </row>
    <row r="48" spans="1:13" s="5" customFormat="1" outlineLevel="2">
      <c r="A48" s="39" t="s">
        <v>78</v>
      </c>
      <c r="B48" s="40" t="s">
        <v>16</v>
      </c>
      <c r="C48" s="41" t="s">
        <v>55</v>
      </c>
      <c r="D48" s="40"/>
      <c r="E48" s="24"/>
      <c r="F48" s="39"/>
      <c r="G48" s="24">
        <v>22398812</v>
      </c>
      <c r="H48" s="23">
        <v>5.0000000000000001E-3</v>
      </c>
      <c r="I48" s="39">
        <v>44301</v>
      </c>
      <c r="J48" s="39">
        <v>44316</v>
      </c>
      <c r="K48" s="24">
        <f t="shared" si="2"/>
        <v>16</v>
      </c>
      <c r="L48" s="24">
        <f t="shared" si="3"/>
        <v>4909</v>
      </c>
      <c r="M48" s="24"/>
    </row>
    <row r="49" spans="1:13" s="5" customFormat="1" outlineLevel="2">
      <c r="A49" s="39" t="s">
        <v>78</v>
      </c>
      <c r="B49" s="40" t="s">
        <v>19</v>
      </c>
      <c r="C49" s="41" t="s">
        <v>79</v>
      </c>
      <c r="D49" s="40" t="s">
        <v>80</v>
      </c>
      <c r="E49" s="24">
        <v>130000000</v>
      </c>
      <c r="F49" s="39">
        <v>44013</v>
      </c>
      <c r="G49" s="24">
        <v>130000000</v>
      </c>
      <c r="H49" s="23">
        <v>5.0000000000000001E-3</v>
      </c>
      <c r="I49" s="39">
        <v>44287</v>
      </c>
      <c r="J49" s="39">
        <v>44316</v>
      </c>
      <c r="K49" s="24">
        <f t="shared" si="2"/>
        <v>30</v>
      </c>
      <c r="L49" s="24">
        <f t="shared" si="3"/>
        <v>53425</v>
      </c>
      <c r="M49" s="24">
        <v>130000000</v>
      </c>
    </row>
    <row r="50" spans="1:13" s="5" customFormat="1" outlineLevel="2">
      <c r="A50" s="39" t="s">
        <v>78</v>
      </c>
      <c r="B50" s="40" t="s">
        <v>22</v>
      </c>
      <c r="C50" s="41" t="s">
        <v>81</v>
      </c>
      <c r="D50" s="40" t="s">
        <v>82</v>
      </c>
      <c r="E50" s="24">
        <v>3400000</v>
      </c>
      <c r="F50" s="39">
        <v>44063</v>
      </c>
      <c r="G50" s="24">
        <v>2989660</v>
      </c>
      <c r="H50" s="23">
        <v>5.0000000000000001E-3</v>
      </c>
      <c r="I50" s="39">
        <v>44287</v>
      </c>
      <c r="J50" s="39">
        <v>44300</v>
      </c>
      <c r="K50" s="24">
        <f t="shared" si="2"/>
        <v>14</v>
      </c>
      <c r="L50" s="24">
        <f t="shared" si="3"/>
        <v>573</v>
      </c>
      <c r="M50" s="24">
        <v>2931040</v>
      </c>
    </row>
    <row r="51" spans="1:13" s="5" customFormat="1" outlineLevel="2">
      <c r="A51" s="39" t="s">
        <v>78</v>
      </c>
      <c r="B51" s="40" t="s">
        <v>22</v>
      </c>
      <c r="C51" s="41" t="s">
        <v>81</v>
      </c>
      <c r="D51" s="40"/>
      <c r="E51" s="24"/>
      <c r="F51" s="39"/>
      <c r="G51" s="24">
        <v>2931040</v>
      </c>
      <c r="H51" s="23">
        <v>5.0000000000000001E-3</v>
      </c>
      <c r="I51" s="39">
        <v>44301</v>
      </c>
      <c r="J51" s="39">
        <v>44316</v>
      </c>
      <c r="K51" s="24">
        <f t="shared" si="2"/>
        <v>16</v>
      </c>
      <c r="L51" s="24">
        <f t="shared" si="3"/>
        <v>642</v>
      </c>
      <c r="M51" s="24"/>
    </row>
    <row r="52" spans="1:13" s="5" customFormat="1" outlineLevel="2">
      <c r="A52" s="39" t="s">
        <v>78</v>
      </c>
      <c r="B52" s="40" t="s">
        <v>25</v>
      </c>
      <c r="C52" s="41" t="s">
        <v>81</v>
      </c>
      <c r="D52" s="40" t="s">
        <v>82</v>
      </c>
      <c r="E52" s="24">
        <v>9800000</v>
      </c>
      <c r="F52" s="39">
        <v>44071</v>
      </c>
      <c r="G52" s="24">
        <v>8617231</v>
      </c>
      <c r="H52" s="23">
        <v>5.0000000000000001E-3</v>
      </c>
      <c r="I52" s="39">
        <v>44287</v>
      </c>
      <c r="J52" s="39">
        <v>44300</v>
      </c>
      <c r="K52" s="24">
        <f t="shared" si="2"/>
        <v>14</v>
      </c>
      <c r="L52" s="24">
        <f t="shared" si="3"/>
        <v>1653</v>
      </c>
      <c r="M52" s="24">
        <v>8448264</v>
      </c>
    </row>
    <row r="53" spans="1:13" s="5" customFormat="1" outlineLevel="2">
      <c r="A53" s="39" t="s">
        <v>78</v>
      </c>
      <c r="B53" s="40" t="s">
        <v>25</v>
      </c>
      <c r="C53" s="41" t="s">
        <v>81</v>
      </c>
      <c r="D53" s="40"/>
      <c r="E53" s="24"/>
      <c r="F53" s="39"/>
      <c r="G53" s="24">
        <v>8448264</v>
      </c>
      <c r="H53" s="23">
        <v>5.0000000000000001E-3</v>
      </c>
      <c r="I53" s="39">
        <v>44301</v>
      </c>
      <c r="J53" s="39">
        <v>44316</v>
      </c>
      <c r="K53" s="24">
        <f t="shared" si="2"/>
        <v>16</v>
      </c>
      <c r="L53" s="24">
        <f t="shared" si="3"/>
        <v>1852</v>
      </c>
      <c r="M53" s="24"/>
    </row>
    <row r="54" spans="1:13" s="5" customFormat="1" outlineLevel="2">
      <c r="A54" s="39" t="s">
        <v>78</v>
      </c>
      <c r="B54" s="40" t="s">
        <v>26</v>
      </c>
      <c r="C54" s="41" t="s">
        <v>83</v>
      </c>
      <c r="D54" s="40" t="s">
        <v>84</v>
      </c>
      <c r="E54" s="24">
        <v>201000000</v>
      </c>
      <c r="F54" s="39">
        <v>44064</v>
      </c>
      <c r="G54" s="24">
        <v>201000000</v>
      </c>
      <c r="H54" s="23">
        <v>5.0000000000000001E-3</v>
      </c>
      <c r="I54" s="39">
        <v>44287</v>
      </c>
      <c r="J54" s="39">
        <v>44316</v>
      </c>
      <c r="K54" s="24">
        <f t="shared" si="2"/>
        <v>30</v>
      </c>
      <c r="L54" s="24">
        <f t="shared" si="3"/>
        <v>82603</v>
      </c>
      <c r="M54" s="24">
        <v>201000000</v>
      </c>
    </row>
    <row r="55" spans="1:13" s="5" customFormat="1" outlineLevel="2">
      <c r="A55" s="39" t="s">
        <v>78</v>
      </c>
      <c r="B55" s="40" t="s">
        <v>29</v>
      </c>
      <c r="C55" s="41" t="s">
        <v>85</v>
      </c>
      <c r="D55" s="40" t="s">
        <v>86</v>
      </c>
      <c r="E55" s="24">
        <v>211550000</v>
      </c>
      <c r="F55" s="39">
        <v>44078</v>
      </c>
      <c r="G55" s="24">
        <v>211550000</v>
      </c>
      <c r="H55" s="23">
        <v>5.0000000000000001E-3</v>
      </c>
      <c r="I55" s="39">
        <v>44287</v>
      </c>
      <c r="J55" s="39">
        <v>44316</v>
      </c>
      <c r="K55" s="24">
        <f t="shared" si="2"/>
        <v>30</v>
      </c>
      <c r="L55" s="24">
        <f t="shared" si="3"/>
        <v>86938</v>
      </c>
      <c r="M55" s="24">
        <v>211550000</v>
      </c>
    </row>
    <row r="56" spans="1:13" s="5" customFormat="1" outlineLevel="2">
      <c r="A56" s="39" t="s">
        <v>78</v>
      </c>
      <c r="B56" s="40" t="s">
        <v>32</v>
      </c>
      <c r="C56" s="41" t="s">
        <v>85</v>
      </c>
      <c r="D56" s="40" t="s">
        <v>86</v>
      </c>
      <c r="E56" s="24">
        <v>91330000</v>
      </c>
      <c r="F56" s="39">
        <v>44120</v>
      </c>
      <c r="G56" s="24">
        <v>91330000</v>
      </c>
      <c r="H56" s="23">
        <v>5.0000000000000001E-3</v>
      </c>
      <c r="I56" s="39">
        <v>44287</v>
      </c>
      <c r="J56" s="39">
        <v>44316</v>
      </c>
      <c r="K56" s="24">
        <f t="shared" si="2"/>
        <v>30</v>
      </c>
      <c r="L56" s="24">
        <f t="shared" si="3"/>
        <v>37533</v>
      </c>
      <c r="M56" s="24">
        <v>91330000</v>
      </c>
    </row>
    <row r="57" spans="1:13" s="5" customFormat="1" outlineLevel="2">
      <c r="A57" s="39" t="s">
        <v>78</v>
      </c>
      <c r="B57" s="40" t="s">
        <v>33</v>
      </c>
      <c r="C57" s="41" t="s">
        <v>45</v>
      </c>
      <c r="D57" s="40" t="s">
        <v>46</v>
      </c>
      <c r="E57" s="24">
        <v>10000000</v>
      </c>
      <c r="F57" s="39">
        <v>44120</v>
      </c>
      <c r="G57" s="24">
        <v>10000000</v>
      </c>
      <c r="H57" s="23">
        <v>5.0000000000000001E-3</v>
      </c>
      <c r="I57" s="39">
        <v>44287</v>
      </c>
      <c r="J57" s="39">
        <v>44316</v>
      </c>
      <c r="K57" s="24">
        <f t="shared" si="2"/>
        <v>30</v>
      </c>
      <c r="L57" s="24">
        <f t="shared" si="3"/>
        <v>4110</v>
      </c>
      <c r="M57" s="24">
        <v>10000000</v>
      </c>
    </row>
    <row r="58" spans="1:13" s="5" customFormat="1" outlineLevel="2">
      <c r="A58" s="39" t="s">
        <v>78</v>
      </c>
      <c r="B58" s="40" t="s">
        <v>34</v>
      </c>
      <c r="C58" s="41" t="s">
        <v>87</v>
      </c>
      <c r="D58" s="40" t="s">
        <v>88</v>
      </c>
      <c r="E58" s="24">
        <v>40000000</v>
      </c>
      <c r="F58" s="39">
        <v>44131</v>
      </c>
      <c r="G58" s="24">
        <v>40000000</v>
      </c>
      <c r="H58" s="23">
        <v>5.0000000000000001E-3</v>
      </c>
      <c r="I58" s="39">
        <v>44287</v>
      </c>
      <c r="J58" s="39">
        <v>44316</v>
      </c>
      <c r="K58" s="24">
        <f t="shared" si="2"/>
        <v>30</v>
      </c>
      <c r="L58" s="24">
        <f t="shared" si="3"/>
        <v>16438</v>
      </c>
      <c r="M58" s="24">
        <v>40000000</v>
      </c>
    </row>
    <row r="59" spans="1:13" s="5" customFormat="1" outlineLevel="2">
      <c r="A59" s="39" t="s">
        <v>78</v>
      </c>
      <c r="B59" s="40" t="s">
        <v>35</v>
      </c>
      <c r="C59" s="41" t="s">
        <v>89</v>
      </c>
      <c r="D59" s="40" t="s">
        <v>90</v>
      </c>
      <c r="E59" s="24">
        <v>88000000</v>
      </c>
      <c r="F59" s="39">
        <v>44119</v>
      </c>
      <c r="G59" s="24">
        <v>88000000</v>
      </c>
      <c r="H59" s="23">
        <v>5.0000000000000001E-3</v>
      </c>
      <c r="I59" s="39">
        <v>44287</v>
      </c>
      <c r="J59" s="39">
        <v>44316</v>
      </c>
      <c r="K59" s="24">
        <f t="shared" si="2"/>
        <v>30</v>
      </c>
      <c r="L59" s="24">
        <f t="shared" si="3"/>
        <v>36164</v>
      </c>
      <c r="M59" s="24">
        <v>88000000</v>
      </c>
    </row>
    <row r="60" spans="1:13" s="5" customFormat="1" outlineLevel="2">
      <c r="A60" s="39" t="s">
        <v>78</v>
      </c>
      <c r="B60" s="40" t="s">
        <v>36</v>
      </c>
      <c r="C60" s="41" t="s">
        <v>91</v>
      </c>
      <c r="D60" s="40" t="s">
        <v>92</v>
      </c>
      <c r="E60" s="24">
        <v>65800000</v>
      </c>
      <c r="F60" s="39">
        <v>44119</v>
      </c>
      <c r="G60" s="24">
        <v>65800000</v>
      </c>
      <c r="H60" s="23">
        <v>5.0000000000000001E-3</v>
      </c>
      <c r="I60" s="39">
        <v>44287</v>
      </c>
      <c r="J60" s="39">
        <v>44316</v>
      </c>
      <c r="K60" s="24">
        <f t="shared" si="2"/>
        <v>30</v>
      </c>
      <c r="L60" s="24">
        <f t="shared" si="3"/>
        <v>27041</v>
      </c>
      <c r="M60" s="24">
        <v>65800000</v>
      </c>
    </row>
    <row r="61" spans="1:13" s="5" customFormat="1" outlineLevel="2">
      <c r="A61" s="39" t="s">
        <v>78</v>
      </c>
      <c r="B61" s="40" t="s">
        <v>39</v>
      </c>
      <c r="C61" s="41" t="s">
        <v>60</v>
      </c>
      <c r="D61" s="40" t="s">
        <v>61</v>
      </c>
      <c r="E61" s="24">
        <v>90000000</v>
      </c>
      <c r="F61" s="39">
        <v>43913</v>
      </c>
      <c r="G61" s="24">
        <v>90000000</v>
      </c>
      <c r="H61" s="23">
        <v>5.0000000000000001E-3</v>
      </c>
      <c r="I61" s="39">
        <v>44287</v>
      </c>
      <c r="J61" s="39">
        <v>44300</v>
      </c>
      <c r="K61" s="24">
        <f t="shared" si="2"/>
        <v>14</v>
      </c>
      <c r="L61" s="24">
        <f t="shared" si="3"/>
        <v>17260</v>
      </c>
      <c r="M61" s="24">
        <v>88125000</v>
      </c>
    </row>
    <row r="62" spans="1:13" s="5" customFormat="1" outlineLevel="2">
      <c r="A62" s="39" t="s">
        <v>78</v>
      </c>
      <c r="B62" s="40" t="s">
        <v>39</v>
      </c>
      <c r="C62" s="41" t="s">
        <v>60</v>
      </c>
      <c r="D62" s="40"/>
      <c r="E62" s="24"/>
      <c r="F62" s="39"/>
      <c r="G62" s="24">
        <v>88125000</v>
      </c>
      <c r="H62" s="23">
        <v>5.0000000000000001E-3</v>
      </c>
      <c r="I62" s="39">
        <v>44301</v>
      </c>
      <c r="J62" s="39">
        <v>44316</v>
      </c>
      <c r="K62" s="24">
        <f t="shared" si="2"/>
        <v>16</v>
      </c>
      <c r="L62" s="24">
        <f t="shared" si="3"/>
        <v>19315</v>
      </c>
      <c r="M62" s="24"/>
    </row>
    <row r="63" spans="1:13" s="5" customFormat="1" outlineLevel="2">
      <c r="A63" s="39" t="s">
        <v>78</v>
      </c>
      <c r="B63" s="40" t="s">
        <v>40</v>
      </c>
      <c r="C63" s="41" t="s">
        <v>93</v>
      </c>
      <c r="D63" s="40" t="s">
        <v>94</v>
      </c>
      <c r="E63" s="24">
        <v>7611996</v>
      </c>
      <c r="F63" s="39">
        <v>44151</v>
      </c>
      <c r="G63" s="24">
        <v>7611996</v>
      </c>
      <c r="H63" s="23">
        <v>5.0000000000000001E-3</v>
      </c>
      <c r="I63" s="39">
        <v>44287</v>
      </c>
      <c r="J63" s="39">
        <v>44316</v>
      </c>
      <c r="K63" s="24">
        <f t="shared" si="2"/>
        <v>30</v>
      </c>
      <c r="L63" s="24">
        <f t="shared" si="3"/>
        <v>3128</v>
      </c>
      <c r="M63" s="24">
        <v>7611996</v>
      </c>
    </row>
    <row r="64" spans="1:13" s="5" customFormat="1" outlineLevel="2">
      <c r="A64" s="39" t="s">
        <v>78</v>
      </c>
      <c r="B64" s="40" t="s">
        <v>41</v>
      </c>
      <c r="C64" s="41" t="s">
        <v>93</v>
      </c>
      <c r="D64" s="40" t="s">
        <v>94</v>
      </c>
      <c r="E64" s="24">
        <v>4900000</v>
      </c>
      <c r="F64" s="39">
        <v>44151</v>
      </c>
      <c r="G64" s="24">
        <v>4900000</v>
      </c>
      <c r="H64" s="23">
        <v>5.0000000000000001E-3</v>
      </c>
      <c r="I64" s="39">
        <v>44287</v>
      </c>
      <c r="J64" s="39">
        <v>44316</v>
      </c>
      <c r="K64" s="24">
        <f t="shared" si="2"/>
        <v>30</v>
      </c>
      <c r="L64" s="24">
        <f t="shared" si="3"/>
        <v>2014</v>
      </c>
      <c r="M64" s="24">
        <v>4900000</v>
      </c>
    </row>
    <row r="65" spans="1:13" s="5" customFormat="1" outlineLevel="2">
      <c r="A65" s="39" t="s">
        <v>78</v>
      </c>
      <c r="B65" s="40" t="s">
        <v>42</v>
      </c>
      <c r="C65" s="41" t="s">
        <v>93</v>
      </c>
      <c r="D65" s="40" t="s">
        <v>94</v>
      </c>
      <c r="E65" s="24">
        <v>21838392</v>
      </c>
      <c r="F65" s="39">
        <v>44151</v>
      </c>
      <c r="G65" s="24">
        <v>21838392</v>
      </c>
      <c r="H65" s="23">
        <v>5.0000000000000001E-3</v>
      </c>
      <c r="I65" s="39">
        <v>44287</v>
      </c>
      <c r="J65" s="39">
        <v>44316</v>
      </c>
      <c r="K65" s="24">
        <f t="shared" si="2"/>
        <v>30</v>
      </c>
      <c r="L65" s="24">
        <f t="shared" si="3"/>
        <v>8975</v>
      </c>
      <c r="M65" s="24">
        <v>21838392</v>
      </c>
    </row>
    <row r="66" spans="1:13" s="5" customFormat="1" outlineLevel="2">
      <c r="A66" s="39" t="s">
        <v>78</v>
      </c>
      <c r="B66" s="40" t="s">
        <v>43</v>
      </c>
      <c r="C66" s="41" t="s">
        <v>95</v>
      </c>
      <c r="D66" s="40" t="s">
        <v>96</v>
      </c>
      <c r="E66" s="24">
        <v>41950000</v>
      </c>
      <c r="F66" s="39">
        <v>44154</v>
      </c>
      <c r="G66" s="24">
        <v>41950000</v>
      </c>
      <c r="H66" s="23">
        <v>5.0000000000000001E-3</v>
      </c>
      <c r="I66" s="39">
        <v>44287</v>
      </c>
      <c r="J66" s="39">
        <v>44316</v>
      </c>
      <c r="K66" s="24">
        <f t="shared" si="2"/>
        <v>30</v>
      </c>
      <c r="L66" s="24">
        <f t="shared" si="3"/>
        <v>17240</v>
      </c>
      <c r="M66" s="24">
        <v>41950000</v>
      </c>
    </row>
    <row r="67" spans="1:13" s="5" customFormat="1" outlineLevel="2">
      <c r="A67" s="39" t="s">
        <v>78</v>
      </c>
      <c r="B67" s="40" t="s">
        <v>44</v>
      </c>
      <c r="C67" s="41" t="s">
        <v>95</v>
      </c>
      <c r="D67" s="40" t="s">
        <v>96</v>
      </c>
      <c r="E67" s="24">
        <v>30000000</v>
      </c>
      <c r="F67" s="39">
        <v>44154</v>
      </c>
      <c r="G67" s="24">
        <v>28571428</v>
      </c>
      <c r="H67" s="23">
        <v>5.0000000000000001E-3</v>
      </c>
      <c r="I67" s="39">
        <v>44287</v>
      </c>
      <c r="J67" s="39">
        <v>44300</v>
      </c>
      <c r="K67" s="24">
        <f t="shared" si="2"/>
        <v>14</v>
      </c>
      <c r="L67" s="24">
        <f t="shared" si="3"/>
        <v>5479</v>
      </c>
      <c r="M67" s="24">
        <v>28214285</v>
      </c>
    </row>
    <row r="68" spans="1:13" s="5" customFormat="1" outlineLevel="2">
      <c r="A68" s="39" t="s">
        <v>78</v>
      </c>
      <c r="B68" s="40" t="s">
        <v>44</v>
      </c>
      <c r="C68" s="41" t="s">
        <v>95</v>
      </c>
      <c r="D68" s="40"/>
      <c r="E68" s="24"/>
      <c r="F68" s="39"/>
      <c r="G68" s="24">
        <v>28214285</v>
      </c>
      <c r="H68" s="23">
        <v>5.0000000000000001E-3</v>
      </c>
      <c r="I68" s="39">
        <v>44301</v>
      </c>
      <c r="J68" s="39">
        <v>44316</v>
      </c>
      <c r="K68" s="24">
        <f t="shared" si="2"/>
        <v>16</v>
      </c>
      <c r="L68" s="24">
        <f t="shared" si="3"/>
        <v>6184</v>
      </c>
      <c r="M68" s="24"/>
    </row>
    <row r="69" spans="1:13" s="5" customFormat="1" outlineLevel="2">
      <c r="A69" s="39" t="s">
        <v>78</v>
      </c>
      <c r="B69" s="40" t="s">
        <v>47</v>
      </c>
      <c r="C69" s="41" t="s">
        <v>81</v>
      </c>
      <c r="D69" s="40" t="s">
        <v>82</v>
      </c>
      <c r="E69" s="24">
        <v>3490000</v>
      </c>
      <c r="F69" s="39">
        <v>44138</v>
      </c>
      <c r="G69" s="24">
        <v>3236180</v>
      </c>
      <c r="H69" s="23">
        <v>5.0000000000000001E-3</v>
      </c>
      <c r="I69" s="39">
        <v>44287</v>
      </c>
      <c r="J69" s="39">
        <v>44300</v>
      </c>
      <c r="K69" s="24">
        <f t="shared" si="2"/>
        <v>14</v>
      </c>
      <c r="L69" s="24">
        <f t="shared" si="3"/>
        <v>621</v>
      </c>
      <c r="M69" s="24">
        <v>3172725</v>
      </c>
    </row>
    <row r="70" spans="1:13" s="5" customFormat="1" outlineLevel="2">
      <c r="A70" s="39" t="s">
        <v>78</v>
      </c>
      <c r="B70" s="40" t="s">
        <v>47</v>
      </c>
      <c r="C70" s="41" t="s">
        <v>81</v>
      </c>
      <c r="D70" s="40"/>
      <c r="E70" s="24"/>
      <c r="F70" s="39"/>
      <c r="G70" s="24">
        <v>3172725</v>
      </c>
      <c r="H70" s="23">
        <v>5.0000000000000001E-3</v>
      </c>
      <c r="I70" s="39">
        <v>44301</v>
      </c>
      <c r="J70" s="39">
        <v>44316</v>
      </c>
      <c r="K70" s="24">
        <f t="shared" si="2"/>
        <v>16</v>
      </c>
      <c r="L70" s="24">
        <f t="shared" si="3"/>
        <v>695</v>
      </c>
      <c r="M70" s="24"/>
    </row>
    <row r="71" spans="1:13" s="5" customFormat="1" outlineLevel="2">
      <c r="A71" s="39" t="s">
        <v>78</v>
      </c>
      <c r="B71" s="40" t="s">
        <v>50</v>
      </c>
      <c r="C71" s="41" t="s">
        <v>81</v>
      </c>
      <c r="D71" s="40" t="s">
        <v>82</v>
      </c>
      <c r="E71" s="24">
        <v>1970000</v>
      </c>
      <c r="F71" s="39">
        <v>44147</v>
      </c>
      <c r="G71" s="24">
        <v>1826724</v>
      </c>
      <c r="H71" s="23">
        <v>5.0000000000000001E-3</v>
      </c>
      <c r="I71" s="39">
        <v>44287</v>
      </c>
      <c r="J71" s="39">
        <v>44300</v>
      </c>
      <c r="K71" s="24">
        <f t="shared" si="2"/>
        <v>14</v>
      </c>
      <c r="L71" s="24">
        <f t="shared" si="3"/>
        <v>350</v>
      </c>
      <c r="M71" s="24">
        <v>1790905</v>
      </c>
    </row>
    <row r="72" spans="1:13" s="5" customFormat="1" outlineLevel="2">
      <c r="A72" s="39" t="s">
        <v>78</v>
      </c>
      <c r="B72" s="40" t="s">
        <v>50</v>
      </c>
      <c r="C72" s="41" t="s">
        <v>81</v>
      </c>
      <c r="D72" s="40"/>
      <c r="E72" s="24"/>
      <c r="F72" s="39"/>
      <c r="G72" s="24">
        <v>1790905</v>
      </c>
      <c r="H72" s="23">
        <v>5.0000000000000001E-3</v>
      </c>
      <c r="I72" s="39">
        <v>44301</v>
      </c>
      <c r="J72" s="39">
        <v>44316</v>
      </c>
      <c r="K72" s="24">
        <f t="shared" si="2"/>
        <v>16</v>
      </c>
      <c r="L72" s="24">
        <f t="shared" si="3"/>
        <v>393</v>
      </c>
      <c r="M72" s="24"/>
    </row>
    <row r="73" spans="1:13" s="5" customFormat="1" outlineLevel="2">
      <c r="A73" s="39" t="s">
        <v>78</v>
      </c>
      <c r="B73" s="40" t="s">
        <v>51</v>
      </c>
      <c r="C73" s="41" t="s">
        <v>93</v>
      </c>
      <c r="D73" s="40" t="s">
        <v>94</v>
      </c>
      <c r="E73" s="24">
        <v>20979731</v>
      </c>
      <c r="F73" s="39">
        <v>44167</v>
      </c>
      <c r="G73" s="24">
        <v>20979731</v>
      </c>
      <c r="H73" s="23">
        <v>5.0000000000000001E-3</v>
      </c>
      <c r="I73" s="39">
        <v>44287</v>
      </c>
      <c r="J73" s="39">
        <v>44316</v>
      </c>
      <c r="K73" s="24">
        <f t="shared" si="2"/>
        <v>30</v>
      </c>
      <c r="L73" s="24">
        <f t="shared" si="3"/>
        <v>8622</v>
      </c>
      <c r="M73" s="24">
        <v>20979731</v>
      </c>
    </row>
    <row r="74" spans="1:13" s="5" customFormat="1" outlineLevel="2">
      <c r="A74" s="39" t="s">
        <v>78</v>
      </c>
      <c r="B74" s="40" t="s">
        <v>52</v>
      </c>
      <c r="C74" s="41" t="s">
        <v>93</v>
      </c>
      <c r="D74" s="40" t="s">
        <v>94</v>
      </c>
      <c r="E74" s="24">
        <v>15036832</v>
      </c>
      <c r="F74" s="39">
        <v>44181</v>
      </c>
      <c r="G74" s="24">
        <v>15036832</v>
      </c>
      <c r="H74" s="23">
        <v>5.0000000000000001E-3</v>
      </c>
      <c r="I74" s="39">
        <v>44287</v>
      </c>
      <c r="J74" s="39">
        <v>44316</v>
      </c>
      <c r="K74" s="24">
        <f t="shared" si="2"/>
        <v>30</v>
      </c>
      <c r="L74" s="24">
        <f t="shared" si="3"/>
        <v>6180</v>
      </c>
      <c r="M74" s="24">
        <v>15036832</v>
      </c>
    </row>
    <row r="75" spans="1:13" s="5" customFormat="1" outlineLevel="2">
      <c r="A75" s="39" t="s">
        <v>78</v>
      </c>
      <c r="B75" s="40" t="s">
        <v>53</v>
      </c>
      <c r="C75" s="41" t="s">
        <v>93</v>
      </c>
      <c r="D75" s="40" t="s">
        <v>94</v>
      </c>
      <c r="E75" s="24">
        <v>2070415</v>
      </c>
      <c r="F75" s="39">
        <v>44193</v>
      </c>
      <c r="G75" s="24">
        <v>2070415</v>
      </c>
      <c r="H75" s="23">
        <v>5.0000000000000001E-3</v>
      </c>
      <c r="I75" s="39">
        <v>44287</v>
      </c>
      <c r="J75" s="39">
        <v>44316</v>
      </c>
      <c r="K75" s="24">
        <f t="shared" si="2"/>
        <v>30</v>
      </c>
      <c r="L75" s="24">
        <f t="shared" si="3"/>
        <v>851</v>
      </c>
      <c r="M75" s="24">
        <v>2070415</v>
      </c>
    </row>
    <row r="76" spans="1:13" s="5" customFormat="1" outlineLevel="2">
      <c r="A76" s="39" t="s">
        <v>78</v>
      </c>
      <c r="B76" s="40" t="s">
        <v>54</v>
      </c>
      <c r="C76" s="41" t="s">
        <v>55</v>
      </c>
      <c r="D76" s="40" t="s">
        <v>56</v>
      </c>
      <c r="E76" s="24">
        <v>23500000</v>
      </c>
      <c r="F76" s="39">
        <v>43928</v>
      </c>
      <c r="G76" s="24">
        <v>20142844</v>
      </c>
      <c r="H76" s="23">
        <v>5.0000000000000001E-3</v>
      </c>
      <c r="I76" s="39">
        <v>44287</v>
      </c>
      <c r="J76" s="39">
        <v>44300</v>
      </c>
      <c r="K76" s="24">
        <f t="shared" si="2"/>
        <v>14</v>
      </c>
      <c r="L76" s="24">
        <f t="shared" si="3"/>
        <v>3863</v>
      </c>
      <c r="M76" s="24">
        <v>19863081</v>
      </c>
    </row>
    <row r="77" spans="1:13" s="5" customFormat="1" outlineLevel="2">
      <c r="A77" s="39" t="s">
        <v>78</v>
      </c>
      <c r="B77" s="40" t="s">
        <v>54</v>
      </c>
      <c r="C77" s="41" t="s">
        <v>55</v>
      </c>
      <c r="D77" s="40"/>
      <c r="E77" s="24"/>
      <c r="F77" s="39"/>
      <c r="G77" s="24">
        <v>19863081</v>
      </c>
      <c r="H77" s="23">
        <v>5.0000000000000001E-3</v>
      </c>
      <c r="I77" s="39">
        <v>44301</v>
      </c>
      <c r="J77" s="39">
        <v>44316</v>
      </c>
      <c r="K77" s="24">
        <f t="shared" si="2"/>
        <v>16</v>
      </c>
      <c r="L77" s="24">
        <f t="shared" si="3"/>
        <v>4354</v>
      </c>
      <c r="M77" s="24"/>
    </row>
    <row r="78" spans="1:13" s="5" customFormat="1" outlineLevel="2">
      <c r="A78" s="39" t="s">
        <v>78</v>
      </c>
      <c r="B78" s="40" t="s">
        <v>57</v>
      </c>
      <c r="C78" s="41" t="s">
        <v>83</v>
      </c>
      <c r="D78" s="40" t="s">
        <v>84</v>
      </c>
      <c r="E78" s="24">
        <v>125000000</v>
      </c>
      <c r="F78" s="39">
        <v>44189</v>
      </c>
      <c r="G78" s="24">
        <v>125000000</v>
      </c>
      <c r="H78" s="23">
        <v>5.0000000000000001E-3</v>
      </c>
      <c r="I78" s="39">
        <v>44287</v>
      </c>
      <c r="J78" s="39">
        <v>44316</v>
      </c>
      <c r="K78" s="24">
        <f t="shared" si="2"/>
        <v>30</v>
      </c>
      <c r="L78" s="24">
        <f t="shared" si="3"/>
        <v>51370</v>
      </c>
      <c r="M78" s="24">
        <v>125000000</v>
      </c>
    </row>
    <row r="79" spans="1:13" s="5" customFormat="1" outlineLevel="2">
      <c r="A79" s="39" t="s">
        <v>78</v>
      </c>
      <c r="B79" s="40" t="s">
        <v>58</v>
      </c>
      <c r="C79" s="41" t="s">
        <v>97</v>
      </c>
      <c r="D79" s="40" t="s">
        <v>98</v>
      </c>
      <c r="E79" s="24">
        <v>51800000</v>
      </c>
      <c r="F79" s="39">
        <v>44180</v>
      </c>
      <c r="G79" s="24">
        <v>51800000</v>
      </c>
      <c r="H79" s="23">
        <v>5.0000000000000001E-3</v>
      </c>
      <c r="I79" s="39">
        <v>44287</v>
      </c>
      <c r="J79" s="39">
        <v>44316</v>
      </c>
      <c r="K79" s="24">
        <f t="shared" ref="K79:K110" si="4">J79-I79+1</f>
        <v>30</v>
      </c>
      <c r="L79" s="24">
        <f t="shared" ref="L79:L110" si="5">ROUND(G79*H79*K79/365,0)</f>
        <v>21288</v>
      </c>
      <c r="M79" s="24">
        <v>51800000</v>
      </c>
    </row>
    <row r="80" spans="1:13" s="5" customFormat="1" outlineLevel="2">
      <c r="A80" s="39" t="s">
        <v>78</v>
      </c>
      <c r="B80" s="40" t="s">
        <v>99</v>
      </c>
      <c r="C80" s="41" t="s">
        <v>91</v>
      </c>
      <c r="D80" s="40" t="s">
        <v>92</v>
      </c>
      <c r="E80" s="24">
        <v>25000000</v>
      </c>
      <c r="F80" s="39">
        <v>44180</v>
      </c>
      <c r="G80" s="24">
        <v>25000000</v>
      </c>
      <c r="H80" s="23">
        <v>5.0000000000000001E-3</v>
      </c>
      <c r="I80" s="39">
        <v>44287</v>
      </c>
      <c r="J80" s="39">
        <v>44316</v>
      </c>
      <c r="K80" s="24">
        <f t="shared" si="4"/>
        <v>30</v>
      </c>
      <c r="L80" s="24">
        <f t="shared" si="5"/>
        <v>10274</v>
      </c>
      <c r="M80" s="24">
        <v>25000000</v>
      </c>
    </row>
    <row r="81" spans="1:13" s="5" customFormat="1" outlineLevel="2">
      <c r="A81" s="39" t="s">
        <v>78</v>
      </c>
      <c r="B81" s="40" t="s">
        <v>100</v>
      </c>
      <c r="C81" s="41" t="s">
        <v>91</v>
      </c>
      <c r="D81" s="40" t="s">
        <v>92</v>
      </c>
      <c r="E81" s="24">
        <v>44000000</v>
      </c>
      <c r="F81" s="39">
        <v>44180</v>
      </c>
      <c r="G81" s="24">
        <v>44000000</v>
      </c>
      <c r="H81" s="23">
        <v>5.0000000000000001E-3</v>
      </c>
      <c r="I81" s="39">
        <v>44287</v>
      </c>
      <c r="J81" s="39">
        <v>44316</v>
      </c>
      <c r="K81" s="24">
        <f t="shared" si="4"/>
        <v>30</v>
      </c>
      <c r="L81" s="24">
        <f t="shared" si="5"/>
        <v>18082</v>
      </c>
      <c r="M81" s="24">
        <v>44000000</v>
      </c>
    </row>
    <row r="82" spans="1:13" s="5" customFormat="1" outlineLevel="2">
      <c r="A82" s="39" t="s">
        <v>78</v>
      </c>
      <c r="B82" s="40" t="s">
        <v>101</v>
      </c>
      <c r="C82" s="41" t="s">
        <v>95</v>
      </c>
      <c r="D82" s="40" t="s">
        <v>96</v>
      </c>
      <c r="E82" s="24">
        <v>129650000</v>
      </c>
      <c r="F82" s="39">
        <v>44195</v>
      </c>
      <c r="G82" s="24">
        <v>129650000</v>
      </c>
      <c r="H82" s="23">
        <v>5.0000000000000001E-3</v>
      </c>
      <c r="I82" s="39">
        <v>44287</v>
      </c>
      <c r="J82" s="39">
        <v>44316</v>
      </c>
      <c r="K82" s="24">
        <f t="shared" si="4"/>
        <v>30</v>
      </c>
      <c r="L82" s="24">
        <f t="shared" si="5"/>
        <v>53281</v>
      </c>
      <c r="M82" s="24">
        <v>129650000</v>
      </c>
    </row>
    <row r="83" spans="1:13" s="5" customFormat="1" outlineLevel="2">
      <c r="A83" s="39" t="s">
        <v>78</v>
      </c>
      <c r="B83" s="40" t="s">
        <v>102</v>
      </c>
      <c r="C83" s="41" t="s">
        <v>95</v>
      </c>
      <c r="D83" s="40" t="s">
        <v>96</v>
      </c>
      <c r="E83" s="24">
        <v>12000000</v>
      </c>
      <c r="F83" s="39">
        <v>44195</v>
      </c>
      <c r="G83" s="24">
        <v>11566263</v>
      </c>
      <c r="H83" s="23">
        <v>5.0000000000000001E-3</v>
      </c>
      <c r="I83" s="39">
        <v>44287</v>
      </c>
      <c r="J83" s="39">
        <v>44300</v>
      </c>
      <c r="K83" s="24">
        <f t="shared" si="4"/>
        <v>14</v>
      </c>
      <c r="L83" s="24">
        <f t="shared" si="5"/>
        <v>2218</v>
      </c>
      <c r="M83" s="24">
        <v>11421684</v>
      </c>
    </row>
    <row r="84" spans="1:13" s="5" customFormat="1" outlineLevel="2">
      <c r="A84" s="39" t="s">
        <v>78</v>
      </c>
      <c r="B84" s="40" t="s">
        <v>102</v>
      </c>
      <c r="C84" s="41" t="s">
        <v>95</v>
      </c>
      <c r="D84" s="40"/>
      <c r="E84" s="24"/>
      <c r="F84" s="39"/>
      <c r="G84" s="24">
        <v>11421684</v>
      </c>
      <c r="H84" s="23">
        <v>5.0000000000000001E-3</v>
      </c>
      <c r="I84" s="39">
        <v>44301</v>
      </c>
      <c r="J84" s="39">
        <v>44316</v>
      </c>
      <c r="K84" s="24">
        <f t="shared" si="4"/>
        <v>16</v>
      </c>
      <c r="L84" s="24">
        <f t="shared" si="5"/>
        <v>2503</v>
      </c>
      <c r="M84" s="24"/>
    </row>
    <row r="85" spans="1:13" s="5" customFormat="1" outlineLevel="2">
      <c r="A85" s="39" t="s">
        <v>78</v>
      </c>
      <c r="B85" s="40" t="s">
        <v>103</v>
      </c>
      <c r="C85" s="41" t="s">
        <v>66</v>
      </c>
      <c r="D85" s="40" t="s">
        <v>67</v>
      </c>
      <c r="E85" s="24">
        <v>144000000</v>
      </c>
      <c r="F85" s="39">
        <v>44196</v>
      </c>
      <c r="G85" s="24">
        <v>144000000</v>
      </c>
      <c r="H85" s="23">
        <v>5.0000000000000001E-3</v>
      </c>
      <c r="I85" s="39">
        <v>44287</v>
      </c>
      <c r="J85" s="39">
        <v>44316</v>
      </c>
      <c r="K85" s="24">
        <f t="shared" si="4"/>
        <v>30</v>
      </c>
      <c r="L85" s="24">
        <f t="shared" si="5"/>
        <v>59178</v>
      </c>
      <c r="M85" s="24">
        <v>144000000</v>
      </c>
    </row>
    <row r="86" spans="1:13" s="5" customFormat="1" outlineLevel="2">
      <c r="A86" s="39" t="s">
        <v>78</v>
      </c>
      <c r="B86" s="40" t="s">
        <v>104</v>
      </c>
      <c r="C86" s="41" t="s">
        <v>91</v>
      </c>
      <c r="D86" s="40" t="s">
        <v>92</v>
      </c>
      <c r="E86" s="24">
        <v>45000000</v>
      </c>
      <c r="F86" s="39">
        <v>44211</v>
      </c>
      <c r="G86" s="24">
        <v>45000000</v>
      </c>
      <c r="H86" s="23">
        <v>5.0000000000000001E-3</v>
      </c>
      <c r="I86" s="39">
        <v>44287</v>
      </c>
      <c r="J86" s="39">
        <v>44316</v>
      </c>
      <c r="K86" s="24">
        <f t="shared" si="4"/>
        <v>30</v>
      </c>
      <c r="L86" s="24">
        <f t="shared" si="5"/>
        <v>18493</v>
      </c>
      <c r="M86" s="24">
        <v>45000000</v>
      </c>
    </row>
    <row r="87" spans="1:13" s="5" customFormat="1" outlineLevel="2">
      <c r="A87" s="39" t="s">
        <v>78</v>
      </c>
      <c r="B87" s="40" t="s">
        <v>105</v>
      </c>
      <c r="C87" s="41" t="s">
        <v>91</v>
      </c>
      <c r="D87" s="40" t="s">
        <v>92</v>
      </c>
      <c r="E87" s="24">
        <v>31000000</v>
      </c>
      <c r="F87" s="39">
        <v>44211</v>
      </c>
      <c r="G87" s="24">
        <v>31000000</v>
      </c>
      <c r="H87" s="23">
        <v>5.0000000000000001E-3</v>
      </c>
      <c r="I87" s="39">
        <v>44287</v>
      </c>
      <c r="J87" s="39">
        <v>44316</v>
      </c>
      <c r="K87" s="24">
        <f t="shared" si="4"/>
        <v>30</v>
      </c>
      <c r="L87" s="24">
        <f t="shared" si="5"/>
        <v>12740</v>
      </c>
      <c r="M87" s="24">
        <v>31000000</v>
      </c>
    </row>
    <row r="88" spans="1:13" s="5" customFormat="1" outlineLevel="2">
      <c r="A88" s="39" t="s">
        <v>78</v>
      </c>
      <c r="B88" s="40" t="s">
        <v>106</v>
      </c>
      <c r="C88" s="41" t="s">
        <v>93</v>
      </c>
      <c r="D88" s="40" t="s">
        <v>94</v>
      </c>
      <c r="E88" s="24">
        <v>7174630</v>
      </c>
      <c r="F88" s="39">
        <v>44203</v>
      </c>
      <c r="G88" s="24">
        <v>7174630</v>
      </c>
      <c r="H88" s="23">
        <v>5.0000000000000001E-3</v>
      </c>
      <c r="I88" s="39">
        <v>44287</v>
      </c>
      <c r="J88" s="39">
        <v>44316</v>
      </c>
      <c r="K88" s="24">
        <f t="shared" si="4"/>
        <v>30</v>
      </c>
      <c r="L88" s="24">
        <f t="shared" si="5"/>
        <v>2948</v>
      </c>
      <c r="M88" s="24">
        <v>7174630</v>
      </c>
    </row>
    <row r="89" spans="1:13" s="5" customFormat="1" outlineLevel="2">
      <c r="A89" s="39" t="s">
        <v>78</v>
      </c>
      <c r="B89" s="40" t="s">
        <v>59</v>
      </c>
      <c r="C89" s="41" t="s">
        <v>81</v>
      </c>
      <c r="D89" s="40" t="s">
        <v>82</v>
      </c>
      <c r="E89" s="24">
        <v>7000000</v>
      </c>
      <c r="F89" s="39">
        <v>44004</v>
      </c>
      <c r="G89" s="24">
        <v>5949997</v>
      </c>
      <c r="H89" s="23">
        <v>5.0000000000000001E-3</v>
      </c>
      <c r="I89" s="39">
        <v>44287</v>
      </c>
      <c r="J89" s="39">
        <v>44300</v>
      </c>
      <c r="K89" s="24">
        <f t="shared" si="4"/>
        <v>14</v>
      </c>
      <c r="L89" s="24">
        <f t="shared" si="5"/>
        <v>1141</v>
      </c>
      <c r="M89" s="24">
        <v>5833330</v>
      </c>
    </row>
    <row r="90" spans="1:13" s="5" customFormat="1" outlineLevel="2">
      <c r="A90" s="39" t="s">
        <v>78</v>
      </c>
      <c r="B90" s="40" t="s">
        <v>59</v>
      </c>
      <c r="C90" s="41" t="s">
        <v>81</v>
      </c>
      <c r="D90" s="40"/>
      <c r="E90" s="24"/>
      <c r="F90" s="39"/>
      <c r="G90" s="24">
        <v>5833330</v>
      </c>
      <c r="H90" s="23">
        <v>5.0000000000000001E-3</v>
      </c>
      <c r="I90" s="39">
        <v>44301</v>
      </c>
      <c r="J90" s="39">
        <v>44316</v>
      </c>
      <c r="K90" s="24">
        <f t="shared" si="4"/>
        <v>16</v>
      </c>
      <c r="L90" s="24">
        <f t="shared" si="5"/>
        <v>1279</v>
      </c>
      <c r="M90" s="24"/>
    </row>
    <row r="91" spans="1:13" s="5" customFormat="1" outlineLevel="2">
      <c r="A91" s="39" t="s">
        <v>78</v>
      </c>
      <c r="B91" s="40" t="s">
        <v>136</v>
      </c>
      <c r="C91" s="41" t="s">
        <v>95</v>
      </c>
      <c r="D91" s="40" t="s">
        <v>96</v>
      </c>
      <c r="E91" s="24">
        <v>3650000</v>
      </c>
      <c r="F91" s="39">
        <v>44246</v>
      </c>
      <c r="G91" s="24">
        <v>3650000</v>
      </c>
      <c r="H91" s="23">
        <v>5.0000000000000001E-3</v>
      </c>
      <c r="I91" s="39">
        <v>44287</v>
      </c>
      <c r="J91" s="39">
        <v>44316</v>
      </c>
      <c r="K91" s="24">
        <f t="shared" si="4"/>
        <v>30</v>
      </c>
      <c r="L91" s="24">
        <f t="shared" si="5"/>
        <v>1500</v>
      </c>
      <c r="M91" s="24">
        <v>3650000</v>
      </c>
    </row>
    <row r="92" spans="1:13" s="5" customFormat="1" outlineLevel="2">
      <c r="A92" s="39" t="s">
        <v>78</v>
      </c>
      <c r="B92" s="40" t="s">
        <v>137</v>
      </c>
      <c r="C92" s="41" t="s">
        <v>93</v>
      </c>
      <c r="D92" s="40" t="s">
        <v>94</v>
      </c>
      <c r="E92" s="24">
        <v>1028354</v>
      </c>
      <c r="F92" s="39">
        <v>44236</v>
      </c>
      <c r="G92" s="24">
        <v>1028354</v>
      </c>
      <c r="H92" s="23">
        <v>5.0000000000000001E-3</v>
      </c>
      <c r="I92" s="39">
        <v>44287</v>
      </c>
      <c r="J92" s="39">
        <v>44316</v>
      </c>
      <c r="K92" s="24">
        <f t="shared" si="4"/>
        <v>30</v>
      </c>
      <c r="L92" s="24">
        <f t="shared" si="5"/>
        <v>423</v>
      </c>
      <c r="M92" s="24">
        <v>1028354</v>
      </c>
    </row>
    <row r="93" spans="1:13" s="5" customFormat="1" outlineLevel="2">
      <c r="A93" s="39" t="s">
        <v>78</v>
      </c>
      <c r="B93" s="40" t="s">
        <v>138</v>
      </c>
      <c r="C93" s="41" t="s">
        <v>93</v>
      </c>
      <c r="D93" s="40" t="s">
        <v>94</v>
      </c>
      <c r="E93" s="24">
        <v>1983370</v>
      </c>
      <c r="F93" s="39">
        <v>44246</v>
      </c>
      <c r="G93" s="24">
        <v>1983370</v>
      </c>
      <c r="H93" s="23">
        <v>5.0000000000000001E-3</v>
      </c>
      <c r="I93" s="39">
        <v>44287</v>
      </c>
      <c r="J93" s="39">
        <v>44316</v>
      </c>
      <c r="K93" s="24">
        <f t="shared" si="4"/>
        <v>30</v>
      </c>
      <c r="L93" s="24">
        <f t="shared" si="5"/>
        <v>815</v>
      </c>
      <c r="M93" s="24">
        <v>1983370</v>
      </c>
    </row>
    <row r="94" spans="1:13" s="5" customFormat="1" outlineLevel="2">
      <c r="A94" s="39" t="s">
        <v>78</v>
      </c>
      <c r="B94" s="40" t="s">
        <v>139</v>
      </c>
      <c r="C94" s="41" t="s">
        <v>306</v>
      </c>
      <c r="D94" s="40" t="s">
        <v>305</v>
      </c>
      <c r="E94" s="24">
        <v>10000000</v>
      </c>
      <c r="F94" s="39">
        <v>44252</v>
      </c>
      <c r="G94" s="24">
        <v>10000000</v>
      </c>
      <c r="H94" s="23">
        <v>5.0000000000000001E-3</v>
      </c>
      <c r="I94" s="39">
        <v>44287</v>
      </c>
      <c r="J94" s="39">
        <v>44316</v>
      </c>
      <c r="K94" s="24">
        <f t="shared" si="4"/>
        <v>30</v>
      </c>
      <c r="L94" s="24">
        <f t="shared" si="5"/>
        <v>4110</v>
      </c>
      <c r="M94" s="24">
        <v>10000000</v>
      </c>
    </row>
    <row r="95" spans="1:13" s="5" customFormat="1" outlineLevel="2">
      <c r="A95" s="39" t="s">
        <v>78</v>
      </c>
      <c r="B95" s="40" t="s">
        <v>140</v>
      </c>
      <c r="C95" s="41" t="s">
        <v>85</v>
      </c>
      <c r="D95" s="40" t="s">
        <v>86</v>
      </c>
      <c r="E95" s="24">
        <v>67620000</v>
      </c>
      <c r="F95" s="39">
        <v>44253</v>
      </c>
      <c r="G95" s="24">
        <v>67620000</v>
      </c>
      <c r="H95" s="23">
        <v>5.0000000000000001E-3</v>
      </c>
      <c r="I95" s="39">
        <v>44287</v>
      </c>
      <c r="J95" s="39">
        <v>44316</v>
      </c>
      <c r="K95" s="24">
        <f t="shared" si="4"/>
        <v>30</v>
      </c>
      <c r="L95" s="24">
        <f t="shared" si="5"/>
        <v>27789</v>
      </c>
      <c r="M95" s="24">
        <v>67620000</v>
      </c>
    </row>
    <row r="96" spans="1:13" s="5" customFormat="1" outlineLevel="2">
      <c r="A96" s="39" t="s">
        <v>78</v>
      </c>
      <c r="B96" s="40" t="s">
        <v>169</v>
      </c>
      <c r="C96" s="41" t="s">
        <v>91</v>
      </c>
      <c r="D96" s="40" t="s">
        <v>92</v>
      </c>
      <c r="E96" s="24">
        <v>33000000</v>
      </c>
      <c r="F96" s="39">
        <v>44270</v>
      </c>
      <c r="G96" s="24">
        <v>33000000</v>
      </c>
      <c r="H96" s="23">
        <v>5.0000000000000001E-3</v>
      </c>
      <c r="I96" s="39">
        <v>44287</v>
      </c>
      <c r="J96" s="39">
        <v>44316</v>
      </c>
      <c r="K96" s="24">
        <f t="shared" si="4"/>
        <v>30</v>
      </c>
      <c r="L96" s="24">
        <f t="shared" si="5"/>
        <v>13562</v>
      </c>
      <c r="M96" s="24">
        <v>33000000</v>
      </c>
    </row>
    <row r="97" spans="1:13" s="5" customFormat="1" outlineLevel="2">
      <c r="A97" s="39" t="s">
        <v>78</v>
      </c>
      <c r="B97" s="40" t="s">
        <v>170</v>
      </c>
      <c r="C97" s="41" t="s">
        <v>91</v>
      </c>
      <c r="D97" s="40" t="s">
        <v>92</v>
      </c>
      <c r="E97" s="24">
        <v>38900000</v>
      </c>
      <c r="F97" s="39">
        <v>44270</v>
      </c>
      <c r="G97" s="24">
        <v>38900000</v>
      </c>
      <c r="H97" s="23">
        <v>5.0000000000000001E-3</v>
      </c>
      <c r="I97" s="39">
        <v>44287</v>
      </c>
      <c r="J97" s="39">
        <v>44316</v>
      </c>
      <c r="K97" s="24">
        <f t="shared" si="4"/>
        <v>30</v>
      </c>
      <c r="L97" s="24">
        <f t="shared" si="5"/>
        <v>15986</v>
      </c>
      <c r="M97" s="24">
        <v>38900000</v>
      </c>
    </row>
    <row r="98" spans="1:13" s="5" customFormat="1" outlineLevel="2">
      <c r="A98" s="39" t="s">
        <v>78</v>
      </c>
      <c r="B98" s="40" t="s">
        <v>171</v>
      </c>
      <c r="C98" s="41" t="s">
        <v>81</v>
      </c>
      <c r="D98" s="40" t="s">
        <v>82</v>
      </c>
      <c r="E98" s="24">
        <v>6800000</v>
      </c>
      <c r="F98" s="39">
        <v>44272</v>
      </c>
      <c r="G98" s="24">
        <v>6800000</v>
      </c>
      <c r="H98" s="23">
        <v>5.0000000000000001E-3</v>
      </c>
      <c r="I98" s="39">
        <v>44287</v>
      </c>
      <c r="J98" s="39">
        <v>44300</v>
      </c>
      <c r="K98" s="24">
        <f t="shared" si="4"/>
        <v>14</v>
      </c>
      <c r="L98" s="24">
        <f t="shared" si="5"/>
        <v>1304</v>
      </c>
      <c r="M98" s="24">
        <v>6666666</v>
      </c>
    </row>
    <row r="99" spans="1:13" s="5" customFormat="1" outlineLevel="2">
      <c r="A99" s="39" t="s">
        <v>78</v>
      </c>
      <c r="B99" s="40" t="s">
        <v>171</v>
      </c>
      <c r="C99" s="41" t="s">
        <v>81</v>
      </c>
      <c r="D99" s="40"/>
      <c r="E99" s="24"/>
      <c r="F99" s="39"/>
      <c r="G99" s="24">
        <v>6666666</v>
      </c>
      <c r="H99" s="23">
        <v>5.0000000000000001E-3</v>
      </c>
      <c r="I99" s="39">
        <v>44301</v>
      </c>
      <c r="J99" s="39">
        <v>44316</v>
      </c>
      <c r="K99" s="24">
        <f t="shared" si="4"/>
        <v>16</v>
      </c>
      <c r="L99" s="24">
        <f t="shared" si="5"/>
        <v>1461</v>
      </c>
      <c r="M99" s="24"/>
    </row>
    <row r="100" spans="1:13" s="5" customFormat="1" outlineLevel="2">
      <c r="A100" s="39" t="s">
        <v>78</v>
      </c>
      <c r="B100" s="40" t="s">
        <v>172</v>
      </c>
      <c r="C100" s="41" t="s">
        <v>81</v>
      </c>
      <c r="D100" s="40" t="s">
        <v>82</v>
      </c>
      <c r="E100" s="24">
        <v>5540000</v>
      </c>
      <c r="F100" s="39">
        <v>44285</v>
      </c>
      <c r="G100" s="24">
        <v>5540000</v>
      </c>
      <c r="H100" s="23">
        <v>5.0000000000000001E-3</v>
      </c>
      <c r="I100" s="39">
        <v>44287</v>
      </c>
      <c r="J100" s="39">
        <v>44300</v>
      </c>
      <c r="K100" s="24">
        <f t="shared" si="4"/>
        <v>14</v>
      </c>
      <c r="L100" s="24">
        <f t="shared" si="5"/>
        <v>1062</v>
      </c>
      <c r="M100" s="24">
        <v>5431372</v>
      </c>
    </row>
    <row r="101" spans="1:13" s="5" customFormat="1" outlineLevel="2">
      <c r="A101" s="39" t="s">
        <v>78</v>
      </c>
      <c r="B101" s="40" t="s">
        <v>172</v>
      </c>
      <c r="C101" s="41" t="s">
        <v>81</v>
      </c>
      <c r="D101" s="40"/>
      <c r="E101" s="24"/>
      <c r="F101" s="39"/>
      <c r="G101" s="24">
        <v>5431372</v>
      </c>
      <c r="H101" s="23">
        <v>5.0000000000000001E-3</v>
      </c>
      <c r="I101" s="39">
        <v>44301</v>
      </c>
      <c r="J101" s="39">
        <v>44316</v>
      </c>
      <c r="K101" s="24">
        <f t="shared" si="4"/>
        <v>16</v>
      </c>
      <c r="L101" s="24">
        <f t="shared" si="5"/>
        <v>1190</v>
      </c>
      <c r="M101" s="24"/>
    </row>
    <row r="102" spans="1:13" s="5" customFormat="1" outlineLevel="2">
      <c r="A102" s="39" t="s">
        <v>78</v>
      </c>
      <c r="B102" s="40" t="s">
        <v>173</v>
      </c>
      <c r="C102" s="41" t="s">
        <v>337</v>
      </c>
      <c r="D102" s="40" t="s">
        <v>336</v>
      </c>
      <c r="E102" s="24">
        <v>30000000</v>
      </c>
      <c r="F102" s="39">
        <v>44286</v>
      </c>
      <c r="G102" s="24">
        <v>30000000</v>
      </c>
      <c r="H102" s="23">
        <v>5.0000000000000001E-3</v>
      </c>
      <c r="I102" s="39">
        <v>44287</v>
      </c>
      <c r="J102" s="39">
        <v>44300</v>
      </c>
      <c r="K102" s="24">
        <f t="shared" si="4"/>
        <v>14</v>
      </c>
      <c r="L102" s="24">
        <f t="shared" si="5"/>
        <v>5753</v>
      </c>
      <c r="M102" s="24">
        <v>29500000</v>
      </c>
    </row>
    <row r="103" spans="1:13" s="5" customFormat="1" outlineLevel="2">
      <c r="A103" s="39" t="s">
        <v>78</v>
      </c>
      <c r="B103" s="40" t="s">
        <v>173</v>
      </c>
      <c r="C103" s="41" t="s">
        <v>337</v>
      </c>
      <c r="D103" s="40"/>
      <c r="E103" s="24"/>
      <c r="F103" s="39"/>
      <c r="G103" s="24">
        <v>29500000</v>
      </c>
      <c r="H103" s="23">
        <v>5.0000000000000001E-3</v>
      </c>
      <c r="I103" s="39">
        <v>44301</v>
      </c>
      <c r="J103" s="39">
        <v>44316</v>
      </c>
      <c r="K103" s="24">
        <f t="shared" si="4"/>
        <v>16</v>
      </c>
      <c r="L103" s="24">
        <f t="shared" si="5"/>
        <v>6466</v>
      </c>
      <c r="M103" s="24"/>
    </row>
    <row r="104" spans="1:13" s="5" customFormat="1" outlineLevel="2">
      <c r="A104" s="39" t="s">
        <v>78</v>
      </c>
      <c r="B104" s="40" t="s">
        <v>62</v>
      </c>
      <c r="C104" s="41" t="s">
        <v>83</v>
      </c>
      <c r="D104" s="40" t="s">
        <v>84</v>
      </c>
      <c r="E104" s="24">
        <v>298410000</v>
      </c>
      <c r="F104" s="39">
        <v>44006</v>
      </c>
      <c r="G104" s="24">
        <v>298410000</v>
      </c>
      <c r="H104" s="23">
        <v>5.0000000000000001E-3</v>
      </c>
      <c r="I104" s="39">
        <v>44287</v>
      </c>
      <c r="J104" s="39">
        <v>44316</v>
      </c>
      <c r="K104" s="24">
        <f t="shared" si="4"/>
        <v>30</v>
      </c>
      <c r="L104" s="24">
        <f t="shared" si="5"/>
        <v>122634</v>
      </c>
      <c r="M104" s="24">
        <v>298410000</v>
      </c>
    </row>
    <row r="105" spans="1:13" s="5" customFormat="1" outlineLevel="2">
      <c r="A105" s="39" t="s">
        <v>78</v>
      </c>
      <c r="B105" s="40" t="s">
        <v>174</v>
      </c>
      <c r="C105" s="41" t="s">
        <v>155</v>
      </c>
      <c r="D105" s="40" t="s">
        <v>156</v>
      </c>
      <c r="E105" s="24">
        <v>120000000</v>
      </c>
      <c r="F105" s="39">
        <v>44270</v>
      </c>
      <c r="G105" s="24">
        <v>120000000</v>
      </c>
      <c r="H105" s="23">
        <v>5.0000000000000001E-3</v>
      </c>
      <c r="I105" s="39">
        <v>44287</v>
      </c>
      <c r="J105" s="39">
        <v>44316</v>
      </c>
      <c r="K105" s="24">
        <f t="shared" si="4"/>
        <v>30</v>
      </c>
      <c r="L105" s="24">
        <f t="shared" si="5"/>
        <v>49315</v>
      </c>
      <c r="M105" s="24">
        <v>120000000</v>
      </c>
    </row>
    <row r="106" spans="1:13" s="5" customFormat="1" outlineLevel="2">
      <c r="A106" s="39" t="s">
        <v>78</v>
      </c>
      <c r="B106" s="40" t="s">
        <v>175</v>
      </c>
      <c r="C106" s="41" t="s">
        <v>91</v>
      </c>
      <c r="D106" s="40" t="s">
        <v>92</v>
      </c>
      <c r="E106" s="24">
        <v>30400000</v>
      </c>
      <c r="F106" s="39">
        <v>44301</v>
      </c>
      <c r="G106" s="24">
        <v>30400000</v>
      </c>
      <c r="H106" s="23">
        <v>5.0000000000000001E-3</v>
      </c>
      <c r="I106" s="39">
        <v>44301</v>
      </c>
      <c r="J106" s="39">
        <v>44316</v>
      </c>
      <c r="K106" s="24">
        <f t="shared" si="4"/>
        <v>16</v>
      </c>
      <c r="L106" s="24">
        <f t="shared" si="5"/>
        <v>6663</v>
      </c>
      <c r="M106" s="24">
        <v>30400000</v>
      </c>
    </row>
    <row r="107" spans="1:13" s="5" customFormat="1" outlineLevel="2">
      <c r="A107" s="39" t="s">
        <v>78</v>
      </c>
      <c r="B107" s="40" t="s">
        <v>176</v>
      </c>
      <c r="C107" s="41" t="s">
        <v>337</v>
      </c>
      <c r="D107" s="40" t="s">
        <v>336</v>
      </c>
      <c r="E107" s="24">
        <v>20000000</v>
      </c>
      <c r="F107" s="39">
        <v>44315</v>
      </c>
      <c r="G107" s="24">
        <v>20000000</v>
      </c>
      <c r="H107" s="23">
        <v>5.0000000000000001E-3</v>
      </c>
      <c r="I107" s="39">
        <v>44315</v>
      </c>
      <c r="J107" s="39">
        <v>44316</v>
      </c>
      <c r="K107" s="24">
        <f t="shared" si="4"/>
        <v>2</v>
      </c>
      <c r="L107" s="24">
        <f t="shared" si="5"/>
        <v>548</v>
      </c>
      <c r="M107" s="24">
        <v>20000000</v>
      </c>
    </row>
    <row r="108" spans="1:13" s="5" customFormat="1" outlineLevel="2">
      <c r="A108" s="39" t="s">
        <v>78</v>
      </c>
      <c r="B108" s="40" t="s">
        <v>177</v>
      </c>
      <c r="C108" s="41" t="s">
        <v>85</v>
      </c>
      <c r="D108" s="40" t="s">
        <v>86</v>
      </c>
      <c r="E108" s="24">
        <v>50000000</v>
      </c>
      <c r="F108" s="39">
        <v>44315</v>
      </c>
      <c r="G108" s="24">
        <v>50000000</v>
      </c>
      <c r="H108" s="23">
        <v>5.0000000000000001E-3</v>
      </c>
      <c r="I108" s="39">
        <v>44315</v>
      </c>
      <c r="J108" s="39">
        <v>44316</v>
      </c>
      <c r="K108" s="24">
        <f t="shared" si="4"/>
        <v>2</v>
      </c>
      <c r="L108" s="24">
        <f t="shared" si="5"/>
        <v>1370</v>
      </c>
      <c r="M108" s="24">
        <v>50000000</v>
      </c>
    </row>
    <row r="109" spans="1:13" s="5" customFormat="1" outlineLevel="2">
      <c r="A109" s="39" t="s">
        <v>78</v>
      </c>
      <c r="B109" s="40" t="s">
        <v>178</v>
      </c>
      <c r="C109" s="41" t="s">
        <v>351</v>
      </c>
      <c r="D109" s="40" t="s">
        <v>350</v>
      </c>
      <c r="E109" s="24">
        <v>8600000</v>
      </c>
      <c r="F109" s="39">
        <v>44312</v>
      </c>
      <c r="G109" s="24">
        <v>8600000</v>
      </c>
      <c r="H109" s="23">
        <v>5.0000000000000001E-3</v>
      </c>
      <c r="I109" s="39">
        <v>44312</v>
      </c>
      <c r="J109" s="39">
        <v>44316</v>
      </c>
      <c r="K109" s="24">
        <f t="shared" si="4"/>
        <v>5</v>
      </c>
      <c r="L109" s="24">
        <f t="shared" si="5"/>
        <v>589</v>
      </c>
      <c r="M109" s="24">
        <v>8600000</v>
      </c>
    </row>
    <row r="110" spans="1:13" s="5" customFormat="1" outlineLevel="2">
      <c r="A110" s="39" t="s">
        <v>78</v>
      </c>
      <c r="B110" s="40" t="s">
        <v>63</v>
      </c>
      <c r="C110" s="41" t="s">
        <v>83</v>
      </c>
      <c r="D110" s="40" t="s">
        <v>84</v>
      </c>
      <c r="E110" s="24">
        <v>95370000</v>
      </c>
      <c r="F110" s="39">
        <v>44006</v>
      </c>
      <c r="G110" s="24">
        <v>95370000</v>
      </c>
      <c r="H110" s="23">
        <v>5.0000000000000001E-3</v>
      </c>
      <c r="I110" s="39">
        <v>44287</v>
      </c>
      <c r="J110" s="39">
        <v>44316</v>
      </c>
      <c r="K110" s="24">
        <f t="shared" si="4"/>
        <v>30</v>
      </c>
      <c r="L110" s="24">
        <f t="shared" si="5"/>
        <v>39193</v>
      </c>
      <c r="M110" s="24">
        <v>95370000</v>
      </c>
    </row>
    <row r="111" spans="1:13" s="5" customFormat="1" outlineLevel="2">
      <c r="A111" s="39" t="s">
        <v>78</v>
      </c>
      <c r="B111" s="40" t="s">
        <v>64</v>
      </c>
      <c r="C111" s="41" t="s">
        <v>83</v>
      </c>
      <c r="D111" s="40" t="s">
        <v>84</v>
      </c>
      <c r="E111" s="24">
        <v>73910000</v>
      </c>
      <c r="F111" s="39">
        <v>44032</v>
      </c>
      <c r="G111" s="24">
        <v>73910000</v>
      </c>
      <c r="H111" s="23">
        <v>5.0000000000000001E-3</v>
      </c>
      <c r="I111" s="39">
        <v>44287</v>
      </c>
      <c r="J111" s="39">
        <v>44316</v>
      </c>
      <c r="K111" s="24">
        <f t="shared" ref="K111:K142" si="6">J111-I111+1</f>
        <v>30</v>
      </c>
      <c r="L111" s="24">
        <f t="shared" ref="L111:L142" si="7">ROUND(G111*H111*K111/365,0)</f>
        <v>30374</v>
      </c>
      <c r="M111" s="24">
        <v>73910000</v>
      </c>
    </row>
    <row r="112" spans="1:13" s="5" customFormat="1" outlineLevel="2">
      <c r="A112" s="39" t="s">
        <v>78</v>
      </c>
      <c r="B112" s="40" t="s">
        <v>65</v>
      </c>
      <c r="C112" s="41" t="s">
        <v>83</v>
      </c>
      <c r="D112" s="40" t="s">
        <v>84</v>
      </c>
      <c r="E112" s="24">
        <v>291200000</v>
      </c>
      <c r="F112" s="39">
        <v>44032</v>
      </c>
      <c r="G112" s="24">
        <v>291200000</v>
      </c>
      <c r="H112" s="23">
        <v>3.0000000000000001E-3</v>
      </c>
      <c r="I112" s="39">
        <v>44287</v>
      </c>
      <c r="J112" s="39">
        <v>44316</v>
      </c>
      <c r="K112" s="24">
        <f t="shared" si="6"/>
        <v>30</v>
      </c>
      <c r="L112" s="24">
        <f t="shared" si="7"/>
        <v>71803</v>
      </c>
      <c r="M112" s="24">
        <v>291200000</v>
      </c>
    </row>
    <row r="113" spans="1:13" s="5" customFormat="1" outlineLevel="2">
      <c r="A113" s="39" t="s">
        <v>78</v>
      </c>
      <c r="B113" s="40" t="s">
        <v>68</v>
      </c>
      <c r="C113" s="41" t="s">
        <v>81</v>
      </c>
      <c r="D113" s="40" t="s">
        <v>82</v>
      </c>
      <c r="E113" s="24">
        <v>10000000</v>
      </c>
      <c r="F113" s="39">
        <v>44025</v>
      </c>
      <c r="G113" s="24">
        <v>8644064</v>
      </c>
      <c r="H113" s="23">
        <v>5.0000000000000001E-3</v>
      </c>
      <c r="I113" s="39">
        <v>44287</v>
      </c>
      <c r="J113" s="39">
        <v>44300</v>
      </c>
      <c r="K113" s="24">
        <f t="shared" si="6"/>
        <v>14</v>
      </c>
      <c r="L113" s="24">
        <f t="shared" si="7"/>
        <v>1658</v>
      </c>
      <c r="M113" s="24">
        <v>8474572</v>
      </c>
    </row>
    <row r="114" spans="1:13" s="5" customFormat="1" outlineLevel="2">
      <c r="A114" s="39" t="s">
        <v>78</v>
      </c>
      <c r="B114" s="40" t="s">
        <v>68</v>
      </c>
      <c r="C114" s="41" t="s">
        <v>81</v>
      </c>
      <c r="D114" s="40"/>
      <c r="E114" s="24"/>
      <c r="F114" s="39"/>
      <c r="G114" s="24">
        <v>8474572</v>
      </c>
      <c r="H114" s="23">
        <v>5.0000000000000001E-3</v>
      </c>
      <c r="I114" s="39">
        <v>44301</v>
      </c>
      <c r="J114" s="39">
        <v>44316</v>
      </c>
      <c r="K114" s="24">
        <f t="shared" si="6"/>
        <v>16</v>
      </c>
      <c r="L114" s="24">
        <f t="shared" si="7"/>
        <v>1857</v>
      </c>
      <c r="M114" s="24"/>
    </row>
    <row r="115" spans="1:13" s="5" customFormat="1" outlineLevel="1">
      <c r="A115" s="42" t="s">
        <v>107</v>
      </c>
      <c r="B115" s="43"/>
      <c r="C115" s="44"/>
      <c r="D115" s="43"/>
      <c r="E115" s="45">
        <f>SUBTOTAL(9,E47:E114)</f>
        <v>2958763720</v>
      </c>
      <c r="F115" s="46"/>
      <c r="G115" s="45"/>
      <c r="H115" s="47"/>
      <c r="I115" s="46"/>
      <c r="J115" s="46"/>
      <c r="K115" s="45"/>
      <c r="L115" s="45">
        <f>SUBTOTAL(9,L47:L114)</f>
        <v>1125981</v>
      </c>
      <c r="M115" s="45">
        <f>SUBTOTAL(9,M47:M114)</f>
        <v>2941035456</v>
      </c>
    </row>
    <row r="116" spans="1:13" s="5" customFormat="1" outlineLevel="2">
      <c r="A116" s="39" t="s">
        <v>108</v>
      </c>
      <c r="B116" s="40" t="s">
        <v>16</v>
      </c>
      <c r="C116" s="41" t="s">
        <v>109</v>
      </c>
      <c r="D116" s="40" t="s">
        <v>110</v>
      </c>
      <c r="E116" s="24">
        <v>81465386</v>
      </c>
      <c r="F116" s="39">
        <v>43900</v>
      </c>
      <c r="G116" s="24">
        <v>81465386</v>
      </c>
      <c r="H116" s="23">
        <v>5.0000000000000001E-3</v>
      </c>
      <c r="I116" s="39">
        <v>44287</v>
      </c>
      <c r="J116" s="39">
        <v>44316</v>
      </c>
      <c r="K116" s="24">
        <f t="shared" ref="K116:K147" si="8">J116-I116+1</f>
        <v>30</v>
      </c>
      <c r="L116" s="24">
        <f t="shared" ref="L116:L147" si="9">ROUND(G116*H116*K116/365,0)</f>
        <v>33479</v>
      </c>
      <c r="M116" s="24">
        <v>81465386</v>
      </c>
    </row>
    <row r="117" spans="1:13" s="5" customFormat="1" outlineLevel="2">
      <c r="A117" s="39" t="s">
        <v>108</v>
      </c>
      <c r="B117" s="40" t="s">
        <v>19</v>
      </c>
      <c r="C117" s="41" t="s">
        <v>111</v>
      </c>
      <c r="D117" s="40" t="s">
        <v>112</v>
      </c>
      <c r="E117" s="24">
        <v>8860000</v>
      </c>
      <c r="F117" s="39">
        <v>43997</v>
      </c>
      <c r="G117" s="24">
        <v>8860000</v>
      </c>
      <c r="H117" s="23">
        <v>5.0000000000000001E-3</v>
      </c>
      <c r="I117" s="39">
        <v>44287</v>
      </c>
      <c r="J117" s="39">
        <v>44316</v>
      </c>
      <c r="K117" s="24">
        <f t="shared" si="8"/>
        <v>30</v>
      </c>
      <c r="L117" s="24">
        <f t="shared" si="9"/>
        <v>3641</v>
      </c>
      <c r="M117" s="24">
        <v>8860000</v>
      </c>
    </row>
    <row r="118" spans="1:13" s="5" customFormat="1" outlineLevel="2">
      <c r="A118" s="39" t="s">
        <v>108</v>
      </c>
      <c r="B118" s="40" t="s">
        <v>22</v>
      </c>
      <c r="C118" s="41" t="s">
        <v>113</v>
      </c>
      <c r="D118" s="40" t="s">
        <v>114</v>
      </c>
      <c r="E118" s="24">
        <v>20390000</v>
      </c>
      <c r="F118" s="39">
        <v>43997</v>
      </c>
      <c r="G118" s="24">
        <v>18152078</v>
      </c>
      <c r="H118" s="23">
        <v>5.0000000000000001E-3</v>
      </c>
      <c r="I118" s="39">
        <v>44287</v>
      </c>
      <c r="J118" s="39">
        <v>44300</v>
      </c>
      <c r="K118" s="24">
        <f t="shared" si="8"/>
        <v>14</v>
      </c>
      <c r="L118" s="24">
        <f t="shared" si="9"/>
        <v>3481</v>
      </c>
      <c r="M118" s="24">
        <v>17903420</v>
      </c>
    </row>
    <row r="119" spans="1:13" s="5" customFormat="1" outlineLevel="2">
      <c r="A119" s="39" t="s">
        <v>108</v>
      </c>
      <c r="B119" s="40" t="s">
        <v>22</v>
      </c>
      <c r="C119" s="41" t="s">
        <v>113</v>
      </c>
      <c r="D119" s="40"/>
      <c r="E119" s="24"/>
      <c r="F119" s="39"/>
      <c r="G119" s="24">
        <v>17903420</v>
      </c>
      <c r="H119" s="23">
        <v>5.0000000000000001E-3</v>
      </c>
      <c r="I119" s="39">
        <v>44301</v>
      </c>
      <c r="J119" s="39">
        <v>44316</v>
      </c>
      <c r="K119" s="24">
        <f t="shared" si="8"/>
        <v>16</v>
      </c>
      <c r="L119" s="24">
        <f t="shared" si="9"/>
        <v>3924</v>
      </c>
      <c r="M119" s="24"/>
    </row>
    <row r="120" spans="1:13" s="5" customFormat="1" outlineLevel="2">
      <c r="A120" s="39" t="s">
        <v>108</v>
      </c>
      <c r="B120" s="40" t="s">
        <v>25</v>
      </c>
      <c r="C120" s="41" t="s">
        <v>113</v>
      </c>
      <c r="D120" s="40" t="s">
        <v>114</v>
      </c>
      <c r="E120" s="24">
        <v>69600000</v>
      </c>
      <c r="F120" s="39">
        <v>43997</v>
      </c>
      <c r="G120" s="24">
        <v>64380000</v>
      </c>
      <c r="H120" s="23">
        <v>5.0000000000000001E-3</v>
      </c>
      <c r="I120" s="39">
        <v>44287</v>
      </c>
      <c r="J120" s="39">
        <v>44300</v>
      </c>
      <c r="K120" s="24">
        <f t="shared" si="8"/>
        <v>14</v>
      </c>
      <c r="L120" s="24">
        <f t="shared" si="9"/>
        <v>12347</v>
      </c>
      <c r="M120" s="24">
        <v>63800000</v>
      </c>
    </row>
    <row r="121" spans="1:13" s="5" customFormat="1" outlineLevel="2">
      <c r="A121" s="39" t="s">
        <v>108</v>
      </c>
      <c r="B121" s="40" t="s">
        <v>25</v>
      </c>
      <c r="C121" s="41" t="s">
        <v>113</v>
      </c>
      <c r="D121" s="40"/>
      <c r="E121" s="24"/>
      <c r="F121" s="39"/>
      <c r="G121" s="24">
        <v>63800000</v>
      </c>
      <c r="H121" s="23">
        <v>5.0000000000000001E-3</v>
      </c>
      <c r="I121" s="39">
        <v>44301</v>
      </c>
      <c r="J121" s="39">
        <v>44316</v>
      </c>
      <c r="K121" s="24">
        <f t="shared" si="8"/>
        <v>16</v>
      </c>
      <c r="L121" s="24">
        <f t="shared" si="9"/>
        <v>13984</v>
      </c>
      <c r="M121" s="24"/>
    </row>
    <row r="122" spans="1:13" s="5" customFormat="1" outlineLevel="2">
      <c r="A122" s="39" t="s">
        <v>108</v>
      </c>
      <c r="B122" s="40" t="s">
        <v>26</v>
      </c>
      <c r="C122" s="41" t="s">
        <v>109</v>
      </c>
      <c r="D122" s="40" t="s">
        <v>110</v>
      </c>
      <c r="E122" s="24">
        <v>16630000</v>
      </c>
      <c r="F122" s="39">
        <v>44011</v>
      </c>
      <c r="G122" s="24">
        <v>16630000</v>
      </c>
      <c r="H122" s="23">
        <v>5.0000000000000001E-3</v>
      </c>
      <c r="I122" s="39">
        <v>44287</v>
      </c>
      <c r="J122" s="39">
        <v>44316</v>
      </c>
      <c r="K122" s="24">
        <f t="shared" si="8"/>
        <v>30</v>
      </c>
      <c r="L122" s="24">
        <f t="shared" si="9"/>
        <v>6834</v>
      </c>
      <c r="M122" s="24">
        <v>16630000</v>
      </c>
    </row>
    <row r="123" spans="1:13" s="5" customFormat="1" outlineLevel="2">
      <c r="A123" s="39" t="s">
        <v>108</v>
      </c>
      <c r="B123" s="40" t="s">
        <v>29</v>
      </c>
      <c r="C123" s="41" t="s">
        <v>111</v>
      </c>
      <c r="D123" s="40" t="s">
        <v>112</v>
      </c>
      <c r="E123" s="24">
        <v>4650000</v>
      </c>
      <c r="F123" s="39">
        <v>44027</v>
      </c>
      <c r="G123" s="24">
        <v>4650000</v>
      </c>
      <c r="H123" s="23">
        <v>5.0000000000000001E-3</v>
      </c>
      <c r="I123" s="39">
        <v>44287</v>
      </c>
      <c r="J123" s="39">
        <v>44316</v>
      </c>
      <c r="K123" s="24">
        <f t="shared" si="8"/>
        <v>30</v>
      </c>
      <c r="L123" s="24">
        <f t="shared" si="9"/>
        <v>1911</v>
      </c>
      <c r="M123" s="24">
        <v>4650000</v>
      </c>
    </row>
    <row r="124" spans="1:13" s="5" customFormat="1" outlineLevel="2">
      <c r="A124" s="39" t="s">
        <v>108</v>
      </c>
      <c r="B124" s="40" t="s">
        <v>32</v>
      </c>
      <c r="C124" s="41" t="s">
        <v>113</v>
      </c>
      <c r="D124" s="40" t="s">
        <v>114</v>
      </c>
      <c r="E124" s="24">
        <v>10860000</v>
      </c>
      <c r="F124" s="39">
        <v>44027</v>
      </c>
      <c r="G124" s="24">
        <v>9787408</v>
      </c>
      <c r="H124" s="23">
        <v>5.0000000000000001E-3</v>
      </c>
      <c r="I124" s="39">
        <v>44287</v>
      </c>
      <c r="J124" s="39">
        <v>44300</v>
      </c>
      <c r="K124" s="24">
        <f t="shared" si="8"/>
        <v>14</v>
      </c>
      <c r="L124" s="24">
        <f t="shared" si="9"/>
        <v>1877</v>
      </c>
      <c r="M124" s="24">
        <v>9653334</v>
      </c>
    </row>
    <row r="125" spans="1:13" s="5" customFormat="1" outlineLevel="2">
      <c r="A125" s="39" t="s">
        <v>108</v>
      </c>
      <c r="B125" s="40" t="s">
        <v>32</v>
      </c>
      <c r="C125" s="41" t="s">
        <v>113</v>
      </c>
      <c r="D125" s="40"/>
      <c r="E125" s="24"/>
      <c r="F125" s="39"/>
      <c r="G125" s="24">
        <v>9653334</v>
      </c>
      <c r="H125" s="23">
        <v>5.0000000000000001E-3</v>
      </c>
      <c r="I125" s="39">
        <v>44301</v>
      </c>
      <c r="J125" s="39">
        <v>44316</v>
      </c>
      <c r="K125" s="24">
        <f t="shared" si="8"/>
        <v>16</v>
      </c>
      <c r="L125" s="24">
        <f t="shared" si="9"/>
        <v>2116</v>
      </c>
      <c r="M125" s="24"/>
    </row>
    <row r="126" spans="1:13" s="5" customFormat="1" outlineLevel="2">
      <c r="A126" s="39" t="s">
        <v>108</v>
      </c>
      <c r="B126" s="40" t="s">
        <v>33</v>
      </c>
      <c r="C126" s="41" t="s">
        <v>113</v>
      </c>
      <c r="D126" s="40" t="s">
        <v>114</v>
      </c>
      <c r="E126" s="24">
        <v>11600000</v>
      </c>
      <c r="F126" s="39">
        <v>44027</v>
      </c>
      <c r="G126" s="24">
        <v>10820176</v>
      </c>
      <c r="H126" s="23">
        <v>5.0000000000000001E-3</v>
      </c>
      <c r="I126" s="39">
        <v>44287</v>
      </c>
      <c r="J126" s="39">
        <v>44300</v>
      </c>
      <c r="K126" s="24">
        <f t="shared" si="8"/>
        <v>14</v>
      </c>
      <c r="L126" s="24">
        <f t="shared" si="9"/>
        <v>2075</v>
      </c>
      <c r="M126" s="24">
        <v>10722698</v>
      </c>
    </row>
    <row r="127" spans="1:13" s="5" customFormat="1" outlineLevel="2">
      <c r="A127" s="39" t="s">
        <v>108</v>
      </c>
      <c r="B127" s="40" t="s">
        <v>33</v>
      </c>
      <c r="C127" s="41" t="s">
        <v>113</v>
      </c>
      <c r="D127" s="40"/>
      <c r="E127" s="24"/>
      <c r="F127" s="39"/>
      <c r="G127" s="24">
        <v>10722698</v>
      </c>
      <c r="H127" s="23">
        <v>5.0000000000000001E-3</v>
      </c>
      <c r="I127" s="39">
        <v>44301</v>
      </c>
      <c r="J127" s="39">
        <v>44316</v>
      </c>
      <c r="K127" s="24">
        <f t="shared" si="8"/>
        <v>16</v>
      </c>
      <c r="L127" s="24">
        <f t="shared" si="9"/>
        <v>2350</v>
      </c>
      <c r="M127" s="24"/>
    </row>
    <row r="128" spans="1:13" s="5" customFormat="1" outlineLevel="2">
      <c r="A128" s="39" t="s">
        <v>108</v>
      </c>
      <c r="B128" s="40" t="s">
        <v>34</v>
      </c>
      <c r="C128" s="41" t="s">
        <v>23</v>
      </c>
      <c r="D128" s="40" t="s">
        <v>24</v>
      </c>
      <c r="E128" s="24">
        <v>18700000</v>
      </c>
      <c r="F128" s="39">
        <v>44032</v>
      </c>
      <c r="G128" s="24">
        <v>18700000</v>
      </c>
      <c r="H128" s="23">
        <v>5.0000000000000001E-3</v>
      </c>
      <c r="I128" s="39">
        <v>44287</v>
      </c>
      <c r="J128" s="39">
        <v>44316</v>
      </c>
      <c r="K128" s="24">
        <f t="shared" si="8"/>
        <v>30</v>
      </c>
      <c r="L128" s="24">
        <f t="shared" si="9"/>
        <v>7685</v>
      </c>
      <c r="M128" s="24">
        <v>18700000</v>
      </c>
    </row>
    <row r="129" spans="1:13" s="5" customFormat="1" outlineLevel="2">
      <c r="A129" s="39" t="s">
        <v>108</v>
      </c>
      <c r="B129" s="40" t="s">
        <v>35</v>
      </c>
      <c r="C129" s="41" t="s">
        <v>111</v>
      </c>
      <c r="D129" s="40" t="s">
        <v>112</v>
      </c>
      <c r="E129" s="24">
        <v>2950000</v>
      </c>
      <c r="F129" s="39">
        <v>44060</v>
      </c>
      <c r="G129" s="24">
        <v>2950000</v>
      </c>
      <c r="H129" s="23">
        <v>5.0000000000000001E-3</v>
      </c>
      <c r="I129" s="39">
        <v>44287</v>
      </c>
      <c r="J129" s="39">
        <v>44316</v>
      </c>
      <c r="K129" s="24">
        <f t="shared" si="8"/>
        <v>30</v>
      </c>
      <c r="L129" s="24">
        <f t="shared" si="9"/>
        <v>1212</v>
      </c>
      <c r="M129" s="24">
        <v>2950000</v>
      </c>
    </row>
    <row r="130" spans="1:13" s="5" customFormat="1" outlineLevel="2">
      <c r="A130" s="39" t="s">
        <v>108</v>
      </c>
      <c r="B130" s="40" t="s">
        <v>36</v>
      </c>
      <c r="C130" s="41" t="s">
        <v>109</v>
      </c>
      <c r="D130" s="40" t="s">
        <v>110</v>
      </c>
      <c r="E130" s="24">
        <v>15120000</v>
      </c>
      <c r="F130" s="39">
        <v>44091</v>
      </c>
      <c r="G130" s="24">
        <v>15120000</v>
      </c>
      <c r="H130" s="23">
        <v>5.0000000000000001E-3</v>
      </c>
      <c r="I130" s="39">
        <v>44287</v>
      </c>
      <c r="J130" s="39">
        <v>44316</v>
      </c>
      <c r="K130" s="24">
        <f t="shared" si="8"/>
        <v>30</v>
      </c>
      <c r="L130" s="24">
        <f t="shared" si="9"/>
        <v>6214</v>
      </c>
      <c r="M130" s="24">
        <v>15120000</v>
      </c>
    </row>
    <row r="131" spans="1:13" s="5" customFormat="1" outlineLevel="2">
      <c r="A131" s="39" t="s">
        <v>108</v>
      </c>
      <c r="B131" s="40" t="s">
        <v>39</v>
      </c>
      <c r="C131" s="41" t="s">
        <v>111</v>
      </c>
      <c r="D131" s="40" t="s">
        <v>112</v>
      </c>
      <c r="E131" s="24">
        <v>6200000</v>
      </c>
      <c r="F131" s="39">
        <v>43929</v>
      </c>
      <c r="G131" s="24">
        <v>6200000</v>
      </c>
      <c r="H131" s="23">
        <v>5.0000000000000001E-3</v>
      </c>
      <c r="I131" s="39">
        <v>44287</v>
      </c>
      <c r="J131" s="39">
        <v>44316</v>
      </c>
      <c r="K131" s="24">
        <f t="shared" si="8"/>
        <v>30</v>
      </c>
      <c r="L131" s="24">
        <f t="shared" si="9"/>
        <v>2548</v>
      </c>
      <c r="M131" s="24">
        <v>6200000</v>
      </c>
    </row>
    <row r="132" spans="1:13" s="5" customFormat="1" outlineLevel="2">
      <c r="A132" s="39" t="s">
        <v>108</v>
      </c>
      <c r="B132" s="40" t="s">
        <v>40</v>
      </c>
      <c r="C132" s="41" t="s">
        <v>27</v>
      </c>
      <c r="D132" s="40" t="s">
        <v>28</v>
      </c>
      <c r="E132" s="24">
        <v>10000000</v>
      </c>
      <c r="F132" s="39">
        <v>44111</v>
      </c>
      <c r="G132" s="24">
        <v>9000004</v>
      </c>
      <c r="H132" s="23">
        <v>5.0000000000000001E-3</v>
      </c>
      <c r="I132" s="39">
        <v>44287</v>
      </c>
      <c r="J132" s="39">
        <v>44300</v>
      </c>
      <c r="K132" s="24">
        <f t="shared" si="8"/>
        <v>14</v>
      </c>
      <c r="L132" s="24">
        <f t="shared" si="9"/>
        <v>1726</v>
      </c>
      <c r="M132" s="24">
        <v>8833338</v>
      </c>
    </row>
    <row r="133" spans="1:13" s="5" customFormat="1" outlineLevel="2">
      <c r="A133" s="39" t="s">
        <v>108</v>
      </c>
      <c r="B133" s="40" t="s">
        <v>40</v>
      </c>
      <c r="C133" s="41" t="s">
        <v>27</v>
      </c>
      <c r="D133" s="40"/>
      <c r="E133" s="24"/>
      <c r="F133" s="39"/>
      <c r="G133" s="24">
        <v>8833338</v>
      </c>
      <c r="H133" s="23">
        <v>5.0000000000000001E-3</v>
      </c>
      <c r="I133" s="39">
        <v>44301</v>
      </c>
      <c r="J133" s="39">
        <v>44316</v>
      </c>
      <c r="K133" s="24">
        <f t="shared" si="8"/>
        <v>16</v>
      </c>
      <c r="L133" s="24">
        <f t="shared" si="9"/>
        <v>1936</v>
      </c>
      <c r="M133" s="24"/>
    </row>
    <row r="134" spans="1:13" s="5" customFormat="1" outlineLevel="2">
      <c r="A134" s="39" t="s">
        <v>108</v>
      </c>
      <c r="B134" s="40" t="s">
        <v>41</v>
      </c>
      <c r="C134" s="41" t="s">
        <v>27</v>
      </c>
      <c r="D134" s="40" t="s">
        <v>28</v>
      </c>
      <c r="E134" s="24">
        <v>24450000</v>
      </c>
      <c r="F134" s="39">
        <v>44120</v>
      </c>
      <c r="G134" s="24">
        <v>22377970</v>
      </c>
      <c r="H134" s="23">
        <v>5.0000000000000001E-3</v>
      </c>
      <c r="I134" s="39">
        <v>44287</v>
      </c>
      <c r="J134" s="39">
        <v>44300</v>
      </c>
      <c r="K134" s="24">
        <f t="shared" si="8"/>
        <v>14</v>
      </c>
      <c r="L134" s="24">
        <f t="shared" si="9"/>
        <v>4292</v>
      </c>
      <c r="M134" s="24">
        <v>21963564</v>
      </c>
    </row>
    <row r="135" spans="1:13" s="5" customFormat="1" outlineLevel="2">
      <c r="A135" s="39" t="s">
        <v>108</v>
      </c>
      <c r="B135" s="40" t="s">
        <v>41</v>
      </c>
      <c r="C135" s="41" t="s">
        <v>27</v>
      </c>
      <c r="D135" s="40"/>
      <c r="E135" s="24"/>
      <c r="F135" s="39"/>
      <c r="G135" s="24">
        <v>21963564</v>
      </c>
      <c r="H135" s="23">
        <v>5.0000000000000001E-3</v>
      </c>
      <c r="I135" s="39">
        <v>44301</v>
      </c>
      <c r="J135" s="39">
        <v>44316</v>
      </c>
      <c r="K135" s="24">
        <f t="shared" si="8"/>
        <v>16</v>
      </c>
      <c r="L135" s="24">
        <f t="shared" si="9"/>
        <v>4814</v>
      </c>
      <c r="M135" s="24"/>
    </row>
    <row r="136" spans="1:13" s="5" customFormat="1" outlineLevel="2">
      <c r="A136" s="39" t="s">
        <v>108</v>
      </c>
      <c r="B136" s="40" t="s">
        <v>42</v>
      </c>
      <c r="C136" s="41" t="s">
        <v>23</v>
      </c>
      <c r="D136" s="40" t="s">
        <v>24</v>
      </c>
      <c r="E136" s="24">
        <v>26100000</v>
      </c>
      <c r="F136" s="39">
        <v>44124</v>
      </c>
      <c r="G136" s="24">
        <v>26100000</v>
      </c>
      <c r="H136" s="23">
        <v>5.0000000000000001E-3</v>
      </c>
      <c r="I136" s="39">
        <v>44287</v>
      </c>
      <c r="J136" s="39">
        <v>44316</v>
      </c>
      <c r="K136" s="24">
        <f t="shared" si="8"/>
        <v>30</v>
      </c>
      <c r="L136" s="24">
        <f t="shared" si="9"/>
        <v>10726</v>
      </c>
      <c r="M136" s="24">
        <v>26100000</v>
      </c>
    </row>
    <row r="137" spans="1:13" s="5" customFormat="1" outlineLevel="2">
      <c r="A137" s="39" t="s">
        <v>108</v>
      </c>
      <c r="B137" s="40" t="s">
        <v>43</v>
      </c>
      <c r="C137" s="41" t="s">
        <v>27</v>
      </c>
      <c r="D137" s="40" t="s">
        <v>28</v>
      </c>
      <c r="E137" s="24">
        <v>25800000</v>
      </c>
      <c r="F137" s="39">
        <v>44137</v>
      </c>
      <c r="G137" s="24">
        <v>23613560</v>
      </c>
      <c r="H137" s="23">
        <v>5.0000000000000001E-3</v>
      </c>
      <c r="I137" s="39">
        <v>44287</v>
      </c>
      <c r="J137" s="39">
        <v>44300</v>
      </c>
      <c r="K137" s="24">
        <f t="shared" si="8"/>
        <v>14</v>
      </c>
      <c r="L137" s="24">
        <f t="shared" si="9"/>
        <v>4529</v>
      </c>
      <c r="M137" s="24">
        <v>23176272</v>
      </c>
    </row>
    <row r="138" spans="1:13" s="5" customFormat="1" outlineLevel="2">
      <c r="A138" s="39" t="s">
        <v>108</v>
      </c>
      <c r="B138" s="40" t="s">
        <v>43</v>
      </c>
      <c r="C138" s="41" t="s">
        <v>27</v>
      </c>
      <c r="D138" s="40"/>
      <c r="E138" s="24"/>
      <c r="F138" s="39"/>
      <c r="G138" s="24">
        <v>23176272</v>
      </c>
      <c r="H138" s="23">
        <v>5.0000000000000001E-3</v>
      </c>
      <c r="I138" s="39">
        <v>44301</v>
      </c>
      <c r="J138" s="39">
        <v>44316</v>
      </c>
      <c r="K138" s="24">
        <f t="shared" si="8"/>
        <v>16</v>
      </c>
      <c r="L138" s="24">
        <f t="shared" si="9"/>
        <v>5080</v>
      </c>
      <c r="M138" s="24"/>
    </row>
    <row r="139" spans="1:13" s="5" customFormat="1" outlineLevel="2">
      <c r="A139" s="39" t="s">
        <v>108</v>
      </c>
      <c r="B139" s="40" t="s">
        <v>44</v>
      </c>
      <c r="C139" s="41" t="s">
        <v>115</v>
      </c>
      <c r="D139" s="40" t="s">
        <v>116</v>
      </c>
      <c r="E139" s="24">
        <v>1200000</v>
      </c>
      <c r="F139" s="39">
        <v>44138</v>
      </c>
      <c r="G139" s="24">
        <v>1200000</v>
      </c>
      <c r="H139" s="23">
        <v>5.0000000000000001E-3</v>
      </c>
      <c r="I139" s="39">
        <v>44287</v>
      </c>
      <c r="J139" s="39">
        <v>44316</v>
      </c>
      <c r="K139" s="24">
        <f t="shared" si="8"/>
        <v>30</v>
      </c>
      <c r="L139" s="24">
        <f t="shared" si="9"/>
        <v>493</v>
      </c>
      <c r="M139" s="24">
        <v>1200000</v>
      </c>
    </row>
    <row r="140" spans="1:13" s="5" customFormat="1" outlineLevel="2">
      <c r="A140" s="39" t="s">
        <v>108</v>
      </c>
      <c r="B140" s="40" t="s">
        <v>47</v>
      </c>
      <c r="C140" s="41" t="s">
        <v>115</v>
      </c>
      <c r="D140" s="40" t="s">
        <v>116</v>
      </c>
      <c r="E140" s="24">
        <v>2350000</v>
      </c>
      <c r="F140" s="39">
        <v>44138</v>
      </c>
      <c r="G140" s="24">
        <v>2350000</v>
      </c>
      <c r="H140" s="23">
        <v>5.0000000000000001E-3</v>
      </c>
      <c r="I140" s="39">
        <v>44287</v>
      </c>
      <c r="J140" s="39">
        <v>44316</v>
      </c>
      <c r="K140" s="24">
        <f t="shared" si="8"/>
        <v>30</v>
      </c>
      <c r="L140" s="24">
        <f t="shared" si="9"/>
        <v>966</v>
      </c>
      <c r="M140" s="24">
        <v>2350000</v>
      </c>
    </row>
    <row r="141" spans="1:13" s="5" customFormat="1" outlineLevel="2">
      <c r="A141" s="39" t="s">
        <v>108</v>
      </c>
      <c r="B141" s="40" t="s">
        <v>50</v>
      </c>
      <c r="C141" s="41" t="s">
        <v>113</v>
      </c>
      <c r="D141" s="40" t="s">
        <v>114</v>
      </c>
      <c r="E141" s="24">
        <v>23200000</v>
      </c>
      <c r="F141" s="39">
        <v>44151</v>
      </c>
      <c r="G141" s="24">
        <v>22393044</v>
      </c>
      <c r="H141" s="23">
        <v>5.0000000000000001E-3</v>
      </c>
      <c r="I141" s="39">
        <v>44287</v>
      </c>
      <c r="J141" s="39">
        <v>44300</v>
      </c>
      <c r="K141" s="24">
        <f t="shared" si="8"/>
        <v>14</v>
      </c>
      <c r="L141" s="24">
        <f t="shared" si="9"/>
        <v>4295</v>
      </c>
      <c r="M141" s="24">
        <v>22191305</v>
      </c>
    </row>
    <row r="142" spans="1:13" s="5" customFormat="1" outlineLevel="2">
      <c r="A142" s="39" t="s">
        <v>108</v>
      </c>
      <c r="B142" s="40" t="s">
        <v>50</v>
      </c>
      <c r="C142" s="41" t="s">
        <v>113</v>
      </c>
      <c r="D142" s="40"/>
      <c r="E142" s="24"/>
      <c r="F142" s="39"/>
      <c r="G142" s="24">
        <v>22191305</v>
      </c>
      <c r="H142" s="23">
        <v>5.0000000000000001E-3</v>
      </c>
      <c r="I142" s="39">
        <v>44301</v>
      </c>
      <c r="J142" s="39">
        <v>44316</v>
      </c>
      <c r="K142" s="24">
        <f t="shared" si="8"/>
        <v>16</v>
      </c>
      <c r="L142" s="24">
        <f t="shared" si="9"/>
        <v>4864</v>
      </c>
      <c r="M142" s="24"/>
    </row>
    <row r="143" spans="1:13" s="5" customFormat="1" outlineLevel="2">
      <c r="A143" s="39" t="s">
        <v>108</v>
      </c>
      <c r="B143" s="40" t="s">
        <v>51</v>
      </c>
      <c r="C143" s="41" t="s">
        <v>111</v>
      </c>
      <c r="D143" s="40" t="s">
        <v>112</v>
      </c>
      <c r="E143" s="24">
        <v>5910000</v>
      </c>
      <c r="F143" s="39">
        <v>44151</v>
      </c>
      <c r="G143" s="24">
        <v>5910000</v>
      </c>
      <c r="H143" s="23">
        <v>5.0000000000000001E-3</v>
      </c>
      <c r="I143" s="39">
        <v>44287</v>
      </c>
      <c r="J143" s="39">
        <v>44316</v>
      </c>
      <c r="K143" s="24">
        <f t="shared" si="8"/>
        <v>30</v>
      </c>
      <c r="L143" s="24">
        <f t="shared" si="9"/>
        <v>2429</v>
      </c>
      <c r="M143" s="24">
        <v>5910000</v>
      </c>
    </row>
    <row r="144" spans="1:13" s="5" customFormat="1" outlineLevel="2">
      <c r="A144" s="39" t="s">
        <v>108</v>
      </c>
      <c r="B144" s="40" t="s">
        <v>52</v>
      </c>
      <c r="C144" s="41" t="s">
        <v>117</v>
      </c>
      <c r="D144" s="40" t="s">
        <v>118</v>
      </c>
      <c r="E144" s="24">
        <v>26000000</v>
      </c>
      <c r="F144" s="39">
        <v>44162</v>
      </c>
      <c r="G144" s="24">
        <v>25079648</v>
      </c>
      <c r="H144" s="23">
        <v>5.0000000000000001E-3</v>
      </c>
      <c r="I144" s="39">
        <v>44287</v>
      </c>
      <c r="J144" s="39">
        <v>44300</v>
      </c>
      <c r="K144" s="24">
        <f t="shared" si="8"/>
        <v>14</v>
      </c>
      <c r="L144" s="24">
        <f t="shared" si="9"/>
        <v>4810</v>
      </c>
      <c r="M144" s="24">
        <v>24849560</v>
      </c>
    </row>
    <row r="145" spans="1:13" s="5" customFormat="1" outlineLevel="2">
      <c r="A145" s="39" t="s">
        <v>108</v>
      </c>
      <c r="B145" s="40" t="s">
        <v>52</v>
      </c>
      <c r="C145" s="41" t="s">
        <v>117</v>
      </c>
      <c r="D145" s="40"/>
      <c r="E145" s="24"/>
      <c r="F145" s="39"/>
      <c r="G145" s="24">
        <v>24849560</v>
      </c>
      <c r="H145" s="23">
        <v>5.0000000000000001E-3</v>
      </c>
      <c r="I145" s="39">
        <v>44301</v>
      </c>
      <c r="J145" s="39">
        <v>44316</v>
      </c>
      <c r="K145" s="24">
        <f t="shared" si="8"/>
        <v>16</v>
      </c>
      <c r="L145" s="24">
        <f t="shared" si="9"/>
        <v>5446</v>
      </c>
      <c r="M145" s="24"/>
    </row>
    <row r="146" spans="1:13" s="5" customFormat="1" outlineLevel="2">
      <c r="A146" s="39" t="s">
        <v>108</v>
      </c>
      <c r="B146" s="40" t="s">
        <v>53</v>
      </c>
      <c r="C146" s="41" t="s">
        <v>27</v>
      </c>
      <c r="D146" s="40" t="s">
        <v>28</v>
      </c>
      <c r="E146" s="24">
        <v>9280000</v>
      </c>
      <c r="F146" s="39">
        <v>44167</v>
      </c>
      <c r="G146" s="24">
        <v>8640000</v>
      </c>
      <c r="H146" s="23">
        <v>5.0000000000000001E-3</v>
      </c>
      <c r="I146" s="39">
        <v>44287</v>
      </c>
      <c r="J146" s="39">
        <v>44300</v>
      </c>
      <c r="K146" s="24">
        <f t="shared" si="8"/>
        <v>14</v>
      </c>
      <c r="L146" s="24">
        <f t="shared" si="9"/>
        <v>1657</v>
      </c>
      <c r="M146" s="24">
        <v>8480000</v>
      </c>
    </row>
    <row r="147" spans="1:13" s="5" customFormat="1" outlineLevel="2">
      <c r="A147" s="39" t="s">
        <v>108</v>
      </c>
      <c r="B147" s="40" t="s">
        <v>53</v>
      </c>
      <c r="C147" s="41" t="s">
        <v>27</v>
      </c>
      <c r="D147" s="40"/>
      <c r="E147" s="24"/>
      <c r="F147" s="39"/>
      <c r="G147" s="24">
        <v>8480000</v>
      </c>
      <c r="H147" s="23">
        <v>5.0000000000000001E-3</v>
      </c>
      <c r="I147" s="39">
        <v>44301</v>
      </c>
      <c r="J147" s="39">
        <v>44316</v>
      </c>
      <c r="K147" s="24">
        <f t="shared" si="8"/>
        <v>16</v>
      </c>
      <c r="L147" s="24">
        <f t="shared" si="9"/>
        <v>1859</v>
      </c>
      <c r="M147" s="24"/>
    </row>
    <row r="148" spans="1:13" s="5" customFormat="1" outlineLevel="2">
      <c r="A148" s="39" t="s">
        <v>108</v>
      </c>
      <c r="B148" s="40" t="s">
        <v>54</v>
      </c>
      <c r="C148" s="41" t="s">
        <v>111</v>
      </c>
      <c r="D148" s="40" t="s">
        <v>112</v>
      </c>
      <c r="E148" s="24">
        <v>23630000</v>
      </c>
      <c r="F148" s="39">
        <v>43936</v>
      </c>
      <c r="G148" s="24">
        <v>23630000</v>
      </c>
      <c r="H148" s="23">
        <v>5.0000000000000001E-3</v>
      </c>
      <c r="I148" s="39">
        <v>44287</v>
      </c>
      <c r="J148" s="39">
        <v>44316</v>
      </c>
      <c r="K148" s="24">
        <f t="shared" ref="K148:K179" si="10">J148-I148+1</f>
        <v>30</v>
      </c>
      <c r="L148" s="24">
        <f t="shared" ref="L148:L179" si="11">ROUND(G148*H148*K148/365,0)</f>
        <v>9711</v>
      </c>
      <c r="M148" s="24">
        <v>23630000</v>
      </c>
    </row>
    <row r="149" spans="1:13" s="5" customFormat="1" outlineLevel="2">
      <c r="A149" s="39" t="s">
        <v>108</v>
      </c>
      <c r="B149" s="40" t="s">
        <v>57</v>
      </c>
      <c r="C149" s="41" t="s">
        <v>27</v>
      </c>
      <c r="D149" s="40" t="s">
        <v>28</v>
      </c>
      <c r="E149" s="24">
        <v>10470000</v>
      </c>
      <c r="F149" s="39">
        <v>44181</v>
      </c>
      <c r="G149" s="24">
        <v>9918948</v>
      </c>
      <c r="H149" s="23">
        <v>5.0000000000000001E-3</v>
      </c>
      <c r="I149" s="39">
        <v>44287</v>
      </c>
      <c r="J149" s="39">
        <v>44300</v>
      </c>
      <c r="K149" s="24">
        <f t="shared" si="10"/>
        <v>14</v>
      </c>
      <c r="L149" s="24">
        <f t="shared" si="11"/>
        <v>1902</v>
      </c>
      <c r="M149" s="24">
        <v>9735264</v>
      </c>
    </row>
    <row r="150" spans="1:13" s="5" customFormat="1" outlineLevel="2">
      <c r="A150" s="39" t="s">
        <v>108</v>
      </c>
      <c r="B150" s="40" t="s">
        <v>57</v>
      </c>
      <c r="C150" s="41" t="s">
        <v>27</v>
      </c>
      <c r="D150" s="40"/>
      <c r="E150" s="24"/>
      <c r="F150" s="39"/>
      <c r="G150" s="24">
        <v>9735264</v>
      </c>
      <c r="H150" s="23">
        <v>5.0000000000000001E-3</v>
      </c>
      <c r="I150" s="39">
        <v>44301</v>
      </c>
      <c r="J150" s="39">
        <v>44316</v>
      </c>
      <c r="K150" s="24">
        <f t="shared" si="10"/>
        <v>16</v>
      </c>
      <c r="L150" s="24">
        <f t="shared" si="11"/>
        <v>2134</v>
      </c>
      <c r="M150" s="24"/>
    </row>
    <row r="151" spans="1:13" s="5" customFormat="1" outlineLevel="2">
      <c r="A151" s="39" t="s">
        <v>108</v>
      </c>
      <c r="B151" s="40" t="s">
        <v>58</v>
      </c>
      <c r="C151" s="41" t="s">
        <v>111</v>
      </c>
      <c r="D151" s="40" t="s">
        <v>112</v>
      </c>
      <c r="E151" s="24">
        <v>2950000</v>
      </c>
      <c r="F151" s="39">
        <v>44180</v>
      </c>
      <c r="G151" s="24">
        <v>2950000</v>
      </c>
      <c r="H151" s="23">
        <v>5.0000000000000001E-3</v>
      </c>
      <c r="I151" s="39">
        <v>44287</v>
      </c>
      <c r="J151" s="39">
        <v>44316</v>
      </c>
      <c r="K151" s="24">
        <f t="shared" si="10"/>
        <v>30</v>
      </c>
      <c r="L151" s="24">
        <f t="shared" si="11"/>
        <v>1212</v>
      </c>
      <c r="M151" s="24">
        <v>2950000</v>
      </c>
    </row>
    <row r="152" spans="1:13" s="5" customFormat="1" outlineLevel="2">
      <c r="A152" s="39" t="s">
        <v>108</v>
      </c>
      <c r="B152" s="40" t="s">
        <v>99</v>
      </c>
      <c r="C152" s="41" t="s">
        <v>115</v>
      </c>
      <c r="D152" s="40" t="s">
        <v>116</v>
      </c>
      <c r="E152" s="24">
        <v>24400000</v>
      </c>
      <c r="F152" s="39">
        <v>44193</v>
      </c>
      <c r="G152" s="24">
        <v>24400000</v>
      </c>
      <c r="H152" s="23">
        <v>5.0000000000000001E-3</v>
      </c>
      <c r="I152" s="39">
        <v>44287</v>
      </c>
      <c r="J152" s="39">
        <v>44316</v>
      </c>
      <c r="K152" s="24">
        <f t="shared" si="10"/>
        <v>30</v>
      </c>
      <c r="L152" s="24">
        <f t="shared" si="11"/>
        <v>10027</v>
      </c>
      <c r="M152" s="24">
        <v>24400000</v>
      </c>
    </row>
    <row r="153" spans="1:13" s="5" customFormat="1" outlineLevel="2">
      <c r="A153" s="39" t="s">
        <v>108</v>
      </c>
      <c r="B153" s="40" t="s">
        <v>100</v>
      </c>
      <c r="C153" s="41" t="s">
        <v>115</v>
      </c>
      <c r="D153" s="40" t="s">
        <v>116</v>
      </c>
      <c r="E153" s="24">
        <v>5500000</v>
      </c>
      <c r="F153" s="39">
        <v>44193</v>
      </c>
      <c r="G153" s="24">
        <v>5500000</v>
      </c>
      <c r="H153" s="23">
        <v>5.0000000000000001E-3</v>
      </c>
      <c r="I153" s="39">
        <v>44287</v>
      </c>
      <c r="J153" s="39">
        <v>44316</v>
      </c>
      <c r="K153" s="24">
        <f t="shared" si="10"/>
        <v>30</v>
      </c>
      <c r="L153" s="24">
        <f t="shared" si="11"/>
        <v>2260</v>
      </c>
      <c r="M153" s="24">
        <v>5500000</v>
      </c>
    </row>
    <row r="154" spans="1:13" s="5" customFormat="1" outlineLevel="2">
      <c r="A154" s="39" t="s">
        <v>108</v>
      </c>
      <c r="B154" s="40" t="s">
        <v>101</v>
      </c>
      <c r="C154" s="41" t="s">
        <v>115</v>
      </c>
      <c r="D154" s="40" t="s">
        <v>116</v>
      </c>
      <c r="E154" s="24">
        <v>28050000</v>
      </c>
      <c r="F154" s="39">
        <v>44193</v>
      </c>
      <c r="G154" s="24">
        <v>28050000</v>
      </c>
      <c r="H154" s="23">
        <v>5.0000000000000001E-3</v>
      </c>
      <c r="I154" s="39">
        <v>44287</v>
      </c>
      <c r="J154" s="39">
        <v>44316</v>
      </c>
      <c r="K154" s="24">
        <f t="shared" si="10"/>
        <v>30</v>
      </c>
      <c r="L154" s="24">
        <f t="shared" si="11"/>
        <v>11527</v>
      </c>
      <c r="M154" s="24">
        <v>28050000</v>
      </c>
    </row>
    <row r="155" spans="1:13" s="5" customFormat="1" outlineLevel="2">
      <c r="A155" s="39" t="s">
        <v>108</v>
      </c>
      <c r="B155" s="40" t="s">
        <v>102</v>
      </c>
      <c r="C155" s="41" t="s">
        <v>115</v>
      </c>
      <c r="D155" s="40" t="s">
        <v>116</v>
      </c>
      <c r="E155" s="24">
        <v>5000000</v>
      </c>
      <c r="F155" s="39">
        <v>44193</v>
      </c>
      <c r="G155" s="24">
        <v>5000000</v>
      </c>
      <c r="H155" s="23">
        <v>5.0000000000000001E-3</v>
      </c>
      <c r="I155" s="39">
        <v>44287</v>
      </c>
      <c r="J155" s="39">
        <v>44316</v>
      </c>
      <c r="K155" s="24">
        <f t="shared" si="10"/>
        <v>30</v>
      </c>
      <c r="L155" s="24">
        <f t="shared" si="11"/>
        <v>2055</v>
      </c>
      <c r="M155" s="24">
        <v>5000000</v>
      </c>
    </row>
    <row r="156" spans="1:13" s="5" customFormat="1" outlineLevel="2">
      <c r="A156" s="39" t="s">
        <v>108</v>
      </c>
      <c r="B156" s="40" t="s">
        <v>103</v>
      </c>
      <c r="C156" s="41" t="s">
        <v>111</v>
      </c>
      <c r="D156" s="40" t="s">
        <v>112</v>
      </c>
      <c r="E156" s="24">
        <v>4920000</v>
      </c>
      <c r="F156" s="39">
        <v>44211</v>
      </c>
      <c r="G156" s="24">
        <v>4920000</v>
      </c>
      <c r="H156" s="23">
        <v>5.0000000000000001E-3</v>
      </c>
      <c r="I156" s="39">
        <v>44287</v>
      </c>
      <c r="J156" s="39">
        <v>44316</v>
      </c>
      <c r="K156" s="24">
        <f t="shared" si="10"/>
        <v>30</v>
      </c>
      <c r="L156" s="24">
        <f t="shared" si="11"/>
        <v>2022</v>
      </c>
      <c r="M156" s="24">
        <v>4920000</v>
      </c>
    </row>
    <row r="157" spans="1:13" s="5" customFormat="1" outlineLevel="2">
      <c r="A157" s="39" t="s">
        <v>108</v>
      </c>
      <c r="B157" s="40" t="s">
        <v>104</v>
      </c>
      <c r="C157" s="41" t="s">
        <v>115</v>
      </c>
      <c r="D157" s="40" t="s">
        <v>116</v>
      </c>
      <c r="E157" s="24">
        <v>7300000</v>
      </c>
      <c r="F157" s="39">
        <v>44224</v>
      </c>
      <c r="G157" s="24">
        <v>7300000</v>
      </c>
      <c r="H157" s="23">
        <v>5.0000000000000001E-3</v>
      </c>
      <c r="I157" s="39">
        <v>44287</v>
      </c>
      <c r="J157" s="39">
        <v>44316</v>
      </c>
      <c r="K157" s="24">
        <f t="shared" si="10"/>
        <v>30</v>
      </c>
      <c r="L157" s="24">
        <f t="shared" si="11"/>
        <v>3000</v>
      </c>
      <c r="M157" s="24">
        <v>7300000</v>
      </c>
    </row>
    <row r="158" spans="1:13" s="5" customFormat="1" outlineLevel="2">
      <c r="A158" s="39" t="s">
        <v>108</v>
      </c>
      <c r="B158" s="40" t="s">
        <v>105</v>
      </c>
      <c r="C158" s="41" t="s">
        <v>115</v>
      </c>
      <c r="D158" s="40" t="s">
        <v>116</v>
      </c>
      <c r="E158" s="24">
        <v>15000000</v>
      </c>
      <c r="F158" s="39">
        <v>44224</v>
      </c>
      <c r="G158" s="24">
        <v>15000000</v>
      </c>
      <c r="H158" s="23">
        <v>5.0000000000000001E-3</v>
      </c>
      <c r="I158" s="39">
        <v>44287</v>
      </c>
      <c r="J158" s="39">
        <v>44316</v>
      </c>
      <c r="K158" s="24">
        <f t="shared" si="10"/>
        <v>30</v>
      </c>
      <c r="L158" s="24">
        <f t="shared" si="11"/>
        <v>6164</v>
      </c>
      <c r="M158" s="24">
        <v>15000000</v>
      </c>
    </row>
    <row r="159" spans="1:13" s="5" customFormat="1" outlineLevel="2">
      <c r="A159" s="39" t="s">
        <v>108</v>
      </c>
      <c r="B159" s="40" t="s">
        <v>106</v>
      </c>
      <c r="C159" s="41" t="s">
        <v>113</v>
      </c>
      <c r="D159" s="40" t="s">
        <v>114</v>
      </c>
      <c r="E159" s="24">
        <v>23200000</v>
      </c>
      <c r="F159" s="39">
        <v>44229</v>
      </c>
      <c r="G159" s="24">
        <v>22789382</v>
      </c>
      <c r="H159" s="23">
        <v>5.0000000000000001E-3</v>
      </c>
      <c r="I159" s="39">
        <v>44287</v>
      </c>
      <c r="J159" s="39">
        <v>44300</v>
      </c>
      <c r="K159" s="24">
        <f t="shared" si="10"/>
        <v>14</v>
      </c>
      <c r="L159" s="24">
        <f t="shared" si="11"/>
        <v>4371</v>
      </c>
      <c r="M159" s="24">
        <v>22584073</v>
      </c>
    </row>
    <row r="160" spans="1:13" s="5" customFormat="1" outlineLevel="2">
      <c r="A160" s="39" t="s">
        <v>108</v>
      </c>
      <c r="B160" s="40" t="s">
        <v>106</v>
      </c>
      <c r="C160" s="41" t="s">
        <v>113</v>
      </c>
      <c r="D160" s="40"/>
      <c r="E160" s="24"/>
      <c r="F160" s="39"/>
      <c r="G160" s="24">
        <v>22584073</v>
      </c>
      <c r="H160" s="23">
        <v>5.0000000000000001E-3</v>
      </c>
      <c r="I160" s="39">
        <v>44301</v>
      </c>
      <c r="J160" s="39">
        <v>44316</v>
      </c>
      <c r="K160" s="24">
        <f t="shared" si="10"/>
        <v>16</v>
      </c>
      <c r="L160" s="24">
        <f t="shared" si="11"/>
        <v>4950</v>
      </c>
      <c r="M160" s="24"/>
    </row>
    <row r="161" spans="1:13" s="5" customFormat="1" outlineLevel="2">
      <c r="A161" s="39" t="s">
        <v>108</v>
      </c>
      <c r="B161" s="40" t="s">
        <v>59</v>
      </c>
      <c r="C161" s="41" t="s">
        <v>117</v>
      </c>
      <c r="D161" s="40" t="s">
        <v>118</v>
      </c>
      <c r="E161" s="24">
        <v>24000000</v>
      </c>
      <c r="F161" s="39">
        <v>43937</v>
      </c>
      <c r="G161" s="24">
        <v>21800000</v>
      </c>
      <c r="H161" s="23">
        <v>5.0000000000000001E-3</v>
      </c>
      <c r="I161" s="39">
        <v>44287</v>
      </c>
      <c r="J161" s="39">
        <v>44300</v>
      </c>
      <c r="K161" s="24">
        <f t="shared" si="10"/>
        <v>14</v>
      </c>
      <c r="L161" s="24">
        <f t="shared" si="11"/>
        <v>4181</v>
      </c>
      <c r="M161" s="24">
        <v>21600000</v>
      </c>
    </row>
    <row r="162" spans="1:13" s="5" customFormat="1" outlineLevel="2">
      <c r="A162" s="39" t="s">
        <v>108</v>
      </c>
      <c r="B162" s="40" t="s">
        <v>59</v>
      </c>
      <c r="C162" s="41" t="s">
        <v>117</v>
      </c>
      <c r="D162" s="40"/>
      <c r="E162" s="24"/>
      <c r="F162" s="39"/>
      <c r="G162" s="24">
        <v>21600000</v>
      </c>
      <c r="H162" s="23">
        <v>5.0000000000000001E-3</v>
      </c>
      <c r="I162" s="39">
        <v>44301</v>
      </c>
      <c r="J162" s="39">
        <v>44316</v>
      </c>
      <c r="K162" s="24">
        <f t="shared" si="10"/>
        <v>16</v>
      </c>
      <c r="L162" s="24">
        <f t="shared" si="11"/>
        <v>4734</v>
      </c>
      <c r="M162" s="24"/>
    </row>
    <row r="163" spans="1:13" s="5" customFormat="1" outlineLevel="2">
      <c r="A163" s="39" t="s">
        <v>108</v>
      </c>
      <c r="B163" s="40" t="s">
        <v>136</v>
      </c>
      <c r="C163" s="41" t="s">
        <v>111</v>
      </c>
      <c r="D163" s="40" t="s">
        <v>112</v>
      </c>
      <c r="E163" s="24">
        <v>3410000</v>
      </c>
      <c r="F163" s="39">
        <v>44270</v>
      </c>
      <c r="G163" s="24">
        <v>3410000</v>
      </c>
      <c r="H163" s="23">
        <v>5.0000000000000001E-3</v>
      </c>
      <c r="I163" s="39">
        <v>44287</v>
      </c>
      <c r="J163" s="39">
        <v>44316</v>
      </c>
      <c r="K163" s="24">
        <f t="shared" si="10"/>
        <v>30</v>
      </c>
      <c r="L163" s="24">
        <f t="shared" si="11"/>
        <v>1401</v>
      </c>
      <c r="M163" s="24">
        <v>3410000</v>
      </c>
    </row>
    <row r="164" spans="1:13" s="5" customFormat="1" outlineLevel="2">
      <c r="A164" s="39" t="s">
        <v>108</v>
      </c>
      <c r="B164" s="40" t="s">
        <v>137</v>
      </c>
      <c r="C164" s="41" t="s">
        <v>117</v>
      </c>
      <c r="D164" s="40" t="s">
        <v>118</v>
      </c>
      <c r="E164" s="24">
        <v>10000000</v>
      </c>
      <c r="F164" s="39">
        <v>44277</v>
      </c>
      <c r="G164" s="24">
        <v>10000000</v>
      </c>
      <c r="H164" s="23">
        <v>5.0000000000000001E-3</v>
      </c>
      <c r="I164" s="39">
        <v>44287</v>
      </c>
      <c r="J164" s="39">
        <v>44300</v>
      </c>
      <c r="K164" s="24">
        <f t="shared" si="10"/>
        <v>14</v>
      </c>
      <c r="L164" s="24">
        <f t="shared" si="11"/>
        <v>1918</v>
      </c>
      <c r="M164" s="24">
        <v>9908257</v>
      </c>
    </row>
    <row r="165" spans="1:13" s="5" customFormat="1" outlineLevel="2">
      <c r="A165" s="39" t="s">
        <v>108</v>
      </c>
      <c r="B165" s="40" t="s">
        <v>137</v>
      </c>
      <c r="C165" s="41" t="s">
        <v>117</v>
      </c>
      <c r="D165" s="40"/>
      <c r="E165" s="24"/>
      <c r="F165" s="39"/>
      <c r="G165" s="24">
        <v>9908257</v>
      </c>
      <c r="H165" s="23">
        <v>5.0000000000000001E-3</v>
      </c>
      <c r="I165" s="39">
        <v>44301</v>
      </c>
      <c r="J165" s="39">
        <v>44316</v>
      </c>
      <c r="K165" s="24">
        <f t="shared" si="10"/>
        <v>16</v>
      </c>
      <c r="L165" s="24">
        <f t="shared" si="11"/>
        <v>2172</v>
      </c>
      <c r="M165" s="24"/>
    </row>
    <row r="166" spans="1:13" s="5" customFormat="1" outlineLevel="2">
      <c r="A166" s="39" t="s">
        <v>108</v>
      </c>
      <c r="B166" s="40" t="s">
        <v>138</v>
      </c>
      <c r="C166" s="41" t="s">
        <v>123</v>
      </c>
      <c r="D166" s="40" t="s">
        <v>124</v>
      </c>
      <c r="E166" s="24">
        <v>51000000</v>
      </c>
      <c r="F166" s="39">
        <v>44294</v>
      </c>
      <c r="G166" s="24">
        <v>51000000</v>
      </c>
      <c r="H166" s="23">
        <v>5.0000000000000001E-3</v>
      </c>
      <c r="I166" s="39">
        <v>44294</v>
      </c>
      <c r="J166" s="39">
        <v>44316</v>
      </c>
      <c r="K166" s="24">
        <f t="shared" si="10"/>
        <v>23</v>
      </c>
      <c r="L166" s="24">
        <f t="shared" si="11"/>
        <v>16068</v>
      </c>
      <c r="M166" s="24">
        <v>51000000</v>
      </c>
    </row>
    <row r="167" spans="1:13" s="5" customFormat="1" outlineLevel="2">
      <c r="A167" s="39" t="s">
        <v>108</v>
      </c>
      <c r="B167" s="40" t="s">
        <v>62</v>
      </c>
      <c r="C167" s="41" t="s">
        <v>113</v>
      </c>
      <c r="D167" s="40" t="s">
        <v>114</v>
      </c>
      <c r="E167" s="24">
        <v>28240000</v>
      </c>
      <c r="F167" s="39">
        <v>43951</v>
      </c>
      <c r="G167" s="24">
        <v>24541910</v>
      </c>
      <c r="H167" s="23">
        <v>5.0000000000000001E-3</v>
      </c>
      <c r="I167" s="39">
        <v>44287</v>
      </c>
      <c r="J167" s="39">
        <v>44300</v>
      </c>
      <c r="K167" s="24">
        <f t="shared" si="10"/>
        <v>14</v>
      </c>
      <c r="L167" s="24">
        <f t="shared" si="11"/>
        <v>4707</v>
      </c>
      <c r="M167" s="24">
        <v>24205720</v>
      </c>
    </row>
    <row r="168" spans="1:13" s="5" customFormat="1" outlineLevel="2">
      <c r="A168" s="39" t="s">
        <v>108</v>
      </c>
      <c r="B168" s="40" t="s">
        <v>62</v>
      </c>
      <c r="C168" s="41" t="s">
        <v>113</v>
      </c>
      <c r="D168" s="40"/>
      <c r="E168" s="24"/>
      <c r="F168" s="39"/>
      <c r="G168" s="24">
        <v>24205720</v>
      </c>
      <c r="H168" s="23">
        <v>5.0000000000000001E-3</v>
      </c>
      <c r="I168" s="39">
        <v>44301</v>
      </c>
      <c r="J168" s="39">
        <v>44316</v>
      </c>
      <c r="K168" s="24">
        <f t="shared" si="10"/>
        <v>16</v>
      </c>
      <c r="L168" s="24">
        <f t="shared" si="11"/>
        <v>5305</v>
      </c>
      <c r="M168" s="24"/>
    </row>
    <row r="169" spans="1:13" s="5" customFormat="1" outlineLevel="2">
      <c r="A169" s="39" t="s">
        <v>108</v>
      </c>
      <c r="B169" s="40" t="s">
        <v>63</v>
      </c>
      <c r="C169" s="41" t="s">
        <v>111</v>
      </c>
      <c r="D169" s="40" t="s">
        <v>112</v>
      </c>
      <c r="E169" s="24">
        <v>8000000</v>
      </c>
      <c r="F169" s="39">
        <v>43957</v>
      </c>
      <c r="G169" s="24">
        <v>6533337</v>
      </c>
      <c r="H169" s="23">
        <v>5.0000000000000001E-3</v>
      </c>
      <c r="I169" s="39">
        <v>44287</v>
      </c>
      <c r="J169" s="39">
        <v>44300</v>
      </c>
      <c r="K169" s="24">
        <f t="shared" si="10"/>
        <v>14</v>
      </c>
      <c r="L169" s="24">
        <f t="shared" si="11"/>
        <v>1253</v>
      </c>
      <c r="M169" s="24">
        <v>6400004</v>
      </c>
    </row>
    <row r="170" spans="1:13" s="5" customFormat="1" outlineLevel="2">
      <c r="A170" s="39" t="s">
        <v>108</v>
      </c>
      <c r="B170" s="40" t="s">
        <v>63</v>
      </c>
      <c r="C170" s="41" t="s">
        <v>111</v>
      </c>
      <c r="D170" s="40"/>
      <c r="E170" s="24"/>
      <c r="F170" s="39"/>
      <c r="G170" s="24">
        <v>6400004</v>
      </c>
      <c r="H170" s="23">
        <v>5.0000000000000001E-3</v>
      </c>
      <c r="I170" s="39">
        <v>44301</v>
      </c>
      <c r="J170" s="39">
        <v>44316</v>
      </c>
      <c r="K170" s="24">
        <f t="shared" si="10"/>
        <v>16</v>
      </c>
      <c r="L170" s="24">
        <f t="shared" si="11"/>
        <v>1403</v>
      </c>
      <c r="M170" s="24"/>
    </row>
    <row r="171" spans="1:13" s="5" customFormat="1" outlineLevel="2">
      <c r="A171" s="39" t="s">
        <v>108</v>
      </c>
      <c r="B171" s="40" t="s">
        <v>64</v>
      </c>
      <c r="C171" s="41" t="s">
        <v>111</v>
      </c>
      <c r="D171" s="40" t="s">
        <v>112</v>
      </c>
      <c r="E171" s="24">
        <v>5910000</v>
      </c>
      <c r="F171" s="39">
        <v>43966</v>
      </c>
      <c r="G171" s="24">
        <v>5910000</v>
      </c>
      <c r="H171" s="23">
        <v>5.0000000000000001E-3</v>
      </c>
      <c r="I171" s="39">
        <v>44287</v>
      </c>
      <c r="J171" s="39">
        <v>44316</v>
      </c>
      <c r="K171" s="24">
        <f t="shared" si="10"/>
        <v>30</v>
      </c>
      <c r="L171" s="24">
        <f t="shared" si="11"/>
        <v>2429</v>
      </c>
      <c r="M171" s="24">
        <v>5910000</v>
      </c>
    </row>
    <row r="172" spans="1:13" s="5" customFormat="1" outlineLevel="2">
      <c r="A172" s="39" t="s">
        <v>108</v>
      </c>
      <c r="B172" s="40" t="s">
        <v>65</v>
      </c>
      <c r="C172" s="41" t="s">
        <v>113</v>
      </c>
      <c r="D172" s="40" t="s">
        <v>114</v>
      </c>
      <c r="E172" s="24">
        <v>20510000</v>
      </c>
      <c r="F172" s="39">
        <v>43966</v>
      </c>
      <c r="G172" s="24">
        <v>18038920</v>
      </c>
      <c r="H172" s="23">
        <v>5.0000000000000001E-3</v>
      </c>
      <c r="I172" s="39">
        <v>44287</v>
      </c>
      <c r="J172" s="39">
        <v>44300</v>
      </c>
      <c r="K172" s="24">
        <f t="shared" si="10"/>
        <v>14</v>
      </c>
      <c r="L172" s="24">
        <f t="shared" si="11"/>
        <v>3460</v>
      </c>
      <c r="M172" s="24">
        <v>17791812</v>
      </c>
    </row>
    <row r="173" spans="1:13" s="5" customFormat="1" outlineLevel="2">
      <c r="A173" s="39" t="s">
        <v>108</v>
      </c>
      <c r="B173" s="40" t="s">
        <v>65</v>
      </c>
      <c r="C173" s="41" t="s">
        <v>113</v>
      </c>
      <c r="D173" s="40"/>
      <c r="E173" s="24"/>
      <c r="F173" s="39"/>
      <c r="G173" s="24">
        <v>17791812</v>
      </c>
      <c r="H173" s="23">
        <v>5.0000000000000001E-3</v>
      </c>
      <c r="I173" s="39">
        <v>44301</v>
      </c>
      <c r="J173" s="39">
        <v>44316</v>
      </c>
      <c r="K173" s="24">
        <f t="shared" si="10"/>
        <v>16</v>
      </c>
      <c r="L173" s="24">
        <f t="shared" si="11"/>
        <v>3900</v>
      </c>
      <c r="M173" s="24"/>
    </row>
    <row r="174" spans="1:13" s="5" customFormat="1" outlineLevel="2">
      <c r="A174" s="39" t="s">
        <v>108</v>
      </c>
      <c r="B174" s="40" t="s">
        <v>68</v>
      </c>
      <c r="C174" s="41" t="s">
        <v>109</v>
      </c>
      <c r="D174" s="40" t="s">
        <v>110</v>
      </c>
      <c r="E174" s="24">
        <v>33960000</v>
      </c>
      <c r="F174" s="39">
        <v>43978</v>
      </c>
      <c r="G174" s="24">
        <v>33960000</v>
      </c>
      <c r="H174" s="23">
        <v>5.0000000000000001E-3</v>
      </c>
      <c r="I174" s="39">
        <v>44287</v>
      </c>
      <c r="J174" s="39">
        <v>44316</v>
      </c>
      <c r="K174" s="24">
        <f t="shared" si="10"/>
        <v>30</v>
      </c>
      <c r="L174" s="24">
        <f t="shared" si="11"/>
        <v>13956</v>
      </c>
      <c r="M174" s="24">
        <v>33960000</v>
      </c>
    </row>
    <row r="175" spans="1:13" s="5" customFormat="1" outlineLevel="1">
      <c r="A175" s="42" t="s">
        <v>119</v>
      </c>
      <c r="B175" s="43"/>
      <c r="C175" s="44"/>
      <c r="D175" s="43"/>
      <c r="E175" s="45">
        <f>SUBTOTAL(9,E116:E174)</f>
        <v>756765386</v>
      </c>
      <c r="F175" s="46"/>
      <c r="G175" s="45"/>
      <c r="H175" s="47"/>
      <c r="I175" s="46"/>
      <c r="J175" s="46"/>
      <c r="K175" s="45"/>
      <c r="L175" s="45">
        <f>SUBTOTAL(9,L116:L174)</f>
        <v>293822</v>
      </c>
      <c r="M175" s="45">
        <f>SUBTOTAL(9,M116:M174)</f>
        <v>724964007</v>
      </c>
    </row>
    <row r="176" spans="1:13" s="5" customFormat="1" outlineLevel="2">
      <c r="A176" s="39" t="s">
        <v>120</v>
      </c>
      <c r="B176" s="40" t="s">
        <v>16</v>
      </c>
      <c r="C176" s="41" t="s">
        <v>121</v>
      </c>
      <c r="D176" s="40" t="s">
        <v>122</v>
      </c>
      <c r="E176" s="24">
        <v>69000000</v>
      </c>
      <c r="F176" s="39">
        <v>43822</v>
      </c>
      <c r="G176" s="24">
        <v>69000000</v>
      </c>
      <c r="H176" s="23">
        <v>5.0000000000000001E-3</v>
      </c>
      <c r="I176" s="39">
        <v>44287</v>
      </c>
      <c r="J176" s="39">
        <v>44316</v>
      </c>
      <c r="K176" s="24">
        <f t="shared" ref="K176:K207" si="12">J176-I176+1</f>
        <v>30</v>
      </c>
      <c r="L176" s="24">
        <f t="shared" ref="L176:L207" si="13">ROUND(G176*H176*K176/365,0)</f>
        <v>28356</v>
      </c>
      <c r="M176" s="24">
        <v>69000000</v>
      </c>
    </row>
    <row r="177" spans="1:13" s="5" customFormat="1" outlineLevel="2">
      <c r="A177" s="39" t="s">
        <v>120</v>
      </c>
      <c r="B177" s="40" t="s">
        <v>19</v>
      </c>
      <c r="C177" s="41" t="s">
        <v>37</v>
      </c>
      <c r="D177" s="40" t="s">
        <v>38</v>
      </c>
      <c r="E177" s="24">
        <v>247700000</v>
      </c>
      <c r="F177" s="39">
        <v>43985</v>
      </c>
      <c r="G177" s="24">
        <v>247700000</v>
      </c>
      <c r="H177" s="23">
        <v>5.0000000000000001E-3</v>
      </c>
      <c r="I177" s="39">
        <v>44287</v>
      </c>
      <c r="J177" s="39">
        <v>44316</v>
      </c>
      <c r="K177" s="24">
        <f t="shared" si="12"/>
        <v>30</v>
      </c>
      <c r="L177" s="24">
        <f t="shared" si="13"/>
        <v>101795</v>
      </c>
      <c r="M177" s="24">
        <v>247700000</v>
      </c>
    </row>
    <row r="178" spans="1:13" s="5" customFormat="1" outlineLevel="2">
      <c r="A178" s="39" t="s">
        <v>120</v>
      </c>
      <c r="B178" s="40" t="s">
        <v>22</v>
      </c>
      <c r="C178" s="41" t="s">
        <v>123</v>
      </c>
      <c r="D178" s="40" t="s">
        <v>124</v>
      </c>
      <c r="E178" s="24">
        <v>18612000</v>
      </c>
      <c r="F178" s="39">
        <v>43997</v>
      </c>
      <c r="G178" s="24">
        <v>3722400</v>
      </c>
      <c r="H178" s="23">
        <v>5.0000000000000001E-3</v>
      </c>
      <c r="I178" s="39">
        <v>44287</v>
      </c>
      <c r="J178" s="39">
        <v>44316</v>
      </c>
      <c r="K178" s="24">
        <f t="shared" si="12"/>
        <v>30</v>
      </c>
      <c r="L178" s="24">
        <f t="shared" si="13"/>
        <v>1530</v>
      </c>
      <c r="M178" s="24">
        <v>3722400</v>
      </c>
    </row>
    <row r="179" spans="1:13" s="5" customFormat="1" outlineLevel="2">
      <c r="A179" s="39" t="s">
        <v>120</v>
      </c>
      <c r="B179" s="40" t="s">
        <v>25</v>
      </c>
      <c r="C179" s="41" t="s">
        <v>20</v>
      </c>
      <c r="D179" s="40" t="s">
        <v>21</v>
      </c>
      <c r="E179" s="24">
        <v>624000000</v>
      </c>
      <c r="F179" s="39">
        <v>44014</v>
      </c>
      <c r="G179" s="24">
        <v>624000000</v>
      </c>
      <c r="H179" s="23">
        <v>5.0000000000000001E-3</v>
      </c>
      <c r="I179" s="39">
        <v>44287</v>
      </c>
      <c r="J179" s="39">
        <v>44316</v>
      </c>
      <c r="K179" s="24">
        <f t="shared" si="12"/>
        <v>30</v>
      </c>
      <c r="L179" s="24">
        <f t="shared" si="13"/>
        <v>256438</v>
      </c>
      <c r="M179" s="24">
        <v>624000000</v>
      </c>
    </row>
    <row r="180" spans="1:13" s="5" customFormat="1" outlineLevel="2">
      <c r="A180" s="39" t="s">
        <v>120</v>
      </c>
      <c r="B180" s="40" t="s">
        <v>26</v>
      </c>
      <c r="C180" s="41" t="s">
        <v>20</v>
      </c>
      <c r="D180" s="40" t="s">
        <v>21</v>
      </c>
      <c r="E180" s="24">
        <v>82000000</v>
      </c>
      <c r="F180" s="39">
        <v>44042</v>
      </c>
      <c r="G180" s="24">
        <v>82000000</v>
      </c>
      <c r="H180" s="23">
        <v>5.0000000000000001E-3</v>
      </c>
      <c r="I180" s="39">
        <v>44287</v>
      </c>
      <c r="J180" s="39">
        <v>44316</v>
      </c>
      <c r="K180" s="24">
        <f t="shared" si="12"/>
        <v>30</v>
      </c>
      <c r="L180" s="24">
        <f t="shared" si="13"/>
        <v>33699</v>
      </c>
      <c r="M180" s="24">
        <v>82000000</v>
      </c>
    </row>
    <row r="181" spans="1:13" s="5" customFormat="1" outlineLevel="2">
      <c r="A181" s="39" t="s">
        <v>120</v>
      </c>
      <c r="B181" s="40" t="s">
        <v>29</v>
      </c>
      <c r="C181" s="41" t="s">
        <v>20</v>
      </c>
      <c r="D181" s="40" t="s">
        <v>21</v>
      </c>
      <c r="E181" s="24">
        <v>406400000</v>
      </c>
      <c r="F181" s="39">
        <v>44042</v>
      </c>
      <c r="G181" s="24">
        <v>406400000</v>
      </c>
      <c r="H181" s="23">
        <v>3.0000000000000001E-3</v>
      </c>
      <c r="I181" s="39">
        <v>44287</v>
      </c>
      <c r="J181" s="39">
        <v>44316</v>
      </c>
      <c r="K181" s="24">
        <f t="shared" si="12"/>
        <v>30</v>
      </c>
      <c r="L181" s="24">
        <f t="shared" si="13"/>
        <v>100208</v>
      </c>
      <c r="M181" s="24">
        <v>406400000</v>
      </c>
    </row>
    <row r="182" spans="1:13" s="5" customFormat="1" outlineLevel="2">
      <c r="A182" s="39" t="s">
        <v>120</v>
      </c>
      <c r="B182" s="40" t="s">
        <v>32</v>
      </c>
      <c r="C182" s="41" t="s">
        <v>20</v>
      </c>
      <c r="D182" s="40" t="s">
        <v>21</v>
      </c>
      <c r="E182" s="24">
        <v>51600000</v>
      </c>
      <c r="F182" s="39">
        <v>44042</v>
      </c>
      <c r="G182" s="24">
        <v>51600000</v>
      </c>
      <c r="H182" s="23">
        <v>3.0000000000000001E-3</v>
      </c>
      <c r="I182" s="39">
        <v>44287</v>
      </c>
      <c r="J182" s="39">
        <v>44316</v>
      </c>
      <c r="K182" s="24">
        <f t="shared" si="12"/>
        <v>30</v>
      </c>
      <c r="L182" s="24">
        <f t="shared" si="13"/>
        <v>12723</v>
      </c>
      <c r="M182" s="24">
        <v>51600000</v>
      </c>
    </row>
    <row r="183" spans="1:13" s="5" customFormat="1" outlineLevel="2">
      <c r="A183" s="39" t="s">
        <v>120</v>
      </c>
      <c r="B183" s="40" t="s">
        <v>33</v>
      </c>
      <c r="C183" s="41" t="s">
        <v>125</v>
      </c>
      <c r="D183" s="40" t="s">
        <v>126</v>
      </c>
      <c r="E183" s="24">
        <v>1850000</v>
      </c>
      <c r="F183" s="39">
        <v>44018</v>
      </c>
      <c r="G183" s="24">
        <v>1850000</v>
      </c>
      <c r="H183" s="23">
        <v>5.0000000000000001E-3</v>
      </c>
      <c r="I183" s="39">
        <v>44287</v>
      </c>
      <c r="J183" s="39">
        <v>44316</v>
      </c>
      <c r="K183" s="24">
        <f t="shared" si="12"/>
        <v>30</v>
      </c>
      <c r="L183" s="24">
        <f t="shared" si="13"/>
        <v>760</v>
      </c>
      <c r="M183" s="24">
        <v>1850000</v>
      </c>
    </row>
    <row r="184" spans="1:13" s="5" customFormat="1" outlineLevel="2">
      <c r="A184" s="39" t="s">
        <v>120</v>
      </c>
      <c r="B184" s="40" t="s">
        <v>34</v>
      </c>
      <c r="C184" s="41" t="s">
        <v>125</v>
      </c>
      <c r="D184" s="40" t="s">
        <v>126</v>
      </c>
      <c r="E184" s="24">
        <v>5400000</v>
      </c>
      <c r="F184" s="39">
        <v>44019</v>
      </c>
      <c r="G184" s="24">
        <v>5400000</v>
      </c>
      <c r="H184" s="23">
        <v>5.0000000000000001E-3</v>
      </c>
      <c r="I184" s="39">
        <v>44287</v>
      </c>
      <c r="J184" s="39">
        <v>44316</v>
      </c>
      <c r="K184" s="24">
        <f t="shared" si="12"/>
        <v>30</v>
      </c>
      <c r="L184" s="24">
        <f t="shared" si="13"/>
        <v>2219</v>
      </c>
      <c r="M184" s="24">
        <v>5400000</v>
      </c>
    </row>
    <row r="185" spans="1:13" s="5" customFormat="1" outlineLevel="2">
      <c r="A185" s="39" t="s">
        <v>120</v>
      </c>
      <c r="B185" s="40" t="s">
        <v>35</v>
      </c>
      <c r="C185" s="41" t="s">
        <v>125</v>
      </c>
      <c r="D185" s="40" t="s">
        <v>126</v>
      </c>
      <c r="E185" s="24">
        <v>2300000</v>
      </c>
      <c r="F185" s="39">
        <v>44027</v>
      </c>
      <c r="G185" s="24">
        <v>2300000</v>
      </c>
      <c r="H185" s="23">
        <v>5.0000000000000001E-3</v>
      </c>
      <c r="I185" s="39">
        <v>44287</v>
      </c>
      <c r="J185" s="39">
        <v>44316</v>
      </c>
      <c r="K185" s="24">
        <f t="shared" si="12"/>
        <v>30</v>
      </c>
      <c r="L185" s="24">
        <f t="shared" si="13"/>
        <v>945</v>
      </c>
      <c r="M185" s="24">
        <v>2300000</v>
      </c>
    </row>
    <row r="186" spans="1:13" s="5" customFormat="1" outlineLevel="2">
      <c r="A186" s="39" t="s">
        <v>120</v>
      </c>
      <c r="B186" s="40" t="s">
        <v>36</v>
      </c>
      <c r="C186" s="41" t="s">
        <v>125</v>
      </c>
      <c r="D186" s="40" t="s">
        <v>126</v>
      </c>
      <c r="E186" s="24">
        <v>16280000</v>
      </c>
      <c r="F186" s="39">
        <v>44041</v>
      </c>
      <c r="G186" s="24">
        <v>16280000</v>
      </c>
      <c r="H186" s="23">
        <v>5.0000000000000001E-3</v>
      </c>
      <c r="I186" s="39">
        <v>44287</v>
      </c>
      <c r="J186" s="39">
        <v>44316</v>
      </c>
      <c r="K186" s="24">
        <f t="shared" si="12"/>
        <v>30</v>
      </c>
      <c r="L186" s="24">
        <f t="shared" si="13"/>
        <v>6690</v>
      </c>
      <c r="M186" s="24">
        <v>16280000</v>
      </c>
    </row>
    <row r="187" spans="1:13" s="5" customFormat="1" outlineLevel="2">
      <c r="A187" s="39" t="s">
        <v>120</v>
      </c>
      <c r="B187" s="40" t="s">
        <v>39</v>
      </c>
      <c r="C187" s="41" t="s">
        <v>127</v>
      </c>
      <c r="D187" s="40" t="s">
        <v>18</v>
      </c>
      <c r="E187" s="24">
        <v>162300000</v>
      </c>
      <c r="F187" s="39">
        <v>43829</v>
      </c>
      <c r="G187" s="24">
        <v>121725000</v>
      </c>
      <c r="H187" s="23">
        <v>5.0000000000000001E-3</v>
      </c>
      <c r="I187" s="39">
        <v>44287</v>
      </c>
      <c r="J187" s="39">
        <v>44300</v>
      </c>
      <c r="K187" s="24">
        <f t="shared" si="12"/>
        <v>14</v>
      </c>
      <c r="L187" s="24">
        <f t="shared" si="13"/>
        <v>23345</v>
      </c>
      <c r="M187" s="24">
        <v>119020000</v>
      </c>
    </row>
    <row r="188" spans="1:13" s="5" customFormat="1" outlineLevel="2">
      <c r="A188" s="39" t="s">
        <v>120</v>
      </c>
      <c r="B188" s="40" t="s">
        <v>39</v>
      </c>
      <c r="C188" s="41" t="s">
        <v>127</v>
      </c>
      <c r="D188" s="40"/>
      <c r="E188" s="24"/>
      <c r="F188" s="39"/>
      <c r="G188" s="24">
        <v>119020000</v>
      </c>
      <c r="H188" s="23">
        <v>5.0000000000000001E-3</v>
      </c>
      <c r="I188" s="39">
        <v>44301</v>
      </c>
      <c r="J188" s="39">
        <v>44316</v>
      </c>
      <c r="K188" s="24">
        <f t="shared" si="12"/>
        <v>16</v>
      </c>
      <c r="L188" s="24">
        <f t="shared" si="13"/>
        <v>26087</v>
      </c>
      <c r="M188" s="24"/>
    </row>
    <row r="189" spans="1:13" s="5" customFormat="1" outlineLevel="2">
      <c r="A189" s="39" t="s">
        <v>120</v>
      </c>
      <c r="B189" s="40" t="s">
        <v>40</v>
      </c>
      <c r="C189" s="41" t="s">
        <v>71</v>
      </c>
      <c r="D189" s="40" t="s">
        <v>72</v>
      </c>
      <c r="E189" s="24">
        <v>30000000</v>
      </c>
      <c r="F189" s="39">
        <v>44020</v>
      </c>
      <c r="G189" s="24">
        <v>30000000</v>
      </c>
      <c r="H189" s="23">
        <v>5.0000000000000001E-3</v>
      </c>
      <c r="I189" s="39">
        <v>44287</v>
      </c>
      <c r="J189" s="39">
        <v>44316</v>
      </c>
      <c r="K189" s="24">
        <f t="shared" si="12"/>
        <v>30</v>
      </c>
      <c r="L189" s="24">
        <f t="shared" si="13"/>
        <v>12329</v>
      </c>
      <c r="M189" s="24">
        <v>30000000</v>
      </c>
    </row>
    <row r="190" spans="1:13" s="5" customFormat="1" outlineLevel="2">
      <c r="A190" s="39" t="s">
        <v>120</v>
      </c>
      <c r="B190" s="40" t="s">
        <v>41</v>
      </c>
      <c r="C190" s="41" t="s">
        <v>27</v>
      </c>
      <c r="D190" s="40" t="s">
        <v>28</v>
      </c>
      <c r="E190" s="24">
        <v>35100000</v>
      </c>
      <c r="F190" s="39">
        <v>44013</v>
      </c>
      <c r="G190" s="24">
        <v>35100000</v>
      </c>
      <c r="H190" s="23">
        <v>5.0000000000000001E-3</v>
      </c>
      <c r="I190" s="39">
        <v>44287</v>
      </c>
      <c r="J190" s="39">
        <v>44316</v>
      </c>
      <c r="K190" s="24">
        <f t="shared" si="12"/>
        <v>30</v>
      </c>
      <c r="L190" s="24">
        <f t="shared" si="13"/>
        <v>14425</v>
      </c>
      <c r="M190" s="24">
        <v>35100000</v>
      </c>
    </row>
    <row r="191" spans="1:13" s="5" customFormat="1" outlineLevel="2">
      <c r="A191" s="39" t="s">
        <v>120</v>
      </c>
      <c r="B191" s="40" t="s">
        <v>42</v>
      </c>
      <c r="C191" s="41" t="s">
        <v>27</v>
      </c>
      <c r="D191" s="40" t="s">
        <v>28</v>
      </c>
      <c r="E191" s="24">
        <v>14900000</v>
      </c>
      <c r="F191" s="39">
        <v>44021</v>
      </c>
      <c r="G191" s="24">
        <v>14900000</v>
      </c>
      <c r="H191" s="23">
        <v>5.0000000000000001E-3</v>
      </c>
      <c r="I191" s="39">
        <v>44287</v>
      </c>
      <c r="J191" s="39">
        <v>44316</v>
      </c>
      <c r="K191" s="24">
        <f t="shared" si="12"/>
        <v>30</v>
      </c>
      <c r="L191" s="24">
        <f t="shared" si="13"/>
        <v>6123</v>
      </c>
      <c r="M191" s="24">
        <v>14900000</v>
      </c>
    </row>
    <row r="192" spans="1:13" s="5" customFormat="1" outlineLevel="2">
      <c r="A192" s="39" t="s">
        <v>120</v>
      </c>
      <c r="B192" s="40" t="s">
        <v>43</v>
      </c>
      <c r="C192" s="41" t="s">
        <v>71</v>
      </c>
      <c r="D192" s="40" t="s">
        <v>72</v>
      </c>
      <c r="E192" s="24">
        <v>30000000</v>
      </c>
      <c r="F192" s="39">
        <v>44050</v>
      </c>
      <c r="G192" s="24">
        <v>30000000</v>
      </c>
      <c r="H192" s="23">
        <v>5.0000000000000001E-3</v>
      </c>
      <c r="I192" s="39">
        <v>44287</v>
      </c>
      <c r="J192" s="39">
        <v>44316</v>
      </c>
      <c r="K192" s="24">
        <f t="shared" si="12"/>
        <v>30</v>
      </c>
      <c r="L192" s="24">
        <f t="shared" si="13"/>
        <v>12329</v>
      </c>
      <c r="M192" s="24">
        <v>30000000</v>
      </c>
    </row>
    <row r="193" spans="1:13" s="5" customFormat="1" outlineLevel="2">
      <c r="A193" s="39" t="s">
        <v>120</v>
      </c>
      <c r="B193" s="40" t="s">
        <v>44</v>
      </c>
      <c r="C193" s="41" t="s">
        <v>83</v>
      </c>
      <c r="D193" s="40" t="s">
        <v>84</v>
      </c>
      <c r="E193" s="24">
        <v>72450000</v>
      </c>
      <c r="F193" s="39">
        <v>44064</v>
      </c>
      <c r="G193" s="24">
        <v>72450000</v>
      </c>
      <c r="H193" s="23">
        <v>5.0000000000000001E-3</v>
      </c>
      <c r="I193" s="39">
        <v>44287</v>
      </c>
      <c r="J193" s="39">
        <v>44316</v>
      </c>
      <c r="K193" s="24">
        <f t="shared" si="12"/>
        <v>30</v>
      </c>
      <c r="L193" s="24">
        <f t="shared" si="13"/>
        <v>29774</v>
      </c>
      <c r="M193" s="24">
        <v>72450000</v>
      </c>
    </row>
    <row r="194" spans="1:13" s="5" customFormat="1" outlineLevel="2">
      <c r="A194" s="39" t="s">
        <v>120</v>
      </c>
      <c r="B194" s="40" t="s">
        <v>47</v>
      </c>
      <c r="C194" s="41" t="s">
        <v>97</v>
      </c>
      <c r="D194" s="40" t="s">
        <v>98</v>
      </c>
      <c r="E194" s="24">
        <v>77500000</v>
      </c>
      <c r="F194" s="39">
        <v>44060</v>
      </c>
      <c r="G194" s="24">
        <v>77500000</v>
      </c>
      <c r="H194" s="23">
        <v>5.0000000000000001E-3</v>
      </c>
      <c r="I194" s="39">
        <v>44287</v>
      </c>
      <c r="J194" s="39">
        <v>44316</v>
      </c>
      <c r="K194" s="24">
        <f t="shared" si="12"/>
        <v>30</v>
      </c>
      <c r="L194" s="24">
        <f t="shared" si="13"/>
        <v>31849</v>
      </c>
      <c r="M194" s="24">
        <v>77500000</v>
      </c>
    </row>
    <row r="195" spans="1:13" s="5" customFormat="1" outlineLevel="2">
      <c r="A195" s="39" t="s">
        <v>120</v>
      </c>
      <c r="B195" s="40" t="s">
        <v>50</v>
      </c>
      <c r="C195" s="41" t="s">
        <v>83</v>
      </c>
      <c r="D195" s="40" t="s">
        <v>84</v>
      </c>
      <c r="E195" s="24">
        <v>160000000</v>
      </c>
      <c r="F195" s="39">
        <v>44098</v>
      </c>
      <c r="G195" s="24">
        <v>160000000</v>
      </c>
      <c r="H195" s="23">
        <v>5.0000000000000001E-3</v>
      </c>
      <c r="I195" s="39">
        <v>44287</v>
      </c>
      <c r="J195" s="39">
        <v>44316</v>
      </c>
      <c r="K195" s="24">
        <f t="shared" si="12"/>
        <v>30</v>
      </c>
      <c r="L195" s="24">
        <f t="shared" si="13"/>
        <v>65753</v>
      </c>
      <c r="M195" s="24">
        <v>160000000</v>
      </c>
    </row>
    <row r="196" spans="1:13" s="5" customFormat="1" outlineLevel="2">
      <c r="A196" s="39" t="s">
        <v>120</v>
      </c>
      <c r="B196" s="40" t="s">
        <v>51</v>
      </c>
      <c r="C196" s="41" t="s">
        <v>128</v>
      </c>
      <c r="D196" s="40" t="s">
        <v>129</v>
      </c>
      <c r="E196" s="24">
        <v>73100000</v>
      </c>
      <c r="F196" s="39">
        <v>44095</v>
      </c>
      <c r="G196" s="24">
        <v>73100000</v>
      </c>
      <c r="H196" s="23">
        <v>5.0000000000000001E-3</v>
      </c>
      <c r="I196" s="39">
        <v>44287</v>
      </c>
      <c r="J196" s="39">
        <v>44316</v>
      </c>
      <c r="K196" s="24">
        <f t="shared" si="12"/>
        <v>30</v>
      </c>
      <c r="L196" s="24">
        <f t="shared" si="13"/>
        <v>30041</v>
      </c>
      <c r="M196" s="24">
        <v>73100000</v>
      </c>
    </row>
    <row r="197" spans="1:13" s="5" customFormat="1" outlineLevel="2">
      <c r="A197" s="39" t="s">
        <v>120</v>
      </c>
      <c r="B197" s="40" t="s">
        <v>52</v>
      </c>
      <c r="C197" s="41" t="s">
        <v>125</v>
      </c>
      <c r="D197" s="40" t="s">
        <v>126</v>
      </c>
      <c r="E197" s="24">
        <v>3000000</v>
      </c>
      <c r="F197" s="39">
        <v>44132</v>
      </c>
      <c r="G197" s="24">
        <v>3000000</v>
      </c>
      <c r="H197" s="23">
        <v>5.0000000000000001E-3</v>
      </c>
      <c r="I197" s="39">
        <v>44287</v>
      </c>
      <c r="J197" s="39">
        <v>44316</v>
      </c>
      <c r="K197" s="24">
        <f t="shared" si="12"/>
        <v>30</v>
      </c>
      <c r="L197" s="24">
        <f t="shared" si="13"/>
        <v>1233</v>
      </c>
      <c r="M197" s="24">
        <v>3000000</v>
      </c>
    </row>
    <row r="198" spans="1:13" s="5" customFormat="1" outlineLevel="2">
      <c r="A198" s="39" t="s">
        <v>120</v>
      </c>
      <c r="B198" s="40" t="s">
        <v>53</v>
      </c>
      <c r="C198" s="41" t="s">
        <v>97</v>
      </c>
      <c r="D198" s="40" t="s">
        <v>98</v>
      </c>
      <c r="E198" s="24">
        <v>141000000</v>
      </c>
      <c r="F198" s="39">
        <v>44119</v>
      </c>
      <c r="G198" s="24">
        <v>141000000</v>
      </c>
      <c r="H198" s="23">
        <v>5.0000000000000001E-3</v>
      </c>
      <c r="I198" s="39">
        <v>44287</v>
      </c>
      <c r="J198" s="39">
        <v>44316</v>
      </c>
      <c r="K198" s="24">
        <f t="shared" si="12"/>
        <v>30</v>
      </c>
      <c r="L198" s="24">
        <f t="shared" si="13"/>
        <v>57945</v>
      </c>
      <c r="M198" s="24">
        <v>141000000</v>
      </c>
    </row>
    <row r="199" spans="1:13" s="5" customFormat="1" outlineLevel="2">
      <c r="A199" s="39" t="s">
        <v>120</v>
      </c>
      <c r="B199" s="40" t="s">
        <v>54</v>
      </c>
      <c r="C199" s="41" t="s">
        <v>20</v>
      </c>
      <c r="D199" s="40" t="s">
        <v>21</v>
      </c>
      <c r="E199" s="24">
        <v>60000000</v>
      </c>
      <c r="F199" s="39">
        <v>43922</v>
      </c>
      <c r="G199" s="24">
        <v>60000000</v>
      </c>
      <c r="H199" s="23">
        <v>3.0000000000000001E-3</v>
      </c>
      <c r="I199" s="39">
        <v>44287</v>
      </c>
      <c r="J199" s="39">
        <v>44316</v>
      </c>
      <c r="K199" s="24">
        <f t="shared" si="12"/>
        <v>30</v>
      </c>
      <c r="L199" s="24">
        <f t="shared" si="13"/>
        <v>14795</v>
      </c>
      <c r="M199" s="24">
        <v>60000000</v>
      </c>
    </row>
    <row r="200" spans="1:13" s="5" customFormat="1" outlineLevel="2">
      <c r="A200" s="39" t="s">
        <v>120</v>
      </c>
      <c r="B200" s="40" t="s">
        <v>57</v>
      </c>
      <c r="C200" s="41" t="s">
        <v>125</v>
      </c>
      <c r="D200" s="40" t="s">
        <v>126</v>
      </c>
      <c r="E200" s="24">
        <v>2500000</v>
      </c>
      <c r="F200" s="39">
        <v>44146</v>
      </c>
      <c r="G200" s="24">
        <v>2500000</v>
      </c>
      <c r="H200" s="23">
        <v>5.0000000000000001E-3</v>
      </c>
      <c r="I200" s="39">
        <v>44287</v>
      </c>
      <c r="J200" s="39">
        <v>44316</v>
      </c>
      <c r="K200" s="24">
        <f t="shared" si="12"/>
        <v>30</v>
      </c>
      <c r="L200" s="24">
        <f t="shared" si="13"/>
        <v>1027</v>
      </c>
      <c r="M200" s="24">
        <v>2500000</v>
      </c>
    </row>
    <row r="201" spans="1:13" s="5" customFormat="1" outlineLevel="2">
      <c r="A201" s="39" t="s">
        <v>120</v>
      </c>
      <c r="B201" s="40" t="s">
        <v>58</v>
      </c>
      <c r="C201" s="41" t="s">
        <v>71</v>
      </c>
      <c r="D201" s="40" t="s">
        <v>72</v>
      </c>
      <c r="E201" s="24">
        <v>11610900</v>
      </c>
      <c r="F201" s="39">
        <v>44137</v>
      </c>
      <c r="G201" s="24">
        <v>11610900</v>
      </c>
      <c r="H201" s="23">
        <v>5.0000000000000001E-3</v>
      </c>
      <c r="I201" s="39">
        <v>44287</v>
      </c>
      <c r="J201" s="39">
        <v>44316</v>
      </c>
      <c r="K201" s="24">
        <f t="shared" si="12"/>
        <v>30</v>
      </c>
      <c r="L201" s="24">
        <f t="shared" si="13"/>
        <v>4772</v>
      </c>
      <c r="M201" s="24">
        <v>11610900</v>
      </c>
    </row>
    <row r="202" spans="1:13" s="5" customFormat="1" outlineLevel="2">
      <c r="A202" s="39" t="s">
        <v>120</v>
      </c>
      <c r="B202" s="40" t="s">
        <v>99</v>
      </c>
      <c r="C202" s="41" t="s">
        <v>130</v>
      </c>
      <c r="D202" s="40" t="s">
        <v>131</v>
      </c>
      <c r="E202" s="24">
        <v>12000000</v>
      </c>
      <c r="F202" s="39">
        <v>44145</v>
      </c>
      <c r="G202" s="24">
        <v>7000000</v>
      </c>
      <c r="H202" s="23">
        <v>5.0000000000000001E-3</v>
      </c>
      <c r="I202" s="39">
        <v>44287</v>
      </c>
      <c r="J202" s="39">
        <v>44316</v>
      </c>
      <c r="K202" s="24">
        <f t="shared" si="12"/>
        <v>30</v>
      </c>
      <c r="L202" s="24">
        <f t="shared" si="13"/>
        <v>2877</v>
      </c>
      <c r="M202" s="24">
        <v>7000000</v>
      </c>
    </row>
    <row r="203" spans="1:13" s="5" customFormat="1" outlineLevel="2">
      <c r="A203" s="39" t="s">
        <v>120</v>
      </c>
      <c r="B203" s="40" t="s">
        <v>100</v>
      </c>
      <c r="C203" s="41" t="s">
        <v>132</v>
      </c>
      <c r="D203" s="40" t="s">
        <v>133</v>
      </c>
      <c r="E203" s="24">
        <v>23000000</v>
      </c>
      <c r="F203" s="39">
        <v>44137</v>
      </c>
      <c r="G203" s="24">
        <v>21083335</v>
      </c>
      <c r="H203" s="23">
        <v>5.0000000000000001E-3</v>
      </c>
      <c r="I203" s="39">
        <v>44287</v>
      </c>
      <c r="J203" s="39">
        <v>44300</v>
      </c>
      <c r="K203" s="24">
        <f t="shared" si="12"/>
        <v>14</v>
      </c>
      <c r="L203" s="24">
        <f t="shared" si="13"/>
        <v>4043</v>
      </c>
      <c r="M203" s="24">
        <v>20700002</v>
      </c>
    </row>
    <row r="204" spans="1:13" s="5" customFormat="1" outlineLevel="2">
      <c r="A204" s="39" t="s">
        <v>120</v>
      </c>
      <c r="B204" s="40" t="s">
        <v>100</v>
      </c>
      <c r="C204" s="41" t="s">
        <v>132</v>
      </c>
      <c r="D204" s="40"/>
      <c r="E204" s="24"/>
      <c r="F204" s="39"/>
      <c r="G204" s="24">
        <v>20700002</v>
      </c>
      <c r="H204" s="23">
        <v>5.0000000000000001E-3</v>
      </c>
      <c r="I204" s="39">
        <v>44301</v>
      </c>
      <c r="J204" s="39">
        <v>44316</v>
      </c>
      <c r="K204" s="24">
        <f t="shared" si="12"/>
        <v>16</v>
      </c>
      <c r="L204" s="24">
        <f t="shared" si="13"/>
        <v>4537</v>
      </c>
      <c r="M204" s="24"/>
    </row>
    <row r="205" spans="1:13" s="5" customFormat="1" outlineLevel="2">
      <c r="A205" s="39" t="s">
        <v>120</v>
      </c>
      <c r="B205" s="40" t="s">
        <v>101</v>
      </c>
      <c r="C205" s="41" t="s">
        <v>132</v>
      </c>
      <c r="D205" s="40" t="s">
        <v>133</v>
      </c>
      <c r="E205" s="24">
        <v>17000000</v>
      </c>
      <c r="F205" s="39">
        <v>44145</v>
      </c>
      <c r="G205" s="24">
        <v>15583335</v>
      </c>
      <c r="H205" s="23">
        <v>5.0000000000000001E-3</v>
      </c>
      <c r="I205" s="39">
        <v>44287</v>
      </c>
      <c r="J205" s="39">
        <v>44300</v>
      </c>
      <c r="K205" s="24">
        <f t="shared" si="12"/>
        <v>14</v>
      </c>
      <c r="L205" s="24">
        <f t="shared" si="13"/>
        <v>2989</v>
      </c>
      <c r="M205" s="24">
        <v>15300002</v>
      </c>
    </row>
    <row r="206" spans="1:13" s="5" customFormat="1" outlineLevel="2">
      <c r="A206" s="39" t="s">
        <v>120</v>
      </c>
      <c r="B206" s="40" t="s">
        <v>101</v>
      </c>
      <c r="C206" s="41" t="s">
        <v>132</v>
      </c>
      <c r="D206" s="40"/>
      <c r="E206" s="24"/>
      <c r="F206" s="39"/>
      <c r="G206" s="24">
        <v>15300002</v>
      </c>
      <c r="H206" s="23">
        <v>5.0000000000000001E-3</v>
      </c>
      <c r="I206" s="39">
        <v>44301</v>
      </c>
      <c r="J206" s="39">
        <v>44316</v>
      </c>
      <c r="K206" s="24">
        <f t="shared" si="12"/>
        <v>16</v>
      </c>
      <c r="L206" s="24">
        <f t="shared" si="13"/>
        <v>3353</v>
      </c>
      <c r="M206" s="24"/>
    </row>
    <row r="207" spans="1:13" s="5" customFormat="1" outlineLevel="2">
      <c r="A207" s="39" t="s">
        <v>120</v>
      </c>
      <c r="B207" s="40" t="s">
        <v>102</v>
      </c>
      <c r="C207" s="41" t="s">
        <v>17</v>
      </c>
      <c r="D207" s="40" t="s">
        <v>18</v>
      </c>
      <c r="E207" s="24">
        <v>4591000</v>
      </c>
      <c r="F207" s="39">
        <v>44160</v>
      </c>
      <c r="G207" s="24">
        <v>4284932</v>
      </c>
      <c r="H207" s="23">
        <v>5.0000000000000001E-3</v>
      </c>
      <c r="I207" s="39">
        <v>44287</v>
      </c>
      <c r="J207" s="39">
        <v>44300</v>
      </c>
      <c r="K207" s="24">
        <f t="shared" si="12"/>
        <v>14</v>
      </c>
      <c r="L207" s="24">
        <f t="shared" si="13"/>
        <v>822</v>
      </c>
      <c r="M207" s="24">
        <v>4208415</v>
      </c>
    </row>
    <row r="208" spans="1:13" s="5" customFormat="1" outlineLevel="2">
      <c r="A208" s="39" t="s">
        <v>120</v>
      </c>
      <c r="B208" s="40" t="s">
        <v>102</v>
      </c>
      <c r="C208" s="41" t="s">
        <v>17</v>
      </c>
      <c r="D208" s="40"/>
      <c r="E208" s="24"/>
      <c r="F208" s="39"/>
      <c r="G208" s="24">
        <v>4208415</v>
      </c>
      <c r="H208" s="23">
        <v>5.0000000000000001E-3</v>
      </c>
      <c r="I208" s="39">
        <v>44301</v>
      </c>
      <c r="J208" s="39">
        <v>44316</v>
      </c>
      <c r="K208" s="24">
        <f t="shared" ref="K208:K239" si="14">J208-I208+1</f>
        <v>16</v>
      </c>
      <c r="L208" s="24">
        <f t="shared" ref="L208:L239" si="15">ROUND(G208*H208*K208/365,0)</f>
        <v>922</v>
      </c>
      <c r="M208" s="24"/>
    </row>
    <row r="209" spans="1:13" s="5" customFormat="1" outlineLevel="2">
      <c r="A209" s="39" t="s">
        <v>120</v>
      </c>
      <c r="B209" s="40" t="s">
        <v>103</v>
      </c>
      <c r="C209" s="41" t="s">
        <v>83</v>
      </c>
      <c r="D209" s="40" t="s">
        <v>84</v>
      </c>
      <c r="E209" s="24">
        <v>238000000</v>
      </c>
      <c r="F209" s="39">
        <v>44189</v>
      </c>
      <c r="G209" s="24">
        <v>238000000</v>
      </c>
      <c r="H209" s="23">
        <v>5.0000000000000001E-3</v>
      </c>
      <c r="I209" s="39">
        <v>44287</v>
      </c>
      <c r="J209" s="39">
        <v>44316</v>
      </c>
      <c r="K209" s="24">
        <f t="shared" si="14"/>
        <v>30</v>
      </c>
      <c r="L209" s="24">
        <f t="shared" si="15"/>
        <v>97808</v>
      </c>
      <c r="M209" s="24">
        <v>238000000</v>
      </c>
    </row>
    <row r="210" spans="1:13" s="5" customFormat="1" outlineLevel="2">
      <c r="A210" s="39" t="s">
        <v>120</v>
      </c>
      <c r="B210" s="40" t="s">
        <v>104</v>
      </c>
      <c r="C210" s="41" t="s">
        <v>97</v>
      </c>
      <c r="D210" s="40" t="s">
        <v>98</v>
      </c>
      <c r="E210" s="24">
        <v>17000000</v>
      </c>
      <c r="F210" s="39">
        <v>44180</v>
      </c>
      <c r="G210" s="24">
        <v>17000000</v>
      </c>
      <c r="H210" s="23">
        <v>5.0000000000000001E-3</v>
      </c>
      <c r="I210" s="39">
        <v>44287</v>
      </c>
      <c r="J210" s="39">
        <v>44316</v>
      </c>
      <c r="K210" s="24">
        <f t="shared" si="14"/>
        <v>30</v>
      </c>
      <c r="L210" s="24">
        <f t="shared" si="15"/>
        <v>6986</v>
      </c>
      <c r="M210" s="24">
        <v>17000000</v>
      </c>
    </row>
    <row r="211" spans="1:13" s="5" customFormat="1" outlineLevel="2">
      <c r="A211" s="39" t="s">
        <v>120</v>
      </c>
      <c r="B211" s="40" t="s">
        <v>105</v>
      </c>
      <c r="C211" s="41" t="s">
        <v>134</v>
      </c>
      <c r="D211" s="40" t="s">
        <v>135</v>
      </c>
      <c r="E211" s="24">
        <v>8000000</v>
      </c>
      <c r="F211" s="39">
        <v>44169</v>
      </c>
      <c r="G211" s="24">
        <v>8000000</v>
      </c>
      <c r="H211" s="23">
        <v>5.0000000000000001E-3</v>
      </c>
      <c r="I211" s="39">
        <v>44287</v>
      </c>
      <c r="J211" s="39">
        <v>44316</v>
      </c>
      <c r="K211" s="24">
        <f t="shared" si="14"/>
        <v>30</v>
      </c>
      <c r="L211" s="24">
        <f t="shared" si="15"/>
        <v>3288</v>
      </c>
      <c r="M211" s="24">
        <v>8000000</v>
      </c>
    </row>
    <row r="212" spans="1:13" s="5" customFormat="1" outlineLevel="2">
      <c r="A212" s="39" t="s">
        <v>120</v>
      </c>
      <c r="B212" s="40" t="s">
        <v>106</v>
      </c>
      <c r="C212" s="41" t="s">
        <v>134</v>
      </c>
      <c r="D212" s="40" t="s">
        <v>135</v>
      </c>
      <c r="E212" s="24">
        <v>15000000</v>
      </c>
      <c r="F212" s="39">
        <v>44169</v>
      </c>
      <c r="G212" s="24">
        <v>15000000</v>
      </c>
      <c r="H212" s="23">
        <v>5.0000000000000001E-3</v>
      </c>
      <c r="I212" s="39">
        <v>44287</v>
      </c>
      <c r="J212" s="39">
        <v>44316</v>
      </c>
      <c r="K212" s="24">
        <f t="shared" si="14"/>
        <v>30</v>
      </c>
      <c r="L212" s="24">
        <f t="shared" si="15"/>
        <v>6164</v>
      </c>
      <c r="M212" s="24">
        <v>15000000</v>
      </c>
    </row>
    <row r="213" spans="1:13" s="5" customFormat="1" outlineLevel="2">
      <c r="A213" s="39" t="s">
        <v>120</v>
      </c>
      <c r="B213" s="40" t="s">
        <v>59</v>
      </c>
      <c r="C213" s="41" t="s">
        <v>20</v>
      </c>
      <c r="D213" s="40" t="s">
        <v>21</v>
      </c>
      <c r="E213" s="24">
        <v>144000000</v>
      </c>
      <c r="F213" s="39">
        <v>43922</v>
      </c>
      <c r="G213" s="24">
        <v>144000000</v>
      </c>
      <c r="H213" s="23">
        <v>5.0000000000000001E-3</v>
      </c>
      <c r="I213" s="39">
        <v>44287</v>
      </c>
      <c r="J213" s="39">
        <v>44316</v>
      </c>
      <c r="K213" s="24">
        <f t="shared" si="14"/>
        <v>30</v>
      </c>
      <c r="L213" s="24">
        <f t="shared" si="15"/>
        <v>59178</v>
      </c>
      <c r="M213" s="24">
        <v>144000000</v>
      </c>
    </row>
    <row r="214" spans="1:13" s="5" customFormat="1" outlineLevel="2">
      <c r="A214" s="39" t="s">
        <v>120</v>
      </c>
      <c r="B214" s="40" t="s">
        <v>136</v>
      </c>
      <c r="C214" s="41" t="s">
        <v>125</v>
      </c>
      <c r="D214" s="40" t="s">
        <v>126</v>
      </c>
      <c r="E214" s="24">
        <v>7000000</v>
      </c>
      <c r="F214" s="39">
        <v>44202</v>
      </c>
      <c r="G214" s="24">
        <v>7000000</v>
      </c>
      <c r="H214" s="23">
        <v>5.0000000000000001E-3</v>
      </c>
      <c r="I214" s="39">
        <v>44287</v>
      </c>
      <c r="J214" s="39">
        <v>44316</v>
      </c>
      <c r="K214" s="24">
        <f t="shared" si="14"/>
        <v>30</v>
      </c>
      <c r="L214" s="24">
        <f t="shared" si="15"/>
        <v>2877</v>
      </c>
      <c r="M214" s="24">
        <v>7000000</v>
      </c>
    </row>
    <row r="215" spans="1:13" s="5" customFormat="1" outlineLevel="2">
      <c r="A215" s="39" t="s">
        <v>120</v>
      </c>
      <c r="B215" s="40" t="s">
        <v>137</v>
      </c>
      <c r="C215" s="41" t="s">
        <v>125</v>
      </c>
      <c r="D215" s="40" t="s">
        <v>126</v>
      </c>
      <c r="E215" s="24">
        <v>26000000</v>
      </c>
      <c r="F215" s="39">
        <v>44218</v>
      </c>
      <c r="G215" s="24">
        <v>26000000</v>
      </c>
      <c r="H215" s="23">
        <v>5.0000000000000001E-3</v>
      </c>
      <c r="I215" s="39">
        <v>44287</v>
      </c>
      <c r="J215" s="39">
        <v>44316</v>
      </c>
      <c r="K215" s="24">
        <f t="shared" si="14"/>
        <v>30</v>
      </c>
      <c r="L215" s="24">
        <f t="shared" si="15"/>
        <v>10685</v>
      </c>
      <c r="M215" s="24">
        <v>26000000</v>
      </c>
    </row>
    <row r="216" spans="1:13" s="5" customFormat="1" outlineLevel="2">
      <c r="A216" s="39" t="s">
        <v>120</v>
      </c>
      <c r="B216" s="40" t="s">
        <v>138</v>
      </c>
      <c r="C216" s="41" t="s">
        <v>134</v>
      </c>
      <c r="D216" s="40" t="s">
        <v>135</v>
      </c>
      <c r="E216" s="24">
        <v>15000000</v>
      </c>
      <c r="F216" s="39">
        <v>44200</v>
      </c>
      <c r="G216" s="24">
        <v>15000000</v>
      </c>
      <c r="H216" s="23">
        <v>5.0000000000000001E-3</v>
      </c>
      <c r="I216" s="39">
        <v>44287</v>
      </c>
      <c r="J216" s="39">
        <v>44316</v>
      </c>
      <c r="K216" s="24">
        <f t="shared" si="14"/>
        <v>30</v>
      </c>
      <c r="L216" s="24">
        <f t="shared" si="15"/>
        <v>6164</v>
      </c>
      <c r="M216" s="24">
        <v>15000000</v>
      </c>
    </row>
    <row r="217" spans="1:13" s="5" customFormat="1" outlineLevel="2">
      <c r="A217" s="39" t="s">
        <v>120</v>
      </c>
      <c r="B217" s="40" t="s">
        <v>139</v>
      </c>
      <c r="C217" s="41" t="s">
        <v>134</v>
      </c>
      <c r="D217" s="40" t="s">
        <v>135</v>
      </c>
      <c r="E217" s="24">
        <v>6000000</v>
      </c>
      <c r="F217" s="39">
        <v>44203</v>
      </c>
      <c r="G217" s="24">
        <v>6000000</v>
      </c>
      <c r="H217" s="23">
        <v>5.0000000000000001E-3</v>
      </c>
      <c r="I217" s="39">
        <v>44287</v>
      </c>
      <c r="J217" s="39">
        <v>44316</v>
      </c>
      <c r="K217" s="24">
        <f t="shared" si="14"/>
        <v>30</v>
      </c>
      <c r="L217" s="24">
        <f t="shared" si="15"/>
        <v>2466</v>
      </c>
      <c r="M217" s="24">
        <v>6000000</v>
      </c>
    </row>
    <row r="218" spans="1:13" s="5" customFormat="1" outlineLevel="2">
      <c r="A218" s="39" t="s">
        <v>120</v>
      </c>
      <c r="B218" s="40" t="s">
        <v>140</v>
      </c>
      <c r="C218" s="41" t="s">
        <v>134</v>
      </c>
      <c r="D218" s="40" t="s">
        <v>135</v>
      </c>
      <c r="E218" s="24">
        <v>9000000</v>
      </c>
      <c r="F218" s="39">
        <v>44216</v>
      </c>
      <c r="G218" s="24">
        <v>9000000</v>
      </c>
      <c r="H218" s="23">
        <v>5.0000000000000001E-3</v>
      </c>
      <c r="I218" s="39">
        <v>44287</v>
      </c>
      <c r="J218" s="39">
        <v>44316</v>
      </c>
      <c r="K218" s="24">
        <f t="shared" si="14"/>
        <v>30</v>
      </c>
      <c r="L218" s="24">
        <f t="shared" si="15"/>
        <v>3699</v>
      </c>
      <c r="M218" s="24">
        <v>9000000</v>
      </c>
    </row>
    <row r="219" spans="1:13" s="5" customFormat="1" outlineLevel="2">
      <c r="A219" s="39" t="s">
        <v>120</v>
      </c>
      <c r="B219" s="40" t="s">
        <v>169</v>
      </c>
      <c r="C219" s="41" t="s">
        <v>20</v>
      </c>
      <c r="D219" s="40" t="s">
        <v>21</v>
      </c>
      <c r="E219" s="24">
        <v>150000000</v>
      </c>
      <c r="F219" s="39">
        <v>44231</v>
      </c>
      <c r="G219" s="24">
        <v>150000000</v>
      </c>
      <c r="H219" s="23">
        <v>3.0000000000000001E-3</v>
      </c>
      <c r="I219" s="39">
        <v>44287</v>
      </c>
      <c r="J219" s="39">
        <v>44316</v>
      </c>
      <c r="K219" s="24">
        <f t="shared" si="14"/>
        <v>30</v>
      </c>
      <c r="L219" s="24">
        <f t="shared" si="15"/>
        <v>36986</v>
      </c>
      <c r="M219" s="24">
        <v>150000000</v>
      </c>
    </row>
    <row r="220" spans="1:13" s="5" customFormat="1" outlineLevel="2">
      <c r="A220" s="39" t="s">
        <v>120</v>
      </c>
      <c r="B220" s="40" t="s">
        <v>170</v>
      </c>
      <c r="C220" s="41" t="s">
        <v>134</v>
      </c>
      <c r="D220" s="40" t="s">
        <v>135</v>
      </c>
      <c r="E220" s="24">
        <v>2000000</v>
      </c>
      <c r="F220" s="39">
        <v>44228</v>
      </c>
      <c r="G220" s="24">
        <v>2000000</v>
      </c>
      <c r="H220" s="23">
        <v>5.0000000000000001E-3</v>
      </c>
      <c r="I220" s="39">
        <v>44287</v>
      </c>
      <c r="J220" s="39">
        <v>44316</v>
      </c>
      <c r="K220" s="24">
        <f t="shared" si="14"/>
        <v>30</v>
      </c>
      <c r="L220" s="24">
        <f t="shared" si="15"/>
        <v>822</v>
      </c>
      <c r="M220" s="24">
        <v>2000000</v>
      </c>
    </row>
    <row r="221" spans="1:13" s="5" customFormat="1" outlineLevel="2">
      <c r="A221" s="39" t="s">
        <v>120</v>
      </c>
      <c r="B221" s="40" t="s">
        <v>171</v>
      </c>
      <c r="C221" s="41" t="s">
        <v>134</v>
      </c>
      <c r="D221" s="40" t="s">
        <v>135</v>
      </c>
      <c r="E221" s="24">
        <v>13000000</v>
      </c>
      <c r="F221" s="39">
        <v>44231</v>
      </c>
      <c r="G221" s="24">
        <v>13000000</v>
      </c>
      <c r="H221" s="23">
        <v>5.0000000000000001E-3</v>
      </c>
      <c r="I221" s="39">
        <v>44287</v>
      </c>
      <c r="J221" s="39">
        <v>44316</v>
      </c>
      <c r="K221" s="24">
        <f t="shared" si="14"/>
        <v>30</v>
      </c>
      <c r="L221" s="24">
        <f t="shared" si="15"/>
        <v>5342</v>
      </c>
      <c r="M221" s="24">
        <v>13000000</v>
      </c>
    </row>
    <row r="222" spans="1:13" s="5" customFormat="1" outlineLevel="2">
      <c r="A222" s="39" t="s">
        <v>120</v>
      </c>
      <c r="B222" s="40" t="s">
        <v>172</v>
      </c>
      <c r="C222" s="41" t="s">
        <v>134</v>
      </c>
      <c r="D222" s="40" t="s">
        <v>135</v>
      </c>
      <c r="E222" s="24">
        <v>8000000</v>
      </c>
      <c r="F222" s="39">
        <v>44235</v>
      </c>
      <c r="G222" s="24">
        <v>8000000</v>
      </c>
      <c r="H222" s="23">
        <v>5.0000000000000001E-3</v>
      </c>
      <c r="I222" s="39">
        <v>44287</v>
      </c>
      <c r="J222" s="39">
        <v>44316</v>
      </c>
      <c r="K222" s="24">
        <f t="shared" si="14"/>
        <v>30</v>
      </c>
      <c r="L222" s="24">
        <f t="shared" si="15"/>
        <v>3288</v>
      </c>
      <c r="M222" s="24">
        <v>8000000</v>
      </c>
    </row>
    <row r="223" spans="1:13" s="5" customFormat="1" outlineLevel="2">
      <c r="A223" s="39" t="s">
        <v>120</v>
      </c>
      <c r="B223" s="40" t="s">
        <v>173</v>
      </c>
      <c r="C223" s="41" t="s">
        <v>134</v>
      </c>
      <c r="D223" s="40" t="s">
        <v>135</v>
      </c>
      <c r="E223" s="24">
        <v>6000000</v>
      </c>
      <c r="F223" s="39">
        <v>44231</v>
      </c>
      <c r="G223" s="24">
        <v>6000000</v>
      </c>
      <c r="H223" s="23">
        <v>5.0000000000000001E-3</v>
      </c>
      <c r="I223" s="39">
        <v>44287</v>
      </c>
      <c r="J223" s="39">
        <v>44316</v>
      </c>
      <c r="K223" s="24">
        <f t="shared" si="14"/>
        <v>30</v>
      </c>
      <c r="L223" s="24">
        <f t="shared" si="15"/>
        <v>2466</v>
      </c>
      <c r="M223" s="24">
        <v>6000000</v>
      </c>
    </row>
    <row r="224" spans="1:13" s="5" customFormat="1" outlineLevel="2">
      <c r="A224" s="39" t="s">
        <v>120</v>
      </c>
      <c r="B224" s="40" t="s">
        <v>62</v>
      </c>
      <c r="C224" s="41" t="s">
        <v>125</v>
      </c>
      <c r="D224" s="40" t="s">
        <v>126</v>
      </c>
      <c r="E224" s="24">
        <v>34480000</v>
      </c>
      <c r="F224" s="39">
        <v>43980</v>
      </c>
      <c r="G224" s="24">
        <v>34480000</v>
      </c>
      <c r="H224" s="23">
        <v>5.0000000000000001E-3</v>
      </c>
      <c r="I224" s="39">
        <v>44287</v>
      </c>
      <c r="J224" s="39">
        <v>44316</v>
      </c>
      <c r="K224" s="24">
        <f t="shared" si="14"/>
        <v>30</v>
      </c>
      <c r="L224" s="24">
        <f t="shared" si="15"/>
        <v>14170</v>
      </c>
      <c r="M224" s="24">
        <v>34480000</v>
      </c>
    </row>
    <row r="225" spans="1:13" s="5" customFormat="1" outlineLevel="2">
      <c r="A225" s="39" t="s">
        <v>120</v>
      </c>
      <c r="B225" s="40" t="s">
        <v>174</v>
      </c>
      <c r="C225" s="41" t="s">
        <v>246</v>
      </c>
      <c r="D225" s="40" t="s">
        <v>247</v>
      </c>
      <c r="E225" s="24">
        <v>11000000</v>
      </c>
      <c r="F225" s="39">
        <v>44235</v>
      </c>
      <c r="G225" s="24">
        <v>11000000</v>
      </c>
      <c r="H225" s="23">
        <v>5.0000000000000001E-3</v>
      </c>
      <c r="I225" s="39">
        <v>44287</v>
      </c>
      <c r="J225" s="39">
        <v>44316</v>
      </c>
      <c r="K225" s="24">
        <f t="shared" si="14"/>
        <v>30</v>
      </c>
      <c r="L225" s="24">
        <f t="shared" si="15"/>
        <v>4521</v>
      </c>
      <c r="M225" s="24">
        <v>11000000</v>
      </c>
    </row>
    <row r="226" spans="1:13" s="5" customFormat="1" outlineLevel="2">
      <c r="A226" s="39" t="s">
        <v>120</v>
      </c>
      <c r="B226" s="40" t="s">
        <v>175</v>
      </c>
      <c r="C226" s="41" t="s">
        <v>246</v>
      </c>
      <c r="D226" s="40" t="s">
        <v>247</v>
      </c>
      <c r="E226" s="24">
        <v>67000000</v>
      </c>
      <c r="F226" s="39">
        <v>44251</v>
      </c>
      <c r="G226" s="24">
        <v>67000000</v>
      </c>
      <c r="H226" s="23">
        <v>5.0000000000000001E-3</v>
      </c>
      <c r="I226" s="39">
        <v>44287</v>
      </c>
      <c r="J226" s="39">
        <v>44316</v>
      </c>
      <c r="K226" s="24">
        <f t="shared" si="14"/>
        <v>30</v>
      </c>
      <c r="L226" s="24">
        <f t="shared" si="15"/>
        <v>27534</v>
      </c>
      <c r="M226" s="24">
        <v>67000000</v>
      </c>
    </row>
    <row r="227" spans="1:13" s="5" customFormat="1" outlineLevel="2">
      <c r="A227" s="39" t="s">
        <v>120</v>
      </c>
      <c r="B227" s="40" t="s">
        <v>176</v>
      </c>
      <c r="C227" s="41" t="s">
        <v>306</v>
      </c>
      <c r="D227" s="40" t="s">
        <v>305</v>
      </c>
      <c r="E227" s="24">
        <v>320000000</v>
      </c>
      <c r="F227" s="39">
        <v>44228</v>
      </c>
      <c r="G227" s="24">
        <v>320000000</v>
      </c>
      <c r="H227" s="23">
        <v>5.0000000000000001E-3</v>
      </c>
      <c r="I227" s="39">
        <v>44287</v>
      </c>
      <c r="J227" s="39">
        <v>44316</v>
      </c>
      <c r="K227" s="24">
        <f t="shared" si="14"/>
        <v>30</v>
      </c>
      <c r="L227" s="24">
        <f t="shared" si="15"/>
        <v>131507</v>
      </c>
      <c r="M227" s="24">
        <v>320000000</v>
      </c>
    </row>
    <row r="228" spans="1:13" s="5" customFormat="1" outlineLevel="2">
      <c r="A228" s="39" t="s">
        <v>120</v>
      </c>
      <c r="B228" s="40" t="s">
        <v>177</v>
      </c>
      <c r="C228" s="41" t="s">
        <v>306</v>
      </c>
      <c r="D228" s="40" t="s">
        <v>305</v>
      </c>
      <c r="E228" s="24">
        <v>17000000</v>
      </c>
      <c r="F228" s="39">
        <v>44246</v>
      </c>
      <c r="G228" s="24">
        <v>17000000</v>
      </c>
      <c r="H228" s="23">
        <v>5.0000000000000001E-3</v>
      </c>
      <c r="I228" s="39">
        <v>44287</v>
      </c>
      <c r="J228" s="39">
        <v>44316</v>
      </c>
      <c r="K228" s="24">
        <f t="shared" si="14"/>
        <v>30</v>
      </c>
      <c r="L228" s="24">
        <f t="shared" si="15"/>
        <v>6986</v>
      </c>
      <c r="M228" s="24">
        <v>17000000</v>
      </c>
    </row>
    <row r="229" spans="1:13" s="5" customFormat="1" outlineLevel="2">
      <c r="A229" s="39" t="s">
        <v>120</v>
      </c>
      <c r="B229" s="40" t="s">
        <v>178</v>
      </c>
      <c r="C229" s="41" t="s">
        <v>71</v>
      </c>
      <c r="D229" s="40" t="s">
        <v>72</v>
      </c>
      <c r="E229" s="24">
        <v>19980000</v>
      </c>
      <c r="F229" s="39">
        <v>44252</v>
      </c>
      <c r="G229" s="24">
        <v>19980000</v>
      </c>
      <c r="H229" s="23">
        <v>5.0000000000000001E-3</v>
      </c>
      <c r="I229" s="39">
        <v>44287</v>
      </c>
      <c r="J229" s="39">
        <v>44316</v>
      </c>
      <c r="K229" s="24">
        <f t="shared" si="14"/>
        <v>30</v>
      </c>
      <c r="L229" s="24">
        <f t="shared" si="15"/>
        <v>8211</v>
      </c>
      <c r="M229" s="24">
        <v>19980000</v>
      </c>
    </row>
    <row r="230" spans="1:13" s="5" customFormat="1" outlineLevel="2">
      <c r="A230" s="39" t="s">
        <v>120</v>
      </c>
      <c r="B230" s="40" t="s">
        <v>179</v>
      </c>
      <c r="C230" s="41" t="s">
        <v>219</v>
      </c>
      <c r="D230" s="40" t="s">
        <v>220</v>
      </c>
      <c r="E230" s="24">
        <v>9000000</v>
      </c>
      <c r="F230" s="39">
        <v>44253</v>
      </c>
      <c r="G230" s="24">
        <v>9000000</v>
      </c>
      <c r="H230" s="23">
        <v>5.0000000000000001E-3</v>
      </c>
      <c r="I230" s="39">
        <v>44287</v>
      </c>
      <c r="J230" s="39">
        <v>44316</v>
      </c>
      <c r="K230" s="24">
        <f t="shared" si="14"/>
        <v>30</v>
      </c>
      <c r="L230" s="24">
        <f t="shared" si="15"/>
        <v>3699</v>
      </c>
      <c r="M230" s="24">
        <v>9000000</v>
      </c>
    </row>
    <row r="231" spans="1:13" s="5" customFormat="1" outlineLevel="2">
      <c r="A231" s="39" t="s">
        <v>120</v>
      </c>
      <c r="B231" s="40" t="s">
        <v>180</v>
      </c>
      <c r="C231" s="41" t="s">
        <v>219</v>
      </c>
      <c r="D231" s="40" t="s">
        <v>220</v>
      </c>
      <c r="E231" s="24">
        <v>17000000</v>
      </c>
      <c r="F231" s="39">
        <v>44253</v>
      </c>
      <c r="G231" s="24">
        <v>17000000</v>
      </c>
      <c r="H231" s="23">
        <v>5.0000000000000001E-3</v>
      </c>
      <c r="I231" s="39">
        <v>44287</v>
      </c>
      <c r="J231" s="39">
        <v>44316</v>
      </c>
      <c r="K231" s="24">
        <f t="shared" si="14"/>
        <v>30</v>
      </c>
      <c r="L231" s="24">
        <f t="shared" si="15"/>
        <v>6986</v>
      </c>
      <c r="M231" s="24">
        <v>17000000</v>
      </c>
    </row>
    <row r="232" spans="1:13" s="5" customFormat="1" outlineLevel="2">
      <c r="A232" s="39" t="s">
        <v>120</v>
      </c>
      <c r="B232" s="40" t="s">
        <v>181</v>
      </c>
      <c r="C232" s="41" t="s">
        <v>37</v>
      </c>
      <c r="D232" s="40" t="s">
        <v>38</v>
      </c>
      <c r="E232" s="24">
        <v>90862000</v>
      </c>
      <c r="F232" s="39">
        <v>44285</v>
      </c>
      <c r="G232" s="24">
        <v>90862000</v>
      </c>
      <c r="H232" s="23">
        <v>5.0000000000000001E-3</v>
      </c>
      <c r="I232" s="39">
        <v>44287</v>
      </c>
      <c r="J232" s="39">
        <v>44316</v>
      </c>
      <c r="K232" s="24">
        <f t="shared" si="14"/>
        <v>30</v>
      </c>
      <c r="L232" s="24">
        <f t="shared" si="15"/>
        <v>37341</v>
      </c>
      <c r="M232" s="24">
        <v>90862000</v>
      </c>
    </row>
    <row r="233" spans="1:13" s="5" customFormat="1" outlineLevel="2">
      <c r="A233" s="39" t="s">
        <v>120</v>
      </c>
      <c r="B233" s="40" t="s">
        <v>182</v>
      </c>
      <c r="C233" s="41" t="s">
        <v>37</v>
      </c>
      <c r="D233" s="40" t="s">
        <v>38</v>
      </c>
      <c r="E233" s="24">
        <v>49390000</v>
      </c>
      <c r="F233" s="39">
        <v>44285</v>
      </c>
      <c r="G233" s="24">
        <v>49390000</v>
      </c>
      <c r="H233" s="23">
        <v>5.0000000000000001E-3</v>
      </c>
      <c r="I233" s="39">
        <v>44287</v>
      </c>
      <c r="J233" s="39">
        <v>44316</v>
      </c>
      <c r="K233" s="24">
        <f t="shared" si="14"/>
        <v>30</v>
      </c>
      <c r="L233" s="24">
        <f t="shared" si="15"/>
        <v>20297</v>
      </c>
      <c r="M233" s="24">
        <v>49390000</v>
      </c>
    </row>
    <row r="234" spans="1:13" s="5" customFormat="1" outlineLevel="2">
      <c r="A234" s="39" t="s">
        <v>120</v>
      </c>
      <c r="B234" s="40" t="s">
        <v>183</v>
      </c>
      <c r="C234" s="41" t="s">
        <v>134</v>
      </c>
      <c r="D234" s="40" t="s">
        <v>135</v>
      </c>
      <c r="E234" s="24">
        <v>9000000</v>
      </c>
      <c r="F234" s="39">
        <v>44285</v>
      </c>
      <c r="G234" s="24">
        <v>9000000</v>
      </c>
      <c r="H234" s="23">
        <v>5.0000000000000001E-3</v>
      </c>
      <c r="I234" s="39">
        <v>44287</v>
      </c>
      <c r="J234" s="39">
        <v>44316</v>
      </c>
      <c r="K234" s="24">
        <f t="shared" si="14"/>
        <v>30</v>
      </c>
      <c r="L234" s="24">
        <f t="shared" si="15"/>
        <v>3699</v>
      </c>
      <c r="M234" s="24">
        <v>9000000</v>
      </c>
    </row>
    <row r="235" spans="1:13" s="5" customFormat="1" outlineLevel="2">
      <c r="A235" s="39" t="s">
        <v>120</v>
      </c>
      <c r="B235" s="40" t="s">
        <v>63</v>
      </c>
      <c r="C235" s="41" t="s">
        <v>66</v>
      </c>
      <c r="D235" s="40" t="s">
        <v>67</v>
      </c>
      <c r="E235" s="24">
        <v>56000000</v>
      </c>
      <c r="F235" s="39">
        <v>43966</v>
      </c>
      <c r="G235" s="24">
        <v>56000000</v>
      </c>
      <c r="H235" s="23">
        <v>5.0000000000000001E-3</v>
      </c>
      <c r="I235" s="39">
        <v>44287</v>
      </c>
      <c r="J235" s="39">
        <v>44316</v>
      </c>
      <c r="K235" s="24">
        <f t="shared" si="14"/>
        <v>30</v>
      </c>
      <c r="L235" s="24">
        <f t="shared" si="15"/>
        <v>23014</v>
      </c>
      <c r="M235" s="24">
        <v>56000000</v>
      </c>
    </row>
    <row r="236" spans="1:13" s="5" customFormat="1" outlineLevel="2">
      <c r="A236" s="39" t="s">
        <v>120</v>
      </c>
      <c r="B236" s="40" t="s">
        <v>184</v>
      </c>
      <c r="C236" s="41" t="s">
        <v>125</v>
      </c>
      <c r="D236" s="40" t="s">
        <v>126</v>
      </c>
      <c r="E236" s="24">
        <v>28000000</v>
      </c>
      <c r="F236" s="39">
        <v>44264</v>
      </c>
      <c r="G236" s="24">
        <v>28000000</v>
      </c>
      <c r="H236" s="23">
        <v>5.0000000000000001E-3</v>
      </c>
      <c r="I236" s="39">
        <v>44287</v>
      </c>
      <c r="J236" s="39">
        <v>44316</v>
      </c>
      <c r="K236" s="24">
        <f t="shared" si="14"/>
        <v>30</v>
      </c>
      <c r="L236" s="24">
        <f t="shared" si="15"/>
        <v>11507</v>
      </c>
      <c r="M236" s="24">
        <v>28000000</v>
      </c>
    </row>
    <row r="237" spans="1:13" s="5" customFormat="1" outlineLevel="2">
      <c r="A237" s="39" t="s">
        <v>120</v>
      </c>
      <c r="B237" s="40" t="s">
        <v>185</v>
      </c>
      <c r="C237" s="41" t="s">
        <v>125</v>
      </c>
      <c r="D237" s="40" t="s">
        <v>126</v>
      </c>
      <c r="E237" s="24">
        <v>26000000</v>
      </c>
      <c r="F237" s="39">
        <v>44264</v>
      </c>
      <c r="G237" s="24">
        <v>26000000</v>
      </c>
      <c r="H237" s="23">
        <v>5.0000000000000001E-3</v>
      </c>
      <c r="I237" s="39">
        <v>44287</v>
      </c>
      <c r="J237" s="39">
        <v>44316</v>
      </c>
      <c r="K237" s="24">
        <f t="shared" si="14"/>
        <v>30</v>
      </c>
      <c r="L237" s="24">
        <f t="shared" si="15"/>
        <v>10685</v>
      </c>
      <c r="M237" s="24">
        <v>26000000</v>
      </c>
    </row>
    <row r="238" spans="1:13" s="5" customFormat="1" outlineLevel="2">
      <c r="A238" s="39" t="s">
        <v>120</v>
      </c>
      <c r="B238" s="40" t="s">
        <v>186</v>
      </c>
      <c r="C238" s="41" t="s">
        <v>30</v>
      </c>
      <c r="D238" s="40" t="s">
        <v>31</v>
      </c>
      <c r="E238" s="24">
        <v>60000000</v>
      </c>
      <c r="F238" s="39">
        <v>44272</v>
      </c>
      <c r="G238" s="24">
        <v>60000000</v>
      </c>
      <c r="H238" s="23">
        <v>5.0000000000000001E-3</v>
      </c>
      <c r="I238" s="39">
        <v>44287</v>
      </c>
      <c r="J238" s="39">
        <v>44316</v>
      </c>
      <c r="K238" s="24">
        <f t="shared" si="14"/>
        <v>30</v>
      </c>
      <c r="L238" s="24">
        <f t="shared" si="15"/>
        <v>24658</v>
      </c>
      <c r="M238" s="24">
        <v>60000000</v>
      </c>
    </row>
    <row r="239" spans="1:13" s="5" customFormat="1" outlineLevel="2">
      <c r="A239" s="39" t="s">
        <v>120</v>
      </c>
      <c r="B239" s="40" t="s">
        <v>189</v>
      </c>
      <c r="C239" s="41" t="s">
        <v>324</v>
      </c>
      <c r="D239" s="40" t="s">
        <v>323</v>
      </c>
      <c r="E239" s="24">
        <v>37000000</v>
      </c>
      <c r="F239" s="39">
        <v>44270</v>
      </c>
      <c r="G239" s="24">
        <v>37000000</v>
      </c>
      <c r="H239" s="23">
        <v>5.0000000000000001E-3</v>
      </c>
      <c r="I239" s="39">
        <v>44287</v>
      </c>
      <c r="J239" s="39">
        <v>44300</v>
      </c>
      <c r="K239" s="24">
        <f t="shared" si="14"/>
        <v>14</v>
      </c>
      <c r="L239" s="24">
        <f t="shared" si="15"/>
        <v>7096</v>
      </c>
      <c r="M239" s="24">
        <v>36691666</v>
      </c>
    </row>
    <row r="240" spans="1:13" s="5" customFormat="1" outlineLevel="2">
      <c r="A240" s="39" t="s">
        <v>120</v>
      </c>
      <c r="B240" s="40" t="s">
        <v>189</v>
      </c>
      <c r="C240" s="41" t="s">
        <v>324</v>
      </c>
      <c r="D240" s="40"/>
      <c r="E240" s="24"/>
      <c r="F240" s="39"/>
      <c r="G240" s="24">
        <v>36691666</v>
      </c>
      <c r="H240" s="23">
        <v>5.0000000000000001E-3</v>
      </c>
      <c r="I240" s="39">
        <v>44301</v>
      </c>
      <c r="J240" s="39">
        <v>44316</v>
      </c>
      <c r="K240" s="24">
        <f t="shared" ref="K240:K271" si="16">J240-I240+1</f>
        <v>16</v>
      </c>
      <c r="L240" s="24">
        <f t="shared" ref="L240:L271" si="17">ROUND(G240*H240*K240/365,0)</f>
        <v>8042</v>
      </c>
      <c r="M240" s="24"/>
    </row>
    <row r="241" spans="1:13" s="5" customFormat="1" outlineLevel="2">
      <c r="A241" s="39" t="s">
        <v>120</v>
      </c>
      <c r="B241" s="40" t="s">
        <v>190</v>
      </c>
      <c r="C241" s="41" t="s">
        <v>324</v>
      </c>
      <c r="D241" s="40" t="s">
        <v>323</v>
      </c>
      <c r="E241" s="24">
        <v>23000000</v>
      </c>
      <c r="F241" s="39">
        <v>44270</v>
      </c>
      <c r="G241" s="24">
        <v>23000000</v>
      </c>
      <c r="H241" s="23">
        <v>5.0000000000000001E-3</v>
      </c>
      <c r="I241" s="39">
        <v>44287</v>
      </c>
      <c r="J241" s="39">
        <v>44300</v>
      </c>
      <c r="K241" s="24">
        <f t="shared" si="16"/>
        <v>14</v>
      </c>
      <c r="L241" s="24">
        <f t="shared" si="17"/>
        <v>4411</v>
      </c>
      <c r="M241" s="24">
        <v>22726190</v>
      </c>
    </row>
    <row r="242" spans="1:13" s="5" customFormat="1" outlineLevel="2">
      <c r="A242" s="39" t="s">
        <v>120</v>
      </c>
      <c r="B242" s="40" t="s">
        <v>190</v>
      </c>
      <c r="C242" s="41" t="s">
        <v>324</v>
      </c>
      <c r="D242" s="40"/>
      <c r="E242" s="24"/>
      <c r="F242" s="39"/>
      <c r="G242" s="24">
        <v>22726190</v>
      </c>
      <c r="H242" s="23">
        <v>5.0000000000000001E-3</v>
      </c>
      <c r="I242" s="39">
        <v>44301</v>
      </c>
      <c r="J242" s="39">
        <v>44316</v>
      </c>
      <c r="K242" s="24">
        <f t="shared" si="16"/>
        <v>16</v>
      </c>
      <c r="L242" s="24">
        <f t="shared" si="17"/>
        <v>4981</v>
      </c>
      <c r="M242" s="24"/>
    </row>
    <row r="243" spans="1:13" s="5" customFormat="1" outlineLevel="2">
      <c r="A243" s="39" t="s">
        <v>120</v>
      </c>
      <c r="B243" s="40" t="s">
        <v>191</v>
      </c>
      <c r="C243" s="41" t="s">
        <v>324</v>
      </c>
      <c r="D243" s="40" t="s">
        <v>323</v>
      </c>
      <c r="E243" s="24">
        <v>30000000</v>
      </c>
      <c r="F243" s="39">
        <v>44270</v>
      </c>
      <c r="G243" s="24">
        <v>30000000</v>
      </c>
      <c r="H243" s="23">
        <v>5.0000000000000001E-3</v>
      </c>
      <c r="I243" s="39">
        <v>44287</v>
      </c>
      <c r="J243" s="39">
        <v>44300</v>
      </c>
      <c r="K243" s="24">
        <f t="shared" si="16"/>
        <v>14</v>
      </c>
      <c r="L243" s="24">
        <f t="shared" si="17"/>
        <v>5753</v>
      </c>
      <c r="M243" s="24">
        <v>29642857</v>
      </c>
    </row>
    <row r="244" spans="1:13" s="5" customFormat="1" outlineLevel="2">
      <c r="A244" s="39" t="s">
        <v>120</v>
      </c>
      <c r="B244" s="40" t="s">
        <v>191</v>
      </c>
      <c r="C244" s="41" t="s">
        <v>324</v>
      </c>
      <c r="D244" s="40"/>
      <c r="E244" s="24"/>
      <c r="F244" s="39"/>
      <c r="G244" s="24">
        <v>29642857</v>
      </c>
      <c r="H244" s="23">
        <v>5.0000000000000001E-3</v>
      </c>
      <c r="I244" s="39">
        <v>44301</v>
      </c>
      <c r="J244" s="39">
        <v>44316</v>
      </c>
      <c r="K244" s="24">
        <f t="shared" si="16"/>
        <v>16</v>
      </c>
      <c r="L244" s="24">
        <f t="shared" si="17"/>
        <v>6497</v>
      </c>
      <c r="M244" s="24"/>
    </row>
    <row r="245" spans="1:13" s="5" customFormat="1" outlineLevel="2">
      <c r="A245" s="39" t="s">
        <v>120</v>
      </c>
      <c r="B245" s="40" t="s">
        <v>192</v>
      </c>
      <c r="C245" s="41" t="s">
        <v>341</v>
      </c>
      <c r="D245" s="40" t="s">
        <v>340</v>
      </c>
      <c r="E245" s="24">
        <v>33600000</v>
      </c>
      <c r="F245" s="39">
        <v>44314</v>
      </c>
      <c r="G245" s="24">
        <v>33600000</v>
      </c>
      <c r="H245" s="23">
        <v>5.0000000000000001E-3</v>
      </c>
      <c r="I245" s="39">
        <v>44314</v>
      </c>
      <c r="J245" s="39">
        <v>44316</v>
      </c>
      <c r="K245" s="24">
        <f t="shared" si="16"/>
        <v>3</v>
      </c>
      <c r="L245" s="24">
        <f t="shared" si="17"/>
        <v>1381</v>
      </c>
      <c r="M245" s="24">
        <v>33600000</v>
      </c>
    </row>
    <row r="246" spans="1:13" s="5" customFormat="1" outlineLevel="2">
      <c r="A246" s="39" t="s">
        <v>120</v>
      </c>
      <c r="B246" s="40" t="s">
        <v>193</v>
      </c>
      <c r="C246" s="41" t="s">
        <v>219</v>
      </c>
      <c r="D246" s="40" t="s">
        <v>220</v>
      </c>
      <c r="E246" s="24">
        <v>22000000</v>
      </c>
      <c r="F246" s="39">
        <v>44314</v>
      </c>
      <c r="G246" s="24">
        <v>22000000</v>
      </c>
      <c r="H246" s="23">
        <v>5.0000000000000001E-3</v>
      </c>
      <c r="I246" s="39">
        <v>44314</v>
      </c>
      <c r="J246" s="39">
        <v>44316</v>
      </c>
      <c r="K246" s="24">
        <f t="shared" si="16"/>
        <v>3</v>
      </c>
      <c r="L246" s="24">
        <f t="shared" si="17"/>
        <v>904</v>
      </c>
      <c r="M246" s="24">
        <v>22000000</v>
      </c>
    </row>
    <row r="247" spans="1:13" s="5" customFormat="1" outlineLevel="2">
      <c r="A247" s="39" t="s">
        <v>120</v>
      </c>
      <c r="B247" s="40" t="s">
        <v>194</v>
      </c>
      <c r="C247" s="41" t="s">
        <v>345</v>
      </c>
      <c r="D247" s="40" t="s">
        <v>344</v>
      </c>
      <c r="E247" s="24">
        <v>16000000</v>
      </c>
      <c r="F247" s="39">
        <v>44315</v>
      </c>
      <c r="G247" s="24">
        <v>16000000</v>
      </c>
      <c r="H247" s="23">
        <v>3.0000000000000001E-3</v>
      </c>
      <c r="I247" s="39">
        <v>44315</v>
      </c>
      <c r="J247" s="39">
        <v>44316</v>
      </c>
      <c r="K247" s="24">
        <f t="shared" si="16"/>
        <v>2</v>
      </c>
      <c r="L247" s="24">
        <f t="shared" si="17"/>
        <v>263</v>
      </c>
      <c r="M247" s="24">
        <v>16000000</v>
      </c>
    </row>
    <row r="248" spans="1:13" s="5" customFormat="1" outlineLevel="2">
      <c r="A248" s="39" t="s">
        <v>120</v>
      </c>
      <c r="B248" s="40" t="s">
        <v>195</v>
      </c>
      <c r="C248" s="41" t="s">
        <v>363</v>
      </c>
      <c r="D248" s="40" t="s">
        <v>362</v>
      </c>
      <c r="E248" s="24">
        <v>3800000</v>
      </c>
      <c r="F248" s="39">
        <v>44309</v>
      </c>
      <c r="G248" s="24">
        <v>3800000</v>
      </c>
      <c r="H248" s="23">
        <v>5.0000000000000001E-3</v>
      </c>
      <c r="I248" s="39">
        <v>44309</v>
      </c>
      <c r="J248" s="39">
        <v>44316</v>
      </c>
      <c r="K248" s="24">
        <f t="shared" si="16"/>
        <v>8</v>
      </c>
      <c r="L248" s="24">
        <f t="shared" si="17"/>
        <v>416</v>
      </c>
      <c r="M248" s="24">
        <v>3800000</v>
      </c>
    </row>
    <row r="249" spans="1:13" s="5" customFormat="1" outlineLevel="2">
      <c r="A249" s="39" t="s">
        <v>120</v>
      </c>
      <c r="B249" s="40" t="s">
        <v>64</v>
      </c>
      <c r="C249" s="41" t="s">
        <v>20</v>
      </c>
      <c r="D249" s="40" t="s">
        <v>21</v>
      </c>
      <c r="E249" s="24">
        <v>150000000</v>
      </c>
      <c r="F249" s="39">
        <v>43958</v>
      </c>
      <c r="G249" s="24">
        <v>150000000</v>
      </c>
      <c r="H249" s="23">
        <v>5.0000000000000001E-3</v>
      </c>
      <c r="I249" s="39">
        <v>44287</v>
      </c>
      <c r="J249" s="39">
        <v>44316</v>
      </c>
      <c r="K249" s="24">
        <f t="shared" si="16"/>
        <v>30</v>
      </c>
      <c r="L249" s="24">
        <f t="shared" si="17"/>
        <v>61644</v>
      </c>
      <c r="M249" s="24">
        <v>150000000</v>
      </c>
    </row>
    <row r="250" spans="1:13" s="5" customFormat="1" outlineLevel="2">
      <c r="A250" s="39" t="s">
        <v>120</v>
      </c>
      <c r="B250" s="40" t="s">
        <v>65</v>
      </c>
      <c r="C250" s="41" t="s">
        <v>125</v>
      </c>
      <c r="D250" s="40" t="s">
        <v>126</v>
      </c>
      <c r="E250" s="24">
        <v>5000000</v>
      </c>
      <c r="F250" s="39">
        <v>43998</v>
      </c>
      <c r="G250" s="24">
        <v>5000000</v>
      </c>
      <c r="H250" s="23">
        <v>5.0000000000000001E-3</v>
      </c>
      <c r="I250" s="39">
        <v>44287</v>
      </c>
      <c r="J250" s="39">
        <v>44316</v>
      </c>
      <c r="K250" s="24">
        <f t="shared" si="16"/>
        <v>30</v>
      </c>
      <c r="L250" s="24">
        <f t="shared" si="17"/>
        <v>2055</v>
      </c>
      <c r="M250" s="24">
        <v>5000000</v>
      </c>
    </row>
    <row r="251" spans="1:13" s="5" customFormat="1" outlineLevel="2">
      <c r="A251" s="39" t="s">
        <v>120</v>
      </c>
      <c r="B251" s="40" t="s">
        <v>68</v>
      </c>
      <c r="C251" s="41" t="s">
        <v>125</v>
      </c>
      <c r="D251" s="40" t="s">
        <v>126</v>
      </c>
      <c r="E251" s="24">
        <v>17292000</v>
      </c>
      <c r="F251" s="39">
        <v>44002</v>
      </c>
      <c r="G251" s="24">
        <v>17292000</v>
      </c>
      <c r="H251" s="23">
        <v>5.0000000000000001E-3</v>
      </c>
      <c r="I251" s="39">
        <v>44287</v>
      </c>
      <c r="J251" s="39">
        <v>44316</v>
      </c>
      <c r="K251" s="24">
        <f t="shared" si="16"/>
        <v>30</v>
      </c>
      <c r="L251" s="24">
        <f t="shared" si="17"/>
        <v>7106</v>
      </c>
      <c r="M251" s="24">
        <v>17292000</v>
      </c>
    </row>
    <row r="252" spans="1:13" s="5" customFormat="1" outlineLevel="1">
      <c r="A252" s="42" t="s">
        <v>141</v>
      </c>
      <c r="B252" s="43"/>
      <c r="C252" s="44"/>
      <c r="D252" s="43"/>
      <c r="E252" s="45">
        <f>SUBTOTAL(9,E176:E251)</f>
        <v>4271597900</v>
      </c>
      <c r="F252" s="46"/>
      <c r="G252" s="45"/>
      <c r="H252" s="47"/>
      <c r="I252" s="46"/>
      <c r="J252" s="46"/>
      <c r="K252" s="45"/>
      <c r="L252" s="45">
        <f>SUBTOTAL(9,L176:L251)</f>
        <v>1590316</v>
      </c>
      <c r="M252" s="45">
        <f>SUBTOTAL(9,M176:M251)</f>
        <v>4203106432</v>
      </c>
    </row>
    <row r="253" spans="1:13" s="5" customFormat="1" outlineLevel="2">
      <c r="A253" s="39" t="s">
        <v>142</v>
      </c>
      <c r="B253" s="40" t="s">
        <v>16</v>
      </c>
      <c r="C253" s="41" t="s">
        <v>143</v>
      </c>
      <c r="D253" s="40" t="s">
        <v>144</v>
      </c>
      <c r="E253" s="24">
        <v>38000000</v>
      </c>
      <c r="F253" s="39">
        <v>43762</v>
      </c>
      <c r="G253" s="24">
        <v>38000000</v>
      </c>
      <c r="H253" s="23">
        <v>5.0000000000000001E-3</v>
      </c>
      <c r="I253" s="39">
        <v>44287</v>
      </c>
      <c r="J253" s="39">
        <v>44316</v>
      </c>
      <c r="K253" s="24">
        <f t="shared" ref="K253:K284" si="18">J253-I253+1</f>
        <v>30</v>
      </c>
      <c r="L253" s="24">
        <f t="shared" ref="L253:L284" si="19">ROUND(G253*H253*K253/365,0)</f>
        <v>15616</v>
      </c>
      <c r="M253" s="24">
        <v>38000000</v>
      </c>
    </row>
    <row r="254" spans="1:13" s="5" customFormat="1" outlineLevel="2">
      <c r="A254" s="39" t="s">
        <v>142</v>
      </c>
      <c r="B254" s="40" t="s">
        <v>19</v>
      </c>
      <c r="C254" s="41" t="s">
        <v>60</v>
      </c>
      <c r="D254" s="40" t="s">
        <v>61</v>
      </c>
      <c r="E254" s="24">
        <v>110000000</v>
      </c>
      <c r="F254" s="39">
        <v>43913</v>
      </c>
      <c r="G254" s="24">
        <v>110000000</v>
      </c>
      <c r="H254" s="23">
        <v>5.0000000000000001E-3</v>
      </c>
      <c r="I254" s="39">
        <v>44287</v>
      </c>
      <c r="J254" s="39">
        <v>44316</v>
      </c>
      <c r="K254" s="24">
        <f t="shared" si="18"/>
        <v>30</v>
      </c>
      <c r="L254" s="24">
        <f t="shared" si="19"/>
        <v>45205</v>
      </c>
      <c r="M254" s="24">
        <v>110000000</v>
      </c>
    </row>
    <row r="255" spans="1:13" s="5" customFormat="1" outlineLevel="2">
      <c r="A255" s="39" t="s">
        <v>142</v>
      </c>
      <c r="B255" s="40" t="s">
        <v>145</v>
      </c>
      <c r="C255" s="41" t="s">
        <v>146</v>
      </c>
      <c r="D255" s="40" t="s">
        <v>147</v>
      </c>
      <c r="E255" s="24">
        <v>5000000</v>
      </c>
      <c r="F255" s="39">
        <v>44204</v>
      </c>
      <c r="G255" s="24">
        <v>5000000</v>
      </c>
      <c r="H255" s="23">
        <v>5.0000000000000001E-3</v>
      </c>
      <c r="I255" s="39">
        <v>44287</v>
      </c>
      <c r="J255" s="39">
        <v>44316</v>
      </c>
      <c r="K255" s="24">
        <f t="shared" si="18"/>
        <v>30</v>
      </c>
      <c r="L255" s="24">
        <f t="shared" si="19"/>
        <v>2055</v>
      </c>
      <c r="M255" s="24">
        <v>5000000</v>
      </c>
    </row>
    <row r="256" spans="1:13" s="5" customFormat="1" outlineLevel="2">
      <c r="A256" s="39" t="s">
        <v>142</v>
      </c>
      <c r="B256" s="40" t="s">
        <v>148</v>
      </c>
      <c r="C256" s="41" t="s">
        <v>149</v>
      </c>
      <c r="D256" s="40" t="s">
        <v>150</v>
      </c>
      <c r="E256" s="24">
        <v>3528000</v>
      </c>
      <c r="F256" s="39">
        <v>44207</v>
      </c>
      <c r="G256" s="24">
        <v>3528000</v>
      </c>
      <c r="H256" s="23">
        <v>5.0000000000000001E-3</v>
      </c>
      <c r="I256" s="39">
        <v>44287</v>
      </c>
      <c r="J256" s="39">
        <v>44316</v>
      </c>
      <c r="K256" s="24">
        <f t="shared" si="18"/>
        <v>30</v>
      </c>
      <c r="L256" s="24">
        <f t="shared" si="19"/>
        <v>1450</v>
      </c>
      <c r="M256" s="24">
        <v>3528000</v>
      </c>
    </row>
    <row r="257" spans="1:13" s="5" customFormat="1" outlineLevel="2">
      <c r="A257" s="39" t="s">
        <v>142</v>
      </c>
      <c r="B257" s="40" t="s">
        <v>151</v>
      </c>
      <c r="C257" s="41" t="s">
        <v>149</v>
      </c>
      <c r="D257" s="40" t="s">
        <v>150</v>
      </c>
      <c r="E257" s="24">
        <v>2520000</v>
      </c>
      <c r="F257" s="39">
        <v>44207</v>
      </c>
      <c r="G257" s="24">
        <v>2520000</v>
      </c>
      <c r="H257" s="23">
        <v>5.0000000000000001E-3</v>
      </c>
      <c r="I257" s="39">
        <v>44287</v>
      </c>
      <c r="J257" s="39">
        <v>44316</v>
      </c>
      <c r="K257" s="24">
        <f t="shared" si="18"/>
        <v>30</v>
      </c>
      <c r="L257" s="24">
        <f t="shared" si="19"/>
        <v>1036</v>
      </c>
      <c r="M257" s="24">
        <v>2520000</v>
      </c>
    </row>
    <row r="258" spans="1:13" s="5" customFormat="1" outlineLevel="2">
      <c r="A258" s="39" t="s">
        <v>142</v>
      </c>
      <c r="B258" s="40" t="s">
        <v>152</v>
      </c>
      <c r="C258" s="41" t="s">
        <v>149</v>
      </c>
      <c r="D258" s="40" t="s">
        <v>150</v>
      </c>
      <c r="E258" s="24">
        <v>4368000</v>
      </c>
      <c r="F258" s="39">
        <v>44210</v>
      </c>
      <c r="G258" s="24">
        <v>4368000</v>
      </c>
      <c r="H258" s="23">
        <v>5.0000000000000001E-3</v>
      </c>
      <c r="I258" s="39">
        <v>44287</v>
      </c>
      <c r="J258" s="39">
        <v>44316</v>
      </c>
      <c r="K258" s="24">
        <f t="shared" si="18"/>
        <v>30</v>
      </c>
      <c r="L258" s="24">
        <f t="shared" si="19"/>
        <v>1795</v>
      </c>
      <c r="M258" s="24">
        <v>4368000</v>
      </c>
    </row>
    <row r="259" spans="1:13" s="5" customFormat="1" outlineLevel="2">
      <c r="A259" s="39" t="s">
        <v>142</v>
      </c>
      <c r="B259" s="40" t="s">
        <v>153</v>
      </c>
      <c r="C259" s="41" t="s">
        <v>149</v>
      </c>
      <c r="D259" s="40" t="s">
        <v>150</v>
      </c>
      <c r="E259" s="24">
        <v>95583736</v>
      </c>
      <c r="F259" s="39">
        <v>44225</v>
      </c>
      <c r="G259" s="24">
        <v>95583736</v>
      </c>
      <c r="H259" s="23">
        <v>5.0000000000000001E-3</v>
      </c>
      <c r="I259" s="39">
        <v>44287</v>
      </c>
      <c r="J259" s="39">
        <v>44316</v>
      </c>
      <c r="K259" s="24">
        <f t="shared" si="18"/>
        <v>30</v>
      </c>
      <c r="L259" s="24">
        <f t="shared" si="19"/>
        <v>39281</v>
      </c>
      <c r="M259" s="24">
        <v>95583736</v>
      </c>
    </row>
    <row r="260" spans="1:13" s="5" customFormat="1" outlineLevel="2">
      <c r="A260" s="39" t="s">
        <v>142</v>
      </c>
      <c r="B260" s="40" t="s">
        <v>154</v>
      </c>
      <c r="C260" s="41" t="s">
        <v>155</v>
      </c>
      <c r="D260" s="40" t="s">
        <v>156</v>
      </c>
      <c r="E260" s="24">
        <v>200000000</v>
      </c>
      <c r="F260" s="39">
        <v>44211</v>
      </c>
      <c r="G260" s="24">
        <v>200000000</v>
      </c>
      <c r="H260" s="23">
        <v>5.0000000000000001E-3</v>
      </c>
      <c r="I260" s="39">
        <v>44287</v>
      </c>
      <c r="J260" s="39">
        <v>44316</v>
      </c>
      <c r="K260" s="24">
        <f t="shared" si="18"/>
        <v>30</v>
      </c>
      <c r="L260" s="24">
        <f t="shared" si="19"/>
        <v>82192</v>
      </c>
      <c r="M260" s="24">
        <v>200000000</v>
      </c>
    </row>
    <row r="261" spans="1:13" s="5" customFormat="1" outlineLevel="2">
      <c r="A261" s="39" t="s">
        <v>142</v>
      </c>
      <c r="B261" s="40" t="s">
        <v>157</v>
      </c>
      <c r="C261" s="41" t="s">
        <v>125</v>
      </c>
      <c r="D261" s="40" t="s">
        <v>126</v>
      </c>
      <c r="E261" s="24">
        <v>3000000</v>
      </c>
      <c r="F261" s="39">
        <v>44216</v>
      </c>
      <c r="G261" s="24">
        <v>3000000</v>
      </c>
      <c r="H261" s="23">
        <v>5.0000000000000001E-3</v>
      </c>
      <c r="I261" s="39">
        <v>44287</v>
      </c>
      <c r="J261" s="39">
        <v>44316</v>
      </c>
      <c r="K261" s="24">
        <f t="shared" si="18"/>
        <v>30</v>
      </c>
      <c r="L261" s="24">
        <f t="shared" si="19"/>
        <v>1233</v>
      </c>
      <c r="M261" s="24">
        <v>3000000</v>
      </c>
    </row>
    <row r="262" spans="1:13" s="5" customFormat="1" outlineLevel="2">
      <c r="A262" s="39" t="s">
        <v>142</v>
      </c>
      <c r="B262" s="40" t="s">
        <v>158</v>
      </c>
      <c r="C262" s="41" t="s">
        <v>125</v>
      </c>
      <c r="D262" s="40" t="s">
        <v>126</v>
      </c>
      <c r="E262" s="24">
        <v>10000000</v>
      </c>
      <c r="F262" s="39">
        <v>44216</v>
      </c>
      <c r="G262" s="24">
        <v>10000000</v>
      </c>
      <c r="H262" s="23">
        <v>5.0000000000000001E-3</v>
      </c>
      <c r="I262" s="39">
        <v>44287</v>
      </c>
      <c r="J262" s="39">
        <v>44316</v>
      </c>
      <c r="K262" s="24">
        <f t="shared" si="18"/>
        <v>30</v>
      </c>
      <c r="L262" s="24">
        <f t="shared" si="19"/>
        <v>4110</v>
      </c>
      <c r="M262" s="24">
        <v>10000000</v>
      </c>
    </row>
    <row r="263" spans="1:13" s="5" customFormat="1" outlineLevel="2">
      <c r="A263" s="39" t="s">
        <v>142</v>
      </c>
      <c r="B263" s="40" t="s">
        <v>159</v>
      </c>
      <c r="C263" s="41" t="s">
        <v>87</v>
      </c>
      <c r="D263" s="40" t="s">
        <v>88</v>
      </c>
      <c r="E263" s="24">
        <v>14776161</v>
      </c>
      <c r="F263" s="39">
        <v>44221</v>
      </c>
      <c r="G263" s="24">
        <v>14776161</v>
      </c>
      <c r="H263" s="23">
        <v>5.0000000000000001E-3</v>
      </c>
      <c r="I263" s="39">
        <v>44287</v>
      </c>
      <c r="J263" s="39">
        <v>44316</v>
      </c>
      <c r="K263" s="24">
        <f t="shared" si="18"/>
        <v>30</v>
      </c>
      <c r="L263" s="24">
        <f t="shared" si="19"/>
        <v>6072</v>
      </c>
      <c r="M263" s="24">
        <v>14776161</v>
      </c>
    </row>
    <row r="264" spans="1:13" s="5" customFormat="1" outlineLevel="2">
      <c r="A264" s="39" t="s">
        <v>142</v>
      </c>
      <c r="B264" s="40" t="s">
        <v>320</v>
      </c>
      <c r="C264" s="41" t="s">
        <v>143</v>
      </c>
      <c r="D264" s="40" t="s">
        <v>144</v>
      </c>
      <c r="E264" s="24">
        <v>4100000</v>
      </c>
      <c r="F264" s="39">
        <v>44228</v>
      </c>
      <c r="G264" s="24">
        <v>4100000</v>
      </c>
      <c r="H264" s="23">
        <v>5.0000000000000001E-3</v>
      </c>
      <c r="I264" s="39">
        <v>44287</v>
      </c>
      <c r="J264" s="39">
        <v>44316</v>
      </c>
      <c r="K264" s="24">
        <f t="shared" si="18"/>
        <v>30</v>
      </c>
      <c r="L264" s="24">
        <f t="shared" si="19"/>
        <v>1685</v>
      </c>
      <c r="M264" s="24">
        <v>4100000</v>
      </c>
    </row>
    <row r="265" spans="1:13" s="5" customFormat="1" outlineLevel="2">
      <c r="A265" s="39" t="s">
        <v>142</v>
      </c>
      <c r="B265" s="40" t="s">
        <v>22</v>
      </c>
      <c r="C265" s="41" t="s">
        <v>149</v>
      </c>
      <c r="D265" s="40" t="s">
        <v>150</v>
      </c>
      <c r="E265" s="24">
        <v>95655336</v>
      </c>
      <c r="F265" s="39">
        <v>43951</v>
      </c>
      <c r="G265" s="24">
        <v>95655336</v>
      </c>
      <c r="H265" s="23">
        <v>5.0000000000000001E-3</v>
      </c>
      <c r="I265" s="39">
        <v>44287</v>
      </c>
      <c r="J265" s="39">
        <v>44316</v>
      </c>
      <c r="K265" s="24">
        <f t="shared" si="18"/>
        <v>30</v>
      </c>
      <c r="L265" s="24">
        <f t="shared" si="19"/>
        <v>39310</v>
      </c>
      <c r="M265" s="24">
        <v>95655336</v>
      </c>
    </row>
    <row r="266" spans="1:13" s="5" customFormat="1" outlineLevel="2">
      <c r="A266" s="39" t="s">
        <v>142</v>
      </c>
      <c r="B266" s="40" t="s">
        <v>319</v>
      </c>
      <c r="C266" s="41" t="s">
        <v>149</v>
      </c>
      <c r="D266" s="40" t="s">
        <v>150</v>
      </c>
      <c r="E266" s="24">
        <v>13843200</v>
      </c>
      <c r="F266" s="39">
        <v>44232</v>
      </c>
      <c r="G266" s="24">
        <v>13843200</v>
      </c>
      <c r="H266" s="23">
        <v>5.0000000000000001E-3</v>
      </c>
      <c r="I266" s="39">
        <v>44287</v>
      </c>
      <c r="J266" s="39">
        <v>44316</v>
      </c>
      <c r="K266" s="24">
        <f t="shared" si="18"/>
        <v>30</v>
      </c>
      <c r="L266" s="24">
        <f t="shared" si="19"/>
        <v>5689</v>
      </c>
      <c r="M266" s="24">
        <v>13843200</v>
      </c>
    </row>
    <row r="267" spans="1:13" s="5" customFormat="1" outlineLevel="2">
      <c r="A267" s="39" t="s">
        <v>142</v>
      </c>
      <c r="B267" s="40" t="s">
        <v>318</v>
      </c>
      <c r="C267" s="41" t="s">
        <v>149</v>
      </c>
      <c r="D267" s="40" t="s">
        <v>150</v>
      </c>
      <c r="E267" s="24">
        <v>7056000</v>
      </c>
      <c r="F267" s="39">
        <v>44235</v>
      </c>
      <c r="G267" s="24">
        <v>7056000</v>
      </c>
      <c r="H267" s="23">
        <v>5.0000000000000001E-3</v>
      </c>
      <c r="I267" s="39">
        <v>44287</v>
      </c>
      <c r="J267" s="39">
        <v>44316</v>
      </c>
      <c r="K267" s="24">
        <f t="shared" si="18"/>
        <v>30</v>
      </c>
      <c r="L267" s="24">
        <f t="shared" si="19"/>
        <v>2900</v>
      </c>
      <c r="M267" s="24">
        <v>7056000</v>
      </c>
    </row>
    <row r="268" spans="1:13" s="5" customFormat="1" outlineLevel="2">
      <c r="A268" s="39" t="s">
        <v>142</v>
      </c>
      <c r="B268" s="40" t="s">
        <v>317</v>
      </c>
      <c r="C268" s="41" t="s">
        <v>149</v>
      </c>
      <c r="D268" s="40" t="s">
        <v>150</v>
      </c>
      <c r="E268" s="24">
        <v>2184000</v>
      </c>
      <c r="F268" s="39">
        <v>44235</v>
      </c>
      <c r="G268" s="24">
        <v>2184000</v>
      </c>
      <c r="H268" s="23">
        <v>5.0000000000000001E-3</v>
      </c>
      <c r="I268" s="39">
        <v>44287</v>
      </c>
      <c r="J268" s="39">
        <v>44316</v>
      </c>
      <c r="K268" s="24">
        <f t="shared" si="18"/>
        <v>30</v>
      </c>
      <c r="L268" s="24">
        <f t="shared" si="19"/>
        <v>898</v>
      </c>
      <c r="M268" s="24">
        <v>2184000</v>
      </c>
    </row>
    <row r="269" spans="1:13" s="5" customFormat="1" outlineLevel="2">
      <c r="A269" s="39" t="s">
        <v>142</v>
      </c>
      <c r="B269" s="40" t="s">
        <v>316</v>
      </c>
      <c r="C269" s="41" t="s">
        <v>149</v>
      </c>
      <c r="D269" s="40" t="s">
        <v>150</v>
      </c>
      <c r="E269" s="24">
        <v>5040000</v>
      </c>
      <c r="F269" s="39">
        <v>44235</v>
      </c>
      <c r="G269" s="24">
        <v>5040000</v>
      </c>
      <c r="H269" s="23">
        <v>5.0000000000000001E-3</v>
      </c>
      <c r="I269" s="39">
        <v>44287</v>
      </c>
      <c r="J269" s="39">
        <v>44316</v>
      </c>
      <c r="K269" s="24">
        <f t="shared" si="18"/>
        <v>30</v>
      </c>
      <c r="L269" s="24">
        <f t="shared" si="19"/>
        <v>2071</v>
      </c>
      <c r="M269" s="24">
        <v>5040000</v>
      </c>
    </row>
    <row r="270" spans="1:13" s="5" customFormat="1" outlineLevel="2">
      <c r="A270" s="39" t="s">
        <v>142</v>
      </c>
      <c r="B270" s="40" t="s">
        <v>315</v>
      </c>
      <c r="C270" s="41" t="s">
        <v>149</v>
      </c>
      <c r="D270" s="40" t="s">
        <v>150</v>
      </c>
      <c r="E270" s="24">
        <v>8316000</v>
      </c>
      <c r="F270" s="39">
        <v>44244</v>
      </c>
      <c r="G270" s="24">
        <v>8316000</v>
      </c>
      <c r="H270" s="23">
        <v>5.0000000000000001E-3</v>
      </c>
      <c r="I270" s="39">
        <v>44287</v>
      </c>
      <c r="J270" s="39">
        <v>44316</v>
      </c>
      <c r="K270" s="24">
        <f t="shared" si="18"/>
        <v>30</v>
      </c>
      <c r="L270" s="24">
        <f t="shared" si="19"/>
        <v>3418</v>
      </c>
      <c r="M270" s="24">
        <v>8316000</v>
      </c>
    </row>
    <row r="271" spans="1:13" s="5" customFormat="1" outlineLevel="2">
      <c r="A271" s="39" t="s">
        <v>142</v>
      </c>
      <c r="B271" s="40" t="s">
        <v>314</v>
      </c>
      <c r="C271" s="41" t="s">
        <v>149</v>
      </c>
      <c r="D271" s="40" t="s">
        <v>150</v>
      </c>
      <c r="E271" s="24">
        <v>8547840</v>
      </c>
      <c r="F271" s="39">
        <v>44244</v>
      </c>
      <c r="G271" s="24">
        <v>8547840</v>
      </c>
      <c r="H271" s="23">
        <v>5.0000000000000001E-3</v>
      </c>
      <c r="I271" s="39">
        <v>44287</v>
      </c>
      <c r="J271" s="39">
        <v>44316</v>
      </c>
      <c r="K271" s="24">
        <f t="shared" si="18"/>
        <v>30</v>
      </c>
      <c r="L271" s="24">
        <f t="shared" si="19"/>
        <v>3513</v>
      </c>
      <c r="M271" s="24">
        <v>8547840</v>
      </c>
    </row>
    <row r="272" spans="1:13" s="5" customFormat="1" outlineLevel="2">
      <c r="A272" s="39" t="s">
        <v>142</v>
      </c>
      <c r="B272" s="40" t="s">
        <v>313</v>
      </c>
      <c r="C272" s="41" t="s">
        <v>149</v>
      </c>
      <c r="D272" s="40" t="s">
        <v>150</v>
      </c>
      <c r="E272" s="24">
        <v>6384000</v>
      </c>
      <c r="F272" s="39">
        <v>44244</v>
      </c>
      <c r="G272" s="24">
        <v>6384000</v>
      </c>
      <c r="H272" s="23">
        <v>5.0000000000000001E-3</v>
      </c>
      <c r="I272" s="39">
        <v>44287</v>
      </c>
      <c r="J272" s="39">
        <v>44316</v>
      </c>
      <c r="K272" s="24">
        <f t="shared" si="18"/>
        <v>30</v>
      </c>
      <c r="L272" s="24">
        <f t="shared" si="19"/>
        <v>2624</v>
      </c>
      <c r="M272" s="24">
        <v>6384000</v>
      </c>
    </row>
    <row r="273" spans="1:13" s="5" customFormat="1" outlineLevel="2">
      <c r="A273" s="39" t="s">
        <v>142</v>
      </c>
      <c r="B273" s="40" t="s">
        <v>312</v>
      </c>
      <c r="C273" s="41" t="s">
        <v>149</v>
      </c>
      <c r="D273" s="40" t="s">
        <v>150</v>
      </c>
      <c r="E273" s="24">
        <v>226800</v>
      </c>
      <c r="F273" s="39">
        <v>44244</v>
      </c>
      <c r="G273" s="24">
        <v>226800</v>
      </c>
      <c r="H273" s="23">
        <v>5.0000000000000001E-3</v>
      </c>
      <c r="I273" s="39">
        <v>44287</v>
      </c>
      <c r="J273" s="39">
        <v>44316</v>
      </c>
      <c r="K273" s="24">
        <f t="shared" si="18"/>
        <v>30</v>
      </c>
      <c r="L273" s="24">
        <f t="shared" si="19"/>
        <v>93</v>
      </c>
      <c r="M273" s="24">
        <v>226800</v>
      </c>
    </row>
    <row r="274" spans="1:13" s="5" customFormat="1" outlineLevel="2">
      <c r="A274" s="39" t="s">
        <v>142</v>
      </c>
      <c r="B274" s="40" t="s">
        <v>311</v>
      </c>
      <c r="C274" s="41" t="s">
        <v>155</v>
      </c>
      <c r="D274" s="40" t="s">
        <v>156</v>
      </c>
      <c r="E274" s="24">
        <v>100000000</v>
      </c>
      <c r="F274" s="39">
        <v>44236</v>
      </c>
      <c r="G274" s="24">
        <v>100000000</v>
      </c>
      <c r="H274" s="23">
        <v>5.0000000000000001E-3</v>
      </c>
      <c r="I274" s="39">
        <v>44287</v>
      </c>
      <c r="J274" s="39">
        <v>44316</v>
      </c>
      <c r="K274" s="24">
        <f t="shared" si="18"/>
        <v>30</v>
      </c>
      <c r="L274" s="24">
        <f t="shared" si="19"/>
        <v>41096</v>
      </c>
      <c r="M274" s="24">
        <v>100000000</v>
      </c>
    </row>
    <row r="275" spans="1:13" s="5" customFormat="1" outlineLevel="2">
      <c r="A275" s="39" t="s">
        <v>142</v>
      </c>
      <c r="B275" s="40" t="s">
        <v>310</v>
      </c>
      <c r="C275" s="41" t="s">
        <v>155</v>
      </c>
      <c r="D275" s="40" t="s">
        <v>156</v>
      </c>
      <c r="E275" s="24">
        <v>200000000</v>
      </c>
      <c r="F275" s="39">
        <v>44244</v>
      </c>
      <c r="G275" s="24">
        <v>200000000</v>
      </c>
      <c r="H275" s="23">
        <v>5.0000000000000001E-3</v>
      </c>
      <c r="I275" s="39">
        <v>44287</v>
      </c>
      <c r="J275" s="39">
        <v>44316</v>
      </c>
      <c r="K275" s="24">
        <f t="shared" si="18"/>
        <v>30</v>
      </c>
      <c r="L275" s="24">
        <f t="shared" si="19"/>
        <v>82192</v>
      </c>
      <c r="M275" s="24">
        <v>200000000</v>
      </c>
    </row>
    <row r="276" spans="1:13" s="5" customFormat="1" outlineLevel="2">
      <c r="A276" s="39" t="s">
        <v>142</v>
      </c>
      <c r="B276" s="40" t="s">
        <v>25</v>
      </c>
      <c r="C276" s="41" t="s">
        <v>143</v>
      </c>
      <c r="D276" s="40" t="s">
        <v>144</v>
      </c>
      <c r="E276" s="24">
        <v>38000000</v>
      </c>
      <c r="F276" s="39">
        <v>43962</v>
      </c>
      <c r="G276" s="24">
        <v>38000000</v>
      </c>
      <c r="H276" s="23">
        <v>5.0000000000000001E-3</v>
      </c>
      <c r="I276" s="39">
        <v>44287</v>
      </c>
      <c r="J276" s="39">
        <v>44316</v>
      </c>
      <c r="K276" s="24">
        <f t="shared" si="18"/>
        <v>30</v>
      </c>
      <c r="L276" s="24">
        <f t="shared" si="19"/>
        <v>15616</v>
      </c>
      <c r="M276" s="24">
        <v>38000000</v>
      </c>
    </row>
    <row r="277" spans="1:13" s="5" customFormat="1" outlineLevel="2">
      <c r="A277" s="39" t="s">
        <v>142</v>
      </c>
      <c r="B277" s="40" t="s">
        <v>309</v>
      </c>
      <c r="C277" s="41" t="s">
        <v>219</v>
      </c>
      <c r="D277" s="40" t="s">
        <v>220</v>
      </c>
      <c r="E277" s="24">
        <v>20000000</v>
      </c>
      <c r="F277" s="39">
        <v>44251</v>
      </c>
      <c r="G277" s="24">
        <v>20000000</v>
      </c>
      <c r="H277" s="23">
        <v>5.0000000000000001E-3</v>
      </c>
      <c r="I277" s="39">
        <v>44287</v>
      </c>
      <c r="J277" s="39">
        <v>44316</v>
      </c>
      <c r="K277" s="24">
        <f t="shared" si="18"/>
        <v>30</v>
      </c>
      <c r="L277" s="24">
        <f t="shared" si="19"/>
        <v>8219</v>
      </c>
      <c r="M277" s="24">
        <v>20000000</v>
      </c>
    </row>
    <row r="278" spans="1:13" s="5" customFormat="1" outlineLevel="2">
      <c r="A278" s="39" t="s">
        <v>142</v>
      </c>
      <c r="B278" s="40" t="s">
        <v>308</v>
      </c>
      <c r="C278" s="41" t="s">
        <v>125</v>
      </c>
      <c r="D278" s="40" t="s">
        <v>126</v>
      </c>
      <c r="E278" s="24">
        <v>5000000</v>
      </c>
      <c r="F278" s="39">
        <v>44251</v>
      </c>
      <c r="G278" s="24">
        <v>5000000</v>
      </c>
      <c r="H278" s="23">
        <v>5.0000000000000001E-3</v>
      </c>
      <c r="I278" s="39">
        <v>44287</v>
      </c>
      <c r="J278" s="39">
        <v>44316</v>
      </c>
      <c r="K278" s="24">
        <f t="shared" si="18"/>
        <v>30</v>
      </c>
      <c r="L278" s="24">
        <f t="shared" si="19"/>
        <v>2055</v>
      </c>
      <c r="M278" s="24">
        <v>5000000</v>
      </c>
    </row>
    <row r="279" spans="1:13" s="5" customFormat="1" outlineLevel="2">
      <c r="A279" s="39" t="s">
        <v>142</v>
      </c>
      <c r="B279" s="40" t="s">
        <v>307</v>
      </c>
      <c r="C279" s="41" t="s">
        <v>89</v>
      </c>
      <c r="D279" s="40" t="s">
        <v>90</v>
      </c>
      <c r="E279" s="24">
        <v>80000000</v>
      </c>
      <c r="F279" s="39">
        <v>44253</v>
      </c>
      <c r="G279" s="24">
        <v>80000000</v>
      </c>
      <c r="H279" s="23">
        <v>5.0000000000000001E-3</v>
      </c>
      <c r="I279" s="39">
        <v>44287</v>
      </c>
      <c r="J279" s="39">
        <v>44316</v>
      </c>
      <c r="K279" s="24">
        <f t="shared" si="18"/>
        <v>30</v>
      </c>
      <c r="L279" s="24">
        <f t="shared" si="19"/>
        <v>32877</v>
      </c>
      <c r="M279" s="24">
        <v>80000000</v>
      </c>
    </row>
    <row r="280" spans="1:13" s="5" customFormat="1" outlineLevel="2">
      <c r="A280" s="39" t="s">
        <v>142</v>
      </c>
      <c r="B280" s="40" t="s">
        <v>335</v>
      </c>
      <c r="C280" s="41" t="s">
        <v>143</v>
      </c>
      <c r="D280" s="40" t="s">
        <v>144</v>
      </c>
      <c r="E280" s="24">
        <v>1350000</v>
      </c>
      <c r="F280" s="39">
        <v>44257</v>
      </c>
      <c r="G280" s="24">
        <v>1350000</v>
      </c>
      <c r="H280" s="23">
        <v>5.0000000000000001E-3</v>
      </c>
      <c r="I280" s="39">
        <v>44287</v>
      </c>
      <c r="J280" s="39">
        <v>44316</v>
      </c>
      <c r="K280" s="24">
        <f t="shared" si="18"/>
        <v>30</v>
      </c>
      <c r="L280" s="24">
        <f t="shared" si="19"/>
        <v>555</v>
      </c>
      <c r="M280" s="24">
        <v>1350000</v>
      </c>
    </row>
    <row r="281" spans="1:13" s="5" customFormat="1" outlineLevel="2">
      <c r="A281" s="39" t="s">
        <v>142</v>
      </c>
      <c r="B281" s="40" t="s">
        <v>334</v>
      </c>
      <c r="C281" s="41" t="s">
        <v>143</v>
      </c>
      <c r="D281" s="40" t="s">
        <v>144</v>
      </c>
      <c r="E281" s="24">
        <v>3000000</v>
      </c>
      <c r="F281" s="39">
        <v>44286</v>
      </c>
      <c r="G281" s="24">
        <v>3000000</v>
      </c>
      <c r="H281" s="23">
        <v>5.0000000000000001E-3</v>
      </c>
      <c r="I281" s="39">
        <v>44287</v>
      </c>
      <c r="J281" s="39">
        <v>44316</v>
      </c>
      <c r="K281" s="24">
        <f t="shared" si="18"/>
        <v>30</v>
      </c>
      <c r="L281" s="24">
        <f t="shared" si="19"/>
        <v>1233</v>
      </c>
      <c r="M281" s="24">
        <v>3000000</v>
      </c>
    </row>
    <row r="282" spans="1:13" s="5" customFormat="1" outlineLevel="2">
      <c r="A282" s="39" t="s">
        <v>142</v>
      </c>
      <c r="B282" s="40" t="s">
        <v>333</v>
      </c>
      <c r="C282" s="41" t="s">
        <v>143</v>
      </c>
      <c r="D282" s="40" t="s">
        <v>144</v>
      </c>
      <c r="E282" s="24">
        <v>12800000</v>
      </c>
      <c r="F282" s="39">
        <v>44286</v>
      </c>
      <c r="G282" s="24">
        <v>12800000</v>
      </c>
      <c r="H282" s="23">
        <v>5.0000000000000001E-3</v>
      </c>
      <c r="I282" s="39">
        <v>44287</v>
      </c>
      <c r="J282" s="39">
        <v>44316</v>
      </c>
      <c r="K282" s="24">
        <f t="shared" si="18"/>
        <v>30</v>
      </c>
      <c r="L282" s="24">
        <f t="shared" si="19"/>
        <v>5260</v>
      </c>
      <c r="M282" s="24">
        <v>12800000</v>
      </c>
    </row>
    <row r="283" spans="1:13" s="5" customFormat="1" outlineLevel="2">
      <c r="A283" s="39" t="s">
        <v>142</v>
      </c>
      <c r="B283" s="40" t="s">
        <v>332</v>
      </c>
      <c r="C283" s="41" t="s">
        <v>125</v>
      </c>
      <c r="D283" s="40" t="s">
        <v>126</v>
      </c>
      <c r="E283" s="24">
        <v>29000000</v>
      </c>
      <c r="F283" s="39">
        <v>44257</v>
      </c>
      <c r="G283" s="24">
        <v>29000000</v>
      </c>
      <c r="H283" s="23">
        <v>5.0000000000000001E-3</v>
      </c>
      <c r="I283" s="39">
        <v>44287</v>
      </c>
      <c r="J283" s="39">
        <v>44316</v>
      </c>
      <c r="K283" s="24">
        <f t="shared" si="18"/>
        <v>30</v>
      </c>
      <c r="L283" s="24">
        <f t="shared" si="19"/>
        <v>11918</v>
      </c>
      <c r="M283" s="24">
        <v>29000000</v>
      </c>
    </row>
    <row r="284" spans="1:13" s="5" customFormat="1" outlineLevel="2">
      <c r="A284" s="39" t="s">
        <v>142</v>
      </c>
      <c r="B284" s="40" t="s">
        <v>331</v>
      </c>
      <c r="C284" s="41" t="s">
        <v>125</v>
      </c>
      <c r="D284" s="40" t="s">
        <v>126</v>
      </c>
      <c r="E284" s="24">
        <v>5000000</v>
      </c>
      <c r="F284" s="39">
        <v>44279</v>
      </c>
      <c r="G284" s="24">
        <v>5000000</v>
      </c>
      <c r="H284" s="23">
        <v>5.0000000000000001E-3</v>
      </c>
      <c r="I284" s="39">
        <v>44287</v>
      </c>
      <c r="J284" s="39">
        <v>44316</v>
      </c>
      <c r="K284" s="24">
        <f t="shared" si="18"/>
        <v>30</v>
      </c>
      <c r="L284" s="24">
        <f t="shared" si="19"/>
        <v>2055</v>
      </c>
      <c r="M284" s="24">
        <v>5000000</v>
      </c>
    </row>
    <row r="285" spans="1:13" s="5" customFormat="1" outlineLevel="2">
      <c r="A285" s="39" t="s">
        <v>142</v>
      </c>
      <c r="B285" s="40" t="s">
        <v>330</v>
      </c>
      <c r="C285" s="41" t="s">
        <v>125</v>
      </c>
      <c r="D285" s="40" t="s">
        <v>126</v>
      </c>
      <c r="E285" s="24">
        <v>5000000</v>
      </c>
      <c r="F285" s="39">
        <v>44286</v>
      </c>
      <c r="G285" s="24">
        <v>5000000</v>
      </c>
      <c r="H285" s="23">
        <v>5.0000000000000001E-3</v>
      </c>
      <c r="I285" s="39">
        <v>44287</v>
      </c>
      <c r="J285" s="39">
        <v>44316</v>
      </c>
      <c r="K285" s="24">
        <f t="shared" ref="K285:K316" si="20">J285-I285+1</f>
        <v>30</v>
      </c>
      <c r="L285" s="24">
        <f t="shared" ref="L285:L316" si="21">ROUND(G285*H285*K285/365,0)</f>
        <v>2055</v>
      </c>
      <c r="M285" s="24">
        <v>5000000</v>
      </c>
    </row>
    <row r="286" spans="1:13" s="5" customFormat="1" outlineLevel="2">
      <c r="A286" s="39" t="s">
        <v>142</v>
      </c>
      <c r="B286" s="40" t="s">
        <v>329</v>
      </c>
      <c r="C286" s="41" t="s">
        <v>149</v>
      </c>
      <c r="D286" s="40" t="s">
        <v>150</v>
      </c>
      <c r="E286" s="24">
        <v>1176000</v>
      </c>
      <c r="F286" s="39">
        <v>44270</v>
      </c>
      <c r="G286" s="24">
        <v>1176000</v>
      </c>
      <c r="H286" s="23">
        <v>5.0000000000000001E-3</v>
      </c>
      <c r="I286" s="39">
        <v>44287</v>
      </c>
      <c r="J286" s="39">
        <v>44316</v>
      </c>
      <c r="K286" s="24">
        <f t="shared" si="20"/>
        <v>30</v>
      </c>
      <c r="L286" s="24">
        <f t="shared" si="21"/>
        <v>483</v>
      </c>
      <c r="M286" s="24">
        <v>1176000</v>
      </c>
    </row>
    <row r="287" spans="1:13" s="5" customFormat="1" outlineLevel="2">
      <c r="A287" s="39" t="s">
        <v>142</v>
      </c>
      <c r="B287" s="40" t="s">
        <v>26</v>
      </c>
      <c r="C287" s="41" t="s">
        <v>143</v>
      </c>
      <c r="D287" s="40" t="s">
        <v>144</v>
      </c>
      <c r="E287" s="24">
        <v>10500000</v>
      </c>
      <c r="F287" s="39">
        <v>43962</v>
      </c>
      <c r="G287" s="24">
        <v>10500000</v>
      </c>
      <c r="H287" s="23">
        <v>5.0000000000000001E-3</v>
      </c>
      <c r="I287" s="39">
        <v>44287</v>
      </c>
      <c r="J287" s="39">
        <v>44316</v>
      </c>
      <c r="K287" s="24">
        <f t="shared" si="20"/>
        <v>30</v>
      </c>
      <c r="L287" s="24">
        <f t="shared" si="21"/>
        <v>4315</v>
      </c>
      <c r="M287" s="24">
        <v>10500000</v>
      </c>
    </row>
    <row r="288" spans="1:13" s="5" customFormat="1" outlineLevel="2">
      <c r="A288" s="39" t="s">
        <v>142</v>
      </c>
      <c r="B288" s="40" t="s">
        <v>328</v>
      </c>
      <c r="C288" s="41" t="s">
        <v>149</v>
      </c>
      <c r="D288" s="40" t="s">
        <v>150</v>
      </c>
      <c r="E288" s="24">
        <v>840000</v>
      </c>
      <c r="F288" s="39">
        <v>44270</v>
      </c>
      <c r="G288" s="24">
        <v>840000</v>
      </c>
      <c r="H288" s="23">
        <v>5.0000000000000001E-3</v>
      </c>
      <c r="I288" s="39">
        <v>44287</v>
      </c>
      <c r="J288" s="39">
        <v>44316</v>
      </c>
      <c r="K288" s="24">
        <f t="shared" si="20"/>
        <v>30</v>
      </c>
      <c r="L288" s="24">
        <f t="shared" si="21"/>
        <v>345</v>
      </c>
      <c r="M288" s="24">
        <v>840000</v>
      </c>
    </row>
    <row r="289" spans="1:13" s="5" customFormat="1" outlineLevel="2">
      <c r="A289" s="39" t="s">
        <v>142</v>
      </c>
      <c r="B289" s="40" t="s">
        <v>327</v>
      </c>
      <c r="C289" s="41" t="s">
        <v>187</v>
      </c>
      <c r="D289" s="40" t="s">
        <v>188</v>
      </c>
      <c r="E289" s="24">
        <v>190400000</v>
      </c>
      <c r="F289" s="39">
        <v>44273</v>
      </c>
      <c r="G289" s="24">
        <v>190400000</v>
      </c>
      <c r="H289" s="23">
        <v>5.0000000000000001E-3</v>
      </c>
      <c r="I289" s="39">
        <v>44287</v>
      </c>
      <c r="J289" s="39">
        <v>44316</v>
      </c>
      <c r="K289" s="24">
        <f t="shared" si="20"/>
        <v>30</v>
      </c>
      <c r="L289" s="24">
        <f t="shared" si="21"/>
        <v>78247</v>
      </c>
      <c r="M289" s="24">
        <v>190400000</v>
      </c>
    </row>
    <row r="290" spans="1:13" s="5" customFormat="1" outlineLevel="2">
      <c r="A290" s="39" t="s">
        <v>142</v>
      </c>
      <c r="B290" s="40" t="s">
        <v>326</v>
      </c>
      <c r="C290" s="41" t="s">
        <v>121</v>
      </c>
      <c r="D290" s="40" t="s">
        <v>122</v>
      </c>
      <c r="E290" s="24">
        <v>54000000</v>
      </c>
      <c r="F290" s="39">
        <v>44278</v>
      </c>
      <c r="G290" s="24">
        <v>54000000</v>
      </c>
      <c r="H290" s="23">
        <v>5.0000000000000001E-3</v>
      </c>
      <c r="I290" s="39">
        <v>44287</v>
      </c>
      <c r="J290" s="39">
        <v>44316</v>
      </c>
      <c r="K290" s="24">
        <f t="shared" si="20"/>
        <v>30</v>
      </c>
      <c r="L290" s="24">
        <f t="shared" si="21"/>
        <v>22192</v>
      </c>
      <c r="M290" s="24">
        <v>54000000</v>
      </c>
    </row>
    <row r="291" spans="1:13" s="5" customFormat="1" outlineLevel="2">
      <c r="A291" s="39" t="s">
        <v>142</v>
      </c>
      <c r="B291" s="40" t="s">
        <v>325</v>
      </c>
      <c r="C291" s="41" t="s">
        <v>165</v>
      </c>
      <c r="D291" s="40" t="s">
        <v>166</v>
      </c>
      <c r="E291" s="24">
        <v>24800000</v>
      </c>
      <c r="F291" s="39">
        <v>44284</v>
      </c>
      <c r="G291" s="24">
        <v>24800000</v>
      </c>
      <c r="H291" s="23">
        <v>5.0000000000000001E-3</v>
      </c>
      <c r="I291" s="39">
        <v>44287</v>
      </c>
      <c r="J291" s="39">
        <v>44316</v>
      </c>
      <c r="K291" s="24">
        <f t="shared" si="20"/>
        <v>30</v>
      </c>
      <c r="L291" s="24">
        <f t="shared" si="21"/>
        <v>10192</v>
      </c>
      <c r="M291" s="24">
        <v>24800000</v>
      </c>
    </row>
    <row r="292" spans="1:13" s="5" customFormat="1" outlineLevel="2">
      <c r="A292" s="39" t="s">
        <v>142</v>
      </c>
      <c r="B292" s="40" t="s">
        <v>361</v>
      </c>
      <c r="C292" s="41" t="s">
        <v>85</v>
      </c>
      <c r="D292" s="40" t="s">
        <v>86</v>
      </c>
      <c r="E292" s="24">
        <v>2500000</v>
      </c>
      <c r="F292" s="39">
        <v>44287</v>
      </c>
      <c r="G292" s="24">
        <v>2500000</v>
      </c>
      <c r="H292" s="23">
        <v>5.0000000000000001E-3</v>
      </c>
      <c r="I292" s="39">
        <v>44287</v>
      </c>
      <c r="J292" s="39">
        <v>44316</v>
      </c>
      <c r="K292" s="24">
        <f t="shared" si="20"/>
        <v>30</v>
      </c>
      <c r="L292" s="24">
        <f t="shared" si="21"/>
        <v>1027</v>
      </c>
      <c r="M292" s="24">
        <v>2500000</v>
      </c>
    </row>
    <row r="293" spans="1:13" s="5" customFormat="1" outlineLevel="2">
      <c r="A293" s="39" t="s">
        <v>142</v>
      </c>
      <c r="B293" s="40" t="s">
        <v>360</v>
      </c>
      <c r="C293" s="41" t="s">
        <v>85</v>
      </c>
      <c r="D293" s="40" t="s">
        <v>86</v>
      </c>
      <c r="E293" s="24">
        <v>7500000</v>
      </c>
      <c r="F293" s="39">
        <v>44287</v>
      </c>
      <c r="G293" s="24">
        <v>7500000</v>
      </c>
      <c r="H293" s="23">
        <v>5.0000000000000001E-3</v>
      </c>
      <c r="I293" s="39">
        <v>44287</v>
      </c>
      <c r="J293" s="39">
        <v>44316</v>
      </c>
      <c r="K293" s="24">
        <f t="shared" si="20"/>
        <v>30</v>
      </c>
      <c r="L293" s="24">
        <f t="shared" si="21"/>
        <v>3082</v>
      </c>
      <c r="M293" s="24">
        <v>7500000</v>
      </c>
    </row>
    <row r="294" spans="1:13" s="5" customFormat="1" outlineLevel="2">
      <c r="A294" s="39" t="s">
        <v>142</v>
      </c>
      <c r="B294" s="40" t="s">
        <v>359</v>
      </c>
      <c r="C294" s="41" t="s">
        <v>85</v>
      </c>
      <c r="D294" s="40" t="s">
        <v>86</v>
      </c>
      <c r="E294" s="24">
        <v>4975000</v>
      </c>
      <c r="F294" s="39">
        <v>44306</v>
      </c>
      <c r="G294" s="24">
        <v>4975000</v>
      </c>
      <c r="H294" s="23">
        <v>5.0000000000000001E-3</v>
      </c>
      <c r="I294" s="39">
        <v>44306</v>
      </c>
      <c r="J294" s="39">
        <v>44316</v>
      </c>
      <c r="K294" s="24">
        <f t="shared" si="20"/>
        <v>11</v>
      </c>
      <c r="L294" s="24">
        <f t="shared" si="21"/>
        <v>750</v>
      </c>
      <c r="M294" s="24">
        <v>4975000</v>
      </c>
    </row>
    <row r="295" spans="1:13" s="5" customFormat="1" outlineLevel="2">
      <c r="A295" s="39" t="s">
        <v>142</v>
      </c>
      <c r="B295" s="40" t="s">
        <v>358</v>
      </c>
      <c r="C295" s="41" t="s">
        <v>85</v>
      </c>
      <c r="D295" s="40" t="s">
        <v>86</v>
      </c>
      <c r="E295" s="24">
        <v>14925000</v>
      </c>
      <c r="F295" s="39">
        <v>44306</v>
      </c>
      <c r="G295" s="24">
        <v>14925000</v>
      </c>
      <c r="H295" s="23">
        <v>5.0000000000000001E-3</v>
      </c>
      <c r="I295" s="39">
        <v>44306</v>
      </c>
      <c r="J295" s="39">
        <v>44316</v>
      </c>
      <c r="K295" s="24">
        <f t="shared" si="20"/>
        <v>11</v>
      </c>
      <c r="L295" s="24">
        <f t="shared" si="21"/>
        <v>2249</v>
      </c>
      <c r="M295" s="24">
        <v>14925000</v>
      </c>
    </row>
    <row r="296" spans="1:13" s="5" customFormat="1" outlineLevel="2">
      <c r="A296" s="39" t="s">
        <v>142</v>
      </c>
      <c r="B296" s="40" t="s">
        <v>357</v>
      </c>
      <c r="C296" s="41" t="s">
        <v>149</v>
      </c>
      <c r="D296" s="40" t="s">
        <v>150</v>
      </c>
      <c r="E296" s="24">
        <v>1663200</v>
      </c>
      <c r="F296" s="39">
        <v>44294</v>
      </c>
      <c r="G296" s="24">
        <v>1663200</v>
      </c>
      <c r="H296" s="23">
        <v>5.0000000000000001E-3</v>
      </c>
      <c r="I296" s="39">
        <v>44294</v>
      </c>
      <c r="J296" s="39">
        <v>44316</v>
      </c>
      <c r="K296" s="24">
        <f t="shared" si="20"/>
        <v>23</v>
      </c>
      <c r="L296" s="24">
        <f t="shared" si="21"/>
        <v>524</v>
      </c>
      <c r="M296" s="24">
        <v>1663200</v>
      </c>
    </row>
    <row r="297" spans="1:13" s="5" customFormat="1" outlineLevel="2">
      <c r="A297" s="39" t="s">
        <v>142</v>
      </c>
      <c r="B297" s="40" t="s">
        <v>356</v>
      </c>
      <c r="C297" s="41" t="s">
        <v>149</v>
      </c>
      <c r="D297" s="40" t="s">
        <v>150</v>
      </c>
      <c r="E297" s="24">
        <v>3528000</v>
      </c>
      <c r="F297" s="39">
        <v>44300</v>
      </c>
      <c r="G297" s="24">
        <v>3528000</v>
      </c>
      <c r="H297" s="23">
        <v>5.0000000000000001E-3</v>
      </c>
      <c r="I297" s="39">
        <v>44300</v>
      </c>
      <c r="J297" s="39">
        <v>44316</v>
      </c>
      <c r="K297" s="24">
        <f t="shared" si="20"/>
        <v>17</v>
      </c>
      <c r="L297" s="24">
        <f t="shared" si="21"/>
        <v>822</v>
      </c>
      <c r="M297" s="24">
        <v>3528000</v>
      </c>
    </row>
    <row r="298" spans="1:13" s="5" customFormat="1" outlineLevel="2">
      <c r="A298" s="39" t="s">
        <v>142</v>
      </c>
      <c r="B298" s="40" t="s">
        <v>29</v>
      </c>
      <c r="C298" s="41" t="s">
        <v>123</v>
      </c>
      <c r="D298" s="40" t="s">
        <v>124</v>
      </c>
      <c r="E298" s="24">
        <v>160000000</v>
      </c>
      <c r="F298" s="39">
        <v>43970</v>
      </c>
      <c r="G298" s="24">
        <v>160000000</v>
      </c>
      <c r="H298" s="23">
        <v>5.0000000000000001E-3</v>
      </c>
      <c r="I298" s="39">
        <v>44287</v>
      </c>
      <c r="J298" s="39">
        <v>44316</v>
      </c>
      <c r="K298" s="24">
        <f t="shared" si="20"/>
        <v>30</v>
      </c>
      <c r="L298" s="24">
        <f t="shared" si="21"/>
        <v>65753</v>
      </c>
      <c r="M298" s="24">
        <v>160000000</v>
      </c>
    </row>
    <row r="299" spans="1:13" s="5" customFormat="1" outlineLevel="2">
      <c r="A299" s="39" t="s">
        <v>142</v>
      </c>
      <c r="B299" s="40" t="s">
        <v>355</v>
      </c>
      <c r="C299" s="41" t="s">
        <v>149</v>
      </c>
      <c r="D299" s="40" t="s">
        <v>150</v>
      </c>
      <c r="E299" s="24">
        <v>12213027</v>
      </c>
      <c r="F299" s="39">
        <v>44307</v>
      </c>
      <c r="G299" s="24">
        <v>12213027</v>
      </c>
      <c r="H299" s="23">
        <v>5.0000000000000001E-3</v>
      </c>
      <c r="I299" s="39">
        <v>44307</v>
      </c>
      <c r="J299" s="39">
        <v>44316</v>
      </c>
      <c r="K299" s="24">
        <f t="shared" si="20"/>
        <v>10</v>
      </c>
      <c r="L299" s="24">
        <f t="shared" si="21"/>
        <v>1673</v>
      </c>
      <c r="M299" s="24">
        <v>12213027</v>
      </c>
    </row>
    <row r="300" spans="1:13" s="5" customFormat="1" outlineLevel="2">
      <c r="A300" s="39" t="s">
        <v>142</v>
      </c>
      <c r="B300" s="40" t="s">
        <v>354</v>
      </c>
      <c r="C300" s="41" t="s">
        <v>149</v>
      </c>
      <c r="D300" s="40" t="s">
        <v>150</v>
      </c>
      <c r="E300" s="24">
        <v>11337919</v>
      </c>
      <c r="F300" s="39">
        <v>44314</v>
      </c>
      <c r="G300" s="24">
        <v>11337919</v>
      </c>
      <c r="H300" s="23">
        <v>5.0000000000000001E-3</v>
      </c>
      <c r="I300" s="39">
        <v>44314</v>
      </c>
      <c r="J300" s="39">
        <v>44316</v>
      </c>
      <c r="K300" s="24">
        <f t="shared" si="20"/>
        <v>3</v>
      </c>
      <c r="L300" s="24">
        <f t="shared" si="21"/>
        <v>466</v>
      </c>
      <c r="M300" s="24">
        <v>11337919</v>
      </c>
    </row>
    <row r="301" spans="1:13" s="5" customFormat="1" outlineLevel="2">
      <c r="A301" s="39" t="s">
        <v>142</v>
      </c>
      <c r="B301" s="40" t="s">
        <v>353</v>
      </c>
      <c r="C301" s="41" t="s">
        <v>219</v>
      </c>
      <c r="D301" s="40" t="s">
        <v>220</v>
      </c>
      <c r="E301" s="24">
        <v>20000000</v>
      </c>
      <c r="F301" s="39">
        <v>44308</v>
      </c>
      <c r="G301" s="24">
        <v>20000000</v>
      </c>
      <c r="H301" s="23">
        <v>5.0000000000000001E-3</v>
      </c>
      <c r="I301" s="39">
        <v>44308</v>
      </c>
      <c r="J301" s="39">
        <v>44316</v>
      </c>
      <c r="K301" s="24">
        <f t="shared" si="20"/>
        <v>9</v>
      </c>
      <c r="L301" s="24">
        <f t="shared" si="21"/>
        <v>2466</v>
      </c>
      <c r="M301" s="24">
        <v>20000000</v>
      </c>
    </row>
    <row r="302" spans="1:13" s="5" customFormat="1" outlineLevel="2">
      <c r="A302" s="39" t="s">
        <v>142</v>
      </c>
      <c r="B302" s="40" t="s">
        <v>352</v>
      </c>
      <c r="C302" s="41" t="s">
        <v>351</v>
      </c>
      <c r="D302" s="40" t="s">
        <v>350</v>
      </c>
      <c r="E302" s="24">
        <v>9800000</v>
      </c>
      <c r="F302" s="39">
        <v>44313</v>
      </c>
      <c r="G302" s="24">
        <v>9800000</v>
      </c>
      <c r="H302" s="23">
        <v>5.0000000000000001E-3</v>
      </c>
      <c r="I302" s="39">
        <v>44313</v>
      </c>
      <c r="J302" s="39">
        <v>44316</v>
      </c>
      <c r="K302" s="24">
        <f t="shared" si="20"/>
        <v>4</v>
      </c>
      <c r="L302" s="24">
        <f t="shared" si="21"/>
        <v>537</v>
      </c>
      <c r="M302" s="24">
        <v>9800000</v>
      </c>
    </row>
    <row r="303" spans="1:13" s="5" customFormat="1" outlineLevel="2">
      <c r="A303" s="39" t="s">
        <v>142</v>
      </c>
      <c r="B303" s="40" t="s">
        <v>349</v>
      </c>
      <c r="C303" s="41" t="s">
        <v>345</v>
      </c>
      <c r="D303" s="40" t="s">
        <v>344</v>
      </c>
      <c r="E303" s="24">
        <v>37000000</v>
      </c>
      <c r="F303" s="39">
        <v>44314</v>
      </c>
      <c r="G303" s="24">
        <v>37000000</v>
      </c>
      <c r="H303" s="23">
        <v>5.0000000000000001E-3</v>
      </c>
      <c r="I303" s="39">
        <v>44314</v>
      </c>
      <c r="J303" s="39">
        <v>44316</v>
      </c>
      <c r="K303" s="24">
        <f t="shared" si="20"/>
        <v>3</v>
      </c>
      <c r="L303" s="24">
        <f t="shared" si="21"/>
        <v>1521</v>
      </c>
      <c r="M303" s="24">
        <v>37000000</v>
      </c>
    </row>
    <row r="304" spans="1:13" s="5" customFormat="1" outlineLevel="2">
      <c r="A304" s="39" t="s">
        <v>142</v>
      </c>
      <c r="B304" s="40" t="s">
        <v>348</v>
      </c>
      <c r="C304" s="41" t="s">
        <v>163</v>
      </c>
      <c r="D304" s="40" t="s">
        <v>164</v>
      </c>
      <c r="E304" s="24">
        <v>70000000</v>
      </c>
      <c r="F304" s="39">
        <v>44315</v>
      </c>
      <c r="G304" s="24">
        <v>70000000</v>
      </c>
      <c r="H304" s="23">
        <v>5.0000000000000001E-3</v>
      </c>
      <c r="I304" s="39">
        <v>44315</v>
      </c>
      <c r="J304" s="39">
        <v>44316</v>
      </c>
      <c r="K304" s="24">
        <f t="shared" si="20"/>
        <v>2</v>
      </c>
      <c r="L304" s="24">
        <f t="shared" si="21"/>
        <v>1918</v>
      </c>
      <c r="M304" s="24">
        <v>70000000</v>
      </c>
    </row>
    <row r="305" spans="1:13" s="5" customFormat="1" outlineLevel="2">
      <c r="A305" s="39" t="s">
        <v>142</v>
      </c>
      <c r="B305" s="40" t="s">
        <v>347</v>
      </c>
      <c r="C305" s="41" t="s">
        <v>163</v>
      </c>
      <c r="D305" s="40" t="s">
        <v>164</v>
      </c>
      <c r="E305" s="24">
        <v>10000000</v>
      </c>
      <c r="F305" s="39">
        <v>44315</v>
      </c>
      <c r="G305" s="24">
        <v>10000000</v>
      </c>
      <c r="H305" s="23">
        <v>5.0000000000000001E-3</v>
      </c>
      <c r="I305" s="39">
        <v>44315</v>
      </c>
      <c r="J305" s="39">
        <v>44316</v>
      </c>
      <c r="K305" s="24">
        <f t="shared" si="20"/>
        <v>2</v>
      </c>
      <c r="L305" s="24">
        <f t="shared" si="21"/>
        <v>274</v>
      </c>
      <c r="M305" s="24">
        <v>10000000</v>
      </c>
    </row>
    <row r="306" spans="1:13" s="5" customFormat="1" outlineLevel="2">
      <c r="A306" s="39" t="s">
        <v>142</v>
      </c>
      <c r="B306" s="40" t="s">
        <v>346</v>
      </c>
      <c r="C306" s="41" t="s">
        <v>163</v>
      </c>
      <c r="D306" s="40" t="s">
        <v>164</v>
      </c>
      <c r="E306" s="24">
        <v>40000000</v>
      </c>
      <c r="F306" s="39">
        <v>44315</v>
      </c>
      <c r="G306" s="24">
        <v>40000000</v>
      </c>
      <c r="H306" s="23">
        <v>5.0000000000000001E-3</v>
      </c>
      <c r="I306" s="39">
        <v>44315</v>
      </c>
      <c r="J306" s="39">
        <v>44316</v>
      </c>
      <c r="K306" s="24">
        <f t="shared" si="20"/>
        <v>2</v>
      </c>
      <c r="L306" s="24">
        <f t="shared" si="21"/>
        <v>1096</v>
      </c>
      <c r="M306" s="24">
        <v>40000000</v>
      </c>
    </row>
    <row r="307" spans="1:13" s="5" customFormat="1" outlineLevel="2">
      <c r="A307" s="39" t="s">
        <v>142</v>
      </c>
      <c r="B307" s="40" t="s">
        <v>32</v>
      </c>
      <c r="C307" s="41" t="s">
        <v>160</v>
      </c>
      <c r="D307" s="40" t="s">
        <v>150</v>
      </c>
      <c r="E307" s="24">
        <v>13104000</v>
      </c>
      <c r="F307" s="39">
        <v>43979</v>
      </c>
      <c r="G307" s="24">
        <v>13104000</v>
      </c>
      <c r="H307" s="23">
        <v>5.0000000000000001E-3</v>
      </c>
      <c r="I307" s="39">
        <v>44287</v>
      </c>
      <c r="J307" s="39">
        <v>44316</v>
      </c>
      <c r="K307" s="24">
        <f t="shared" si="20"/>
        <v>30</v>
      </c>
      <c r="L307" s="24">
        <f t="shared" si="21"/>
        <v>5385</v>
      </c>
      <c r="M307" s="24">
        <v>13104000</v>
      </c>
    </row>
    <row r="308" spans="1:13" s="5" customFormat="1" outlineLevel="2">
      <c r="A308" s="39" t="s">
        <v>142</v>
      </c>
      <c r="B308" s="40" t="s">
        <v>33</v>
      </c>
      <c r="C308" s="41" t="s">
        <v>89</v>
      </c>
      <c r="D308" s="40" t="s">
        <v>90</v>
      </c>
      <c r="E308" s="24">
        <v>6550000</v>
      </c>
      <c r="F308" s="39">
        <v>43993</v>
      </c>
      <c r="G308" s="24">
        <v>6550000</v>
      </c>
      <c r="H308" s="23">
        <v>5.0000000000000001E-3</v>
      </c>
      <c r="I308" s="39">
        <v>44287</v>
      </c>
      <c r="J308" s="39">
        <v>44316</v>
      </c>
      <c r="K308" s="24">
        <f t="shared" si="20"/>
        <v>30</v>
      </c>
      <c r="L308" s="24">
        <f t="shared" si="21"/>
        <v>2692</v>
      </c>
      <c r="M308" s="24">
        <v>6550000</v>
      </c>
    </row>
    <row r="309" spans="1:13" s="5" customFormat="1" outlineLevel="2">
      <c r="A309" s="39" t="s">
        <v>142</v>
      </c>
      <c r="B309" s="40" t="s">
        <v>34</v>
      </c>
      <c r="C309" s="41" t="s">
        <v>89</v>
      </c>
      <c r="D309" s="40" t="s">
        <v>90</v>
      </c>
      <c r="E309" s="24">
        <v>19710000</v>
      </c>
      <c r="F309" s="39">
        <v>43993</v>
      </c>
      <c r="G309" s="24">
        <v>19710000</v>
      </c>
      <c r="H309" s="23">
        <v>5.0000000000000001E-3</v>
      </c>
      <c r="I309" s="39">
        <v>44287</v>
      </c>
      <c r="J309" s="39">
        <v>44316</v>
      </c>
      <c r="K309" s="24">
        <f t="shared" si="20"/>
        <v>30</v>
      </c>
      <c r="L309" s="24">
        <f t="shared" si="21"/>
        <v>8100</v>
      </c>
      <c r="M309" s="24">
        <v>19710000</v>
      </c>
    </row>
    <row r="310" spans="1:13" s="5" customFormat="1" outlineLevel="2">
      <c r="A310" s="39" t="s">
        <v>142</v>
      </c>
      <c r="B310" s="40" t="s">
        <v>35</v>
      </c>
      <c r="C310" s="41" t="s">
        <v>89</v>
      </c>
      <c r="D310" s="40" t="s">
        <v>90</v>
      </c>
      <c r="E310" s="24">
        <v>16860000</v>
      </c>
      <c r="F310" s="39">
        <v>43993</v>
      </c>
      <c r="G310" s="24">
        <v>16860000</v>
      </c>
      <c r="H310" s="23">
        <v>5.0000000000000001E-3</v>
      </c>
      <c r="I310" s="39">
        <v>44287</v>
      </c>
      <c r="J310" s="39">
        <v>44316</v>
      </c>
      <c r="K310" s="24">
        <f t="shared" si="20"/>
        <v>30</v>
      </c>
      <c r="L310" s="24">
        <f t="shared" si="21"/>
        <v>6929</v>
      </c>
      <c r="M310" s="24">
        <v>16860000</v>
      </c>
    </row>
    <row r="311" spans="1:13" s="5" customFormat="1" outlineLevel="2">
      <c r="A311" s="39" t="s">
        <v>142</v>
      </c>
      <c r="B311" s="40" t="s">
        <v>36</v>
      </c>
      <c r="C311" s="41" t="s">
        <v>161</v>
      </c>
      <c r="D311" s="40" t="s">
        <v>162</v>
      </c>
      <c r="E311" s="24">
        <v>240000000</v>
      </c>
      <c r="F311" s="39">
        <v>44000</v>
      </c>
      <c r="G311" s="24">
        <v>240000000</v>
      </c>
      <c r="H311" s="23">
        <v>5.0000000000000001E-3</v>
      </c>
      <c r="I311" s="39">
        <v>44287</v>
      </c>
      <c r="J311" s="39">
        <v>44316</v>
      </c>
      <c r="K311" s="24">
        <f t="shared" si="20"/>
        <v>30</v>
      </c>
      <c r="L311" s="24">
        <f t="shared" si="21"/>
        <v>98630</v>
      </c>
      <c r="M311" s="24">
        <v>240000000</v>
      </c>
    </row>
    <row r="312" spans="1:13" s="5" customFormat="1" outlineLevel="2">
      <c r="A312" s="39" t="s">
        <v>142</v>
      </c>
      <c r="B312" s="40" t="s">
        <v>39</v>
      </c>
      <c r="C312" s="41" t="s">
        <v>143</v>
      </c>
      <c r="D312" s="40" t="s">
        <v>144</v>
      </c>
      <c r="E312" s="24">
        <v>57000000</v>
      </c>
      <c r="F312" s="39">
        <v>43822</v>
      </c>
      <c r="G312" s="24">
        <v>57000000</v>
      </c>
      <c r="H312" s="23">
        <v>5.0000000000000001E-3</v>
      </c>
      <c r="I312" s="39">
        <v>44287</v>
      </c>
      <c r="J312" s="39">
        <v>44316</v>
      </c>
      <c r="K312" s="24">
        <f t="shared" si="20"/>
        <v>30</v>
      </c>
      <c r="L312" s="24">
        <f t="shared" si="21"/>
        <v>23425</v>
      </c>
      <c r="M312" s="24">
        <v>57000000</v>
      </c>
    </row>
    <row r="313" spans="1:13" s="5" customFormat="1" outlineLevel="2">
      <c r="A313" s="39" t="s">
        <v>142</v>
      </c>
      <c r="B313" s="40" t="s">
        <v>40</v>
      </c>
      <c r="C313" s="41" t="s">
        <v>123</v>
      </c>
      <c r="D313" s="40" t="s">
        <v>124</v>
      </c>
      <c r="E313" s="24">
        <v>55000000</v>
      </c>
      <c r="F313" s="39">
        <v>44001</v>
      </c>
      <c r="G313" s="24">
        <v>55000000</v>
      </c>
      <c r="H313" s="23">
        <v>5.0000000000000001E-3</v>
      </c>
      <c r="I313" s="39">
        <v>44287</v>
      </c>
      <c r="J313" s="39">
        <v>44316</v>
      </c>
      <c r="K313" s="24">
        <f t="shared" si="20"/>
        <v>30</v>
      </c>
      <c r="L313" s="24">
        <f t="shared" si="21"/>
        <v>22603</v>
      </c>
      <c r="M313" s="24">
        <v>55000000</v>
      </c>
    </row>
    <row r="314" spans="1:13" s="5" customFormat="1" outlineLevel="2">
      <c r="A314" s="39" t="s">
        <v>142</v>
      </c>
      <c r="B314" s="40" t="s">
        <v>41</v>
      </c>
      <c r="C314" s="41" t="s">
        <v>87</v>
      </c>
      <c r="D314" s="40" t="s">
        <v>88</v>
      </c>
      <c r="E314" s="24">
        <v>8907064</v>
      </c>
      <c r="F314" s="39">
        <v>44006</v>
      </c>
      <c r="G314" s="24">
        <v>8907064</v>
      </c>
      <c r="H314" s="23">
        <v>5.0000000000000001E-3</v>
      </c>
      <c r="I314" s="39">
        <v>44287</v>
      </c>
      <c r="J314" s="39">
        <v>44316</v>
      </c>
      <c r="K314" s="24">
        <f t="shared" si="20"/>
        <v>30</v>
      </c>
      <c r="L314" s="24">
        <f t="shared" si="21"/>
        <v>3660</v>
      </c>
      <c r="M314" s="24">
        <v>8907064</v>
      </c>
    </row>
    <row r="315" spans="1:13" s="5" customFormat="1" outlineLevel="2">
      <c r="A315" s="39" t="s">
        <v>142</v>
      </c>
      <c r="B315" s="40" t="s">
        <v>42</v>
      </c>
      <c r="C315" s="41" t="s">
        <v>149</v>
      </c>
      <c r="D315" s="40" t="s">
        <v>150</v>
      </c>
      <c r="E315" s="24">
        <v>7560000</v>
      </c>
      <c r="F315" s="39">
        <v>44018</v>
      </c>
      <c r="G315" s="24">
        <v>7560000</v>
      </c>
      <c r="H315" s="23">
        <v>5.0000000000000001E-3</v>
      </c>
      <c r="I315" s="39">
        <v>44287</v>
      </c>
      <c r="J315" s="39">
        <v>44316</v>
      </c>
      <c r="K315" s="24">
        <f t="shared" si="20"/>
        <v>30</v>
      </c>
      <c r="L315" s="24">
        <f t="shared" si="21"/>
        <v>3107</v>
      </c>
      <c r="M315" s="24">
        <v>7560000</v>
      </c>
    </row>
    <row r="316" spans="1:13" s="5" customFormat="1" outlineLevel="2">
      <c r="A316" s="39" t="s">
        <v>142</v>
      </c>
      <c r="B316" s="40" t="s">
        <v>43</v>
      </c>
      <c r="C316" s="41" t="s">
        <v>143</v>
      </c>
      <c r="D316" s="40" t="s">
        <v>144</v>
      </c>
      <c r="E316" s="24">
        <v>38000000</v>
      </c>
      <c r="F316" s="39">
        <v>44022</v>
      </c>
      <c r="G316" s="24">
        <v>38000000</v>
      </c>
      <c r="H316" s="23">
        <v>5.0000000000000001E-3</v>
      </c>
      <c r="I316" s="39">
        <v>44287</v>
      </c>
      <c r="J316" s="39">
        <v>44316</v>
      </c>
      <c r="K316" s="24">
        <f t="shared" si="20"/>
        <v>30</v>
      </c>
      <c r="L316" s="24">
        <f t="shared" si="21"/>
        <v>15616</v>
      </c>
      <c r="M316" s="24">
        <v>38000000</v>
      </c>
    </row>
    <row r="317" spans="1:13" s="5" customFormat="1" outlineLevel="2">
      <c r="A317" s="39" t="s">
        <v>142</v>
      </c>
      <c r="B317" s="40" t="s">
        <v>44</v>
      </c>
      <c r="C317" s="41" t="s">
        <v>143</v>
      </c>
      <c r="D317" s="40" t="s">
        <v>144</v>
      </c>
      <c r="E317" s="24">
        <v>10500000</v>
      </c>
      <c r="F317" s="39">
        <v>44022</v>
      </c>
      <c r="G317" s="24">
        <v>10500000</v>
      </c>
      <c r="H317" s="23">
        <v>5.0000000000000001E-3</v>
      </c>
      <c r="I317" s="39">
        <v>44287</v>
      </c>
      <c r="J317" s="39">
        <v>44316</v>
      </c>
      <c r="K317" s="24">
        <f t="shared" ref="K317:K348" si="22">J317-I317+1</f>
        <v>30</v>
      </c>
      <c r="L317" s="24">
        <f t="shared" ref="L317:L348" si="23">ROUND(G317*H317*K317/365,0)</f>
        <v>4315</v>
      </c>
      <c r="M317" s="24">
        <v>10500000</v>
      </c>
    </row>
    <row r="318" spans="1:13" s="5" customFormat="1" outlineLevel="2">
      <c r="A318" s="39" t="s">
        <v>142</v>
      </c>
      <c r="B318" s="40" t="s">
        <v>47</v>
      </c>
      <c r="C318" s="41" t="s">
        <v>163</v>
      </c>
      <c r="D318" s="40" t="s">
        <v>164</v>
      </c>
      <c r="E318" s="24">
        <v>72000000</v>
      </c>
      <c r="F318" s="39">
        <v>44025</v>
      </c>
      <c r="G318" s="24">
        <v>67159664</v>
      </c>
      <c r="H318" s="23">
        <v>5.0000000000000001E-3</v>
      </c>
      <c r="I318" s="39">
        <v>44287</v>
      </c>
      <c r="J318" s="39">
        <v>44300</v>
      </c>
      <c r="K318" s="24">
        <f t="shared" si="22"/>
        <v>14</v>
      </c>
      <c r="L318" s="24">
        <f t="shared" si="23"/>
        <v>12880</v>
      </c>
      <c r="M318" s="24">
        <v>66554622</v>
      </c>
    </row>
    <row r="319" spans="1:13" s="5" customFormat="1" outlineLevel="2">
      <c r="A319" s="39" t="s">
        <v>142</v>
      </c>
      <c r="B319" s="40" t="s">
        <v>47</v>
      </c>
      <c r="C319" s="41" t="s">
        <v>163</v>
      </c>
      <c r="D319" s="40"/>
      <c r="E319" s="24"/>
      <c r="F319" s="39"/>
      <c r="G319" s="24">
        <v>66554622</v>
      </c>
      <c r="H319" s="23">
        <v>5.0000000000000001E-3</v>
      </c>
      <c r="I319" s="39">
        <v>44301</v>
      </c>
      <c r="J319" s="39">
        <v>44316</v>
      </c>
      <c r="K319" s="24">
        <f t="shared" si="22"/>
        <v>16</v>
      </c>
      <c r="L319" s="24">
        <f t="shared" si="23"/>
        <v>14587</v>
      </c>
      <c r="M319" s="24"/>
    </row>
    <row r="320" spans="1:13" s="5" customFormat="1" outlineLevel="2">
      <c r="A320" s="39" t="s">
        <v>142</v>
      </c>
      <c r="B320" s="40" t="s">
        <v>50</v>
      </c>
      <c r="C320" s="41" t="s">
        <v>97</v>
      </c>
      <c r="D320" s="40" t="s">
        <v>98</v>
      </c>
      <c r="E320" s="24">
        <v>87500000</v>
      </c>
      <c r="F320" s="39">
        <v>44027</v>
      </c>
      <c r="G320" s="24">
        <v>87500000</v>
      </c>
      <c r="H320" s="23">
        <v>5.0000000000000001E-3</v>
      </c>
      <c r="I320" s="39">
        <v>44287</v>
      </c>
      <c r="J320" s="39">
        <v>44316</v>
      </c>
      <c r="K320" s="24">
        <f t="shared" si="22"/>
        <v>30</v>
      </c>
      <c r="L320" s="24">
        <f t="shared" si="23"/>
        <v>35959</v>
      </c>
      <c r="M320" s="24">
        <v>87500000</v>
      </c>
    </row>
    <row r="321" spans="1:13" s="5" customFormat="1" outlineLevel="2">
      <c r="A321" s="39" t="s">
        <v>142</v>
      </c>
      <c r="B321" s="40" t="s">
        <v>51</v>
      </c>
      <c r="C321" s="41" t="s">
        <v>165</v>
      </c>
      <c r="D321" s="40" t="s">
        <v>166</v>
      </c>
      <c r="E321" s="24">
        <v>84000000</v>
      </c>
      <c r="F321" s="39">
        <v>44027</v>
      </c>
      <c r="G321" s="24">
        <v>84000000</v>
      </c>
      <c r="H321" s="23">
        <v>5.0000000000000001E-3</v>
      </c>
      <c r="I321" s="39">
        <v>44287</v>
      </c>
      <c r="J321" s="39">
        <v>44316</v>
      </c>
      <c r="K321" s="24">
        <f t="shared" si="22"/>
        <v>30</v>
      </c>
      <c r="L321" s="24">
        <f t="shared" si="23"/>
        <v>34521</v>
      </c>
      <c r="M321" s="24">
        <v>84000000</v>
      </c>
    </row>
    <row r="322" spans="1:13" s="5" customFormat="1" outlineLevel="2">
      <c r="A322" s="39" t="s">
        <v>142</v>
      </c>
      <c r="B322" s="40" t="s">
        <v>52</v>
      </c>
      <c r="C322" s="41" t="s">
        <v>30</v>
      </c>
      <c r="D322" s="40" t="s">
        <v>31</v>
      </c>
      <c r="E322" s="24">
        <v>12230000</v>
      </c>
      <c r="F322" s="39">
        <v>44034</v>
      </c>
      <c r="G322" s="24">
        <v>12230000</v>
      </c>
      <c r="H322" s="23">
        <v>5.0000000000000001E-3</v>
      </c>
      <c r="I322" s="39">
        <v>44287</v>
      </c>
      <c r="J322" s="39">
        <v>44316</v>
      </c>
      <c r="K322" s="24">
        <f t="shared" si="22"/>
        <v>30</v>
      </c>
      <c r="L322" s="24">
        <f t="shared" si="23"/>
        <v>5026</v>
      </c>
      <c r="M322" s="24">
        <v>12230000</v>
      </c>
    </row>
    <row r="323" spans="1:13" s="5" customFormat="1" outlineLevel="2">
      <c r="A323" s="39" t="s">
        <v>142</v>
      </c>
      <c r="B323" s="40" t="s">
        <v>53</v>
      </c>
      <c r="C323" s="41" t="s">
        <v>123</v>
      </c>
      <c r="D323" s="40" t="s">
        <v>124</v>
      </c>
      <c r="E323" s="24">
        <v>40000000</v>
      </c>
      <c r="F323" s="39">
        <v>44040</v>
      </c>
      <c r="G323" s="24">
        <v>40000000</v>
      </c>
      <c r="H323" s="23">
        <v>5.0000000000000001E-3</v>
      </c>
      <c r="I323" s="39">
        <v>44287</v>
      </c>
      <c r="J323" s="39">
        <v>44316</v>
      </c>
      <c r="K323" s="24">
        <f t="shared" si="22"/>
        <v>30</v>
      </c>
      <c r="L323" s="24">
        <f t="shared" si="23"/>
        <v>16438</v>
      </c>
      <c r="M323" s="24">
        <v>40000000</v>
      </c>
    </row>
    <row r="324" spans="1:13" s="5" customFormat="1" outlineLevel="2">
      <c r="A324" s="39" t="s">
        <v>142</v>
      </c>
      <c r="B324" s="40" t="s">
        <v>54</v>
      </c>
      <c r="C324" s="41" t="s">
        <v>121</v>
      </c>
      <c r="D324" s="40" t="s">
        <v>122</v>
      </c>
      <c r="E324" s="24">
        <v>171000000</v>
      </c>
      <c r="F324" s="39">
        <v>43822</v>
      </c>
      <c r="G324" s="24">
        <v>171000000</v>
      </c>
      <c r="H324" s="23">
        <v>5.0000000000000001E-3</v>
      </c>
      <c r="I324" s="39">
        <v>44287</v>
      </c>
      <c r="J324" s="39">
        <v>44316</v>
      </c>
      <c r="K324" s="24">
        <f t="shared" si="22"/>
        <v>30</v>
      </c>
      <c r="L324" s="24">
        <f t="shared" si="23"/>
        <v>70274</v>
      </c>
      <c r="M324" s="24">
        <v>171000000</v>
      </c>
    </row>
    <row r="325" spans="1:13" s="5" customFormat="1" outlineLevel="2">
      <c r="A325" s="39" t="s">
        <v>142</v>
      </c>
      <c r="B325" s="40" t="s">
        <v>57</v>
      </c>
      <c r="C325" s="41" t="s">
        <v>167</v>
      </c>
      <c r="D325" s="40" t="s">
        <v>168</v>
      </c>
      <c r="E325" s="24">
        <v>18000000</v>
      </c>
      <c r="F325" s="39">
        <v>44043</v>
      </c>
      <c r="G325" s="24">
        <v>18000000</v>
      </c>
      <c r="H325" s="23">
        <v>5.0000000000000001E-3</v>
      </c>
      <c r="I325" s="39">
        <v>44287</v>
      </c>
      <c r="J325" s="39">
        <v>44316</v>
      </c>
      <c r="K325" s="24">
        <f t="shared" si="22"/>
        <v>30</v>
      </c>
      <c r="L325" s="24">
        <f t="shared" si="23"/>
        <v>7397</v>
      </c>
      <c r="M325" s="24">
        <v>18000000</v>
      </c>
    </row>
    <row r="326" spans="1:13" s="5" customFormat="1" outlineLevel="2">
      <c r="A326" s="39" t="s">
        <v>142</v>
      </c>
      <c r="B326" s="40" t="s">
        <v>58</v>
      </c>
      <c r="C326" s="41" t="s">
        <v>167</v>
      </c>
      <c r="D326" s="40" t="s">
        <v>168</v>
      </c>
      <c r="E326" s="24">
        <v>21000000</v>
      </c>
      <c r="F326" s="39">
        <v>44043</v>
      </c>
      <c r="G326" s="24">
        <v>21000000</v>
      </c>
      <c r="H326" s="23">
        <v>5.0000000000000001E-3</v>
      </c>
      <c r="I326" s="39">
        <v>44287</v>
      </c>
      <c r="J326" s="39">
        <v>44316</v>
      </c>
      <c r="K326" s="24">
        <f t="shared" si="22"/>
        <v>30</v>
      </c>
      <c r="L326" s="24">
        <f t="shared" si="23"/>
        <v>8630</v>
      </c>
      <c r="M326" s="24">
        <v>21000000</v>
      </c>
    </row>
    <row r="327" spans="1:13" s="5" customFormat="1" outlineLevel="2">
      <c r="A327" s="39" t="s">
        <v>142</v>
      </c>
      <c r="B327" s="40" t="s">
        <v>99</v>
      </c>
      <c r="C327" s="41" t="s">
        <v>167</v>
      </c>
      <c r="D327" s="40" t="s">
        <v>168</v>
      </c>
      <c r="E327" s="24">
        <v>13600000</v>
      </c>
      <c r="F327" s="39">
        <v>44043</v>
      </c>
      <c r="G327" s="24">
        <v>13600000</v>
      </c>
      <c r="H327" s="23">
        <v>5.0000000000000001E-3</v>
      </c>
      <c r="I327" s="39">
        <v>44287</v>
      </c>
      <c r="J327" s="39">
        <v>44316</v>
      </c>
      <c r="K327" s="24">
        <f t="shared" si="22"/>
        <v>30</v>
      </c>
      <c r="L327" s="24">
        <f t="shared" si="23"/>
        <v>5589</v>
      </c>
      <c r="M327" s="24">
        <v>13600000</v>
      </c>
    </row>
    <row r="328" spans="1:13" s="5" customFormat="1" outlineLevel="2">
      <c r="A328" s="39" t="s">
        <v>142</v>
      </c>
      <c r="B328" s="40" t="s">
        <v>100</v>
      </c>
      <c r="C328" s="41" t="s">
        <v>143</v>
      </c>
      <c r="D328" s="40" t="s">
        <v>144</v>
      </c>
      <c r="E328" s="24">
        <v>28000000</v>
      </c>
      <c r="F328" s="39">
        <v>44046</v>
      </c>
      <c r="G328" s="24">
        <v>28000000</v>
      </c>
      <c r="H328" s="23">
        <v>5.0000000000000001E-3</v>
      </c>
      <c r="I328" s="39">
        <v>44287</v>
      </c>
      <c r="J328" s="39">
        <v>44316</v>
      </c>
      <c r="K328" s="24">
        <f t="shared" si="22"/>
        <v>30</v>
      </c>
      <c r="L328" s="24">
        <f t="shared" si="23"/>
        <v>11507</v>
      </c>
      <c r="M328" s="24">
        <v>28000000</v>
      </c>
    </row>
    <row r="329" spans="1:13" s="5" customFormat="1" outlineLevel="2">
      <c r="A329" s="39" t="s">
        <v>142</v>
      </c>
      <c r="B329" s="40" t="s">
        <v>101</v>
      </c>
      <c r="C329" s="41" t="s">
        <v>143</v>
      </c>
      <c r="D329" s="40" t="s">
        <v>144</v>
      </c>
      <c r="E329" s="24">
        <v>2700000</v>
      </c>
      <c r="F329" s="39">
        <v>44056</v>
      </c>
      <c r="G329" s="24">
        <v>2700000</v>
      </c>
      <c r="H329" s="23">
        <v>5.0000000000000001E-3</v>
      </c>
      <c r="I329" s="39">
        <v>44287</v>
      </c>
      <c r="J329" s="39">
        <v>44316</v>
      </c>
      <c r="K329" s="24">
        <f t="shared" si="22"/>
        <v>30</v>
      </c>
      <c r="L329" s="24">
        <f t="shared" si="23"/>
        <v>1110</v>
      </c>
      <c r="M329" s="24">
        <v>2700000</v>
      </c>
    </row>
    <row r="330" spans="1:13" s="5" customFormat="1" outlineLevel="2">
      <c r="A330" s="39" t="s">
        <v>142</v>
      </c>
      <c r="B330" s="40" t="s">
        <v>102</v>
      </c>
      <c r="C330" s="41" t="s">
        <v>143</v>
      </c>
      <c r="D330" s="40" t="s">
        <v>144</v>
      </c>
      <c r="E330" s="24">
        <v>29500000</v>
      </c>
      <c r="F330" s="39">
        <v>44074</v>
      </c>
      <c r="G330" s="24">
        <v>29500000</v>
      </c>
      <c r="H330" s="23">
        <v>5.0000000000000001E-3</v>
      </c>
      <c r="I330" s="39">
        <v>44287</v>
      </c>
      <c r="J330" s="39">
        <v>44316</v>
      </c>
      <c r="K330" s="24">
        <f t="shared" si="22"/>
        <v>30</v>
      </c>
      <c r="L330" s="24">
        <f t="shared" si="23"/>
        <v>12123</v>
      </c>
      <c r="M330" s="24">
        <v>29500000</v>
      </c>
    </row>
    <row r="331" spans="1:13" s="5" customFormat="1" outlineLevel="2">
      <c r="A331" s="39" t="s">
        <v>142</v>
      </c>
      <c r="B331" s="40" t="s">
        <v>103</v>
      </c>
      <c r="C331" s="41" t="s">
        <v>79</v>
      </c>
      <c r="D331" s="40" t="s">
        <v>80</v>
      </c>
      <c r="E331" s="24">
        <v>120000000</v>
      </c>
      <c r="F331" s="39">
        <v>44046</v>
      </c>
      <c r="G331" s="24">
        <v>120000000</v>
      </c>
      <c r="H331" s="23">
        <v>5.0000000000000001E-3</v>
      </c>
      <c r="I331" s="39">
        <v>44287</v>
      </c>
      <c r="J331" s="39">
        <v>44316</v>
      </c>
      <c r="K331" s="24">
        <f t="shared" si="22"/>
        <v>30</v>
      </c>
      <c r="L331" s="24">
        <f t="shared" si="23"/>
        <v>49315</v>
      </c>
      <c r="M331" s="24">
        <v>120000000</v>
      </c>
    </row>
    <row r="332" spans="1:13" s="5" customFormat="1" outlineLevel="2">
      <c r="A332" s="39" t="s">
        <v>142</v>
      </c>
      <c r="B332" s="40" t="s">
        <v>104</v>
      </c>
      <c r="C332" s="41" t="s">
        <v>149</v>
      </c>
      <c r="D332" s="40" t="s">
        <v>150</v>
      </c>
      <c r="E332" s="24">
        <v>8736000</v>
      </c>
      <c r="F332" s="39">
        <v>44047</v>
      </c>
      <c r="G332" s="24">
        <v>8736000</v>
      </c>
      <c r="H332" s="23">
        <v>5.0000000000000001E-3</v>
      </c>
      <c r="I332" s="39">
        <v>44287</v>
      </c>
      <c r="J332" s="39">
        <v>44316</v>
      </c>
      <c r="K332" s="24">
        <f t="shared" si="22"/>
        <v>30</v>
      </c>
      <c r="L332" s="24">
        <f t="shared" si="23"/>
        <v>3590</v>
      </c>
      <c r="M332" s="24">
        <v>8736000</v>
      </c>
    </row>
    <row r="333" spans="1:13" s="5" customFormat="1" outlineLevel="2">
      <c r="A333" s="39" t="s">
        <v>142</v>
      </c>
      <c r="B333" s="40" t="s">
        <v>105</v>
      </c>
      <c r="C333" s="41" t="s">
        <v>149</v>
      </c>
      <c r="D333" s="40" t="s">
        <v>150</v>
      </c>
      <c r="E333" s="24">
        <v>8988000</v>
      </c>
      <c r="F333" s="39">
        <v>44067</v>
      </c>
      <c r="G333" s="24">
        <v>8988000</v>
      </c>
      <c r="H333" s="23">
        <v>5.0000000000000001E-3</v>
      </c>
      <c r="I333" s="39">
        <v>44287</v>
      </c>
      <c r="J333" s="39">
        <v>44316</v>
      </c>
      <c r="K333" s="24">
        <f t="shared" si="22"/>
        <v>30</v>
      </c>
      <c r="L333" s="24">
        <f t="shared" si="23"/>
        <v>3694</v>
      </c>
      <c r="M333" s="24">
        <v>8988000</v>
      </c>
    </row>
    <row r="334" spans="1:13" s="5" customFormat="1" outlineLevel="2">
      <c r="A334" s="39" t="s">
        <v>142</v>
      </c>
      <c r="B334" s="40" t="s">
        <v>106</v>
      </c>
      <c r="C334" s="41" t="s">
        <v>149</v>
      </c>
      <c r="D334" s="40" t="s">
        <v>150</v>
      </c>
      <c r="E334" s="24">
        <v>34608000</v>
      </c>
      <c r="F334" s="39">
        <v>44070</v>
      </c>
      <c r="G334" s="24">
        <v>34608000</v>
      </c>
      <c r="H334" s="23">
        <v>5.0000000000000001E-3</v>
      </c>
      <c r="I334" s="39">
        <v>44287</v>
      </c>
      <c r="J334" s="39">
        <v>44316</v>
      </c>
      <c r="K334" s="24">
        <f t="shared" si="22"/>
        <v>30</v>
      </c>
      <c r="L334" s="24">
        <f t="shared" si="23"/>
        <v>14222</v>
      </c>
      <c r="M334" s="24">
        <v>34608000</v>
      </c>
    </row>
    <row r="335" spans="1:13" s="5" customFormat="1" outlineLevel="2">
      <c r="A335" s="39" t="s">
        <v>142</v>
      </c>
      <c r="B335" s="40" t="s">
        <v>59</v>
      </c>
      <c r="C335" s="41" t="s">
        <v>143</v>
      </c>
      <c r="D335" s="40" t="s">
        <v>144</v>
      </c>
      <c r="E335" s="24">
        <v>38000000</v>
      </c>
      <c r="F335" s="39">
        <v>43850</v>
      </c>
      <c r="G335" s="24">
        <v>38000000</v>
      </c>
      <c r="H335" s="23">
        <v>5.0000000000000001E-3</v>
      </c>
      <c r="I335" s="39">
        <v>44287</v>
      </c>
      <c r="J335" s="39">
        <v>44316</v>
      </c>
      <c r="K335" s="24">
        <f t="shared" si="22"/>
        <v>30</v>
      </c>
      <c r="L335" s="24">
        <f t="shared" si="23"/>
        <v>15616</v>
      </c>
      <c r="M335" s="24">
        <v>38000000</v>
      </c>
    </row>
    <row r="336" spans="1:13" s="5" customFormat="1" outlineLevel="2">
      <c r="A336" s="39" t="s">
        <v>142</v>
      </c>
      <c r="B336" s="40" t="s">
        <v>136</v>
      </c>
      <c r="C336" s="41" t="s">
        <v>146</v>
      </c>
      <c r="D336" s="40" t="s">
        <v>147</v>
      </c>
      <c r="E336" s="24">
        <v>13000000</v>
      </c>
      <c r="F336" s="39">
        <v>44047</v>
      </c>
      <c r="G336" s="24">
        <v>13000000</v>
      </c>
      <c r="H336" s="23">
        <v>5.0000000000000001E-3</v>
      </c>
      <c r="I336" s="39">
        <v>44287</v>
      </c>
      <c r="J336" s="39">
        <v>44316</v>
      </c>
      <c r="K336" s="24">
        <f t="shared" si="22"/>
        <v>30</v>
      </c>
      <c r="L336" s="24">
        <f t="shared" si="23"/>
        <v>5342</v>
      </c>
      <c r="M336" s="24">
        <v>13000000</v>
      </c>
    </row>
    <row r="337" spans="1:13" s="5" customFormat="1" outlineLevel="2">
      <c r="A337" s="39" t="s">
        <v>142</v>
      </c>
      <c r="B337" s="40" t="s">
        <v>137</v>
      </c>
      <c r="C337" s="41" t="s">
        <v>146</v>
      </c>
      <c r="D337" s="40" t="s">
        <v>147</v>
      </c>
      <c r="E337" s="24">
        <v>5000000</v>
      </c>
      <c r="F337" s="39">
        <v>44053</v>
      </c>
      <c r="G337" s="24">
        <v>5000000</v>
      </c>
      <c r="H337" s="23">
        <v>5.0000000000000001E-3</v>
      </c>
      <c r="I337" s="39">
        <v>44287</v>
      </c>
      <c r="J337" s="39">
        <v>44316</v>
      </c>
      <c r="K337" s="24">
        <f t="shared" si="22"/>
        <v>30</v>
      </c>
      <c r="L337" s="24">
        <f t="shared" si="23"/>
        <v>2055</v>
      </c>
      <c r="M337" s="24">
        <v>5000000</v>
      </c>
    </row>
    <row r="338" spans="1:13" s="5" customFormat="1" outlineLevel="2">
      <c r="A338" s="39" t="s">
        <v>142</v>
      </c>
      <c r="B338" s="40" t="s">
        <v>138</v>
      </c>
      <c r="C338" s="41" t="s">
        <v>163</v>
      </c>
      <c r="D338" s="40" t="s">
        <v>164</v>
      </c>
      <c r="E338" s="24">
        <v>5300000</v>
      </c>
      <c r="F338" s="39">
        <v>44050</v>
      </c>
      <c r="G338" s="24">
        <v>4985595</v>
      </c>
      <c r="H338" s="23">
        <v>5.0000000000000001E-3</v>
      </c>
      <c r="I338" s="39">
        <v>44287</v>
      </c>
      <c r="J338" s="39">
        <v>44300</v>
      </c>
      <c r="K338" s="24">
        <f t="shared" si="22"/>
        <v>14</v>
      </c>
      <c r="L338" s="24">
        <f t="shared" si="23"/>
        <v>956</v>
      </c>
      <c r="M338" s="24">
        <v>4940680</v>
      </c>
    </row>
    <row r="339" spans="1:13" s="5" customFormat="1" outlineLevel="2">
      <c r="A339" s="39" t="s">
        <v>142</v>
      </c>
      <c r="B339" s="40" t="s">
        <v>138</v>
      </c>
      <c r="C339" s="41" t="s">
        <v>163</v>
      </c>
      <c r="D339" s="40"/>
      <c r="E339" s="24"/>
      <c r="F339" s="39"/>
      <c r="G339" s="24">
        <v>4940680</v>
      </c>
      <c r="H339" s="23">
        <v>5.0000000000000001E-3</v>
      </c>
      <c r="I339" s="39">
        <v>44301</v>
      </c>
      <c r="J339" s="39">
        <v>44316</v>
      </c>
      <c r="K339" s="24">
        <f t="shared" si="22"/>
        <v>16</v>
      </c>
      <c r="L339" s="24">
        <f t="shared" si="23"/>
        <v>1083</v>
      </c>
      <c r="M339" s="24"/>
    </row>
    <row r="340" spans="1:13" s="5" customFormat="1" outlineLevel="2">
      <c r="A340" s="39" t="s">
        <v>142</v>
      </c>
      <c r="B340" s="40" t="s">
        <v>139</v>
      </c>
      <c r="C340" s="41" t="s">
        <v>117</v>
      </c>
      <c r="D340" s="40" t="s">
        <v>118</v>
      </c>
      <c r="E340" s="24">
        <v>40000000</v>
      </c>
      <c r="F340" s="39">
        <v>44060</v>
      </c>
      <c r="G340" s="24">
        <v>40000000</v>
      </c>
      <c r="H340" s="23">
        <v>5.0000000000000001E-3</v>
      </c>
      <c r="I340" s="39">
        <v>44287</v>
      </c>
      <c r="J340" s="39">
        <v>44316</v>
      </c>
      <c r="K340" s="24">
        <f t="shared" si="22"/>
        <v>30</v>
      </c>
      <c r="L340" s="24">
        <f t="shared" si="23"/>
        <v>16438</v>
      </c>
      <c r="M340" s="24">
        <v>40000000</v>
      </c>
    </row>
    <row r="341" spans="1:13" s="5" customFormat="1" outlineLevel="2">
      <c r="A341" s="39" t="s">
        <v>142</v>
      </c>
      <c r="B341" s="40" t="s">
        <v>140</v>
      </c>
      <c r="C341" s="41" t="s">
        <v>45</v>
      </c>
      <c r="D341" s="40" t="s">
        <v>46</v>
      </c>
      <c r="E341" s="24">
        <v>10000000</v>
      </c>
      <c r="F341" s="39">
        <v>44067</v>
      </c>
      <c r="G341" s="24">
        <v>10000000</v>
      </c>
      <c r="H341" s="23">
        <v>5.0000000000000001E-3</v>
      </c>
      <c r="I341" s="39">
        <v>44287</v>
      </c>
      <c r="J341" s="39">
        <v>44316</v>
      </c>
      <c r="K341" s="24">
        <f t="shared" si="22"/>
        <v>30</v>
      </c>
      <c r="L341" s="24">
        <f t="shared" si="23"/>
        <v>4110</v>
      </c>
      <c r="M341" s="24">
        <v>10000000</v>
      </c>
    </row>
    <row r="342" spans="1:13" s="5" customFormat="1" outlineLevel="2">
      <c r="A342" s="39" t="s">
        <v>142</v>
      </c>
      <c r="B342" s="40" t="s">
        <v>169</v>
      </c>
      <c r="C342" s="41" t="s">
        <v>79</v>
      </c>
      <c r="D342" s="40" t="s">
        <v>80</v>
      </c>
      <c r="E342" s="24">
        <v>125000000</v>
      </c>
      <c r="F342" s="39">
        <v>44075</v>
      </c>
      <c r="G342" s="24">
        <v>125000000</v>
      </c>
      <c r="H342" s="23">
        <v>5.0000000000000001E-3</v>
      </c>
      <c r="I342" s="39">
        <v>44287</v>
      </c>
      <c r="J342" s="39">
        <v>44316</v>
      </c>
      <c r="K342" s="24">
        <f t="shared" si="22"/>
        <v>30</v>
      </c>
      <c r="L342" s="24">
        <f t="shared" si="23"/>
        <v>51370</v>
      </c>
      <c r="M342" s="24">
        <v>125000000</v>
      </c>
    </row>
    <row r="343" spans="1:13" s="5" customFormat="1" outlineLevel="2">
      <c r="A343" s="39" t="s">
        <v>142</v>
      </c>
      <c r="B343" s="40" t="s">
        <v>170</v>
      </c>
      <c r="C343" s="41" t="s">
        <v>79</v>
      </c>
      <c r="D343" s="40" t="s">
        <v>80</v>
      </c>
      <c r="E343" s="24">
        <v>105000000</v>
      </c>
      <c r="F343" s="39">
        <v>44104</v>
      </c>
      <c r="G343" s="24">
        <v>105000000</v>
      </c>
      <c r="H343" s="23">
        <v>5.0000000000000001E-3</v>
      </c>
      <c r="I343" s="39">
        <v>44287</v>
      </c>
      <c r="J343" s="39">
        <v>44316</v>
      </c>
      <c r="K343" s="24">
        <f t="shared" si="22"/>
        <v>30</v>
      </c>
      <c r="L343" s="24">
        <f t="shared" si="23"/>
        <v>43151</v>
      </c>
      <c r="M343" s="24">
        <v>105000000</v>
      </c>
    </row>
    <row r="344" spans="1:13" s="5" customFormat="1" outlineLevel="2">
      <c r="A344" s="39" t="s">
        <v>142</v>
      </c>
      <c r="B344" s="40" t="s">
        <v>171</v>
      </c>
      <c r="C344" s="41" t="s">
        <v>146</v>
      </c>
      <c r="D344" s="40" t="s">
        <v>147</v>
      </c>
      <c r="E344" s="24">
        <v>13000000</v>
      </c>
      <c r="F344" s="39">
        <v>44077</v>
      </c>
      <c r="G344" s="24">
        <v>13000000</v>
      </c>
      <c r="H344" s="23">
        <v>5.0000000000000001E-3</v>
      </c>
      <c r="I344" s="39">
        <v>44287</v>
      </c>
      <c r="J344" s="39">
        <v>44316</v>
      </c>
      <c r="K344" s="24">
        <f t="shared" si="22"/>
        <v>30</v>
      </c>
      <c r="L344" s="24">
        <f t="shared" si="23"/>
        <v>5342</v>
      </c>
      <c r="M344" s="24">
        <v>13000000</v>
      </c>
    </row>
    <row r="345" spans="1:13" s="5" customFormat="1" outlineLevel="2">
      <c r="A345" s="39" t="s">
        <v>142</v>
      </c>
      <c r="B345" s="40" t="s">
        <v>172</v>
      </c>
      <c r="C345" s="41" t="s">
        <v>146</v>
      </c>
      <c r="D345" s="40" t="s">
        <v>147</v>
      </c>
      <c r="E345" s="24">
        <v>5800000</v>
      </c>
      <c r="F345" s="39">
        <v>44083</v>
      </c>
      <c r="G345" s="24">
        <v>5800000</v>
      </c>
      <c r="H345" s="23">
        <v>5.0000000000000001E-3</v>
      </c>
      <c r="I345" s="39">
        <v>44287</v>
      </c>
      <c r="J345" s="39">
        <v>44316</v>
      </c>
      <c r="K345" s="24">
        <f t="shared" si="22"/>
        <v>30</v>
      </c>
      <c r="L345" s="24">
        <f t="shared" si="23"/>
        <v>2384</v>
      </c>
      <c r="M345" s="24">
        <v>5800000</v>
      </c>
    </row>
    <row r="346" spans="1:13" s="5" customFormat="1" outlineLevel="2">
      <c r="A346" s="39" t="s">
        <v>142</v>
      </c>
      <c r="B346" s="40" t="s">
        <v>173</v>
      </c>
      <c r="C346" s="41" t="s">
        <v>149</v>
      </c>
      <c r="D346" s="40" t="s">
        <v>150</v>
      </c>
      <c r="E346" s="24">
        <v>4989600</v>
      </c>
      <c r="F346" s="39">
        <v>44088</v>
      </c>
      <c r="G346" s="24">
        <v>4989600</v>
      </c>
      <c r="H346" s="23">
        <v>5.0000000000000001E-3</v>
      </c>
      <c r="I346" s="39">
        <v>44287</v>
      </c>
      <c r="J346" s="39">
        <v>44316</v>
      </c>
      <c r="K346" s="24">
        <f t="shared" si="22"/>
        <v>30</v>
      </c>
      <c r="L346" s="24">
        <f t="shared" si="23"/>
        <v>2051</v>
      </c>
      <c r="M346" s="24">
        <v>4989600</v>
      </c>
    </row>
    <row r="347" spans="1:13" s="5" customFormat="1" outlineLevel="2">
      <c r="A347" s="39" t="s">
        <v>142</v>
      </c>
      <c r="B347" s="40" t="s">
        <v>62</v>
      </c>
      <c r="C347" s="41" t="s">
        <v>143</v>
      </c>
      <c r="D347" s="40" t="s">
        <v>144</v>
      </c>
      <c r="E347" s="24">
        <v>10000000</v>
      </c>
      <c r="F347" s="39">
        <v>43850</v>
      </c>
      <c r="G347" s="24">
        <v>10000000</v>
      </c>
      <c r="H347" s="23">
        <v>5.0000000000000001E-3</v>
      </c>
      <c r="I347" s="39">
        <v>44287</v>
      </c>
      <c r="J347" s="39">
        <v>44316</v>
      </c>
      <c r="K347" s="24">
        <f t="shared" si="22"/>
        <v>30</v>
      </c>
      <c r="L347" s="24">
        <f t="shared" si="23"/>
        <v>4110</v>
      </c>
      <c r="M347" s="24">
        <v>10000000</v>
      </c>
    </row>
    <row r="348" spans="1:13" s="5" customFormat="1" outlineLevel="2">
      <c r="A348" s="39" t="s">
        <v>142</v>
      </c>
      <c r="B348" s="40" t="s">
        <v>174</v>
      </c>
      <c r="C348" s="41" t="s">
        <v>66</v>
      </c>
      <c r="D348" s="40" t="s">
        <v>67</v>
      </c>
      <c r="E348" s="24">
        <v>96000000</v>
      </c>
      <c r="F348" s="39">
        <v>44089</v>
      </c>
      <c r="G348" s="24">
        <v>96000000</v>
      </c>
      <c r="H348" s="23">
        <v>5.0000000000000001E-3</v>
      </c>
      <c r="I348" s="39">
        <v>44287</v>
      </c>
      <c r="J348" s="39">
        <v>44316</v>
      </c>
      <c r="K348" s="24">
        <f t="shared" si="22"/>
        <v>30</v>
      </c>
      <c r="L348" s="24">
        <f t="shared" si="23"/>
        <v>39452</v>
      </c>
      <c r="M348" s="24">
        <v>96000000</v>
      </c>
    </row>
    <row r="349" spans="1:13" s="5" customFormat="1" outlineLevel="2">
      <c r="A349" s="39" t="s">
        <v>142</v>
      </c>
      <c r="B349" s="40" t="s">
        <v>175</v>
      </c>
      <c r="C349" s="41" t="s">
        <v>66</v>
      </c>
      <c r="D349" s="40" t="s">
        <v>67</v>
      </c>
      <c r="E349" s="24">
        <v>16000000</v>
      </c>
      <c r="F349" s="39">
        <v>44089</v>
      </c>
      <c r="G349" s="24">
        <v>16000000</v>
      </c>
      <c r="H349" s="23">
        <v>5.0000000000000001E-3</v>
      </c>
      <c r="I349" s="39">
        <v>44287</v>
      </c>
      <c r="J349" s="39">
        <v>44316</v>
      </c>
      <c r="K349" s="24">
        <f t="shared" ref="K349:K380" si="24">J349-I349+1</f>
        <v>30</v>
      </c>
      <c r="L349" s="24">
        <f t="shared" ref="L349:L380" si="25">ROUND(G349*H349*K349/365,0)</f>
        <v>6575</v>
      </c>
      <c r="M349" s="24">
        <v>16000000</v>
      </c>
    </row>
    <row r="350" spans="1:13" s="5" customFormat="1" outlineLevel="2">
      <c r="A350" s="39" t="s">
        <v>142</v>
      </c>
      <c r="B350" s="40" t="s">
        <v>176</v>
      </c>
      <c r="C350" s="41" t="s">
        <v>143</v>
      </c>
      <c r="D350" s="40" t="s">
        <v>144</v>
      </c>
      <c r="E350" s="24">
        <v>21600000</v>
      </c>
      <c r="F350" s="39">
        <v>44095</v>
      </c>
      <c r="G350" s="24">
        <v>21600000</v>
      </c>
      <c r="H350" s="23">
        <v>5.0000000000000001E-3</v>
      </c>
      <c r="I350" s="39">
        <v>44287</v>
      </c>
      <c r="J350" s="39">
        <v>44316</v>
      </c>
      <c r="K350" s="24">
        <f t="shared" si="24"/>
        <v>30</v>
      </c>
      <c r="L350" s="24">
        <f t="shared" si="25"/>
        <v>8877</v>
      </c>
      <c r="M350" s="24">
        <v>21600000</v>
      </c>
    </row>
    <row r="351" spans="1:13" s="5" customFormat="1" outlineLevel="2">
      <c r="A351" s="39" t="s">
        <v>142</v>
      </c>
      <c r="B351" s="40" t="s">
        <v>177</v>
      </c>
      <c r="C351" s="41" t="s">
        <v>123</v>
      </c>
      <c r="D351" s="40" t="s">
        <v>124</v>
      </c>
      <c r="E351" s="24">
        <v>40000000</v>
      </c>
      <c r="F351" s="39">
        <v>44100</v>
      </c>
      <c r="G351" s="24">
        <v>40000000</v>
      </c>
      <c r="H351" s="23">
        <v>5.0000000000000001E-3</v>
      </c>
      <c r="I351" s="39">
        <v>44287</v>
      </c>
      <c r="J351" s="39">
        <v>44316</v>
      </c>
      <c r="K351" s="24">
        <f t="shared" si="24"/>
        <v>30</v>
      </c>
      <c r="L351" s="24">
        <f t="shared" si="25"/>
        <v>16438</v>
      </c>
      <c r="M351" s="24">
        <v>40000000</v>
      </c>
    </row>
    <row r="352" spans="1:13" s="5" customFormat="1" outlineLevel="2">
      <c r="A352" s="39" t="s">
        <v>142</v>
      </c>
      <c r="B352" s="40" t="s">
        <v>178</v>
      </c>
      <c r="C352" s="41" t="s">
        <v>125</v>
      </c>
      <c r="D352" s="40" t="s">
        <v>126</v>
      </c>
      <c r="E352" s="24">
        <v>2000000</v>
      </c>
      <c r="F352" s="39">
        <v>44103</v>
      </c>
      <c r="G352" s="24">
        <v>2000000</v>
      </c>
      <c r="H352" s="23">
        <v>5.0000000000000001E-3</v>
      </c>
      <c r="I352" s="39">
        <v>44287</v>
      </c>
      <c r="J352" s="39">
        <v>44316</v>
      </c>
      <c r="K352" s="24">
        <f t="shared" si="24"/>
        <v>30</v>
      </c>
      <c r="L352" s="24">
        <f t="shared" si="25"/>
        <v>822</v>
      </c>
      <c r="M352" s="24">
        <v>2000000</v>
      </c>
    </row>
    <row r="353" spans="1:13" s="5" customFormat="1" outlineLevel="2">
      <c r="A353" s="39" t="s">
        <v>142</v>
      </c>
      <c r="B353" s="40" t="s">
        <v>179</v>
      </c>
      <c r="C353" s="41" t="s">
        <v>146</v>
      </c>
      <c r="D353" s="40" t="s">
        <v>147</v>
      </c>
      <c r="E353" s="24">
        <v>13200000</v>
      </c>
      <c r="F353" s="39">
        <v>44109</v>
      </c>
      <c r="G353" s="24">
        <v>13200000</v>
      </c>
      <c r="H353" s="23">
        <v>5.0000000000000001E-3</v>
      </c>
      <c r="I353" s="39">
        <v>44287</v>
      </c>
      <c r="J353" s="39">
        <v>44316</v>
      </c>
      <c r="K353" s="24">
        <f t="shared" si="24"/>
        <v>30</v>
      </c>
      <c r="L353" s="24">
        <f t="shared" si="25"/>
        <v>5425</v>
      </c>
      <c r="M353" s="24">
        <v>13200000</v>
      </c>
    </row>
    <row r="354" spans="1:13" s="5" customFormat="1" outlineLevel="2">
      <c r="A354" s="39" t="s">
        <v>142</v>
      </c>
      <c r="B354" s="40" t="s">
        <v>180</v>
      </c>
      <c r="C354" s="41" t="s">
        <v>146</v>
      </c>
      <c r="D354" s="40" t="s">
        <v>147</v>
      </c>
      <c r="E354" s="24">
        <v>3000000</v>
      </c>
      <c r="F354" s="39">
        <v>44116</v>
      </c>
      <c r="G354" s="24">
        <v>3000000</v>
      </c>
      <c r="H354" s="23">
        <v>5.0000000000000001E-3</v>
      </c>
      <c r="I354" s="39">
        <v>44287</v>
      </c>
      <c r="J354" s="39">
        <v>44316</v>
      </c>
      <c r="K354" s="24">
        <f t="shared" si="24"/>
        <v>30</v>
      </c>
      <c r="L354" s="24">
        <f t="shared" si="25"/>
        <v>1233</v>
      </c>
      <c r="M354" s="24">
        <v>3000000</v>
      </c>
    </row>
    <row r="355" spans="1:13" s="5" customFormat="1" outlineLevel="2">
      <c r="A355" s="39" t="s">
        <v>142</v>
      </c>
      <c r="B355" s="40" t="s">
        <v>181</v>
      </c>
      <c r="C355" s="41" t="s">
        <v>149</v>
      </c>
      <c r="D355" s="40" t="s">
        <v>150</v>
      </c>
      <c r="E355" s="24">
        <v>8736000</v>
      </c>
      <c r="F355" s="39">
        <v>44109</v>
      </c>
      <c r="G355" s="24">
        <v>8736000</v>
      </c>
      <c r="H355" s="23">
        <v>5.0000000000000001E-3</v>
      </c>
      <c r="I355" s="39">
        <v>44287</v>
      </c>
      <c r="J355" s="39">
        <v>44316</v>
      </c>
      <c r="K355" s="24">
        <f t="shared" si="24"/>
        <v>30</v>
      </c>
      <c r="L355" s="24">
        <f t="shared" si="25"/>
        <v>3590</v>
      </c>
      <c r="M355" s="24">
        <v>8736000</v>
      </c>
    </row>
    <row r="356" spans="1:13" s="5" customFormat="1" outlineLevel="2">
      <c r="A356" s="39" t="s">
        <v>142</v>
      </c>
      <c r="B356" s="40" t="s">
        <v>182</v>
      </c>
      <c r="C356" s="41" t="s">
        <v>149</v>
      </c>
      <c r="D356" s="40" t="s">
        <v>150</v>
      </c>
      <c r="E356" s="24">
        <v>4273920</v>
      </c>
      <c r="F356" s="39">
        <v>44111</v>
      </c>
      <c r="G356" s="24">
        <v>4273920</v>
      </c>
      <c r="H356" s="23">
        <v>5.0000000000000001E-3</v>
      </c>
      <c r="I356" s="39">
        <v>44287</v>
      </c>
      <c r="J356" s="39">
        <v>44316</v>
      </c>
      <c r="K356" s="24">
        <f t="shared" si="24"/>
        <v>30</v>
      </c>
      <c r="L356" s="24">
        <f t="shared" si="25"/>
        <v>1756</v>
      </c>
      <c r="M356" s="24">
        <v>4273920</v>
      </c>
    </row>
    <row r="357" spans="1:13" s="5" customFormat="1" outlineLevel="2">
      <c r="A357" s="39" t="s">
        <v>142</v>
      </c>
      <c r="B357" s="40" t="s">
        <v>183</v>
      </c>
      <c r="C357" s="41" t="s">
        <v>149</v>
      </c>
      <c r="D357" s="40" t="s">
        <v>150</v>
      </c>
      <c r="E357" s="24">
        <v>4368000</v>
      </c>
      <c r="F357" s="39">
        <v>44132</v>
      </c>
      <c r="G357" s="24">
        <v>4368000</v>
      </c>
      <c r="H357" s="23">
        <v>5.0000000000000001E-3</v>
      </c>
      <c r="I357" s="39">
        <v>44287</v>
      </c>
      <c r="J357" s="39">
        <v>44316</v>
      </c>
      <c r="K357" s="24">
        <f t="shared" si="24"/>
        <v>30</v>
      </c>
      <c r="L357" s="24">
        <f t="shared" si="25"/>
        <v>1795</v>
      </c>
      <c r="M357" s="24">
        <v>4368000</v>
      </c>
    </row>
    <row r="358" spans="1:13" s="5" customFormat="1" outlineLevel="2">
      <c r="A358" s="39" t="s">
        <v>142</v>
      </c>
      <c r="B358" s="40" t="s">
        <v>63</v>
      </c>
      <c r="C358" s="41" t="s">
        <v>149</v>
      </c>
      <c r="D358" s="40" t="s">
        <v>150</v>
      </c>
      <c r="E358" s="24">
        <v>96176976</v>
      </c>
      <c r="F358" s="39">
        <v>43861</v>
      </c>
      <c r="G358" s="24">
        <v>96176976</v>
      </c>
      <c r="H358" s="23">
        <v>5.0000000000000001E-3</v>
      </c>
      <c r="I358" s="39">
        <v>44287</v>
      </c>
      <c r="J358" s="39">
        <v>44316</v>
      </c>
      <c r="K358" s="24">
        <f t="shared" si="24"/>
        <v>30</v>
      </c>
      <c r="L358" s="24">
        <f t="shared" si="25"/>
        <v>39525</v>
      </c>
      <c r="M358" s="24">
        <v>96176976</v>
      </c>
    </row>
    <row r="359" spans="1:13" s="5" customFormat="1" outlineLevel="2">
      <c r="A359" s="39" t="s">
        <v>142</v>
      </c>
      <c r="B359" s="40" t="s">
        <v>184</v>
      </c>
      <c r="C359" s="41" t="s">
        <v>149</v>
      </c>
      <c r="D359" s="40" t="s">
        <v>150</v>
      </c>
      <c r="E359" s="24">
        <v>8064000</v>
      </c>
      <c r="F359" s="39">
        <v>44133</v>
      </c>
      <c r="G359" s="24">
        <v>8064000</v>
      </c>
      <c r="H359" s="23">
        <v>5.0000000000000001E-3</v>
      </c>
      <c r="I359" s="39">
        <v>44287</v>
      </c>
      <c r="J359" s="39">
        <v>44316</v>
      </c>
      <c r="K359" s="24">
        <f t="shared" si="24"/>
        <v>30</v>
      </c>
      <c r="L359" s="24">
        <f t="shared" si="25"/>
        <v>3314</v>
      </c>
      <c r="M359" s="24">
        <v>8064000</v>
      </c>
    </row>
    <row r="360" spans="1:13" s="5" customFormat="1" outlineLevel="2">
      <c r="A360" s="39" t="s">
        <v>142</v>
      </c>
      <c r="B360" s="40" t="s">
        <v>185</v>
      </c>
      <c r="C360" s="41" t="s">
        <v>149</v>
      </c>
      <c r="D360" s="40" t="s">
        <v>150</v>
      </c>
      <c r="E360" s="24">
        <v>113400</v>
      </c>
      <c r="F360" s="39">
        <v>44133</v>
      </c>
      <c r="G360" s="24">
        <v>113400</v>
      </c>
      <c r="H360" s="23">
        <v>5.0000000000000001E-3</v>
      </c>
      <c r="I360" s="39">
        <v>44287</v>
      </c>
      <c r="J360" s="39">
        <v>44316</v>
      </c>
      <c r="K360" s="24">
        <f t="shared" si="24"/>
        <v>30</v>
      </c>
      <c r="L360" s="24">
        <f t="shared" si="25"/>
        <v>47</v>
      </c>
      <c r="M360" s="24">
        <v>113400</v>
      </c>
    </row>
    <row r="361" spans="1:13" s="5" customFormat="1" outlineLevel="2">
      <c r="A361" s="39" t="s">
        <v>142</v>
      </c>
      <c r="B361" s="40" t="s">
        <v>186</v>
      </c>
      <c r="C361" s="41" t="s">
        <v>187</v>
      </c>
      <c r="D361" s="40" t="s">
        <v>188</v>
      </c>
      <c r="E361" s="24">
        <v>93700000</v>
      </c>
      <c r="F361" s="39">
        <v>44109</v>
      </c>
      <c r="G361" s="24">
        <v>93700000</v>
      </c>
      <c r="H361" s="23">
        <v>5.0000000000000001E-3</v>
      </c>
      <c r="I361" s="39">
        <v>44287</v>
      </c>
      <c r="J361" s="39">
        <v>44316</v>
      </c>
      <c r="K361" s="24">
        <f t="shared" si="24"/>
        <v>30</v>
      </c>
      <c r="L361" s="24">
        <f t="shared" si="25"/>
        <v>38507</v>
      </c>
      <c r="M361" s="24">
        <v>93700000</v>
      </c>
    </row>
    <row r="362" spans="1:13" s="5" customFormat="1" outlineLevel="2">
      <c r="A362" s="39" t="s">
        <v>142</v>
      </c>
      <c r="B362" s="40" t="s">
        <v>189</v>
      </c>
      <c r="C362" s="41" t="s">
        <v>187</v>
      </c>
      <c r="D362" s="40" t="s">
        <v>188</v>
      </c>
      <c r="E362" s="24">
        <v>21400000</v>
      </c>
      <c r="F362" s="39">
        <v>44109</v>
      </c>
      <c r="G362" s="24">
        <v>21400000</v>
      </c>
      <c r="H362" s="23">
        <v>5.0000000000000001E-3</v>
      </c>
      <c r="I362" s="39">
        <v>44287</v>
      </c>
      <c r="J362" s="39">
        <v>44316</v>
      </c>
      <c r="K362" s="24">
        <f t="shared" si="24"/>
        <v>30</v>
      </c>
      <c r="L362" s="24">
        <f t="shared" si="25"/>
        <v>8795</v>
      </c>
      <c r="M362" s="24">
        <v>21400000</v>
      </c>
    </row>
    <row r="363" spans="1:13" s="5" customFormat="1" outlineLevel="2">
      <c r="A363" s="39" t="s">
        <v>142</v>
      </c>
      <c r="B363" s="40" t="s">
        <v>190</v>
      </c>
      <c r="C363" s="41" t="s">
        <v>143</v>
      </c>
      <c r="D363" s="40" t="s">
        <v>144</v>
      </c>
      <c r="E363" s="24">
        <v>7150000</v>
      </c>
      <c r="F363" s="39">
        <v>44119</v>
      </c>
      <c r="G363" s="24">
        <v>7150000</v>
      </c>
      <c r="H363" s="23">
        <v>5.0000000000000001E-3</v>
      </c>
      <c r="I363" s="39">
        <v>44287</v>
      </c>
      <c r="J363" s="39">
        <v>44316</v>
      </c>
      <c r="K363" s="24">
        <f t="shared" si="24"/>
        <v>30</v>
      </c>
      <c r="L363" s="24">
        <f t="shared" si="25"/>
        <v>2938</v>
      </c>
      <c r="M363" s="24">
        <v>7150000</v>
      </c>
    </row>
    <row r="364" spans="1:13" s="5" customFormat="1" outlineLevel="2">
      <c r="A364" s="39" t="s">
        <v>142</v>
      </c>
      <c r="B364" s="40" t="s">
        <v>191</v>
      </c>
      <c r="C364" s="41" t="s">
        <v>143</v>
      </c>
      <c r="D364" s="40" t="s">
        <v>144</v>
      </c>
      <c r="E364" s="24">
        <v>14400000</v>
      </c>
      <c r="F364" s="39">
        <v>44124</v>
      </c>
      <c r="G364" s="24">
        <v>14400000</v>
      </c>
      <c r="H364" s="23">
        <v>5.0000000000000001E-3</v>
      </c>
      <c r="I364" s="39">
        <v>44287</v>
      </c>
      <c r="J364" s="39">
        <v>44316</v>
      </c>
      <c r="K364" s="24">
        <f t="shared" si="24"/>
        <v>30</v>
      </c>
      <c r="L364" s="24">
        <f t="shared" si="25"/>
        <v>5918</v>
      </c>
      <c r="M364" s="24">
        <v>14400000</v>
      </c>
    </row>
    <row r="365" spans="1:13" s="5" customFormat="1" outlineLevel="2">
      <c r="A365" s="39" t="s">
        <v>142</v>
      </c>
      <c r="B365" s="40" t="s">
        <v>192</v>
      </c>
      <c r="C365" s="41" t="s">
        <v>125</v>
      </c>
      <c r="D365" s="40" t="s">
        <v>126</v>
      </c>
      <c r="E365" s="24">
        <v>24000000</v>
      </c>
      <c r="F365" s="39">
        <v>44120</v>
      </c>
      <c r="G365" s="24">
        <v>24000000</v>
      </c>
      <c r="H365" s="23">
        <v>5.0000000000000001E-3</v>
      </c>
      <c r="I365" s="39">
        <v>44287</v>
      </c>
      <c r="J365" s="39">
        <v>44316</v>
      </c>
      <c r="K365" s="24">
        <f t="shared" si="24"/>
        <v>30</v>
      </c>
      <c r="L365" s="24">
        <f t="shared" si="25"/>
        <v>9863</v>
      </c>
      <c r="M365" s="24">
        <v>24000000</v>
      </c>
    </row>
    <row r="366" spans="1:13" s="5" customFormat="1" outlineLevel="2">
      <c r="A366" s="39" t="s">
        <v>142</v>
      </c>
      <c r="B366" s="40" t="s">
        <v>193</v>
      </c>
      <c r="C366" s="41" t="s">
        <v>125</v>
      </c>
      <c r="D366" s="40" t="s">
        <v>126</v>
      </c>
      <c r="E366" s="24">
        <v>24000000</v>
      </c>
      <c r="F366" s="39">
        <v>44127</v>
      </c>
      <c r="G366" s="24">
        <v>24000000</v>
      </c>
      <c r="H366" s="23">
        <v>5.0000000000000001E-3</v>
      </c>
      <c r="I366" s="39">
        <v>44287</v>
      </c>
      <c r="J366" s="39">
        <v>44316</v>
      </c>
      <c r="K366" s="24">
        <f t="shared" si="24"/>
        <v>30</v>
      </c>
      <c r="L366" s="24">
        <f t="shared" si="25"/>
        <v>9863</v>
      </c>
      <c r="M366" s="24">
        <v>24000000</v>
      </c>
    </row>
    <row r="367" spans="1:13" s="5" customFormat="1" outlineLevel="2">
      <c r="A367" s="39" t="s">
        <v>142</v>
      </c>
      <c r="B367" s="40" t="s">
        <v>194</v>
      </c>
      <c r="C367" s="41" t="s">
        <v>123</v>
      </c>
      <c r="D367" s="40" t="s">
        <v>124</v>
      </c>
      <c r="E367" s="24">
        <v>5000000</v>
      </c>
      <c r="F367" s="39">
        <v>44134</v>
      </c>
      <c r="G367" s="24">
        <v>5000000</v>
      </c>
      <c r="H367" s="23">
        <v>5.0000000000000001E-3</v>
      </c>
      <c r="I367" s="39">
        <v>44287</v>
      </c>
      <c r="J367" s="39">
        <v>44316</v>
      </c>
      <c r="K367" s="24">
        <f t="shared" si="24"/>
        <v>30</v>
      </c>
      <c r="L367" s="24">
        <f t="shared" si="25"/>
        <v>2055</v>
      </c>
      <c r="M367" s="24">
        <v>5000000</v>
      </c>
    </row>
    <row r="368" spans="1:13" s="5" customFormat="1" outlineLevel="2">
      <c r="A368" s="39" t="s">
        <v>142</v>
      </c>
      <c r="B368" s="40" t="s">
        <v>195</v>
      </c>
      <c r="C368" s="41" t="s">
        <v>146</v>
      </c>
      <c r="D368" s="40" t="s">
        <v>147</v>
      </c>
      <c r="E368" s="24">
        <v>16000000</v>
      </c>
      <c r="F368" s="39">
        <v>44139</v>
      </c>
      <c r="G368" s="24">
        <v>16000000</v>
      </c>
      <c r="H368" s="23">
        <v>5.0000000000000001E-3</v>
      </c>
      <c r="I368" s="39">
        <v>44287</v>
      </c>
      <c r="J368" s="39">
        <v>44316</v>
      </c>
      <c r="K368" s="24">
        <f t="shared" si="24"/>
        <v>30</v>
      </c>
      <c r="L368" s="24">
        <f t="shared" si="25"/>
        <v>6575</v>
      </c>
      <c r="M368" s="24">
        <v>16000000</v>
      </c>
    </row>
    <row r="369" spans="1:13" s="5" customFormat="1" outlineLevel="2">
      <c r="A369" s="39" t="s">
        <v>142</v>
      </c>
      <c r="B369" s="40" t="s">
        <v>64</v>
      </c>
      <c r="C369" s="41" t="s">
        <v>143</v>
      </c>
      <c r="D369" s="40" t="s">
        <v>144</v>
      </c>
      <c r="E369" s="24">
        <v>1800000</v>
      </c>
      <c r="F369" s="39">
        <v>43876</v>
      </c>
      <c r="G369" s="24">
        <v>1800000</v>
      </c>
      <c r="H369" s="23">
        <v>5.0000000000000001E-3</v>
      </c>
      <c r="I369" s="39">
        <v>44287</v>
      </c>
      <c r="J369" s="39">
        <v>44316</v>
      </c>
      <c r="K369" s="24">
        <f t="shared" si="24"/>
        <v>30</v>
      </c>
      <c r="L369" s="24">
        <f t="shared" si="25"/>
        <v>740</v>
      </c>
      <c r="M369" s="24">
        <v>1800000</v>
      </c>
    </row>
    <row r="370" spans="1:13" s="5" customFormat="1" outlineLevel="2">
      <c r="A370" s="39" t="s">
        <v>142</v>
      </c>
      <c r="B370" s="40" t="s">
        <v>196</v>
      </c>
      <c r="C370" s="41" t="s">
        <v>146</v>
      </c>
      <c r="D370" s="40" t="s">
        <v>147</v>
      </c>
      <c r="E370" s="24">
        <v>6000000</v>
      </c>
      <c r="F370" s="39">
        <v>44145</v>
      </c>
      <c r="G370" s="24">
        <v>6000000</v>
      </c>
      <c r="H370" s="23">
        <v>5.0000000000000001E-3</v>
      </c>
      <c r="I370" s="39">
        <v>44287</v>
      </c>
      <c r="J370" s="39">
        <v>44316</v>
      </c>
      <c r="K370" s="24">
        <f t="shared" si="24"/>
        <v>30</v>
      </c>
      <c r="L370" s="24">
        <f t="shared" si="25"/>
        <v>2466</v>
      </c>
      <c r="M370" s="24">
        <v>6000000</v>
      </c>
    </row>
    <row r="371" spans="1:13" s="5" customFormat="1" outlineLevel="2">
      <c r="A371" s="39" t="s">
        <v>142</v>
      </c>
      <c r="B371" s="40" t="s">
        <v>197</v>
      </c>
      <c r="C371" s="41" t="s">
        <v>143</v>
      </c>
      <c r="D371" s="40" t="s">
        <v>144</v>
      </c>
      <c r="E371" s="24">
        <v>19000000</v>
      </c>
      <c r="F371" s="39">
        <v>44140</v>
      </c>
      <c r="G371" s="24">
        <v>19000000</v>
      </c>
      <c r="H371" s="23">
        <v>5.0000000000000001E-3</v>
      </c>
      <c r="I371" s="39">
        <v>44287</v>
      </c>
      <c r="J371" s="39">
        <v>44316</v>
      </c>
      <c r="K371" s="24">
        <f t="shared" si="24"/>
        <v>30</v>
      </c>
      <c r="L371" s="24">
        <f t="shared" si="25"/>
        <v>7808</v>
      </c>
      <c r="M371" s="24">
        <v>19000000</v>
      </c>
    </row>
    <row r="372" spans="1:13" s="5" customFormat="1" outlineLevel="2">
      <c r="A372" s="39" t="s">
        <v>142</v>
      </c>
      <c r="B372" s="40" t="s">
        <v>198</v>
      </c>
      <c r="C372" s="41" t="s">
        <v>143</v>
      </c>
      <c r="D372" s="40" t="s">
        <v>144</v>
      </c>
      <c r="E372" s="24">
        <v>1800000</v>
      </c>
      <c r="F372" s="39">
        <v>44165</v>
      </c>
      <c r="G372" s="24">
        <v>1800000</v>
      </c>
      <c r="H372" s="23">
        <v>5.0000000000000001E-3</v>
      </c>
      <c r="I372" s="39">
        <v>44287</v>
      </c>
      <c r="J372" s="39">
        <v>44316</v>
      </c>
      <c r="K372" s="24">
        <f t="shared" si="24"/>
        <v>30</v>
      </c>
      <c r="L372" s="24">
        <f t="shared" si="25"/>
        <v>740</v>
      </c>
      <c r="M372" s="24">
        <v>1800000</v>
      </c>
    </row>
    <row r="373" spans="1:13" s="5" customFormat="1" outlineLevel="2">
      <c r="A373" s="39" t="s">
        <v>142</v>
      </c>
      <c r="B373" s="40" t="s">
        <v>199</v>
      </c>
      <c r="C373" s="41" t="s">
        <v>143</v>
      </c>
      <c r="D373" s="40" t="s">
        <v>144</v>
      </c>
      <c r="E373" s="24">
        <v>5500000</v>
      </c>
      <c r="F373" s="39">
        <v>44165</v>
      </c>
      <c r="G373" s="24">
        <v>5500000</v>
      </c>
      <c r="H373" s="23">
        <v>5.0000000000000001E-3</v>
      </c>
      <c r="I373" s="39">
        <v>44287</v>
      </c>
      <c r="J373" s="39">
        <v>44316</v>
      </c>
      <c r="K373" s="24">
        <f t="shared" si="24"/>
        <v>30</v>
      </c>
      <c r="L373" s="24">
        <f t="shared" si="25"/>
        <v>2260</v>
      </c>
      <c r="M373" s="24">
        <v>5500000</v>
      </c>
    </row>
    <row r="374" spans="1:13" s="5" customFormat="1" outlineLevel="2">
      <c r="A374" s="39" t="s">
        <v>142</v>
      </c>
      <c r="B374" s="40" t="s">
        <v>200</v>
      </c>
      <c r="C374" s="41" t="s">
        <v>143</v>
      </c>
      <c r="D374" s="40" t="s">
        <v>144</v>
      </c>
      <c r="E374" s="24">
        <v>8600000</v>
      </c>
      <c r="F374" s="39">
        <v>44165</v>
      </c>
      <c r="G374" s="24">
        <v>8600000</v>
      </c>
      <c r="H374" s="23">
        <v>5.0000000000000001E-3</v>
      </c>
      <c r="I374" s="39">
        <v>44287</v>
      </c>
      <c r="J374" s="39">
        <v>44316</v>
      </c>
      <c r="K374" s="24">
        <f t="shared" si="24"/>
        <v>30</v>
      </c>
      <c r="L374" s="24">
        <f t="shared" si="25"/>
        <v>3534</v>
      </c>
      <c r="M374" s="24">
        <v>8600000</v>
      </c>
    </row>
    <row r="375" spans="1:13" s="5" customFormat="1" outlineLevel="2">
      <c r="A375" s="39" t="s">
        <v>142</v>
      </c>
      <c r="B375" s="40" t="s">
        <v>201</v>
      </c>
      <c r="C375" s="41" t="s">
        <v>161</v>
      </c>
      <c r="D375" s="40" t="s">
        <v>162</v>
      </c>
      <c r="E375" s="24">
        <v>150000000</v>
      </c>
      <c r="F375" s="39">
        <v>44144</v>
      </c>
      <c r="G375" s="24">
        <v>150000000</v>
      </c>
      <c r="H375" s="23">
        <v>5.0000000000000001E-3</v>
      </c>
      <c r="I375" s="39">
        <v>44287</v>
      </c>
      <c r="J375" s="39">
        <v>44316</v>
      </c>
      <c r="K375" s="24">
        <f t="shared" si="24"/>
        <v>30</v>
      </c>
      <c r="L375" s="24">
        <f t="shared" si="25"/>
        <v>61644</v>
      </c>
      <c r="M375" s="24">
        <v>150000000</v>
      </c>
    </row>
    <row r="376" spans="1:13" s="5" customFormat="1" outlineLevel="2">
      <c r="A376" s="39" t="s">
        <v>142</v>
      </c>
      <c r="B376" s="40" t="s">
        <v>202</v>
      </c>
      <c r="C376" s="41" t="s">
        <v>125</v>
      </c>
      <c r="D376" s="40" t="s">
        <v>126</v>
      </c>
      <c r="E376" s="24">
        <v>2500000</v>
      </c>
      <c r="F376" s="39">
        <v>44147</v>
      </c>
      <c r="G376" s="24">
        <v>2500000</v>
      </c>
      <c r="H376" s="23">
        <v>5.0000000000000001E-3</v>
      </c>
      <c r="I376" s="39">
        <v>44287</v>
      </c>
      <c r="J376" s="39">
        <v>44316</v>
      </c>
      <c r="K376" s="24">
        <f t="shared" si="24"/>
        <v>30</v>
      </c>
      <c r="L376" s="24">
        <f t="shared" si="25"/>
        <v>1027</v>
      </c>
      <c r="M376" s="24">
        <v>2500000</v>
      </c>
    </row>
    <row r="377" spans="1:13" s="5" customFormat="1" outlineLevel="2">
      <c r="A377" s="39" t="s">
        <v>142</v>
      </c>
      <c r="B377" s="40" t="s">
        <v>203</v>
      </c>
      <c r="C377" s="41" t="s">
        <v>125</v>
      </c>
      <c r="D377" s="40" t="s">
        <v>126</v>
      </c>
      <c r="E377" s="24">
        <v>18000000</v>
      </c>
      <c r="F377" s="39">
        <v>44158</v>
      </c>
      <c r="G377" s="24">
        <v>18000000</v>
      </c>
      <c r="H377" s="23">
        <v>5.0000000000000001E-3</v>
      </c>
      <c r="I377" s="39">
        <v>44287</v>
      </c>
      <c r="J377" s="39">
        <v>44316</v>
      </c>
      <c r="K377" s="24">
        <f t="shared" si="24"/>
        <v>30</v>
      </c>
      <c r="L377" s="24">
        <f t="shared" si="25"/>
        <v>7397</v>
      </c>
      <c r="M377" s="24">
        <v>18000000</v>
      </c>
    </row>
    <row r="378" spans="1:13" s="5" customFormat="1" outlineLevel="2">
      <c r="A378" s="39" t="s">
        <v>142</v>
      </c>
      <c r="B378" s="40" t="s">
        <v>204</v>
      </c>
      <c r="C378" s="41" t="s">
        <v>149</v>
      </c>
      <c r="D378" s="40" t="s">
        <v>150</v>
      </c>
      <c r="E378" s="24">
        <v>1764000</v>
      </c>
      <c r="F378" s="39">
        <v>44147</v>
      </c>
      <c r="G378" s="24">
        <v>1764000</v>
      </c>
      <c r="H378" s="23">
        <v>5.0000000000000001E-3</v>
      </c>
      <c r="I378" s="39">
        <v>44287</v>
      </c>
      <c r="J378" s="39">
        <v>44316</v>
      </c>
      <c r="K378" s="24">
        <f t="shared" si="24"/>
        <v>30</v>
      </c>
      <c r="L378" s="24">
        <f t="shared" si="25"/>
        <v>725</v>
      </c>
      <c r="M378" s="24">
        <v>1764000</v>
      </c>
    </row>
    <row r="379" spans="1:13" s="5" customFormat="1" outlineLevel="2">
      <c r="A379" s="39" t="s">
        <v>142</v>
      </c>
      <c r="B379" s="40" t="s">
        <v>205</v>
      </c>
      <c r="C379" s="41" t="s">
        <v>163</v>
      </c>
      <c r="D379" s="40" t="s">
        <v>164</v>
      </c>
      <c r="E379" s="24">
        <v>15000000</v>
      </c>
      <c r="F379" s="39">
        <v>44153</v>
      </c>
      <c r="G379" s="24">
        <v>14478260</v>
      </c>
      <c r="H379" s="23">
        <v>5.0000000000000001E-3</v>
      </c>
      <c r="I379" s="39">
        <v>44287</v>
      </c>
      <c r="J379" s="39">
        <v>44300</v>
      </c>
      <c r="K379" s="24">
        <f t="shared" si="24"/>
        <v>14</v>
      </c>
      <c r="L379" s="24">
        <f t="shared" si="25"/>
        <v>2777</v>
      </c>
      <c r="M379" s="24">
        <v>14347825</v>
      </c>
    </row>
    <row r="380" spans="1:13" s="5" customFormat="1" outlineLevel="2">
      <c r="A380" s="39" t="s">
        <v>142</v>
      </c>
      <c r="B380" s="40" t="s">
        <v>205</v>
      </c>
      <c r="C380" s="41" t="s">
        <v>163</v>
      </c>
      <c r="D380" s="40"/>
      <c r="E380" s="24"/>
      <c r="F380" s="39"/>
      <c r="G380" s="24">
        <v>14347825</v>
      </c>
      <c r="H380" s="23">
        <v>5.0000000000000001E-3</v>
      </c>
      <c r="I380" s="39">
        <v>44301</v>
      </c>
      <c r="J380" s="39">
        <v>44316</v>
      </c>
      <c r="K380" s="24">
        <f t="shared" si="24"/>
        <v>16</v>
      </c>
      <c r="L380" s="24">
        <f t="shared" si="25"/>
        <v>3145</v>
      </c>
      <c r="M380" s="24"/>
    </row>
    <row r="381" spans="1:13" s="5" customFormat="1" outlineLevel="2">
      <c r="A381" s="39" t="s">
        <v>142</v>
      </c>
      <c r="B381" s="40" t="s">
        <v>65</v>
      </c>
      <c r="C381" s="41" t="s">
        <v>117</v>
      </c>
      <c r="D381" s="40" t="s">
        <v>118</v>
      </c>
      <c r="E381" s="24">
        <v>30000000</v>
      </c>
      <c r="F381" s="39">
        <v>43906</v>
      </c>
      <c r="G381" s="24">
        <v>30000000</v>
      </c>
      <c r="H381" s="23">
        <v>5.0000000000000001E-3</v>
      </c>
      <c r="I381" s="39">
        <v>44287</v>
      </c>
      <c r="J381" s="39">
        <v>44316</v>
      </c>
      <c r="K381" s="24">
        <f t="shared" ref="K381:K412" si="26">J381-I381+1</f>
        <v>30</v>
      </c>
      <c r="L381" s="24">
        <f t="shared" ref="L381:L412" si="27">ROUND(G381*H381*K381/365,0)</f>
        <v>12329</v>
      </c>
      <c r="M381" s="24">
        <v>30000000</v>
      </c>
    </row>
    <row r="382" spans="1:13" s="5" customFormat="1" outlineLevel="2">
      <c r="A382" s="39" t="s">
        <v>142</v>
      </c>
      <c r="B382" s="40" t="s">
        <v>206</v>
      </c>
      <c r="C382" s="41" t="s">
        <v>87</v>
      </c>
      <c r="D382" s="40" t="s">
        <v>88</v>
      </c>
      <c r="E382" s="24">
        <v>13481921</v>
      </c>
      <c r="F382" s="39">
        <v>44158</v>
      </c>
      <c r="G382" s="24">
        <v>13481921</v>
      </c>
      <c r="H382" s="23">
        <v>5.0000000000000001E-3</v>
      </c>
      <c r="I382" s="39">
        <v>44287</v>
      </c>
      <c r="J382" s="39">
        <v>44316</v>
      </c>
      <c r="K382" s="24">
        <f t="shared" si="26"/>
        <v>30</v>
      </c>
      <c r="L382" s="24">
        <f t="shared" si="27"/>
        <v>5541</v>
      </c>
      <c r="M382" s="24">
        <v>13481921</v>
      </c>
    </row>
    <row r="383" spans="1:13" s="5" customFormat="1" outlineLevel="2">
      <c r="A383" s="39" t="s">
        <v>142</v>
      </c>
      <c r="B383" s="40" t="s">
        <v>207</v>
      </c>
      <c r="C383" s="41" t="s">
        <v>85</v>
      </c>
      <c r="D383" s="40" t="s">
        <v>86</v>
      </c>
      <c r="E383" s="24">
        <v>2682500</v>
      </c>
      <c r="F383" s="39">
        <v>44165</v>
      </c>
      <c r="G383" s="24">
        <v>2682500</v>
      </c>
      <c r="H383" s="23">
        <v>5.0000000000000001E-3</v>
      </c>
      <c r="I383" s="39">
        <v>44287</v>
      </c>
      <c r="J383" s="39">
        <v>44316</v>
      </c>
      <c r="K383" s="24">
        <f t="shared" si="26"/>
        <v>30</v>
      </c>
      <c r="L383" s="24">
        <f t="shared" si="27"/>
        <v>1102</v>
      </c>
      <c r="M383" s="24">
        <v>2682500</v>
      </c>
    </row>
    <row r="384" spans="1:13" s="5" customFormat="1" outlineLevel="2">
      <c r="A384" s="39" t="s">
        <v>142</v>
      </c>
      <c r="B384" s="40" t="s">
        <v>208</v>
      </c>
      <c r="C384" s="41" t="s">
        <v>85</v>
      </c>
      <c r="D384" s="40" t="s">
        <v>86</v>
      </c>
      <c r="E384" s="24">
        <v>8047500</v>
      </c>
      <c r="F384" s="39">
        <v>44165</v>
      </c>
      <c r="G384" s="24">
        <v>8047500</v>
      </c>
      <c r="H384" s="23">
        <v>5.0000000000000001E-3</v>
      </c>
      <c r="I384" s="39">
        <v>44287</v>
      </c>
      <c r="J384" s="39">
        <v>44316</v>
      </c>
      <c r="K384" s="24">
        <f t="shared" si="26"/>
        <v>30</v>
      </c>
      <c r="L384" s="24">
        <f t="shared" si="27"/>
        <v>3307</v>
      </c>
      <c r="M384" s="24">
        <v>8047500</v>
      </c>
    </row>
    <row r="385" spans="1:13" s="5" customFormat="1" outlineLevel="2">
      <c r="A385" s="39" t="s">
        <v>142</v>
      </c>
      <c r="B385" s="40" t="s">
        <v>209</v>
      </c>
      <c r="C385" s="41" t="s">
        <v>146</v>
      </c>
      <c r="D385" s="40" t="s">
        <v>147</v>
      </c>
      <c r="E385" s="24">
        <v>15600000</v>
      </c>
      <c r="F385" s="39">
        <v>44168</v>
      </c>
      <c r="G385" s="24">
        <v>15600000</v>
      </c>
      <c r="H385" s="23">
        <v>5.0000000000000001E-3</v>
      </c>
      <c r="I385" s="39">
        <v>44287</v>
      </c>
      <c r="J385" s="39">
        <v>44316</v>
      </c>
      <c r="K385" s="24">
        <f t="shared" si="26"/>
        <v>30</v>
      </c>
      <c r="L385" s="24">
        <f t="shared" si="27"/>
        <v>6411</v>
      </c>
      <c r="M385" s="24">
        <v>15600000</v>
      </c>
    </row>
    <row r="386" spans="1:13" s="5" customFormat="1" outlineLevel="2">
      <c r="A386" s="39" t="s">
        <v>142</v>
      </c>
      <c r="B386" s="40" t="s">
        <v>210</v>
      </c>
      <c r="C386" s="41" t="s">
        <v>146</v>
      </c>
      <c r="D386" s="40" t="s">
        <v>147</v>
      </c>
      <c r="E386" s="24">
        <v>4400000</v>
      </c>
      <c r="F386" s="39">
        <v>44173</v>
      </c>
      <c r="G386" s="24">
        <v>4400000</v>
      </c>
      <c r="H386" s="23">
        <v>5.0000000000000001E-3</v>
      </c>
      <c r="I386" s="39">
        <v>44287</v>
      </c>
      <c r="J386" s="39">
        <v>44316</v>
      </c>
      <c r="K386" s="24">
        <f t="shared" si="26"/>
        <v>30</v>
      </c>
      <c r="L386" s="24">
        <f t="shared" si="27"/>
        <v>1808</v>
      </c>
      <c r="M386" s="24">
        <v>4400000</v>
      </c>
    </row>
    <row r="387" spans="1:13" s="5" customFormat="1" outlineLevel="2">
      <c r="A387" s="39" t="s">
        <v>142</v>
      </c>
      <c r="B387" s="40" t="s">
        <v>211</v>
      </c>
      <c r="C387" s="41" t="s">
        <v>187</v>
      </c>
      <c r="D387" s="40" t="s">
        <v>188</v>
      </c>
      <c r="E387" s="24">
        <v>88900000</v>
      </c>
      <c r="F387" s="39">
        <v>44169</v>
      </c>
      <c r="G387" s="24">
        <v>88900000</v>
      </c>
      <c r="H387" s="23">
        <v>5.0000000000000001E-3</v>
      </c>
      <c r="I387" s="39">
        <v>44287</v>
      </c>
      <c r="J387" s="39">
        <v>44316</v>
      </c>
      <c r="K387" s="24">
        <f t="shared" si="26"/>
        <v>30</v>
      </c>
      <c r="L387" s="24">
        <f t="shared" si="27"/>
        <v>36534</v>
      </c>
      <c r="M387" s="24">
        <v>88900000</v>
      </c>
    </row>
    <row r="388" spans="1:13" s="5" customFormat="1" outlineLevel="2">
      <c r="A388" s="39" t="s">
        <v>142</v>
      </c>
      <c r="B388" s="40" t="s">
        <v>212</v>
      </c>
      <c r="C388" s="41" t="s">
        <v>163</v>
      </c>
      <c r="D388" s="40" t="s">
        <v>164</v>
      </c>
      <c r="E388" s="24">
        <v>7300000</v>
      </c>
      <c r="F388" s="39">
        <v>44173</v>
      </c>
      <c r="G388" s="24">
        <v>7107895</v>
      </c>
      <c r="H388" s="23">
        <v>5.0000000000000001E-3</v>
      </c>
      <c r="I388" s="39">
        <v>44287</v>
      </c>
      <c r="J388" s="39">
        <v>44300</v>
      </c>
      <c r="K388" s="24">
        <f t="shared" si="26"/>
        <v>14</v>
      </c>
      <c r="L388" s="24">
        <f t="shared" si="27"/>
        <v>1363</v>
      </c>
      <c r="M388" s="24">
        <v>7043860</v>
      </c>
    </row>
    <row r="389" spans="1:13" s="5" customFormat="1" outlineLevel="2">
      <c r="A389" s="39" t="s">
        <v>142</v>
      </c>
      <c r="B389" s="40" t="s">
        <v>212</v>
      </c>
      <c r="C389" s="41" t="s">
        <v>163</v>
      </c>
      <c r="D389" s="40"/>
      <c r="E389" s="24"/>
      <c r="F389" s="39"/>
      <c r="G389" s="24">
        <v>7043860</v>
      </c>
      <c r="H389" s="23">
        <v>5.0000000000000001E-3</v>
      </c>
      <c r="I389" s="39">
        <v>44301</v>
      </c>
      <c r="J389" s="39">
        <v>44316</v>
      </c>
      <c r="K389" s="24">
        <f t="shared" si="26"/>
        <v>16</v>
      </c>
      <c r="L389" s="24">
        <f t="shared" si="27"/>
        <v>1544</v>
      </c>
      <c r="M389" s="24"/>
    </row>
    <row r="390" spans="1:13" s="5" customFormat="1" outlineLevel="2">
      <c r="A390" s="39" t="s">
        <v>142</v>
      </c>
      <c r="B390" s="40" t="s">
        <v>213</v>
      </c>
      <c r="C390" s="41" t="s">
        <v>149</v>
      </c>
      <c r="D390" s="40" t="s">
        <v>150</v>
      </c>
      <c r="E390" s="24">
        <v>2184000</v>
      </c>
      <c r="F390" s="39">
        <v>44174</v>
      </c>
      <c r="G390" s="24">
        <v>2184000</v>
      </c>
      <c r="H390" s="23">
        <v>5.0000000000000001E-3</v>
      </c>
      <c r="I390" s="39">
        <v>44287</v>
      </c>
      <c r="J390" s="39">
        <v>44316</v>
      </c>
      <c r="K390" s="24">
        <f t="shared" si="26"/>
        <v>30</v>
      </c>
      <c r="L390" s="24">
        <f t="shared" si="27"/>
        <v>898</v>
      </c>
      <c r="M390" s="24">
        <v>2184000</v>
      </c>
    </row>
    <row r="391" spans="1:13" s="5" customFormat="1" outlineLevel="2">
      <c r="A391" s="39" t="s">
        <v>142</v>
      </c>
      <c r="B391" s="40" t="s">
        <v>214</v>
      </c>
      <c r="C391" s="41" t="s">
        <v>149</v>
      </c>
      <c r="D391" s="40" t="s">
        <v>150</v>
      </c>
      <c r="E391" s="24">
        <v>20764000</v>
      </c>
      <c r="F391" s="39">
        <v>44176</v>
      </c>
      <c r="G391" s="24">
        <v>20764000</v>
      </c>
      <c r="H391" s="23">
        <v>5.0000000000000001E-3</v>
      </c>
      <c r="I391" s="39">
        <v>44287</v>
      </c>
      <c r="J391" s="39">
        <v>44316</v>
      </c>
      <c r="K391" s="24">
        <f t="shared" si="26"/>
        <v>30</v>
      </c>
      <c r="L391" s="24">
        <f t="shared" si="27"/>
        <v>8533</v>
      </c>
      <c r="M391" s="24">
        <v>20764000</v>
      </c>
    </row>
    <row r="392" spans="1:13" s="5" customFormat="1" outlineLevel="2">
      <c r="A392" s="39" t="s">
        <v>142</v>
      </c>
      <c r="B392" s="40" t="s">
        <v>215</v>
      </c>
      <c r="C392" s="41" t="s">
        <v>149</v>
      </c>
      <c r="D392" s="40" t="s">
        <v>150</v>
      </c>
      <c r="E392" s="24">
        <v>2423030</v>
      </c>
      <c r="F392" s="39">
        <v>44190</v>
      </c>
      <c r="G392" s="24">
        <v>2423030</v>
      </c>
      <c r="H392" s="23">
        <v>5.0000000000000001E-3</v>
      </c>
      <c r="I392" s="39">
        <v>44287</v>
      </c>
      <c r="J392" s="39">
        <v>44316</v>
      </c>
      <c r="K392" s="24">
        <f t="shared" si="26"/>
        <v>30</v>
      </c>
      <c r="L392" s="24">
        <f t="shared" si="27"/>
        <v>996</v>
      </c>
      <c r="M392" s="24">
        <v>2423030</v>
      </c>
    </row>
    <row r="393" spans="1:13" s="5" customFormat="1" outlineLevel="2">
      <c r="A393" s="39" t="s">
        <v>142</v>
      </c>
      <c r="B393" s="40" t="s">
        <v>68</v>
      </c>
      <c r="C393" s="41" t="s">
        <v>117</v>
      </c>
      <c r="D393" s="40" t="s">
        <v>118</v>
      </c>
      <c r="E393" s="24">
        <v>50000000</v>
      </c>
      <c r="F393" s="39">
        <v>43908</v>
      </c>
      <c r="G393" s="24">
        <v>50000000</v>
      </c>
      <c r="H393" s="23">
        <v>5.0000000000000001E-3</v>
      </c>
      <c r="I393" s="39">
        <v>44287</v>
      </c>
      <c r="J393" s="39">
        <v>44316</v>
      </c>
      <c r="K393" s="24">
        <f t="shared" si="26"/>
        <v>30</v>
      </c>
      <c r="L393" s="24">
        <f t="shared" si="27"/>
        <v>20548</v>
      </c>
      <c r="M393" s="24">
        <v>50000000</v>
      </c>
    </row>
    <row r="394" spans="1:13" s="5" customFormat="1" outlineLevel="2">
      <c r="A394" s="39" t="s">
        <v>142</v>
      </c>
      <c r="B394" s="40" t="s">
        <v>216</v>
      </c>
      <c r="C394" s="41" t="s">
        <v>149</v>
      </c>
      <c r="D394" s="40" t="s">
        <v>150</v>
      </c>
      <c r="E394" s="24">
        <v>5653738</v>
      </c>
      <c r="F394" s="39">
        <v>44196</v>
      </c>
      <c r="G394" s="24">
        <v>5653738</v>
      </c>
      <c r="H394" s="23">
        <v>5.0000000000000001E-3</v>
      </c>
      <c r="I394" s="39">
        <v>44287</v>
      </c>
      <c r="J394" s="39">
        <v>44316</v>
      </c>
      <c r="K394" s="24">
        <f t="shared" si="26"/>
        <v>30</v>
      </c>
      <c r="L394" s="24">
        <f t="shared" si="27"/>
        <v>2323</v>
      </c>
      <c r="M394" s="24">
        <v>5653738</v>
      </c>
    </row>
    <row r="395" spans="1:13" s="5" customFormat="1" outlineLevel="2">
      <c r="A395" s="39" t="s">
        <v>142</v>
      </c>
      <c r="B395" s="40" t="s">
        <v>217</v>
      </c>
      <c r="C395" s="41" t="s">
        <v>155</v>
      </c>
      <c r="D395" s="40" t="s">
        <v>156</v>
      </c>
      <c r="E395" s="24">
        <v>200000000</v>
      </c>
      <c r="F395" s="39">
        <v>44190</v>
      </c>
      <c r="G395" s="24">
        <v>200000000</v>
      </c>
      <c r="H395" s="23">
        <v>5.0000000000000001E-3</v>
      </c>
      <c r="I395" s="39">
        <v>44287</v>
      </c>
      <c r="J395" s="39">
        <v>44316</v>
      </c>
      <c r="K395" s="24">
        <f t="shared" si="26"/>
        <v>30</v>
      </c>
      <c r="L395" s="24">
        <f t="shared" si="27"/>
        <v>82192</v>
      </c>
      <c r="M395" s="24">
        <v>200000000</v>
      </c>
    </row>
    <row r="396" spans="1:13" s="5" customFormat="1" outlineLevel="2">
      <c r="A396" s="39" t="s">
        <v>142</v>
      </c>
      <c r="B396" s="40" t="s">
        <v>218</v>
      </c>
      <c r="C396" s="41" t="s">
        <v>219</v>
      </c>
      <c r="D396" s="40" t="s">
        <v>220</v>
      </c>
      <c r="E396" s="24">
        <v>14160000</v>
      </c>
      <c r="F396" s="39">
        <v>44190</v>
      </c>
      <c r="G396" s="24">
        <v>14160000</v>
      </c>
      <c r="H396" s="23">
        <v>5.0000000000000001E-3</v>
      </c>
      <c r="I396" s="39">
        <v>44287</v>
      </c>
      <c r="J396" s="39">
        <v>44316</v>
      </c>
      <c r="K396" s="24">
        <f t="shared" si="26"/>
        <v>30</v>
      </c>
      <c r="L396" s="24">
        <f t="shared" si="27"/>
        <v>5819</v>
      </c>
      <c r="M396" s="24">
        <v>14160000</v>
      </c>
    </row>
    <row r="397" spans="1:13" s="5" customFormat="1" outlineLevel="2">
      <c r="A397" s="39" t="s">
        <v>142</v>
      </c>
      <c r="B397" s="40" t="s">
        <v>221</v>
      </c>
      <c r="C397" s="41" t="s">
        <v>87</v>
      </c>
      <c r="D397" s="40" t="s">
        <v>88</v>
      </c>
      <c r="E397" s="24">
        <v>13481921</v>
      </c>
      <c r="F397" s="39">
        <v>44190</v>
      </c>
      <c r="G397" s="24">
        <v>13481921</v>
      </c>
      <c r="H397" s="23">
        <v>5.0000000000000001E-3</v>
      </c>
      <c r="I397" s="39">
        <v>44287</v>
      </c>
      <c r="J397" s="39">
        <v>44316</v>
      </c>
      <c r="K397" s="24">
        <f t="shared" si="26"/>
        <v>30</v>
      </c>
      <c r="L397" s="24">
        <f t="shared" si="27"/>
        <v>5541</v>
      </c>
      <c r="M397" s="24">
        <v>13481921</v>
      </c>
    </row>
    <row r="398" spans="1:13" s="5" customFormat="1" outlineLevel="2">
      <c r="A398" s="39" t="s">
        <v>142</v>
      </c>
      <c r="B398" s="40" t="s">
        <v>222</v>
      </c>
      <c r="C398" s="41" t="s">
        <v>143</v>
      </c>
      <c r="D398" s="40" t="s">
        <v>144</v>
      </c>
      <c r="E398" s="24">
        <v>1800000</v>
      </c>
      <c r="F398" s="39">
        <v>44190</v>
      </c>
      <c r="G398" s="24">
        <v>1800000</v>
      </c>
      <c r="H398" s="23">
        <v>5.0000000000000001E-3</v>
      </c>
      <c r="I398" s="39">
        <v>44287</v>
      </c>
      <c r="J398" s="39">
        <v>44316</v>
      </c>
      <c r="K398" s="24">
        <f t="shared" si="26"/>
        <v>30</v>
      </c>
      <c r="L398" s="24">
        <f t="shared" si="27"/>
        <v>740</v>
      </c>
      <c r="M398" s="24">
        <v>1800000</v>
      </c>
    </row>
    <row r="399" spans="1:13" s="5" customFormat="1" outlineLevel="2">
      <c r="A399" s="39" t="s">
        <v>142</v>
      </c>
      <c r="B399" s="40" t="s">
        <v>223</v>
      </c>
      <c r="C399" s="41" t="s">
        <v>143</v>
      </c>
      <c r="D399" s="40" t="s">
        <v>144</v>
      </c>
      <c r="E399" s="24">
        <v>8300000</v>
      </c>
      <c r="F399" s="39">
        <v>44196</v>
      </c>
      <c r="G399" s="24">
        <v>8300000</v>
      </c>
      <c r="H399" s="23">
        <v>5.0000000000000001E-3</v>
      </c>
      <c r="I399" s="39">
        <v>44287</v>
      </c>
      <c r="J399" s="39">
        <v>44316</v>
      </c>
      <c r="K399" s="24">
        <f t="shared" si="26"/>
        <v>30</v>
      </c>
      <c r="L399" s="24">
        <f t="shared" si="27"/>
        <v>3411</v>
      </c>
      <c r="M399" s="24">
        <v>8300000</v>
      </c>
    </row>
    <row r="400" spans="1:13" s="5" customFormat="1" outlineLevel="2">
      <c r="A400" s="39" t="s">
        <v>142</v>
      </c>
      <c r="B400" s="40" t="s">
        <v>224</v>
      </c>
      <c r="C400" s="41" t="s">
        <v>165</v>
      </c>
      <c r="D400" s="40" t="s">
        <v>166</v>
      </c>
      <c r="E400" s="24">
        <v>39740000</v>
      </c>
      <c r="F400" s="39">
        <v>44195</v>
      </c>
      <c r="G400" s="24">
        <v>39740000</v>
      </c>
      <c r="H400" s="23">
        <v>5.0000000000000001E-3</v>
      </c>
      <c r="I400" s="39">
        <v>44287</v>
      </c>
      <c r="J400" s="39">
        <v>44316</v>
      </c>
      <c r="K400" s="24">
        <f t="shared" si="26"/>
        <v>30</v>
      </c>
      <c r="L400" s="24">
        <f t="shared" si="27"/>
        <v>16332</v>
      </c>
      <c r="M400" s="24">
        <v>39740000</v>
      </c>
    </row>
    <row r="401" spans="1:13" s="5" customFormat="1" outlineLevel="2">
      <c r="A401" s="39" t="s">
        <v>142</v>
      </c>
      <c r="B401" s="40" t="s">
        <v>225</v>
      </c>
      <c r="C401" s="41" t="s">
        <v>85</v>
      </c>
      <c r="D401" s="40" t="s">
        <v>86</v>
      </c>
      <c r="E401" s="24">
        <v>4842500</v>
      </c>
      <c r="F401" s="39">
        <v>44202</v>
      </c>
      <c r="G401" s="24">
        <v>4842500</v>
      </c>
      <c r="H401" s="23">
        <v>5.0000000000000001E-3</v>
      </c>
      <c r="I401" s="39">
        <v>44287</v>
      </c>
      <c r="J401" s="39">
        <v>44316</v>
      </c>
      <c r="K401" s="24">
        <f t="shared" si="26"/>
        <v>30</v>
      </c>
      <c r="L401" s="24">
        <f t="shared" si="27"/>
        <v>1990</v>
      </c>
      <c r="M401" s="24">
        <v>4842500</v>
      </c>
    </row>
    <row r="402" spans="1:13" s="5" customFormat="1" outlineLevel="2">
      <c r="A402" s="39" t="s">
        <v>142</v>
      </c>
      <c r="B402" s="40" t="s">
        <v>226</v>
      </c>
      <c r="C402" s="41" t="s">
        <v>85</v>
      </c>
      <c r="D402" s="40" t="s">
        <v>86</v>
      </c>
      <c r="E402" s="24">
        <v>14527500</v>
      </c>
      <c r="F402" s="39">
        <v>44202</v>
      </c>
      <c r="G402" s="24">
        <v>14527500</v>
      </c>
      <c r="H402" s="23">
        <v>5.0000000000000001E-3</v>
      </c>
      <c r="I402" s="39">
        <v>44287</v>
      </c>
      <c r="J402" s="39">
        <v>44316</v>
      </c>
      <c r="K402" s="24">
        <f t="shared" si="26"/>
        <v>30</v>
      </c>
      <c r="L402" s="24">
        <f t="shared" si="27"/>
        <v>5970</v>
      </c>
      <c r="M402" s="24">
        <v>14527500</v>
      </c>
    </row>
    <row r="403" spans="1:13" s="5" customFormat="1" outlineLevel="2">
      <c r="A403" s="39" t="s">
        <v>142</v>
      </c>
      <c r="B403" s="40" t="s">
        <v>227</v>
      </c>
      <c r="C403" s="41" t="s">
        <v>143</v>
      </c>
      <c r="D403" s="40" t="s">
        <v>144</v>
      </c>
      <c r="E403" s="24">
        <v>4600000</v>
      </c>
      <c r="F403" s="39">
        <v>44204</v>
      </c>
      <c r="G403" s="24">
        <v>4600000</v>
      </c>
      <c r="H403" s="23">
        <v>5.0000000000000001E-3</v>
      </c>
      <c r="I403" s="39">
        <v>44287</v>
      </c>
      <c r="J403" s="39">
        <v>44316</v>
      </c>
      <c r="K403" s="24">
        <f t="shared" si="26"/>
        <v>30</v>
      </c>
      <c r="L403" s="24">
        <f t="shared" si="27"/>
        <v>1890</v>
      </c>
      <c r="M403" s="24">
        <v>4600000</v>
      </c>
    </row>
    <row r="404" spans="1:13" s="5" customFormat="1" outlineLevel="1">
      <c r="A404" s="42" t="s">
        <v>228</v>
      </c>
      <c r="B404" s="43"/>
      <c r="C404" s="44"/>
      <c r="D404" s="43"/>
      <c r="E404" s="45">
        <f>SUBTOTAL(9,E253:E403)</f>
        <v>4726614789</v>
      </c>
      <c r="F404" s="46"/>
      <c r="G404" s="45"/>
      <c r="H404" s="47"/>
      <c r="I404" s="46"/>
      <c r="J404" s="46"/>
      <c r="K404" s="45"/>
      <c r="L404" s="45">
        <f>SUBTOTAL(9,L253:L403)</f>
        <v>1857389</v>
      </c>
      <c r="M404" s="45">
        <f>SUBTOTAL(9,M253:M403)</f>
        <v>4719901776</v>
      </c>
    </row>
    <row r="405" spans="1:13" s="5" customFormat="1" outlineLevel="2">
      <c r="A405" s="39" t="s">
        <v>229</v>
      </c>
      <c r="B405" s="40" t="s">
        <v>16</v>
      </c>
      <c r="C405" s="41" t="s">
        <v>117</v>
      </c>
      <c r="D405" s="40" t="s">
        <v>118</v>
      </c>
      <c r="E405" s="24">
        <v>1210000</v>
      </c>
      <c r="F405" s="39">
        <v>44061</v>
      </c>
      <c r="G405" s="24">
        <v>1210000</v>
      </c>
      <c r="H405" s="23">
        <v>5.0000000000000001E-3</v>
      </c>
      <c r="I405" s="39">
        <v>44287</v>
      </c>
      <c r="J405" s="39">
        <v>44316</v>
      </c>
      <c r="K405" s="24">
        <f>J405-I405+1</f>
        <v>30</v>
      </c>
      <c r="L405" s="24">
        <f>ROUND(G405*H405*K405/365,0)</f>
        <v>497</v>
      </c>
      <c r="M405" s="24">
        <v>1210000</v>
      </c>
    </row>
    <row r="406" spans="1:13" s="5" customFormat="1" outlineLevel="1">
      <c r="A406" s="42" t="s">
        <v>230</v>
      </c>
      <c r="B406" s="43"/>
      <c r="C406" s="44"/>
      <c r="D406" s="43"/>
      <c r="E406" s="45">
        <f>SUBTOTAL(9,E405:E405)</f>
        <v>1210000</v>
      </c>
      <c r="F406" s="46"/>
      <c r="G406" s="45"/>
      <c r="H406" s="47"/>
      <c r="I406" s="46"/>
      <c r="J406" s="46"/>
      <c r="K406" s="45"/>
      <c r="L406" s="45">
        <f>SUBTOTAL(9,L405:L405)</f>
        <v>497</v>
      </c>
      <c r="M406" s="45">
        <f>SUBTOTAL(9,M405:M405)</f>
        <v>1210000</v>
      </c>
    </row>
    <row r="407" spans="1:13" s="5" customFormat="1" outlineLevel="2">
      <c r="A407" s="39" t="s">
        <v>231</v>
      </c>
      <c r="B407" s="40" t="s">
        <v>16</v>
      </c>
      <c r="C407" s="41" t="s">
        <v>17</v>
      </c>
      <c r="D407" s="40" t="s">
        <v>18</v>
      </c>
      <c r="E407" s="24">
        <v>150000000</v>
      </c>
      <c r="F407" s="39">
        <v>43829</v>
      </c>
      <c r="G407" s="24">
        <v>112500000</v>
      </c>
      <c r="H407" s="23">
        <v>5.0000000000000001E-3</v>
      </c>
      <c r="I407" s="39">
        <v>44287</v>
      </c>
      <c r="J407" s="39">
        <v>44300</v>
      </c>
      <c r="K407" s="24">
        <f t="shared" ref="K407:K435" si="28">J407-I407+1</f>
        <v>14</v>
      </c>
      <c r="L407" s="24">
        <f t="shared" ref="L407:L435" si="29">ROUND(G407*H407*K407/365,0)</f>
        <v>21575</v>
      </c>
      <c r="M407" s="24">
        <v>110000000</v>
      </c>
    </row>
    <row r="408" spans="1:13" s="5" customFormat="1" outlineLevel="2">
      <c r="A408" s="39" t="s">
        <v>231</v>
      </c>
      <c r="B408" s="40" t="s">
        <v>16</v>
      </c>
      <c r="C408" s="41" t="s">
        <v>17</v>
      </c>
      <c r="D408" s="40"/>
      <c r="E408" s="24"/>
      <c r="F408" s="39"/>
      <c r="G408" s="24">
        <v>110000000</v>
      </c>
      <c r="H408" s="23">
        <v>5.0000000000000001E-3</v>
      </c>
      <c r="I408" s="39">
        <v>44301</v>
      </c>
      <c r="J408" s="39">
        <v>44316</v>
      </c>
      <c r="K408" s="24">
        <f t="shared" si="28"/>
        <v>16</v>
      </c>
      <c r="L408" s="24">
        <f t="shared" si="29"/>
        <v>24110</v>
      </c>
      <c r="M408" s="24"/>
    </row>
    <row r="409" spans="1:13" s="5" customFormat="1" outlineLevel="2">
      <c r="A409" s="39" t="s">
        <v>231</v>
      </c>
      <c r="B409" s="40" t="s">
        <v>19</v>
      </c>
      <c r="C409" s="41" t="s">
        <v>17</v>
      </c>
      <c r="D409" s="40" t="s">
        <v>18</v>
      </c>
      <c r="E409" s="24">
        <v>9460000</v>
      </c>
      <c r="F409" s="39">
        <v>43990</v>
      </c>
      <c r="G409" s="24">
        <v>7740000</v>
      </c>
      <c r="H409" s="23">
        <v>5.0000000000000001E-3</v>
      </c>
      <c r="I409" s="39">
        <v>44287</v>
      </c>
      <c r="J409" s="39">
        <v>44300</v>
      </c>
      <c r="K409" s="24">
        <f t="shared" si="28"/>
        <v>14</v>
      </c>
      <c r="L409" s="24">
        <f t="shared" si="29"/>
        <v>1484</v>
      </c>
      <c r="M409" s="24">
        <v>7568000</v>
      </c>
    </row>
    <row r="410" spans="1:13" s="5" customFormat="1" outlineLevel="2">
      <c r="A410" s="39" t="s">
        <v>231</v>
      </c>
      <c r="B410" s="40" t="s">
        <v>19</v>
      </c>
      <c r="C410" s="41" t="s">
        <v>17</v>
      </c>
      <c r="D410" s="40"/>
      <c r="E410" s="24"/>
      <c r="F410" s="39"/>
      <c r="G410" s="24">
        <v>7568000</v>
      </c>
      <c r="H410" s="23">
        <v>5.0000000000000001E-3</v>
      </c>
      <c r="I410" s="39">
        <v>44301</v>
      </c>
      <c r="J410" s="39">
        <v>44316</v>
      </c>
      <c r="K410" s="24">
        <f t="shared" si="28"/>
        <v>16</v>
      </c>
      <c r="L410" s="24">
        <f t="shared" si="29"/>
        <v>1659</v>
      </c>
      <c r="M410" s="24"/>
    </row>
    <row r="411" spans="1:13" s="5" customFormat="1" outlineLevel="2">
      <c r="A411" s="39" t="s">
        <v>231</v>
      </c>
      <c r="B411" s="40" t="s">
        <v>22</v>
      </c>
      <c r="C411" s="41" t="s">
        <v>45</v>
      </c>
      <c r="D411" s="40" t="s">
        <v>46</v>
      </c>
      <c r="E411" s="24">
        <v>5000000</v>
      </c>
      <c r="F411" s="39">
        <v>44046</v>
      </c>
      <c r="G411" s="24">
        <v>5000000</v>
      </c>
      <c r="H411" s="23">
        <v>5.0000000000000001E-3</v>
      </c>
      <c r="I411" s="39">
        <v>44287</v>
      </c>
      <c r="J411" s="39">
        <v>44316</v>
      </c>
      <c r="K411" s="24">
        <f t="shared" si="28"/>
        <v>30</v>
      </c>
      <c r="L411" s="24">
        <f t="shared" si="29"/>
        <v>2055</v>
      </c>
      <c r="M411" s="24">
        <v>5000000</v>
      </c>
    </row>
    <row r="412" spans="1:13" s="5" customFormat="1" outlineLevel="2">
      <c r="A412" s="39" t="s">
        <v>231</v>
      </c>
      <c r="B412" s="40" t="s">
        <v>25</v>
      </c>
      <c r="C412" s="41" t="s">
        <v>143</v>
      </c>
      <c r="D412" s="40" t="s">
        <v>144</v>
      </c>
      <c r="E412" s="24">
        <v>20000000</v>
      </c>
      <c r="F412" s="39">
        <v>44155</v>
      </c>
      <c r="G412" s="24">
        <v>20000000</v>
      </c>
      <c r="H412" s="23">
        <v>5.0000000000000001E-3</v>
      </c>
      <c r="I412" s="39">
        <v>44287</v>
      </c>
      <c r="J412" s="39">
        <v>44316</v>
      </c>
      <c r="K412" s="24">
        <f t="shared" si="28"/>
        <v>30</v>
      </c>
      <c r="L412" s="24">
        <f t="shared" si="29"/>
        <v>8219</v>
      </c>
      <c r="M412" s="24">
        <v>20000000</v>
      </c>
    </row>
    <row r="413" spans="1:13" s="5" customFormat="1" outlineLevel="2">
      <c r="A413" s="39" t="s">
        <v>231</v>
      </c>
      <c r="B413" s="40" t="s">
        <v>26</v>
      </c>
      <c r="C413" s="41" t="s">
        <v>232</v>
      </c>
      <c r="D413" s="40" t="s">
        <v>233</v>
      </c>
      <c r="E413" s="24">
        <v>125000000</v>
      </c>
      <c r="F413" s="39">
        <v>44193</v>
      </c>
      <c r="G413" s="24">
        <v>125000000</v>
      </c>
      <c r="H413" s="23">
        <v>5.0000000000000001E-3</v>
      </c>
      <c r="I413" s="39">
        <v>44287</v>
      </c>
      <c r="J413" s="39">
        <v>44316</v>
      </c>
      <c r="K413" s="24">
        <f t="shared" si="28"/>
        <v>30</v>
      </c>
      <c r="L413" s="24">
        <f t="shared" si="29"/>
        <v>51370</v>
      </c>
      <c r="M413" s="24">
        <v>125000000</v>
      </c>
    </row>
    <row r="414" spans="1:13" s="5" customFormat="1" outlineLevel="2">
      <c r="A414" s="39" t="s">
        <v>231</v>
      </c>
      <c r="B414" s="40" t="s">
        <v>29</v>
      </c>
      <c r="C414" s="41" t="s">
        <v>143</v>
      </c>
      <c r="D414" s="40" t="s">
        <v>144</v>
      </c>
      <c r="E414" s="24">
        <v>20000000</v>
      </c>
      <c r="F414" s="39">
        <v>44194</v>
      </c>
      <c r="G414" s="24">
        <v>20000000</v>
      </c>
      <c r="H414" s="23">
        <v>5.0000000000000001E-3</v>
      </c>
      <c r="I414" s="39">
        <v>44287</v>
      </c>
      <c r="J414" s="39">
        <v>44316</v>
      </c>
      <c r="K414" s="24">
        <f t="shared" si="28"/>
        <v>30</v>
      </c>
      <c r="L414" s="24">
        <f t="shared" si="29"/>
        <v>8219</v>
      </c>
      <c r="M414" s="24">
        <v>20000000</v>
      </c>
    </row>
    <row r="415" spans="1:13" s="5" customFormat="1" outlineLevel="2">
      <c r="A415" s="39" t="s">
        <v>231</v>
      </c>
      <c r="B415" s="40" t="s">
        <v>32</v>
      </c>
      <c r="C415" s="41" t="s">
        <v>30</v>
      </c>
      <c r="D415" s="40" t="s">
        <v>31</v>
      </c>
      <c r="E415" s="24">
        <v>120000000</v>
      </c>
      <c r="F415" s="39">
        <v>44214</v>
      </c>
      <c r="G415" s="24">
        <v>120000000</v>
      </c>
      <c r="H415" s="23">
        <v>5.0000000000000001E-3</v>
      </c>
      <c r="I415" s="39">
        <v>44287</v>
      </c>
      <c r="J415" s="39">
        <v>44316</v>
      </c>
      <c r="K415" s="24">
        <f t="shared" si="28"/>
        <v>30</v>
      </c>
      <c r="L415" s="24">
        <f t="shared" si="29"/>
        <v>49315</v>
      </c>
      <c r="M415" s="24">
        <v>120000000</v>
      </c>
    </row>
    <row r="416" spans="1:13" s="5" customFormat="1" outlineLevel="2">
      <c r="A416" s="39" t="s">
        <v>231</v>
      </c>
      <c r="B416" s="40" t="s">
        <v>33</v>
      </c>
      <c r="C416" s="41" t="s">
        <v>143</v>
      </c>
      <c r="D416" s="40" t="s">
        <v>144</v>
      </c>
      <c r="E416" s="24">
        <v>20000000</v>
      </c>
      <c r="F416" s="39">
        <v>44225</v>
      </c>
      <c r="G416" s="24">
        <v>20000000</v>
      </c>
      <c r="H416" s="23">
        <v>5.0000000000000001E-3</v>
      </c>
      <c r="I416" s="39">
        <v>44287</v>
      </c>
      <c r="J416" s="39">
        <v>44316</v>
      </c>
      <c r="K416" s="24">
        <f t="shared" si="28"/>
        <v>30</v>
      </c>
      <c r="L416" s="24">
        <f t="shared" si="29"/>
        <v>8219</v>
      </c>
      <c r="M416" s="24">
        <v>20000000</v>
      </c>
    </row>
    <row r="417" spans="1:13" s="5" customFormat="1" outlineLevel="2">
      <c r="A417" s="39" t="s">
        <v>231</v>
      </c>
      <c r="B417" s="40" t="s">
        <v>34</v>
      </c>
      <c r="C417" s="41" t="s">
        <v>280</v>
      </c>
      <c r="D417" s="40" t="s">
        <v>281</v>
      </c>
      <c r="E417" s="24">
        <v>250000000</v>
      </c>
      <c r="F417" s="39">
        <v>44228</v>
      </c>
      <c r="G417" s="24">
        <v>250000000</v>
      </c>
      <c r="H417" s="23">
        <v>3.0000000000000001E-3</v>
      </c>
      <c r="I417" s="39">
        <v>44287</v>
      </c>
      <c r="J417" s="39">
        <v>44316</v>
      </c>
      <c r="K417" s="24">
        <f t="shared" si="28"/>
        <v>30</v>
      </c>
      <c r="L417" s="24">
        <f t="shared" si="29"/>
        <v>61644</v>
      </c>
      <c r="M417" s="24">
        <v>250000000</v>
      </c>
    </row>
    <row r="418" spans="1:13" s="5" customFormat="1" outlineLevel="2">
      <c r="A418" s="39" t="s">
        <v>231</v>
      </c>
      <c r="B418" s="40" t="s">
        <v>35</v>
      </c>
      <c r="C418" s="41" t="s">
        <v>143</v>
      </c>
      <c r="D418" s="40" t="s">
        <v>144</v>
      </c>
      <c r="E418" s="24">
        <v>20000000</v>
      </c>
      <c r="F418" s="39">
        <v>44253</v>
      </c>
      <c r="G418" s="24">
        <v>20000000</v>
      </c>
      <c r="H418" s="23">
        <v>5.0000000000000001E-3</v>
      </c>
      <c r="I418" s="39">
        <v>44287</v>
      </c>
      <c r="J418" s="39">
        <v>44316</v>
      </c>
      <c r="K418" s="24">
        <f t="shared" si="28"/>
        <v>30</v>
      </c>
      <c r="L418" s="24">
        <f t="shared" si="29"/>
        <v>8219</v>
      </c>
      <c r="M418" s="24">
        <v>20000000</v>
      </c>
    </row>
    <row r="419" spans="1:13" s="5" customFormat="1" outlineLevel="2">
      <c r="A419" s="39" t="s">
        <v>231</v>
      </c>
      <c r="B419" s="40" t="s">
        <v>36</v>
      </c>
      <c r="C419" s="41" t="s">
        <v>280</v>
      </c>
      <c r="D419" s="40" t="s">
        <v>281</v>
      </c>
      <c r="E419" s="24">
        <v>160000000</v>
      </c>
      <c r="F419" s="39">
        <v>44286</v>
      </c>
      <c r="G419" s="24">
        <v>160000000</v>
      </c>
      <c r="H419" s="23">
        <v>3.0000000000000001E-3</v>
      </c>
      <c r="I419" s="39">
        <v>44287</v>
      </c>
      <c r="J419" s="39">
        <v>44316</v>
      </c>
      <c r="K419" s="24">
        <f t="shared" si="28"/>
        <v>30</v>
      </c>
      <c r="L419" s="24">
        <f t="shared" si="29"/>
        <v>39452</v>
      </c>
      <c r="M419" s="24">
        <v>160000000</v>
      </c>
    </row>
    <row r="420" spans="1:13" s="5" customFormat="1" outlineLevel="2">
      <c r="A420" s="39" t="s">
        <v>231</v>
      </c>
      <c r="B420" s="40" t="s">
        <v>39</v>
      </c>
      <c r="C420" s="41" t="s">
        <v>17</v>
      </c>
      <c r="D420" s="40" t="s">
        <v>18</v>
      </c>
      <c r="E420" s="24">
        <v>32900000</v>
      </c>
      <c r="F420" s="39">
        <v>43829</v>
      </c>
      <c r="G420" s="24">
        <v>24675005</v>
      </c>
      <c r="H420" s="23">
        <v>5.0000000000000001E-3</v>
      </c>
      <c r="I420" s="39">
        <v>44287</v>
      </c>
      <c r="J420" s="39">
        <v>44300</v>
      </c>
      <c r="K420" s="24">
        <f t="shared" si="28"/>
        <v>14</v>
      </c>
      <c r="L420" s="24">
        <f t="shared" si="29"/>
        <v>4732</v>
      </c>
      <c r="M420" s="24">
        <v>24126672</v>
      </c>
    </row>
    <row r="421" spans="1:13" s="5" customFormat="1" outlineLevel="2">
      <c r="A421" s="39" t="s">
        <v>231</v>
      </c>
      <c r="B421" s="40" t="s">
        <v>39</v>
      </c>
      <c r="C421" s="41" t="s">
        <v>17</v>
      </c>
      <c r="D421" s="40"/>
      <c r="E421" s="24"/>
      <c r="F421" s="39"/>
      <c r="G421" s="24">
        <v>24126672</v>
      </c>
      <c r="H421" s="23">
        <v>5.0000000000000001E-3</v>
      </c>
      <c r="I421" s="39">
        <v>44301</v>
      </c>
      <c r="J421" s="39">
        <v>44316</v>
      </c>
      <c r="K421" s="24">
        <f t="shared" si="28"/>
        <v>16</v>
      </c>
      <c r="L421" s="24">
        <f t="shared" si="29"/>
        <v>5288</v>
      </c>
      <c r="M421" s="24"/>
    </row>
    <row r="422" spans="1:13" s="5" customFormat="1" outlineLevel="2">
      <c r="A422" s="39" t="s">
        <v>231</v>
      </c>
      <c r="B422" s="40" t="s">
        <v>40</v>
      </c>
      <c r="C422" s="41" t="s">
        <v>246</v>
      </c>
      <c r="D422" s="40" t="s">
        <v>247</v>
      </c>
      <c r="E422" s="24">
        <v>3400000</v>
      </c>
      <c r="F422" s="39">
        <v>44294</v>
      </c>
      <c r="G422" s="24">
        <v>3400000</v>
      </c>
      <c r="H422" s="23">
        <v>5.0000000000000001E-3</v>
      </c>
      <c r="I422" s="39">
        <v>44294</v>
      </c>
      <c r="J422" s="39">
        <v>44316</v>
      </c>
      <c r="K422" s="24">
        <f t="shared" si="28"/>
        <v>23</v>
      </c>
      <c r="L422" s="24">
        <f t="shared" si="29"/>
        <v>1071</v>
      </c>
      <c r="M422" s="24">
        <v>3400000</v>
      </c>
    </row>
    <row r="423" spans="1:13" s="5" customFormat="1" outlineLevel="2">
      <c r="A423" s="39" t="s">
        <v>231</v>
      </c>
      <c r="B423" s="40" t="s">
        <v>54</v>
      </c>
      <c r="C423" s="41" t="s">
        <v>17</v>
      </c>
      <c r="D423" s="40" t="s">
        <v>18</v>
      </c>
      <c r="E423" s="24">
        <v>2790000</v>
      </c>
      <c r="F423" s="39">
        <v>43921</v>
      </c>
      <c r="G423" s="24">
        <v>2202636</v>
      </c>
      <c r="H423" s="23">
        <v>5.0000000000000001E-3</v>
      </c>
      <c r="I423" s="39">
        <v>44287</v>
      </c>
      <c r="J423" s="39">
        <v>44300</v>
      </c>
      <c r="K423" s="24">
        <f t="shared" si="28"/>
        <v>14</v>
      </c>
      <c r="L423" s="24">
        <f t="shared" si="29"/>
        <v>422</v>
      </c>
      <c r="M423" s="24">
        <v>2153689</v>
      </c>
    </row>
    <row r="424" spans="1:13" s="5" customFormat="1" outlineLevel="2">
      <c r="A424" s="39" t="s">
        <v>231</v>
      </c>
      <c r="B424" s="40" t="s">
        <v>54</v>
      </c>
      <c r="C424" s="41" t="s">
        <v>17</v>
      </c>
      <c r="D424" s="40"/>
      <c r="E424" s="24"/>
      <c r="F424" s="39"/>
      <c r="G424" s="24">
        <v>2153689</v>
      </c>
      <c r="H424" s="23">
        <v>5.0000000000000001E-3</v>
      </c>
      <c r="I424" s="39">
        <v>44301</v>
      </c>
      <c r="J424" s="39">
        <v>44316</v>
      </c>
      <c r="K424" s="24">
        <f t="shared" si="28"/>
        <v>16</v>
      </c>
      <c r="L424" s="24">
        <f t="shared" si="29"/>
        <v>472</v>
      </c>
      <c r="M424" s="24"/>
    </row>
    <row r="425" spans="1:13" s="5" customFormat="1" outlineLevel="2">
      <c r="A425" s="39" t="s">
        <v>231</v>
      </c>
      <c r="B425" s="40" t="s">
        <v>59</v>
      </c>
      <c r="C425" s="41" t="s">
        <v>55</v>
      </c>
      <c r="D425" s="40" t="s">
        <v>56</v>
      </c>
      <c r="E425" s="24">
        <v>12000000</v>
      </c>
      <c r="F425" s="39">
        <v>43948</v>
      </c>
      <c r="G425" s="24">
        <v>9800000</v>
      </c>
      <c r="H425" s="23">
        <v>5.0000000000000001E-3</v>
      </c>
      <c r="I425" s="39">
        <v>44287</v>
      </c>
      <c r="J425" s="39">
        <v>44300</v>
      </c>
      <c r="K425" s="24">
        <f t="shared" si="28"/>
        <v>14</v>
      </c>
      <c r="L425" s="24">
        <f t="shared" si="29"/>
        <v>1879</v>
      </c>
      <c r="M425" s="24">
        <v>9600000</v>
      </c>
    </row>
    <row r="426" spans="1:13" s="5" customFormat="1" outlineLevel="2">
      <c r="A426" s="39" t="s">
        <v>231</v>
      </c>
      <c r="B426" s="40" t="s">
        <v>59</v>
      </c>
      <c r="C426" s="41" t="s">
        <v>55</v>
      </c>
      <c r="D426" s="40"/>
      <c r="E426" s="24"/>
      <c r="F426" s="39"/>
      <c r="G426" s="24">
        <v>9600000</v>
      </c>
      <c r="H426" s="23">
        <v>5.0000000000000001E-3</v>
      </c>
      <c r="I426" s="39">
        <v>44301</v>
      </c>
      <c r="J426" s="39">
        <v>44316</v>
      </c>
      <c r="K426" s="24">
        <f t="shared" si="28"/>
        <v>16</v>
      </c>
      <c r="L426" s="24">
        <f t="shared" si="29"/>
        <v>2104</v>
      </c>
      <c r="M426" s="24"/>
    </row>
    <row r="427" spans="1:13" s="5" customFormat="1" outlineLevel="2">
      <c r="A427" s="39" t="s">
        <v>231</v>
      </c>
      <c r="B427" s="40" t="s">
        <v>62</v>
      </c>
      <c r="C427" s="41" t="s">
        <v>30</v>
      </c>
      <c r="D427" s="40" t="s">
        <v>31</v>
      </c>
      <c r="E427" s="24">
        <v>71750000</v>
      </c>
      <c r="F427" s="39">
        <v>43955</v>
      </c>
      <c r="G427" s="24">
        <v>71750000</v>
      </c>
      <c r="H427" s="23">
        <v>5.0000000000000001E-3</v>
      </c>
      <c r="I427" s="39">
        <v>44287</v>
      </c>
      <c r="J427" s="39">
        <v>44316</v>
      </c>
      <c r="K427" s="24">
        <f t="shared" si="28"/>
        <v>30</v>
      </c>
      <c r="L427" s="24">
        <f t="shared" si="29"/>
        <v>29486</v>
      </c>
      <c r="M427" s="24">
        <v>71750000</v>
      </c>
    </row>
    <row r="428" spans="1:13" s="5" customFormat="1" outlineLevel="2">
      <c r="A428" s="39" t="s">
        <v>231</v>
      </c>
      <c r="B428" s="40" t="s">
        <v>63</v>
      </c>
      <c r="C428" s="41" t="s">
        <v>55</v>
      </c>
      <c r="D428" s="40" t="s">
        <v>56</v>
      </c>
      <c r="E428" s="24">
        <v>10000000</v>
      </c>
      <c r="F428" s="39">
        <v>43963</v>
      </c>
      <c r="G428" s="24">
        <v>8166673</v>
      </c>
      <c r="H428" s="23">
        <v>5.0000000000000001E-3</v>
      </c>
      <c r="I428" s="39">
        <v>44287</v>
      </c>
      <c r="J428" s="39">
        <v>44300</v>
      </c>
      <c r="K428" s="24">
        <f t="shared" si="28"/>
        <v>14</v>
      </c>
      <c r="L428" s="24">
        <f t="shared" si="29"/>
        <v>1566</v>
      </c>
      <c r="M428" s="24">
        <v>8000007</v>
      </c>
    </row>
    <row r="429" spans="1:13" s="5" customFormat="1" outlineLevel="2">
      <c r="A429" s="39" t="s">
        <v>231</v>
      </c>
      <c r="B429" s="40" t="s">
        <v>63</v>
      </c>
      <c r="C429" s="41" t="s">
        <v>55</v>
      </c>
      <c r="D429" s="40"/>
      <c r="E429" s="24"/>
      <c r="F429" s="39"/>
      <c r="G429" s="24">
        <v>8000007</v>
      </c>
      <c r="H429" s="23">
        <v>5.0000000000000001E-3</v>
      </c>
      <c r="I429" s="39">
        <v>44301</v>
      </c>
      <c r="J429" s="39">
        <v>44316</v>
      </c>
      <c r="K429" s="24">
        <f t="shared" si="28"/>
        <v>16</v>
      </c>
      <c r="L429" s="24">
        <f t="shared" si="29"/>
        <v>1753</v>
      </c>
      <c r="M429" s="24"/>
    </row>
    <row r="430" spans="1:13" s="5" customFormat="1" outlineLevel="2">
      <c r="A430" s="39" t="s">
        <v>231</v>
      </c>
      <c r="B430" s="40" t="s">
        <v>64</v>
      </c>
      <c r="C430" s="41" t="s">
        <v>55</v>
      </c>
      <c r="D430" s="40" t="s">
        <v>56</v>
      </c>
      <c r="E430" s="24">
        <v>4000000</v>
      </c>
      <c r="F430" s="39">
        <v>43970</v>
      </c>
      <c r="G430" s="24">
        <v>3322040</v>
      </c>
      <c r="H430" s="23">
        <v>5.0000000000000001E-3</v>
      </c>
      <c r="I430" s="39">
        <v>44287</v>
      </c>
      <c r="J430" s="39">
        <v>44300</v>
      </c>
      <c r="K430" s="24">
        <f t="shared" si="28"/>
        <v>14</v>
      </c>
      <c r="L430" s="24">
        <f t="shared" si="29"/>
        <v>637</v>
      </c>
      <c r="M430" s="24">
        <v>3254244</v>
      </c>
    </row>
    <row r="431" spans="1:13" s="5" customFormat="1" outlineLevel="2">
      <c r="A431" s="39" t="s">
        <v>231</v>
      </c>
      <c r="B431" s="40" t="s">
        <v>64</v>
      </c>
      <c r="C431" s="41" t="s">
        <v>55</v>
      </c>
      <c r="D431" s="40"/>
      <c r="E431" s="24"/>
      <c r="F431" s="39"/>
      <c r="G431" s="24">
        <v>3254244</v>
      </c>
      <c r="H431" s="23">
        <v>5.0000000000000001E-3</v>
      </c>
      <c r="I431" s="39">
        <v>44301</v>
      </c>
      <c r="J431" s="39">
        <v>44316</v>
      </c>
      <c r="K431" s="24">
        <f t="shared" si="28"/>
        <v>16</v>
      </c>
      <c r="L431" s="24">
        <f t="shared" si="29"/>
        <v>713</v>
      </c>
      <c r="M431" s="24"/>
    </row>
    <row r="432" spans="1:13" s="5" customFormat="1" outlineLevel="2">
      <c r="A432" s="39" t="s">
        <v>231</v>
      </c>
      <c r="B432" s="40" t="s">
        <v>65</v>
      </c>
      <c r="C432" s="41" t="s">
        <v>55</v>
      </c>
      <c r="D432" s="40" t="s">
        <v>56</v>
      </c>
      <c r="E432" s="24">
        <v>18000000</v>
      </c>
      <c r="F432" s="39">
        <v>43977</v>
      </c>
      <c r="G432" s="24">
        <v>14949160</v>
      </c>
      <c r="H432" s="23">
        <v>5.0000000000000001E-3</v>
      </c>
      <c r="I432" s="39">
        <v>44287</v>
      </c>
      <c r="J432" s="39">
        <v>44300</v>
      </c>
      <c r="K432" s="24">
        <f t="shared" si="28"/>
        <v>14</v>
      </c>
      <c r="L432" s="24">
        <f t="shared" si="29"/>
        <v>2867</v>
      </c>
      <c r="M432" s="24">
        <v>14644076</v>
      </c>
    </row>
    <row r="433" spans="1:13" s="5" customFormat="1" outlineLevel="2">
      <c r="A433" s="39" t="s">
        <v>231</v>
      </c>
      <c r="B433" s="40" t="s">
        <v>65</v>
      </c>
      <c r="C433" s="41" t="s">
        <v>55</v>
      </c>
      <c r="D433" s="40"/>
      <c r="E433" s="24"/>
      <c r="F433" s="39"/>
      <c r="G433" s="24">
        <v>14644076</v>
      </c>
      <c r="H433" s="23">
        <v>5.0000000000000001E-3</v>
      </c>
      <c r="I433" s="39">
        <v>44301</v>
      </c>
      <c r="J433" s="39">
        <v>44316</v>
      </c>
      <c r="K433" s="24">
        <f t="shared" si="28"/>
        <v>16</v>
      </c>
      <c r="L433" s="24">
        <f t="shared" si="29"/>
        <v>3210</v>
      </c>
      <c r="M433" s="24"/>
    </row>
    <row r="434" spans="1:13" s="5" customFormat="1" outlineLevel="2">
      <c r="A434" s="39" t="s">
        <v>231</v>
      </c>
      <c r="B434" s="40" t="s">
        <v>68</v>
      </c>
      <c r="C434" s="41" t="s">
        <v>55</v>
      </c>
      <c r="D434" s="40" t="s">
        <v>56</v>
      </c>
      <c r="E434" s="24">
        <v>6000000</v>
      </c>
      <c r="F434" s="39">
        <v>43984</v>
      </c>
      <c r="G434" s="24">
        <v>4983060</v>
      </c>
      <c r="H434" s="23">
        <v>5.0000000000000001E-3</v>
      </c>
      <c r="I434" s="39">
        <v>44287</v>
      </c>
      <c r="J434" s="39">
        <v>44300</v>
      </c>
      <c r="K434" s="24">
        <f t="shared" si="28"/>
        <v>14</v>
      </c>
      <c r="L434" s="24">
        <f t="shared" si="29"/>
        <v>956</v>
      </c>
      <c r="M434" s="24">
        <v>4881366</v>
      </c>
    </row>
    <row r="435" spans="1:13" s="5" customFormat="1" outlineLevel="2">
      <c r="A435" s="39" t="s">
        <v>231</v>
      </c>
      <c r="B435" s="40" t="s">
        <v>68</v>
      </c>
      <c r="C435" s="41" t="s">
        <v>55</v>
      </c>
      <c r="D435" s="40"/>
      <c r="E435" s="24"/>
      <c r="F435" s="39"/>
      <c r="G435" s="24">
        <v>4881366</v>
      </c>
      <c r="H435" s="23">
        <v>5.0000000000000001E-3</v>
      </c>
      <c r="I435" s="39">
        <v>44301</v>
      </c>
      <c r="J435" s="39">
        <v>44316</v>
      </c>
      <c r="K435" s="24">
        <f t="shared" si="28"/>
        <v>16</v>
      </c>
      <c r="L435" s="24">
        <f t="shared" si="29"/>
        <v>1070</v>
      </c>
      <c r="M435" s="24"/>
    </row>
    <row r="436" spans="1:13" s="5" customFormat="1" outlineLevel="1">
      <c r="A436" s="42" t="s">
        <v>234</v>
      </c>
      <c r="B436" s="43"/>
      <c r="C436" s="44"/>
      <c r="D436" s="43"/>
      <c r="E436" s="45">
        <f>SUBTOTAL(9,E407:E435)</f>
        <v>1060300000</v>
      </c>
      <c r="F436" s="46"/>
      <c r="G436" s="45"/>
      <c r="H436" s="47"/>
      <c r="I436" s="46"/>
      <c r="J436" s="46"/>
      <c r="K436" s="45"/>
      <c r="L436" s="45">
        <f>SUBTOTAL(9,L407:L435)</f>
        <v>343766</v>
      </c>
      <c r="M436" s="45">
        <f>SUBTOTAL(9,M407:M435)</f>
        <v>999378054</v>
      </c>
    </row>
    <row r="437" spans="1:13" s="5" customFormat="1" outlineLevel="2">
      <c r="A437" s="39" t="s">
        <v>235</v>
      </c>
      <c r="B437" s="40" t="s">
        <v>16</v>
      </c>
      <c r="C437" s="41" t="s">
        <v>17</v>
      </c>
      <c r="D437" s="40" t="s">
        <v>18</v>
      </c>
      <c r="E437" s="24">
        <v>50000000</v>
      </c>
      <c r="F437" s="39">
        <v>43829</v>
      </c>
      <c r="G437" s="24">
        <v>37499990</v>
      </c>
      <c r="H437" s="23">
        <v>5.0000000000000001E-3</v>
      </c>
      <c r="I437" s="39">
        <v>44287</v>
      </c>
      <c r="J437" s="39">
        <v>44300</v>
      </c>
      <c r="K437" s="24">
        <f t="shared" ref="K437:K448" si="30">J437-I437+1</f>
        <v>14</v>
      </c>
      <c r="L437" s="24">
        <f t="shared" ref="L437:L448" si="31">ROUND(G437*H437*K437/365,0)</f>
        <v>7192</v>
      </c>
      <c r="M437" s="24">
        <v>36666656</v>
      </c>
    </row>
    <row r="438" spans="1:13" s="5" customFormat="1" outlineLevel="2">
      <c r="A438" s="39" t="s">
        <v>235</v>
      </c>
      <c r="B438" s="40" t="s">
        <v>16</v>
      </c>
      <c r="C438" s="41" t="s">
        <v>17</v>
      </c>
      <c r="D438" s="40"/>
      <c r="E438" s="24"/>
      <c r="F438" s="39"/>
      <c r="G438" s="24">
        <v>36666656</v>
      </c>
      <c r="H438" s="23">
        <v>5.0000000000000001E-3</v>
      </c>
      <c r="I438" s="39">
        <v>44301</v>
      </c>
      <c r="J438" s="39">
        <v>44316</v>
      </c>
      <c r="K438" s="24">
        <f t="shared" si="30"/>
        <v>16</v>
      </c>
      <c r="L438" s="24">
        <f t="shared" si="31"/>
        <v>8037</v>
      </c>
      <c r="M438" s="24"/>
    </row>
    <row r="439" spans="1:13" s="5" customFormat="1" outlineLevel="2">
      <c r="A439" s="39" t="s">
        <v>235</v>
      </c>
      <c r="B439" s="40" t="s">
        <v>39</v>
      </c>
      <c r="C439" s="41" t="s">
        <v>17</v>
      </c>
      <c r="D439" s="40" t="s">
        <v>18</v>
      </c>
      <c r="E439" s="24">
        <v>25200000</v>
      </c>
      <c r="F439" s="39">
        <v>43829</v>
      </c>
      <c r="G439" s="24">
        <v>18900000</v>
      </c>
      <c r="H439" s="23">
        <v>5.0000000000000001E-3</v>
      </c>
      <c r="I439" s="39">
        <v>44287</v>
      </c>
      <c r="J439" s="39">
        <v>44300</v>
      </c>
      <c r="K439" s="24">
        <f t="shared" si="30"/>
        <v>14</v>
      </c>
      <c r="L439" s="24">
        <f t="shared" si="31"/>
        <v>3625</v>
      </c>
      <c r="M439" s="24">
        <v>18480000</v>
      </c>
    </row>
    <row r="440" spans="1:13" s="5" customFormat="1" outlineLevel="2">
      <c r="A440" s="39" t="s">
        <v>235</v>
      </c>
      <c r="B440" s="40" t="s">
        <v>39</v>
      </c>
      <c r="C440" s="41" t="s">
        <v>17</v>
      </c>
      <c r="D440" s="40"/>
      <c r="E440" s="24"/>
      <c r="F440" s="39"/>
      <c r="G440" s="24">
        <v>18480000</v>
      </c>
      <c r="H440" s="23">
        <v>5.0000000000000001E-3</v>
      </c>
      <c r="I440" s="39">
        <v>44301</v>
      </c>
      <c r="J440" s="39">
        <v>44316</v>
      </c>
      <c r="K440" s="24">
        <f t="shared" si="30"/>
        <v>16</v>
      </c>
      <c r="L440" s="24">
        <f t="shared" si="31"/>
        <v>4050</v>
      </c>
      <c r="M440" s="24"/>
    </row>
    <row r="441" spans="1:13" s="5" customFormat="1" outlineLevel="2">
      <c r="A441" s="39" t="s">
        <v>235</v>
      </c>
      <c r="B441" s="40" t="s">
        <v>54</v>
      </c>
      <c r="C441" s="41" t="s">
        <v>17</v>
      </c>
      <c r="D441" s="40" t="s">
        <v>18</v>
      </c>
      <c r="E441" s="24">
        <v>11310000</v>
      </c>
      <c r="F441" s="39">
        <v>43920</v>
      </c>
      <c r="G441" s="24">
        <v>8928948</v>
      </c>
      <c r="H441" s="23">
        <v>5.0000000000000001E-3</v>
      </c>
      <c r="I441" s="39">
        <v>44287</v>
      </c>
      <c r="J441" s="39">
        <v>44300</v>
      </c>
      <c r="K441" s="24">
        <f t="shared" si="30"/>
        <v>14</v>
      </c>
      <c r="L441" s="24">
        <f t="shared" si="31"/>
        <v>1712</v>
      </c>
      <c r="M441" s="24">
        <v>8730527</v>
      </c>
    </row>
    <row r="442" spans="1:13" s="5" customFormat="1" outlineLevel="2">
      <c r="A442" s="39" t="s">
        <v>235</v>
      </c>
      <c r="B442" s="40" t="s">
        <v>54</v>
      </c>
      <c r="C442" s="41" t="s">
        <v>17</v>
      </c>
      <c r="D442" s="40"/>
      <c r="E442" s="24"/>
      <c r="F442" s="39"/>
      <c r="G442" s="24">
        <v>8730527</v>
      </c>
      <c r="H442" s="23">
        <v>5.0000000000000001E-3</v>
      </c>
      <c r="I442" s="39">
        <v>44301</v>
      </c>
      <c r="J442" s="39">
        <v>44316</v>
      </c>
      <c r="K442" s="24">
        <f t="shared" si="30"/>
        <v>16</v>
      </c>
      <c r="L442" s="24">
        <f t="shared" si="31"/>
        <v>1914</v>
      </c>
      <c r="M442" s="24"/>
    </row>
    <row r="443" spans="1:13" s="5" customFormat="1" outlineLevel="2">
      <c r="A443" s="39" t="s">
        <v>235</v>
      </c>
      <c r="B443" s="40" t="s">
        <v>59</v>
      </c>
      <c r="C443" s="41" t="s">
        <v>17</v>
      </c>
      <c r="D443" s="40" t="s">
        <v>18</v>
      </c>
      <c r="E443" s="24">
        <v>6050000</v>
      </c>
      <c r="F443" s="39">
        <v>43990</v>
      </c>
      <c r="G443" s="24">
        <v>4950000</v>
      </c>
      <c r="H443" s="23">
        <v>5.0000000000000001E-3</v>
      </c>
      <c r="I443" s="39">
        <v>44287</v>
      </c>
      <c r="J443" s="39">
        <v>44300</v>
      </c>
      <c r="K443" s="24">
        <f t="shared" si="30"/>
        <v>14</v>
      </c>
      <c r="L443" s="24">
        <f t="shared" si="31"/>
        <v>949</v>
      </c>
      <c r="M443" s="24">
        <v>4840000</v>
      </c>
    </row>
    <row r="444" spans="1:13" s="5" customFormat="1" outlineLevel="2">
      <c r="A444" s="39" t="s">
        <v>235</v>
      </c>
      <c r="B444" s="40" t="s">
        <v>59</v>
      </c>
      <c r="C444" s="41" t="s">
        <v>17</v>
      </c>
      <c r="D444" s="40"/>
      <c r="E444" s="24"/>
      <c r="F444" s="39"/>
      <c r="G444" s="24">
        <v>4840000</v>
      </c>
      <c r="H444" s="23">
        <v>5.0000000000000001E-3</v>
      </c>
      <c r="I444" s="39">
        <v>44301</v>
      </c>
      <c r="J444" s="39">
        <v>44316</v>
      </c>
      <c r="K444" s="24">
        <f t="shared" si="30"/>
        <v>16</v>
      </c>
      <c r="L444" s="24">
        <f t="shared" si="31"/>
        <v>1061</v>
      </c>
      <c r="M444" s="24"/>
    </row>
    <row r="445" spans="1:13" s="5" customFormat="1" outlineLevel="2">
      <c r="A445" s="39" t="s">
        <v>235</v>
      </c>
      <c r="B445" s="40" t="s">
        <v>62</v>
      </c>
      <c r="C445" s="41" t="s">
        <v>17</v>
      </c>
      <c r="D445" s="40" t="s">
        <v>18</v>
      </c>
      <c r="E445" s="24">
        <v>7541000</v>
      </c>
      <c r="F445" s="39">
        <v>44074</v>
      </c>
      <c r="G445" s="24">
        <v>6525867</v>
      </c>
      <c r="H445" s="23">
        <v>5.0000000000000001E-3</v>
      </c>
      <c r="I445" s="39">
        <v>44287</v>
      </c>
      <c r="J445" s="39">
        <v>44300</v>
      </c>
      <c r="K445" s="24">
        <f t="shared" si="30"/>
        <v>14</v>
      </c>
      <c r="L445" s="24">
        <f t="shared" si="31"/>
        <v>1252</v>
      </c>
      <c r="M445" s="24">
        <v>6380848</v>
      </c>
    </row>
    <row r="446" spans="1:13" s="5" customFormat="1" outlineLevel="2">
      <c r="A446" s="39" t="s">
        <v>235</v>
      </c>
      <c r="B446" s="40" t="s">
        <v>62</v>
      </c>
      <c r="C446" s="41" t="s">
        <v>17</v>
      </c>
      <c r="D446" s="40"/>
      <c r="E446" s="24"/>
      <c r="F446" s="39"/>
      <c r="G446" s="24">
        <v>6380848</v>
      </c>
      <c r="H446" s="23">
        <v>5.0000000000000001E-3</v>
      </c>
      <c r="I446" s="39">
        <v>44301</v>
      </c>
      <c r="J446" s="39">
        <v>44316</v>
      </c>
      <c r="K446" s="24">
        <f t="shared" si="30"/>
        <v>16</v>
      </c>
      <c r="L446" s="24">
        <f t="shared" si="31"/>
        <v>1399</v>
      </c>
      <c r="M446" s="24"/>
    </row>
    <row r="447" spans="1:13" s="5" customFormat="1" outlineLevel="2">
      <c r="A447" s="39" t="s">
        <v>235</v>
      </c>
      <c r="B447" s="40" t="s">
        <v>63</v>
      </c>
      <c r="C447" s="41" t="s">
        <v>17</v>
      </c>
      <c r="D447" s="40" t="s">
        <v>18</v>
      </c>
      <c r="E447" s="24">
        <v>8986000</v>
      </c>
      <c r="F447" s="39">
        <v>44160</v>
      </c>
      <c r="G447" s="24">
        <v>8252448</v>
      </c>
      <c r="H447" s="23">
        <v>5.0000000000000001E-3</v>
      </c>
      <c r="I447" s="39">
        <v>44287</v>
      </c>
      <c r="J447" s="39">
        <v>44300</v>
      </c>
      <c r="K447" s="24">
        <f t="shared" si="30"/>
        <v>14</v>
      </c>
      <c r="L447" s="24">
        <f t="shared" si="31"/>
        <v>1583</v>
      </c>
      <c r="M447" s="24">
        <v>8069060</v>
      </c>
    </row>
    <row r="448" spans="1:13" s="5" customFormat="1" outlineLevel="2">
      <c r="A448" s="39" t="s">
        <v>235</v>
      </c>
      <c r="B448" s="40" t="s">
        <v>63</v>
      </c>
      <c r="C448" s="41" t="s">
        <v>17</v>
      </c>
      <c r="D448" s="40"/>
      <c r="E448" s="24"/>
      <c r="F448" s="39"/>
      <c r="G448" s="24">
        <v>8069060</v>
      </c>
      <c r="H448" s="23">
        <v>5.0000000000000001E-3</v>
      </c>
      <c r="I448" s="39">
        <v>44301</v>
      </c>
      <c r="J448" s="39">
        <v>44316</v>
      </c>
      <c r="K448" s="24">
        <f t="shared" si="30"/>
        <v>16</v>
      </c>
      <c r="L448" s="24">
        <f t="shared" si="31"/>
        <v>1769</v>
      </c>
      <c r="M448" s="24"/>
    </row>
    <row r="449" spans="1:13" s="5" customFormat="1" outlineLevel="1">
      <c r="A449" s="42" t="s">
        <v>236</v>
      </c>
      <c r="B449" s="43"/>
      <c r="C449" s="44"/>
      <c r="D449" s="43"/>
      <c r="E449" s="45">
        <f>SUBTOTAL(9,E437:E448)</f>
        <v>109087000</v>
      </c>
      <c r="F449" s="46"/>
      <c r="G449" s="45"/>
      <c r="H449" s="47"/>
      <c r="I449" s="46"/>
      <c r="J449" s="46"/>
      <c r="K449" s="45"/>
      <c r="L449" s="45">
        <f>SUBTOTAL(9,L437:L448)</f>
        <v>34543</v>
      </c>
      <c r="M449" s="45">
        <f>SUBTOTAL(9,M437:M448)</f>
        <v>83167091</v>
      </c>
    </row>
    <row r="450" spans="1:13" s="5" customFormat="1" outlineLevel="2">
      <c r="A450" s="39" t="s">
        <v>237</v>
      </c>
      <c r="B450" s="40" t="s">
        <v>16</v>
      </c>
      <c r="C450" s="41" t="s">
        <v>45</v>
      </c>
      <c r="D450" s="40" t="s">
        <v>46</v>
      </c>
      <c r="E450" s="24">
        <v>4300000</v>
      </c>
      <c r="F450" s="39">
        <v>43966</v>
      </c>
      <c r="G450" s="24">
        <v>4300000</v>
      </c>
      <c r="H450" s="23">
        <v>5.0000000000000001E-3</v>
      </c>
      <c r="I450" s="39">
        <v>44287</v>
      </c>
      <c r="J450" s="39">
        <v>44316</v>
      </c>
      <c r="K450" s="24">
        <f>J450-I450+1</f>
        <v>30</v>
      </c>
      <c r="L450" s="24">
        <f>ROUND(G450*H450*K450/365,0)</f>
        <v>1767</v>
      </c>
      <c r="M450" s="24">
        <v>4300000</v>
      </c>
    </row>
    <row r="451" spans="1:13" s="5" customFormat="1" outlineLevel="2">
      <c r="A451" s="39" t="s">
        <v>237</v>
      </c>
      <c r="B451" s="40" t="s">
        <v>39</v>
      </c>
      <c r="C451" s="41" t="s">
        <v>66</v>
      </c>
      <c r="D451" s="40" t="s">
        <v>67</v>
      </c>
      <c r="E451" s="24">
        <v>120000000</v>
      </c>
      <c r="F451" s="39">
        <v>44060</v>
      </c>
      <c r="G451" s="24">
        <v>120000000</v>
      </c>
      <c r="H451" s="23">
        <v>5.0000000000000001E-3</v>
      </c>
      <c r="I451" s="39">
        <v>44287</v>
      </c>
      <c r="J451" s="39">
        <v>44316</v>
      </c>
      <c r="K451" s="24">
        <f>J451-I451+1</f>
        <v>30</v>
      </c>
      <c r="L451" s="24">
        <f>ROUND(G451*H451*K451/365,0)</f>
        <v>49315</v>
      </c>
      <c r="M451" s="24">
        <v>120000000</v>
      </c>
    </row>
    <row r="452" spans="1:13" s="5" customFormat="1" outlineLevel="1">
      <c r="A452" s="42" t="s">
        <v>238</v>
      </c>
      <c r="B452" s="43"/>
      <c r="C452" s="44"/>
      <c r="D452" s="43"/>
      <c r="E452" s="45">
        <f>SUBTOTAL(9,E450:E451)</f>
        <v>124300000</v>
      </c>
      <c r="F452" s="46"/>
      <c r="G452" s="45"/>
      <c r="H452" s="47"/>
      <c r="I452" s="46"/>
      <c r="J452" s="46"/>
      <c r="K452" s="45"/>
      <c r="L452" s="45">
        <f>SUBTOTAL(9,L450:L451)</f>
        <v>51082</v>
      </c>
      <c r="M452" s="45">
        <f>SUBTOTAL(9,M450:M451)</f>
        <v>124300000</v>
      </c>
    </row>
    <row r="453" spans="1:13" s="5" customFormat="1" outlineLevel="2">
      <c r="A453" s="39" t="s">
        <v>239</v>
      </c>
      <c r="B453" s="40" t="s">
        <v>16</v>
      </c>
      <c r="C453" s="41" t="s">
        <v>109</v>
      </c>
      <c r="D453" s="40" t="s">
        <v>110</v>
      </c>
      <c r="E453" s="24">
        <v>38650000</v>
      </c>
      <c r="F453" s="39">
        <v>43986</v>
      </c>
      <c r="G453" s="24">
        <v>38650000</v>
      </c>
      <c r="H453" s="23">
        <v>5.0000000000000001E-3</v>
      </c>
      <c r="I453" s="39">
        <v>44287</v>
      </c>
      <c r="J453" s="39">
        <v>44316</v>
      </c>
      <c r="K453" s="24">
        <f t="shared" ref="K453:K494" si="32">J453-I453+1</f>
        <v>30</v>
      </c>
      <c r="L453" s="24">
        <f t="shared" ref="L453:L494" si="33">ROUND(G453*H453*K453/365,0)</f>
        <v>15884</v>
      </c>
      <c r="M453" s="24">
        <v>38650000</v>
      </c>
    </row>
    <row r="454" spans="1:13" s="5" customFormat="1" outlineLevel="2">
      <c r="A454" s="39" t="s">
        <v>239</v>
      </c>
      <c r="B454" s="40" t="s">
        <v>19</v>
      </c>
      <c r="C454" s="41" t="s">
        <v>125</v>
      </c>
      <c r="D454" s="40" t="s">
        <v>126</v>
      </c>
      <c r="E454" s="24">
        <v>23000000</v>
      </c>
      <c r="F454" s="39">
        <v>44155</v>
      </c>
      <c r="G454" s="24">
        <v>23000000</v>
      </c>
      <c r="H454" s="23">
        <v>5.0000000000000001E-3</v>
      </c>
      <c r="I454" s="39">
        <v>44287</v>
      </c>
      <c r="J454" s="39">
        <v>44316</v>
      </c>
      <c r="K454" s="24">
        <f t="shared" si="32"/>
        <v>30</v>
      </c>
      <c r="L454" s="24">
        <f t="shared" si="33"/>
        <v>9452</v>
      </c>
      <c r="M454" s="24">
        <v>23000000</v>
      </c>
    </row>
    <row r="455" spans="1:13" s="5" customFormat="1" outlineLevel="2">
      <c r="A455" s="39" t="s">
        <v>239</v>
      </c>
      <c r="B455" s="40" t="s">
        <v>22</v>
      </c>
      <c r="C455" s="41" t="s">
        <v>125</v>
      </c>
      <c r="D455" s="40" t="s">
        <v>126</v>
      </c>
      <c r="E455" s="24">
        <v>1000000</v>
      </c>
      <c r="F455" s="39">
        <v>44160</v>
      </c>
      <c r="G455" s="24">
        <v>1000000</v>
      </c>
      <c r="H455" s="23">
        <v>5.0000000000000001E-3</v>
      </c>
      <c r="I455" s="39">
        <v>44287</v>
      </c>
      <c r="J455" s="39">
        <v>44316</v>
      </c>
      <c r="K455" s="24">
        <f t="shared" si="32"/>
        <v>30</v>
      </c>
      <c r="L455" s="24">
        <f t="shared" si="33"/>
        <v>411</v>
      </c>
      <c r="M455" s="24">
        <v>1000000</v>
      </c>
    </row>
    <row r="456" spans="1:13" s="5" customFormat="1" outlineLevel="2">
      <c r="A456" s="39" t="s">
        <v>239</v>
      </c>
      <c r="B456" s="40" t="s">
        <v>25</v>
      </c>
      <c r="C456" s="41" t="s">
        <v>95</v>
      </c>
      <c r="D456" s="40" t="s">
        <v>96</v>
      </c>
      <c r="E456" s="24">
        <v>6030000</v>
      </c>
      <c r="F456" s="39">
        <v>44145</v>
      </c>
      <c r="G456" s="24">
        <v>6030000</v>
      </c>
      <c r="H456" s="23">
        <v>5.0000000000000001E-3</v>
      </c>
      <c r="I456" s="39">
        <v>44287</v>
      </c>
      <c r="J456" s="39">
        <v>44316</v>
      </c>
      <c r="K456" s="24">
        <f t="shared" si="32"/>
        <v>30</v>
      </c>
      <c r="L456" s="24">
        <f t="shared" si="33"/>
        <v>2478</v>
      </c>
      <c r="M456" s="24">
        <v>6030000</v>
      </c>
    </row>
    <row r="457" spans="1:13" s="5" customFormat="1" outlineLevel="2">
      <c r="A457" s="39" t="s">
        <v>239</v>
      </c>
      <c r="B457" s="40" t="s">
        <v>26</v>
      </c>
      <c r="C457" s="41" t="s">
        <v>240</v>
      </c>
      <c r="D457" s="40" t="s">
        <v>241</v>
      </c>
      <c r="E457" s="24">
        <v>16018839</v>
      </c>
      <c r="F457" s="39">
        <v>44188</v>
      </c>
      <c r="G457" s="24">
        <v>16018839</v>
      </c>
      <c r="H457" s="23">
        <v>5.0000000000000001E-3</v>
      </c>
      <c r="I457" s="39">
        <v>44287</v>
      </c>
      <c r="J457" s="39">
        <v>44316</v>
      </c>
      <c r="K457" s="24">
        <f t="shared" si="32"/>
        <v>30</v>
      </c>
      <c r="L457" s="24">
        <f t="shared" si="33"/>
        <v>6583</v>
      </c>
      <c r="M457" s="24">
        <v>16018839</v>
      </c>
    </row>
    <row r="458" spans="1:13" s="5" customFormat="1" outlineLevel="2">
      <c r="A458" s="39" t="s">
        <v>239</v>
      </c>
      <c r="B458" s="40" t="s">
        <v>29</v>
      </c>
      <c r="C458" s="41" t="s">
        <v>240</v>
      </c>
      <c r="D458" s="40" t="s">
        <v>241</v>
      </c>
      <c r="E458" s="24">
        <v>31481161</v>
      </c>
      <c r="F458" s="39">
        <v>44188</v>
      </c>
      <c r="G458" s="24">
        <v>31481161</v>
      </c>
      <c r="H458" s="23">
        <v>5.0000000000000001E-3</v>
      </c>
      <c r="I458" s="39">
        <v>44287</v>
      </c>
      <c r="J458" s="39">
        <v>44316</v>
      </c>
      <c r="K458" s="24">
        <f t="shared" si="32"/>
        <v>30</v>
      </c>
      <c r="L458" s="24">
        <f t="shared" si="33"/>
        <v>12937</v>
      </c>
      <c r="M458" s="24">
        <v>31481161</v>
      </c>
    </row>
    <row r="459" spans="1:13" s="5" customFormat="1" outlineLevel="2">
      <c r="A459" s="39" t="s">
        <v>239</v>
      </c>
      <c r="B459" s="40" t="s">
        <v>32</v>
      </c>
      <c r="C459" s="41" t="s">
        <v>242</v>
      </c>
      <c r="D459" s="40" t="s">
        <v>243</v>
      </c>
      <c r="E459" s="24">
        <v>10000000</v>
      </c>
      <c r="F459" s="39">
        <v>44172</v>
      </c>
      <c r="G459" s="24">
        <v>10000000</v>
      </c>
      <c r="H459" s="23">
        <v>5.0000000000000001E-3</v>
      </c>
      <c r="I459" s="39">
        <v>44287</v>
      </c>
      <c r="J459" s="39">
        <v>44316</v>
      </c>
      <c r="K459" s="24">
        <f t="shared" si="32"/>
        <v>30</v>
      </c>
      <c r="L459" s="24">
        <f t="shared" si="33"/>
        <v>4110</v>
      </c>
      <c r="M459" s="24">
        <v>10000000</v>
      </c>
    </row>
    <row r="460" spans="1:13" s="5" customFormat="1" outlineLevel="2">
      <c r="A460" s="39" t="s">
        <v>239</v>
      </c>
      <c r="B460" s="40" t="s">
        <v>33</v>
      </c>
      <c r="C460" s="41" t="s">
        <v>242</v>
      </c>
      <c r="D460" s="40" t="s">
        <v>243</v>
      </c>
      <c r="E460" s="24">
        <v>10000000</v>
      </c>
      <c r="F460" s="39">
        <v>44181</v>
      </c>
      <c r="G460" s="24">
        <v>10000000</v>
      </c>
      <c r="H460" s="23">
        <v>5.0000000000000001E-3</v>
      </c>
      <c r="I460" s="39">
        <v>44287</v>
      </c>
      <c r="J460" s="39">
        <v>44316</v>
      </c>
      <c r="K460" s="24">
        <f t="shared" si="32"/>
        <v>30</v>
      </c>
      <c r="L460" s="24">
        <f t="shared" si="33"/>
        <v>4110</v>
      </c>
      <c r="M460" s="24">
        <v>10000000</v>
      </c>
    </row>
    <row r="461" spans="1:13" s="5" customFormat="1" outlineLevel="2">
      <c r="A461" s="39" t="s">
        <v>239</v>
      </c>
      <c r="B461" s="40" t="s">
        <v>34</v>
      </c>
      <c r="C461" s="41" t="s">
        <v>244</v>
      </c>
      <c r="D461" s="40" t="s">
        <v>245</v>
      </c>
      <c r="E461" s="24">
        <v>210000000</v>
      </c>
      <c r="F461" s="39">
        <v>44172</v>
      </c>
      <c r="G461" s="24">
        <v>210000000</v>
      </c>
      <c r="H461" s="23">
        <v>5.0000000000000001E-3</v>
      </c>
      <c r="I461" s="39">
        <v>44287</v>
      </c>
      <c r="J461" s="39">
        <v>44316</v>
      </c>
      <c r="K461" s="24">
        <f t="shared" si="32"/>
        <v>30</v>
      </c>
      <c r="L461" s="24">
        <f t="shared" si="33"/>
        <v>86301</v>
      </c>
      <c r="M461" s="24">
        <v>210000000</v>
      </c>
    </row>
    <row r="462" spans="1:13" s="5" customFormat="1" outlineLevel="2">
      <c r="A462" s="39" t="s">
        <v>239</v>
      </c>
      <c r="B462" s="40" t="s">
        <v>35</v>
      </c>
      <c r="C462" s="41" t="s">
        <v>246</v>
      </c>
      <c r="D462" s="40" t="s">
        <v>247</v>
      </c>
      <c r="E462" s="24">
        <v>3000000</v>
      </c>
      <c r="F462" s="39">
        <v>44167</v>
      </c>
      <c r="G462" s="24">
        <v>3000000</v>
      </c>
      <c r="H462" s="23">
        <v>5.0000000000000001E-3</v>
      </c>
      <c r="I462" s="39">
        <v>44287</v>
      </c>
      <c r="J462" s="39">
        <v>44316</v>
      </c>
      <c r="K462" s="24">
        <f t="shared" si="32"/>
        <v>30</v>
      </c>
      <c r="L462" s="24">
        <f t="shared" si="33"/>
        <v>1233</v>
      </c>
      <c r="M462" s="24">
        <v>3000000</v>
      </c>
    </row>
    <row r="463" spans="1:13" s="5" customFormat="1" outlineLevel="2">
      <c r="A463" s="39" t="s">
        <v>239</v>
      </c>
      <c r="B463" s="40" t="s">
        <v>36</v>
      </c>
      <c r="C463" s="41" t="s">
        <v>95</v>
      </c>
      <c r="D463" s="40" t="s">
        <v>96</v>
      </c>
      <c r="E463" s="24">
        <v>5530000</v>
      </c>
      <c r="F463" s="39">
        <v>44168</v>
      </c>
      <c r="G463" s="24">
        <v>5530000</v>
      </c>
      <c r="H463" s="23">
        <v>5.0000000000000001E-3</v>
      </c>
      <c r="I463" s="39">
        <v>44287</v>
      </c>
      <c r="J463" s="39">
        <v>44316</v>
      </c>
      <c r="K463" s="24">
        <f t="shared" si="32"/>
        <v>30</v>
      </c>
      <c r="L463" s="24">
        <f t="shared" si="33"/>
        <v>2273</v>
      </c>
      <c r="M463" s="24">
        <v>5530000</v>
      </c>
    </row>
    <row r="464" spans="1:13" s="5" customFormat="1" outlineLevel="2">
      <c r="A464" s="39" t="s">
        <v>239</v>
      </c>
      <c r="B464" s="40" t="s">
        <v>39</v>
      </c>
      <c r="C464" s="41" t="s">
        <v>248</v>
      </c>
      <c r="D464" s="40" t="s">
        <v>249</v>
      </c>
      <c r="E464" s="24">
        <v>23530000</v>
      </c>
      <c r="F464" s="39">
        <v>44013</v>
      </c>
      <c r="G464" s="24">
        <v>23530000</v>
      </c>
      <c r="H464" s="23">
        <v>5.0000000000000001E-3</v>
      </c>
      <c r="I464" s="39">
        <v>44287</v>
      </c>
      <c r="J464" s="39">
        <v>44316</v>
      </c>
      <c r="K464" s="24">
        <f t="shared" si="32"/>
        <v>30</v>
      </c>
      <c r="L464" s="24">
        <f t="shared" si="33"/>
        <v>9670</v>
      </c>
      <c r="M464" s="24">
        <v>23530000</v>
      </c>
    </row>
    <row r="465" spans="1:13" s="5" customFormat="1" outlineLevel="2">
      <c r="A465" s="39" t="s">
        <v>239</v>
      </c>
      <c r="B465" s="40" t="s">
        <v>40</v>
      </c>
      <c r="C465" s="41" t="s">
        <v>242</v>
      </c>
      <c r="D465" s="40" t="s">
        <v>243</v>
      </c>
      <c r="E465" s="24">
        <v>10000000</v>
      </c>
      <c r="F465" s="39">
        <v>44208</v>
      </c>
      <c r="G465" s="24">
        <v>10000000</v>
      </c>
      <c r="H465" s="23">
        <v>5.0000000000000001E-3</v>
      </c>
      <c r="I465" s="39">
        <v>44287</v>
      </c>
      <c r="J465" s="39">
        <v>44316</v>
      </c>
      <c r="K465" s="24">
        <f t="shared" si="32"/>
        <v>30</v>
      </c>
      <c r="L465" s="24">
        <f t="shared" si="33"/>
        <v>4110</v>
      </c>
      <c r="M465" s="24">
        <v>10000000</v>
      </c>
    </row>
    <row r="466" spans="1:13" s="5" customFormat="1" outlineLevel="2">
      <c r="A466" s="39" t="s">
        <v>239</v>
      </c>
      <c r="B466" s="40" t="s">
        <v>41</v>
      </c>
      <c r="C466" s="41" t="s">
        <v>125</v>
      </c>
      <c r="D466" s="40" t="s">
        <v>126</v>
      </c>
      <c r="E466" s="24">
        <v>28000000</v>
      </c>
      <c r="F466" s="39">
        <v>44217</v>
      </c>
      <c r="G466" s="24">
        <v>28000000</v>
      </c>
      <c r="H466" s="23">
        <v>5.0000000000000001E-3</v>
      </c>
      <c r="I466" s="39">
        <v>44287</v>
      </c>
      <c r="J466" s="39">
        <v>44316</v>
      </c>
      <c r="K466" s="24">
        <f t="shared" si="32"/>
        <v>30</v>
      </c>
      <c r="L466" s="24">
        <f t="shared" si="33"/>
        <v>11507</v>
      </c>
      <c r="M466" s="24">
        <v>28000000</v>
      </c>
    </row>
    <row r="467" spans="1:13" s="5" customFormat="1" outlineLevel="2">
      <c r="A467" s="39" t="s">
        <v>239</v>
      </c>
      <c r="B467" s="40" t="s">
        <v>42</v>
      </c>
      <c r="C467" s="41" t="s">
        <v>250</v>
      </c>
      <c r="D467" s="40" t="s">
        <v>251</v>
      </c>
      <c r="E467" s="24">
        <v>22500000</v>
      </c>
      <c r="F467" s="39">
        <v>44215</v>
      </c>
      <c r="G467" s="24">
        <v>21750000</v>
      </c>
      <c r="H467" s="23">
        <v>5.0000000000000001E-3</v>
      </c>
      <c r="I467" s="39">
        <v>44287</v>
      </c>
      <c r="J467" s="39">
        <v>44300</v>
      </c>
      <c r="K467" s="24">
        <f t="shared" si="32"/>
        <v>14</v>
      </c>
      <c r="L467" s="24">
        <f t="shared" si="33"/>
        <v>4171</v>
      </c>
      <c r="M467" s="24">
        <v>21375000</v>
      </c>
    </row>
    <row r="468" spans="1:13" s="5" customFormat="1" outlineLevel="2">
      <c r="A468" s="39" t="s">
        <v>239</v>
      </c>
      <c r="B468" s="40" t="s">
        <v>42</v>
      </c>
      <c r="C468" s="41" t="s">
        <v>250</v>
      </c>
      <c r="D468" s="40"/>
      <c r="E468" s="24"/>
      <c r="F468" s="39"/>
      <c r="G468" s="24">
        <v>21375000</v>
      </c>
      <c r="H468" s="23">
        <v>5.0000000000000001E-3</v>
      </c>
      <c r="I468" s="39">
        <v>44301</v>
      </c>
      <c r="J468" s="39">
        <v>44316</v>
      </c>
      <c r="K468" s="24">
        <f t="shared" si="32"/>
        <v>16</v>
      </c>
      <c r="L468" s="24">
        <f t="shared" si="33"/>
        <v>4685</v>
      </c>
      <c r="M468" s="24"/>
    </row>
    <row r="469" spans="1:13" s="5" customFormat="1" outlineLevel="2">
      <c r="A469" s="39" t="s">
        <v>239</v>
      </c>
      <c r="B469" s="40" t="s">
        <v>43</v>
      </c>
      <c r="C469" s="41" t="s">
        <v>250</v>
      </c>
      <c r="D469" s="40" t="s">
        <v>251</v>
      </c>
      <c r="E469" s="24">
        <v>4950000</v>
      </c>
      <c r="F469" s="39">
        <v>44215</v>
      </c>
      <c r="G469" s="24">
        <v>4785000</v>
      </c>
      <c r="H469" s="23">
        <v>5.0000000000000001E-3</v>
      </c>
      <c r="I469" s="39">
        <v>44287</v>
      </c>
      <c r="J469" s="39">
        <v>44300</v>
      </c>
      <c r="K469" s="24">
        <f t="shared" si="32"/>
        <v>14</v>
      </c>
      <c r="L469" s="24">
        <f t="shared" si="33"/>
        <v>918</v>
      </c>
      <c r="M469" s="24">
        <v>4702500</v>
      </c>
    </row>
    <row r="470" spans="1:13" s="5" customFormat="1" outlineLevel="2">
      <c r="A470" s="39" t="s">
        <v>239</v>
      </c>
      <c r="B470" s="40" t="s">
        <v>43</v>
      </c>
      <c r="C470" s="41" t="s">
        <v>250</v>
      </c>
      <c r="D470" s="40"/>
      <c r="E470" s="24"/>
      <c r="F470" s="39"/>
      <c r="G470" s="24">
        <v>4702500</v>
      </c>
      <c r="H470" s="23">
        <v>5.0000000000000001E-3</v>
      </c>
      <c r="I470" s="39">
        <v>44301</v>
      </c>
      <c r="J470" s="39">
        <v>44316</v>
      </c>
      <c r="K470" s="24">
        <f t="shared" si="32"/>
        <v>16</v>
      </c>
      <c r="L470" s="24">
        <f t="shared" si="33"/>
        <v>1031</v>
      </c>
      <c r="M470" s="24"/>
    </row>
    <row r="471" spans="1:13" s="5" customFormat="1" outlineLevel="2">
      <c r="A471" s="39" t="s">
        <v>239</v>
      </c>
      <c r="B471" s="40" t="s">
        <v>44</v>
      </c>
      <c r="C471" s="41" t="s">
        <v>242</v>
      </c>
      <c r="D471" s="40" t="s">
        <v>243</v>
      </c>
      <c r="E471" s="24">
        <v>10000000</v>
      </c>
      <c r="F471" s="39">
        <v>44244</v>
      </c>
      <c r="G471" s="24">
        <v>10000000</v>
      </c>
      <c r="H471" s="23">
        <v>5.0000000000000001E-3</v>
      </c>
      <c r="I471" s="39">
        <v>44287</v>
      </c>
      <c r="J471" s="39">
        <v>44316</v>
      </c>
      <c r="K471" s="24">
        <f t="shared" si="32"/>
        <v>30</v>
      </c>
      <c r="L471" s="24">
        <f t="shared" si="33"/>
        <v>4110</v>
      </c>
      <c r="M471" s="24">
        <v>10000000</v>
      </c>
    </row>
    <row r="472" spans="1:13" s="5" customFormat="1" outlineLevel="2">
      <c r="A472" s="39" t="s">
        <v>239</v>
      </c>
      <c r="B472" s="40" t="s">
        <v>47</v>
      </c>
      <c r="C472" s="41" t="s">
        <v>242</v>
      </c>
      <c r="D472" s="40" t="s">
        <v>243</v>
      </c>
      <c r="E472" s="24">
        <v>4000000</v>
      </c>
      <c r="F472" s="39">
        <v>44249</v>
      </c>
      <c r="G472" s="24">
        <v>4000000</v>
      </c>
      <c r="H472" s="23">
        <v>5.0000000000000001E-3</v>
      </c>
      <c r="I472" s="39">
        <v>44287</v>
      </c>
      <c r="J472" s="39">
        <v>44316</v>
      </c>
      <c r="K472" s="24">
        <f t="shared" si="32"/>
        <v>30</v>
      </c>
      <c r="L472" s="24">
        <f t="shared" si="33"/>
        <v>1644</v>
      </c>
      <c r="M472" s="24">
        <v>4000000</v>
      </c>
    </row>
    <row r="473" spans="1:13" s="5" customFormat="1" outlineLevel="2">
      <c r="A473" s="39" t="s">
        <v>239</v>
      </c>
      <c r="B473" s="40" t="s">
        <v>50</v>
      </c>
      <c r="C473" s="41" t="s">
        <v>306</v>
      </c>
      <c r="D473" s="40" t="s">
        <v>305</v>
      </c>
      <c r="E473" s="24">
        <v>23949000</v>
      </c>
      <c r="F473" s="39">
        <v>44251</v>
      </c>
      <c r="G473" s="24">
        <v>23949000</v>
      </c>
      <c r="H473" s="23">
        <v>5.0000000000000001E-3</v>
      </c>
      <c r="I473" s="39">
        <v>44287</v>
      </c>
      <c r="J473" s="39">
        <v>44316</v>
      </c>
      <c r="K473" s="24">
        <f t="shared" si="32"/>
        <v>30</v>
      </c>
      <c r="L473" s="24">
        <f t="shared" si="33"/>
        <v>9842</v>
      </c>
      <c r="M473" s="24">
        <v>23949000</v>
      </c>
    </row>
    <row r="474" spans="1:13" s="5" customFormat="1" outlineLevel="2">
      <c r="A474" s="39" t="s">
        <v>239</v>
      </c>
      <c r="B474" s="40" t="s">
        <v>51</v>
      </c>
      <c r="C474" s="41" t="s">
        <v>66</v>
      </c>
      <c r="D474" s="40" t="s">
        <v>67</v>
      </c>
      <c r="E474" s="24">
        <v>40000000</v>
      </c>
      <c r="F474" s="39">
        <v>44235</v>
      </c>
      <c r="G474" s="24">
        <v>40000000</v>
      </c>
      <c r="H474" s="23">
        <v>5.0000000000000001E-3</v>
      </c>
      <c r="I474" s="39">
        <v>44287</v>
      </c>
      <c r="J474" s="39">
        <v>44316</v>
      </c>
      <c r="K474" s="24">
        <f t="shared" si="32"/>
        <v>30</v>
      </c>
      <c r="L474" s="24">
        <f t="shared" si="33"/>
        <v>16438</v>
      </c>
      <c r="M474" s="24">
        <v>40000000</v>
      </c>
    </row>
    <row r="475" spans="1:13" s="5" customFormat="1" outlineLevel="2">
      <c r="A475" s="39" t="s">
        <v>239</v>
      </c>
      <c r="B475" s="40" t="s">
        <v>52</v>
      </c>
      <c r="C475" s="41" t="s">
        <v>244</v>
      </c>
      <c r="D475" s="40" t="s">
        <v>245</v>
      </c>
      <c r="E475" s="24">
        <v>64000000</v>
      </c>
      <c r="F475" s="39">
        <v>44228</v>
      </c>
      <c r="G475" s="24">
        <v>64000000</v>
      </c>
      <c r="H475" s="23">
        <v>5.0000000000000001E-3</v>
      </c>
      <c r="I475" s="39">
        <v>44287</v>
      </c>
      <c r="J475" s="39">
        <v>44316</v>
      </c>
      <c r="K475" s="24">
        <f t="shared" si="32"/>
        <v>30</v>
      </c>
      <c r="L475" s="24">
        <f t="shared" si="33"/>
        <v>26301</v>
      </c>
      <c r="M475" s="24">
        <v>64000000</v>
      </c>
    </row>
    <row r="476" spans="1:13" s="5" customFormat="1" outlineLevel="2">
      <c r="A476" s="39" t="s">
        <v>239</v>
      </c>
      <c r="B476" s="40" t="s">
        <v>53</v>
      </c>
      <c r="C476" s="41" t="s">
        <v>246</v>
      </c>
      <c r="D476" s="40" t="s">
        <v>247</v>
      </c>
      <c r="E476" s="24">
        <v>100000000</v>
      </c>
      <c r="F476" s="39">
        <v>44251</v>
      </c>
      <c r="G476" s="24">
        <v>100000000</v>
      </c>
      <c r="H476" s="23">
        <v>5.0000000000000001E-3</v>
      </c>
      <c r="I476" s="39">
        <v>44287</v>
      </c>
      <c r="J476" s="39">
        <v>44316</v>
      </c>
      <c r="K476" s="24">
        <f t="shared" si="32"/>
        <v>30</v>
      </c>
      <c r="L476" s="24">
        <f t="shared" si="33"/>
        <v>41096</v>
      </c>
      <c r="M476" s="24">
        <v>100000000</v>
      </c>
    </row>
    <row r="477" spans="1:13" s="5" customFormat="1" outlineLevel="2">
      <c r="A477" s="39" t="s">
        <v>239</v>
      </c>
      <c r="B477" s="40" t="s">
        <v>54</v>
      </c>
      <c r="C477" s="41" t="s">
        <v>248</v>
      </c>
      <c r="D477" s="40" t="s">
        <v>249</v>
      </c>
      <c r="E477" s="24">
        <v>47470000</v>
      </c>
      <c r="F477" s="39">
        <v>44013</v>
      </c>
      <c r="G477" s="24">
        <v>47470000</v>
      </c>
      <c r="H477" s="23">
        <v>5.0000000000000001E-3</v>
      </c>
      <c r="I477" s="39">
        <v>44287</v>
      </c>
      <c r="J477" s="39">
        <v>44316</v>
      </c>
      <c r="K477" s="24">
        <f t="shared" si="32"/>
        <v>30</v>
      </c>
      <c r="L477" s="24">
        <f t="shared" si="33"/>
        <v>19508</v>
      </c>
      <c r="M477" s="24">
        <v>47470000</v>
      </c>
    </row>
    <row r="478" spans="1:13" s="5" customFormat="1" outlineLevel="2">
      <c r="A478" s="39" t="s">
        <v>239</v>
      </c>
      <c r="B478" s="40" t="s">
        <v>57</v>
      </c>
      <c r="C478" s="41" t="s">
        <v>246</v>
      </c>
      <c r="D478" s="40" t="s">
        <v>247</v>
      </c>
      <c r="E478" s="24">
        <v>93000000</v>
      </c>
      <c r="F478" s="39">
        <v>44251</v>
      </c>
      <c r="G478" s="24">
        <v>93000000</v>
      </c>
      <c r="H478" s="23">
        <v>5.0000000000000001E-3</v>
      </c>
      <c r="I478" s="39">
        <v>44287</v>
      </c>
      <c r="J478" s="39">
        <v>44316</v>
      </c>
      <c r="K478" s="24">
        <f t="shared" si="32"/>
        <v>30</v>
      </c>
      <c r="L478" s="24">
        <f t="shared" si="33"/>
        <v>38219</v>
      </c>
      <c r="M478" s="24">
        <v>93000000</v>
      </c>
    </row>
    <row r="479" spans="1:13" s="5" customFormat="1" outlineLevel="2">
      <c r="A479" s="39" t="s">
        <v>239</v>
      </c>
      <c r="B479" s="40" t="s">
        <v>99</v>
      </c>
      <c r="C479" s="41" t="s">
        <v>95</v>
      </c>
      <c r="D479" s="40" t="s">
        <v>96</v>
      </c>
      <c r="E479" s="24">
        <v>4840000</v>
      </c>
      <c r="F479" s="39">
        <v>44235</v>
      </c>
      <c r="G479" s="24">
        <v>4840000</v>
      </c>
      <c r="H479" s="23">
        <v>5.0000000000000001E-3</v>
      </c>
      <c r="I479" s="39">
        <v>44287</v>
      </c>
      <c r="J479" s="39">
        <v>44316</v>
      </c>
      <c r="K479" s="24">
        <f t="shared" si="32"/>
        <v>30</v>
      </c>
      <c r="L479" s="24">
        <f t="shared" si="33"/>
        <v>1989</v>
      </c>
      <c r="M479" s="24">
        <v>4840000</v>
      </c>
    </row>
    <row r="480" spans="1:13" s="5" customFormat="1" outlineLevel="2">
      <c r="A480" s="39" t="s">
        <v>239</v>
      </c>
      <c r="B480" s="40" t="s">
        <v>100</v>
      </c>
      <c r="C480" s="41" t="s">
        <v>130</v>
      </c>
      <c r="D480" s="40" t="s">
        <v>131</v>
      </c>
      <c r="E480" s="24">
        <v>10000000</v>
      </c>
      <c r="F480" s="39">
        <v>44284</v>
      </c>
      <c r="G480" s="24">
        <v>10000000</v>
      </c>
      <c r="H480" s="23">
        <v>5.0000000000000001E-3</v>
      </c>
      <c r="I480" s="39">
        <v>44287</v>
      </c>
      <c r="J480" s="39">
        <v>44301</v>
      </c>
      <c r="K480" s="24">
        <f t="shared" si="32"/>
        <v>15</v>
      </c>
      <c r="L480" s="24">
        <f t="shared" si="33"/>
        <v>2055</v>
      </c>
      <c r="M480" s="24">
        <v>5000000</v>
      </c>
    </row>
    <row r="481" spans="1:13" s="5" customFormat="1" outlineLevel="2">
      <c r="A481" s="39" t="s">
        <v>239</v>
      </c>
      <c r="B481" s="40" t="s">
        <v>100</v>
      </c>
      <c r="C481" s="41" t="s">
        <v>130</v>
      </c>
      <c r="D481" s="40"/>
      <c r="E481" s="24"/>
      <c r="F481" s="39"/>
      <c r="G481" s="24">
        <v>5000000</v>
      </c>
      <c r="H481" s="23">
        <v>5.0000000000000001E-3</v>
      </c>
      <c r="I481" s="39">
        <v>44302</v>
      </c>
      <c r="J481" s="39">
        <v>44316</v>
      </c>
      <c r="K481" s="24">
        <f t="shared" si="32"/>
        <v>15</v>
      </c>
      <c r="L481" s="24">
        <f t="shared" si="33"/>
        <v>1027</v>
      </c>
      <c r="M481" s="24"/>
    </row>
    <row r="482" spans="1:13" s="5" customFormat="1" outlineLevel="2">
      <c r="A482" s="39" t="s">
        <v>239</v>
      </c>
      <c r="B482" s="40" t="s">
        <v>101</v>
      </c>
      <c r="C482" s="41" t="s">
        <v>244</v>
      </c>
      <c r="D482" s="40" t="s">
        <v>245</v>
      </c>
      <c r="E482" s="24">
        <v>70000000</v>
      </c>
      <c r="F482" s="39">
        <v>44260</v>
      </c>
      <c r="G482" s="24">
        <v>70000000</v>
      </c>
      <c r="H482" s="23">
        <v>5.0000000000000001E-3</v>
      </c>
      <c r="I482" s="39">
        <v>44287</v>
      </c>
      <c r="J482" s="39">
        <v>44316</v>
      </c>
      <c r="K482" s="24">
        <f t="shared" si="32"/>
        <v>30</v>
      </c>
      <c r="L482" s="24">
        <f t="shared" si="33"/>
        <v>28767</v>
      </c>
      <c r="M482" s="24">
        <v>70000000</v>
      </c>
    </row>
    <row r="483" spans="1:13" s="5" customFormat="1" outlineLevel="2">
      <c r="A483" s="39" t="s">
        <v>239</v>
      </c>
      <c r="B483" s="40" t="s">
        <v>102</v>
      </c>
      <c r="C483" s="41" t="s">
        <v>125</v>
      </c>
      <c r="D483" s="40" t="s">
        <v>126</v>
      </c>
      <c r="E483" s="24">
        <v>5000000</v>
      </c>
      <c r="F483" s="39">
        <v>44259</v>
      </c>
      <c r="G483" s="24">
        <v>5000000</v>
      </c>
      <c r="H483" s="23">
        <v>5.0000000000000001E-3</v>
      </c>
      <c r="I483" s="39">
        <v>44287</v>
      </c>
      <c r="J483" s="39">
        <v>44316</v>
      </c>
      <c r="K483" s="24">
        <f t="shared" si="32"/>
        <v>30</v>
      </c>
      <c r="L483" s="24">
        <f t="shared" si="33"/>
        <v>2055</v>
      </c>
      <c r="M483" s="24">
        <v>5000000</v>
      </c>
    </row>
    <row r="484" spans="1:13" s="5" customFormat="1" outlineLevel="2">
      <c r="A484" s="39" t="s">
        <v>239</v>
      </c>
      <c r="B484" s="40" t="s">
        <v>103</v>
      </c>
      <c r="C484" s="41" t="s">
        <v>66</v>
      </c>
      <c r="D484" s="40" t="s">
        <v>67</v>
      </c>
      <c r="E484" s="24">
        <v>49780000</v>
      </c>
      <c r="F484" s="39">
        <v>44306</v>
      </c>
      <c r="G484" s="24">
        <v>49780000</v>
      </c>
      <c r="H484" s="23">
        <v>5.0000000000000001E-3</v>
      </c>
      <c r="I484" s="39">
        <v>44306</v>
      </c>
      <c r="J484" s="39">
        <v>44316</v>
      </c>
      <c r="K484" s="24">
        <f t="shared" si="32"/>
        <v>11</v>
      </c>
      <c r="L484" s="24">
        <f t="shared" si="33"/>
        <v>7501</v>
      </c>
      <c r="M484" s="24">
        <v>49780000</v>
      </c>
    </row>
    <row r="485" spans="1:13" s="5" customFormat="1" outlineLevel="2">
      <c r="A485" s="39" t="s">
        <v>239</v>
      </c>
      <c r="B485" s="40" t="s">
        <v>104</v>
      </c>
      <c r="C485" s="41" t="s">
        <v>244</v>
      </c>
      <c r="D485" s="40" t="s">
        <v>245</v>
      </c>
      <c r="E485" s="24">
        <v>39000000</v>
      </c>
      <c r="F485" s="39">
        <v>44295</v>
      </c>
      <c r="G485" s="24">
        <v>39000000</v>
      </c>
      <c r="H485" s="23">
        <v>5.0000000000000001E-3</v>
      </c>
      <c r="I485" s="39">
        <v>44295</v>
      </c>
      <c r="J485" s="39">
        <v>44316</v>
      </c>
      <c r="K485" s="24">
        <f t="shared" si="32"/>
        <v>22</v>
      </c>
      <c r="L485" s="24">
        <f t="shared" si="33"/>
        <v>11753</v>
      </c>
      <c r="M485" s="24">
        <v>39000000</v>
      </c>
    </row>
    <row r="486" spans="1:13" s="5" customFormat="1" outlineLevel="2">
      <c r="A486" s="39" t="s">
        <v>239</v>
      </c>
      <c r="B486" s="40" t="s">
        <v>105</v>
      </c>
      <c r="C486" s="41" t="s">
        <v>95</v>
      </c>
      <c r="D486" s="40" t="s">
        <v>96</v>
      </c>
      <c r="E486" s="24">
        <v>2600000</v>
      </c>
      <c r="F486" s="39">
        <v>44314</v>
      </c>
      <c r="G486" s="24">
        <v>2600000</v>
      </c>
      <c r="H486" s="23">
        <v>5.0000000000000001E-3</v>
      </c>
      <c r="I486" s="39">
        <v>44314</v>
      </c>
      <c r="J486" s="39">
        <v>44316</v>
      </c>
      <c r="K486" s="24">
        <f t="shared" si="32"/>
        <v>3</v>
      </c>
      <c r="L486" s="24">
        <f t="shared" si="33"/>
        <v>107</v>
      </c>
      <c r="M486" s="24">
        <v>2600000</v>
      </c>
    </row>
    <row r="487" spans="1:13" s="5" customFormat="1" outlineLevel="2">
      <c r="A487" s="39" t="s">
        <v>239</v>
      </c>
      <c r="B487" s="40" t="s">
        <v>106</v>
      </c>
      <c r="C487" s="41" t="s">
        <v>339</v>
      </c>
      <c r="D487" s="40" t="s">
        <v>338</v>
      </c>
      <c r="E487" s="24">
        <v>1000000</v>
      </c>
      <c r="F487" s="39">
        <v>44292</v>
      </c>
      <c r="G487" s="24">
        <v>1000000</v>
      </c>
      <c r="H487" s="23">
        <v>5.0000000000000001E-3</v>
      </c>
      <c r="I487" s="39">
        <v>44292</v>
      </c>
      <c r="J487" s="39">
        <v>44316</v>
      </c>
      <c r="K487" s="24">
        <f t="shared" si="32"/>
        <v>25</v>
      </c>
      <c r="L487" s="24">
        <f t="shared" si="33"/>
        <v>342</v>
      </c>
      <c r="M487" s="24">
        <v>1000000</v>
      </c>
    </row>
    <row r="488" spans="1:13" s="5" customFormat="1" outlineLevel="2">
      <c r="A488" s="39" t="s">
        <v>239</v>
      </c>
      <c r="B488" s="40" t="s">
        <v>59</v>
      </c>
      <c r="C488" s="41" t="s">
        <v>240</v>
      </c>
      <c r="D488" s="40" t="s">
        <v>241</v>
      </c>
      <c r="E488" s="24">
        <v>6665394</v>
      </c>
      <c r="F488" s="39">
        <v>44029</v>
      </c>
      <c r="G488" s="24">
        <v>6665394</v>
      </c>
      <c r="H488" s="23">
        <v>5.0000000000000001E-3</v>
      </c>
      <c r="I488" s="39">
        <v>44287</v>
      </c>
      <c r="J488" s="39">
        <v>44316</v>
      </c>
      <c r="K488" s="24">
        <f t="shared" si="32"/>
        <v>30</v>
      </c>
      <c r="L488" s="24">
        <f t="shared" si="33"/>
        <v>2739</v>
      </c>
      <c r="M488" s="24">
        <v>6665394</v>
      </c>
    </row>
    <row r="489" spans="1:13" s="5" customFormat="1" outlineLevel="2">
      <c r="A489" s="39" t="s">
        <v>239</v>
      </c>
      <c r="B489" s="40" t="s">
        <v>136</v>
      </c>
      <c r="C489" s="41" t="s">
        <v>345</v>
      </c>
      <c r="D489" s="40" t="s">
        <v>344</v>
      </c>
      <c r="E489" s="24">
        <v>10000000</v>
      </c>
      <c r="F489" s="39">
        <v>44315</v>
      </c>
      <c r="G489" s="24">
        <v>10000000</v>
      </c>
      <c r="H489" s="23">
        <v>3.0000000000000001E-3</v>
      </c>
      <c r="I489" s="39">
        <v>44315</v>
      </c>
      <c r="J489" s="39">
        <v>44316</v>
      </c>
      <c r="K489" s="24">
        <f t="shared" si="32"/>
        <v>2</v>
      </c>
      <c r="L489" s="24">
        <f t="shared" si="33"/>
        <v>164</v>
      </c>
      <c r="M489" s="24">
        <v>10000000</v>
      </c>
    </row>
    <row r="490" spans="1:13" s="5" customFormat="1" outlineLevel="2">
      <c r="A490" s="39" t="s">
        <v>239</v>
      </c>
      <c r="B490" s="40" t="s">
        <v>62</v>
      </c>
      <c r="C490" s="41" t="s">
        <v>240</v>
      </c>
      <c r="D490" s="40" t="s">
        <v>241</v>
      </c>
      <c r="E490" s="24">
        <v>12334606</v>
      </c>
      <c r="F490" s="39">
        <v>44029</v>
      </c>
      <c r="G490" s="24">
        <v>12334606</v>
      </c>
      <c r="H490" s="23">
        <v>5.0000000000000001E-3</v>
      </c>
      <c r="I490" s="39">
        <v>44287</v>
      </c>
      <c r="J490" s="39">
        <v>44316</v>
      </c>
      <c r="K490" s="24">
        <f t="shared" si="32"/>
        <v>30</v>
      </c>
      <c r="L490" s="24">
        <f t="shared" si="33"/>
        <v>5069</v>
      </c>
      <c r="M490" s="24">
        <v>12334606</v>
      </c>
    </row>
    <row r="491" spans="1:13" s="5" customFormat="1" outlineLevel="2">
      <c r="A491" s="39" t="s">
        <v>239</v>
      </c>
      <c r="B491" s="40" t="s">
        <v>63</v>
      </c>
      <c r="C491" s="41" t="s">
        <v>252</v>
      </c>
      <c r="D491" s="40" t="s">
        <v>253</v>
      </c>
      <c r="E491" s="24">
        <v>131500000</v>
      </c>
      <c r="F491" s="39">
        <v>44089</v>
      </c>
      <c r="G491" s="24">
        <v>131500000</v>
      </c>
      <c r="H491" s="23">
        <v>5.0000000000000001E-3</v>
      </c>
      <c r="I491" s="39">
        <v>44287</v>
      </c>
      <c r="J491" s="39">
        <v>44316</v>
      </c>
      <c r="K491" s="24">
        <f t="shared" si="32"/>
        <v>30</v>
      </c>
      <c r="L491" s="24">
        <f t="shared" si="33"/>
        <v>54041</v>
      </c>
      <c r="M491" s="24">
        <v>131500000</v>
      </c>
    </row>
    <row r="492" spans="1:13" s="5" customFormat="1" outlineLevel="2">
      <c r="A492" s="39" t="s">
        <v>239</v>
      </c>
      <c r="B492" s="40" t="s">
        <v>64</v>
      </c>
      <c r="C492" s="41" t="s">
        <v>109</v>
      </c>
      <c r="D492" s="40" t="s">
        <v>110</v>
      </c>
      <c r="E492" s="24">
        <v>10400000</v>
      </c>
      <c r="F492" s="39">
        <v>44096</v>
      </c>
      <c r="G492" s="24">
        <v>10400000</v>
      </c>
      <c r="H492" s="23">
        <v>5.0000000000000001E-3</v>
      </c>
      <c r="I492" s="39">
        <v>44287</v>
      </c>
      <c r="J492" s="39">
        <v>44316</v>
      </c>
      <c r="K492" s="24">
        <f t="shared" si="32"/>
        <v>30</v>
      </c>
      <c r="L492" s="24">
        <f t="shared" si="33"/>
        <v>4274</v>
      </c>
      <c r="M492" s="24">
        <v>10400000</v>
      </c>
    </row>
    <row r="493" spans="1:13" s="5" customFormat="1" outlineLevel="2">
      <c r="A493" s="39" t="s">
        <v>239</v>
      </c>
      <c r="B493" s="40" t="s">
        <v>65</v>
      </c>
      <c r="C493" s="41" t="s">
        <v>242</v>
      </c>
      <c r="D493" s="40" t="s">
        <v>243</v>
      </c>
      <c r="E493" s="24">
        <v>10000000</v>
      </c>
      <c r="F493" s="39">
        <v>44139</v>
      </c>
      <c r="G493" s="24">
        <v>10000000</v>
      </c>
      <c r="H493" s="23">
        <v>5.0000000000000001E-3</v>
      </c>
      <c r="I493" s="39">
        <v>44287</v>
      </c>
      <c r="J493" s="39">
        <v>44316</v>
      </c>
      <c r="K493" s="24">
        <f t="shared" si="32"/>
        <v>30</v>
      </c>
      <c r="L493" s="24">
        <f t="shared" si="33"/>
        <v>4110</v>
      </c>
      <c r="M493" s="24">
        <v>10000000</v>
      </c>
    </row>
    <row r="494" spans="1:13" s="5" customFormat="1" outlineLevel="2">
      <c r="A494" s="39" t="s">
        <v>239</v>
      </c>
      <c r="B494" s="40" t="s">
        <v>68</v>
      </c>
      <c r="C494" s="41" t="s">
        <v>242</v>
      </c>
      <c r="D494" s="40" t="s">
        <v>243</v>
      </c>
      <c r="E494" s="24">
        <v>10000000</v>
      </c>
      <c r="F494" s="39">
        <v>44152</v>
      </c>
      <c r="G494" s="24">
        <v>10000000</v>
      </c>
      <c r="H494" s="23">
        <v>5.0000000000000001E-3</v>
      </c>
      <c r="I494" s="39">
        <v>44287</v>
      </c>
      <c r="J494" s="39">
        <v>44316</v>
      </c>
      <c r="K494" s="24">
        <f t="shared" si="32"/>
        <v>30</v>
      </c>
      <c r="L494" s="24">
        <f t="shared" si="33"/>
        <v>4110</v>
      </c>
      <c r="M494" s="24">
        <v>10000000</v>
      </c>
    </row>
    <row r="495" spans="1:13" s="5" customFormat="1" outlineLevel="1">
      <c r="A495" s="42" t="s">
        <v>254</v>
      </c>
      <c r="B495" s="43"/>
      <c r="C495" s="44"/>
      <c r="D495" s="43"/>
      <c r="E495" s="45">
        <f>SUBTOTAL(9,E453:E494)</f>
        <v>1199229000</v>
      </c>
      <c r="F495" s="46"/>
      <c r="G495" s="45"/>
      <c r="H495" s="47"/>
      <c r="I495" s="46"/>
      <c r="J495" s="46"/>
      <c r="K495" s="45"/>
      <c r="L495" s="45">
        <f>SUBTOTAL(9,L453:L494)</f>
        <v>469125</v>
      </c>
      <c r="M495" s="45">
        <f>SUBTOTAL(9,M453:M494)</f>
        <v>1192856500</v>
      </c>
    </row>
    <row r="496" spans="1:13" s="5" customFormat="1" outlineLevel="2">
      <c r="A496" s="39" t="s">
        <v>255</v>
      </c>
      <c r="B496" s="40" t="s">
        <v>16</v>
      </c>
      <c r="C496" s="41" t="s">
        <v>20</v>
      </c>
      <c r="D496" s="40" t="s">
        <v>21</v>
      </c>
      <c r="E496" s="24">
        <v>330000000</v>
      </c>
      <c r="F496" s="39">
        <v>43915</v>
      </c>
      <c r="G496" s="24">
        <v>330000000</v>
      </c>
      <c r="H496" s="23">
        <v>5.0000000000000001E-3</v>
      </c>
      <c r="I496" s="39">
        <v>44287</v>
      </c>
      <c r="J496" s="39">
        <v>44316</v>
      </c>
      <c r="K496" s="24">
        <f>J496-I496+1</f>
        <v>30</v>
      </c>
      <c r="L496" s="24">
        <f>ROUND(G496*H496*K496/365,0)</f>
        <v>135616</v>
      </c>
      <c r="M496" s="24">
        <v>330000000</v>
      </c>
    </row>
    <row r="497" spans="1:13" s="5" customFormat="1" outlineLevel="2">
      <c r="A497" s="39" t="s">
        <v>255</v>
      </c>
      <c r="B497" s="40" t="s">
        <v>39</v>
      </c>
      <c r="C497" s="41" t="s">
        <v>20</v>
      </c>
      <c r="D497" s="40" t="s">
        <v>21</v>
      </c>
      <c r="E497" s="24">
        <v>93600000</v>
      </c>
      <c r="F497" s="39">
        <v>43955</v>
      </c>
      <c r="G497" s="24">
        <v>93600000</v>
      </c>
      <c r="H497" s="23">
        <v>5.0000000000000001E-3</v>
      </c>
      <c r="I497" s="39">
        <v>44287</v>
      </c>
      <c r="J497" s="39">
        <v>44316</v>
      </c>
      <c r="K497" s="24">
        <f>J497-I497+1</f>
        <v>30</v>
      </c>
      <c r="L497" s="24">
        <f>ROUND(G497*H497*K497/365,0)</f>
        <v>38466</v>
      </c>
      <c r="M497" s="24">
        <v>93600000</v>
      </c>
    </row>
    <row r="498" spans="1:13" s="5" customFormat="1" outlineLevel="2">
      <c r="A498" s="39" t="s">
        <v>255</v>
      </c>
      <c r="B498" s="40" t="s">
        <v>54</v>
      </c>
      <c r="C498" s="41" t="s">
        <v>20</v>
      </c>
      <c r="D498" s="40" t="s">
        <v>21</v>
      </c>
      <c r="E498" s="24">
        <v>576400000</v>
      </c>
      <c r="F498" s="39">
        <v>44013</v>
      </c>
      <c r="G498" s="24">
        <v>576400000</v>
      </c>
      <c r="H498" s="23">
        <v>5.0000000000000001E-3</v>
      </c>
      <c r="I498" s="39">
        <v>44287</v>
      </c>
      <c r="J498" s="39">
        <v>44316</v>
      </c>
      <c r="K498" s="24">
        <f>J498-I498+1</f>
        <v>30</v>
      </c>
      <c r="L498" s="24">
        <f>ROUND(G498*H498*K498/365,0)</f>
        <v>236877</v>
      </c>
      <c r="M498" s="24">
        <v>576400000</v>
      </c>
    </row>
    <row r="499" spans="1:13" s="5" customFormat="1" outlineLevel="1">
      <c r="A499" s="42" t="s">
        <v>256</v>
      </c>
      <c r="B499" s="43"/>
      <c r="C499" s="44"/>
      <c r="D499" s="43"/>
      <c r="E499" s="45">
        <f>SUBTOTAL(9,E496:E498)</f>
        <v>1000000000</v>
      </c>
      <c r="F499" s="46"/>
      <c r="G499" s="45"/>
      <c r="H499" s="47"/>
      <c r="I499" s="46"/>
      <c r="J499" s="46"/>
      <c r="K499" s="45"/>
      <c r="L499" s="45">
        <f>SUBTOTAL(9,L496:L498)</f>
        <v>410959</v>
      </c>
      <c r="M499" s="45">
        <f>SUBTOTAL(9,M496:M498)</f>
        <v>1000000000</v>
      </c>
    </row>
    <row r="500" spans="1:13" s="5" customFormat="1" outlineLevel="2">
      <c r="A500" s="39" t="s">
        <v>257</v>
      </c>
      <c r="B500" s="40" t="s">
        <v>16</v>
      </c>
      <c r="C500" s="41" t="s">
        <v>262</v>
      </c>
      <c r="D500" s="40" t="s">
        <v>259</v>
      </c>
      <c r="E500" s="24">
        <v>3400000</v>
      </c>
      <c r="F500" s="39">
        <v>43927</v>
      </c>
      <c r="G500" s="24">
        <v>3400000</v>
      </c>
      <c r="H500" s="23">
        <v>5.0000000000000001E-3</v>
      </c>
      <c r="I500" s="39">
        <v>44287</v>
      </c>
      <c r="J500" s="39">
        <v>44316</v>
      </c>
      <c r="K500" s="24">
        <f t="shared" ref="K500:K543" si="34">J500-I500+1</f>
        <v>30</v>
      </c>
      <c r="L500" s="24">
        <f t="shared" ref="L500:L543" si="35">ROUND(G500*H500*K500/365,0)</f>
        <v>1397</v>
      </c>
      <c r="M500" s="24">
        <v>3400000</v>
      </c>
    </row>
    <row r="501" spans="1:13" s="5" customFormat="1" outlineLevel="2">
      <c r="A501" s="39" t="s">
        <v>257</v>
      </c>
      <c r="B501" s="40" t="s">
        <v>19</v>
      </c>
      <c r="C501" s="41" t="s">
        <v>260</v>
      </c>
      <c r="D501" s="40" t="s">
        <v>261</v>
      </c>
      <c r="E501" s="24">
        <v>620000</v>
      </c>
      <c r="F501" s="39">
        <v>44148</v>
      </c>
      <c r="G501" s="24">
        <v>530000</v>
      </c>
      <c r="H501" s="23">
        <v>5.0000000000000001E-3</v>
      </c>
      <c r="I501" s="39">
        <v>44287</v>
      </c>
      <c r="J501" s="39">
        <v>44300</v>
      </c>
      <c r="K501" s="24">
        <f t="shared" si="34"/>
        <v>14</v>
      </c>
      <c r="L501" s="24">
        <f t="shared" si="35"/>
        <v>102</v>
      </c>
      <c r="M501" s="24">
        <v>520000</v>
      </c>
    </row>
    <row r="502" spans="1:13" s="5" customFormat="1" outlineLevel="2">
      <c r="A502" s="39" t="s">
        <v>257</v>
      </c>
      <c r="B502" s="40" t="s">
        <v>19</v>
      </c>
      <c r="C502" s="41" t="s">
        <v>260</v>
      </c>
      <c r="D502" s="40"/>
      <c r="E502" s="24"/>
      <c r="F502" s="39"/>
      <c r="G502" s="24">
        <v>520000</v>
      </c>
      <c r="H502" s="23">
        <v>5.0000000000000001E-3</v>
      </c>
      <c r="I502" s="39">
        <v>44301</v>
      </c>
      <c r="J502" s="39">
        <v>44316</v>
      </c>
      <c r="K502" s="24">
        <f t="shared" si="34"/>
        <v>16</v>
      </c>
      <c r="L502" s="24">
        <f t="shared" si="35"/>
        <v>114</v>
      </c>
      <c r="M502" s="24"/>
    </row>
    <row r="503" spans="1:13" s="5" customFormat="1" outlineLevel="2">
      <c r="A503" s="39" t="s">
        <v>257</v>
      </c>
      <c r="B503" s="40" t="s">
        <v>22</v>
      </c>
      <c r="C503" s="41" t="s">
        <v>260</v>
      </c>
      <c r="D503" s="40" t="s">
        <v>261</v>
      </c>
      <c r="E503" s="24">
        <v>3910000</v>
      </c>
      <c r="F503" s="39">
        <v>44165</v>
      </c>
      <c r="G503" s="24">
        <v>3604000</v>
      </c>
      <c r="H503" s="23">
        <v>5.0000000000000001E-3</v>
      </c>
      <c r="I503" s="39">
        <v>44287</v>
      </c>
      <c r="J503" s="39">
        <v>44300</v>
      </c>
      <c r="K503" s="24">
        <f t="shared" si="34"/>
        <v>14</v>
      </c>
      <c r="L503" s="24">
        <f t="shared" si="35"/>
        <v>691</v>
      </c>
      <c r="M503" s="24">
        <v>3536000</v>
      </c>
    </row>
    <row r="504" spans="1:13" s="5" customFormat="1" outlineLevel="2">
      <c r="A504" s="39" t="s">
        <v>257</v>
      </c>
      <c r="B504" s="40" t="s">
        <v>22</v>
      </c>
      <c r="C504" s="41" t="s">
        <v>260</v>
      </c>
      <c r="D504" s="40"/>
      <c r="E504" s="24"/>
      <c r="F504" s="39"/>
      <c r="G504" s="24">
        <v>3536000</v>
      </c>
      <c r="H504" s="23">
        <v>5.0000000000000001E-3</v>
      </c>
      <c r="I504" s="39">
        <v>44301</v>
      </c>
      <c r="J504" s="39">
        <v>44316</v>
      </c>
      <c r="K504" s="24">
        <f t="shared" si="34"/>
        <v>16</v>
      </c>
      <c r="L504" s="24">
        <f t="shared" si="35"/>
        <v>775</v>
      </c>
      <c r="M504" s="24"/>
    </row>
    <row r="505" spans="1:13" s="5" customFormat="1" outlineLevel="2">
      <c r="A505" s="39" t="s">
        <v>257</v>
      </c>
      <c r="B505" s="40" t="s">
        <v>25</v>
      </c>
      <c r="C505" s="41" t="s">
        <v>260</v>
      </c>
      <c r="D505" s="40" t="s">
        <v>261</v>
      </c>
      <c r="E505" s="24">
        <v>4030000</v>
      </c>
      <c r="F505" s="39">
        <v>44165</v>
      </c>
      <c r="G505" s="24">
        <v>3710000</v>
      </c>
      <c r="H505" s="23">
        <v>5.0000000000000001E-3</v>
      </c>
      <c r="I505" s="39">
        <v>44287</v>
      </c>
      <c r="J505" s="39">
        <v>44300</v>
      </c>
      <c r="K505" s="24">
        <f t="shared" si="34"/>
        <v>14</v>
      </c>
      <c r="L505" s="24">
        <f t="shared" si="35"/>
        <v>712</v>
      </c>
      <c r="M505" s="24">
        <v>3640000</v>
      </c>
    </row>
    <row r="506" spans="1:13" s="5" customFormat="1" outlineLevel="2">
      <c r="A506" s="39" t="s">
        <v>257</v>
      </c>
      <c r="B506" s="40" t="s">
        <v>25</v>
      </c>
      <c r="C506" s="41" t="s">
        <v>260</v>
      </c>
      <c r="D506" s="40"/>
      <c r="E506" s="24"/>
      <c r="F506" s="39"/>
      <c r="G506" s="24">
        <v>3640000</v>
      </c>
      <c r="H506" s="23">
        <v>5.0000000000000001E-3</v>
      </c>
      <c r="I506" s="39">
        <v>44301</v>
      </c>
      <c r="J506" s="39">
        <v>44316</v>
      </c>
      <c r="K506" s="24">
        <f t="shared" si="34"/>
        <v>16</v>
      </c>
      <c r="L506" s="24">
        <f t="shared" si="35"/>
        <v>798</v>
      </c>
      <c r="M506" s="24"/>
    </row>
    <row r="507" spans="1:13" s="5" customFormat="1" outlineLevel="2">
      <c r="A507" s="39" t="s">
        <v>257</v>
      </c>
      <c r="B507" s="40" t="s">
        <v>26</v>
      </c>
      <c r="C507" s="41" t="s">
        <v>260</v>
      </c>
      <c r="D507" s="40" t="s">
        <v>261</v>
      </c>
      <c r="E507" s="24">
        <v>570000</v>
      </c>
      <c r="F507" s="39">
        <v>44155</v>
      </c>
      <c r="G507" s="24">
        <v>570000</v>
      </c>
      <c r="H507" s="23">
        <v>5.0000000000000001E-3</v>
      </c>
      <c r="I507" s="39">
        <v>44287</v>
      </c>
      <c r="J507" s="39">
        <v>44316</v>
      </c>
      <c r="K507" s="24">
        <f t="shared" si="34"/>
        <v>30</v>
      </c>
      <c r="L507" s="24">
        <f t="shared" si="35"/>
        <v>234</v>
      </c>
      <c r="M507" s="24">
        <v>570000</v>
      </c>
    </row>
    <row r="508" spans="1:13" s="5" customFormat="1" outlineLevel="2">
      <c r="A508" s="39" t="s">
        <v>257</v>
      </c>
      <c r="B508" s="40" t="s">
        <v>29</v>
      </c>
      <c r="C508" s="41" t="s">
        <v>260</v>
      </c>
      <c r="D508" s="40" t="s">
        <v>261</v>
      </c>
      <c r="E508" s="24">
        <v>6000000</v>
      </c>
      <c r="F508" s="39">
        <v>44155</v>
      </c>
      <c r="G508" s="24">
        <v>6000000</v>
      </c>
      <c r="H508" s="23">
        <v>5.0000000000000001E-3</v>
      </c>
      <c r="I508" s="39">
        <v>44287</v>
      </c>
      <c r="J508" s="39">
        <v>44316</v>
      </c>
      <c r="K508" s="24">
        <f t="shared" si="34"/>
        <v>30</v>
      </c>
      <c r="L508" s="24">
        <f t="shared" si="35"/>
        <v>2466</v>
      </c>
      <c r="M508" s="24">
        <v>6000000</v>
      </c>
    </row>
    <row r="509" spans="1:13" s="5" customFormat="1" outlineLevel="2">
      <c r="A509" s="39" t="s">
        <v>257</v>
      </c>
      <c r="B509" s="40" t="s">
        <v>32</v>
      </c>
      <c r="C509" s="41" t="s">
        <v>260</v>
      </c>
      <c r="D509" s="40" t="s">
        <v>261</v>
      </c>
      <c r="E509" s="24">
        <v>270000</v>
      </c>
      <c r="F509" s="39">
        <v>44181</v>
      </c>
      <c r="G509" s="24">
        <v>212000</v>
      </c>
      <c r="H509" s="23">
        <v>5.0000000000000001E-3</v>
      </c>
      <c r="I509" s="39">
        <v>44287</v>
      </c>
      <c r="J509" s="39">
        <v>44300</v>
      </c>
      <c r="K509" s="24">
        <f t="shared" si="34"/>
        <v>14</v>
      </c>
      <c r="L509" s="24">
        <f t="shared" si="35"/>
        <v>41</v>
      </c>
      <c r="M509" s="24">
        <v>208000</v>
      </c>
    </row>
    <row r="510" spans="1:13" s="5" customFormat="1" outlineLevel="2">
      <c r="A510" s="39" t="s">
        <v>257</v>
      </c>
      <c r="B510" s="40" t="s">
        <v>32</v>
      </c>
      <c r="C510" s="41" t="s">
        <v>260</v>
      </c>
      <c r="D510" s="40"/>
      <c r="E510" s="24"/>
      <c r="F510" s="39"/>
      <c r="G510" s="24">
        <v>208000</v>
      </c>
      <c r="H510" s="23">
        <v>5.0000000000000001E-3</v>
      </c>
      <c r="I510" s="39">
        <v>44301</v>
      </c>
      <c r="J510" s="39">
        <v>44316</v>
      </c>
      <c r="K510" s="24">
        <f t="shared" si="34"/>
        <v>16</v>
      </c>
      <c r="L510" s="24">
        <f t="shared" si="35"/>
        <v>46</v>
      </c>
      <c r="M510" s="24"/>
    </row>
    <row r="511" spans="1:13" s="5" customFormat="1" outlineLevel="2">
      <c r="A511" s="39" t="s">
        <v>257</v>
      </c>
      <c r="B511" s="40" t="s">
        <v>33</v>
      </c>
      <c r="C511" s="41" t="s">
        <v>260</v>
      </c>
      <c r="D511" s="40" t="s">
        <v>261</v>
      </c>
      <c r="E511" s="24">
        <v>2400000</v>
      </c>
      <c r="F511" s="39">
        <v>44181</v>
      </c>
      <c r="G511" s="24">
        <v>2400000</v>
      </c>
      <c r="H511" s="23">
        <v>5.0000000000000001E-3</v>
      </c>
      <c r="I511" s="39">
        <v>44287</v>
      </c>
      <c r="J511" s="39">
        <v>44316</v>
      </c>
      <c r="K511" s="24">
        <f t="shared" si="34"/>
        <v>30</v>
      </c>
      <c r="L511" s="24">
        <f t="shared" si="35"/>
        <v>986</v>
      </c>
      <c r="M511" s="24">
        <v>2400000</v>
      </c>
    </row>
    <row r="512" spans="1:13" s="5" customFormat="1" outlineLevel="2">
      <c r="A512" s="39" t="s">
        <v>257</v>
      </c>
      <c r="B512" s="40" t="s">
        <v>34</v>
      </c>
      <c r="C512" s="41" t="s">
        <v>260</v>
      </c>
      <c r="D512" s="40" t="s">
        <v>261</v>
      </c>
      <c r="E512" s="24">
        <v>11000000</v>
      </c>
      <c r="F512" s="39">
        <v>44181</v>
      </c>
      <c r="G512" s="24">
        <v>11000000</v>
      </c>
      <c r="H512" s="23">
        <v>5.0000000000000001E-3</v>
      </c>
      <c r="I512" s="39">
        <v>44287</v>
      </c>
      <c r="J512" s="39">
        <v>44316</v>
      </c>
      <c r="K512" s="24">
        <f t="shared" si="34"/>
        <v>30</v>
      </c>
      <c r="L512" s="24">
        <f t="shared" si="35"/>
        <v>4521</v>
      </c>
      <c r="M512" s="24">
        <v>11000000</v>
      </c>
    </row>
    <row r="513" spans="1:13" s="5" customFormat="1" outlineLevel="2">
      <c r="A513" s="39" t="s">
        <v>257</v>
      </c>
      <c r="B513" s="40" t="s">
        <v>35</v>
      </c>
      <c r="C513" s="41" t="s">
        <v>260</v>
      </c>
      <c r="D513" s="40" t="s">
        <v>261</v>
      </c>
      <c r="E513" s="24">
        <v>220000</v>
      </c>
      <c r="F513" s="39">
        <v>44215</v>
      </c>
      <c r="G513" s="24">
        <v>212000</v>
      </c>
      <c r="H513" s="23">
        <v>5.0000000000000001E-3</v>
      </c>
      <c r="I513" s="39">
        <v>44287</v>
      </c>
      <c r="J513" s="39">
        <v>44300</v>
      </c>
      <c r="K513" s="24">
        <f t="shared" si="34"/>
        <v>14</v>
      </c>
      <c r="L513" s="24">
        <f t="shared" si="35"/>
        <v>41</v>
      </c>
      <c r="M513" s="24">
        <v>208000</v>
      </c>
    </row>
    <row r="514" spans="1:13" s="5" customFormat="1" outlineLevel="2">
      <c r="A514" s="39" t="s">
        <v>257</v>
      </c>
      <c r="B514" s="40" t="s">
        <v>35</v>
      </c>
      <c r="C514" s="41" t="s">
        <v>260</v>
      </c>
      <c r="D514" s="40"/>
      <c r="E514" s="24"/>
      <c r="F514" s="39"/>
      <c r="G514" s="24">
        <v>208000</v>
      </c>
      <c r="H514" s="23">
        <v>5.0000000000000001E-3</v>
      </c>
      <c r="I514" s="39">
        <v>44301</v>
      </c>
      <c r="J514" s="39">
        <v>44316</v>
      </c>
      <c r="K514" s="24">
        <f t="shared" si="34"/>
        <v>16</v>
      </c>
      <c r="L514" s="24">
        <f t="shared" si="35"/>
        <v>46</v>
      </c>
      <c r="M514" s="24"/>
    </row>
    <row r="515" spans="1:13" s="5" customFormat="1" outlineLevel="2">
      <c r="A515" s="39" t="s">
        <v>257</v>
      </c>
      <c r="B515" s="40" t="s">
        <v>36</v>
      </c>
      <c r="C515" s="41" t="s">
        <v>260</v>
      </c>
      <c r="D515" s="40" t="s">
        <v>261</v>
      </c>
      <c r="E515" s="24">
        <v>1000000</v>
      </c>
      <c r="F515" s="39">
        <v>44215</v>
      </c>
      <c r="G515" s="24">
        <v>954000</v>
      </c>
      <c r="H515" s="23">
        <v>5.0000000000000001E-3</v>
      </c>
      <c r="I515" s="39">
        <v>44287</v>
      </c>
      <c r="J515" s="39">
        <v>44300</v>
      </c>
      <c r="K515" s="24">
        <f t="shared" si="34"/>
        <v>14</v>
      </c>
      <c r="L515" s="24">
        <f t="shared" si="35"/>
        <v>183</v>
      </c>
      <c r="M515" s="24">
        <v>936000</v>
      </c>
    </row>
    <row r="516" spans="1:13" s="5" customFormat="1" outlineLevel="2">
      <c r="A516" s="39" t="s">
        <v>257</v>
      </c>
      <c r="B516" s="40" t="s">
        <v>36</v>
      </c>
      <c r="C516" s="41" t="s">
        <v>260</v>
      </c>
      <c r="D516" s="40"/>
      <c r="E516" s="24"/>
      <c r="F516" s="39"/>
      <c r="G516" s="24">
        <v>936000</v>
      </c>
      <c r="H516" s="23">
        <v>5.0000000000000001E-3</v>
      </c>
      <c r="I516" s="39">
        <v>44301</v>
      </c>
      <c r="J516" s="39">
        <v>44316</v>
      </c>
      <c r="K516" s="24">
        <f t="shared" si="34"/>
        <v>16</v>
      </c>
      <c r="L516" s="24">
        <f t="shared" si="35"/>
        <v>205</v>
      </c>
      <c r="M516" s="24"/>
    </row>
    <row r="517" spans="1:13" s="5" customFormat="1" outlineLevel="2">
      <c r="A517" s="39" t="s">
        <v>257</v>
      </c>
      <c r="B517" s="40" t="s">
        <v>39</v>
      </c>
      <c r="C517" s="41" t="s">
        <v>262</v>
      </c>
      <c r="D517" s="40" t="s">
        <v>259</v>
      </c>
      <c r="E517" s="24">
        <v>70440000</v>
      </c>
      <c r="F517" s="39">
        <v>43951</v>
      </c>
      <c r="G517" s="24">
        <v>70440000</v>
      </c>
      <c r="H517" s="23">
        <v>5.0000000000000001E-3</v>
      </c>
      <c r="I517" s="39">
        <v>44287</v>
      </c>
      <c r="J517" s="39">
        <v>44316</v>
      </c>
      <c r="K517" s="24">
        <f t="shared" si="34"/>
        <v>30</v>
      </c>
      <c r="L517" s="24">
        <f t="shared" si="35"/>
        <v>28948</v>
      </c>
      <c r="M517" s="24">
        <v>70440000</v>
      </c>
    </row>
    <row r="518" spans="1:13" s="5" customFormat="1" outlineLevel="2">
      <c r="A518" s="39" t="s">
        <v>257</v>
      </c>
      <c r="B518" s="40" t="s">
        <v>40</v>
      </c>
      <c r="C518" s="41" t="s">
        <v>262</v>
      </c>
      <c r="D518" s="40" t="s">
        <v>259</v>
      </c>
      <c r="E518" s="24">
        <v>54250000</v>
      </c>
      <c r="F518" s="39">
        <v>44228</v>
      </c>
      <c r="G518" s="24">
        <v>54250000</v>
      </c>
      <c r="H518" s="23">
        <v>5.0000000000000001E-3</v>
      </c>
      <c r="I518" s="39">
        <v>44287</v>
      </c>
      <c r="J518" s="39">
        <v>44316</v>
      </c>
      <c r="K518" s="24">
        <f t="shared" si="34"/>
        <v>30</v>
      </c>
      <c r="L518" s="24">
        <f t="shared" si="35"/>
        <v>22295</v>
      </c>
      <c r="M518" s="24">
        <v>54250000</v>
      </c>
    </row>
    <row r="519" spans="1:13" s="5" customFormat="1" outlineLevel="2">
      <c r="A519" s="39" t="s">
        <v>257</v>
      </c>
      <c r="B519" s="40" t="s">
        <v>41</v>
      </c>
      <c r="C519" s="41" t="s">
        <v>304</v>
      </c>
      <c r="D519" s="40" t="s">
        <v>303</v>
      </c>
      <c r="E519" s="24">
        <v>40000000</v>
      </c>
      <c r="F519" s="39">
        <v>44229</v>
      </c>
      <c r="G519" s="24">
        <v>40000000</v>
      </c>
      <c r="H519" s="23">
        <v>5.0000000000000001E-3</v>
      </c>
      <c r="I519" s="39">
        <v>44287</v>
      </c>
      <c r="J519" s="39">
        <v>44316</v>
      </c>
      <c r="K519" s="24">
        <f t="shared" si="34"/>
        <v>30</v>
      </c>
      <c r="L519" s="24">
        <f t="shared" si="35"/>
        <v>16438</v>
      </c>
      <c r="M519" s="24">
        <v>40000000</v>
      </c>
    </row>
    <row r="520" spans="1:13" s="5" customFormat="1" outlineLevel="2">
      <c r="A520" s="39" t="s">
        <v>257</v>
      </c>
      <c r="B520" s="40" t="s">
        <v>42</v>
      </c>
      <c r="C520" s="41" t="s">
        <v>304</v>
      </c>
      <c r="D520" s="40" t="s">
        <v>303</v>
      </c>
      <c r="E520" s="24">
        <v>38000000</v>
      </c>
      <c r="F520" s="39">
        <v>44245</v>
      </c>
      <c r="G520" s="24">
        <v>38000000</v>
      </c>
      <c r="H520" s="23">
        <v>5.0000000000000001E-3</v>
      </c>
      <c r="I520" s="39">
        <v>44287</v>
      </c>
      <c r="J520" s="39">
        <v>44316</v>
      </c>
      <c r="K520" s="24">
        <f t="shared" si="34"/>
        <v>30</v>
      </c>
      <c r="L520" s="24">
        <f t="shared" si="35"/>
        <v>15616</v>
      </c>
      <c r="M520" s="24">
        <v>38000000</v>
      </c>
    </row>
    <row r="521" spans="1:13" s="5" customFormat="1" outlineLevel="2">
      <c r="A521" s="39" t="s">
        <v>257</v>
      </c>
      <c r="B521" s="40" t="s">
        <v>43</v>
      </c>
      <c r="C521" s="41" t="s">
        <v>89</v>
      </c>
      <c r="D521" s="40" t="s">
        <v>90</v>
      </c>
      <c r="E521" s="24">
        <v>66000000</v>
      </c>
      <c r="F521" s="39">
        <v>44270</v>
      </c>
      <c r="G521" s="24">
        <v>66000000</v>
      </c>
      <c r="H521" s="23">
        <v>5.0000000000000001E-3</v>
      </c>
      <c r="I521" s="39">
        <v>44287</v>
      </c>
      <c r="J521" s="39">
        <v>44316</v>
      </c>
      <c r="K521" s="24">
        <f t="shared" si="34"/>
        <v>30</v>
      </c>
      <c r="L521" s="24">
        <f t="shared" si="35"/>
        <v>27123</v>
      </c>
      <c r="M521" s="24">
        <v>66000000</v>
      </c>
    </row>
    <row r="522" spans="1:13" s="5" customFormat="1" outlineLevel="2">
      <c r="A522" s="39" t="s">
        <v>257</v>
      </c>
      <c r="B522" s="40" t="s">
        <v>44</v>
      </c>
      <c r="C522" s="41" t="s">
        <v>260</v>
      </c>
      <c r="D522" s="40" t="s">
        <v>261</v>
      </c>
      <c r="E522" s="24">
        <v>10800000</v>
      </c>
      <c r="F522" s="39">
        <v>44273</v>
      </c>
      <c r="G522" s="24">
        <v>10800000</v>
      </c>
      <c r="H522" s="23">
        <v>5.0000000000000001E-3</v>
      </c>
      <c r="I522" s="39">
        <v>44287</v>
      </c>
      <c r="J522" s="39">
        <v>44316</v>
      </c>
      <c r="K522" s="24">
        <f t="shared" si="34"/>
        <v>30</v>
      </c>
      <c r="L522" s="24">
        <f t="shared" si="35"/>
        <v>4438</v>
      </c>
      <c r="M522" s="24">
        <v>10800000</v>
      </c>
    </row>
    <row r="523" spans="1:13" s="5" customFormat="1" outlineLevel="2">
      <c r="A523" s="39" t="s">
        <v>257</v>
      </c>
      <c r="B523" s="40" t="s">
        <v>47</v>
      </c>
      <c r="C523" s="41" t="s">
        <v>260</v>
      </c>
      <c r="D523" s="40" t="s">
        <v>261</v>
      </c>
      <c r="E523" s="24">
        <v>1720000</v>
      </c>
      <c r="F523" s="39">
        <v>44285</v>
      </c>
      <c r="G523" s="24">
        <v>1720000</v>
      </c>
      <c r="H523" s="23">
        <v>5.0000000000000001E-3</v>
      </c>
      <c r="I523" s="39">
        <v>44287</v>
      </c>
      <c r="J523" s="39">
        <v>44316</v>
      </c>
      <c r="K523" s="24">
        <f t="shared" si="34"/>
        <v>30</v>
      </c>
      <c r="L523" s="24">
        <f t="shared" si="35"/>
        <v>707</v>
      </c>
      <c r="M523" s="24">
        <v>1720000</v>
      </c>
    </row>
    <row r="524" spans="1:13" s="5" customFormat="1" outlineLevel="2">
      <c r="A524" s="39" t="s">
        <v>257</v>
      </c>
      <c r="B524" s="40" t="s">
        <v>50</v>
      </c>
      <c r="C524" s="41" t="s">
        <v>324</v>
      </c>
      <c r="D524" s="40" t="s">
        <v>323</v>
      </c>
      <c r="E524" s="24">
        <v>28800000</v>
      </c>
      <c r="F524" s="39">
        <v>44271</v>
      </c>
      <c r="G524" s="24">
        <v>28800000</v>
      </c>
      <c r="H524" s="23">
        <v>5.0000000000000001E-3</v>
      </c>
      <c r="I524" s="39">
        <v>44287</v>
      </c>
      <c r="J524" s="39">
        <v>44300</v>
      </c>
      <c r="K524" s="24">
        <f t="shared" si="34"/>
        <v>14</v>
      </c>
      <c r="L524" s="24">
        <f t="shared" si="35"/>
        <v>5523</v>
      </c>
      <c r="M524" s="24">
        <v>28560000</v>
      </c>
    </row>
    <row r="525" spans="1:13" s="5" customFormat="1" outlineLevel="2">
      <c r="A525" s="39" t="s">
        <v>257</v>
      </c>
      <c r="B525" s="40" t="s">
        <v>50</v>
      </c>
      <c r="C525" s="41" t="s">
        <v>324</v>
      </c>
      <c r="D525" s="40"/>
      <c r="E525" s="24"/>
      <c r="F525" s="39"/>
      <c r="G525" s="24">
        <v>28560000</v>
      </c>
      <c r="H525" s="23">
        <v>5.0000000000000001E-3</v>
      </c>
      <c r="I525" s="39">
        <v>44301</v>
      </c>
      <c r="J525" s="39">
        <v>44316</v>
      </c>
      <c r="K525" s="24">
        <f t="shared" si="34"/>
        <v>16</v>
      </c>
      <c r="L525" s="24">
        <f t="shared" si="35"/>
        <v>6260</v>
      </c>
      <c r="M525" s="24"/>
    </row>
    <row r="526" spans="1:13" s="5" customFormat="1" outlineLevel="2">
      <c r="A526" s="39" t="s">
        <v>257</v>
      </c>
      <c r="B526" s="40" t="s">
        <v>51</v>
      </c>
      <c r="C526" s="41" t="s">
        <v>324</v>
      </c>
      <c r="D526" s="40" t="s">
        <v>323</v>
      </c>
      <c r="E526" s="24">
        <v>45270000</v>
      </c>
      <c r="F526" s="39">
        <v>44271</v>
      </c>
      <c r="G526" s="24">
        <v>45270000</v>
      </c>
      <c r="H526" s="23">
        <v>5.0000000000000001E-3</v>
      </c>
      <c r="I526" s="39">
        <v>44287</v>
      </c>
      <c r="J526" s="39">
        <v>44300</v>
      </c>
      <c r="K526" s="24">
        <f t="shared" si="34"/>
        <v>14</v>
      </c>
      <c r="L526" s="24">
        <f t="shared" si="35"/>
        <v>8682</v>
      </c>
      <c r="M526" s="24">
        <v>44892750</v>
      </c>
    </row>
    <row r="527" spans="1:13" s="5" customFormat="1" outlineLevel="2">
      <c r="A527" s="39" t="s">
        <v>257</v>
      </c>
      <c r="B527" s="40" t="s">
        <v>51</v>
      </c>
      <c r="C527" s="41" t="s">
        <v>324</v>
      </c>
      <c r="D527" s="40"/>
      <c r="E527" s="24"/>
      <c r="F527" s="39"/>
      <c r="G527" s="24">
        <v>44892750</v>
      </c>
      <c r="H527" s="23">
        <v>5.0000000000000001E-3</v>
      </c>
      <c r="I527" s="39">
        <v>44301</v>
      </c>
      <c r="J527" s="39">
        <v>44316</v>
      </c>
      <c r="K527" s="24">
        <f t="shared" si="34"/>
        <v>16</v>
      </c>
      <c r="L527" s="24">
        <f t="shared" si="35"/>
        <v>9840</v>
      </c>
      <c r="M527" s="24"/>
    </row>
    <row r="528" spans="1:13" s="5" customFormat="1" outlineLevel="2">
      <c r="A528" s="39" t="s">
        <v>257</v>
      </c>
      <c r="B528" s="40" t="s">
        <v>52</v>
      </c>
      <c r="C528" s="41" t="s">
        <v>324</v>
      </c>
      <c r="D528" s="40" t="s">
        <v>323</v>
      </c>
      <c r="E528" s="24">
        <v>32000000</v>
      </c>
      <c r="F528" s="39">
        <v>44271</v>
      </c>
      <c r="G528" s="24">
        <v>32000000</v>
      </c>
      <c r="H528" s="23">
        <v>5.0000000000000001E-3</v>
      </c>
      <c r="I528" s="39">
        <v>44287</v>
      </c>
      <c r="J528" s="39">
        <v>44300</v>
      </c>
      <c r="K528" s="24">
        <f t="shared" si="34"/>
        <v>14</v>
      </c>
      <c r="L528" s="24">
        <f t="shared" si="35"/>
        <v>6137</v>
      </c>
      <c r="M528" s="24">
        <v>31619048</v>
      </c>
    </row>
    <row r="529" spans="1:13" s="5" customFormat="1" outlineLevel="2">
      <c r="A529" s="39" t="s">
        <v>257</v>
      </c>
      <c r="B529" s="40" t="s">
        <v>52</v>
      </c>
      <c r="C529" s="41" t="s">
        <v>324</v>
      </c>
      <c r="D529" s="40"/>
      <c r="E529" s="24"/>
      <c r="F529" s="39"/>
      <c r="G529" s="24">
        <v>31619048</v>
      </c>
      <c r="H529" s="23">
        <v>5.0000000000000001E-3</v>
      </c>
      <c r="I529" s="39">
        <v>44301</v>
      </c>
      <c r="J529" s="39">
        <v>44316</v>
      </c>
      <c r="K529" s="24">
        <f t="shared" si="34"/>
        <v>16</v>
      </c>
      <c r="L529" s="24">
        <f t="shared" si="35"/>
        <v>6930</v>
      </c>
      <c r="M529" s="24"/>
    </row>
    <row r="530" spans="1:13" s="5" customFormat="1" outlineLevel="2">
      <c r="A530" s="39" t="s">
        <v>257</v>
      </c>
      <c r="B530" s="40" t="s">
        <v>53</v>
      </c>
      <c r="C530" s="41" t="s">
        <v>262</v>
      </c>
      <c r="D530" s="40" t="s">
        <v>259</v>
      </c>
      <c r="E530" s="24">
        <v>21700000</v>
      </c>
      <c r="F530" s="39">
        <v>44287</v>
      </c>
      <c r="G530" s="24">
        <v>21700000</v>
      </c>
      <c r="H530" s="23">
        <v>5.0000000000000001E-3</v>
      </c>
      <c r="I530" s="39">
        <v>44287</v>
      </c>
      <c r="J530" s="39">
        <v>44316</v>
      </c>
      <c r="K530" s="24">
        <f t="shared" si="34"/>
        <v>30</v>
      </c>
      <c r="L530" s="24">
        <f t="shared" si="35"/>
        <v>8918</v>
      </c>
      <c r="M530" s="24">
        <v>21700000</v>
      </c>
    </row>
    <row r="531" spans="1:13" s="5" customFormat="1" outlineLevel="2">
      <c r="A531" s="39" t="s">
        <v>257</v>
      </c>
      <c r="B531" s="40" t="s">
        <v>54</v>
      </c>
      <c r="C531" s="41" t="s">
        <v>248</v>
      </c>
      <c r="D531" s="40" t="s">
        <v>249</v>
      </c>
      <c r="E531" s="24">
        <v>182300000</v>
      </c>
      <c r="F531" s="39">
        <v>43959</v>
      </c>
      <c r="G531" s="24">
        <v>182300000</v>
      </c>
      <c r="H531" s="23">
        <v>5.0000000000000001E-3</v>
      </c>
      <c r="I531" s="39">
        <v>44287</v>
      </c>
      <c r="J531" s="39">
        <v>44316</v>
      </c>
      <c r="K531" s="24">
        <f t="shared" si="34"/>
        <v>30</v>
      </c>
      <c r="L531" s="24">
        <f t="shared" si="35"/>
        <v>74918</v>
      </c>
      <c r="M531" s="24">
        <v>182300000</v>
      </c>
    </row>
    <row r="532" spans="1:13" s="5" customFormat="1" outlineLevel="2">
      <c r="A532" s="39" t="s">
        <v>257</v>
      </c>
      <c r="B532" s="40" t="s">
        <v>57</v>
      </c>
      <c r="C532" s="41" t="s">
        <v>260</v>
      </c>
      <c r="D532" s="40" t="s">
        <v>261</v>
      </c>
      <c r="E532" s="24">
        <v>20900000</v>
      </c>
      <c r="F532" s="39">
        <v>44300</v>
      </c>
      <c r="G532" s="24">
        <v>20900000</v>
      </c>
      <c r="H532" s="23">
        <v>5.0000000000000001E-3</v>
      </c>
      <c r="I532" s="39">
        <v>44300</v>
      </c>
      <c r="J532" s="39">
        <v>44300</v>
      </c>
      <c r="K532" s="24">
        <f t="shared" si="34"/>
        <v>1</v>
      </c>
      <c r="L532" s="24">
        <f t="shared" si="35"/>
        <v>286</v>
      </c>
      <c r="M532" s="24">
        <v>20280000</v>
      </c>
    </row>
    <row r="533" spans="1:13" s="5" customFormat="1" outlineLevel="2">
      <c r="A533" s="39" t="s">
        <v>257</v>
      </c>
      <c r="B533" s="40" t="s">
        <v>57</v>
      </c>
      <c r="C533" s="41" t="s">
        <v>260</v>
      </c>
      <c r="D533" s="40"/>
      <c r="E533" s="24"/>
      <c r="F533" s="39"/>
      <c r="G533" s="24">
        <v>20280000</v>
      </c>
      <c r="H533" s="23">
        <v>5.0000000000000001E-3</v>
      </c>
      <c r="I533" s="39">
        <v>44301</v>
      </c>
      <c r="J533" s="39">
        <v>44316</v>
      </c>
      <c r="K533" s="24">
        <f t="shared" si="34"/>
        <v>16</v>
      </c>
      <c r="L533" s="24">
        <f t="shared" si="35"/>
        <v>4445</v>
      </c>
      <c r="M533" s="24"/>
    </row>
    <row r="534" spans="1:13" s="5" customFormat="1" outlineLevel="2">
      <c r="A534" s="39" t="s">
        <v>257</v>
      </c>
      <c r="B534" s="40" t="s">
        <v>59</v>
      </c>
      <c r="C534" s="41" t="s">
        <v>260</v>
      </c>
      <c r="D534" s="40" t="s">
        <v>261</v>
      </c>
      <c r="E534" s="24">
        <v>610000</v>
      </c>
      <c r="F534" s="39">
        <v>44085</v>
      </c>
      <c r="G534" s="24">
        <v>530000</v>
      </c>
      <c r="H534" s="23">
        <v>5.0000000000000001E-3</v>
      </c>
      <c r="I534" s="39">
        <v>44287</v>
      </c>
      <c r="J534" s="39">
        <v>44300</v>
      </c>
      <c r="K534" s="24">
        <f t="shared" si="34"/>
        <v>14</v>
      </c>
      <c r="L534" s="24">
        <f t="shared" si="35"/>
        <v>102</v>
      </c>
      <c r="M534" s="24">
        <v>520000</v>
      </c>
    </row>
    <row r="535" spans="1:13" s="5" customFormat="1" outlineLevel="2">
      <c r="A535" s="39" t="s">
        <v>257</v>
      </c>
      <c r="B535" s="40" t="s">
        <v>59</v>
      </c>
      <c r="C535" s="41" t="s">
        <v>260</v>
      </c>
      <c r="D535" s="40"/>
      <c r="E535" s="24"/>
      <c r="F535" s="39"/>
      <c r="G535" s="24">
        <v>520000</v>
      </c>
      <c r="H535" s="23">
        <v>5.0000000000000001E-3</v>
      </c>
      <c r="I535" s="39">
        <v>44301</v>
      </c>
      <c r="J535" s="39">
        <v>44316</v>
      </c>
      <c r="K535" s="24">
        <f t="shared" si="34"/>
        <v>16</v>
      </c>
      <c r="L535" s="24">
        <f t="shared" si="35"/>
        <v>114</v>
      </c>
      <c r="M535" s="24"/>
    </row>
    <row r="536" spans="1:13" s="5" customFormat="1" outlineLevel="2">
      <c r="A536" s="39" t="s">
        <v>257</v>
      </c>
      <c r="B536" s="40" t="s">
        <v>62</v>
      </c>
      <c r="C536" s="41" t="s">
        <v>262</v>
      </c>
      <c r="D536" s="40" t="s">
        <v>259</v>
      </c>
      <c r="E536" s="24">
        <v>18080000</v>
      </c>
      <c r="F536" s="39">
        <v>44102</v>
      </c>
      <c r="G536" s="24">
        <v>18080000</v>
      </c>
      <c r="H536" s="23">
        <v>5.0000000000000001E-3</v>
      </c>
      <c r="I536" s="39">
        <v>44287</v>
      </c>
      <c r="J536" s="39">
        <v>44316</v>
      </c>
      <c r="K536" s="24">
        <f t="shared" si="34"/>
        <v>30</v>
      </c>
      <c r="L536" s="24">
        <f t="shared" si="35"/>
        <v>7430</v>
      </c>
      <c r="M536" s="24">
        <v>18080000</v>
      </c>
    </row>
    <row r="537" spans="1:13" s="5" customFormat="1" outlineLevel="2">
      <c r="A537" s="39" t="s">
        <v>257</v>
      </c>
      <c r="B537" s="40" t="s">
        <v>63</v>
      </c>
      <c r="C537" s="41" t="s">
        <v>262</v>
      </c>
      <c r="D537" s="40" t="s">
        <v>259</v>
      </c>
      <c r="E537" s="24">
        <v>50630000</v>
      </c>
      <c r="F537" s="39">
        <v>44131</v>
      </c>
      <c r="G537" s="24">
        <v>50630000</v>
      </c>
      <c r="H537" s="23">
        <v>5.0000000000000001E-3</v>
      </c>
      <c r="I537" s="39">
        <v>44287</v>
      </c>
      <c r="J537" s="39">
        <v>44316</v>
      </c>
      <c r="K537" s="24">
        <f t="shared" si="34"/>
        <v>30</v>
      </c>
      <c r="L537" s="24">
        <f t="shared" si="35"/>
        <v>20807</v>
      </c>
      <c r="M537" s="24">
        <v>50630000</v>
      </c>
    </row>
    <row r="538" spans="1:13" s="5" customFormat="1" outlineLevel="2">
      <c r="A538" s="39" t="s">
        <v>257</v>
      </c>
      <c r="B538" s="40" t="s">
        <v>64</v>
      </c>
      <c r="C538" s="41" t="s">
        <v>260</v>
      </c>
      <c r="D538" s="40" t="s">
        <v>261</v>
      </c>
      <c r="E538" s="24">
        <v>710000</v>
      </c>
      <c r="F538" s="39">
        <v>44110</v>
      </c>
      <c r="G538" s="24">
        <v>636000</v>
      </c>
      <c r="H538" s="23">
        <v>5.0000000000000001E-3</v>
      </c>
      <c r="I538" s="39">
        <v>44287</v>
      </c>
      <c r="J538" s="39">
        <v>44300</v>
      </c>
      <c r="K538" s="24">
        <f t="shared" si="34"/>
        <v>14</v>
      </c>
      <c r="L538" s="24">
        <f t="shared" si="35"/>
        <v>122</v>
      </c>
      <c r="M538" s="24">
        <v>624000</v>
      </c>
    </row>
    <row r="539" spans="1:13" s="5" customFormat="1" outlineLevel="2">
      <c r="A539" s="39" t="s">
        <v>257</v>
      </c>
      <c r="B539" s="40" t="s">
        <v>64</v>
      </c>
      <c r="C539" s="41" t="s">
        <v>260</v>
      </c>
      <c r="D539" s="40"/>
      <c r="E539" s="24"/>
      <c r="F539" s="39"/>
      <c r="G539" s="24">
        <v>624000</v>
      </c>
      <c r="H539" s="23">
        <v>5.0000000000000001E-3</v>
      </c>
      <c r="I539" s="39">
        <v>44301</v>
      </c>
      <c r="J539" s="39">
        <v>44316</v>
      </c>
      <c r="K539" s="24">
        <f t="shared" si="34"/>
        <v>16</v>
      </c>
      <c r="L539" s="24">
        <f t="shared" si="35"/>
        <v>137</v>
      </c>
      <c r="M539" s="24"/>
    </row>
    <row r="540" spans="1:13" s="5" customFormat="1" outlineLevel="2">
      <c r="A540" s="39" t="s">
        <v>257</v>
      </c>
      <c r="B540" s="40" t="s">
        <v>65</v>
      </c>
      <c r="C540" s="41" t="s">
        <v>260</v>
      </c>
      <c r="D540" s="40" t="s">
        <v>261</v>
      </c>
      <c r="E540" s="24">
        <v>830000</v>
      </c>
      <c r="F540" s="39">
        <v>44137</v>
      </c>
      <c r="G540" s="24">
        <v>742000</v>
      </c>
      <c r="H540" s="23">
        <v>5.0000000000000001E-3</v>
      </c>
      <c r="I540" s="39">
        <v>44287</v>
      </c>
      <c r="J540" s="39">
        <v>44300</v>
      </c>
      <c r="K540" s="24">
        <f t="shared" si="34"/>
        <v>14</v>
      </c>
      <c r="L540" s="24">
        <f t="shared" si="35"/>
        <v>142</v>
      </c>
      <c r="M540" s="24">
        <v>728000</v>
      </c>
    </row>
    <row r="541" spans="1:13" s="5" customFormat="1" outlineLevel="2">
      <c r="A541" s="39" t="s">
        <v>257</v>
      </c>
      <c r="B541" s="40" t="s">
        <v>65</v>
      </c>
      <c r="C541" s="41" t="s">
        <v>260</v>
      </c>
      <c r="D541" s="40"/>
      <c r="E541" s="24"/>
      <c r="F541" s="39"/>
      <c r="G541" s="24">
        <v>728000</v>
      </c>
      <c r="H541" s="23">
        <v>5.0000000000000001E-3</v>
      </c>
      <c r="I541" s="39">
        <v>44301</v>
      </c>
      <c r="J541" s="39">
        <v>44316</v>
      </c>
      <c r="K541" s="24">
        <f t="shared" si="34"/>
        <v>16</v>
      </c>
      <c r="L541" s="24">
        <f t="shared" si="35"/>
        <v>160</v>
      </c>
      <c r="M541" s="24"/>
    </row>
    <row r="542" spans="1:13" s="5" customFormat="1" outlineLevel="2">
      <c r="A542" s="39" t="s">
        <v>257</v>
      </c>
      <c r="B542" s="40" t="s">
        <v>68</v>
      </c>
      <c r="C542" s="41" t="s">
        <v>260</v>
      </c>
      <c r="D542" s="40" t="s">
        <v>261</v>
      </c>
      <c r="E542" s="24">
        <v>180000</v>
      </c>
      <c r="F542" s="39">
        <v>44141</v>
      </c>
      <c r="G542" s="24">
        <v>159000</v>
      </c>
      <c r="H542" s="23">
        <v>5.0000000000000001E-3</v>
      </c>
      <c r="I542" s="39">
        <v>44287</v>
      </c>
      <c r="J542" s="39">
        <v>44300</v>
      </c>
      <c r="K542" s="24">
        <f t="shared" si="34"/>
        <v>14</v>
      </c>
      <c r="L542" s="24">
        <f t="shared" si="35"/>
        <v>30</v>
      </c>
      <c r="M542" s="24">
        <v>156000</v>
      </c>
    </row>
    <row r="543" spans="1:13" s="5" customFormat="1" outlineLevel="2">
      <c r="A543" s="39" t="s">
        <v>257</v>
      </c>
      <c r="B543" s="40" t="s">
        <v>68</v>
      </c>
      <c r="C543" s="41" t="s">
        <v>260</v>
      </c>
      <c r="D543" s="40"/>
      <c r="E543" s="24"/>
      <c r="F543" s="39"/>
      <c r="G543" s="24">
        <v>156000</v>
      </c>
      <c r="H543" s="23">
        <v>5.0000000000000001E-3</v>
      </c>
      <c r="I543" s="39">
        <v>44301</v>
      </c>
      <c r="J543" s="39">
        <v>44316</v>
      </c>
      <c r="K543" s="24">
        <f t="shared" si="34"/>
        <v>16</v>
      </c>
      <c r="L543" s="24">
        <f t="shared" si="35"/>
        <v>34</v>
      </c>
      <c r="M543" s="24"/>
    </row>
    <row r="544" spans="1:13" s="5" customFormat="1" outlineLevel="1">
      <c r="A544" s="42" t="s">
        <v>263</v>
      </c>
      <c r="B544" s="43"/>
      <c r="C544" s="44"/>
      <c r="D544" s="43"/>
      <c r="E544" s="45">
        <f>SUBTOTAL(9,E500:E543)</f>
        <v>716640000</v>
      </c>
      <c r="F544" s="46"/>
      <c r="G544" s="45"/>
      <c r="H544" s="47"/>
      <c r="I544" s="46"/>
      <c r="J544" s="46"/>
      <c r="K544" s="45"/>
      <c r="L544" s="45">
        <f>SUBTOTAL(9,L500:L543)</f>
        <v>289940</v>
      </c>
      <c r="M544" s="45">
        <f>SUBTOTAL(9,M500:M543)</f>
        <v>713717798</v>
      </c>
    </row>
    <row r="545" spans="1:13" s="5" customFormat="1" outlineLevel="2">
      <c r="A545" s="39" t="s">
        <v>264</v>
      </c>
      <c r="B545" s="40" t="s">
        <v>16</v>
      </c>
      <c r="C545" s="41" t="s">
        <v>27</v>
      </c>
      <c r="D545" s="40" t="s">
        <v>28</v>
      </c>
      <c r="E545" s="24">
        <v>26000000</v>
      </c>
      <c r="F545" s="39">
        <v>44140</v>
      </c>
      <c r="G545" s="24">
        <v>26000000</v>
      </c>
      <c r="H545" s="23">
        <v>5.0000000000000001E-3</v>
      </c>
      <c r="I545" s="39">
        <v>44287</v>
      </c>
      <c r="J545" s="39">
        <v>44316</v>
      </c>
      <c r="K545" s="24">
        <f>J545-I545+1</f>
        <v>30</v>
      </c>
      <c r="L545" s="24">
        <f>ROUND(G545*H545*K545/365,0)</f>
        <v>10685</v>
      </c>
      <c r="M545" s="24">
        <v>26000000</v>
      </c>
    </row>
    <row r="546" spans="1:13" s="5" customFormat="1" outlineLevel="2">
      <c r="A546" s="39" t="s">
        <v>264</v>
      </c>
      <c r="B546" s="40" t="s">
        <v>39</v>
      </c>
      <c r="C546" s="41" t="s">
        <v>27</v>
      </c>
      <c r="D546" s="40" t="s">
        <v>28</v>
      </c>
      <c r="E546" s="24">
        <v>10250000</v>
      </c>
      <c r="F546" s="39">
        <v>44140</v>
      </c>
      <c r="G546" s="24">
        <v>10250000</v>
      </c>
      <c r="H546" s="23">
        <v>5.0000000000000001E-3</v>
      </c>
      <c r="I546" s="39">
        <v>44287</v>
      </c>
      <c r="J546" s="39">
        <v>44316</v>
      </c>
      <c r="K546" s="24">
        <f>J546-I546+1</f>
        <v>30</v>
      </c>
      <c r="L546" s="24">
        <f>ROUND(G546*H546*K546/365,0)</f>
        <v>4212</v>
      </c>
      <c r="M546" s="24">
        <v>10250000</v>
      </c>
    </row>
    <row r="547" spans="1:13" s="5" customFormat="1" outlineLevel="2">
      <c r="A547" s="39" t="s">
        <v>264</v>
      </c>
      <c r="B547" s="40" t="s">
        <v>54</v>
      </c>
      <c r="C547" s="41" t="s">
        <v>27</v>
      </c>
      <c r="D547" s="40" t="s">
        <v>28</v>
      </c>
      <c r="E547" s="24">
        <v>3960000</v>
      </c>
      <c r="F547" s="39">
        <v>44148</v>
      </c>
      <c r="G547" s="24">
        <v>3960000</v>
      </c>
      <c r="H547" s="23">
        <v>5.0000000000000001E-3</v>
      </c>
      <c r="I547" s="39">
        <v>44287</v>
      </c>
      <c r="J547" s="39">
        <v>44316</v>
      </c>
      <c r="K547" s="24">
        <f>J547-I547+1</f>
        <v>30</v>
      </c>
      <c r="L547" s="24">
        <f>ROUND(G547*H547*K547/365,0)</f>
        <v>1627</v>
      </c>
      <c r="M547" s="24">
        <v>3960000</v>
      </c>
    </row>
    <row r="548" spans="1:13" s="5" customFormat="1" outlineLevel="2">
      <c r="A548" s="39" t="s">
        <v>264</v>
      </c>
      <c r="B548" s="40" t="s">
        <v>59</v>
      </c>
      <c r="C548" s="41" t="s">
        <v>27</v>
      </c>
      <c r="D548" s="40" t="s">
        <v>28</v>
      </c>
      <c r="E548" s="24">
        <v>8000000</v>
      </c>
      <c r="F548" s="39">
        <v>44244</v>
      </c>
      <c r="G548" s="24">
        <v>8000000</v>
      </c>
      <c r="H548" s="23">
        <v>5.0000000000000001E-3</v>
      </c>
      <c r="I548" s="39">
        <v>44287</v>
      </c>
      <c r="J548" s="39">
        <v>44316</v>
      </c>
      <c r="K548" s="24">
        <f>J548-I548+1</f>
        <v>30</v>
      </c>
      <c r="L548" s="24">
        <f>ROUND(G548*H548*K548/365,0)</f>
        <v>3288</v>
      </c>
      <c r="M548" s="24">
        <v>8000000</v>
      </c>
    </row>
    <row r="549" spans="1:13" s="5" customFormat="1" outlineLevel="1">
      <c r="A549" s="42" t="s">
        <v>265</v>
      </c>
      <c r="B549" s="43"/>
      <c r="C549" s="44"/>
      <c r="D549" s="43"/>
      <c r="E549" s="45">
        <f>SUBTOTAL(9,E545:E548)</f>
        <v>48210000</v>
      </c>
      <c r="F549" s="46"/>
      <c r="G549" s="45"/>
      <c r="H549" s="47"/>
      <c r="I549" s="46"/>
      <c r="J549" s="46"/>
      <c r="K549" s="45"/>
      <c r="L549" s="45">
        <f>SUBTOTAL(9,L545:L548)</f>
        <v>19812</v>
      </c>
      <c r="M549" s="45">
        <f>SUBTOTAL(9,M545:M548)</f>
        <v>48210000</v>
      </c>
    </row>
    <row r="550" spans="1:13" s="5" customFormat="1" outlineLevel="2">
      <c r="A550" s="39" t="s">
        <v>266</v>
      </c>
      <c r="B550" s="40" t="s">
        <v>16</v>
      </c>
      <c r="C550" s="41" t="s">
        <v>128</v>
      </c>
      <c r="D550" s="40" t="s">
        <v>129</v>
      </c>
      <c r="E550" s="24">
        <v>50000000</v>
      </c>
      <c r="F550" s="39">
        <v>44099</v>
      </c>
      <c r="G550" s="24">
        <v>50000000</v>
      </c>
      <c r="H550" s="23">
        <v>5.0000000000000001E-3</v>
      </c>
      <c r="I550" s="39">
        <v>44287</v>
      </c>
      <c r="J550" s="39">
        <v>44316</v>
      </c>
      <c r="K550" s="24">
        <f>J550-I550+1</f>
        <v>30</v>
      </c>
      <c r="L550" s="24">
        <f>ROUND(G550*H550*K550/365,0)</f>
        <v>20548</v>
      </c>
      <c r="M550" s="24">
        <v>50000000</v>
      </c>
    </row>
    <row r="551" spans="1:13" s="5" customFormat="1" outlineLevel="2">
      <c r="A551" s="39" t="s">
        <v>266</v>
      </c>
      <c r="B551" s="40" t="s">
        <v>39</v>
      </c>
      <c r="C551" s="41" t="s">
        <v>128</v>
      </c>
      <c r="D551" s="40" t="s">
        <v>129</v>
      </c>
      <c r="E551" s="24">
        <v>30000000</v>
      </c>
      <c r="F551" s="39">
        <v>44232</v>
      </c>
      <c r="G551" s="24">
        <v>30000000</v>
      </c>
      <c r="H551" s="23">
        <v>5.0000000000000001E-3</v>
      </c>
      <c r="I551" s="39">
        <v>44287</v>
      </c>
      <c r="J551" s="39">
        <v>44316</v>
      </c>
      <c r="K551" s="24">
        <f>J551-I551+1</f>
        <v>30</v>
      </c>
      <c r="L551" s="24">
        <f>ROUND(G551*H551*K551/365,0)</f>
        <v>12329</v>
      </c>
      <c r="M551" s="24">
        <v>30000000</v>
      </c>
    </row>
    <row r="552" spans="1:13" s="5" customFormat="1" outlineLevel="1">
      <c r="A552" s="42" t="s">
        <v>267</v>
      </c>
      <c r="B552" s="43"/>
      <c r="C552" s="44"/>
      <c r="D552" s="43"/>
      <c r="E552" s="45">
        <f>SUBTOTAL(9,E550:E551)</f>
        <v>80000000</v>
      </c>
      <c r="F552" s="46"/>
      <c r="G552" s="45"/>
      <c r="H552" s="47"/>
      <c r="I552" s="46"/>
      <c r="J552" s="46"/>
      <c r="K552" s="45"/>
      <c r="L552" s="45">
        <f>SUBTOTAL(9,L550:L551)</f>
        <v>32877</v>
      </c>
      <c r="M552" s="45">
        <f>SUBTOTAL(9,M550:M551)</f>
        <v>80000000</v>
      </c>
    </row>
    <row r="553" spans="1:13" s="5" customFormat="1" outlineLevel="2">
      <c r="A553" s="39" t="s">
        <v>268</v>
      </c>
      <c r="B553" s="40" t="s">
        <v>16</v>
      </c>
      <c r="C553" s="41" t="s">
        <v>20</v>
      </c>
      <c r="D553" s="40" t="s">
        <v>21</v>
      </c>
      <c r="E553" s="24">
        <v>43200000</v>
      </c>
      <c r="F553" s="39">
        <v>43937</v>
      </c>
      <c r="G553" s="24">
        <v>43200000</v>
      </c>
      <c r="H553" s="23">
        <v>3.0000000000000001E-3</v>
      </c>
      <c r="I553" s="39">
        <v>44287</v>
      </c>
      <c r="J553" s="39">
        <v>44316</v>
      </c>
      <c r="K553" s="24">
        <f t="shared" ref="K553:K558" si="36">J553-I553+1</f>
        <v>30</v>
      </c>
      <c r="L553" s="24">
        <f t="shared" ref="L553:L558" si="37">ROUND(G553*H553*K553/365,0)</f>
        <v>10652</v>
      </c>
      <c r="M553" s="24">
        <v>43200000</v>
      </c>
    </row>
    <row r="554" spans="1:13" s="5" customFormat="1" outlineLevel="2">
      <c r="A554" s="39" t="s">
        <v>268</v>
      </c>
      <c r="B554" s="40" t="s">
        <v>39</v>
      </c>
      <c r="C554" s="41" t="s">
        <v>20</v>
      </c>
      <c r="D554" s="40" t="s">
        <v>21</v>
      </c>
      <c r="E554" s="24">
        <v>330000000</v>
      </c>
      <c r="F554" s="39">
        <v>44013</v>
      </c>
      <c r="G554" s="24">
        <v>330000000</v>
      </c>
      <c r="H554" s="23">
        <v>3.0000000000000001E-3</v>
      </c>
      <c r="I554" s="39">
        <v>44287</v>
      </c>
      <c r="J554" s="39">
        <v>44316</v>
      </c>
      <c r="K554" s="24">
        <f t="shared" si="36"/>
        <v>30</v>
      </c>
      <c r="L554" s="24">
        <f t="shared" si="37"/>
        <v>81370</v>
      </c>
      <c r="M554" s="24">
        <v>330000000</v>
      </c>
    </row>
    <row r="555" spans="1:13" s="5" customFormat="1" outlineLevel="2">
      <c r="A555" s="39" t="s">
        <v>268</v>
      </c>
      <c r="B555" s="40" t="s">
        <v>54</v>
      </c>
      <c r="C555" s="41" t="s">
        <v>20</v>
      </c>
      <c r="D555" s="40" t="s">
        <v>21</v>
      </c>
      <c r="E555" s="24">
        <v>120000000</v>
      </c>
      <c r="F555" s="39">
        <v>44049</v>
      </c>
      <c r="G555" s="24">
        <v>120000000</v>
      </c>
      <c r="H555" s="23">
        <v>3.0000000000000001E-3</v>
      </c>
      <c r="I555" s="39">
        <v>44287</v>
      </c>
      <c r="J555" s="39">
        <v>44316</v>
      </c>
      <c r="K555" s="24">
        <f t="shared" si="36"/>
        <v>30</v>
      </c>
      <c r="L555" s="24">
        <f t="shared" si="37"/>
        <v>29589</v>
      </c>
      <c r="M555" s="24">
        <v>120000000</v>
      </c>
    </row>
    <row r="556" spans="1:13" s="5" customFormat="1" outlineLevel="2">
      <c r="A556" s="39" t="s">
        <v>268</v>
      </c>
      <c r="B556" s="40" t="s">
        <v>59</v>
      </c>
      <c r="C556" s="41" t="s">
        <v>20</v>
      </c>
      <c r="D556" s="40" t="s">
        <v>21</v>
      </c>
      <c r="E556" s="24">
        <v>39840000</v>
      </c>
      <c r="F556" s="39">
        <v>44111</v>
      </c>
      <c r="G556" s="24">
        <v>39840000</v>
      </c>
      <c r="H556" s="23">
        <v>3.0000000000000001E-3</v>
      </c>
      <c r="I556" s="39">
        <v>44287</v>
      </c>
      <c r="J556" s="39">
        <v>44316</v>
      </c>
      <c r="K556" s="24">
        <f t="shared" si="36"/>
        <v>30</v>
      </c>
      <c r="L556" s="24">
        <f t="shared" si="37"/>
        <v>9824</v>
      </c>
      <c r="M556" s="24">
        <v>39840000</v>
      </c>
    </row>
    <row r="557" spans="1:13" s="5" customFormat="1" outlineLevel="2">
      <c r="A557" s="39" t="s">
        <v>268</v>
      </c>
      <c r="B557" s="40" t="s">
        <v>62</v>
      </c>
      <c r="C557" s="41" t="s">
        <v>20</v>
      </c>
      <c r="D557" s="40" t="s">
        <v>21</v>
      </c>
      <c r="E557" s="24">
        <v>252000000</v>
      </c>
      <c r="F557" s="39">
        <v>44231</v>
      </c>
      <c r="G557" s="24">
        <v>252000000</v>
      </c>
      <c r="H557" s="23">
        <v>3.0000000000000001E-3</v>
      </c>
      <c r="I557" s="39">
        <v>44287</v>
      </c>
      <c r="J557" s="39">
        <v>44316</v>
      </c>
      <c r="K557" s="24">
        <f t="shared" si="36"/>
        <v>30</v>
      </c>
      <c r="L557" s="24">
        <f t="shared" si="37"/>
        <v>62137</v>
      </c>
      <c r="M557" s="24">
        <v>252000000</v>
      </c>
    </row>
    <row r="558" spans="1:13" s="5" customFormat="1" outlineLevel="2">
      <c r="A558" s="39" t="s">
        <v>268</v>
      </c>
      <c r="B558" s="40" t="s">
        <v>63</v>
      </c>
      <c r="C558" s="41" t="s">
        <v>280</v>
      </c>
      <c r="D558" s="40" t="s">
        <v>281</v>
      </c>
      <c r="E558" s="24">
        <v>250000000</v>
      </c>
      <c r="F558" s="39">
        <v>44228</v>
      </c>
      <c r="G558" s="24">
        <v>250000000</v>
      </c>
      <c r="H558" s="23">
        <v>3.0000000000000001E-3</v>
      </c>
      <c r="I558" s="39">
        <v>44287</v>
      </c>
      <c r="J558" s="39">
        <v>44316</v>
      </c>
      <c r="K558" s="24">
        <f t="shared" si="36"/>
        <v>30</v>
      </c>
      <c r="L558" s="24">
        <f t="shared" si="37"/>
        <v>61644</v>
      </c>
      <c r="M558" s="24">
        <v>250000000</v>
      </c>
    </row>
    <row r="559" spans="1:13" s="5" customFormat="1" outlineLevel="1">
      <c r="A559" s="42" t="s">
        <v>269</v>
      </c>
      <c r="B559" s="43"/>
      <c r="C559" s="44"/>
      <c r="D559" s="43"/>
      <c r="E559" s="45">
        <f>SUBTOTAL(9,E553:E558)</f>
        <v>1035040000</v>
      </c>
      <c r="F559" s="46"/>
      <c r="G559" s="45"/>
      <c r="H559" s="47"/>
      <c r="I559" s="46"/>
      <c r="J559" s="46"/>
      <c r="K559" s="45"/>
      <c r="L559" s="45">
        <f>SUBTOTAL(9,L553:L558)</f>
        <v>255216</v>
      </c>
      <c r="M559" s="45">
        <f>SUBTOTAL(9,M553:M558)</f>
        <v>1035040000</v>
      </c>
    </row>
    <row r="560" spans="1:13" s="5" customFormat="1" outlineLevel="2">
      <c r="A560" s="39" t="s">
        <v>343</v>
      </c>
      <c r="B560" s="40" t="s">
        <v>16</v>
      </c>
      <c r="C560" s="41" t="s">
        <v>246</v>
      </c>
      <c r="D560" s="40" t="s">
        <v>247</v>
      </c>
      <c r="E560" s="24">
        <v>1230000</v>
      </c>
      <c r="F560" s="39">
        <v>44308</v>
      </c>
      <c r="G560" s="24">
        <v>1230000</v>
      </c>
      <c r="H560" s="23">
        <v>5.0000000000000001E-3</v>
      </c>
      <c r="I560" s="39">
        <v>44308</v>
      </c>
      <c r="J560" s="39">
        <v>44316</v>
      </c>
      <c r="K560" s="24">
        <f>J560-I560+1</f>
        <v>9</v>
      </c>
      <c r="L560" s="24">
        <f>ROUND(G560*H560*K560/365,0)</f>
        <v>152</v>
      </c>
      <c r="M560" s="24">
        <v>1230000</v>
      </c>
    </row>
    <row r="561" spans="1:13" s="5" customFormat="1" outlineLevel="1">
      <c r="A561" s="42" t="s">
        <v>342</v>
      </c>
      <c r="B561" s="43"/>
      <c r="C561" s="44"/>
      <c r="D561" s="43"/>
      <c r="E561" s="45">
        <f>SUBTOTAL(9,E560:E560)</f>
        <v>1230000</v>
      </c>
      <c r="F561" s="46"/>
      <c r="G561" s="45"/>
      <c r="H561" s="47"/>
      <c r="I561" s="46"/>
      <c r="J561" s="46"/>
      <c r="K561" s="45"/>
      <c r="L561" s="45">
        <f>SUBTOTAL(9,L560:L560)</f>
        <v>152</v>
      </c>
      <c r="M561" s="45">
        <f>SUBTOTAL(9,M560:M560)</f>
        <v>1230000</v>
      </c>
    </row>
    <row r="562" spans="1:13" s="5" customFormat="1" outlineLevel="2">
      <c r="A562" s="39" t="s">
        <v>270</v>
      </c>
      <c r="B562" s="40" t="s">
        <v>16</v>
      </c>
      <c r="C562" s="41" t="s">
        <v>271</v>
      </c>
      <c r="D562" s="40" t="s">
        <v>272</v>
      </c>
      <c r="E562" s="24">
        <v>126000000</v>
      </c>
      <c r="F562" s="39">
        <v>43804</v>
      </c>
      <c r="G562" s="24">
        <v>126000000</v>
      </c>
      <c r="H562" s="23">
        <v>5.0000000000000001E-3</v>
      </c>
      <c r="I562" s="39">
        <v>44287</v>
      </c>
      <c r="J562" s="39">
        <v>44316</v>
      </c>
      <c r="K562" s="24">
        <f t="shared" ref="K562:K593" si="38">J562-I562+1</f>
        <v>30</v>
      </c>
      <c r="L562" s="24">
        <f t="shared" ref="L562:L593" si="39">ROUND(G562*H562*K562/365,0)</f>
        <v>51781</v>
      </c>
      <c r="M562" s="24">
        <v>126000000</v>
      </c>
    </row>
    <row r="563" spans="1:13" s="5" customFormat="1" outlineLevel="2">
      <c r="A563" s="39" t="s">
        <v>270</v>
      </c>
      <c r="B563" s="40" t="s">
        <v>19</v>
      </c>
      <c r="C563" s="41" t="s">
        <v>273</v>
      </c>
      <c r="D563" s="40" t="s">
        <v>272</v>
      </c>
      <c r="E563" s="24">
        <v>46600000</v>
      </c>
      <c r="F563" s="39">
        <v>43866</v>
      </c>
      <c r="G563" s="24">
        <v>46600000</v>
      </c>
      <c r="H563" s="23">
        <v>5.0000000000000001E-3</v>
      </c>
      <c r="I563" s="39">
        <v>44287</v>
      </c>
      <c r="J563" s="39">
        <v>44316</v>
      </c>
      <c r="K563" s="24">
        <f t="shared" si="38"/>
        <v>30</v>
      </c>
      <c r="L563" s="24">
        <f t="shared" si="39"/>
        <v>19151</v>
      </c>
      <c r="M563" s="24">
        <v>46600000</v>
      </c>
    </row>
    <row r="564" spans="1:13" s="5" customFormat="1" outlineLevel="2">
      <c r="A564" s="39" t="s">
        <v>270</v>
      </c>
      <c r="B564" s="40" t="s">
        <v>22</v>
      </c>
      <c r="C564" s="41" t="s">
        <v>273</v>
      </c>
      <c r="D564" s="40" t="s">
        <v>272</v>
      </c>
      <c r="E564" s="24">
        <v>1300000</v>
      </c>
      <c r="F564" s="39">
        <v>43866</v>
      </c>
      <c r="G564" s="24">
        <v>1300000</v>
      </c>
      <c r="H564" s="23">
        <v>5.0000000000000001E-3</v>
      </c>
      <c r="I564" s="39">
        <v>44287</v>
      </c>
      <c r="J564" s="39">
        <v>44316</v>
      </c>
      <c r="K564" s="24">
        <f t="shared" si="38"/>
        <v>30</v>
      </c>
      <c r="L564" s="24">
        <f t="shared" si="39"/>
        <v>534</v>
      </c>
      <c r="M564" s="24">
        <v>1300000</v>
      </c>
    </row>
    <row r="565" spans="1:13" s="5" customFormat="1" outlineLevel="2">
      <c r="A565" s="39" t="s">
        <v>270</v>
      </c>
      <c r="B565" s="40" t="s">
        <v>25</v>
      </c>
      <c r="C565" s="41" t="s">
        <v>274</v>
      </c>
      <c r="D565" s="40" t="s">
        <v>275</v>
      </c>
      <c r="E565" s="24">
        <v>9087600</v>
      </c>
      <c r="F565" s="39">
        <v>43901</v>
      </c>
      <c r="G565" s="24">
        <v>9087600</v>
      </c>
      <c r="H565" s="23">
        <v>5.0000000000000001E-3</v>
      </c>
      <c r="I565" s="39">
        <v>44287</v>
      </c>
      <c r="J565" s="39">
        <v>44316</v>
      </c>
      <c r="K565" s="24">
        <f t="shared" si="38"/>
        <v>30</v>
      </c>
      <c r="L565" s="24">
        <f t="shared" si="39"/>
        <v>3735</v>
      </c>
      <c r="M565" s="24">
        <v>9087600</v>
      </c>
    </row>
    <row r="566" spans="1:13" s="5" customFormat="1" outlineLevel="2">
      <c r="A566" s="39" t="s">
        <v>270</v>
      </c>
      <c r="B566" s="40" t="s">
        <v>26</v>
      </c>
      <c r="C566" s="41" t="s">
        <v>274</v>
      </c>
      <c r="D566" s="40" t="s">
        <v>275</v>
      </c>
      <c r="E566" s="24">
        <v>7270080</v>
      </c>
      <c r="F566" s="39">
        <v>43901</v>
      </c>
      <c r="G566" s="24">
        <v>7270080</v>
      </c>
      <c r="H566" s="23">
        <v>5.0000000000000001E-3</v>
      </c>
      <c r="I566" s="39">
        <v>44287</v>
      </c>
      <c r="J566" s="39">
        <v>44316</v>
      </c>
      <c r="K566" s="24">
        <f t="shared" si="38"/>
        <v>30</v>
      </c>
      <c r="L566" s="24">
        <f t="shared" si="39"/>
        <v>2988</v>
      </c>
      <c r="M566" s="24">
        <v>7270080</v>
      </c>
    </row>
    <row r="567" spans="1:13" s="5" customFormat="1" outlineLevel="2">
      <c r="A567" s="39" t="s">
        <v>270</v>
      </c>
      <c r="B567" s="40" t="s">
        <v>29</v>
      </c>
      <c r="C567" s="41" t="s">
        <v>273</v>
      </c>
      <c r="D567" s="40" t="s">
        <v>272</v>
      </c>
      <c r="E567" s="24">
        <v>99400000</v>
      </c>
      <c r="F567" s="39">
        <v>43917</v>
      </c>
      <c r="G567" s="24">
        <v>99400000</v>
      </c>
      <c r="H567" s="23">
        <v>5.0000000000000001E-3</v>
      </c>
      <c r="I567" s="39">
        <v>44287</v>
      </c>
      <c r="J567" s="39">
        <v>44316</v>
      </c>
      <c r="K567" s="24">
        <f t="shared" si="38"/>
        <v>30</v>
      </c>
      <c r="L567" s="24">
        <f t="shared" si="39"/>
        <v>40849</v>
      </c>
      <c r="M567" s="24">
        <v>99400000</v>
      </c>
    </row>
    <row r="568" spans="1:13" s="5" customFormat="1" outlineLevel="2">
      <c r="A568" s="39" t="s">
        <v>270</v>
      </c>
      <c r="B568" s="40" t="s">
        <v>32</v>
      </c>
      <c r="C568" s="41" t="s">
        <v>274</v>
      </c>
      <c r="D568" s="40" t="s">
        <v>275</v>
      </c>
      <c r="E568" s="24">
        <v>9087600</v>
      </c>
      <c r="F568" s="39">
        <v>43929</v>
      </c>
      <c r="G568" s="24">
        <v>9087600</v>
      </c>
      <c r="H568" s="23">
        <v>5.0000000000000001E-3</v>
      </c>
      <c r="I568" s="39">
        <v>44287</v>
      </c>
      <c r="J568" s="39">
        <v>44316</v>
      </c>
      <c r="K568" s="24">
        <f t="shared" si="38"/>
        <v>30</v>
      </c>
      <c r="L568" s="24">
        <f t="shared" si="39"/>
        <v>3735</v>
      </c>
      <c r="M568" s="24">
        <v>9087600</v>
      </c>
    </row>
    <row r="569" spans="1:13" s="5" customFormat="1" outlineLevel="2">
      <c r="A569" s="39" t="s">
        <v>270</v>
      </c>
      <c r="B569" s="40" t="s">
        <v>33</v>
      </c>
      <c r="C569" s="41" t="s">
        <v>274</v>
      </c>
      <c r="D569" s="40" t="s">
        <v>275</v>
      </c>
      <c r="E569" s="24">
        <v>13007640</v>
      </c>
      <c r="F569" s="39">
        <v>43929</v>
      </c>
      <c r="G569" s="24">
        <v>13007640</v>
      </c>
      <c r="H569" s="23">
        <v>5.0000000000000001E-3</v>
      </c>
      <c r="I569" s="39">
        <v>44287</v>
      </c>
      <c r="J569" s="39">
        <v>44316</v>
      </c>
      <c r="K569" s="24">
        <f t="shared" si="38"/>
        <v>30</v>
      </c>
      <c r="L569" s="24">
        <f t="shared" si="39"/>
        <v>5346</v>
      </c>
      <c r="M569" s="24">
        <v>13007640</v>
      </c>
    </row>
    <row r="570" spans="1:13" s="5" customFormat="1" outlineLevel="2">
      <c r="A570" s="39" t="s">
        <v>270</v>
      </c>
      <c r="B570" s="40" t="s">
        <v>34</v>
      </c>
      <c r="C570" s="41" t="s">
        <v>276</v>
      </c>
      <c r="D570" s="40" t="s">
        <v>277</v>
      </c>
      <c r="E570" s="24">
        <v>61668037</v>
      </c>
      <c r="F570" s="39">
        <v>43949</v>
      </c>
      <c r="G570" s="24">
        <v>61668037</v>
      </c>
      <c r="H570" s="23">
        <v>5.0000000000000001E-3</v>
      </c>
      <c r="I570" s="39">
        <v>44287</v>
      </c>
      <c r="J570" s="39">
        <v>44316</v>
      </c>
      <c r="K570" s="24">
        <f t="shared" si="38"/>
        <v>30</v>
      </c>
      <c r="L570" s="24">
        <f t="shared" si="39"/>
        <v>25343</v>
      </c>
      <c r="M570" s="24">
        <v>61668037</v>
      </c>
    </row>
    <row r="571" spans="1:13" s="5" customFormat="1" outlineLevel="2">
      <c r="A571" s="39" t="s">
        <v>270</v>
      </c>
      <c r="B571" s="40" t="s">
        <v>35</v>
      </c>
      <c r="C571" s="41" t="s">
        <v>274</v>
      </c>
      <c r="D571" s="40" t="s">
        <v>275</v>
      </c>
      <c r="E571" s="24">
        <v>13007640</v>
      </c>
      <c r="F571" s="39">
        <v>43964</v>
      </c>
      <c r="G571" s="24">
        <v>13007640</v>
      </c>
      <c r="H571" s="23">
        <v>5.0000000000000001E-3</v>
      </c>
      <c r="I571" s="39">
        <v>44287</v>
      </c>
      <c r="J571" s="39">
        <v>44316</v>
      </c>
      <c r="K571" s="24">
        <f t="shared" si="38"/>
        <v>30</v>
      </c>
      <c r="L571" s="24">
        <f t="shared" si="39"/>
        <v>5346</v>
      </c>
      <c r="M571" s="24">
        <v>13007640</v>
      </c>
    </row>
    <row r="572" spans="1:13" s="5" customFormat="1" outlineLevel="2">
      <c r="A572" s="39" t="s">
        <v>270</v>
      </c>
      <c r="B572" s="40" t="s">
        <v>36</v>
      </c>
      <c r="C572" s="41" t="s">
        <v>274</v>
      </c>
      <c r="D572" s="40" t="s">
        <v>275</v>
      </c>
      <c r="E572" s="24">
        <v>6361320</v>
      </c>
      <c r="F572" s="39">
        <v>43964</v>
      </c>
      <c r="G572" s="24">
        <v>6361320</v>
      </c>
      <c r="H572" s="23">
        <v>5.0000000000000001E-3</v>
      </c>
      <c r="I572" s="39">
        <v>44287</v>
      </c>
      <c r="J572" s="39">
        <v>44316</v>
      </c>
      <c r="K572" s="24">
        <f t="shared" si="38"/>
        <v>30</v>
      </c>
      <c r="L572" s="24">
        <f t="shared" si="39"/>
        <v>2614</v>
      </c>
      <c r="M572" s="24">
        <v>6361320</v>
      </c>
    </row>
    <row r="573" spans="1:13" s="5" customFormat="1" outlineLevel="2">
      <c r="A573" s="39" t="s">
        <v>270</v>
      </c>
      <c r="B573" s="40" t="s">
        <v>39</v>
      </c>
      <c r="C573" s="41" t="s">
        <v>274</v>
      </c>
      <c r="D573" s="40" t="s">
        <v>275</v>
      </c>
      <c r="E573" s="24">
        <v>5452560</v>
      </c>
      <c r="F573" s="39">
        <v>43810</v>
      </c>
      <c r="G573" s="24">
        <v>5452560</v>
      </c>
      <c r="H573" s="23">
        <v>5.0000000000000001E-3</v>
      </c>
      <c r="I573" s="39">
        <v>44287</v>
      </c>
      <c r="J573" s="39">
        <v>44316</v>
      </c>
      <c r="K573" s="24">
        <f t="shared" si="38"/>
        <v>30</v>
      </c>
      <c r="L573" s="24">
        <f t="shared" si="39"/>
        <v>2241</v>
      </c>
      <c r="M573" s="24">
        <v>5452560</v>
      </c>
    </row>
    <row r="574" spans="1:13" s="5" customFormat="1" outlineLevel="2">
      <c r="A574" s="39" t="s">
        <v>270</v>
      </c>
      <c r="B574" s="40" t="s">
        <v>40</v>
      </c>
      <c r="C574" s="41" t="s">
        <v>273</v>
      </c>
      <c r="D574" s="40" t="s">
        <v>272</v>
      </c>
      <c r="E574" s="24">
        <v>69800000</v>
      </c>
      <c r="F574" s="39">
        <v>43956</v>
      </c>
      <c r="G574" s="24">
        <v>69800000</v>
      </c>
      <c r="H574" s="23">
        <v>5.0000000000000001E-3</v>
      </c>
      <c r="I574" s="39">
        <v>44287</v>
      </c>
      <c r="J574" s="39">
        <v>44316</v>
      </c>
      <c r="K574" s="24">
        <f t="shared" si="38"/>
        <v>30</v>
      </c>
      <c r="L574" s="24">
        <f t="shared" si="39"/>
        <v>28685</v>
      </c>
      <c r="M574" s="24">
        <v>69800000</v>
      </c>
    </row>
    <row r="575" spans="1:13" s="5" customFormat="1" outlineLevel="2">
      <c r="A575" s="39" t="s">
        <v>270</v>
      </c>
      <c r="B575" s="40" t="s">
        <v>41</v>
      </c>
      <c r="C575" s="41" t="s">
        <v>273</v>
      </c>
      <c r="D575" s="40" t="s">
        <v>272</v>
      </c>
      <c r="E575" s="24">
        <v>1500000</v>
      </c>
      <c r="F575" s="39">
        <v>43956</v>
      </c>
      <c r="G575" s="24">
        <v>1500000</v>
      </c>
      <c r="H575" s="23">
        <v>5.0000000000000001E-3</v>
      </c>
      <c r="I575" s="39">
        <v>44287</v>
      </c>
      <c r="J575" s="39">
        <v>44316</v>
      </c>
      <c r="K575" s="24">
        <f t="shared" si="38"/>
        <v>30</v>
      </c>
      <c r="L575" s="24">
        <f t="shared" si="39"/>
        <v>616</v>
      </c>
      <c r="M575" s="24">
        <v>1500000</v>
      </c>
    </row>
    <row r="576" spans="1:13" s="5" customFormat="1" outlineLevel="2">
      <c r="A576" s="39" t="s">
        <v>270</v>
      </c>
      <c r="B576" s="40" t="s">
        <v>42</v>
      </c>
      <c r="C576" s="41" t="s">
        <v>30</v>
      </c>
      <c r="D576" s="40" t="s">
        <v>31</v>
      </c>
      <c r="E576" s="24">
        <v>50000000</v>
      </c>
      <c r="F576" s="39">
        <v>43976</v>
      </c>
      <c r="G576" s="24">
        <v>50000000</v>
      </c>
      <c r="H576" s="23">
        <v>5.0000000000000001E-3</v>
      </c>
      <c r="I576" s="39">
        <v>44287</v>
      </c>
      <c r="J576" s="39">
        <v>44316</v>
      </c>
      <c r="K576" s="24">
        <f t="shared" si="38"/>
        <v>30</v>
      </c>
      <c r="L576" s="24">
        <f t="shared" si="39"/>
        <v>20548</v>
      </c>
      <c r="M576" s="24">
        <v>50000000</v>
      </c>
    </row>
    <row r="577" spans="1:13" s="5" customFormat="1" outlineLevel="2">
      <c r="A577" s="39" t="s">
        <v>270</v>
      </c>
      <c r="B577" s="40" t="s">
        <v>43</v>
      </c>
      <c r="C577" s="41" t="s">
        <v>274</v>
      </c>
      <c r="D577" s="40" t="s">
        <v>275</v>
      </c>
      <c r="E577" s="24">
        <v>6657720</v>
      </c>
      <c r="F577" s="39">
        <v>43992</v>
      </c>
      <c r="G577" s="24">
        <v>6657720</v>
      </c>
      <c r="H577" s="23">
        <v>5.0000000000000001E-3</v>
      </c>
      <c r="I577" s="39">
        <v>44287</v>
      </c>
      <c r="J577" s="39">
        <v>44316</v>
      </c>
      <c r="K577" s="24">
        <f t="shared" si="38"/>
        <v>30</v>
      </c>
      <c r="L577" s="24">
        <f t="shared" si="39"/>
        <v>2736</v>
      </c>
      <c r="M577" s="24">
        <v>6657720</v>
      </c>
    </row>
    <row r="578" spans="1:13" s="5" customFormat="1" outlineLevel="2">
      <c r="A578" s="39" t="s">
        <v>270</v>
      </c>
      <c r="B578" s="40" t="s">
        <v>44</v>
      </c>
      <c r="C578" s="41" t="s">
        <v>274</v>
      </c>
      <c r="D578" s="40" t="s">
        <v>275</v>
      </c>
      <c r="E578" s="24">
        <v>6361320</v>
      </c>
      <c r="F578" s="39">
        <v>43992</v>
      </c>
      <c r="G578" s="24">
        <v>6361320</v>
      </c>
      <c r="H578" s="23">
        <v>5.0000000000000001E-3</v>
      </c>
      <c r="I578" s="39">
        <v>44287</v>
      </c>
      <c r="J578" s="39">
        <v>44316</v>
      </c>
      <c r="K578" s="24">
        <f t="shared" si="38"/>
        <v>30</v>
      </c>
      <c r="L578" s="24">
        <f t="shared" si="39"/>
        <v>2614</v>
      </c>
      <c r="M578" s="24">
        <v>6361320</v>
      </c>
    </row>
    <row r="579" spans="1:13" s="5" customFormat="1" outlineLevel="2">
      <c r="A579" s="39" t="s">
        <v>270</v>
      </c>
      <c r="B579" s="40" t="s">
        <v>47</v>
      </c>
      <c r="C579" s="41" t="s">
        <v>273</v>
      </c>
      <c r="D579" s="40" t="s">
        <v>272</v>
      </c>
      <c r="E579" s="24">
        <v>41200000</v>
      </c>
      <c r="F579" s="39">
        <v>43987</v>
      </c>
      <c r="G579" s="24">
        <v>41200000</v>
      </c>
      <c r="H579" s="23">
        <v>5.0000000000000001E-3</v>
      </c>
      <c r="I579" s="39">
        <v>44287</v>
      </c>
      <c r="J579" s="39">
        <v>44316</v>
      </c>
      <c r="K579" s="24">
        <f t="shared" si="38"/>
        <v>30</v>
      </c>
      <c r="L579" s="24">
        <f t="shared" si="39"/>
        <v>16932</v>
      </c>
      <c r="M579" s="24">
        <v>41200000</v>
      </c>
    </row>
    <row r="580" spans="1:13" s="5" customFormat="1" outlineLevel="2">
      <c r="A580" s="39" t="s">
        <v>270</v>
      </c>
      <c r="B580" s="40" t="s">
        <v>50</v>
      </c>
      <c r="C580" s="41" t="s">
        <v>274</v>
      </c>
      <c r="D580" s="40" t="s">
        <v>275</v>
      </c>
      <c r="E580" s="24">
        <v>6657720</v>
      </c>
      <c r="F580" s="39">
        <v>44020</v>
      </c>
      <c r="G580" s="24">
        <v>6657720</v>
      </c>
      <c r="H580" s="23">
        <v>5.0000000000000001E-3</v>
      </c>
      <c r="I580" s="39">
        <v>44287</v>
      </c>
      <c r="J580" s="39">
        <v>44316</v>
      </c>
      <c r="K580" s="24">
        <f t="shared" si="38"/>
        <v>30</v>
      </c>
      <c r="L580" s="24">
        <f t="shared" si="39"/>
        <v>2736</v>
      </c>
      <c r="M580" s="24">
        <v>6657720</v>
      </c>
    </row>
    <row r="581" spans="1:13" s="5" customFormat="1" outlineLevel="2">
      <c r="A581" s="39" t="s">
        <v>270</v>
      </c>
      <c r="B581" s="40" t="s">
        <v>51</v>
      </c>
      <c r="C581" s="41" t="s">
        <v>274</v>
      </c>
      <c r="D581" s="40" t="s">
        <v>275</v>
      </c>
      <c r="E581" s="24">
        <v>6657720</v>
      </c>
      <c r="F581" s="39">
        <v>44020</v>
      </c>
      <c r="G581" s="24">
        <v>6657720</v>
      </c>
      <c r="H581" s="23">
        <v>5.0000000000000001E-3</v>
      </c>
      <c r="I581" s="39">
        <v>44287</v>
      </c>
      <c r="J581" s="39">
        <v>44316</v>
      </c>
      <c r="K581" s="24">
        <f t="shared" si="38"/>
        <v>30</v>
      </c>
      <c r="L581" s="24">
        <f t="shared" si="39"/>
        <v>2736</v>
      </c>
      <c r="M581" s="24">
        <v>6657720</v>
      </c>
    </row>
    <row r="582" spans="1:13" s="5" customFormat="1" outlineLevel="2">
      <c r="A582" s="39" t="s">
        <v>270</v>
      </c>
      <c r="B582" s="40" t="s">
        <v>52</v>
      </c>
      <c r="C582" s="41" t="s">
        <v>273</v>
      </c>
      <c r="D582" s="40" t="s">
        <v>272</v>
      </c>
      <c r="E582" s="24">
        <v>11800000</v>
      </c>
      <c r="F582" s="39">
        <v>44015</v>
      </c>
      <c r="G582" s="24">
        <v>11800000</v>
      </c>
      <c r="H582" s="23">
        <v>5.0000000000000001E-3</v>
      </c>
      <c r="I582" s="39">
        <v>44287</v>
      </c>
      <c r="J582" s="39">
        <v>44316</v>
      </c>
      <c r="K582" s="24">
        <f t="shared" si="38"/>
        <v>30</v>
      </c>
      <c r="L582" s="24">
        <f t="shared" si="39"/>
        <v>4849</v>
      </c>
      <c r="M582" s="24">
        <v>11800000</v>
      </c>
    </row>
    <row r="583" spans="1:13" s="5" customFormat="1" outlineLevel="2">
      <c r="A583" s="39" t="s">
        <v>270</v>
      </c>
      <c r="B583" s="40" t="s">
        <v>53</v>
      </c>
      <c r="C583" s="41" t="s">
        <v>273</v>
      </c>
      <c r="D583" s="40" t="s">
        <v>272</v>
      </c>
      <c r="E583" s="24">
        <v>2600000</v>
      </c>
      <c r="F583" s="39">
        <v>44015</v>
      </c>
      <c r="G583" s="24">
        <v>2600000</v>
      </c>
      <c r="H583" s="23">
        <v>5.0000000000000001E-3</v>
      </c>
      <c r="I583" s="39">
        <v>44287</v>
      </c>
      <c r="J583" s="39">
        <v>44316</v>
      </c>
      <c r="K583" s="24">
        <f t="shared" si="38"/>
        <v>30</v>
      </c>
      <c r="L583" s="24">
        <f t="shared" si="39"/>
        <v>1068</v>
      </c>
      <c r="M583" s="24">
        <v>2600000</v>
      </c>
    </row>
    <row r="584" spans="1:13" s="5" customFormat="1" outlineLevel="2">
      <c r="A584" s="39" t="s">
        <v>270</v>
      </c>
      <c r="B584" s="40" t="s">
        <v>54</v>
      </c>
      <c r="C584" s="41" t="s">
        <v>278</v>
      </c>
      <c r="D584" s="40" t="s">
        <v>279</v>
      </c>
      <c r="E584" s="24">
        <v>220000000</v>
      </c>
      <c r="F584" s="39">
        <v>43815</v>
      </c>
      <c r="G584" s="24">
        <v>220000000</v>
      </c>
      <c r="H584" s="23">
        <v>5.0000000000000001E-3</v>
      </c>
      <c r="I584" s="39">
        <v>44287</v>
      </c>
      <c r="J584" s="39">
        <v>44316</v>
      </c>
      <c r="K584" s="24">
        <f t="shared" si="38"/>
        <v>30</v>
      </c>
      <c r="L584" s="24">
        <f t="shared" si="39"/>
        <v>90411</v>
      </c>
      <c r="M584" s="24">
        <v>220000000</v>
      </c>
    </row>
    <row r="585" spans="1:13" s="5" customFormat="1" outlineLevel="2">
      <c r="A585" s="39" t="s">
        <v>270</v>
      </c>
      <c r="B585" s="40" t="s">
        <v>57</v>
      </c>
      <c r="C585" s="41" t="s">
        <v>143</v>
      </c>
      <c r="D585" s="40" t="s">
        <v>144</v>
      </c>
      <c r="E585" s="24">
        <v>10400000</v>
      </c>
      <c r="F585" s="39">
        <v>44033</v>
      </c>
      <c r="G585" s="24">
        <v>10400000</v>
      </c>
      <c r="H585" s="23">
        <v>5.0000000000000001E-3</v>
      </c>
      <c r="I585" s="39">
        <v>44287</v>
      </c>
      <c r="J585" s="39">
        <v>44316</v>
      </c>
      <c r="K585" s="24">
        <f t="shared" si="38"/>
        <v>30</v>
      </c>
      <c r="L585" s="24">
        <f t="shared" si="39"/>
        <v>4274</v>
      </c>
      <c r="M585" s="24">
        <v>10400000</v>
      </c>
    </row>
    <row r="586" spans="1:13" s="5" customFormat="1" outlineLevel="2">
      <c r="A586" s="39" t="s">
        <v>270</v>
      </c>
      <c r="B586" s="40" t="s">
        <v>58</v>
      </c>
      <c r="C586" s="41" t="s">
        <v>97</v>
      </c>
      <c r="D586" s="40" t="s">
        <v>98</v>
      </c>
      <c r="E586" s="24">
        <v>28200000</v>
      </c>
      <c r="F586" s="39">
        <v>44027</v>
      </c>
      <c r="G586" s="24">
        <v>28200000</v>
      </c>
      <c r="H586" s="23">
        <v>5.0000000000000001E-3</v>
      </c>
      <c r="I586" s="39">
        <v>44287</v>
      </c>
      <c r="J586" s="39">
        <v>44316</v>
      </c>
      <c r="K586" s="24">
        <f t="shared" si="38"/>
        <v>30</v>
      </c>
      <c r="L586" s="24">
        <f t="shared" si="39"/>
        <v>11589</v>
      </c>
      <c r="M586" s="24">
        <v>28200000</v>
      </c>
    </row>
    <row r="587" spans="1:13" s="5" customFormat="1" outlineLevel="2">
      <c r="A587" s="39" t="s">
        <v>270</v>
      </c>
      <c r="B587" s="40" t="s">
        <v>99</v>
      </c>
      <c r="C587" s="41" t="s">
        <v>274</v>
      </c>
      <c r="D587" s="40" t="s">
        <v>275</v>
      </c>
      <c r="E587" s="24">
        <v>6657720</v>
      </c>
      <c r="F587" s="39">
        <v>44055</v>
      </c>
      <c r="G587" s="24">
        <v>6657720</v>
      </c>
      <c r="H587" s="23">
        <v>5.0000000000000001E-3</v>
      </c>
      <c r="I587" s="39">
        <v>44287</v>
      </c>
      <c r="J587" s="39">
        <v>44316</v>
      </c>
      <c r="K587" s="24">
        <f t="shared" si="38"/>
        <v>30</v>
      </c>
      <c r="L587" s="24">
        <f t="shared" si="39"/>
        <v>2736</v>
      </c>
      <c r="M587" s="24">
        <v>6657720</v>
      </c>
    </row>
    <row r="588" spans="1:13" s="5" customFormat="1" outlineLevel="2">
      <c r="A588" s="39" t="s">
        <v>270</v>
      </c>
      <c r="B588" s="40" t="s">
        <v>100</v>
      </c>
      <c r="C588" s="41" t="s">
        <v>274</v>
      </c>
      <c r="D588" s="40" t="s">
        <v>275</v>
      </c>
      <c r="E588" s="24">
        <v>6714720</v>
      </c>
      <c r="F588" s="39">
        <v>44055</v>
      </c>
      <c r="G588" s="24">
        <v>6714720</v>
      </c>
      <c r="H588" s="23">
        <v>5.0000000000000001E-3</v>
      </c>
      <c r="I588" s="39">
        <v>44287</v>
      </c>
      <c r="J588" s="39">
        <v>44316</v>
      </c>
      <c r="K588" s="24">
        <f t="shared" si="38"/>
        <v>30</v>
      </c>
      <c r="L588" s="24">
        <f t="shared" si="39"/>
        <v>2759</v>
      </c>
      <c r="M588" s="24">
        <v>6714720</v>
      </c>
    </row>
    <row r="589" spans="1:13" s="5" customFormat="1" outlineLevel="2">
      <c r="A589" s="39" t="s">
        <v>270</v>
      </c>
      <c r="B589" s="40" t="s">
        <v>101</v>
      </c>
      <c r="C589" s="41" t="s">
        <v>273</v>
      </c>
      <c r="D589" s="40" t="s">
        <v>272</v>
      </c>
      <c r="E589" s="24">
        <v>47630000</v>
      </c>
      <c r="F589" s="39">
        <v>44048</v>
      </c>
      <c r="G589" s="24">
        <v>47630000</v>
      </c>
      <c r="H589" s="23">
        <v>5.0000000000000001E-3</v>
      </c>
      <c r="I589" s="39">
        <v>44287</v>
      </c>
      <c r="J589" s="39">
        <v>44316</v>
      </c>
      <c r="K589" s="24">
        <f t="shared" si="38"/>
        <v>30</v>
      </c>
      <c r="L589" s="24">
        <f t="shared" si="39"/>
        <v>19574</v>
      </c>
      <c r="M589" s="24">
        <v>47630000</v>
      </c>
    </row>
    <row r="590" spans="1:13" s="5" customFormat="1" outlineLevel="2">
      <c r="A590" s="39" t="s">
        <v>270</v>
      </c>
      <c r="B590" s="40" t="s">
        <v>102</v>
      </c>
      <c r="C590" s="41" t="s">
        <v>273</v>
      </c>
      <c r="D590" s="40" t="s">
        <v>272</v>
      </c>
      <c r="E590" s="24">
        <v>1970000</v>
      </c>
      <c r="F590" s="39">
        <v>44048</v>
      </c>
      <c r="G590" s="24">
        <v>1970000</v>
      </c>
      <c r="H590" s="23">
        <v>5.0000000000000001E-3</v>
      </c>
      <c r="I590" s="39">
        <v>44287</v>
      </c>
      <c r="J590" s="39">
        <v>44316</v>
      </c>
      <c r="K590" s="24">
        <f t="shared" si="38"/>
        <v>30</v>
      </c>
      <c r="L590" s="24">
        <f t="shared" si="39"/>
        <v>810</v>
      </c>
      <c r="M590" s="24">
        <v>1970000</v>
      </c>
    </row>
    <row r="591" spans="1:13" s="5" customFormat="1" outlineLevel="2">
      <c r="A591" s="39" t="s">
        <v>270</v>
      </c>
      <c r="B591" s="40" t="s">
        <v>103</v>
      </c>
      <c r="C591" s="41" t="s">
        <v>252</v>
      </c>
      <c r="D591" s="40" t="s">
        <v>253</v>
      </c>
      <c r="E591" s="24">
        <v>27700000</v>
      </c>
      <c r="F591" s="39">
        <v>44071</v>
      </c>
      <c r="G591" s="24">
        <v>27700000</v>
      </c>
      <c r="H591" s="23">
        <v>5.0000000000000001E-3</v>
      </c>
      <c r="I591" s="39">
        <v>44287</v>
      </c>
      <c r="J591" s="39">
        <v>44316</v>
      </c>
      <c r="K591" s="24">
        <f t="shared" si="38"/>
        <v>30</v>
      </c>
      <c r="L591" s="24">
        <f t="shared" si="39"/>
        <v>11384</v>
      </c>
      <c r="M591" s="24">
        <v>27700000</v>
      </c>
    </row>
    <row r="592" spans="1:13" s="5" customFormat="1" outlineLevel="2">
      <c r="A592" s="39" t="s">
        <v>270</v>
      </c>
      <c r="B592" s="40" t="s">
        <v>104</v>
      </c>
      <c r="C592" s="41" t="s">
        <v>274</v>
      </c>
      <c r="D592" s="40" t="s">
        <v>275</v>
      </c>
      <c r="E592" s="24">
        <v>6714720</v>
      </c>
      <c r="F592" s="39">
        <v>44083</v>
      </c>
      <c r="G592" s="24">
        <v>6714720</v>
      </c>
      <c r="H592" s="23">
        <v>5.0000000000000001E-3</v>
      </c>
      <c r="I592" s="39">
        <v>44287</v>
      </c>
      <c r="J592" s="39">
        <v>44316</v>
      </c>
      <c r="K592" s="24">
        <f t="shared" si="38"/>
        <v>30</v>
      </c>
      <c r="L592" s="24">
        <f t="shared" si="39"/>
        <v>2759</v>
      </c>
      <c r="M592" s="24">
        <v>6714720</v>
      </c>
    </row>
    <row r="593" spans="1:13" s="5" customFormat="1" outlineLevel="2">
      <c r="A593" s="39" t="s">
        <v>270</v>
      </c>
      <c r="B593" s="40" t="s">
        <v>105</v>
      </c>
      <c r="C593" s="41" t="s">
        <v>274</v>
      </c>
      <c r="D593" s="40" t="s">
        <v>275</v>
      </c>
      <c r="E593" s="24">
        <v>5805960</v>
      </c>
      <c r="F593" s="39">
        <v>44083</v>
      </c>
      <c r="G593" s="24">
        <v>5805960</v>
      </c>
      <c r="H593" s="23">
        <v>5.0000000000000001E-3</v>
      </c>
      <c r="I593" s="39">
        <v>44287</v>
      </c>
      <c r="J593" s="39">
        <v>44316</v>
      </c>
      <c r="K593" s="24">
        <f t="shared" si="38"/>
        <v>30</v>
      </c>
      <c r="L593" s="24">
        <f t="shared" si="39"/>
        <v>2386</v>
      </c>
      <c r="M593" s="24">
        <v>5805960</v>
      </c>
    </row>
    <row r="594" spans="1:13" s="5" customFormat="1" outlineLevel="2">
      <c r="A594" s="39" t="s">
        <v>270</v>
      </c>
      <c r="B594" s="40" t="s">
        <v>106</v>
      </c>
      <c r="C594" s="41" t="s">
        <v>273</v>
      </c>
      <c r="D594" s="40" t="s">
        <v>272</v>
      </c>
      <c r="E594" s="24">
        <v>19100000</v>
      </c>
      <c r="F594" s="39">
        <v>44078</v>
      </c>
      <c r="G594" s="24">
        <v>19100000</v>
      </c>
      <c r="H594" s="23">
        <v>5.0000000000000001E-3</v>
      </c>
      <c r="I594" s="39">
        <v>44287</v>
      </c>
      <c r="J594" s="39">
        <v>44316</v>
      </c>
      <c r="K594" s="24">
        <f t="shared" ref="K594:K625" si="40">J594-I594+1</f>
        <v>30</v>
      </c>
      <c r="L594" s="24">
        <f t="shared" ref="L594:L625" si="41">ROUND(G594*H594*K594/365,0)</f>
        <v>7849</v>
      </c>
      <c r="M594" s="24">
        <v>19100000</v>
      </c>
    </row>
    <row r="595" spans="1:13" s="5" customFormat="1" outlineLevel="2">
      <c r="A595" s="39" t="s">
        <v>270</v>
      </c>
      <c r="B595" s="40" t="s">
        <v>59</v>
      </c>
      <c r="C595" s="41" t="s">
        <v>274</v>
      </c>
      <c r="D595" s="40" t="s">
        <v>275</v>
      </c>
      <c r="E595" s="24">
        <v>5452560</v>
      </c>
      <c r="F595" s="39">
        <v>43838</v>
      </c>
      <c r="G595" s="24">
        <v>5452560</v>
      </c>
      <c r="H595" s="23">
        <v>5.0000000000000001E-3</v>
      </c>
      <c r="I595" s="39">
        <v>44287</v>
      </c>
      <c r="J595" s="39">
        <v>44316</v>
      </c>
      <c r="K595" s="24">
        <f t="shared" si="40"/>
        <v>30</v>
      </c>
      <c r="L595" s="24">
        <f t="shared" si="41"/>
        <v>2241</v>
      </c>
      <c r="M595" s="24">
        <v>5452560</v>
      </c>
    </row>
    <row r="596" spans="1:13" s="5" customFormat="1" outlineLevel="2">
      <c r="A596" s="39" t="s">
        <v>270</v>
      </c>
      <c r="B596" s="40" t="s">
        <v>136</v>
      </c>
      <c r="C596" s="41" t="s">
        <v>30</v>
      </c>
      <c r="D596" s="40" t="s">
        <v>31</v>
      </c>
      <c r="E596" s="24">
        <v>31000000</v>
      </c>
      <c r="F596" s="39">
        <v>44102</v>
      </c>
      <c r="G596" s="24">
        <v>31000000</v>
      </c>
      <c r="H596" s="23">
        <v>5.0000000000000001E-3</v>
      </c>
      <c r="I596" s="39">
        <v>44287</v>
      </c>
      <c r="J596" s="39">
        <v>44316</v>
      </c>
      <c r="K596" s="24">
        <f t="shared" si="40"/>
        <v>30</v>
      </c>
      <c r="L596" s="24">
        <f t="shared" si="41"/>
        <v>12740</v>
      </c>
      <c r="M596" s="24">
        <v>31000000</v>
      </c>
    </row>
    <row r="597" spans="1:13" s="5" customFormat="1" outlineLevel="2">
      <c r="A597" s="39" t="s">
        <v>270</v>
      </c>
      <c r="B597" s="40" t="s">
        <v>137</v>
      </c>
      <c r="C597" s="41" t="s">
        <v>143</v>
      </c>
      <c r="D597" s="40" t="s">
        <v>144</v>
      </c>
      <c r="E597" s="24">
        <v>10700000</v>
      </c>
      <c r="F597" s="39">
        <v>44104</v>
      </c>
      <c r="G597" s="24">
        <v>10700000</v>
      </c>
      <c r="H597" s="23">
        <v>5.0000000000000001E-3</v>
      </c>
      <c r="I597" s="39">
        <v>44287</v>
      </c>
      <c r="J597" s="39">
        <v>44316</v>
      </c>
      <c r="K597" s="24">
        <f t="shared" si="40"/>
        <v>30</v>
      </c>
      <c r="L597" s="24">
        <f t="shared" si="41"/>
        <v>4397</v>
      </c>
      <c r="M597" s="24">
        <v>10700000</v>
      </c>
    </row>
    <row r="598" spans="1:13" s="5" customFormat="1" outlineLevel="2">
      <c r="A598" s="39" t="s">
        <v>270</v>
      </c>
      <c r="B598" s="40" t="s">
        <v>138</v>
      </c>
      <c r="C598" s="41" t="s">
        <v>280</v>
      </c>
      <c r="D598" s="40" t="s">
        <v>281</v>
      </c>
      <c r="E598" s="24">
        <v>1000000000</v>
      </c>
      <c r="F598" s="39">
        <v>44102</v>
      </c>
      <c r="G598" s="24">
        <v>1000000000</v>
      </c>
      <c r="H598" s="23">
        <v>5.0000000000000001E-3</v>
      </c>
      <c r="I598" s="39">
        <v>44287</v>
      </c>
      <c r="J598" s="39">
        <v>44316</v>
      </c>
      <c r="K598" s="24">
        <f t="shared" si="40"/>
        <v>30</v>
      </c>
      <c r="L598" s="24">
        <f t="shared" si="41"/>
        <v>410959</v>
      </c>
      <c r="M598" s="24">
        <v>1000000000</v>
      </c>
    </row>
    <row r="599" spans="1:13" s="5" customFormat="1" outlineLevel="2">
      <c r="A599" s="39" t="s">
        <v>270</v>
      </c>
      <c r="B599" s="40" t="s">
        <v>139</v>
      </c>
      <c r="C599" s="41" t="s">
        <v>274</v>
      </c>
      <c r="D599" s="40" t="s">
        <v>275</v>
      </c>
      <c r="E599" s="24">
        <v>5805960</v>
      </c>
      <c r="F599" s="39">
        <v>44111</v>
      </c>
      <c r="G599" s="24">
        <v>5805960</v>
      </c>
      <c r="H599" s="23">
        <v>5.0000000000000001E-3</v>
      </c>
      <c r="I599" s="39">
        <v>44287</v>
      </c>
      <c r="J599" s="39">
        <v>44316</v>
      </c>
      <c r="K599" s="24">
        <f t="shared" si="40"/>
        <v>30</v>
      </c>
      <c r="L599" s="24">
        <f t="shared" si="41"/>
        <v>2386</v>
      </c>
      <c r="M599" s="24">
        <v>5805960</v>
      </c>
    </row>
    <row r="600" spans="1:13" s="5" customFormat="1" outlineLevel="2">
      <c r="A600" s="39" t="s">
        <v>270</v>
      </c>
      <c r="B600" s="40" t="s">
        <v>140</v>
      </c>
      <c r="C600" s="41" t="s">
        <v>274</v>
      </c>
      <c r="D600" s="40" t="s">
        <v>275</v>
      </c>
      <c r="E600" s="24">
        <v>5805960</v>
      </c>
      <c r="F600" s="39">
        <v>44111</v>
      </c>
      <c r="G600" s="24">
        <v>5805960</v>
      </c>
      <c r="H600" s="23">
        <v>5.0000000000000001E-3</v>
      </c>
      <c r="I600" s="39">
        <v>44287</v>
      </c>
      <c r="J600" s="39">
        <v>44316</v>
      </c>
      <c r="K600" s="24">
        <f t="shared" si="40"/>
        <v>30</v>
      </c>
      <c r="L600" s="24">
        <f t="shared" si="41"/>
        <v>2386</v>
      </c>
      <c r="M600" s="24">
        <v>5805960</v>
      </c>
    </row>
    <row r="601" spans="1:13" s="5" customFormat="1" outlineLevel="2">
      <c r="A601" s="39" t="s">
        <v>270</v>
      </c>
      <c r="B601" s="40" t="s">
        <v>169</v>
      </c>
      <c r="C601" s="41" t="s">
        <v>273</v>
      </c>
      <c r="D601" s="40" t="s">
        <v>272</v>
      </c>
      <c r="E601" s="24">
        <v>18400000</v>
      </c>
      <c r="F601" s="39">
        <v>44109</v>
      </c>
      <c r="G601" s="24">
        <v>18400000</v>
      </c>
      <c r="H601" s="23">
        <v>5.0000000000000001E-3</v>
      </c>
      <c r="I601" s="39">
        <v>44287</v>
      </c>
      <c r="J601" s="39">
        <v>44316</v>
      </c>
      <c r="K601" s="24">
        <f t="shared" si="40"/>
        <v>30</v>
      </c>
      <c r="L601" s="24">
        <f t="shared" si="41"/>
        <v>7562</v>
      </c>
      <c r="M601" s="24">
        <v>18400000</v>
      </c>
    </row>
    <row r="602" spans="1:13" s="5" customFormat="1" outlineLevel="2">
      <c r="A602" s="39" t="s">
        <v>270</v>
      </c>
      <c r="B602" s="40" t="s">
        <v>170</v>
      </c>
      <c r="C602" s="41" t="s">
        <v>273</v>
      </c>
      <c r="D602" s="40" t="s">
        <v>272</v>
      </c>
      <c r="E602" s="24">
        <v>1500000</v>
      </c>
      <c r="F602" s="39">
        <v>44109</v>
      </c>
      <c r="G602" s="24">
        <v>1500000</v>
      </c>
      <c r="H602" s="23">
        <v>5.0000000000000001E-3</v>
      </c>
      <c r="I602" s="39">
        <v>44287</v>
      </c>
      <c r="J602" s="39">
        <v>44316</v>
      </c>
      <c r="K602" s="24">
        <f t="shared" si="40"/>
        <v>30</v>
      </c>
      <c r="L602" s="24">
        <f t="shared" si="41"/>
        <v>616</v>
      </c>
      <c r="M602" s="24">
        <v>1500000</v>
      </c>
    </row>
    <row r="603" spans="1:13" s="5" customFormat="1" outlineLevel="2">
      <c r="A603" s="39" t="s">
        <v>270</v>
      </c>
      <c r="B603" s="40" t="s">
        <v>171</v>
      </c>
      <c r="C603" s="41" t="s">
        <v>125</v>
      </c>
      <c r="D603" s="40" t="s">
        <v>126</v>
      </c>
      <c r="E603" s="24">
        <v>3480000</v>
      </c>
      <c r="F603" s="39">
        <v>44125</v>
      </c>
      <c r="G603" s="24">
        <v>3480000</v>
      </c>
      <c r="H603" s="23">
        <v>5.0000000000000001E-3</v>
      </c>
      <c r="I603" s="39">
        <v>44287</v>
      </c>
      <c r="J603" s="39">
        <v>44316</v>
      </c>
      <c r="K603" s="24">
        <f t="shared" si="40"/>
        <v>30</v>
      </c>
      <c r="L603" s="24">
        <f t="shared" si="41"/>
        <v>1430</v>
      </c>
      <c r="M603" s="24">
        <v>3480000</v>
      </c>
    </row>
    <row r="604" spans="1:13" s="5" customFormat="1" outlineLevel="2">
      <c r="A604" s="39" t="s">
        <v>270</v>
      </c>
      <c r="B604" s="40" t="s">
        <v>172</v>
      </c>
      <c r="C604" s="41" t="s">
        <v>276</v>
      </c>
      <c r="D604" s="40" t="s">
        <v>277</v>
      </c>
      <c r="E604" s="24">
        <v>32000000</v>
      </c>
      <c r="F604" s="39">
        <v>44133</v>
      </c>
      <c r="G604" s="24">
        <v>32000000</v>
      </c>
      <c r="H604" s="23">
        <v>5.0000000000000001E-3</v>
      </c>
      <c r="I604" s="39">
        <v>44287</v>
      </c>
      <c r="J604" s="39">
        <v>44316</v>
      </c>
      <c r="K604" s="24">
        <f t="shared" si="40"/>
        <v>30</v>
      </c>
      <c r="L604" s="24">
        <f t="shared" si="41"/>
        <v>13151</v>
      </c>
      <c r="M604" s="24">
        <v>32000000</v>
      </c>
    </row>
    <row r="605" spans="1:13" s="5" customFormat="1" outlineLevel="2">
      <c r="A605" s="39" t="s">
        <v>270</v>
      </c>
      <c r="B605" s="40" t="s">
        <v>173</v>
      </c>
      <c r="C605" s="41" t="s">
        <v>274</v>
      </c>
      <c r="D605" s="40" t="s">
        <v>275</v>
      </c>
      <c r="E605" s="24">
        <v>5805960</v>
      </c>
      <c r="F605" s="39">
        <v>44146</v>
      </c>
      <c r="G605" s="24">
        <v>5805960</v>
      </c>
      <c r="H605" s="23">
        <v>5.0000000000000001E-3</v>
      </c>
      <c r="I605" s="39">
        <v>44287</v>
      </c>
      <c r="J605" s="39">
        <v>44316</v>
      </c>
      <c r="K605" s="24">
        <f t="shared" si="40"/>
        <v>30</v>
      </c>
      <c r="L605" s="24">
        <f t="shared" si="41"/>
        <v>2386</v>
      </c>
      <c r="M605" s="24">
        <v>5805960</v>
      </c>
    </row>
    <row r="606" spans="1:13" s="5" customFormat="1" outlineLevel="2">
      <c r="A606" s="39" t="s">
        <v>270</v>
      </c>
      <c r="B606" s="40" t="s">
        <v>62</v>
      </c>
      <c r="C606" s="41" t="s">
        <v>274</v>
      </c>
      <c r="D606" s="40" t="s">
        <v>275</v>
      </c>
      <c r="E606" s="24">
        <v>5452560</v>
      </c>
      <c r="F606" s="39">
        <v>43838</v>
      </c>
      <c r="G606" s="24">
        <v>5452560</v>
      </c>
      <c r="H606" s="23">
        <v>5.0000000000000001E-3</v>
      </c>
      <c r="I606" s="39">
        <v>44287</v>
      </c>
      <c r="J606" s="39">
        <v>44316</v>
      </c>
      <c r="K606" s="24">
        <f t="shared" si="40"/>
        <v>30</v>
      </c>
      <c r="L606" s="24">
        <f t="shared" si="41"/>
        <v>2241</v>
      </c>
      <c r="M606" s="24">
        <v>5452560</v>
      </c>
    </row>
    <row r="607" spans="1:13" s="5" customFormat="1" outlineLevel="2">
      <c r="A607" s="39" t="s">
        <v>270</v>
      </c>
      <c r="B607" s="40" t="s">
        <v>174</v>
      </c>
      <c r="C607" s="41" t="s">
        <v>274</v>
      </c>
      <c r="D607" s="40" t="s">
        <v>275</v>
      </c>
      <c r="E607" s="24">
        <v>14338200</v>
      </c>
      <c r="F607" s="39">
        <v>44146</v>
      </c>
      <c r="G607" s="24">
        <v>14338200</v>
      </c>
      <c r="H607" s="23">
        <v>5.0000000000000001E-3</v>
      </c>
      <c r="I607" s="39">
        <v>44287</v>
      </c>
      <c r="J607" s="39">
        <v>44316</v>
      </c>
      <c r="K607" s="24">
        <f t="shared" si="40"/>
        <v>30</v>
      </c>
      <c r="L607" s="24">
        <f t="shared" si="41"/>
        <v>5892</v>
      </c>
      <c r="M607" s="24">
        <v>14338200</v>
      </c>
    </row>
    <row r="608" spans="1:13" s="5" customFormat="1" outlineLevel="2">
      <c r="A608" s="39" t="s">
        <v>270</v>
      </c>
      <c r="B608" s="40" t="s">
        <v>175</v>
      </c>
      <c r="C608" s="41" t="s">
        <v>273</v>
      </c>
      <c r="D608" s="40" t="s">
        <v>272</v>
      </c>
      <c r="E608" s="24">
        <v>31500000</v>
      </c>
      <c r="F608" s="39">
        <v>44140</v>
      </c>
      <c r="G608" s="24">
        <v>31500000</v>
      </c>
      <c r="H608" s="23">
        <v>5.0000000000000001E-3</v>
      </c>
      <c r="I608" s="39">
        <v>44287</v>
      </c>
      <c r="J608" s="39">
        <v>44316</v>
      </c>
      <c r="K608" s="24">
        <f t="shared" si="40"/>
        <v>30</v>
      </c>
      <c r="L608" s="24">
        <f t="shared" si="41"/>
        <v>12945</v>
      </c>
      <c r="M608" s="24">
        <v>31500000</v>
      </c>
    </row>
    <row r="609" spans="1:13" s="5" customFormat="1" outlineLevel="2">
      <c r="A609" s="39" t="s">
        <v>270</v>
      </c>
      <c r="B609" s="40" t="s">
        <v>176</v>
      </c>
      <c r="C609" s="41" t="s">
        <v>125</v>
      </c>
      <c r="D609" s="40" t="s">
        <v>126</v>
      </c>
      <c r="E609" s="24">
        <v>2500000</v>
      </c>
      <c r="F609" s="39">
        <v>44146</v>
      </c>
      <c r="G609" s="24">
        <v>2500000</v>
      </c>
      <c r="H609" s="23">
        <v>5.0000000000000001E-3</v>
      </c>
      <c r="I609" s="39">
        <v>44287</v>
      </c>
      <c r="J609" s="39">
        <v>44316</v>
      </c>
      <c r="K609" s="24">
        <f t="shared" si="40"/>
        <v>30</v>
      </c>
      <c r="L609" s="24">
        <f t="shared" si="41"/>
        <v>1027</v>
      </c>
      <c r="M609" s="24">
        <v>2500000</v>
      </c>
    </row>
    <row r="610" spans="1:13" s="5" customFormat="1" outlineLevel="2">
      <c r="A610" s="39" t="s">
        <v>270</v>
      </c>
      <c r="B610" s="40" t="s">
        <v>177</v>
      </c>
      <c r="C610" s="41" t="s">
        <v>276</v>
      </c>
      <c r="D610" s="40" t="s">
        <v>277</v>
      </c>
      <c r="E610" s="24">
        <v>30000000</v>
      </c>
      <c r="F610" s="39">
        <v>44140</v>
      </c>
      <c r="G610" s="24">
        <v>30000000</v>
      </c>
      <c r="H610" s="23">
        <v>5.0000000000000001E-3</v>
      </c>
      <c r="I610" s="39">
        <v>44287</v>
      </c>
      <c r="J610" s="39">
        <v>44316</v>
      </c>
      <c r="K610" s="24">
        <f t="shared" si="40"/>
        <v>30</v>
      </c>
      <c r="L610" s="24">
        <f t="shared" si="41"/>
        <v>12329</v>
      </c>
      <c r="M610" s="24">
        <v>30000000</v>
      </c>
    </row>
    <row r="611" spans="1:13" s="5" customFormat="1" outlineLevel="2">
      <c r="A611" s="39" t="s">
        <v>270</v>
      </c>
      <c r="B611" s="40" t="s">
        <v>178</v>
      </c>
      <c r="C611" s="41" t="s">
        <v>115</v>
      </c>
      <c r="D611" s="40" t="s">
        <v>116</v>
      </c>
      <c r="E611" s="24">
        <v>6100000</v>
      </c>
      <c r="F611" s="39">
        <v>44138</v>
      </c>
      <c r="G611" s="24">
        <v>6100000</v>
      </c>
      <c r="H611" s="23">
        <v>5.0000000000000001E-3</v>
      </c>
      <c r="I611" s="39">
        <v>44287</v>
      </c>
      <c r="J611" s="39">
        <v>44316</v>
      </c>
      <c r="K611" s="24">
        <f t="shared" si="40"/>
        <v>30</v>
      </c>
      <c r="L611" s="24">
        <f t="shared" si="41"/>
        <v>2507</v>
      </c>
      <c r="M611" s="24">
        <v>6100000</v>
      </c>
    </row>
    <row r="612" spans="1:13" s="5" customFormat="1" outlineLevel="2">
      <c r="A612" s="39" t="s">
        <v>270</v>
      </c>
      <c r="B612" s="40" t="s">
        <v>179</v>
      </c>
      <c r="C612" s="41" t="s">
        <v>278</v>
      </c>
      <c r="D612" s="40" t="s">
        <v>279</v>
      </c>
      <c r="E612" s="24">
        <v>82036355</v>
      </c>
      <c r="F612" s="39">
        <v>44137</v>
      </c>
      <c r="G612" s="24">
        <v>82036355</v>
      </c>
      <c r="H612" s="23">
        <v>5.0000000000000001E-3</v>
      </c>
      <c r="I612" s="39">
        <v>44287</v>
      </c>
      <c r="J612" s="39">
        <v>44316</v>
      </c>
      <c r="K612" s="24">
        <f t="shared" si="40"/>
        <v>30</v>
      </c>
      <c r="L612" s="24">
        <f t="shared" si="41"/>
        <v>33714</v>
      </c>
      <c r="M612" s="24">
        <v>82036355</v>
      </c>
    </row>
    <row r="613" spans="1:13" s="5" customFormat="1" outlineLevel="2">
      <c r="A613" s="39" t="s">
        <v>270</v>
      </c>
      <c r="B613" s="40" t="s">
        <v>180</v>
      </c>
      <c r="C613" s="41" t="s">
        <v>280</v>
      </c>
      <c r="D613" s="40" t="s">
        <v>281</v>
      </c>
      <c r="E613" s="24">
        <v>1000000000</v>
      </c>
      <c r="F613" s="39">
        <v>44162</v>
      </c>
      <c r="G613" s="24">
        <v>1000000000</v>
      </c>
      <c r="H613" s="23">
        <v>5.0000000000000001E-3</v>
      </c>
      <c r="I613" s="39">
        <v>44287</v>
      </c>
      <c r="J613" s="39">
        <v>44316</v>
      </c>
      <c r="K613" s="24">
        <f t="shared" si="40"/>
        <v>30</v>
      </c>
      <c r="L613" s="24">
        <f t="shared" si="41"/>
        <v>410959</v>
      </c>
      <c r="M613" s="24">
        <v>1000000000</v>
      </c>
    </row>
    <row r="614" spans="1:13" s="5" customFormat="1" outlineLevel="2">
      <c r="A614" s="39" t="s">
        <v>270</v>
      </c>
      <c r="B614" s="40" t="s">
        <v>181</v>
      </c>
      <c r="C614" s="41" t="s">
        <v>75</v>
      </c>
      <c r="D614" s="40" t="s">
        <v>76</v>
      </c>
      <c r="E614" s="24">
        <v>47490000</v>
      </c>
      <c r="F614" s="39">
        <v>44137</v>
      </c>
      <c r="G614" s="24">
        <v>47490000</v>
      </c>
      <c r="H614" s="23">
        <v>5.0000000000000001E-3</v>
      </c>
      <c r="I614" s="39">
        <v>44287</v>
      </c>
      <c r="J614" s="39">
        <v>44316</v>
      </c>
      <c r="K614" s="24">
        <f t="shared" si="40"/>
        <v>30</v>
      </c>
      <c r="L614" s="24">
        <f t="shared" si="41"/>
        <v>19516</v>
      </c>
      <c r="M614" s="24">
        <v>47490000</v>
      </c>
    </row>
    <row r="615" spans="1:13" s="5" customFormat="1" outlineLevel="2">
      <c r="A615" s="39" t="s">
        <v>270</v>
      </c>
      <c r="B615" s="40" t="s">
        <v>182</v>
      </c>
      <c r="C615" s="41" t="s">
        <v>143</v>
      </c>
      <c r="D615" s="40" t="s">
        <v>144</v>
      </c>
      <c r="E615" s="24">
        <v>5300000</v>
      </c>
      <c r="F615" s="39">
        <v>44145</v>
      </c>
      <c r="G615" s="24">
        <v>5300000</v>
      </c>
      <c r="H615" s="23">
        <v>5.0000000000000001E-3</v>
      </c>
      <c r="I615" s="39">
        <v>44287</v>
      </c>
      <c r="J615" s="39">
        <v>44316</v>
      </c>
      <c r="K615" s="24">
        <f t="shared" si="40"/>
        <v>30</v>
      </c>
      <c r="L615" s="24">
        <f t="shared" si="41"/>
        <v>2178</v>
      </c>
      <c r="M615" s="24">
        <v>5300000</v>
      </c>
    </row>
    <row r="616" spans="1:13" s="5" customFormat="1" outlineLevel="2">
      <c r="A616" s="39" t="s">
        <v>270</v>
      </c>
      <c r="B616" s="40" t="s">
        <v>183</v>
      </c>
      <c r="C616" s="41" t="s">
        <v>143</v>
      </c>
      <c r="D616" s="40" t="s">
        <v>144</v>
      </c>
      <c r="E616" s="24">
        <v>4130000</v>
      </c>
      <c r="F616" s="39">
        <v>44151</v>
      </c>
      <c r="G616" s="24">
        <v>4130000</v>
      </c>
      <c r="H616" s="23">
        <v>5.0000000000000001E-3</v>
      </c>
      <c r="I616" s="39">
        <v>44287</v>
      </c>
      <c r="J616" s="39">
        <v>44316</v>
      </c>
      <c r="K616" s="24">
        <f t="shared" si="40"/>
        <v>30</v>
      </c>
      <c r="L616" s="24">
        <f t="shared" si="41"/>
        <v>1697</v>
      </c>
      <c r="M616" s="24">
        <v>4130000</v>
      </c>
    </row>
    <row r="617" spans="1:13" s="5" customFormat="1" outlineLevel="2">
      <c r="A617" s="39" t="s">
        <v>270</v>
      </c>
      <c r="B617" s="40" t="s">
        <v>63</v>
      </c>
      <c r="C617" s="41" t="s">
        <v>273</v>
      </c>
      <c r="D617" s="40" t="s">
        <v>272</v>
      </c>
      <c r="E617" s="24">
        <v>55600000</v>
      </c>
      <c r="F617" s="39">
        <v>43833</v>
      </c>
      <c r="G617" s="24">
        <v>55600000</v>
      </c>
      <c r="H617" s="23">
        <v>5.0000000000000001E-3</v>
      </c>
      <c r="I617" s="39">
        <v>44287</v>
      </c>
      <c r="J617" s="39">
        <v>44316</v>
      </c>
      <c r="K617" s="24">
        <f t="shared" si="40"/>
        <v>30</v>
      </c>
      <c r="L617" s="24">
        <f t="shared" si="41"/>
        <v>22849</v>
      </c>
      <c r="M617" s="24">
        <v>55600000</v>
      </c>
    </row>
    <row r="618" spans="1:13" s="5" customFormat="1" outlineLevel="2">
      <c r="A618" s="39" t="s">
        <v>270</v>
      </c>
      <c r="B618" s="40" t="s">
        <v>184</v>
      </c>
      <c r="C618" s="41" t="s">
        <v>143</v>
      </c>
      <c r="D618" s="40" t="s">
        <v>144</v>
      </c>
      <c r="E618" s="24">
        <v>6450000</v>
      </c>
      <c r="F618" s="39">
        <v>44165</v>
      </c>
      <c r="G618" s="24">
        <v>6450000</v>
      </c>
      <c r="H618" s="23">
        <v>5.0000000000000001E-3</v>
      </c>
      <c r="I618" s="39">
        <v>44287</v>
      </c>
      <c r="J618" s="39">
        <v>44316</v>
      </c>
      <c r="K618" s="24">
        <f t="shared" si="40"/>
        <v>30</v>
      </c>
      <c r="L618" s="24">
        <f t="shared" si="41"/>
        <v>2651</v>
      </c>
      <c r="M618" s="24">
        <v>6450000</v>
      </c>
    </row>
    <row r="619" spans="1:13" s="5" customFormat="1" outlineLevel="2">
      <c r="A619" s="39" t="s">
        <v>270</v>
      </c>
      <c r="B619" s="40" t="s">
        <v>185</v>
      </c>
      <c r="C619" s="41" t="s">
        <v>55</v>
      </c>
      <c r="D619" s="40" t="s">
        <v>56</v>
      </c>
      <c r="E619" s="24">
        <v>31466520</v>
      </c>
      <c r="F619" s="39">
        <v>44189</v>
      </c>
      <c r="G619" s="24">
        <v>31466520</v>
      </c>
      <c r="H619" s="23">
        <v>5.0000000000000001E-3</v>
      </c>
      <c r="I619" s="39">
        <v>44287</v>
      </c>
      <c r="J619" s="39">
        <v>44316</v>
      </c>
      <c r="K619" s="24">
        <f t="shared" si="40"/>
        <v>30</v>
      </c>
      <c r="L619" s="24">
        <f t="shared" si="41"/>
        <v>12931</v>
      </c>
      <c r="M619" s="24">
        <v>31466520</v>
      </c>
    </row>
    <row r="620" spans="1:13" s="5" customFormat="1" outlineLevel="2">
      <c r="A620" s="39" t="s">
        <v>270</v>
      </c>
      <c r="B620" s="40" t="s">
        <v>186</v>
      </c>
      <c r="C620" s="41" t="s">
        <v>274</v>
      </c>
      <c r="D620" s="40" t="s">
        <v>275</v>
      </c>
      <c r="E620" s="24">
        <v>14338200</v>
      </c>
      <c r="F620" s="39">
        <v>44174</v>
      </c>
      <c r="G620" s="24">
        <v>14338200</v>
      </c>
      <c r="H620" s="23">
        <v>5.0000000000000001E-3</v>
      </c>
      <c r="I620" s="39">
        <v>44287</v>
      </c>
      <c r="J620" s="39">
        <v>44316</v>
      </c>
      <c r="K620" s="24">
        <f t="shared" si="40"/>
        <v>30</v>
      </c>
      <c r="L620" s="24">
        <f t="shared" si="41"/>
        <v>5892</v>
      </c>
      <c r="M620" s="24">
        <v>14338200</v>
      </c>
    </row>
    <row r="621" spans="1:13" s="5" customFormat="1" outlineLevel="2">
      <c r="A621" s="39" t="s">
        <v>270</v>
      </c>
      <c r="B621" s="40" t="s">
        <v>189</v>
      </c>
      <c r="C621" s="41" t="s">
        <v>274</v>
      </c>
      <c r="D621" s="40" t="s">
        <v>275</v>
      </c>
      <c r="E621" s="24">
        <v>4977000</v>
      </c>
      <c r="F621" s="39">
        <v>44174</v>
      </c>
      <c r="G621" s="24">
        <v>4977000</v>
      </c>
      <c r="H621" s="23">
        <v>5.0000000000000001E-3</v>
      </c>
      <c r="I621" s="39">
        <v>44287</v>
      </c>
      <c r="J621" s="39">
        <v>44316</v>
      </c>
      <c r="K621" s="24">
        <f t="shared" si="40"/>
        <v>30</v>
      </c>
      <c r="L621" s="24">
        <f t="shared" si="41"/>
        <v>2045</v>
      </c>
      <c r="M621" s="24">
        <v>4977000</v>
      </c>
    </row>
    <row r="622" spans="1:13" s="5" customFormat="1" outlineLevel="2">
      <c r="A622" s="39" t="s">
        <v>270</v>
      </c>
      <c r="B622" s="40" t="s">
        <v>190</v>
      </c>
      <c r="C622" s="41" t="s">
        <v>115</v>
      </c>
      <c r="D622" s="40" t="s">
        <v>116</v>
      </c>
      <c r="E622" s="24">
        <v>40000000</v>
      </c>
      <c r="F622" s="39">
        <v>44193</v>
      </c>
      <c r="G622" s="24">
        <v>40000000</v>
      </c>
      <c r="H622" s="23">
        <v>5.0000000000000001E-3</v>
      </c>
      <c r="I622" s="39">
        <v>44287</v>
      </c>
      <c r="J622" s="39">
        <v>44316</v>
      </c>
      <c r="K622" s="24">
        <f t="shared" si="40"/>
        <v>30</v>
      </c>
      <c r="L622" s="24">
        <f t="shared" si="41"/>
        <v>16438</v>
      </c>
      <c r="M622" s="24">
        <v>40000000</v>
      </c>
    </row>
    <row r="623" spans="1:13" s="5" customFormat="1" outlineLevel="2">
      <c r="A623" s="39" t="s">
        <v>270</v>
      </c>
      <c r="B623" s="40" t="s">
        <v>191</v>
      </c>
      <c r="C623" s="41" t="s">
        <v>143</v>
      </c>
      <c r="D623" s="40" t="s">
        <v>144</v>
      </c>
      <c r="E623" s="24">
        <v>8890000</v>
      </c>
      <c r="F623" s="39">
        <v>44175</v>
      </c>
      <c r="G623" s="24">
        <v>8890000</v>
      </c>
      <c r="H623" s="23">
        <v>5.0000000000000001E-3</v>
      </c>
      <c r="I623" s="39">
        <v>44287</v>
      </c>
      <c r="J623" s="39">
        <v>44316</v>
      </c>
      <c r="K623" s="24">
        <f t="shared" si="40"/>
        <v>30</v>
      </c>
      <c r="L623" s="24">
        <f t="shared" si="41"/>
        <v>3653</v>
      </c>
      <c r="M623" s="24">
        <v>8890000</v>
      </c>
    </row>
    <row r="624" spans="1:13" s="5" customFormat="1" outlineLevel="2">
      <c r="A624" s="39" t="s">
        <v>270</v>
      </c>
      <c r="B624" s="40" t="s">
        <v>192</v>
      </c>
      <c r="C624" s="41" t="s">
        <v>143</v>
      </c>
      <c r="D624" s="40" t="s">
        <v>144</v>
      </c>
      <c r="E624" s="24">
        <v>4020000</v>
      </c>
      <c r="F624" s="39">
        <v>44196</v>
      </c>
      <c r="G624" s="24">
        <v>4020000</v>
      </c>
      <c r="H624" s="23">
        <v>5.0000000000000001E-3</v>
      </c>
      <c r="I624" s="39">
        <v>44287</v>
      </c>
      <c r="J624" s="39">
        <v>44316</v>
      </c>
      <c r="K624" s="24">
        <f t="shared" si="40"/>
        <v>30</v>
      </c>
      <c r="L624" s="24">
        <f t="shared" si="41"/>
        <v>1652</v>
      </c>
      <c r="M624" s="24">
        <v>4020000</v>
      </c>
    </row>
    <row r="625" spans="1:13" s="5" customFormat="1" outlineLevel="2">
      <c r="A625" s="39" t="s">
        <v>270</v>
      </c>
      <c r="B625" s="40" t="s">
        <v>193</v>
      </c>
      <c r="C625" s="41" t="s">
        <v>273</v>
      </c>
      <c r="D625" s="40" t="s">
        <v>272</v>
      </c>
      <c r="E625" s="24">
        <v>86700000</v>
      </c>
      <c r="F625" s="39">
        <v>44169</v>
      </c>
      <c r="G625" s="24">
        <v>86700000</v>
      </c>
      <c r="H625" s="23">
        <v>5.0000000000000001E-3</v>
      </c>
      <c r="I625" s="39">
        <v>44287</v>
      </c>
      <c r="J625" s="39">
        <v>44316</v>
      </c>
      <c r="K625" s="24">
        <f t="shared" si="40"/>
        <v>30</v>
      </c>
      <c r="L625" s="24">
        <f t="shared" si="41"/>
        <v>35630</v>
      </c>
      <c r="M625" s="24">
        <v>86700000</v>
      </c>
    </row>
    <row r="626" spans="1:13" s="5" customFormat="1" outlineLevel="2">
      <c r="A626" s="39" t="s">
        <v>270</v>
      </c>
      <c r="B626" s="40" t="s">
        <v>194</v>
      </c>
      <c r="C626" s="41" t="s">
        <v>274</v>
      </c>
      <c r="D626" s="40" t="s">
        <v>275</v>
      </c>
      <c r="E626" s="24">
        <v>4977000</v>
      </c>
      <c r="F626" s="39">
        <v>44209</v>
      </c>
      <c r="G626" s="24">
        <v>4977000</v>
      </c>
      <c r="H626" s="23">
        <v>5.0000000000000001E-3</v>
      </c>
      <c r="I626" s="39">
        <v>44287</v>
      </c>
      <c r="J626" s="39">
        <v>44316</v>
      </c>
      <c r="K626" s="24">
        <f t="shared" ref="K626:K657" si="42">J626-I626+1</f>
        <v>30</v>
      </c>
      <c r="L626" s="24">
        <f t="shared" ref="L626:L657" si="43">ROUND(G626*H626*K626/365,0)</f>
        <v>2045</v>
      </c>
      <c r="M626" s="24">
        <v>4977000</v>
      </c>
    </row>
    <row r="627" spans="1:13" s="5" customFormat="1" outlineLevel="2">
      <c r="A627" s="39" t="s">
        <v>270</v>
      </c>
      <c r="B627" s="40" t="s">
        <v>195</v>
      </c>
      <c r="C627" s="41" t="s">
        <v>274</v>
      </c>
      <c r="D627" s="40" t="s">
        <v>275</v>
      </c>
      <c r="E627" s="24">
        <v>9862800</v>
      </c>
      <c r="F627" s="39">
        <v>44209</v>
      </c>
      <c r="G627" s="24">
        <v>9862800</v>
      </c>
      <c r="H627" s="23">
        <v>5.0000000000000001E-3</v>
      </c>
      <c r="I627" s="39">
        <v>44287</v>
      </c>
      <c r="J627" s="39">
        <v>44316</v>
      </c>
      <c r="K627" s="24">
        <f t="shared" si="42"/>
        <v>30</v>
      </c>
      <c r="L627" s="24">
        <f t="shared" si="43"/>
        <v>4053</v>
      </c>
      <c r="M627" s="24">
        <v>9862800</v>
      </c>
    </row>
    <row r="628" spans="1:13" s="5" customFormat="1" outlineLevel="2">
      <c r="A628" s="39" t="s">
        <v>270</v>
      </c>
      <c r="B628" s="40" t="s">
        <v>64</v>
      </c>
      <c r="C628" s="41" t="s">
        <v>273</v>
      </c>
      <c r="D628" s="40" t="s">
        <v>272</v>
      </c>
      <c r="E628" s="24">
        <v>28400000</v>
      </c>
      <c r="F628" s="39">
        <v>43833</v>
      </c>
      <c r="G628" s="24">
        <v>28400000</v>
      </c>
      <c r="H628" s="23">
        <v>5.0000000000000001E-3</v>
      </c>
      <c r="I628" s="39">
        <v>44287</v>
      </c>
      <c r="J628" s="39">
        <v>44316</v>
      </c>
      <c r="K628" s="24">
        <f t="shared" si="42"/>
        <v>30</v>
      </c>
      <c r="L628" s="24">
        <f t="shared" si="43"/>
        <v>11671</v>
      </c>
      <c r="M628" s="24">
        <v>28400000</v>
      </c>
    </row>
    <row r="629" spans="1:13" s="5" customFormat="1" outlineLevel="2">
      <c r="A629" s="39" t="s">
        <v>270</v>
      </c>
      <c r="B629" s="40" t="s">
        <v>196</v>
      </c>
      <c r="C629" s="41" t="s">
        <v>143</v>
      </c>
      <c r="D629" s="40" t="s">
        <v>144</v>
      </c>
      <c r="E629" s="24">
        <v>3620000</v>
      </c>
      <c r="F629" s="39">
        <v>44207</v>
      </c>
      <c r="G629" s="24">
        <v>3620000</v>
      </c>
      <c r="H629" s="23">
        <v>5.0000000000000001E-3</v>
      </c>
      <c r="I629" s="39">
        <v>44287</v>
      </c>
      <c r="J629" s="39">
        <v>44316</v>
      </c>
      <c r="K629" s="24">
        <f t="shared" si="42"/>
        <v>30</v>
      </c>
      <c r="L629" s="24">
        <f t="shared" si="43"/>
        <v>1488</v>
      </c>
      <c r="M629" s="24">
        <v>3620000</v>
      </c>
    </row>
    <row r="630" spans="1:13" s="5" customFormat="1" outlineLevel="2">
      <c r="A630" s="39" t="s">
        <v>270</v>
      </c>
      <c r="B630" s="40" t="s">
        <v>197</v>
      </c>
      <c r="C630" s="41" t="s">
        <v>273</v>
      </c>
      <c r="D630" s="40" t="s">
        <v>272</v>
      </c>
      <c r="E630" s="24">
        <v>20600000</v>
      </c>
      <c r="F630" s="39">
        <v>44201</v>
      </c>
      <c r="G630" s="24">
        <v>20600000</v>
      </c>
      <c r="H630" s="23">
        <v>5.0000000000000001E-3</v>
      </c>
      <c r="I630" s="39">
        <v>44287</v>
      </c>
      <c r="J630" s="39">
        <v>44316</v>
      </c>
      <c r="K630" s="24">
        <f t="shared" si="42"/>
        <v>30</v>
      </c>
      <c r="L630" s="24">
        <f t="shared" si="43"/>
        <v>8466</v>
      </c>
      <c r="M630" s="24">
        <v>20600000</v>
      </c>
    </row>
    <row r="631" spans="1:13" s="5" customFormat="1" outlineLevel="2">
      <c r="A631" s="39" t="s">
        <v>270</v>
      </c>
      <c r="B631" s="40" t="s">
        <v>198</v>
      </c>
      <c r="C631" s="41" t="s">
        <v>75</v>
      </c>
      <c r="D631" s="40" t="s">
        <v>76</v>
      </c>
      <c r="E631" s="24">
        <v>53640000</v>
      </c>
      <c r="F631" s="39">
        <v>44203</v>
      </c>
      <c r="G631" s="24">
        <v>53640000</v>
      </c>
      <c r="H631" s="23">
        <v>5.0000000000000001E-3</v>
      </c>
      <c r="I631" s="39">
        <v>44287</v>
      </c>
      <c r="J631" s="39">
        <v>44316</v>
      </c>
      <c r="K631" s="24">
        <f t="shared" si="42"/>
        <v>30</v>
      </c>
      <c r="L631" s="24">
        <f t="shared" si="43"/>
        <v>22044</v>
      </c>
      <c r="M631" s="24">
        <v>53640000</v>
      </c>
    </row>
    <row r="632" spans="1:13" s="5" customFormat="1" outlineLevel="2">
      <c r="A632" s="39" t="s">
        <v>270</v>
      </c>
      <c r="B632" s="40" t="s">
        <v>199</v>
      </c>
      <c r="C632" s="41" t="s">
        <v>302</v>
      </c>
      <c r="D632" s="40" t="s">
        <v>301</v>
      </c>
      <c r="E632" s="24">
        <v>40160000</v>
      </c>
      <c r="F632" s="39">
        <v>44232</v>
      </c>
      <c r="G632" s="24">
        <v>40160000</v>
      </c>
      <c r="H632" s="23">
        <v>5.0000000000000001E-3</v>
      </c>
      <c r="I632" s="39">
        <v>44287</v>
      </c>
      <c r="J632" s="39">
        <v>44316</v>
      </c>
      <c r="K632" s="24">
        <f t="shared" si="42"/>
        <v>30</v>
      </c>
      <c r="L632" s="24">
        <f t="shared" si="43"/>
        <v>16504</v>
      </c>
      <c r="M632" s="24">
        <v>40160000</v>
      </c>
    </row>
    <row r="633" spans="1:13" s="5" customFormat="1" outlineLevel="2">
      <c r="A633" s="39" t="s">
        <v>270</v>
      </c>
      <c r="B633" s="40" t="s">
        <v>200</v>
      </c>
      <c r="C633" s="41" t="s">
        <v>274</v>
      </c>
      <c r="D633" s="40" t="s">
        <v>275</v>
      </c>
      <c r="E633" s="24">
        <v>3655380</v>
      </c>
      <c r="F633" s="39">
        <v>44230</v>
      </c>
      <c r="G633" s="24">
        <v>3655380</v>
      </c>
      <c r="H633" s="23">
        <v>5.0000000000000001E-3</v>
      </c>
      <c r="I633" s="39">
        <v>44287</v>
      </c>
      <c r="J633" s="39">
        <v>44316</v>
      </c>
      <c r="K633" s="24">
        <f t="shared" si="42"/>
        <v>30</v>
      </c>
      <c r="L633" s="24">
        <f t="shared" si="43"/>
        <v>1502</v>
      </c>
      <c r="M633" s="24">
        <v>3655380</v>
      </c>
    </row>
    <row r="634" spans="1:13" s="5" customFormat="1" outlineLevel="2">
      <c r="A634" s="39" t="s">
        <v>270</v>
      </c>
      <c r="B634" s="40" t="s">
        <v>201</v>
      </c>
      <c r="C634" s="41" t="s">
        <v>274</v>
      </c>
      <c r="D634" s="40" t="s">
        <v>275</v>
      </c>
      <c r="E634" s="24">
        <v>9862800</v>
      </c>
      <c r="F634" s="39">
        <v>44230</v>
      </c>
      <c r="G634" s="24">
        <v>9862800</v>
      </c>
      <c r="H634" s="23">
        <v>5.0000000000000001E-3</v>
      </c>
      <c r="I634" s="39">
        <v>44287</v>
      </c>
      <c r="J634" s="39">
        <v>44316</v>
      </c>
      <c r="K634" s="24">
        <f t="shared" si="42"/>
        <v>30</v>
      </c>
      <c r="L634" s="24">
        <f t="shared" si="43"/>
        <v>4053</v>
      </c>
      <c r="M634" s="24">
        <v>9862800</v>
      </c>
    </row>
    <row r="635" spans="1:13" s="5" customFormat="1" outlineLevel="2">
      <c r="A635" s="39" t="s">
        <v>270</v>
      </c>
      <c r="B635" s="40" t="s">
        <v>202</v>
      </c>
      <c r="C635" s="41" t="s">
        <v>125</v>
      </c>
      <c r="D635" s="40" t="s">
        <v>126</v>
      </c>
      <c r="E635" s="24">
        <v>32000000</v>
      </c>
      <c r="F635" s="39">
        <v>44250</v>
      </c>
      <c r="G635" s="24">
        <v>32000000</v>
      </c>
      <c r="H635" s="23">
        <v>5.0000000000000001E-3</v>
      </c>
      <c r="I635" s="39">
        <v>44287</v>
      </c>
      <c r="J635" s="39">
        <v>44316</v>
      </c>
      <c r="K635" s="24">
        <f t="shared" si="42"/>
        <v>30</v>
      </c>
      <c r="L635" s="24">
        <f t="shared" si="43"/>
        <v>13151</v>
      </c>
      <c r="M635" s="24">
        <v>32000000</v>
      </c>
    </row>
    <row r="636" spans="1:13" s="5" customFormat="1" outlineLevel="2">
      <c r="A636" s="39" t="s">
        <v>270</v>
      </c>
      <c r="B636" s="40" t="s">
        <v>203</v>
      </c>
      <c r="C636" s="41" t="s">
        <v>143</v>
      </c>
      <c r="D636" s="40" t="s">
        <v>144</v>
      </c>
      <c r="E636" s="24">
        <v>2390000</v>
      </c>
      <c r="F636" s="39">
        <v>44228</v>
      </c>
      <c r="G636" s="24">
        <v>2390000</v>
      </c>
      <c r="H636" s="23">
        <v>5.0000000000000001E-3</v>
      </c>
      <c r="I636" s="39">
        <v>44287</v>
      </c>
      <c r="J636" s="39">
        <v>44316</v>
      </c>
      <c r="K636" s="24">
        <f t="shared" si="42"/>
        <v>30</v>
      </c>
      <c r="L636" s="24">
        <f t="shared" si="43"/>
        <v>982</v>
      </c>
      <c r="M636" s="24">
        <v>2390000</v>
      </c>
    </row>
    <row r="637" spans="1:13" s="5" customFormat="1" outlineLevel="2">
      <c r="A637" s="39" t="s">
        <v>270</v>
      </c>
      <c r="B637" s="40" t="s">
        <v>204</v>
      </c>
      <c r="C637" s="41" t="s">
        <v>273</v>
      </c>
      <c r="D637" s="40" t="s">
        <v>272</v>
      </c>
      <c r="E637" s="24">
        <v>43200000</v>
      </c>
      <c r="F637" s="39">
        <v>44232</v>
      </c>
      <c r="G637" s="24">
        <v>43200000</v>
      </c>
      <c r="H637" s="23">
        <v>5.0000000000000001E-3</v>
      </c>
      <c r="I637" s="39">
        <v>44287</v>
      </c>
      <c r="J637" s="39">
        <v>44316</v>
      </c>
      <c r="K637" s="24">
        <f t="shared" si="42"/>
        <v>30</v>
      </c>
      <c r="L637" s="24">
        <f t="shared" si="43"/>
        <v>17753</v>
      </c>
      <c r="M637" s="24">
        <v>43200000</v>
      </c>
    </row>
    <row r="638" spans="1:13" s="5" customFormat="1" outlineLevel="2">
      <c r="A638" s="39" t="s">
        <v>270</v>
      </c>
      <c r="B638" s="40" t="s">
        <v>205</v>
      </c>
      <c r="C638" s="41" t="s">
        <v>273</v>
      </c>
      <c r="D638" s="40" t="s">
        <v>272</v>
      </c>
      <c r="E638" s="24">
        <v>4600000</v>
      </c>
      <c r="F638" s="39">
        <v>44232</v>
      </c>
      <c r="G638" s="24">
        <v>4600000</v>
      </c>
      <c r="H638" s="23">
        <v>5.0000000000000001E-3</v>
      </c>
      <c r="I638" s="39">
        <v>44287</v>
      </c>
      <c r="J638" s="39">
        <v>44316</v>
      </c>
      <c r="K638" s="24">
        <f t="shared" si="42"/>
        <v>30</v>
      </c>
      <c r="L638" s="24">
        <f t="shared" si="43"/>
        <v>1890</v>
      </c>
      <c r="M638" s="24">
        <v>4600000</v>
      </c>
    </row>
    <row r="639" spans="1:13" s="5" customFormat="1" outlineLevel="2">
      <c r="A639" s="39" t="s">
        <v>270</v>
      </c>
      <c r="B639" s="40" t="s">
        <v>65</v>
      </c>
      <c r="C639" s="41" t="s">
        <v>274</v>
      </c>
      <c r="D639" s="40" t="s">
        <v>275</v>
      </c>
      <c r="E639" s="24">
        <v>5452560</v>
      </c>
      <c r="F639" s="39">
        <v>43873</v>
      </c>
      <c r="G639" s="24">
        <v>5452560</v>
      </c>
      <c r="H639" s="23">
        <v>5.0000000000000001E-3</v>
      </c>
      <c r="I639" s="39">
        <v>44287</v>
      </c>
      <c r="J639" s="39">
        <v>44316</v>
      </c>
      <c r="K639" s="24">
        <f t="shared" si="42"/>
        <v>30</v>
      </c>
      <c r="L639" s="24">
        <f t="shared" si="43"/>
        <v>2241</v>
      </c>
      <c r="M639" s="24">
        <v>5452560</v>
      </c>
    </row>
    <row r="640" spans="1:13" s="5" customFormat="1" outlineLevel="2">
      <c r="A640" s="39" t="s">
        <v>270</v>
      </c>
      <c r="B640" s="40" t="s">
        <v>206</v>
      </c>
      <c r="C640" s="41" t="s">
        <v>302</v>
      </c>
      <c r="D640" s="40" t="s">
        <v>301</v>
      </c>
      <c r="E640" s="24">
        <v>40660000</v>
      </c>
      <c r="F640" s="39">
        <v>44272</v>
      </c>
      <c r="G640" s="24">
        <v>40660000</v>
      </c>
      <c r="H640" s="23">
        <v>5.0000000000000001E-3</v>
      </c>
      <c r="I640" s="39">
        <v>44287</v>
      </c>
      <c r="J640" s="39">
        <v>44316</v>
      </c>
      <c r="K640" s="24">
        <f t="shared" si="42"/>
        <v>30</v>
      </c>
      <c r="L640" s="24">
        <f t="shared" si="43"/>
        <v>16710</v>
      </c>
      <c r="M640" s="24">
        <v>40660000</v>
      </c>
    </row>
    <row r="641" spans="1:13" s="5" customFormat="1" outlineLevel="2">
      <c r="A641" s="39" t="s">
        <v>270</v>
      </c>
      <c r="B641" s="40" t="s">
        <v>207</v>
      </c>
      <c r="C641" s="41" t="s">
        <v>322</v>
      </c>
      <c r="D641" s="40" t="s">
        <v>321</v>
      </c>
      <c r="E641" s="24">
        <v>13800000</v>
      </c>
      <c r="F641" s="39">
        <v>44264</v>
      </c>
      <c r="G641" s="24">
        <v>13800000</v>
      </c>
      <c r="H641" s="23">
        <v>5.0000000000000001E-3</v>
      </c>
      <c r="I641" s="39">
        <v>44287</v>
      </c>
      <c r="J641" s="39">
        <v>44316</v>
      </c>
      <c r="K641" s="24">
        <f t="shared" si="42"/>
        <v>30</v>
      </c>
      <c r="L641" s="24">
        <f t="shared" si="43"/>
        <v>5671</v>
      </c>
      <c r="M641" s="24">
        <v>13800000</v>
      </c>
    </row>
    <row r="642" spans="1:13" s="5" customFormat="1" outlineLevel="2">
      <c r="A642" s="39" t="s">
        <v>270</v>
      </c>
      <c r="B642" s="40" t="s">
        <v>208</v>
      </c>
      <c r="C642" s="41" t="s">
        <v>274</v>
      </c>
      <c r="D642" s="40" t="s">
        <v>275</v>
      </c>
      <c r="E642" s="24">
        <v>8641320</v>
      </c>
      <c r="F642" s="39">
        <v>44265</v>
      </c>
      <c r="G642" s="24">
        <v>8641320</v>
      </c>
      <c r="H642" s="23">
        <v>5.0000000000000001E-3</v>
      </c>
      <c r="I642" s="39">
        <v>44287</v>
      </c>
      <c r="J642" s="39">
        <v>44316</v>
      </c>
      <c r="K642" s="24">
        <f t="shared" si="42"/>
        <v>30</v>
      </c>
      <c r="L642" s="24">
        <f t="shared" si="43"/>
        <v>3551</v>
      </c>
      <c r="M642" s="24">
        <v>8641320</v>
      </c>
    </row>
    <row r="643" spans="1:13" s="5" customFormat="1" outlineLevel="2">
      <c r="A643" s="39" t="s">
        <v>270</v>
      </c>
      <c r="B643" s="40" t="s">
        <v>209</v>
      </c>
      <c r="C643" s="41" t="s">
        <v>274</v>
      </c>
      <c r="D643" s="40" t="s">
        <v>275</v>
      </c>
      <c r="E643" s="24">
        <v>3655380</v>
      </c>
      <c r="F643" s="39">
        <v>44265</v>
      </c>
      <c r="G643" s="24">
        <v>3655380</v>
      </c>
      <c r="H643" s="23">
        <v>5.0000000000000001E-3</v>
      </c>
      <c r="I643" s="39">
        <v>44287</v>
      </c>
      <c r="J643" s="39">
        <v>44316</v>
      </c>
      <c r="K643" s="24">
        <f t="shared" si="42"/>
        <v>30</v>
      </c>
      <c r="L643" s="24">
        <f t="shared" si="43"/>
        <v>1502</v>
      </c>
      <c r="M643" s="24">
        <v>3655380</v>
      </c>
    </row>
    <row r="644" spans="1:13" s="5" customFormat="1" outlineLevel="2">
      <c r="A644" s="39" t="s">
        <v>270</v>
      </c>
      <c r="B644" s="40" t="s">
        <v>210</v>
      </c>
      <c r="C644" s="41" t="s">
        <v>274</v>
      </c>
      <c r="D644" s="40" t="s">
        <v>275</v>
      </c>
      <c r="E644" s="24">
        <v>13280000</v>
      </c>
      <c r="F644" s="39">
        <v>44272</v>
      </c>
      <c r="G644" s="24">
        <v>13280000</v>
      </c>
      <c r="H644" s="23">
        <v>5.0000000000000001E-3</v>
      </c>
      <c r="I644" s="39">
        <v>44287</v>
      </c>
      <c r="J644" s="39">
        <v>44316</v>
      </c>
      <c r="K644" s="24">
        <f t="shared" si="42"/>
        <v>30</v>
      </c>
      <c r="L644" s="24">
        <f t="shared" si="43"/>
        <v>5458</v>
      </c>
      <c r="M644" s="24">
        <v>13280000</v>
      </c>
    </row>
    <row r="645" spans="1:13" s="5" customFormat="1" outlineLevel="2">
      <c r="A645" s="39" t="s">
        <v>270</v>
      </c>
      <c r="B645" s="40" t="s">
        <v>211</v>
      </c>
      <c r="C645" s="41" t="s">
        <v>115</v>
      </c>
      <c r="D645" s="40" t="s">
        <v>116</v>
      </c>
      <c r="E645" s="24">
        <v>47000000</v>
      </c>
      <c r="F645" s="39">
        <v>44284</v>
      </c>
      <c r="G645" s="24">
        <v>47000000</v>
      </c>
      <c r="H645" s="23">
        <v>5.0000000000000001E-3</v>
      </c>
      <c r="I645" s="39">
        <v>44287</v>
      </c>
      <c r="J645" s="39">
        <v>44316</v>
      </c>
      <c r="K645" s="24">
        <f t="shared" si="42"/>
        <v>30</v>
      </c>
      <c r="L645" s="24">
        <f t="shared" si="43"/>
        <v>19315</v>
      </c>
      <c r="M645" s="24">
        <v>47000000</v>
      </c>
    </row>
    <row r="646" spans="1:13" s="5" customFormat="1" outlineLevel="2">
      <c r="A646" s="39" t="s">
        <v>270</v>
      </c>
      <c r="B646" s="40" t="s">
        <v>212</v>
      </c>
      <c r="C646" s="41" t="s">
        <v>143</v>
      </c>
      <c r="D646" s="40" t="s">
        <v>144</v>
      </c>
      <c r="E646" s="24">
        <v>5840000</v>
      </c>
      <c r="F646" s="39">
        <v>44257</v>
      </c>
      <c r="G646" s="24">
        <v>5840000</v>
      </c>
      <c r="H646" s="23">
        <v>5.0000000000000001E-3</v>
      </c>
      <c r="I646" s="39">
        <v>44287</v>
      </c>
      <c r="J646" s="39">
        <v>44316</v>
      </c>
      <c r="K646" s="24">
        <f t="shared" si="42"/>
        <v>30</v>
      </c>
      <c r="L646" s="24">
        <f t="shared" si="43"/>
        <v>2400</v>
      </c>
      <c r="M646" s="24">
        <v>5840000</v>
      </c>
    </row>
    <row r="647" spans="1:13" s="5" customFormat="1" outlineLevel="2">
      <c r="A647" s="39" t="s">
        <v>270</v>
      </c>
      <c r="B647" s="40" t="s">
        <v>213</v>
      </c>
      <c r="C647" s="41" t="s">
        <v>143</v>
      </c>
      <c r="D647" s="40" t="s">
        <v>144</v>
      </c>
      <c r="E647" s="24">
        <v>3570000</v>
      </c>
      <c r="F647" s="39">
        <v>44286</v>
      </c>
      <c r="G647" s="24">
        <v>3570000</v>
      </c>
      <c r="H647" s="23">
        <v>5.0000000000000001E-3</v>
      </c>
      <c r="I647" s="39">
        <v>44287</v>
      </c>
      <c r="J647" s="39">
        <v>44316</v>
      </c>
      <c r="K647" s="24">
        <f t="shared" si="42"/>
        <v>30</v>
      </c>
      <c r="L647" s="24">
        <f t="shared" si="43"/>
        <v>1467</v>
      </c>
      <c r="M647" s="24">
        <v>3570000</v>
      </c>
    </row>
    <row r="648" spans="1:13" s="5" customFormat="1" outlineLevel="2">
      <c r="A648" s="39" t="s">
        <v>270</v>
      </c>
      <c r="B648" s="40" t="s">
        <v>214</v>
      </c>
      <c r="C648" s="41" t="s">
        <v>273</v>
      </c>
      <c r="D648" s="40" t="s">
        <v>272</v>
      </c>
      <c r="E648" s="24">
        <v>63400000</v>
      </c>
      <c r="F648" s="39">
        <v>44260</v>
      </c>
      <c r="G648" s="24">
        <v>63400000</v>
      </c>
      <c r="H648" s="23">
        <v>5.0000000000000001E-3</v>
      </c>
      <c r="I648" s="39">
        <v>44287</v>
      </c>
      <c r="J648" s="39">
        <v>44316</v>
      </c>
      <c r="K648" s="24">
        <f t="shared" si="42"/>
        <v>30</v>
      </c>
      <c r="L648" s="24">
        <f t="shared" si="43"/>
        <v>26055</v>
      </c>
      <c r="M648" s="24">
        <v>63400000</v>
      </c>
    </row>
    <row r="649" spans="1:13" s="5" customFormat="1" outlineLevel="2">
      <c r="A649" s="39" t="s">
        <v>270</v>
      </c>
      <c r="B649" s="40" t="s">
        <v>215</v>
      </c>
      <c r="C649" s="41" t="s">
        <v>273</v>
      </c>
      <c r="D649" s="40" t="s">
        <v>272</v>
      </c>
      <c r="E649" s="24">
        <v>2800000</v>
      </c>
      <c r="F649" s="39">
        <v>44260</v>
      </c>
      <c r="G649" s="24">
        <v>2800000</v>
      </c>
      <c r="H649" s="23">
        <v>5.0000000000000001E-3</v>
      </c>
      <c r="I649" s="39">
        <v>44287</v>
      </c>
      <c r="J649" s="39">
        <v>44316</v>
      </c>
      <c r="K649" s="24">
        <f t="shared" si="42"/>
        <v>30</v>
      </c>
      <c r="L649" s="24">
        <f t="shared" si="43"/>
        <v>1151</v>
      </c>
      <c r="M649" s="24">
        <v>2800000</v>
      </c>
    </row>
    <row r="650" spans="1:13" s="5" customFormat="1" outlineLevel="2">
      <c r="A650" s="39" t="s">
        <v>270</v>
      </c>
      <c r="B650" s="40" t="s">
        <v>68</v>
      </c>
      <c r="C650" s="41" t="s">
        <v>274</v>
      </c>
      <c r="D650" s="40" t="s">
        <v>275</v>
      </c>
      <c r="E650" s="24">
        <v>7270080</v>
      </c>
      <c r="F650" s="39">
        <v>43873</v>
      </c>
      <c r="G650" s="24">
        <v>7270080</v>
      </c>
      <c r="H650" s="23">
        <v>5.0000000000000001E-3</v>
      </c>
      <c r="I650" s="39">
        <v>44287</v>
      </c>
      <c r="J650" s="39">
        <v>44316</v>
      </c>
      <c r="K650" s="24">
        <f t="shared" si="42"/>
        <v>30</v>
      </c>
      <c r="L650" s="24">
        <f t="shared" si="43"/>
        <v>2988</v>
      </c>
      <c r="M650" s="24">
        <v>7270080</v>
      </c>
    </row>
    <row r="651" spans="1:13" s="5" customFormat="1" outlineLevel="2">
      <c r="A651" s="39" t="s">
        <v>270</v>
      </c>
      <c r="B651" s="40" t="s">
        <v>216</v>
      </c>
      <c r="C651" s="41" t="s">
        <v>75</v>
      </c>
      <c r="D651" s="40" t="s">
        <v>76</v>
      </c>
      <c r="E651" s="24">
        <v>48420000</v>
      </c>
      <c r="F651" s="39">
        <v>44280</v>
      </c>
      <c r="G651" s="24">
        <v>48420000</v>
      </c>
      <c r="H651" s="23">
        <v>5.0000000000000001E-3</v>
      </c>
      <c r="I651" s="39">
        <v>44287</v>
      </c>
      <c r="J651" s="39">
        <v>44316</v>
      </c>
      <c r="K651" s="24">
        <f t="shared" si="42"/>
        <v>30</v>
      </c>
      <c r="L651" s="24">
        <f t="shared" si="43"/>
        <v>19899</v>
      </c>
      <c r="M651" s="24">
        <v>48420000</v>
      </c>
    </row>
    <row r="652" spans="1:13" s="5" customFormat="1" outlineLevel="2">
      <c r="A652" s="39" t="s">
        <v>270</v>
      </c>
      <c r="B652" s="40" t="s">
        <v>217</v>
      </c>
      <c r="C652" s="41" t="s">
        <v>274</v>
      </c>
      <c r="D652" s="40" t="s">
        <v>275</v>
      </c>
      <c r="E652" s="24">
        <v>8641320</v>
      </c>
      <c r="F652" s="39">
        <v>44293</v>
      </c>
      <c r="G652" s="24">
        <v>8641320</v>
      </c>
      <c r="H652" s="23">
        <v>5.0000000000000001E-3</v>
      </c>
      <c r="I652" s="39">
        <v>44293</v>
      </c>
      <c r="J652" s="39">
        <v>44316</v>
      </c>
      <c r="K652" s="24">
        <f t="shared" si="42"/>
        <v>24</v>
      </c>
      <c r="L652" s="24">
        <f t="shared" si="43"/>
        <v>2841</v>
      </c>
      <c r="M652" s="24">
        <v>8641320</v>
      </c>
    </row>
    <row r="653" spans="1:13" s="5" customFormat="1" outlineLevel="2">
      <c r="A653" s="39" t="s">
        <v>270</v>
      </c>
      <c r="B653" s="40" t="s">
        <v>218</v>
      </c>
      <c r="C653" s="41" t="s">
        <v>274</v>
      </c>
      <c r="D653" s="40" t="s">
        <v>275</v>
      </c>
      <c r="E653" s="24">
        <v>10475040</v>
      </c>
      <c r="F653" s="39">
        <v>44293</v>
      </c>
      <c r="G653" s="24">
        <v>10475040</v>
      </c>
      <c r="H653" s="23">
        <v>5.0000000000000001E-3</v>
      </c>
      <c r="I653" s="39">
        <v>44293</v>
      </c>
      <c r="J653" s="39">
        <v>44316</v>
      </c>
      <c r="K653" s="24">
        <f t="shared" si="42"/>
        <v>24</v>
      </c>
      <c r="L653" s="24">
        <f t="shared" si="43"/>
        <v>3444</v>
      </c>
      <c r="M653" s="24">
        <v>10475040</v>
      </c>
    </row>
    <row r="654" spans="1:13" s="5" customFormat="1" outlineLevel="2">
      <c r="A654" s="39" t="s">
        <v>270</v>
      </c>
      <c r="B654" s="40" t="s">
        <v>221</v>
      </c>
      <c r="C654" s="41" t="s">
        <v>143</v>
      </c>
      <c r="D654" s="40" t="s">
        <v>144</v>
      </c>
      <c r="E654" s="24">
        <v>2890000</v>
      </c>
      <c r="F654" s="39">
        <v>44298</v>
      </c>
      <c r="G654" s="24">
        <v>2890000</v>
      </c>
      <c r="H654" s="23">
        <v>5.0000000000000001E-3</v>
      </c>
      <c r="I654" s="39">
        <v>44298</v>
      </c>
      <c r="J654" s="39">
        <v>44316</v>
      </c>
      <c r="K654" s="24">
        <f t="shared" si="42"/>
        <v>19</v>
      </c>
      <c r="L654" s="24">
        <f t="shared" si="43"/>
        <v>752</v>
      </c>
      <c r="M654" s="24">
        <v>2890000</v>
      </c>
    </row>
    <row r="655" spans="1:13" s="5" customFormat="1" outlineLevel="2">
      <c r="A655" s="39" t="s">
        <v>270</v>
      </c>
      <c r="B655" s="40" t="s">
        <v>222</v>
      </c>
      <c r="C655" s="41" t="s">
        <v>273</v>
      </c>
      <c r="D655" s="40" t="s">
        <v>272</v>
      </c>
      <c r="E655" s="24">
        <v>5600000</v>
      </c>
      <c r="F655" s="39">
        <v>44287</v>
      </c>
      <c r="G655" s="24">
        <v>5600000</v>
      </c>
      <c r="H655" s="23">
        <v>5.0000000000000001E-3</v>
      </c>
      <c r="I655" s="39">
        <v>44287</v>
      </c>
      <c r="J655" s="39">
        <v>44316</v>
      </c>
      <c r="K655" s="24">
        <f t="shared" si="42"/>
        <v>30</v>
      </c>
      <c r="L655" s="24">
        <f t="shared" si="43"/>
        <v>2301</v>
      </c>
      <c r="M655" s="24">
        <v>5600000</v>
      </c>
    </row>
    <row r="656" spans="1:13" s="5" customFormat="1" outlineLevel="2">
      <c r="A656" s="39" t="s">
        <v>270</v>
      </c>
      <c r="B656" s="40" t="s">
        <v>223</v>
      </c>
      <c r="C656" s="41" t="s">
        <v>273</v>
      </c>
      <c r="D656" s="40" t="s">
        <v>272</v>
      </c>
      <c r="E656" s="24">
        <v>24000000</v>
      </c>
      <c r="F656" s="39">
        <v>44287</v>
      </c>
      <c r="G656" s="24">
        <v>24000000</v>
      </c>
      <c r="H656" s="23">
        <v>5.0000000000000001E-3</v>
      </c>
      <c r="I656" s="39">
        <v>44287</v>
      </c>
      <c r="J656" s="39">
        <v>44316</v>
      </c>
      <c r="K656" s="24">
        <f t="shared" si="42"/>
        <v>30</v>
      </c>
      <c r="L656" s="24">
        <f t="shared" si="43"/>
        <v>9863</v>
      </c>
      <c r="M656" s="24">
        <v>24000000</v>
      </c>
    </row>
    <row r="657" spans="1:13" s="5" customFormat="1" outlineLevel="2">
      <c r="A657" s="39" t="s">
        <v>270</v>
      </c>
      <c r="B657" s="40" t="s">
        <v>224</v>
      </c>
      <c r="C657" s="41" t="s">
        <v>341</v>
      </c>
      <c r="D657" s="40" t="s">
        <v>340</v>
      </c>
      <c r="E657" s="24">
        <v>19600000</v>
      </c>
      <c r="F657" s="39">
        <v>44314</v>
      </c>
      <c r="G657" s="24">
        <v>19600000</v>
      </c>
      <c r="H657" s="23">
        <v>5.0000000000000001E-3</v>
      </c>
      <c r="I657" s="39">
        <v>44314</v>
      </c>
      <c r="J657" s="39">
        <v>44316</v>
      </c>
      <c r="K657" s="24">
        <f t="shared" si="42"/>
        <v>3</v>
      </c>
      <c r="L657" s="24">
        <f t="shared" si="43"/>
        <v>805</v>
      </c>
      <c r="M657" s="24">
        <v>19600000</v>
      </c>
    </row>
    <row r="658" spans="1:13" s="5" customFormat="1" outlineLevel="2">
      <c r="A658" s="39" t="s">
        <v>270</v>
      </c>
      <c r="B658" s="40" t="s">
        <v>225</v>
      </c>
      <c r="C658" s="41" t="s">
        <v>341</v>
      </c>
      <c r="D658" s="40" t="s">
        <v>340</v>
      </c>
      <c r="E658" s="24">
        <v>46800000</v>
      </c>
      <c r="F658" s="39">
        <v>44314</v>
      </c>
      <c r="G658" s="24">
        <v>46800000</v>
      </c>
      <c r="H658" s="23">
        <v>5.0000000000000001E-3</v>
      </c>
      <c r="I658" s="39">
        <v>44314</v>
      </c>
      <c r="J658" s="39">
        <v>44316</v>
      </c>
      <c r="K658" s="24">
        <f t="shared" ref="K658:K689" si="44">J658-I658+1</f>
        <v>3</v>
      </c>
      <c r="L658" s="24">
        <f t="shared" ref="L658:L689" si="45">ROUND(G658*H658*K658/365,0)</f>
        <v>1923</v>
      </c>
      <c r="M658" s="24">
        <v>46800000</v>
      </c>
    </row>
    <row r="659" spans="1:13" s="5" customFormat="1" outlineLevel="1">
      <c r="A659" s="42" t="s">
        <v>282</v>
      </c>
      <c r="B659" s="43"/>
      <c r="C659" s="44"/>
      <c r="D659" s="43"/>
      <c r="E659" s="45">
        <f>SUBTOTAL(9,E562:E658)</f>
        <v>4222373032</v>
      </c>
      <c r="F659" s="46"/>
      <c r="G659" s="45"/>
      <c r="H659" s="47"/>
      <c r="I659" s="46"/>
      <c r="J659" s="46"/>
      <c r="K659" s="45"/>
      <c r="L659" s="45">
        <f>SUBTOTAL(9,L562:L658)</f>
        <v>1708653</v>
      </c>
      <c r="M659" s="45">
        <f>SUBTOTAL(9,M562:M658)</f>
        <v>4222373032</v>
      </c>
    </row>
    <row r="660" spans="1:13" s="5" customFormat="1" outlineLevel="2">
      <c r="A660" s="39" t="s">
        <v>283</v>
      </c>
      <c r="B660" s="40" t="s">
        <v>16</v>
      </c>
      <c r="C660" s="41" t="s">
        <v>284</v>
      </c>
      <c r="D660" s="40" t="s">
        <v>285</v>
      </c>
      <c r="E660" s="24">
        <v>50000000</v>
      </c>
      <c r="F660" s="39">
        <v>44211</v>
      </c>
      <c r="G660" s="24">
        <v>50000000</v>
      </c>
      <c r="H660" s="23">
        <v>5.0000000000000001E-3</v>
      </c>
      <c r="I660" s="39">
        <v>44287</v>
      </c>
      <c r="J660" s="39">
        <v>44316</v>
      </c>
      <c r="K660" s="24">
        <f>J660-I660+1</f>
        <v>30</v>
      </c>
      <c r="L660" s="24">
        <f>ROUND(G660*H660*K660/365,0)</f>
        <v>20548</v>
      </c>
      <c r="M660" s="24">
        <v>50000000</v>
      </c>
    </row>
    <row r="661" spans="1:13" s="5" customFormat="1" outlineLevel="1">
      <c r="A661" s="42" t="s">
        <v>286</v>
      </c>
      <c r="B661" s="43"/>
      <c r="C661" s="44"/>
      <c r="D661" s="43"/>
      <c r="E661" s="45">
        <f>SUBTOTAL(9,E660:E660)</f>
        <v>50000000</v>
      </c>
      <c r="F661" s="46"/>
      <c r="G661" s="45"/>
      <c r="H661" s="47"/>
      <c r="I661" s="46"/>
      <c r="J661" s="46"/>
      <c r="K661" s="45"/>
      <c r="L661" s="45">
        <f>SUBTOTAL(9,L660:L660)</f>
        <v>20548</v>
      </c>
      <c r="M661" s="45">
        <f>SUBTOTAL(9,M660:M660)</f>
        <v>50000000</v>
      </c>
    </row>
    <row r="662" spans="1:13" s="5" customFormat="1" outlineLevel="2">
      <c r="A662" s="39" t="s">
        <v>287</v>
      </c>
      <c r="B662" s="40" t="s">
        <v>16</v>
      </c>
      <c r="C662" s="41" t="s">
        <v>30</v>
      </c>
      <c r="D662" s="40" t="s">
        <v>31</v>
      </c>
      <c r="E662" s="24">
        <v>20000000</v>
      </c>
      <c r="F662" s="39">
        <v>43985</v>
      </c>
      <c r="G662" s="24">
        <v>20000000</v>
      </c>
      <c r="H662" s="23">
        <v>5.0000000000000001E-3</v>
      </c>
      <c r="I662" s="39">
        <v>44287</v>
      </c>
      <c r="J662" s="39">
        <v>44316</v>
      </c>
      <c r="K662" s="24">
        <f>J662-I662+1</f>
        <v>30</v>
      </c>
      <c r="L662" s="24">
        <f>ROUND(G662*H662*K662/365,0)</f>
        <v>8219</v>
      </c>
      <c r="M662" s="24">
        <v>20000000</v>
      </c>
    </row>
    <row r="663" spans="1:13" s="5" customFormat="1" outlineLevel="2">
      <c r="A663" s="39" t="s">
        <v>287</v>
      </c>
      <c r="B663" s="40" t="s">
        <v>39</v>
      </c>
      <c r="C663" s="41" t="s">
        <v>30</v>
      </c>
      <c r="D663" s="40" t="s">
        <v>31</v>
      </c>
      <c r="E663" s="24">
        <v>13800000</v>
      </c>
      <c r="F663" s="39">
        <v>44034</v>
      </c>
      <c r="G663" s="24">
        <v>13800000</v>
      </c>
      <c r="H663" s="23">
        <v>5.0000000000000001E-3</v>
      </c>
      <c r="I663" s="39">
        <v>44287</v>
      </c>
      <c r="J663" s="39">
        <v>44316</v>
      </c>
      <c r="K663" s="24">
        <f>J663-I663+1</f>
        <v>30</v>
      </c>
      <c r="L663" s="24">
        <f>ROUND(G663*H663*K663/365,0)</f>
        <v>5671</v>
      </c>
      <c r="M663" s="24">
        <v>13800000</v>
      </c>
    </row>
    <row r="664" spans="1:13" s="5" customFormat="1" outlineLevel="2">
      <c r="A664" s="39" t="s">
        <v>287</v>
      </c>
      <c r="B664" s="40" t="s">
        <v>54</v>
      </c>
      <c r="C664" s="41" t="s">
        <v>30</v>
      </c>
      <c r="D664" s="40" t="s">
        <v>31</v>
      </c>
      <c r="E664" s="24">
        <v>25000000</v>
      </c>
      <c r="F664" s="39">
        <v>44102</v>
      </c>
      <c r="G664" s="24">
        <v>25000000</v>
      </c>
      <c r="H664" s="23">
        <v>5.0000000000000001E-3</v>
      </c>
      <c r="I664" s="39">
        <v>44287</v>
      </c>
      <c r="J664" s="39">
        <v>44316</v>
      </c>
      <c r="K664" s="24">
        <f>J664-I664+1</f>
        <v>30</v>
      </c>
      <c r="L664" s="24">
        <f>ROUND(G664*H664*K664/365,0)</f>
        <v>10274</v>
      </c>
      <c r="M664" s="24">
        <v>25000000</v>
      </c>
    </row>
    <row r="665" spans="1:13" s="5" customFormat="1" outlineLevel="2">
      <c r="A665" s="39" t="s">
        <v>287</v>
      </c>
      <c r="B665" s="40" t="s">
        <v>59</v>
      </c>
      <c r="C665" s="41" t="s">
        <v>30</v>
      </c>
      <c r="D665" s="40" t="s">
        <v>31</v>
      </c>
      <c r="E665" s="24">
        <v>5600000</v>
      </c>
      <c r="F665" s="39">
        <v>44103</v>
      </c>
      <c r="G665" s="24">
        <v>5600000</v>
      </c>
      <c r="H665" s="23">
        <v>5.0000000000000001E-3</v>
      </c>
      <c r="I665" s="39">
        <v>44287</v>
      </c>
      <c r="J665" s="39">
        <v>44316</v>
      </c>
      <c r="K665" s="24">
        <f>J665-I665+1</f>
        <v>30</v>
      </c>
      <c r="L665" s="24">
        <f>ROUND(G665*H665*K665/365,0)</f>
        <v>2301</v>
      </c>
      <c r="M665" s="24">
        <v>5600000</v>
      </c>
    </row>
    <row r="666" spans="1:13" s="5" customFormat="1" outlineLevel="1">
      <c r="A666" s="42" t="s">
        <v>288</v>
      </c>
      <c r="B666" s="43"/>
      <c r="C666" s="44"/>
      <c r="D666" s="43"/>
      <c r="E666" s="45">
        <f>SUBTOTAL(9,E662:E665)</f>
        <v>64400000</v>
      </c>
      <c r="F666" s="46"/>
      <c r="G666" s="45"/>
      <c r="H666" s="47"/>
      <c r="I666" s="46"/>
      <c r="J666" s="46"/>
      <c r="K666" s="45"/>
      <c r="L666" s="45">
        <f>SUBTOTAL(9,L662:L665)</f>
        <v>26465</v>
      </c>
      <c r="M666" s="45">
        <f>SUBTOTAL(9,M662:M665)</f>
        <v>64400000</v>
      </c>
    </row>
    <row r="667" spans="1:13" s="5" customFormat="1" outlineLevel="2">
      <c r="A667" s="39" t="s">
        <v>289</v>
      </c>
      <c r="B667" s="40" t="s">
        <v>16</v>
      </c>
      <c r="C667" s="41" t="s">
        <v>121</v>
      </c>
      <c r="D667" s="40" t="s">
        <v>122</v>
      </c>
      <c r="E667" s="24">
        <v>72000000</v>
      </c>
      <c r="F667" s="39">
        <v>43917</v>
      </c>
      <c r="G667" s="24">
        <v>72000000</v>
      </c>
      <c r="H667" s="23">
        <v>5.0000000000000001E-3</v>
      </c>
      <c r="I667" s="39">
        <v>44287</v>
      </c>
      <c r="J667" s="39">
        <v>44316</v>
      </c>
      <c r="K667" s="24">
        <f t="shared" ref="K667:K678" si="46">J667-I667+1</f>
        <v>30</v>
      </c>
      <c r="L667" s="24">
        <f t="shared" ref="L667:L678" si="47">ROUND(G667*H667*K667/365,0)</f>
        <v>29589</v>
      </c>
      <c r="M667" s="24">
        <v>72000000</v>
      </c>
    </row>
    <row r="668" spans="1:13" s="5" customFormat="1" outlineLevel="2">
      <c r="A668" s="39" t="s">
        <v>289</v>
      </c>
      <c r="B668" s="40" t="s">
        <v>39</v>
      </c>
      <c r="C668" s="41" t="s">
        <v>121</v>
      </c>
      <c r="D668" s="40" t="s">
        <v>122</v>
      </c>
      <c r="E668" s="24">
        <v>144000000</v>
      </c>
      <c r="F668" s="39">
        <v>44018</v>
      </c>
      <c r="G668" s="24">
        <v>144000000</v>
      </c>
      <c r="H668" s="23">
        <v>5.0000000000000001E-3</v>
      </c>
      <c r="I668" s="39">
        <v>44287</v>
      </c>
      <c r="J668" s="39">
        <v>44316</v>
      </c>
      <c r="K668" s="24">
        <f t="shared" si="46"/>
        <v>30</v>
      </c>
      <c r="L668" s="24">
        <f t="shared" si="47"/>
        <v>59178</v>
      </c>
      <c r="M668" s="24">
        <v>144000000</v>
      </c>
    </row>
    <row r="669" spans="1:13" s="5" customFormat="1" outlineLevel="2">
      <c r="A669" s="39" t="s">
        <v>289</v>
      </c>
      <c r="B669" s="40" t="s">
        <v>54</v>
      </c>
      <c r="C669" s="41" t="s">
        <v>290</v>
      </c>
      <c r="D669" s="40" t="s">
        <v>291</v>
      </c>
      <c r="E669" s="24">
        <v>6820000</v>
      </c>
      <c r="F669" s="39">
        <v>44092</v>
      </c>
      <c r="G669" s="24">
        <v>6137998</v>
      </c>
      <c r="H669" s="23">
        <v>5.0000000000000001E-3</v>
      </c>
      <c r="I669" s="39">
        <v>44287</v>
      </c>
      <c r="J669" s="39">
        <v>44300</v>
      </c>
      <c r="K669" s="24">
        <f t="shared" si="46"/>
        <v>14</v>
      </c>
      <c r="L669" s="24">
        <f t="shared" si="47"/>
        <v>1177</v>
      </c>
      <c r="M669" s="24">
        <v>6024331</v>
      </c>
    </row>
    <row r="670" spans="1:13" s="5" customFormat="1" outlineLevel="2">
      <c r="A670" s="39" t="s">
        <v>289</v>
      </c>
      <c r="B670" s="40" t="s">
        <v>54</v>
      </c>
      <c r="C670" s="41" t="s">
        <v>290</v>
      </c>
      <c r="D670" s="40"/>
      <c r="E670" s="24"/>
      <c r="F670" s="39"/>
      <c r="G670" s="24">
        <v>6024331</v>
      </c>
      <c r="H670" s="23">
        <v>5.0000000000000001E-3</v>
      </c>
      <c r="I670" s="39">
        <v>44301</v>
      </c>
      <c r="J670" s="39">
        <v>44316</v>
      </c>
      <c r="K670" s="24">
        <f t="shared" si="46"/>
        <v>16</v>
      </c>
      <c r="L670" s="24">
        <f t="shared" si="47"/>
        <v>1320</v>
      </c>
      <c r="M670" s="24"/>
    </row>
    <row r="671" spans="1:13" s="5" customFormat="1" outlineLevel="2">
      <c r="A671" s="39" t="s">
        <v>289</v>
      </c>
      <c r="B671" s="40" t="s">
        <v>59</v>
      </c>
      <c r="C671" s="41" t="s">
        <v>290</v>
      </c>
      <c r="D671" s="40" t="s">
        <v>291</v>
      </c>
      <c r="E671" s="24">
        <v>17380000</v>
      </c>
      <c r="F671" s="39">
        <v>44092</v>
      </c>
      <c r="G671" s="24">
        <v>14483332</v>
      </c>
      <c r="H671" s="23">
        <v>5.0000000000000001E-3</v>
      </c>
      <c r="I671" s="39">
        <v>44287</v>
      </c>
      <c r="J671" s="39">
        <v>44300</v>
      </c>
      <c r="K671" s="24">
        <f t="shared" si="46"/>
        <v>14</v>
      </c>
      <c r="L671" s="24">
        <f t="shared" si="47"/>
        <v>2778</v>
      </c>
      <c r="M671" s="24">
        <v>14000554</v>
      </c>
    </row>
    <row r="672" spans="1:13" s="5" customFormat="1" outlineLevel="2">
      <c r="A672" s="39" t="s">
        <v>289</v>
      </c>
      <c r="B672" s="40" t="s">
        <v>59</v>
      </c>
      <c r="C672" s="41" t="s">
        <v>290</v>
      </c>
      <c r="D672" s="40"/>
      <c r="E672" s="24"/>
      <c r="F672" s="39"/>
      <c r="G672" s="24">
        <v>14000554</v>
      </c>
      <c r="H672" s="23">
        <v>5.0000000000000001E-3</v>
      </c>
      <c r="I672" s="39">
        <v>44301</v>
      </c>
      <c r="J672" s="39">
        <v>44316</v>
      </c>
      <c r="K672" s="24">
        <f t="shared" si="46"/>
        <v>16</v>
      </c>
      <c r="L672" s="24">
        <f t="shared" si="47"/>
        <v>3069</v>
      </c>
      <c r="M672" s="24"/>
    </row>
    <row r="673" spans="1:13" s="5" customFormat="1" outlineLevel="2">
      <c r="A673" s="39" t="s">
        <v>289</v>
      </c>
      <c r="B673" s="40" t="s">
        <v>62</v>
      </c>
      <c r="C673" s="41" t="s">
        <v>121</v>
      </c>
      <c r="D673" s="40" t="s">
        <v>122</v>
      </c>
      <c r="E673" s="24">
        <v>41000000</v>
      </c>
      <c r="F673" s="39">
        <v>44140</v>
      </c>
      <c r="G673" s="24">
        <v>41000000</v>
      </c>
      <c r="H673" s="23">
        <v>5.0000000000000001E-3</v>
      </c>
      <c r="I673" s="39">
        <v>44287</v>
      </c>
      <c r="J673" s="39">
        <v>44316</v>
      </c>
      <c r="K673" s="24">
        <f t="shared" si="46"/>
        <v>30</v>
      </c>
      <c r="L673" s="24">
        <f t="shared" si="47"/>
        <v>16849</v>
      </c>
      <c r="M673" s="24">
        <v>41000000</v>
      </c>
    </row>
    <row r="674" spans="1:13" s="5" customFormat="1" outlineLevel="2">
      <c r="A674" s="39" t="s">
        <v>289</v>
      </c>
      <c r="B674" s="40" t="s">
        <v>63</v>
      </c>
      <c r="C674" s="41" t="s">
        <v>290</v>
      </c>
      <c r="D674" s="40" t="s">
        <v>291</v>
      </c>
      <c r="E674" s="24">
        <v>3220000</v>
      </c>
      <c r="F674" s="39">
        <v>44161</v>
      </c>
      <c r="G674" s="24">
        <v>2997932</v>
      </c>
      <c r="H674" s="23">
        <v>5.0000000000000001E-3</v>
      </c>
      <c r="I674" s="39">
        <v>44287</v>
      </c>
      <c r="J674" s="39">
        <v>44300</v>
      </c>
      <c r="K674" s="24">
        <f t="shared" si="46"/>
        <v>14</v>
      </c>
      <c r="L674" s="24">
        <f t="shared" si="47"/>
        <v>575</v>
      </c>
      <c r="M674" s="24">
        <v>2942415</v>
      </c>
    </row>
    <row r="675" spans="1:13" s="5" customFormat="1" outlineLevel="2">
      <c r="A675" s="39" t="s">
        <v>289</v>
      </c>
      <c r="B675" s="40" t="s">
        <v>63</v>
      </c>
      <c r="C675" s="41" t="s">
        <v>290</v>
      </c>
      <c r="D675" s="40"/>
      <c r="E675" s="24"/>
      <c r="F675" s="39"/>
      <c r="G675" s="24">
        <v>2942415</v>
      </c>
      <c r="H675" s="23">
        <v>5.0000000000000001E-3</v>
      </c>
      <c r="I675" s="39">
        <v>44301</v>
      </c>
      <c r="J675" s="39">
        <v>44316</v>
      </c>
      <c r="K675" s="24">
        <f t="shared" si="46"/>
        <v>16</v>
      </c>
      <c r="L675" s="24">
        <f t="shared" si="47"/>
        <v>645</v>
      </c>
      <c r="M675" s="24"/>
    </row>
    <row r="676" spans="1:13" s="5" customFormat="1" outlineLevel="2">
      <c r="A676" s="39" t="s">
        <v>289</v>
      </c>
      <c r="B676" s="40" t="s">
        <v>64</v>
      </c>
      <c r="C676" s="41" t="s">
        <v>121</v>
      </c>
      <c r="D676" s="40" t="s">
        <v>122</v>
      </c>
      <c r="E676" s="24">
        <v>50000000</v>
      </c>
      <c r="F676" s="39">
        <v>44189</v>
      </c>
      <c r="G676" s="24">
        <v>50000000</v>
      </c>
      <c r="H676" s="23">
        <v>5.0000000000000001E-3</v>
      </c>
      <c r="I676" s="39">
        <v>44287</v>
      </c>
      <c r="J676" s="39">
        <v>44316</v>
      </c>
      <c r="K676" s="24">
        <f t="shared" si="46"/>
        <v>30</v>
      </c>
      <c r="L676" s="24">
        <f t="shared" si="47"/>
        <v>20548</v>
      </c>
      <c r="M676" s="24">
        <v>50000000</v>
      </c>
    </row>
    <row r="677" spans="1:13" s="5" customFormat="1" outlineLevel="2">
      <c r="A677" s="39" t="s">
        <v>289</v>
      </c>
      <c r="B677" s="40" t="s">
        <v>65</v>
      </c>
      <c r="C677" s="41" t="s">
        <v>121</v>
      </c>
      <c r="D677" s="40" t="s">
        <v>122</v>
      </c>
      <c r="E677" s="24">
        <v>15000000</v>
      </c>
      <c r="F677" s="39">
        <v>44189</v>
      </c>
      <c r="G677" s="24">
        <v>15000000</v>
      </c>
      <c r="H677" s="23">
        <v>5.0000000000000001E-3</v>
      </c>
      <c r="I677" s="39">
        <v>44287</v>
      </c>
      <c r="J677" s="39">
        <v>44316</v>
      </c>
      <c r="K677" s="24">
        <f t="shared" si="46"/>
        <v>30</v>
      </c>
      <c r="L677" s="24">
        <f t="shared" si="47"/>
        <v>6164</v>
      </c>
      <c r="M677" s="24">
        <v>15000000</v>
      </c>
    </row>
    <row r="678" spans="1:13" s="5" customFormat="1" outlineLevel="2">
      <c r="A678" s="39" t="s">
        <v>289</v>
      </c>
      <c r="B678" s="40" t="s">
        <v>68</v>
      </c>
      <c r="C678" s="41" t="s">
        <v>121</v>
      </c>
      <c r="D678" s="40" t="s">
        <v>122</v>
      </c>
      <c r="E678" s="24">
        <v>850000</v>
      </c>
      <c r="F678" s="39">
        <v>44253</v>
      </c>
      <c r="G678" s="24">
        <v>850000</v>
      </c>
      <c r="H678" s="23">
        <v>5.0000000000000001E-3</v>
      </c>
      <c r="I678" s="39">
        <v>44287</v>
      </c>
      <c r="J678" s="39">
        <v>44316</v>
      </c>
      <c r="K678" s="24">
        <f t="shared" si="46"/>
        <v>30</v>
      </c>
      <c r="L678" s="24">
        <f t="shared" si="47"/>
        <v>349</v>
      </c>
      <c r="M678" s="24">
        <v>850000</v>
      </c>
    </row>
    <row r="679" spans="1:13" s="5" customFormat="1" outlineLevel="1">
      <c r="A679" s="42" t="s">
        <v>292</v>
      </c>
      <c r="B679" s="43"/>
      <c r="C679" s="44"/>
      <c r="D679" s="43"/>
      <c r="E679" s="45">
        <f>SUBTOTAL(9,E667:E678)</f>
        <v>350270000</v>
      </c>
      <c r="F679" s="46"/>
      <c r="G679" s="45"/>
      <c r="H679" s="47"/>
      <c r="I679" s="46"/>
      <c r="J679" s="46"/>
      <c r="K679" s="45"/>
      <c r="L679" s="45">
        <f>SUBTOTAL(9,L667:L678)</f>
        <v>142241</v>
      </c>
      <c r="M679" s="45">
        <f>SUBTOTAL(9,M667:M678)</f>
        <v>345817300</v>
      </c>
    </row>
    <row r="680" spans="1:13" s="5" customFormat="1" outlineLevel="2">
      <c r="A680" s="39" t="s">
        <v>293</v>
      </c>
      <c r="B680" s="40" t="s">
        <v>16</v>
      </c>
      <c r="C680" s="41" t="s">
        <v>121</v>
      </c>
      <c r="D680" s="40" t="s">
        <v>122</v>
      </c>
      <c r="E680" s="24">
        <v>190000000</v>
      </c>
      <c r="F680" s="39">
        <v>43797</v>
      </c>
      <c r="G680" s="24">
        <v>190000000</v>
      </c>
      <c r="H680" s="23">
        <v>5.0000000000000001E-3</v>
      </c>
      <c r="I680" s="39">
        <v>44287</v>
      </c>
      <c r="J680" s="39">
        <v>44316</v>
      </c>
      <c r="K680" s="24">
        <f t="shared" ref="K680:K725" si="48">J680-I680+1</f>
        <v>30</v>
      </c>
      <c r="L680" s="24">
        <f t="shared" ref="L680:L725" si="49">ROUND(G680*H680*K680/365,0)</f>
        <v>78082</v>
      </c>
      <c r="M680" s="24">
        <v>190000000</v>
      </c>
    </row>
    <row r="681" spans="1:13" s="5" customFormat="1" outlineLevel="2">
      <c r="A681" s="39" t="s">
        <v>293</v>
      </c>
      <c r="B681" s="40" t="s">
        <v>19</v>
      </c>
      <c r="C681" s="41" t="s">
        <v>55</v>
      </c>
      <c r="D681" s="40" t="s">
        <v>56</v>
      </c>
      <c r="E681" s="24">
        <v>1310400</v>
      </c>
      <c r="F681" s="39">
        <v>44043</v>
      </c>
      <c r="G681" s="24">
        <v>1119800</v>
      </c>
      <c r="H681" s="23">
        <v>5.0000000000000001E-3</v>
      </c>
      <c r="I681" s="39">
        <v>44287</v>
      </c>
      <c r="J681" s="39">
        <v>44300</v>
      </c>
      <c r="K681" s="24">
        <f t="shared" si="48"/>
        <v>14</v>
      </c>
      <c r="L681" s="24">
        <f t="shared" si="49"/>
        <v>215</v>
      </c>
      <c r="M681" s="24">
        <v>1095975</v>
      </c>
    </row>
    <row r="682" spans="1:13" s="5" customFormat="1" outlineLevel="2">
      <c r="A682" s="39" t="s">
        <v>293</v>
      </c>
      <c r="B682" s="40" t="s">
        <v>19</v>
      </c>
      <c r="C682" s="41" t="s">
        <v>55</v>
      </c>
      <c r="D682" s="40"/>
      <c r="E682" s="24"/>
      <c r="F682" s="39"/>
      <c r="G682" s="24">
        <v>1095975</v>
      </c>
      <c r="H682" s="23">
        <v>5.0000000000000001E-3</v>
      </c>
      <c r="I682" s="39">
        <v>44301</v>
      </c>
      <c r="J682" s="39">
        <v>44316</v>
      </c>
      <c r="K682" s="24">
        <f t="shared" si="48"/>
        <v>16</v>
      </c>
      <c r="L682" s="24">
        <f t="shared" si="49"/>
        <v>240</v>
      </c>
      <c r="M682" s="24"/>
    </row>
    <row r="683" spans="1:13" s="5" customFormat="1" outlineLevel="2">
      <c r="A683" s="39" t="s">
        <v>293</v>
      </c>
      <c r="B683" s="40" t="s">
        <v>22</v>
      </c>
      <c r="C683" s="41" t="s">
        <v>20</v>
      </c>
      <c r="D683" s="40" t="s">
        <v>21</v>
      </c>
      <c r="E683" s="24">
        <v>201600000</v>
      </c>
      <c r="F683" s="39">
        <v>44028</v>
      </c>
      <c r="G683" s="24">
        <v>201600000</v>
      </c>
      <c r="H683" s="23">
        <v>3.0000000000000001E-3</v>
      </c>
      <c r="I683" s="39">
        <v>44287</v>
      </c>
      <c r="J683" s="39">
        <v>44316</v>
      </c>
      <c r="K683" s="24">
        <f t="shared" si="48"/>
        <v>30</v>
      </c>
      <c r="L683" s="24">
        <f t="shared" si="49"/>
        <v>49710</v>
      </c>
      <c r="M683" s="24">
        <v>201600000</v>
      </c>
    </row>
    <row r="684" spans="1:13" s="5" customFormat="1" outlineLevel="2">
      <c r="A684" s="39" t="s">
        <v>293</v>
      </c>
      <c r="B684" s="40" t="s">
        <v>25</v>
      </c>
      <c r="C684" s="41" t="s">
        <v>294</v>
      </c>
      <c r="D684" s="40" t="s">
        <v>295</v>
      </c>
      <c r="E684" s="24">
        <v>67678400</v>
      </c>
      <c r="F684" s="39">
        <v>44041</v>
      </c>
      <c r="G684" s="24">
        <v>67678400</v>
      </c>
      <c r="H684" s="23">
        <v>5.0000000000000001E-3</v>
      </c>
      <c r="I684" s="39">
        <v>44287</v>
      </c>
      <c r="J684" s="39">
        <v>44316</v>
      </c>
      <c r="K684" s="24">
        <f t="shared" si="48"/>
        <v>30</v>
      </c>
      <c r="L684" s="24">
        <f t="shared" si="49"/>
        <v>27813</v>
      </c>
      <c r="M684" s="24">
        <v>67678400</v>
      </c>
    </row>
    <row r="685" spans="1:13" s="5" customFormat="1" outlineLevel="2">
      <c r="A685" s="39" t="s">
        <v>293</v>
      </c>
      <c r="B685" s="40" t="s">
        <v>26</v>
      </c>
      <c r="C685" s="41" t="s">
        <v>294</v>
      </c>
      <c r="D685" s="40" t="s">
        <v>295</v>
      </c>
      <c r="E685" s="24">
        <v>56400000</v>
      </c>
      <c r="F685" s="39">
        <v>44060</v>
      </c>
      <c r="G685" s="24">
        <v>56400000</v>
      </c>
      <c r="H685" s="23">
        <v>5.0000000000000001E-3</v>
      </c>
      <c r="I685" s="39">
        <v>44287</v>
      </c>
      <c r="J685" s="39">
        <v>44316</v>
      </c>
      <c r="K685" s="24">
        <f t="shared" si="48"/>
        <v>30</v>
      </c>
      <c r="L685" s="24">
        <f t="shared" si="49"/>
        <v>23178</v>
      </c>
      <c r="M685" s="24">
        <v>56400000</v>
      </c>
    </row>
    <row r="686" spans="1:13" s="5" customFormat="1" outlineLevel="2">
      <c r="A686" s="39" t="s">
        <v>293</v>
      </c>
      <c r="B686" s="40" t="s">
        <v>29</v>
      </c>
      <c r="C686" s="41" t="s">
        <v>294</v>
      </c>
      <c r="D686" s="40" t="s">
        <v>295</v>
      </c>
      <c r="E686" s="24">
        <v>56400000</v>
      </c>
      <c r="F686" s="39">
        <v>44089</v>
      </c>
      <c r="G686" s="24">
        <v>56400000</v>
      </c>
      <c r="H686" s="23">
        <v>5.0000000000000001E-3</v>
      </c>
      <c r="I686" s="39">
        <v>44287</v>
      </c>
      <c r="J686" s="39">
        <v>44316</v>
      </c>
      <c r="K686" s="24">
        <f t="shared" si="48"/>
        <v>30</v>
      </c>
      <c r="L686" s="24">
        <f t="shared" si="49"/>
        <v>23178</v>
      </c>
      <c r="M686" s="24">
        <v>56400000</v>
      </c>
    </row>
    <row r="687" spans="1:13" s="5" customFormat="1" outlineLevel="2">
      <c r="A687" s="39" t="s">
        <v>293</v>
      </c>
      <c r="B687" s="40" t="s">
        <v>32</v>
      </c>
      <c r="C687" s="41" t="s">
        <v>294</v>
      </c>
      <c r="D687" s="40" t="s">
        <v>295</v>
      </c>
      <c r="E687" s="24">
        <v>56400000</v>
      </c>
      <c r="F687" s="39">
        <v>44119</v>
      </c>
      <c r="G687" s="24">
        <v>56400000</v>
      </c>
      <c r="H687" s="23">
        <v>5.0000000000000001E-3</v>
      </c>
      <c r="I687" s="39">
        <v>44287</v>
      </c>
      <c r="J687" s="39">
        <v>44316</v>
      </c>
      <c r="K687" s="24">
        <f t="shared" si="48"/>
        <v>30</v>
      </c>
      <c r="L687" s="24">
        <f t="shared" si="49"/>
        <v>23178</v>
      </c>
      <c r="M687" s="24">
        <v>56400000</v>
      </c>
    </row>
    <row r="688" spans="1:13" s="5" customFormat="1" outlineLevel="2">
      <c r="A688" s="39" t="s">
        <v>293</v>
      </c>
      <c r="B688" s="40" t="s">
        <v>33</v>
      </c>
      <c r="C688" s="41" t="s">
        <v>55</v>
      </c>
      <c r="D688" s="40" t="s">
        <v>56</v>
      </c>
      <c r="E688" s="24">
        <v>1169666</v>
      </c>
      <c r="F688" s="39">
        <v>44134</v>
      </c>
      <c r="G688" s="24">
        <v>1057196</v>
      </c>
      <c r="H688" s="23">
        <v>5.0000000000000001E-3</v>
      </c>
      <c r="I688" s="39">
        <v>44287</v>
      </c>
      <c r="J688" s="39">
        <v>44300</v>
      </c>
      <c r="K688" s="24">
        <f t="shared" si="48"/>
        <v>14</v>
      </c>
      <c r="L688" s="24">
        <f t="shared" si="49"/>
        <v>203</v>
      </c>
      <c r="M688" s="24">
        <v>1034702</v>
      </c>
    </row>
    <row r="689" spans="1:13" s="5" customFormat="1" outlineLevel="2">
      <c r="A689" s="39" t="s">
        <v>293</v>
      </c>
      <c r="B689" s="40" t="s">
        <v>33</v>
      </c>
      <c r="C689" s="41" t="s">
        <v>55</v>
      </c>
      <c r="D689" s="40"/>
      <c r="E689" s="24"/>
      <c r="F689" s="39"/>
      <c r="G689" s="24">
        <v>1034702</v>
      </c>
      <c r="H689" s="23">
        <v>5.0000000000000001E-3</v>
      </c>
      <c r="I689" s="39">
        <v>44301</v>
      </c>
      <c r="J689" s="39">
        <v>44316</v>
      </c>
      <c r="K689" s="24">
        <f t="shared" si="48"/>
        <v>16</v>
      </c>
      <c r="L689" s="24">
        <f t="shared" si="49"/>
        <v>227</v>
      </c>
      <c r="M689" s="24"/>
    </row>
    <row r="690" spans="1:13" s="5" customFormat="1" outlineLevel="2">
      <c r="A690" s="39" t="s">
        <v>293</v>
      </c>
      <c r="B690" s="40" t="s">
        <v>34</v>
      </c>
      <c r="C690" s="41" t="s">
        <v>294</v>
      </c>
      <c r="D690" s="40" t="s">
        <v>295</v>
      </c>
      <c r="E690" s="24">
        <v>56400000</v>
      </c>
      <c r="F690" s="39">
        <v>44151</v>
      </c>
      <c r="G690" s="24">
        <v>56400000</v>
      </c>
      <c r="H690" s="23">
        <v>5.0000000000000001E-3</v>
      </c>
      <c r="I690" s="39">
        <v>44287</v>
      </c>
      <c r="J690" s="39">
        <v>44316</v>
      </c>
      <c r="K690" s="24">
        <f t="shared" si="48"/>
        <v>30</v>
      </c>
      <c r="L690" s="24">
        <f t="shared" si="49"/>
        <v>23178</v>
      </c>
      <c r="M690" s="24">
        <v>56400000</v>
      </c>
    </row>
    <row r="691" spans="1:13" s="5" customFormat="1" outlineLevel="2">
      <c r="A691" s="39" t="s">
        <v>293</v>
      </c>
      <c r="B691" s="40" t="s">
        <v>35</v>
      </c>
      <c r="C691" s="41" t="s">
        <v>115</v>
      </c>
      <c r="D691" s="40" t="s">
        <v>116</v>
      </c>
      <c r="E691" s="24">
        <v>2230000</v>
      </c>
      <c r="F691" s="39">
        <v>44138</v>
      </c>
      <c r="G691" s="24">
        <v>2230000</v>
      </c>
      <c r="H691" s="23">
        <v>5.0000000000000001E-3</v>
      </c>
      <c r="I691" s="39">
        <v>44287</v>
      </c>
      <c r="J691" s="39">
        <v>44316</v>
      </c>
      <c r="K691" s="24">
        <f t="shared" si="48"/>
        <v>30</v>
      </c>
      <c r="L691" s="24">
        <f t="shared" si="49"/>
        <v>916</v>
      </c>
      <c r="M691" s="24">
        <v>2230000</v>
      </c>
    </row>
    <row r="692" spans="1:13" s="5" customFormat="1" outlineLevel="2">
      <c r="A692" s="39" t="s">
        <v>293</v>
      </c>
      <c r="B692" s="40" t="s">
        <v>36</v>
      </c>
      <c r="C692" s="41" t="s">
        <v>294</v>
      </c>
      <c r="D692" s="40" t="s">
        <v>295</v>
      </c>
      <c r="E692" s="24">
        <v>112800000</v>
      </c>
      <c r="F692" s="39">
        <v>44180</v>
      </c>
      <c r="G692" s="24">
        <v>112800000</v>
      </c>
      <c r="H692" s="23">
        <v>5.0000000000000001E-3</v>
      </c>
      <c r="I692" s="39">
        <v>44287</v>
      </c>
      <c r="J692" s="39">
        <v>44316</v>
      </c>
      <c r="K692" s="24">
        <f t="shared" si="48"/>
        <v>30</v>
      </c>
      <c r="L692" s="24">
        <f t="shared" si="49"/>
        <v>46356</v>
      </c>
      <c r="M692" s="24">
        <v>112800000</v>
      </c>
    </row>
    <row r="693" spans="1:13" s="5" customFormat="1" outlineLevel="2">
      <c r="A693" s="39" t="s">
        <v>293</v>
      </c>
      <c r="B693" s="40" t="s">
        <v>39</v>
      </c>
      <c r="C693" s="41" t="s">
        <v>121</v>
      </c>
      <c r="D693" s="40" t="s">
        <v>122</v>
      </c>
      <c r="E693" s="24">
        <v>37000000</v>
      </c>
      <c r="F693" s="39">
        <v>43829</v>
      </c>
      <c r="G693" s="24">
        <v>37000000</v>
      </c>
      <c r="H693" s="23">
        <v>5.0000000000000001E-3</v>
      </c>
      <c r="I693" s="39">
        <v>44287</v>
      </c>
      <c r="J693" s="39">
        <v>44316</v>
      </c>
      <c r="K693" s="24">
        <f t="shared" si="48"/>
        <v>30</v>
      </c>
      <c r="L693" s="24">
        <f t="shared" si="49"/>
        <v>15205</v>
      </c>
      <c r="M693" s="24">
        <v>37000000</v>
      </c>
    </row>
    <row r="694" spans="1:13" s="5" customFormat="1" outlineLevel="2">
      <c r="A694" s="39" t="s">
        <v>293</v>
      </c>
      <c r="B694" s="40" t="s">
        <v>40</v>
      </c>
      <c r="C694" s="41" t="s">
        <v>294</v>
      </c>
      <c r="D694" s="40" t="s">
        <v>295</v>
      </c>
      <c r="E694" s="24">
        <v>3667200</v>
      </c>
      <c r="F694" s="39">
        <v>44180</v>
      </c>
      <c r="G694" s="24">
        <v>3667200</v>
      </c>
      <c r="H694" s="23">
        <v>5.0000000000000001E-3</v>
      </c>
      <c r="I694" s="39">
        <v>44287</v>
      </c>
      <c r="J694" s="39">
        <v>44316</v>
      </c>
      <c r="K694" s="24">
        <f t="shared" si="48"/>
        <v>30</v>
      </c>
      <c r="L694" s="24">
        <f t="shared" si="49"/>
        <v>1507</v>
      </c>
      <c r="M694" s="24">
        <v>3667200</v>
      </c>
    </row>
    <row r="695" spans="1:13" s="5" customFormat="1" outlineLevel="2">
      <c r="A695" s="39" t="s">
        <v>293</v>
      </c>
      <c r="B695" s="40" t="s">
        <v>41</v>
      </c>
      <c r="C695" s="41" t="s">
        <v>132</v>
      </c>
      <c r="D695" s="40" t="s">
        <v>133</v>
      </c>
      <c r="E695" s="24">
        <v>30870000</v>
      </c>
      <c r="F695" s="39">
        <v>44175</v>
      </c>
      <c r="G695" s="24">
        <v>30870000</v>
      </c>
      <c r="H695" s="23">
        <v>5.0000000000000001E-3</v>
      </c>
      <c r="I695" s="39">
        <v>44287</v>
      </c>
      <c r="J695" s="39">
        <v>44316</v>
      </c>
      <c r="K695" s="24">
        <f t="shared" si="48"/>
        <v>30</v>
      </c>
      <c r="L695" s="24">
        <f t="shared" si="49"/>
        <v>12686</v>
      </c>
      <c r="M695" s="24">
        <v>30870000</v>
      </c>
    </row>
    <row r="696" spans="1:13" s="5" customFormat="1" outlineLevel="2">
      <c r="A696" s="39" t="s">
        <v>293</v>
      </c>
      <c r="B696" s="40" t="s">
        <v>42</v>
      </c>
      <c r="C696" s="41" t="s">
        <v>294</v>
      </c>
      <c r="D696" s="40" t="s">
        <v>295</v>
      </c>
      <c r="E696" s="24">
        <v>57011200</v>
      </c>
      <c r="F696" s="39">
        <v>44211</v>
      </c>
      <c r="G696" s="24">
        <v>57011200</v>
      </c>
      <c r="H696" s="23">
        <v>5.0000000000000001E-3</v>
      </c>
      <c r="I696" s="39">
        <v>44287</v>
      </c>
      <c r="J696" s="39">
        <v>44316</v>
      </c>
      <c r="K696" s="24">
        <f t="shared" si="48"/>
        <v>30</v>
      </c>
      <c r="L696" s="24">
        <f t="shared" si="49"/>
        <v>23429</v>
      </c>
      <c r="M696" s="24">
        <v>57011200</v>
      </c>
    </row>
    <row r="697" spans="1:13" s="5" customFormat="1" outlineLevel="2">
      <c r="A697" s="39" t="s">
        <v>293</v>
      </c>
      <c r="B697" s="40" t="s">
        <v>43</v>
      </c>
      <c r="C697" s="41" t="s">
        <v>115</v>
      </c>
      <c r="D697" s="40" t="s">
        <v>116</v>
      </c>
      <c r="E697" s="24">
        <v>10000000</v>
      </c>
      <c r="F697" s="39">
        <v>44225</v>
      </c>
      <c r="G697" s="24">
        <v>10000000</v>
      </c>
      <c r="H697" s="23">
        <v>5.0000000000000001E-3</v>
      </c>
      <c r="I697" s="39">
        <v>44287</v>
      </c>
      <c r="J697" s="39">
        <v>44316</v>
      </c>
      <c r="K697" s="24">
        <f t="shared" si="48"/>
        <v>30</v>
      </c>
      <c r="L697" s="24">
        <f t="shared" si="49"/>
        <v>4110</v>
      </c>
      <c r="M697" s="24">
        <v>10000000</v>
      </c>
    </row>
    <row r="698" spans="1:13" s="5" customFormat="1" outlineLevel="2">
      <c r="A698" s="39" t="s">
        <v>293</v>
      </c>
      <c r="B698" s="40" t="s">
        <v>44</v>
      </c>
      <c r="C698" s="41" t="s">
        <v>132</v>
      </c>
      <c r="D698" s="40" t="s">
        <v>133</v>
      </c>
      <c r="E698" s="24">
        <v>5880000</v>
      </c>
      <c r="F698" s="39">
        <v>44207</v>
      </c>
      <c r="G698" s="24">
        <v>5880000</v>
      </c>
      <c r="H698" s="23">
        <v>5.0000000000000001E-3</v>
      </c>
      <c r="I698" s="39">
        <v>44287</v>
      </c>
      <c r="J698" s="39">
        <v>44316</v>
      </c>
      <c r="K698" s="24">
        <f t="shared" si="48"/>
        <v>30</v>
      </c>
      <c r="L698" s="24">
        <f t="shared" si="49"/>
        <v>2416</v>
      </c>
      <c r="M698" s="24">
        <v>5880000</v>
      </c>
    </row>
    <row r="699" spans="1:13" s="5" customFormat="1" outlineLevel="2">
      <c r="A699" s="39" t="s">
        <v>293</v>
      </c>
      <c r="B699" s="40" t="s">
        <v>47</v>
      </c>
      <c r="C699" s="41" t="s">
        <v>132</v>
      </c>
      <c r="D699" s="40" t="s">
        <v>133</v>
      </c>
      <c r="E699" s="24">
        <v>660000</v>
      </c>
      <c r="F699" s="39">
        <v>44221</v>
      </c>
      <c r="G699" s="24">
        <v>660000</v>
      </c>
      <c r="H699" s="23">
        <v>5.0000000000000001E-3</v>
      </c>
      <c r="I699" s="39">
        <v>44287</v>
      </c>
      <c r="J699" s="39">
        <v>44316</v>
      </c>
      <c r="K699" s="24">
        <f t="shared" si="48"/>
        <v>30</v>
      </c>
      <c r="L699" s="24">
        <f t="shared" si="49"/>
        <v>271</v>
      </c>
      <c r="M699" s="24">
        <v>660000</v>
      </c>
    </row>
    <row r="700" spans="1:13" s="5" customFormat="1" outlineLevel="2">
      <c r="A700" s="39" t="s">
        <v>293</v>
      </c>
      <c r="B700" s="40" t="s">
        <v>50</v>
      </c>
      <c r="C700" s="41" t="s">
        <v>132</v>
      </c>
      <c r="D700" s="40" t="s">
        <v>133</v>
      </c>
      <c r="E700" s="24">
        <v>4160000</v>
      </c>
      <c r="F700" s="39">
        <v>44207</v>
      </c>
      <c r="G700" s="24">
        <v>4160000</v>
      </c>
      <c r="H700" s="23">
        <v>5.0000000000000001E-3</v>
      </c>
      <c r="I700" s="39">
        <v>44287</v>
      </c>
      <c r="J700" s="39">
        <v>44316</v>
      </c>
      <c r="K700" s="24">
        <f t="shared" si="48"/>
        <v>30</v>
      </c>
      <c r="L700" s="24">
        <f t="shared" si="49"/>
        <v>1710</v>
      </c>
      <c r="M700" s="24">
        <v>4160000</v>
      </c>
    </row>
    <row r="701" spans="1:13" s="5" customFormat="1" outlineLevel="2">
      <c r="A701" s="39" t="s">
        <v>293</v>
      </c>
      <c r="B701" s="40" t="s">
        <v>51</v>
      </c>
      <c r="C701" s="41" t="s">
        <v>294</v>
      </c>
      <c r="D701" s="40" t="s">
        <v>295</v>
      </c>
      <c r="E701" s="24">
        <v>64400000</v>
      </c>
      <c r="F701" s="39">
        <v>44236</v>
      </c>
      <c r="G701" s="24">
        <v>64400000</v>
      </c>
      <c r="H701" s="23">
        <v>5.0000000000000001E-3</v>
      </c>
      <c r="I701" s="39">
        <v>44287</v>
      </c>
      <c r="J701" s="39">
        <v>44316</v>
      </c>
      <c r="K701" s="24">
        <f t="shared" si="48"/>
        <v>30</v>
      </c>
      <c r="L701" s="24">
        <f t="shared" si="49"/>
        <v>26466</v>
      </c>
      <c r="M701" s="24">
        <v>64400000</v>
      </c>
    </row>
    <row r="702" spans="1:13" s="5" customFormat="1" outlineLevel="2">
      <c r="A702" s="39" t="s">
        <v>293</v>
      </c>
      <c r="B702" s="40" t="s">
        <v>52</v>
      </c>
      <c r="C702" s="41" t="s">
        <v>294</v>
      </c>
      <c r="D702" s="40" t="s">
        <v>295</v>
      </c>
      <c r="E702" s="24">
        <v>57011200</v>
      </c>
      <c r="F702" s="39">
        <v>44245</v>
      </c>
      <c r="G702" s="24">
        <v>57011200</v>
      </c>
      <c r="H702" s="23">
        <v>5.0000000000000001E-3</v>
      </c>
      <c r="I702" s="39">
        <v>44287</v>
      </c>
      <c r="J702" s="39">
        <v>44316</v>
      </c>
      <c r="K702" s="24">
        <f t="shared" si="48"/>
        <v>30</v>
      </c>
      <c r="L702" s="24">
        <f t="shared" si="49"/>
        <v>23429</v>
      </c>
      <c r="M702" s="24">
        <v>57011200</v>
      </c>
    </row>
    <row r="703" spans="1:13" s="5" customFormat="1" outlineLevel="2">
      <c r="A703" s="39" t="s">
        <v>293</v>
      </c>
      <c r="B703" s="40" t="s">
        <v>53</v>
      </c>
      <c r="C703" s="41" t="s">
        <v>132</v>
      </c>
      <c r="D703" s="40" t="s">
        <v>133</v>
      </c>
      <c r="E703" s="24">
        <v>3640000</v>
      </c>
      <c r="F703" s="39">
        <v>44244</v>
      </c>
      <c r="G703" s="24">
        <v>3640000</v>
      </c>
      <c r="H703" s="23">
        <v>5.0000000000000001E-3</v>
      </c>
      <c r="I703" s="39">
        <v>44287</v>
      </c>
      <c r="J703" s="39">
        <v>44316</v>
      </c>
      <c r="K703" s="24">
        <f t="shared" si="48"/>
        <v>30</v>
      </c>
      <c r="L703" s="24">
        <f t="shared" si="49"/>
        <v>1496</v>
      </c>
      <c r="M703" s="24">
        <v>3640000</v>
      </c>
    </row>
    <row r="704" spans="1:13" s="5" customFormat="1" outlineLevel="2">
      <c r="A704" s="39" t="s">
        <v>293</v>
      </c>
      <c r="B704" s="40" t="s">
        <v>54</v>
      </c>
      <c r="C704" s="41" t="s">
        <v>55</v>
      </c>
      <c r="D704" s="40" t="s">
        <v>56</v>
      </c>
      <c r="E704" s="24">
        <v>17276700</v>
      </c>
      <c r="F704" s="39">
        <v>43878</v>
      </c>
      <c r="G704" s="24">
        <v>13533415</v>
      </c>
      <c r="H704" s="23">
        <v>5.0000000000000001E-3</v>
      </c>
      <c r="I704" s="39">
        <v>44287</v>
      </c>
      <c r="J704" s="39">
        <v>44300</v>
      </c>
      <c r="K704" s="24">
        <f t="shared" si="48"/>
        <v>14</v>
      </c>
      <c r="L704" s="24">
        <f t="shared" si="49"/>
        <v>2595</v>
      </c>
      <c r="M704" s="24">
        <v>13245470</v>
      </c>
    </row>
    <row r="705" spans="1:13" s="5" customFormat="1" outlineLevel="2">
      <c r="A705" s="39" t="s">
        <v>293</v>
      </c>
      <c r="B705" s="40" t="s">
        <v>54</v>
      </c>
      <c r="C705" s="41" t="s">
        <v>55</v>
      </c>
      <c r="D705" s="40"/>
      <c r="E705" s="24"/>
      <c r="F705" s="39"/>
      <c r="G705" s="24">
        <v>13245470</v>
      </c>
      <c r="H705" s="23">
        <v>5.0000000000000001E-3</v>
      </c>
      <c r="I705" s="39">
        <v>44301</v>
      </c>
      <c r="J705" s="39">
        <v>44316</v>
      </c>
      <c r="K705" s="24">
        <f t="shared" si="48"/>
        <v>16</v>
      </c>
      <c r="L705" s="24">
        <f t="shared" si="49"/>
        <v>2903</v>
      </c>
      <c r="M705" s="24"/>
    </row>
    <row r="706" spans="1:13" s="5" customFormat="1" outlineLevel="2">
      <c r="A706" s="39" t="s">
        <v>293</v>
      </c>
      <c r="B706" s="40" t="s">
        <v>57</v>
      </c>
      <c r="C706" s="41" t="s">
        <v>132</v>
      </c>
      <c r="D706" s="40" t="s">
        <v>133</v>
      </c>
      <c r="E706" s="24">
        <v>7500000</v>
      </c>
      <c r="F706" s="39">
        <v>44228</v>
      </c>
      <c r="G706" s="24">
        <v>7500000</v>
      </c>
      <c r="H706" s="23">
        <v>5.0000000000000001E-3</v>
      </c>
      <c r="I706" s="39">
        <v>44287</v>
      </c>
      <c r="J706" s="39">
        <v>44316</v>
      </c>
      <c r="K706" s="24">
        <f t="shared" si="48"/>
        <v>30</v>
      </c>
      <c r="L706" s="24">
        <f t="shared" si="49"/>
        <v>3082</v>
      </c>
      <c r="M706" s="24">
        <v>7500000</v>
      </c>
    </row>
    <row r="707" spans="1:13" s="5" customFormat="1" outlineLevel="2">
      <c r="A707" s="39" t="s">
        <v>293</v>
      </c>
      <c r="B707" s="40" t="s">
        <v>58</v>
      </c>
      <c r="C707" s="41" t="s">
        <v>132</v>
      </c>
      <c r="D707" s="40" t="s">
        <v>133</v>
      </c>
      <c r="E707" s="24">
        <v>7490000</v>
      </c>
      <c r="F707" s="39">
        <v>44235</v>
      </c>
      <c r="G707" s="24">
        <v>7490000</v>
      </c>
      <c r="H707" s="23">
        <v>5.0000000000000001E-3</v>
      </c>
      <c r="I707" s="39">
        <v>44287</v>
      </c>
      <c r="J707" s="39">
        <v>44316</v>
      </c>
      <c r="K707" s="24">
        <f t="shared" si="48"/>
        <v>30</v>
      </c>
      <c r="L707" s="24">
        <f t="shared" si="49"/>
        <v>3078</v>
      </c>
      <c r="M707" s="24">
        <v>7490000</v>
      </c>
    </row>
    <row r="708" spans="1:13" s="5" customFormat="1" outlineLevel="2">
      <c r="A708" s="39" t="s">
        <v>293</v>
      </c>
      <c r="B708" s="40" t="s">
        <v>99</v>
      </c>
      <c r="C708" s="41" t="s">
        <v>132</v>
      </c>
      <c r="D708" s="40" t="s">
        <v>133</v>
      </c>
      <c r="E708" s="24">
        <v>6670000</v>
      </c>
      <c r="F708" s="39">
        <v>44252</v>
      </c>
      <c r="G708" s="24">
        <v>6670000</v>
      </c>
      <c r="H708" s="23">
        <v>5.0000000000000001E-3</v>
      </c>
      <c r="I708" s="39">
        <v>44287</v>
      </c>
      <c r="J708" s="39">
        <v>44316</v>
      </c>
      <c r="K708" s="24">
        <f t="shared" si="48"/>
        <v>30</v>
      </c>
      <c r="L708" s="24">
        <f t="shared" si="49"/>
        <v>2741</v>
      </c>
      <c r="M708" s="24">
        <v>6670000</v>
      </c>
    </row>
    <row r="709" spans="1:13" s="5" customFormat="1" outlineLevel="2">
      <c r="A709" s="39" t="s">
        <v>293</v>
      </c>
      <c r="B709" s="40" t="s">
        <v>100</v>
      </c>
      <c r="C709" s="41" t="s">
        <v>20</v>
      </c>
      <c r="D709" s="40" t="s">
        <v>21</v>
      </c>
      <c r="E709" s="24">
        <v>199200000</v>
      </c>
      <c r="F709" s="39">
        <v>44259</v>
      </c>
      <c r="G709" s="24">
        <v>199200000</v>
      </c>
      <c r="H709" s="23">
        <v>3.0000000000000001E-3</v>
      </c>
      <c r="I709" s="39">
        <v>44287</v>
      </c>
      <c r="J709" s="39">
        <v>44316</v>
      </c>
      <c r="K709" s="24">
        <f t="shared" si="48"/>
        <v>30</v>
      </c>
      <c r="L709" s="24">
        <f t="shared" si="49"/>
        <v>49118</v>
      </c>
      <c r="M709" s="24">
        <v>199200000</v>
      </c>
    </row>
    <row r="710" spans="1:13" s="5" customFormat="1" outlineLevel="2">
      <c r="A710" s="39" t="s">
        <v>293</v>
      </c>
      <c r="B710" s="40" t="s">
        <v>101</v>
      </c>
      <c r="C710" s="41" t="s">
        <v>294</v>
      </c>
      <c r="D710" s="40" t="s">
        <v>295</v>
      </c>
      <c r="E710" s="24">
        <v>39703444</v>
      </c>
      <c r="F710" s="39">
        <v>44270</v>
      </c>
      <c r="G710" s="24">
        <v>39703444</v>
      </c>
      <c r="H710" s="23">
        <v>5.0000000000000001E-3</v>
      </c>
      <c r="I710" s="39">
        <v>44287</v>
      </c>
      <c r="J710" s="39">
        <v>44316</v>
      </c>
      <c r="K710" s="24">
        <f t="shared" si="48"/>
        <v>30</v>
      </c>
      <c r="L710" s="24">
        <f t="shared" si="49"/>
        <v>16316</v>
      </c>
      <c r="M710" s="24">
        <v>39703444</v>
      </c>
    </row>
    <row r="711" spans="1:13" s="5" customFormat="1" outlineLevel="2">
      <c r="A711" s="39" t="s">
        <v>293</v>
      </c>
      <c r="B711" s="40" t="s">
        <v>102</v>
      </c>
      <c r="C711" s="41" t="s">
        <v>115</v>
      </c>
      <c r="D711" s="40" t="s">
        <v>116</v>
      </c>
      <c r="E711" s="24">
        <v>27770000</v>
      </c>
      <c r="F711" s="39">
        <v>44273</v>
      </c>
      <c r="G711" s="24">
        <v>27770000</v>
      </c>
      <c r="H711" s="23">
        <v>5.0000000000000001E-3</v>
      </c>
      <c r="I711" s="39">
        <v>44287</v>
      </c>
      <c r="J711" s="39">
        <v>44316</v>
      </c>
      <c r="K711" s="24">
        <f t="shared" si="48"/>
        <v>30</v>
      </c>
      <c r="L711" s="24">
        <f t="shared" si="49"/>
        <v>11412</v>
      </c>
      <c r="M711" s="24">
        <v>27770000</v>
      </c>
    </row>
    <row r="712" spans="1:13" s="5" customFormat="1" outlineLevel="2">
      <c r="A712" s="39" t="s">
        <v>293</v>
      </c>
      <c r="B712" s="40" t="s">
        <v>103</v>
      </c>
      <c r="C712" s="41" t="s">
        <v>132</v>
      </c>
      <c r="D712" s="40" t="s">
        <v>133</v>
      </c>
      <c r="E712" s="24">
        <v>2620000</v>
      </c>
      <c r="F712" s="39">
        <v>44280</v>
      </c>
      <c r="G712" s="24">
        <v>2620000</v>
      </c>
      <c r="H712" s="23">
        <v>5.0000000000000001E-3</v>
      </c>
      <c r="I712" s="39">
        <v>44287</v>
      </c>
      <c r="J712" s="39">
        <v>44316</v>
      </c>
      <c r="K712" s="24">
        <f t="shared" si="48"/>
        <v>30</v>
      </c>
      <c r="L712" s="24">
        <f t="shared" si="49"/>
        <v>1077</v>
      </c>
      <c r="M712" s="24">
        <v>2620000</v>
      </c>
    </row>
    <row r="713" spans="1:13" s="5" customFormat="1" outlineLevel="2">
      <c r="A713" s="39" t="s">
        <v>293</v>
      </c>
      <c r="B713" s="40" t="s">
        <v>104</v>
      </c>
      <c r="C713" s="41" t="s">
        <v>132</v>
      </c>
      <c r="D713" s="40" t="s">
        <v>133</v>
      </c>
      <c r="E713" s="24">
        <v>6350000</v>
      </c>
      <c r="F713" s="39">
        <v>44265</v>
      </c>
      <c r="G713" s="24">
        <v>6350000</v>
      </c>
      <c r="H713" s="23">
        <v>5.0000000000000001E-3</v>
      </c>
      <c r="I713" s="39">
        <v>44287</v>
      </c>
      <c r="J713" s="39">
        <v>44316</v>
      </c>
      <c r="K713" s="24">
        <f t="shared" si="48"/>
        <v>30</v>
      </c>
      <c r="L713" s="24">
        <f t="shared" si="49"/>
        <v>2610</v>
      </c>
      <c r="M713" s="24">
        <v>6350000</v>
      </c>
    </row>
    <row r="714" spans="1:13" s="5" customFormat="1" outlineLevel="2">
      <c r="A714" s="39" t="s">
        <v>293</v>
      </c>
      <c r="B714" s="40" t="s">
        <v>105</v>
      </c>
      <c r="C714" s="41" t="s">
        <v>132</v>
      </c>
      <c r="D714" s="40" t="s">
        <v>133</v>
      </c>
      <c r="E714" s="24">
        <v>1870000</v>
      </c>
      <c r="F714" s="39">
        <v>44280</v>
      </c>
      <c r="G714" s="24">
        <v>1870000</v>
      </c>
      <c r="H714" s="23">
        <v>5.0000000000000001E-3</v>
      </c>
      <c r="I714" s="39">
        <v>44287</v>
      </c>
      <c r="J714" s="39">
        <v>44316</v>
      </c>
      <c r="K714" s="24">
        <f t="shared" si="48"/>
        <v>30</v>
      </c>
      <c r="L714" s="24">
        <f t="shared" si="49"/>
        <v>768</v>
      </c>
      <c r="M714" s="24">
        <v>1870000</v>
      </c>
    </row>
    <row r="715" spans="1:13" s="5" customFormat="1" outlineLevel="2">
      <c r="A715" s="39" t="s">
        <v>293</v>
      </c>
      <c r="B715" s="40" t="s">
        <v>106</v>
      </c>
      <c r="C715" s="41" t="s">
        <v>294</v>
      </c>
      <c r="D715" s="40" t="s">
        <v>295</v>
      </c>
      <c r="E715" s="24">
        <v>72291200</v>
      </c>
      <c r="F715" s="39">
        <v>44301</v>
      </c>
      <c r="G715" s="24">
        <v>72291200</v>
      </c>
      <c r="H715" s="23">
        <v>5.0000000000000001E-3</v>
      </c>
      <c r="I715" s="39">
        <v>44301</v>
      </c>
      <c r="J715" s="39">
        <v>44316</v>
      </c>
      <c r="K715" s="24">
        <f t="shared" si="48"/>
        <v>16</v>
      </c>
      <c r="L715" s="24">
        <f t="shared" si="49"/>
        <v>15845</v>
      </c>
      <c r="M715" s="24">
        <v>72291200</v>
      </c>
    </row>
    <row r="716" spans="1:13" s="5" customFormat="1" outlineLevel="2">
      <c r="A716" s="39" t="s">
        <v>293</v>
      </c>
      <c r="B716" s="40" t="s">
        <v>59</v>
      </c>
      <c r="C716" s="41" t="s">
        <v>121</v>
      </c>
      <c r="D716" s="40" t="s">
        <v>122</v>
      </c>
      <c r="E716" s="24">
        <v>73000000</v>
      </c>
      <c r="F716" s="39">
        <v>43896</v>
      </c>
      <c r="G716" s="24">
        <v>73000000</v>
      </c>
      <c r="H716" s="23">
        <v>5.0000000000000001E-3</v>
      </c>
      <c r="I716" s="39">
        <v>44287</v>
      </c>
      <c r="J716" s="39">
        <v>44316</v>
      </c>
      <c r="K716" s="24">
        <f t="shared" si="48"/>
        <v>30</v>
      </c>
      <c r="L716" s="24">
        <f t="shared" si="49"/>
        <v>30000</v>
      </c>
      <c r="M716" s="24">
        <v>73000000</v>
      </c>
    </row>
    <row r="717" spans="1:13" s="5" customFormat="1" outlineLevel="2">
      <c r="A717" s="39" t="s">
        <v>293</v>
      </c>
      <c r="B717" s="40" t="s">
        <v>136</v>
      </c>
      <c r="C717" s="41" t="s">
        <v>132</v>
      </c>
      <c r="D717" s="40" t="s">
        <v>133</v>
      </c>
      <c r="E717" s="24">
        <v>750000</v>
      </c>
      <c r="F717" s="39">
        <v>44301</v>
      </c>
      <c r="G717" s="24">
        <v>750000</v>
      </c>
      <c r="H717" s="23">
        <v>5.0000000000000001E-3</v>
      </c>
      <c r="I717" s="39">
        <v>44301</v>
      </c>
      <c r="J717" s="39">
        <v>44316</v>
      </c>
      <c r="K717" s="24">
        <f t="shared" si="48"/>
        <v>16</v>
      </c>
      <c r="L717" s="24">
        <f t="shared" si="49"/>
        <v>164</v>
      </c>
      <c r="M717" s="24">
        <v>750000</v>
      </c>
    </row>
    <row r="718" spans="1:13" s="5" customFormat="1" outlineLevel="2">
      <c r="A718" s="39" t="s">
        <v>293</v>
      </c>
      <c r="B718" s="40" t="s">
        <v>137</v>
      </c>
      <c r="C718" s="41" t="s">
        <v>132</v>
      </c>
      <c r="D718" s="40" t="s">
        <v>133</v>
      </c>
      <c r="E718" s="24">
        <v>4560000</v>
      </c>
      <c r="F718" s="39">
        <v>44298</v>
      </c>
      <c r="G718" s="24">
        <v>4560000</v>
      </c>
      <c r="H718" s="23">
        <v>5.0000000000000001E-3</v>
      </c>
      <c r="I718" s="39">
        <v>44298</v>
      </c>
      <c r="J718" s="39">
        <v>44316</v>
      </c>
      <c r="K718" s="24">
        <f t="shared" si="48"/>
        <v>19</v>
      </c>
      <c r="L718" s="24">
        <f t="shared" si="49"/>
        <v>1187</v>
      </c>
      <c r="M718" s="24">
        <v>4560000</v>
      </c>
    </row>
    <row r="719" spans="1:13" s="5" customFormat="1" outlineLevel="2">
      <c r="A719" s="39" t="s">
        <v>293</v>
      </c>
      <c r="B719" s="40" t="s">
        <v>138</v>
      </c>
      <c r="C719" s="41" t="s">
        <v>132</v>
      </c>
      <c r="D719" s="40" t="s">
        <v>133</v>
      </c>
      <c r="E719" s="24">
        <v>10770000</v>
      </c>
      <c r="F719" s="39">
        <v>44312</v>
      </c>
      <c r="G719" s="24">
        <v>10770000</v>
      </c>
      <c r="H719" s="23">
        <v>5.0000000000000001E-3</v>
      </c>
      <c r="I719" s="39">
        <v>44312</v>
      </c>
      <c r="J719" s="39">
        <v>44316</v>
      </c>
      <c r="K719" s="24">
        <f t="shared" si="48"/>
        <v>5</v>
      </c>
      <c r="L719" s="24">
        <f t="shared" si="49"/>
        <v>738</v>
      </c>
      <c r="M719" s="24">
        <v>10770000</v>
      </c>
    </row>
    <row r="720" spans="1:13" s="5" customFormat="1" outlineLevel="2">
      <c r="A720" s="39" t="s">
        <v>293</v>
      </c>
      <c r="B720" s="40" t="s">
        <v>139</v>
      </c>
      <c r="C720" s="41" t="s">
        <v>339</v>
      </c>
      <c r="D720" s="40" t="s">
        <v>338</v>
      </c>
      <c r="E720" s="24">
        <v>500000</v>
      </c>
      <c r="F720" s="39">
        <v>44293</v>
      </c>
      <c r="G720" s="24">
        <v>500000</v>
      </c>
      <c r="H720" s="23">
        <v>5.0000000000000001E-3</v>
      </c>
      <c r="I720" s="39">
        <v>44293</v>
      </c>
      <c r="J720" s="39">
        <v>44316</v>
      </c>
      <c r="K720" s="24">
        <f t="shared" si="48"/>
        <v>24</v>
      </c>
      <c r="L720" s="24">
        <f t="shared" si="49"/>
        <v>164</v>
      </c>
      <c r="M720" s="24">
        <v>500000</v>
      </c>
    </row>
    <row r="721" spans="1:16" s="5" customFormat="1" outlineLevel="2">
      <c r="A721" s="39" t="s">
        <v>293</v>
      </c>
      <c r="B721" s="40" t="s">
        <v>62</v>
      </c>
      <c r="C721" s="41" t="s">
        <v>55</v>
      </c>
      <c r="D721" s="40" t="s">
        <v>56</v>
      </c>
      <c r="E721" s="24">
        <v>19997321</v>
      </c>
      <c r="F721" s="39">
        <v>43948</v>
      </c>
      <c r="G721" s="24">
        <v>19997321</v>
      </c>
      <c r="H721" s="23">
        <v>5.0000000000000001E-3</v>
      </c>
      <c r="I721" s="39">
        <v>44287</v>
      </c>
      <c r="J721" s="39">
        <v>44316</v>
      </c>
      <c r="K721" s="24">
        <f t="shared" si="48"/>
        <v>30</v>
      </c>
      <c r="L721" s="24">
        <f t="shared" si="49"/>
        <v>8218</v>
      </c>
      <c r="M721" s="24">
        <v>19997321</v>
      </c>
    </row>
    <row r="722" spans="1:16" s="5" customFormat="1" outlineLevel="2">
      <c r="A722" s="39" t="s">
        <v>293</v>
      </c>
      <c r="B722" s="40" t="s">
        <v>63</v>
      </c>
      <c r="C722" s="41" t="s">
        <v>20</v>
      </c>
      <c r="D722" s="40" t="s">
        <v>21</v>
      </c>
      <c r="E722" s="24">
        <v>242400000</v>
      </c>
      <c r="F722" s="39">
        <v>43930</v>
      </c>
      <c r="G722" s="24">
        <v>242400000</v>
      </c>
      <c r="H722" s="23">
        <v>3.0000000000000001E-3</v>
      </c>
      <c r="I722" s="39">
        <v>44287</v>
      </c>
      <c r="J722" s="39">
        <v>44316</v>
      </c>
      <c r="K722" s="24">
        <f t="shared" si="48"/>
        <v>30</v>
      </c>
      <c r="L722" s="24">
        <f t="shared" si="49"/>
        <v>59770</v>
      </c>
      <c r="M722" s="24">
        <v>242400000</v>
      </c>
    </row>
    <row r="723" spans="1:16" s="5" customFormat="1" outlineLevel="2">
      <c r="A723" s="39" t="s">
        <v>293</v>
      </c>
      <c r="B723" s="40" t="s">
        <v>64</v>
      </c>
      <c r="C723" s="41" t="s">
        <v>20</v>
      </c>
      <c r="D723" s="40" t="s">
        <v>21</v>
      </c>
      <c r="E723" s="24">
        <v>156000000</v>
      </c>
      <c r="F723" s="39">
        <v>43958</v>
      </c>
      <c r="G723" s="24">
        <v>156000000</v>
      </c>
      <c r="H723" s="23">
        <v>3.0000000000000001E-3</v>
      </c>
      <c r="I723" s="39">
        <v>44287</v>
      </c>
      <c r="J723" s="39">
        <v>44316</v>
      </c>
      <c r="K723" s="24">
        <f t="shared" si="48"/>
        <v>30</v>
      </c>
      <c r="L723" s="24">
        <f t="shared" si="49"/>
        <v>38466</v>
      </c>
      <c r="M723" s="24">
        <v>156000000</v>
      </c>
    </row>
    <row r="724" spans="1:16" s="5" customFormat="1" outlineLevel="2">
      <c r="A724" s="39" t="s">
        <v>293</v>
      </c>
      <c r="B724" s="40" t="s">
        <v>65</v>
      </c>
      <c r="C724" s="41" t="s">
        <v>294</v>
      </c>
      <c r="D724" s="40" t="s">
        <v>295</v>
      </c>
      <c r="E724" s="24">
        <v>33840000</v>
      </c>
      <c r="F724" s="39">
        <v>43986</v>
      </c>
      <c r="G724" s="24">
        <v>33840000</v>
      </c>
      <c r="H724" s="23">
        <v>5.0000000000000001E-3</v>
      </c>
      <c r="I724" s="39">
        <v>44287</v>
      </c>
      <c r="J724" s="39">
        <v>44316</v>
      </c>
      <c r="K724" s="24">
        <f t="shared" si="48"/>
        <v>30</v>
      </c>
      <c r="L724" s="24">
        <f t="shared" si="49"/>
        <v>13907</v>
      </c>
      <c r="M724" s="24">
        <v>33840000</v>
      </c>
    </row>
    <row r="725" spans="1:16" s="5" customFormat="1" outlineLevel="2">
      <c r="A725" s="39" t="s">
        <v>293</v>
      </c>
      <c r="B725" s="40" t="s">
        <v>68</v>
      </c>
      <c r="C725" s="41" t="s">
        <v>294</v>
      </c>
      <c r="D725" s="40" t="s">
        <v>295</v>
      </c>
      <c r="E725" s="24">
        <v>134396612</v>
      </c>
      <c r="F725" s="39">
        <v>43986</v>
      </c>
      <c r="G725" s="24">
        <v>134396612</v>
      </c>
      <c r="H725" s="23">
        <v>5.0000000000000001E-3</v>
      </c>
      <c r="I725" s="39">
        <v>44287</v>
      </c>
      <c r="J725" s="39">
        <v>44316</v>
      </c>
      <c r="K725" s="24">
        <f t="shared" si="48"/>
        <v>30</v>
      </c>
      <c r="L725" s="24">
        <f t="shared" si="49"/>
        <v>55231</v>
      </c>
      <c r="M725" s="24">
        <v>134396612</v>
      </c>
    </row>
    <row r="726" spans="1:16" s="5" customFormat="1" outlineLevel="1">
      <c r="A726" s="42" t="s">
        <v>296</v>
      </c>
      <c r="B726" s="43"/>
      <c r="C726" s="44"/>
      <c r="D726" s="43"/>
      <c r="E726" s="45">
        <f>SUBTOTAL(9,E680:E725)</f>
        <v>2141643343</v>
      </c>
      <c r="F726" s="46"/>
      <c r="G726" s="45"/>
      <c r="H726" s="47"/>
      <c r="I726" s="46"/>
      <c r="J726" s="46"/>
      <c r="K726" s="45"/>
      <c r="L726" s="45">
        <f>SUBTOTAL(9,L680:L725)</f>
        <v>728589</v>
      </c>
      <c r="M726" s="45">
        <f>SUBTOTAL(9,M680:M725)</f>
        <v>2137262724</v>
      </c>
    </row>
    <row r="727" spans="1:16" s="17" customFormat="1" ht="19.5" outlineLevel="1">
      <c r="A727" s="11"/>
      <c r="B727" s="12"/>
      <c r="C727" s="13"/>
      <c r="D727" s="12"/>
      <c r="E727" s="14"/>
      <c r="F727" s="15"/>
      <c r="G727" s="14"/>
      <c r="H727" s="16"/>
      <c r="I727" s="15"/>
      <c r="J727" s="15"/>
      <c r="K727" s="14"/>
      <c r="L727" s="14"/>
      <c r="M727" s="14"/>
    </row>
    <row r="728" spans="1:16" s="5" customFormat="1" ht="19.5">
      <c r="A728" s="9" t="s">
        <v>297</v>
      </c>
      <c r="B728" s="6"/>
      <c r="C728" s="7"/>
      <c r="D728" s="6"/>
      <c r="E728" s="8">
        <f>SUBTOTAL(9,E4:E725)</f>
        <v>26958151170</v>
      </c>
      <c r="F728" s="9"/>
      <c r="G728" s="8"/>
      <c r="H728" s="10"/>
      <c r="I728" s="9"/>
      <c r="J728" s="9"/>
      <c r="K728" s="8"/>
      <c r="L728" s="8">
        <f>SUBTOTAL(9,L4:L725)</f>
        <v>10155055</v>
      </c>
      <c r="M728" s="8">
        <f>SUBTOTAL(9,M4:M725)</f>
        <v>26728447170</v>
      </c>
    </row>
    <row r="729" spans="1:16" s="5" customFormat="1" ht="16.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ht="19.5">
      <c r="A730" s="18" t="s">
        <v>298</v>
      </c>
      <c r="B730" s="18"/>
      <c r="E730" s="19" t="s">
        <v>299</v>
      </c>
      <c r="G730" s="1"/>
      <c r="H730" s="20" t="s">
        <v>300</v>
      </c>
      <c r="I730" s="21"/>
    </row>
    <row r="731" spans="1:16" s="5" customFormat="1" ht="16.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s="5" customFormat="1" ht="16.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s="5" customFormat="1" ht="16.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s="5" customFormat="1" ht="16.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s="5" customFormat="1" ht="16.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s="5" customFormat="1" ht="16.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s="5" customFormat="1" ht="16.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s="5" customFormat="1" ht="16.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s="5" customFormat="1" ht="16.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s="5" customFormat="1" ht="16.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s="5" customFormat="1" ht="16.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s="5" customFormat="1" ht="16.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s="5" customFormat="1" ht="16.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s="5" customFormat="1" ht="16.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s="5" customFormat="1" ht="16.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s="5" customFormat="1" ht="16.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s="5" customFormat="1" ht="16.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s="5" customFormat="1" ht="16.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s="5" customFormat="1" ht="16.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s="5" customFormat="1" ht="16.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s="5" customFormat="1" ht="16.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s="5" customFormat="1" ht="16.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s="5" customFormat="1" ht="16.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s="5" customFormat="1" ht="16.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s="5" customFormat="1" ht="16.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s="5" customFormat="1" ht="16.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s="5" customFormat="1" ht="16.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s="5" customFormat="1" ht="16.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s="5" customFormat="1" ht="16.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s="5" customFormat="1" ht="16.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s="5" customFormat="1" ht="16.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s="5" customFormat="1" ht="16.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s="5" customFormat="1" ht="16.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s="5" customFormat="1" ht="16.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s="5" customFormat="1" ht="16.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s="5" customFormat="1" ht="16.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s="5" customFormat="1" ht="16.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s="5" customFormat="1" ht="16.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s="5" customFormat="1" ht="16.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s="5" customFormat="1" ht="16.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s="5" customFormat="1" ht="16.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s="5" customFormat="1" ht="16.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s="5" customFormat="1" ht="16.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s="5" customFormat="1" ht="16.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s="5" customFormat="1" ht="16.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s="5" customFormat="1" ht="16.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s="5" customFormat="1" ht="16.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s="5" customFormat="1" ht="16.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s="5" customFormat="1" ht="16.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s="5" customFormat="1" ht="16.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s="5" customFormat="1" ht="16.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s="5" customFormat="1" ht="16.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s="5" customFormat="1" ht="16.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s="5" customFormat="1" ht="16.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s="5" customFormat="1" ht="16.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s="5" customFormat="1" ht="16.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s="5" customFormat="1" ht="16.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s="5" customFormat="1" ht="16.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s="5" customFormat="1" ht="16.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s="5" customFormat="1" ht="16.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s="5" customFormat="1" ht="16.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s="5" customFormat="1" ht="16.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s="5" customFormat="1" ht="16.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s="5" customFormat="1" ht="16.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s="5" customFormat="1" ht="16.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s="5" customFormat="1" ht="16.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s="5" customFormat="1" ht="16.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s="5" customFormat="1" ht="16.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s="5" customFormat="1" ht="16.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s="5" customFormat="1" ht="16.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s="5" customFormat="1" ht="16.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s="5" customFormat="1" ht="16.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s="5" customFormat="1" ht="16.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s="5" customFormat="1" ht="16.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s="5" customFormat="1" ht="16.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s="5" customFormat="1" ht="16.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s="5" customFormat="1" ht="16.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s="5" customFormat="1" ht="16.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s="5" customFormat="1" ht="16.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s="5" customFormat="1" ht="16.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s="5" customFormat="1" ht="16.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s="5" customFormat="1" ht="16.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s="5" customFormat="1" ht="16.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s="5" customFormat="1" ht="16.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s="5" customFormat="1" ht="16.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s="5" customFormat="1" ht="16.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s="5" customFormat="1" ht="16.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s="5" customFormat="1" ht="16.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s="5" customFormat="1" ht="16.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s="5" customFormat="1" ht="16.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s="5" customFormat="1" ht="16.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s="5" customFormat="1" ht="16.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s="5" customFormat="1" ht="16.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s="5" customFormat="1" ht="16.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s="5" customFormat="1" ht="16.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s="5" customFormat="1" ht="16.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s="5" customFormat="1" ht="16.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s="5" customFormat="1" ht="16.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s="5" customFormat="1" ht="16.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s="5" customFormat="1" ht="16.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s="5" customFormat="1" ht="16.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s="5" customFormat="1" ht="16.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s="5" customFormat="1" ht="16.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s="5" customFormat="1" ht="16.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s="5" customFormat="1" ht="16.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s="5" customFormat="1" ht="16.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s="5" customFormat="1" ht="16.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s="5" customFormat="1" ht="16.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s="5" customFormat="1" ht="16.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s="5" customFormat="1" ht="16.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s="5" customFormat="1" ht="16.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s="5" customFormat="1" ht="16.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s="5" customFormat="1" ht="16.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s="5" customFormat="1" ht="16.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s="5" customFormat="1" ht="16.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s="5" customFormat="1" ht="16.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</sheetData>
  <autoFilter ref="A3:M726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3732-115F-4067-9DC8-EF34C12497FF}">
  <dimension ref="A1:P846"/>
  <sheetViews>
    <sheetView zoomScaleNormal="100" workbookViewId="0">
      <selection activeCell="C11" sqref="C11"/>
    </sheetView>
  </sheetViews>
  <sheetFormatPr defaultColWidth="5.375" defaultRowHeight="13.5" outlineLevelRow="2"/>
  <cols>
    <col min="1" max="1" width="17.75" style="27" bestFit="1" customWidth="1"/>
    <col min="2" max="2" width="8.375" style="27" bestFit="1" customWidth="1"/>
    <col min="3" max="3" width="21.5" style="27" bestFit="1" customWidth="1"/>
    <col min="4" max="4" width="12" style="27" bestFit="1" customWidth="1"/>
    <col min="5" max="5" width="14.75" style="31" bestFit="1" customWidth="1"/>
    <col min="6" max="6" width="12" style="32" bestFit="1" customWidth="1"/>
    <col min="7" max="7" width="13.5" style="31" bestFit="1" customWidth="1"/>
    <col min="8" max="8" width="10.375" style="33" bestFit="1" customWidth="1"/>
    <col min="9" max="10" width="8.75" style="27" bestFit="1" customWidth="1"/>
    <col min="11" max="11" width="10.375" style="27" bestFit="1" customWidth="1"/>
    <col min="12" max="12" width="11" style="31" bestFit="1" customWidth="1"/>
    <col min="13" max="13" width="14.75" style="27" bestFit="1" customWidth="1"/>
    <col min="14" max="16384" width="5.375" style="27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B2" s="28" t="s">
        <v>0</v>
      </c>
      <c r="C2" s="29">
        <v>44347</v>
      </c>
      <c r="D2" s="30"/>
      <c r="L2" s="31" t="s">
        <v>1</v>
      </c>
    </row>
    <row r="3" spans="1:13" s="48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48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44317</v>
      </c>
      <c r="J4" s="39">
        <v>44347</v>
      </c>
      <c r="K4" s="24">
        <v>31</v>
      </c>
      <c r="L4" s="24">
        <v>69007</v>
      </c>
      <c r="M4" s="24">
        <v>162500000</v>
      </c>
    </row>
    <row r="5" spans="1:13" s="48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44317</v>
      </c>
      <c r="J5" s="39">
        <v>44347</v>
      </c>
      <c r="K5" s="24">
        <v>31</v>
      </c>
      <c r="L5" s="24">
        <v>612</v>
      </c>
      <c r="M5" s="24">
        <v>2400000</v>
      </c>
    </row>
    <row r="6" spans="1:13" s="48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44317</v>
      </c>
      <c r="J6" s="39">
        <v>44347</v>
      </c>
      <c r="K6" s="24">
        <v>31</v>
      </c>
      <c r="L6" s="24">
        <v>3130</v>
      </c>
      <c r="M6" s="24">
        <v>7370000</v>
      </c>
    </row>
    <row r="7" spans="1:13" s="48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44317</v>
      </c>
      <c r="J7" s="39">
        <v>44347</v>
      </c>
      <c r="K7" s="24">
        <v>31</v>
      </c>
      <c r="L7" s="24">
        <v>2501</v>
      </c>
      <c r="M7" s="24">
        <v>5890000</v>
      </c>
    </row>
    <row r="8" spans="1:13" s="48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44317</v>
      </c>
      <c r="J8" s="39">
        <v>44347</v>
      </c>
      <c r="K8" s="24">
        <v>31</v>
      </c>
      <c r="L8" s="24">
        <v>1282</v>
      </c>
      <c r="M8" s="24">
        <v>3020000</v>
      </c>
    </row>
    <row r="9" spans="1:13" s="48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44317</v>
      </c>
      <c r="J9" s="39">
        <v>44347</v>
      </c>
      <c r="K9" s="24">
        <v>31</v>
      </c>
      <c r="L9" s="24">
        <v>35926</v>
      </c>
      <c r="M9" s="24">
        <v>84600000</v>
      </c>
    </row>
    <row r="10" spans="1:13" s="48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44317</v>
      </c>
      <c r="J10" s="39">
        <v>44347</v>
      </c>
      <c r="K10" s="24">
        <v>31</v>
      </c>
      <c r="L10" s="24">
        <v>25479</v>
      </c>
      <c r="M10" s="24">
        <v>60000000</v>
      </c>
    </row>
    <row r="11" spans="1:13" s="48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44317</v>
      </c>
      <c r="J11" s="39">
        <v>44347</v>
      </c>
      <c r="K11" s="24">
        <v>31</v>
      </c>
      <c r="L11" s="24">
        <v>41277</v>
      </c>
      <c r="M11" s="24">
        <v>162000000</v>
      </c>
    </row>
    <row r="12" spans="1:13" s="48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44317</v>
      </c>
      <c r="J12" s="39">
        <v>44347</v>
      </c>
      <c r="K12" s="24">
        <v>31</v>
      </c>
      <c r="L12" s="24">
        <v>1761</v>
      </c>
      <c r="M12" s="24">
        <v>4147000</v>
      </c>
    </row>
    <row r="13" spans="1:13" s="48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44317</v>
      </c>
      <c r="J13" s="39">
        <v>44347</v>
      </c>
      <c r="K13" s="24">
        <v>31</v>
      </c>
      <c r="L13" s="24">
        <v>314</v>
      </c>
      <c r="M13" s="24">
        <v>740000</v>
      </c>
    </row>
    <row r="14" spans="1:13" s="48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44317</v>
      </c>
      <c r="J14" s="39">
        <v>44347</v>
      </c>
      <c r="K14" s="24">
        <v>31</v>
      </c>
      <c r="L14" s="24">
        <v>74838</v>
      </c>
      <c r="M14" s="24">
        <v>176232000</v>
      </c>
    </row>
    <row r="15" spans="1:13" s="48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44317</v>
      </c>
      <c r="J15" s="39">
        <v>44347</v>
      </c>
      <c r="K15" s="24">
        <v>31</v>
      </c>
      <c r="L15" s="24">
        <v>2731</v>
      </c>
      <c r="M15" s="24">
        <v>6430000</v>
      </c>
    </row>
    <row r="16" spans="1:13" s="48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44317</v>
      </c>
      <c r="J16" s="39">
        <v>44347</v>
      </c>
      <c r="K16" s="24">
        <v>31</v>
      </c>
      <c r="L16" s="24">
        <v>2293</v>
      </c>
      <c r="M16" s="24">
        <v>5400000</v>
      </c>
    </row>
    <row r="17" spans="1:13" s="48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44317</v>
      </c>
      <c r="J17" s="39">
        <v>44347</v>
      </c>
      <c r="K17" s="24">
        <v>31</v>
      </c>
      <c r="L17" s="24">
        <v>161</v>
      </c>
      <c r="M17" s="24">
        <v>380000</v>
      </c>
    </row>
    <row r="18" spans="1:13" s="48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44317</v>
      </c>
      <c r="J18" s="39">
        <v>44347</v>
      </c>
      <c r="K18" s="24">
        <v>31</v>
      </c>
      <c r="L18" s="24">
        <v>1019</v>
      </c>
      <c r="M18" s="24">
        <v>2400000</v>
      </c>
    </row>
    <row r="19" spans="1:13" s="48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44317</v>
      </c>
      <c r="J19" s="39">
        <v>44347</v>
      </c>
      <c r="K19" s="24">
        <v>31</v>
      </c>
      <c r="L19" s="24">
        <v>425</v>
      </c>
      <c r="M19" s="24">
        <v>1000000</v>
      </c>
    </row>
    <row r="20" spans="1:13" s="48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44317</v>
      </c>
      <c r="J20" s="39">
        <v>44347</v>
      </c>
      <c r="K20" s="24">
        <v>31</v>
      </c>
      <c r="L20" s="24">
        <v>4247</v>
      </c>
      <c r="M20" s="24">
        <v>10000000</v>
      </c>
    </row>
    <row r="21" spans="1:13" s="48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44317</v>
      </c>
      <c r="J21" s="39">
        <v>44347</v>
      </c>
      <c r="K21" s="24">
        <v>31</v>
      </c>
      <c r="L21" s="24">
        <v>106164</v>
      </c>
      <c r="M21" s="24">
        <v>250000000</v>
      </c>
    </row>
    <row r="22" spans="1:13" s="48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44317</v>
      </c>
      <c r="J22" s="39">
        <v>44347</v>
      </c>
      <c r="K22" s="24">
        <v>31</v>
      </c>
      <c r="L22" s="24">
        <v>84932</v>
      </c>
      <c r="M22" s="24">
        <v>200000000</v>
      </c>
    </row>
    <row r="23" spans="1:13" s="48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44317</v>
      </c>
      <c r="J23" s="39">
        <v>44347</v>
      </c>
      <c r="K23" s="24">
        <v>31</v>
      </c>
      <c r="L23" s="24">
        <v>3652</v>
      </c>
      <c r="M23" s="24">
        <v>8600000</v>
      </c>
    </row>
    <row r="24" spans="1:13" s="48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44317</v>
      </c>
      <c r="J24" s="39">
        <v>44347</v>
      </c>
      <c r="K24" s="24">
        <v>31</v>
      </c>
      <c r="L24" s="24">
        <v>704</v>
      </c>
      <c r="M24" s="24">
        <v>1657000</v>
      </c>
    </row>
    <row r="25" spans="1:13" s="48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44317</v>
      </c>
      <c r="J25" s="39">
        <v>44347</v>
      </c>
      <c r="K25" s="24">
        <v>31</v>
      </c>
      <c r="L25" s="24">
        <v>849</v>
      </c>
      <c r="M25" s="24">
        <v>2000000</v>
      </c>
    </row>
    <row r="26" spans="1:13" s="48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44317</v>
      </c>
      <c r="J26" s="39">
        <v>44347</v>
      </c>
      <c r="K26" s="24">
        <v>31</v>
      </c>
      <c r="L26" s="24">
        <v>12145</v>
      </c>
      <c r="M26" s="24">
        <v>28600000</v>
      </c>
    </row>
    <row r="27" spans="1:13" s="48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44317</v>
      </c>
      <c r="J27" s="39">
        <v>44347</v>
      </c>
      <c r="K27" s="24">
        <v>31</v>
      </c>
      <c r="L27" s="24">
        <v>255</v>
      </c>
      <c r="M27" s="24">
        <v>600000</v>
      </c>
    </row>
    <row r="28" spans="1:13" s="48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44317</v>
      </c>
      <c r="J28" s="39">
        <v>44347</v>
      </c>
      <c r="K28" s="24">
        <v>31</v>
      </c>
      <c r="L28" s="24">
        <v>15288</v>
      </c>
      <c r="M28" s="24">
        <v>60000000</v>
      </c>
    </row>
    <row r="29" spans="1:13" s="48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44317</v>
      </c>
      <c r="J29" s="39">
        <v>44347</v>
      </c>
      <c r="K29" s="24">
        <v>31</v>
      </c>
      <c r="L29" s="24">
        <v>33973</v>
      </c>
      <c r="M29" s="24">
        <v>80000000</v>
      </c>
    </row>
    <row r="30" spans="1:13" s="48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44317</v>
      </c>
      <c r="J30" s="39">
        <v>44347</v>
      </c>
      <c r="K30" s="24">
        <v>31</v>
      </c>
      <c r="L30" s="24">
        <v>55205</v>
      </c>
      <c r="M30" s="24">
        <v>130000000</v>
      </c>
    </row>
    <row r="31" spans="1:13" s="48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44317</v>
      </c>
      <c r="J31" s="39">
        <v>44347</v>
      </c>
      <c r="K31" s="24">
        <v>31</v>
      </c>
      <c r="L31" s="24">
        <v>35633</v>
      </c>
      <c r="M31" s="24">
        <v>83911000</v>
      </c>
    </row>
    <row r="32" spans="1:13" s="48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14500000</v>
      </c>
      <c r="H32" s="23">
        <v>5.0000000000000001E-3</v>
      </c>
      <c r="I32" s="39">
        <v>44317</v>
      </c>
      <c r="J32" s="39">
        <v>44332</v>
      </c>
      <c r="K32" s="24">
        <v>16</v>
      </c>
      <c r="L32" s="24">
        <v>3178</v>
      </c>
      <c r="M32" s="24">
        <v>14254237</v>
      </c>
    </row>
    <row r="33" spans="1:13" s="48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14254237</v>
      </c>
      <c r="H33" s="23">
        <v>5.0000000000000001E-3</v>
      </c>
      <c r="I33" s="39">
        <v>44333</v>
      </c>
      <c r="J33" s="39">
        <v>44347</v>
      </c>
      <c r="K33" s="24">
        <v>15</v>
      </c>
      <c r="L33" s="24">
        <v>2929</v>
      </c>
      <c r="M33" s="24"/>
    </row>
    <row r="34" spans="1:13" s="48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44317</v>
      </c>
      <c r="J34" s="39">
        <v>44347</v>
      </c>
      <c r="K34" s="24">
        <v>31</v>
      </c>
      <c r="L34" s="24">
        <v>52590</v>
      </c>
      <c r="M34" s="24">
        <v>206400000</v>
      </c>
    </row>
    <row r="35" spans="1:13" s="48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44347</v>
      </c>
      <c r="J35" s="39">
        <v>44347</v>
      </c>
      <c r="K35" s="24">
        <v>1</v>
      </c>
      <c r="L35" s="24">
        <v>268</v>
      </c>
      <c r="M35" s="24">
        <v>19590000</v>
      </c>
    </row>
    <row r="36" spans="1:13" s="48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44330</v>
      </c>
      <c r="J36" s="39">
        <v>44347</v>
      </c>
      <c r="K36" s="24">
        <v>18</v>
      </c>
      <c r="L36" s="24">
        <v>4192</v>
      </c>
      <c r="M36" s="24">
        <v>17000000</v>
      </c>
    </row>
    <row r="37" spans="1:13" s="48" customFormat="1" outlineLevel="2">
      <c r="A37" s="39" t="s">
        <v>15</v>
      </c>
      <c r="B37" s="40" t="s">
        <v>59</v>
      </c>
      <c r="C37" s="41" t="s">
        <v>60</v>
      </c>
      <c r="D37" s="40" t="s">
        <v>61</v>
      </c>
      <c r="E37" s="24">
        <v>20000000</v>
      </c>
      <c r="F37" s="39">
        <v>43922</v>
      </c>
      <c r="G37" s="24">
        <v>20000000</v>
      </c>
      <c r="H37" s="23">
        <v>5.0000000000000001E-3</v>
      </c>
      <c r="I37" s="39">
        <v>44317</v>
      </c>
      <c r="J37" s="39">
        <v>44347</v>
      </c>
      <c r="K37" s="24">
        <v>31</v>
      </c>
      <c r="L37" s="24">
        <v>8493</v>
      </c>
      <c r="M37" s="24">
        <v>20000000</v>
      </c>
    </row>
    <row r="38" spans="1:13" s="48" customFormat="1" outlineLevel="2">
      <c r="A38" s="39" t="s">
        <v>15</v>
      </c>
      <c r="B38" s="40" t="s">
        <v>62</v>
      </c>
      <c r="C38" s="41" t="s">
        <v>55</v>
      </c>
      <c r="D38" s="40" t="s">
        <v>56</v>
      </c>
      <c r="E38" s="24">
        <v>10000000</v>
      </c>
      <c r="F38" s="39">
        <v>43934</v>
      </c>
      <c r="G38" s="24">
        <v>10000000</v>
      </c>
      <c r="H38" s="23">
        <v>5.0000000000000001E-3</v>
      </c>
      <c r="I38" s="39">
        <v>44317</v>
      </c>
      <c r="J38" s="39">
        <v>44347</v>
      </c>
      <c r="K38" s="24">
        <v>31</v>
      </c>
      <c r="L38" s="24">
        <v>4247</v>
      </c>
      <c r="M38" s="24">
        <v>10000000</v>
      </c>
    </row>
    <row r="39" spans="1:13" s="48" customFormat="1" outlineLevel="2">
      <c r="A39" s="39" t="s">
        <v>15</v>
      </c>
      <c r="B39" s="40" t="s">
        <v>63</v>
      </c>
      <c r="C39" s="41" t="s">
        <v>55</v>
      </c>
      <c r="D39" s="40" t="s">
        <v>56</v>
      </c>
      <c r="E39" s="24">
        <v>30000000</v>
      </c>
      <c r="F39" s="39">
        <v>43937</v>
      </c>
      <c r="G39" s="24">
        <v>30000000</v>
      </c>
      <c r="H39" s="23">
        <v>5.0000000000000001E-3</v>
      </c>
      <c r="I39" s="39">
        <v>44317</v>
      </c>
      <c r="J39" s="39">
        <v>44347</v>
      </c>
      <c r="K39" s="24">
        <v>31</v>
      </c>
      <c r="L39" s="24">
        <v>12740</v>
      </c>
      <c r="M39" s="24">
        <v>30000000</v>
      </c>
    </row>
    <row r="40" spans="1:13" s="48" customFormat="1" outlineLevel="2">
      <c r="A40" s="39" t="s">
        <v>15</v>
      </c>
      <c r="B40" s="40" t="s">
        <v>64</v>
      </c>
      <c r="C40" s="41" t="s">
        <v>55</v>
      </c>
      <c r="D40" s="40" t="s">
        <v>56</v>
      </c>
      <c r="E40" s="24">
        <v>58360000</v>
      </c>
      <c r="F40" s="39">
        <v>43929</v>
      </c>
      <c r="G40" s="24">
        <v>58360000</v>
      </c>
      <c r="H40" s="23">
        <v>5.0000000000000001E-3</v>
      </c>
      <c r="I40" s="39">
        <v>44317</v>
      </c>
      <c r="J40" s="39">
        <v>44347</v>
      </c>
      <c r="K40" s="24">
        <v>31</v>
      </c>
      <c r="L40" s="24">
        <v>24783</v>
      </c>
      <c r="M40" s="24">
        <v>58360000</v>
      </c>
    </row>
    <row r="41" spans="1:13" s="48" customFormat="1" outlineLevel="2">
      <c r="A41" s="39" t="s">
        <v>15</v>
      </c>
      <c r="B41" s="40" t="s">
        <v>65</v>
      </c>
      <c r="C41" s="41" t="s">
        <v>66</v>
      </c>
      <c r="D41" s="40" t="s">
        <v>67</v>
      </c>
      <c r="E41" s="24">
        <v>64000000</v>
      </c>
      <c r="F41" s="39">
        <v>43966</v>
      </c>
      <c r="G41" s="24">
        <v>64000000</v>
      </c>
      <c r="H41" s="23">
        <v>5.0000000000000001E-3</v>
      </c>
      <c r="I41" s="39">
        <v>44317</v>
      </c>
      <c r="J41" s="39">
        <v>44347</v>
      </c>
      <c r="K41" s="24">
        <v>31</v>
      </c>
      <c r="L41" s="24">
        <v>27178</v>
      </c>
      <c r="M41" s="24">
        <v>64000000</v>
      </c>
    </row>
    <row r="42" spans="1:13" s="48" customFormat="1" outlineLevel="2">
      <c r="A42" s="39" t="s">
        <v>15</v>
      </c>
      <c r="B42" s="40" t="s">
        <v>68</v>
      </c>
      <c r="C42" s="41" t="s">
        <v>55</v>
      </c>
      <c r="D42" s="40" t="s">
        <v>56</v>
      </c>
      <c r="E42" s="24">
        <v>11400000</v>
      </c>
      <c r="F42" s="39">
        <v>43962</v>
      </c>
      <c r="G42" s="24">
        <v>11400000</v>
      </c>
      <c r="H42" s="23">
        <v>5.0000000000000001E-3</v>
      </c>
      <c r="I42" s="39">
        <v>44317</v>
      </c>
      <c r="J42" s="39">
        <v>44347</v>
      </c>
      <c r="K42" s="24">
        <v>31</v>
      </c>
      <c r="L42" s="24">
        <v>4841</v>
      </c>
      <c r="M42" s="24">
        <v>11400000</v>
      </c>
    </row>
    <row r="43" spans="1:13" s="48" customFormat="1" outlineLevel="1">
      <c r="A43" s="42" t="s">
        <v>69</v>
      </c>
      <c r="B43" s="43"/>
      <c r="C43" s="44"/>
      <c r="D43" s="43"/>
      <c r="E43" s="45">
        <v>1991127000</v>
      </c>
      <c r="F43" s="46"/>
      <c r="G43" s="45"/>
      <c r="H43" s="47"/>
      <c r="I43" s="46"/>
      <c r="J43" s="46"/>
      <c r="K43" s="45"/>
      <c r="L43" s="45">
        <v>761242</v>
      </c>
      <c r="M43" s="45">
        <v>1990881237</v>
      </c>
    </row>
    <row r="44" spans="1:13" s="48" customFormat="1" outlineLevel="2">
      <c r="A44" s="39" t="s">
        <v>70</v>
      </c>
      <c r="B44" s="40" t="s">
        <v>16</v>
      </c>
      <c r="C44" s="41" t="s">
        <v>27</v>
      </c>
      <c r="D44" s="40" t="s">
        <v>28</v>
      </c>
      <c r="E44" s="24">
        <v>21330000</v>
      </c>
      <c r="F44" s="39">
        <v>44046</v>
      </c>
      <c r="G44" s="24">
        <v>21330000</v>
      </c>
      <c r="H44" s="23">
        <v>5.0000000000000001E-3</v>
      </c>
      <c r="I44" s="39">
        <v>44317</v>
      </c>
      <c r="J44" s="39">
        <v>44347</v>
      </c>
      <c r="K44" s="24">
        <v>31</v>
      </c>
      <c r="L44" s="24">
        <v>9058</v>
      </c>
      <c r="M44" s="24">
        <v>21330000</v>
      </c>
    </row>
    <row r="45" spans="1:13" s="48" customFormat="1" outlineLevel="2">
      <c r="A45" s="39" t="s">
        <v>70</v>
      </c>
      <c r="B45" s="40" t="s">
        <v>39</v>
      </c>
      <c r="C45" s="41" t="s">
        <v>27</v>
      </c>
      <c r="D45" s="40" t="s">
        <v>28</v>
      </c>
      <c r="E45" s="24">
        <v>8670000</v>
      </c>
      <c r="F45" s="39">
        <v>44060</v>
      </c>
      <c r="G45" s="24">
        <v>8670000</v>
      </c>
      <c r="H45" s="23">
        <v>5.0000000000000001E-3</v>
      </c>
      <c r="I45" s="39">
        <v>44317</v>
      </c>
      <c r="J45" s="39">
        <v>44347</v>
      </c>
      <c r="K45" s="24">
        <v>31</v>
      </c>
      <c r="L45" s="24">
        <v>3682</v>
      </c>
      <c r="M45" s="24">
        <v>8670000</v>
      </c>
    </row>
    <row r="46" spans="1:13" s="48" customFormat="1" outlineLevel="2">
      <c r="A46" s="39" t="s">
        <v>70</v>
      </c>
      <c r="B46" s="40" t="s">
        <v>54</v>
      </c>
      <c r="C46" s="41" t="s">
        <v>71</v>
      </c>
      <c r="D46" s="40" t="s">
        <v>72</v>
      </c>
      <c r="E46" s="24">
        <v>10600000</v>
      </c>
      <c r="F46" s="39">
        <v>44085</v>
      </c>
      <c r="G46" s="24">
        <v>10600000</v>
      </c>
      <c r="H46" s="23">
        <v>5.0000000000000001E-3</v>
      </c>
      <c r="I46" s="39">
        <v>44317</v>
      </c>
      <c r="J46" s="39">
        <v>44347</v>
      </c>
      <c r="K46" s="24">
        <v>31</v>
      </c>
      <c r="L46" s="24">
        <v>4501</v>
      </c>
      <c r="M46" s="24">
        <v>10600000</v>
      </c>
    </row>
    <row r="47" spans="1:13" s="48" customFormat="1" outlineLevel="2">
      <c r="A47" s="39" t="s">
        <v>70</v>
      </c>
      <c r="B47" s="40" t="s">
        <v>59</v>
      </c>
      <c r="C47" s="41" t="s">
        <v>73</v>
      </c>
      <c r="D47" s="40" t="s">
        <v>74</v>
      </c>
      <c r="E47" s="24">
        <v>40170000</v>
      </c>
      <c r="F47" s="39">
        <v>44172</v>
      </c>
      <c r="G47" s="24">
        <v>40170000</v>
      </c>
      <c r="H47" s="23">
        <v>5.0000000000000001E-3</v>
      </c>
      <c r="I47" s="39">
        <v>44317</v>
      </c>
      <c r="J47" s="39">
        <v>44347</v>
      </c>
      <c r="K47" s="24">
        <v>31</v>
      </c>
      <c r="L47" s="24">
        <v>17058</v>
      </c>
      <c r="M47" s="24">
        <v>40170000</v>
      </c>
    </row>
    <row r="48" spans="1:13" s="48" customFormat="1" outlineLevel="2">
      <c r="A48" s="39" t="s">
        <v>70</v>
      </c>
      <c r="B48" s="40" t="s">
        <v>62</v>
      </c>
      <c r="C48" s="41" t="s">
        <v>75</v>
      </c>
      <c r="D48" s="40" t="s">
        <v>76</v>
      </c>
      <c r="E48" s="24">
        <v>5170000</v>
      </c>
      <c r="F48" s="39">
        <v>44166</v>
      </c>
      <c r="G48" s="24">
        <v>5170000</v>
      </c>
      <c r="H48" s="23">
        <v>5.0000000000000001E-3</v>
      </c>
      <c r="I48" s="39">
        <v>44317</v>
      </c>
      <c r="J48" s="39">
        <v>44347</v>
      </c>
      <c r="K48" s="24">
        <v>31</v>
      </c>
      <c r="L48" s="24">
        <v>2195</v>
      </c>
      <c r="M48" s="24">
        <v>5170000</v>
      </c>
    </row>
    <row r="49" spans="1:13" s="48" customFormat="1" outlineLevel="1">
      <c r="A49" s="42" t="s">
        <v>77</v>
      </c>
      <c r="B49" s="43"/>
      <c r="C49" s="44"/>
      <c r="D49" s="43"/>
      <c r="E49" s="45">
        <v>85940000</v>
      </c>
      <c r="F49" s="46"/>
      <c r="G49" s="45"/>
      <c r="H49" s="47"/>
      <c r="I49" s="46"/>
      <c r="J49" s="46"/>
      <c r="K49" s="45"/>
      <c r="L49" s="45">
        <v>36494</v>
      </c>
      <c r="M49" s="45">
        <v>85940000</v>
      </c>
    </row>
    <row r="50" spans="1:13" s="48" customFormat="1" outlineLevel="2">
      <c r="A50" s="39" t="s">
        <v>78</v>
      </c>
      <c r="B50" s="40" t="s">
        <v>16</v>
      </c>
      <c r="C50" s="41" t="s">
        <v>55</v>
      </c>
      <c r="D50" s="40" t="s">
        <v>56</v>
      </c>
      <c r="E50" s="24">
        <v>26500000</v>
      </c>
      <c r="F50" s="39">
        <v>43907</v>
      </c>
      <c r="G50" s="24">
        <v>22398812</v>
      </c>
      <c r="H50" s="23">
        <v>5.0000000000000001E-3</v>
      </c>
      <c r="I50" s="39">
        <v>44317</v>
      </c>
      <c r="J50" s="39">
        <v>44332</v>
      </c>
      <c r="K50" s="24">
        <v>16</v>
      </c>
      <c r="L50" s="24">
        <v>4909</v>
      </c>
      <c r="M50" s="24">
        <v>22083336</v>
      </c>
    </row>
    <row r="51" spans="1:13" s="48" customFormat="1" outlineLevel="2">
      <c r="A51" s="39" t="s">
        <v>78</v>
      </c>
      <c r="B51" s="40" t="s">
        <v>16</v>
      </c>
      <c r="C51" s="41" t="s">
        <v>55</v>
      </c>
      <c r="D51" s="40"/>
      <c r="E51" s="24"/>
      <c r="F51" s="39"/>
      <c r="G51" s="24">
        <v>22083336</v>
      </c>
      <c r="H51" s="23">
        <v>5.0000000000000001E-3</v>
      </c>
      <c r="I51" s="39">
        <v>44333</v>
      </c>
      <c r="J51" s="39">
        <v>44347</v>
      </c>
      <c r="K51" s="24">
        <v>15</v>
      </c>
      <c r="L51" s="24">
        <v>4538</v>
      </c>
      <c r="M51" s="24"/>
    </row>
    <row r="52" spans="1:13" s="48" customFormat="1" outlineLevel="2">
      <c r="A52" s="39" t="s">
        <v>78</v>
      </c>
      <c r="B52" s="40" t="s">
        <v>19</v>
      </c>
      <c r="C52" s="41" t="s">
        <v>79</v>
      </c>
      <c r="D52" s="40" t="s">
        <v>80</v>
      </c>
      <c r="E52" s="24">
        <v>130000000</v>
      </c>
      <c r="F52" s="39">
        <v>44013</v>
      </c>
      <c r="G52" s="24">
        <v>130000000</v>
      </c>
      <c r="H52" s="23">
        <v>5.0000000000000001E-3</v>
      </c>
      <c r="I52" s="39">
        <v>44317</v>
      </c>
      <c r="J52" s="39">
        <v>44347</v>
      </c>
      <c r="K52" s="24">
        <v>31</v>
      </c>
      <c r="L52" s="24">
        <v>55205</v>
      </c>
      <c r="M52" s="24">
        <v>130000000</v>
      </c>
    </row>
    <row r="53" spans="1:13" s="48" customFormat="1" outlineLevel="2">
      <c r="A53" s="39" t="s">
        <v>78</v>
      </c>
      <c r="B53" s="40" t="s">
        <v>22</v>
      </c>
      <c r="C53" s="41" t="s">
        <v>81</v>
      </c>
      <c r="D53" s="40" t="s">
        <v>82</v>
      </c>
      <c r="E53" s="24">
        <v>3400000</v>
      </c>
      <c r="F53" s="39">
        <v>44063</v>
      </c>
      <c r="G53" s="24">
        <v>2931040</v>
      </c>
      <c r="H53" s="23">
        <v>5.0000000000000001E-3</v>
      </c>
      <c r="I53" s="39">
        <v>44317</v>
      </c>
      <c r="J53" s="39">
        <v>44332</v>
      </c>
      <c r="K53" s="24">
        <v>16</v>
      </c>
      <c r="L53" s="24">
        <v>642</v>
      </c>
      <c r="M53" s="24">
        <v>2872420</v>
      </c>
    </row>
    <row r="54" spans="1:13" s="48" customFormat="1" outlineLevel="2">
      <c r="A54" s="39" t="s">
        <v>78</v>
      </c>
      <c r="B54" s="40" t="s">
        <v>22</v>
      </c>
      <c r="C54" s="41" t="s">
        <v>81</v>
      </c>
      <c r="D54" s="40"/>
      <c r="E54" s="24"/>
      <c r="F54" s="39"/>
      <c r="G54" s="24">
        <v>2872420</v>
      </c>
      <c r="H54" s="23">
        <v>5.0000000000000001E-3</v>
      </c>
      <c r="I54" s="39">
        <v>44333</v>
      </c>
      <c r="J54" s="39">
        <v>44347</v>
      </c>
      <c r="K54" s="24">
        <v>15</v>
      </c>
      <c r="L54" s="24">
        <v>590</v>
      </c>
      <c r="M54" s="24"/>
    </row>
    <row r="55" spans="1:13" s="48" customFormat="1" outlineLevel="2">
      <c r="A55" s="39" t="s">
        <v>78</v>
      </c>
      <c r="B55" s="40" t="s">
        <v>25</v>
      </c>
      <c r="C55" s="41" t="s">
        <v>81</v>
      </c>
      <c r="D55" s="40" t="s">
        <v>82</v>
      </c>
      <c r="E55" s="24">
        <v>9800000</v>
      </c>
      <c r="F55" s="39">
        <v>44071</v>
      </c>
      <c r="G55" s="24">
        <v>8448264</v>
      </c>
      <c r="H55" s="23">
        <v>5.0000000000000001E-3</v>
      </c>
      <c r="I55" s="39">
        <v>44317</v>
      </c>
      <c r="J55" s="39">
        <v>44332</v>
      </c>
      <c r="K55" s="24">
        <v>16</v>
      </c>
      <c r="L55" s="24">
        <v>1852</v>
      </c>
      <c r="M55" s="24">
        <v>8279297</v>
      </c>
    </row>
    <row r="56" spans="1:13" s="48" customFormat="1" outlineLevel="2">
      <c r="A56" s="39" t="s">
        <v>78</v>
      </c>
      <c r="B56" s="40" t="s">
        <v>25</v>
      </c>
      <c r="C56" s="41" t="s">
        <v>81</v>
      </c>
      <c r="D56" s="40"/>
      <c r="E56" s="24"/>
      <c r="F56" s="39"/>
      <c r="G56" s="24">
        <v>8279297</v>
      </c>
      <c r="H56" s="23">
        <v>5.0000000000000001E-3</v>
      </c>
      <c r="I56" s="39">
        <v>44333</v>
      </c>
      <c r="J56" s="39">
        <v>44347</v>
      </c>
      <c r="K56" s="24">
        <v>15</v>
      </c>
      <c r="L56" s="24">
        <v>1701</v>
      </c>
      <c r="M56" s="24"/>
    </row>
    <row r="57" spans="1:13" s="48" customFormat="1" outlineLevel="2">
      <c r="A57" s="39" t="s">
        <v>78</v>
      </c>
      <c r="B57" s="40" t="s">
        <v>26</v>
      </c>
      <c r="C57" s="41" t="s">
        <v>83</v>
      </c>
      <c r="D57" s="40" t="s">
        <v>84</v>
      </c>
      <c r="E57" s="24">
        <v>201000000</v>
      </c>
      <c r="F57" s="39">
        <v>44064</v>
      </c>
      <c r="G57" s="24">
        <v>201000000</v>
      </c>
      <c r="H57" s="23">
        <v>5.0000000000000001E-3</v>
      </c>
      <c r="I57" s="39">
        <v>44317</v>
      </c>
      <c r="J57" s="39">
        <v>44347</v>
      </c>
      <c r="K57" s="24">
        <v>31</v>
      </c>
      <c r="L57" s="24">
        <v>85356</v>
      </c>
      <c r="M57" s="24">
        <v>201000000</v>
      </c>
    </row>
    <row r="58" spans="1:13" s="48" customFormat="1" outlineLevel="2">
      <c r="A58" s="39" t="s">
        <v>78</v>
      </c>
      <c r="B58" s="40" t="s">
        <v>29</v>
      </c>
      <c r="C58" s="41" t="s">
        <v>85</v>
      </c>
      <c r="D58" s="40" t="s">
        <v>86</v>
      </c>
      <c r="E58" s="24">
        <v>211550000</v>
      </c>
      <c r="F58" s="39">
        <v>44078</v>
      </c>
      <c r="G58" s="24">
        <v>211550000</v>
      </c>
      <c r="H58" s="23">
        <v>5.0000000000000001E-3</v>
      </c>
      <c r="I58" s="39">
        <v>44317</v>
      </c>
      <c r="J58" s="39">
        <v>44347</v>
      </c>
      <c r="K58" s="24">
        <v>31</v>
      </c>
      <c r="L58" s="24">
        <v>89836</v>
      </c>
      <c r="M58" s="24">
        <v>211550000</v>
      </c>
    </row>
    <row r="59" spans="1:13" s="48" customFormat="1" outlineLevel="2">
      <c r="A59" s="39" t="s">
        <v>78</v>
      </c>
      <c r="B59" s="40" t="s">
        <v>32</v>
      </c>
      <c r="C59" s="41" t="s">
        <v>85</v>
      </c>
      <c r="D59" s="40" t="s">
        <v>86</v>
      </c>
      <c r="E59" s="24">
        <v>91330000</v>
      </c>
      <c r="F59" s="39">
        <v>44120</v>
      </c>
      <c r="G59" s="24">
        <v>91330000</v>
      </c>
      <c r="H59" s="23">
        <v>5.0000000000000001E-3</v>
      </c>
      <c r="I59" s="39">
        <v>44317</v>
      </c>
      <c r="J59" s="39">
        <v>44347</v>
      </c>
      <c r="K59" s="24">
        <v>31</v>
      </c>
      <c r="L59" s="24">
        <v>38784</v>
      </c>
      <c r="M59" s="24">
        <v>91330000</v>
      </c>
    </row>
    <row r="60" spans="1:13" s="48" customFormat="1" outlineLevel="2">
      <c r="A60" s="39" t="s">
        <v>78</v>
      </c>
      <c r="B60" s="40" t="s">
        <v>33</v>
      </c>
      <c r="C60" s="41" t="s">
        <v>45</v>
      </c>
      <c r="D60" s="40" t="s">
        <v>46</v>
      </c>
      <c r="E60" s="24">
        <v>10000000</v>
      </c>
      <c r="F60" s="39">
        <v>44120</v>
      </c>
      <c r="G60" s="24">
        <v>10000000</v>
      </c>
      <c r="H60" s="23">
        <v>5.0000000000000001E-3</v>
      </c>
      <c r="I60" s="39">
        <v>44317</v>
      </c>
      <c r="J60" s="39">
        <v>44347</v>
      </c>
      <c r="K60" s="24">
        <v>31</v>
      </c>
      <c r="L60" s="24">
        <v>4247</v>
      </c>
      <c r="M60" s="24">
        <v>10000000</v>
      </c>
    </row>
    <row r="61" spans="1:13" s="48" customFormat="1" outlineLevel="2">
      <c r="A61" s="39" t="s">
        <v>78</v>
      </c>
      <c r="B61" s="40" t="s">
        <v>34</v>
      </c>
      <c r="C61" s="41" t="s">
        <v>87</v>
      </c>
      <c r="D61" s="40" t="s">
        <v>88</v>
      </c>
      <c r="E61" s="24">
        <v>40000000</v>
      </c>
      <c r="F61" s="39">
        <v>44131</v>
      </c>
      <c r="G61" s="24">
        <v>40000000</v>
      </c>
      <c r="H61" s="23">
        <v>5.0000000000000001E-3</v>
      </c>
      <c r="I61" s="39">
        <v>44317</v>
      </c>
      <c r="J61" s="39">
        <v>44347</v>
      </c>
      <c r="K61" s="24">
        <v>31</v>
      </c>
      <c r="L61" s="24">
        <v>16986</v>
      </c>
      <c r="M61" s="24">
        <v>40000000</v>
      </c>
    </row>
    <row r="62" spans="1:13" s="48" customFormat="1" outlineLevel="2">
      <c r="A62" s="39" t="s">
        <v>78</v>
      </c>
      <c r="B62" s="40" t="s">
        <v>35</v>
      </c>
      <c r="C62" s="41" t="s">
        <v>89</v>
      </c>
      <c r="D62" s="40" t="s">
        <v>90</v>
      </c>
      <c r="E62" s="24">
        <v>88000000</v>
      </c>
      <c r="F62" s="39">
        <v>44119</v>
      </c>
      <c r="G62" s="24">
        <v>88000000</v>
      </c>
      <c r="H62" s="23">
        <v>5.0000000000000001E-3</v>
      </c>
      <c r="I62" s="39">
        <v>44317</v>
      </c>
      <c r="J62" s="39">
        <v>44347</v>
      </c>
      <c r="K62" s="24">
        <v>31</v>
      </c>
      <c r="L62" s="24">
        <v>37370</v>
      </c>
      <c r="M62" s="24">
        <v>88000000</v>
      </c>
    </row>
    <row r="63" spans="1:13" s="48" customFormat="1" outlineLevel="2">
      <c r="A63" s="39" t="s">
        <v>78</v>
      </c>
      <c r="B63" s="40" t="s">
        <v>36</v>
      </c>
      <c r="C63" s="41" t="s">
        <v>91</v>
      </c>
      <c r="D63" s="40" t="s">
        <v>92</v>
      </c>
      <c r="E63" s="24">
        <v>65800000</v>
      </c>
      <c r="F63" s="39">
        <v>44119</v>
      </c>
      <c r="G63" s="24">
        <v>65800000</v>
      </c>
      <c r="H63" s="23">
        <v>5.0000000000000001E-3</v>
      </c>
      <c r="I63" s="39">
        <v>44317</v>
      </c>
      <c r="J63" s="39">
        <v>44347</v>
      </c>
      <c r="K63" s="24">
        <v>31</v>
      </c>
      <c r="L63" s="24">
        <v>27942</v>
      </c>
      <c r="M63" s="24">
        <v>65800000</v>
      </c>
    </row>
    <row r="64" spans="1:13" s="48" customFormat="1" outlineLevel="2">
      <c r="A64" s="39" t="s">
        <v>78</v>
      </c>
      <c r="B64" s="40" t="s">
        <v>39</v>
      </c>
      <c r="C64" s="41" t="s">
        <v>60</v>
      </c>
      <c r="D64" s="40" t="s">
        <v>61</v>
      </c>
      <c r="E64" s="24">
        <v>90000000</v>
      </c>
      <c r="F64" s="39">
        <v>43913</v>
      </c>
      <c r="G64" s="24">
        <v>88125000</v>
      </c>
      <c r="H64" s="23">
        <v>5.0000000000000001E-3</v>
      </c>
      <c r="I64" s="39">
        <v>44317</v>
      </c>
      <c r="J64" s="39">
        <v>44332</v>
      </c>
      <c r="K64" s="24">
        <v>16</v>
      </c>
      <c r="L64" s="24">
        <v>19315</v>
      </c>
      <c r="M64" s="24">
        <v>86250000</v>
      </c>
    </row>
    <row r="65" spans="1:13" s="48" customFormat="1" outlineLevel="2">
      <c r="A65" s="39" t="s">
        <v>78</v>
      </c>
      <c r="B65" s="40" t="s">
        <v>39</v>
      </c>
      <c r="C65" s="41" t="s">
        <v>60</v>
      </c>
      <c r="D65" s="40"/>
      <c r="E65" s="24"/>
      <c r="F65" s="39"/>
      <c r="G65" s="24">
        <v>86250000</v>
      </c>
      <c r="H65" s="23">
        <v>5.0000000000000001E-3</v>
      </c>
      <c r="I65" s="39">
        <v>44333</v>
      </c>
      <c r="J65" s="39">
        <v>44347</v>
      </c>
      <c r="K65" s="24">
        <v>15</v>
      </c>
      <c r="L65" s="24">
        <v>17723</v>
      </c>
      <c r="M65" s="24"/>
    </row>
    <row r="66" spans="1:13" s="48" customFormat="1" outlineLevel="2">
      <c r="A66" s="39" t="s">
        <v>78</v>
      </c>
      <c r="B66" s="40" t="s">
        <v>40</v>
      </c>
      <c r="C66" s="41" t="s">
        <v>93</v>
      </c>
      <c r="D66" s="40" t="s">
        <v>94</v>
      </c>
      <c r="E66" s="24">
        <v>7611996</v>
      </c>
      <c r="F66" s="39">
        <v>44151</v>
      </c>
      <c r="G66" s="24">
        <v>7611996</v>
      </c>
      <c r="H66" s="23">
        <v>5.0000000000000001E-3</v>
      </c>
      <c r="I66" s="39">
        <v>44317</v>
      </c>
      <c r="J66" s="39">
        <v>44347</v>
      </c>
      <c r="K66" s="24">
        <v>31</v>
      </c>
      <c r="L66" s="24">
        <v>3232</v>
      </c>
      <c r="M66" s="24">
        <v>7611996</v>
      </c>
    </row>
    <row r="67" spans="1:13" s="48" customFormat="1" outlineLevel="2">
      <c r="A67" s="39" t="s">
        <v>78</v>
      </c>
      <c r="B67" s="40" t="s">
        <v>41</v>
      </c>
      <c r="C67" s="41" t="s">
        <v>93</v>
      </c>
      <c r="D67" s="40" t="s">
        <v>94</v>
      </c>
      <c r="E67" s="24">
        <v>4900000</v>
      </c>
      <c r="F67" s="39">
        <v>44151</v>
      </c>
      <c r="G67" s="24">
        <v>4900000</v>
      </c>
      <c r="H67" s="23">
        <v>5.0000000000000001E-3</v>
      </c>
      <c r="I67" s="39">
        <v>44317</v>
      </c>
      <c r="J67" s="39">
        <v>44347</v>
      </c>
      <c r="K67" s="24">
        <v>31</v>
      </c>
      <c r="L67" s="24">
        <v>2081</v>
      </c>
      <c r="M67" s="24">
        <v>4900000</v>
      </c>
    </row>
    <row r="68" spans="1:13" s="48" customFormat="1" outlineLevel="2">
      <c r="A68" s="39" t="s">
        <v>78</v>
      </c>
      <c r="B68" s="40" t="s">
        <v>42</v>
      </c>
      <c r="C68" s="41" t="s">
        <v>93</v>
      </c>
      <c r="D68" s="40" t="s">
        <v>94</v>
      </c>
      <c r="E68" s="24">
        <v>21838392</v>
      </c>
      <c r="F68" s="39">
        <v>44151</v>
      </c>
      <c r="G68" s="24">
        <v>21838392</v>
      </c>
      <c r="H68" s="23">
        <v>5.0000000000000001E-3</v>
      </c>
      <c r="I68" s="39">
        <v>44317</v>
      </c>
      <c r="J68" s="39">
        <v>44347</v>
      </c>
      <c r="K68" s="24">
        <v>31</v>
      </c>
      <c r="L68" s="24">
        <v>9274</v>
      </c>
      <c r="M68" s="24">
        <v>21838392</v>
      </c>
    </row>
    <row r="69" spans="1:13" s="48" customFormat="1" outlineLevel="2">
      <c r="A69" s="39" t="s">
        <v>78</v>
      </c>
      <c r="B69" s="40" t="s">
        <v>43</v>
      </c>
      <c r="C69" s="41" t="s">
        <v>95</v>
      </c>
      <c r="D69" s="40" t="s">
        <v>96</v>
      </c>
      <c r="E69" s="24">
        <v>41950000</v>
      </c>
      <c r="F69" s="39">
        <v>44154</v>
      </c>
      <c r="G69" s="24">
        <v>41950000</v>
      </c>
      <c r="H69" s="23">
        <v>5.0000000000000001E-3</v>
      </c>
      <c r="I69" s="39">
        <v>44317</v>
      </c>
      <c r="J69" s="39">
        <v>44347</v>
      </c>
      <c r="K69" s="24">
        <v>31</v>
      </c>
      <c r="L69" s="24">
        <v>17814</v>
      </c>
      <c r="M69" s="24">
        <v>41950000</v>
      </c>
    </row>
    <row r="70" spans="1:13" s="48" customFormat="1" outlineLevel="2">
      <c r="A70" s="39" t="s">
        <v>78</v>
      </c>
      <c r="B70" s="40" t="s">
        <v>44</v>
      </c>
      <c r="C70" s="41" t="s">
        <v>95</v>
      </c>
      <c r="D70" s="40" t="s">
        <v>96</v>
      </c>
      <c r="E70" s="24">
        <v>30000000</v>
      </c>
      <c r="F70" s="39">
        <v>44154</v>
      </c>
      <c r="G70" s="24">
        <v>28214285</v>
      </c>
      <c r="H70" s="23">
        <v>5.0000000000000001E-3</v>
      </c>
      <c r="I70" s="39">
        <v>44317</v>
      </c>
      <c r="J70" s="39">
        <v>44332</v>
      </c>
      <c r="K70" s="24">
        <v>16</v>
      </c>
      <c r="L70" s="24">
        <v>6184</v>
      </c>
      <c r="M70" s="24">
        <v>27857142</v>
      </c>
    </row>
    <row r="71" spans="1:13" s="48" customFormat="1" outlineLevel="2">
      <c r="A71" s="39" t="s">
        <v>78</v>
      </c>
      <c r="B71" s="40" t="s">
        <v>44</v>
      </c>
      <c r="C71" s="41" t="s">
        <v>95</v>
      </c>
      <c r="D71" s="40"/>
      <c r="E71" s="24"/>
      <c r="F71" s="39"/>
      <c r="G71" s="24">
        <v>27857142</v>
      </c>
      <c r="H71" s="23">
        <v>5.0000000000000001E-3</v>
      </c>
      <c r="I71" s="39">
        <v>44333</v>
      </c>
      <c r="J71" s="39">
        <v>44347</v>
      </c>
      <c r="K71" s="24">
        <v>15</v>
      </c>
      <c r="L71" s="24">
        <v>5724</v>
      </c>
      <c r="M71" s="24"/>
    </row>
    <row r="72" spans="1:13" s="48" customFormat="1" outlineLevel="2">
      <c r="A72" s="39" t="s">
        <v>78</v>
      </c>
      <c r="B72" s="40" t="s">
        <v>47</v>
      </c>
      <c r="C72" s="41" t="s">
        <v>81</v>
      </c>
      <c r="D72" s="40" t="s">
        <v>82</v>
      </c>
      <c r="E72" s="24">
        <v>3490000</v>
      </c>
      <c r="F72" s="39">
        <v>44138</v>
      </c>
      <c r="G72" s="24">
        <v>3172725</v>
      </c>
      <c r="H72" s="23">
        <v>5.0000000000000001E-3</v>
      </c>
      <c r="I72" s="39">
        <v>44317</v>
      </c>
      <c r="J72" s="39">
        <v>44332</v>
      </c>
      <c r="K72" s="24">
        <v>16</v>
      </c>
      <c r="L72" s="24">
        <v>695</v>
      </c>
      <c r="M72" s="24">
        <v>3109270</v>
      </c>
    </row>
    <row r="73" spans="1:13" s="48" customFormat="1" outlineLevel="2">
      <c r="A73" s="39" t="s">
        <v>78</v>
      </c>
      <c r="B73" s="40" t="s">
        <v>47</v>
      </c>
      <c r="C73" s="41" t="s">
        <v>81</v>
      </c>
      <c r="D73" s="40"/>
      <c r="E73" s="24"/>
      <c r="F73" s="39"/>
      <c r="G73" s="24">
        <v>3109270</v>
      </c>
      <c r="H73" s="23">
        <v>5.0000000000000001E-3</v>
      </c>
      <c r="I73" s="39">
        <v>44333</v>
      </c>
      <c r="J73" s="39">
        <v>44347</v>
      </c>
      <c r="K73" s="24">
        <v>15</v>
      </c>
      <c r="L73" s="24">
        <v>639</v>
      </c>
      <c r="M73" s="24"/>
    </row>
    <row r="74" spans="1:13" s="48" customFormat="1" outlineLevel="2">
      <c r="A74" s="39" t="s">
        <v>78</v>
      </c>
      <c r="B74" s="40" t="s">
        <v>50</v>
      </c>
      <c r="C74" s="41" t="s">
        <v>81</v>
      </c>
      <c r="D74" s="40" t="s">
        <v>82</v>
      </c>
      <c r="E74" s="24">
        <v>1970000</v>
      </c>
      <c r="F74" s="39">
        <v>44147</v>
      </c>
      <c r="G74" s="24">
        <v>1790905</v>
      </c>
      <c r="H74" s="23">
        <v>5.0000000000000001E-3</v>
      </c>
      <c r="I74" s="39">
        <v>44317</v>
      </c>
      <c r="J74" s="39">
        <v>44332</v>
      </c>
      <c r="K74" s="24">
        <v>16</v>
      </c>
      <c r="L74" s="24">
        <v>393</v>
      </c>
      <c r="M74" s="24">
        <v>1755086</v>
      </c>
    </row>
    <row r="75" spans="1:13" s="48" customFormat="1" outlineLevel="2">
      <c r="A75" s="39" t="s">
        <v>78</v>
      </c>
      <c r="B75" s="40" t="s">
        <v>50</v>
      </c>
      <c r="C75" s="41" t="s">
        <v>81</v>
      </c>
      <c r="D75" s="40"/>
      <c r="E75" s="24"/>
      <c r="F75" s="39"/>
      <c r="G75" s="24">
        <v>1755086</v>
      </c>
      <c r="H75" s="23">
        <v>5.0000000000000001E-3</v>
      </c>
      <c r="I75" s="39">
        <v>44333</v>
      </c>
      <c r="J75" s="39">
        <v>44347</v>
      </c>
      <c r="K75" s="24">
        <v>15</v>
      </c>
      <c r="L75" s="24">
        <v>361</v>
      </c>
      <c r="M75" s="24"/>
    </row>
    <row r="76" spans="1:13" s="48" customFormat="1" outlineLevel="2">
      <c r="A76" s="39" t="s">
        <v>78</v>
      </c>
      <c r="B76" s="40" t="s">
        <v>51</v>
      </c>
      <c r="C76" s="41" t="s">
        <v>93</v>
      </c>
      <c r="D76" s="40" t="s">
        <v>94</v>
      </c>
      <c r="E76" s="24">
        <v>20979731</v>
      </c>
      <c r="F76" s="39">
        <v>44167</v>
      </c>
      <c r="G76" s="24">
        <v>20979731</v>
      </c>
      <c r="H76" s="23">
        <v>5.0000000000000001E-3</v>
      </c>
      <c r="I76" s="39">
        <v>44317</v>
      </c>
      <c r="J76" s="39">
        <v>44347</v>
      </c>
      <c r="K76" s="24">
        <v>31</v>
      </c>
      <c r="L76" s="24">
        <v>8909</v>
      </c>
      <c r="M76" s="24">
        <v>20979731</v>
      </c>
    </row>
    <row r="77" spans="1:13" s="48" customFormat="1" outlineLevel="2">
      <c r="A77" s="39" t="s">
        <v>78</v>
      </c>
      <c r="B77" s="40" t="s">
        <v>52</v>
      </c>
      <c r="C77" s="41" t="s">
        <v>93</v>
      </c>
      <c r="D77" s="40" t="s">
        <v>94</v>
      </c>
      <c r="E77" s="24">
        <v>15036832</v>
      </c>
      <c r="F77" s="39">
        <v>44181</v>
      </c>
      <c r="G77" s="24">
        <v>15036832</v>
      </c>
      <c r="H77" s="23">
        <v>5.0000000000000001E-3</v>
      </c>
      <c r="I77" s="39">
        <v>44317</v>
      </c>
      <c r="J77" s="39">
        <v>44347</v>
      </c>
      <c r="K77" s="24">
        <v>31</v>
      </c>
      <c r="L77" s="24">
        <v>6386</v>
      </c>
      <c r="M77" s="24">
        <v>15036832</v>
      </c>
    </row>
    <row r="78" spans="1:13" s="48" customFormat="1" outlineLevel="2">
      <c r="A78" s="39" t="s">
        <v>78</v>
      </c>
      <c r="B78" s="40" t="s">
        <v>53</v>
      </c>
      <c r="C78" s="41" t="s">
        <v>93</v>
      </c>
      <c r="D78" s="40" t="s">
        <v>94</v>
      </c>
      <c r="E78" s="24">
        <v>2070415</v>
      </c>
      <c r="F78" s="39">
        <v>44193</v>
      </c>
      <c r="G78" s="24">
        <v>2070415</v>
      </c>
      <c r="H78" s="23">
        <v>5.0000000000000001E-3</v>
      </c>
      <c r="I78" s="39">
        <v>44317</v>
      </c>
      <c r="J78" s="39">
        <v>44347</v>
      </c>
      <c r="K78" s="24">
        <v>31</v>
      </c>
      <c r="L78" s="24">
        <v>879</v>
      </c>
      <c r="M78" s="24">
        <v>2070415</v>
      </c>
    </row>
    <row r="79" spans="1:13" s="48" customFormat="1" outlineLevel="2">
      <c r="A79" s="39" t="s">
        <v>78</v>
      </c>
      <c r="B79" s="40" t="s">
        <v>54</v>
      </c>
      <c r="C79" s="41" t="s">
        <v>55</v>
      </c>
      <c r="D79" s="40" t="s">
        <v>56</v>
      </c>
      <c r="E79" s="24">
        <v>23500000</v>
      </c>
      <c r="F79" s="39">
        <v>43928</v>
      </c>
      <c r="G79" s="24">
        <v>19863081</v>
      </c>
      <c r="H79" s="23">
        <v>5.0000000000000001E-3</v>
      </c>
      <c r="I79" s="39">
        <v>44317</v>
      </c>
      <c r="J79" s="39">
        <v>44332</v>
      </c>
      <c r="K79" s="24">
        <v>16</v>
      </c>
      <c r="L79" s="24">
        <v>4354</v>
      </c>
      <c r="M79" s="24">
        <v>19583318</v>
      </c>
    </row>
    <row r="80" spans="1:13" s="48" customFormat="1" outlineLevel="2">
      <c r="A80" s="39" t="s">
        <v>78</v>
      </c>
      <c r="B80" s="40" t="s">
        <v>54</v>
      </c>
      <c r="C80" s="41" t="s">
        <v>55</v>
      </c>
      <c r="D80" s="40"/>
      <c r="E80" s="24"/>
      <c r="F80" s="39"/>
      <c r="G80" s="24">
        <v>19583318</v>
      </c>
      <c r="H80" s="23">
        <v>5.0000000000000001E-3</v>
      </c>
      <c r="I80" s="39">
        <v>44333</v>
      </c>
      <c r="J80" s="39">
        <v>44347</v>
      </c>
      <c r="K80" s="24">
        <v>15</v>
      </c>
      <c r="L80" s="24">
        <v>4024</v>
      </c>
      <c r="M80" s="24"/>
    </row>
    <row r="81" spans="1:13" s="48" customFormat="1" outlineLevel="2">
      <c r="A81" s="39" t="s">
        <v>78</v>
      </c>
      <c r="B81" s="40" t="s">
        <v>57</v>
      </c>
      <c r="C81" s="41" t="s">
        <v>83</v>
      </c>
      <c r="D81" s="40" t="s">
        <v>84</v>
      </c>
      <c r="E81" s="24">
        <v>125000000</v>
      </c>
      <c r="F81" s="39">
        <v>44189</v>
      </c>
      <c r="G81" s="24">
        <v>125000000</v>
      </c>
      <c r="H81" s="23">
        <v>5.0000000000000001E-3</v>
      </c>
      <c r="I81" s="39">
        <v>44317</v>
      </c>
      <c r="J81" s="39">
        <v>44347</v>
      </c>
      <c r="K81" s="24">
        <v>31</v>
      </c>
      <c r="L81" s="24">
        <v>53082</v>
      </c>
      <c r="M81" s="24">
        <v>125000000</v>
      </c>
    </row>
    <row r="82" spans="1:13" s="48" customFormat="1" outlineLevel="2">
      <c r="A82" s="39" t="s">
        <v>78</v>
      </c>
      <c r="B82" s="40" t="s">
        <v>58</v>
      </c>
      <c r="C82" s="41" t="s">
        <v>97</v>
      </c>
      <c r="D82" s="40" t="s">
        <v>98</v>
      </c>
      <c r="E82" s="24">
        <v>51800000</v>
      </c>
      <c r="F82" s="39">
        <v>44180</v>
      </c>
      <c r="G82" s="24">
        <v>51800000</v>
      </c>
      <c r="H82" s="23">
        <v>5.0000000000000001E-3</v>
      </c>
      <c r="I82" s="39">
        <v>44317</v>
      </c>
      <c r="J82" s="39">
        <v>44347</v>
      </c>
      <c r="K82" s="24">
        <v>31</v>
      </c>
      <c r="L82" s="24">
        <v>21997</v>
      </c>
      <c r="M82" s="24">
        <v>51800000</v>
      </c>
    </row>
    <row r="83" spans="1:13" s="48" customFormat="1" outlineLevel="2">
      <c r="A83" s="39" t="s">
        <v>78</v>
      </c>
      <c r="B83" s="40" t="s">
        <v>99</v>
      </c>
      <c r="C83" s="41" t="s">
        <v>91</v>
      </c>
      <c r="D83" s="40" t="s">
        <v>92</v>
      </c>
      <c r="E83" s="24">
        <v>25000000</v>
      </c>
      <c r="F83" s="39">
        <v>44180</v>
      </c>
      <c r="G83" s="24">
        <v>25000000</v>
      </c>
      <c r="H83" s="23">
        <v>5.0000000000000001E-3</v>
      </c>
      <c r="I83" s="39">
        <v>44317</v>
      </c>
      <c r="J83" s="39">
        <v>44347</v>
      </c>
      <c r="K83" s="24">
        <v>31</v>
      </c>
      <c r="L83" s="24">
        <v>10616</v>
      </c>
      <c r="M83" s="24">
        <v>25000000</v>
      </c>
    </row>
    <row r="84" spans="1:13" s="48" customFormat="1" outlineLevel="2">
      <c r="A84" s="39" t="s">
        <v>78</v>
      </c>
      <c r="B84" s="40" t="s">
        <v>100</v>
      </c>
      <c r="C84" s="41" t="s">
        <v>91</v>
      </c>
      <c r="D84" s="40" t="s">
        <v>92</v>
      </c>
      <c r="E84" s="24">
        <v>44000000</v>
      </c>
      <c r="F84" s="39">
        <v>44180</v>
      </c>
      <c r="G84" s="24">
        <v>44000000</v>
      </c>
      <c r="H84" s="23">
        <v>5.0000000000000001E-3</v>
      </c>
      <c r="I84" s="39">
        <v>44317</v>
      </c>
      <c r="J84" s="39">
        <v>44347</v>
      </c>
      <c r="K84" s="24">
        <v>31</v>
      </c>
      <c r="L84" s="24">
        <v>18685</v>
      </c>
      <c r="M84" s="24">
        <v>44000000</v>
      </c>
    </row>
    <row r="85" spans="1:13" s="48" customFormat="1" outlineLevel="2">
      <c r="A85" s="39" t="s">
        <v>78</v>
      </c>
      <c r="B85" s="40" t="s">
        <v>101</v>
      </c>
      <c r="C85" s="41" t="s">
        <v>95</v>
      </c>
      <c r="D85" s="40" t="s">
        <v>96</v>
      </c>
      <c r="E85" s="24">
        <v>129650000</v>
      </c>
      <c r="F85" s="39">
        <v>44195</v>
      </c>
      <c r="G85" s="24">
        <v>129650000</v>
      </c>
      <c r="H85" s="23">
        <v>5.0000000000000001E-3</v>
      </c>
      <c r="I85" s="39">
        <v>44317</v>
      </c>
      <c r="J85" s="39">
        <v>44347</v>
      </c>
      <c r="K85" s="24">
        <v>31</v>
      </c>
      <c r="L85" s="24">
        <v>55057</v>
      </c>
      <c r="M85" s="24">
        <v>129650000</v>
      </c>
    </row>
    <row r="86" spans="1:13" s="48" customFormat="1" outlineLevel="2">
      <c r="A86" s="39" t="s">
        <v>78</v>
      </c>
      <c r="B86" s="40" t="s">
        <v>102</v>
      </c>
      <c r="C86" s="41" t="s">
        <v>95</v>
      </c>
      <c r="D86" s="40" t="s">
        <v>96</v>
      </c>
      <c r="E86" s="24">
        <v>12000000</v>
      </c>
      <c r="F86" s="39">
        <v>44195</v>
      </c>
      <c r="G86" s="24">
        <v>11421684</v>
      </c>
      <c r="H86" s="23">
        <v>5.0000000000000001E-3</v>
      </c>
      <c r="I86" s="39">
        <v>44317</v>
      </c>
      <c r="J86" s="39">
        <v>44332</v>
      </c>
      <c r="K86" s="24">
        <v>16</v>
      </c>
      <c r="L86" s="24">
        <v>2503</v>
      </c>
      <c r="M86" s="24">
        <v>11277105</v>
      </c>
    </row>
    <row r="87" spans="1:13" s="48" customFormat="1" outlineLevel="2">
      <c r="A87" s="39" t="s">
        <v>78</v>
      </c>
      <c r="B87" s="40" t="s">
        <v>102</v>
      </c>
      <c r="C87" s="41" t="s">
        <v>95</v>
      </c>
      <c r="D87" s="40"/>
      <c r="E87" s="24"/>
      <c r="F87" s="39"/>
      <c r="G87" s="24">
        <v>11277105</v>
      </c>
      <c r="H87" s="23">
        <v>5.0000000000000001E-3</v>
      </c>
      <c r="I87" s="39">
        <v>44333</v>
      </c>
      <c r="J87" s="39">
        <v>44347</v>
      </c>
      <c r="K87" s="24">
        <v>15</v>
      </c>
      <c r="L87" s="24">
        <v>2317</v>
      </c>
      <c r="M87" s="24"/>
    </row>
    <row r="88" spans="1:13" s="48" customFormat="1" outlineLevel="2">
      <c r="A88" s="39" t="s">
        <v>78</v>
      </c>
      <c r="B88" s="40" t="s">
        <v>103</v>
      </c>
      <c r="C88" s="41" t="s">
        <v>66</v>
      </c>
      <c r="D88" s="40" t="s">
        <v>67</v>
      </c>
      <c r="E88" s="24">
        <v>144000000</v>
      </c>
      <c r="F88" s="39">
        <v>44196</v>
      </c>
      <c r="G88" s="24">
        <v>144000000</v>
      </c>
      <c r="H88" s="23">
        <v>5.0000000000000001E-3</v>
      </c>
      <c r="I88" s="39">
        <v>44317</v>
      </c>
      <c r="J88" s="39">
        <v>44347</v>
      </c>
      <c r="K88" s="24">
        <v>31</v>
      </c>
      <c r="L88" s="24">
        <v>61151</v>
      </c>
      <c r="M88" s="24">
        <v>144000000</v>
      </c>
    </row>
    <row r="89" spans="1:13" s="48" customFormat="1" outlineLevel="2">
      <c r="A89" s="39" t="s">
        <v>78</v>
      </c>
      <c r="B89" s="40" t="s">
        <v>104</v>
      </c>
      <c r="C89" s="41" t="s">
        <v>91</v>
      </c>
      <c r="D89" s="40" t="s">
        <v>92</v>
      </c>
      <c r="E89" s="24">
        <v>45000000</v>
      </c>
      <c r="F89" s="39">
        <v>44211</v>
      </c>
      <c r="G89" s="24">
        <v>45000000</v>
      </c>
      <c r="H89" s="23">
        <v>5.0000000000000001E-3</v>
      </c>
      <c r="I89" s="39">
        <v>44317</v>
      </c>
      <c r="J89" s="39">
        <v>44347</v>
      </c>
      <c r="K89" s="24">
        <v>31</v>
      </c>
      <c r="L89" s="24">
        <v>19110</v>
      </c>
      <c r="M89" s="24">
        <v>45000000</v>
      </c>
    </row>
    <row r="90" spans="1:13" s="48" customFormat="1" outlineLevel="2">
      <c r="A90" s="39" t="s">
        <v>78</v>
      </c>
      <c r="B90" s="40" t="s">
        <v>105</v>
      </c>
      <c r="C90" s="41" t="s">
        <v>91</v>
      </c>
      <c r="D90" s="40" t="s">
        <v>92</v>
      </c>
      <c r="E90" s="24">
        <v>31000000</v>
      </c>
      <c r="F90" s="39">
        <v>44211</v>
      </c>
      <c r="G90" s="24">
        <v>31000000</v>
      </c>
      <c r="H90" s="23">
        <v>5.0000000000000001E-3</v>
      </c>
      <c r="I90" s="39">
        <v>44317</v>
      </c>
      <c r="J90" s="39">
        <v>44347</v>
      </c>
      <c r="K90" s="24">
        <v>31</v>
      </c>
      <c r="L90" s="24">
        <v>13164</v>
      </c>
      <c r="M90" s="24">
        <v>31000000</v>
      </c>
    </row>
    <row r="91" spans="1:13" s="48" customFormat="1" outlineLevel="2">
      <c r="A91" s="39" t="s">
        <v>78</v>
      </c>
      <c r="B91" s="40" t="s">
        <v>106</v>
      </c>
      <c r="C91" s="41" t="s">
        <v>93</v>
      </c>
      <c r="D91" s="40" t="s">
        <v>94</v>
      </c>
      <c r="E91" s="24">
        <v>7174630</v>
      </c>
      <c r="F91" s="39">
        <v>44203</v>
      </c>
      <c r="G91" s="24">
        <v>7174630</v>
      </c>
      <c r="H91" s="23">
        <v>5.0000000000000001E-3</v>
      </c>
      <c r="I91" s="39">
        <v>44317</v>
      </c>
      <c r="J91" s="39">
        <v>44347</v>
      </c>
      <c r="K91" s="24">
        <v>31</v>
      </c>
      <c r="L91" s="24">
        <v>3047</v>
      </c>
      <c r="M91" s="24">
        <v>7174630</v>
      </c>
    </row>
    <row r="92" spans="1:13" s="48" customFormat="1" outlineLevel="2">
      <c r="A92" s="39" t="s">
        <v>78</v>
      </c>
      <c r="B92" s="40" t="s">
        <v>59</v>
      </c>
      <c r="C92" s="41" t="s">
        <v>81</v>
      </c>
      <c r="D92" s="40" t="s">
        <v>82</v>
      </c>
      <c r="E92" s="24">
        <v>7000000</v>
      </c>
      <c r="F92" s="39">
        <v>44004</v>
      </c>
      <c r="G92" s="24">
        <v>5833330</v>
      </c>
      <c r="H92" s="23">
        <v>5.0000000000000001E-3</v>
      </c>
      <c r="I92" s="39">
        <v>44317</v>
      </c>
      <c r="J92" s="39">
        <v>44332</v>
      </c>
      <c r="K92" s="24">
        <v>16</v>
      </c>
      <c r="L92" s="24">
        <v>1279</v>
      </c>
      <c r="M92" s="24">
        <v>5716663</v>
      </c>
    </row>
    <row r="93" spans="1:13" s="48" customFormat="1" outlineLevel="2">
      <c r="A93" s="39" t="s">
        <v>78</v>
      </c>
      <c r="B93" s="40" t="s">
        <v>59</v>
      </c>
      <c r="C93" s="41" t="s">
        <v>81</v>
      </c>
      <c r="D93" s="40"/>
      <c r="E93" s="24"/>
      <c r="F93" s="39"/>
      <c r="G93" s="24">
        <v>5716663</v>
      </c>
      <c r="H93" s="23">
        <v>5.0000000000000001E-3</v>
      </c>
      <c r="I93" s="39">
        <v>44333</v>
      </c>
      <c r="J93" s="39">
        <v>44347</v>
      </c>
      <c r="K93" s="24">
        <v>15</v>
      </c>
      <c r="L93" s="24">
        <v>1175</v>
      </c>
      <c r="M93" s="24"/>
    </row>
    <row r="94" spans="1:13" s="48" customFormat="1" outlineLevel="2">
      <c r="A94" s="39" t="s">
        <v>78</v>
      </c>
      <c r="B94" s="40" t="s">
        <v>136</v>
      </c>
      <c r="C94" s="41" t="s">
        <v>95</v>
      </c>
      <c r="D94" s="40" t="s">
        <v>96</v>
      </c>
      <c r="E94" s="24">
        <v>3650000</v>
      </c>
      <c r="F94" s="39">
        <v>44246</v>
      </c>
      <c r="G94" s="24">
        <v>3650000</v>
      </c>
      <c r="H94" s="23">
        <v>5.0000000000000001E-3</v>
      </c>
      <c r="I94" s="39">
        <v>44317</v>
      </c>
      <c r="J94" s="39">
        <v>44347</v>
      </c>
      <c r="K94" s="24">
        <v>31</v>
      </c>
      <c r="L94" s="24">
        <v>1550</v>
      </c>
      <c r="M94" s="24">
        <v>3650000</v>
      </c>
    </row>
    <row r="95" spans="1:13" s="48" customFormat="1" outlineLevel="2">
      <c r="A95" s="39" t="s">
        <v>78</v>
      </c>
      <c r="B95" s="40" t="s">
        <v>137</v>
      </c>
      <c r="C95" s="41" t="s">
        <v>93</v>
      </c>
      <c r="D95" s="40" t="s">
        <v>94</v>
      </c>
      <c r="E95" s="24">
        <v>1028354</v>
      </c>
      <c r="F95" s="39">
        <v>44236</v>
      </c>
      <c r="G95" s="24">
        <v>1028354</v>
      </c>
      <c r="H95" s="23">
        <v>5.0000000000000001E-3</v>
      </c>
      <c r="I95" s="39">
        <v>44317</v>
      </c>
      <c r="J95" s="39">
        <v>44347</v>
      </c>
      <c r="K95" s="24">
        <v>31</v>
      </c>
      <c r="L95" s="24">
        <v>437</v>
      </c>
      <c r="M95" s="24">
        <v>1028354</v>
      </c>
    </row>
    <row r="96" spans="1:13" s="48" customFormat="1" outlineLevel="2">
      <c r="A96" s="39" t="s">
        <v>78</v>
      </c>
      <c r="B96" s="40" t="s">
        <v>138</v>
      </c>
      <c r="C96" s="41" t="s">
        <v>93</v>
      </c>
      <c r="D96" s="40" t="s">
        <v>94</v>
      </c>
      <c r="E96" s="24">
        <v>1983370</v>
      </c>
      <c r="F96" s="39">
        <v>44246</v>
      </c>
      <c r="G96" s="24">
        <v>1983370</v>
      </c>
      <c r="H96" s="23">
        <v>5.0000000000000001E-3</v>
      </c>
      <c r="I96" s="39">
        <v>44317</v>
      </c>
      <c r="J96" s="39">
        <v>44347</v>
      </c>
      <c r="K96" s="24">
        <v>31</v>
      </c>
      <c r="L96" s="24">
        <v>842</v>
      </c>
      <c r="M96" s="24">
        <v>1983370</v>
      </c>
    </row>
    <row r="97" spans="1:13" s="48" customFormat="1" outlineLevel="2">
      <c r="A97" s="39" t="s">
        <v>78</v>
      </c>
      <c r="B97" s="40" t="s">
        <v>139</v>
      </c>
      <c r="C97" s="41" t="s">
        <v>306</v>
      </c>
      <c r="D97" s="40" t="s">
        <v>305</v>
      </c>
      <c r="E97" s="24">
        <v>10000000</v>
      </c>
      <c r="F97" s="39">
        <v>44252</v>
      </c>
      <c r="G97" s="24">
        <v>10000000</v>
      </c>
      <c r="H97" s="23">
        <v>5.0000000000000001E-3</v>
      </c>
      <c r="I97" s="39">
        <v>44317</v>
      </c>
      <c r="J97" s="39">
        <v>44347</v>
      </c>
      <c r="K97" s="24">
        <v>31</v>
      </c>
      <c r="L97" s="24">
        <v>4247</v>
      </c>
      <c r="M97" s="24">
        <v>10000000</v>
      </c>
    </row>
    <row r="98" spans="1:13" s="48" customFormat="1" outlineLevel="2">
      <c r="A98" s="39" t="s">
        <v>78</v>
      </c>
      <c r="B98" s="40" t="s">
        <v>140</v>
      </c>
      <c r="C98" s="41" t="s">
        <v>85</v>
      </c>
      <c r="D98" s="40" t="s">
        <v>86</v>
      </c>
      <c r="E98" s="24">
        <v>67620000</v>
      </c>
      <c r="F98" s="39">
        <v>44253</v>
      </c>
      <c r="G98" s="24">
        <v>67620000</v>
      </c>
      <c r="H98" s="23">
        <v>5.0000000000000001E-3</v>
      </c>
      <c r="I98" s="39">
        <v>44317</v>
      </c>
      <c r="J98" s="39">
        <v>44347</v>
      </c>
      <c r="K98" s="24">
        <v>31</v>
      </c>
      <c r="L98" s="24">
        <v>28715</v>
      </c>
      <c r="M98" s="24">
        <v>67620000</v>
      </c>
    </row>
    <row r="99" spans="1:13" s="48" customFormat="1" outlineLevel="2">
      <c r="A99" s="39" t="s">
        <v>78</v>
      </c>
      <c r="B99" s="40" t="s">
        <v>169</v>
      </c>
      <c r="C99" s="41" t="s">
        <v>91</v>
      </c>
      <c r="D99" s="40" t="s">
        <v>92</v>
      </c>
      <c r="E99" s="24">
        <v>33000000</v>
      </c>
      <c r="F99" s="39">
        <v>44270</v>
      </c>
      <c r="G99" s="24">
        <v>33000000</v>
      </c>
      <c r="H99" s="23">
        <v>5.0000000000000001E-3</v>
      </c>
      <c r="I99" s="39">
        <v>44317</v>
      </c>
      <c r="J99" s="39">
        <v>44347</v>
      </c>
      <c r="K99" s="24">
        <v>31</v>
      </c>
      <c r="L99" s="24">
        <v>14014</v>
      </c>
      <c r="M99" s="24">
        <v>33000000</v>
      </c>
    </row>
    <row r="100" spans="1:13" s="48" customFormat="1" outlineLevel="2">
      <c r="A100" s="39" t="s">
        <v>78</v>
      </c>
      <c r="B100" s="40" t="s">
        <v>170</v>
      </c>
      <c r="C100" s="41" t="s">
        <v>91</v>
      </c>
      <c r="D100" s="40" t="s">
        <v>92</v>
      </c>
      <c r="E100" s="24">
        <v>38900000</v>
      </c>
      <c r="F100" s="39">
        <v>44270</v>
      </c>
      <c r="G100" s="24">
        <v>38900000</v>
      </c>
      <c r="H100" s="23">
        <v>5.0000000000000001E-3</v>
      </c>
      <c r="I100" s="39">
        <v>44317</v>
      </c>
      <c r="J100" s="39">
        <v>44347</v>
      </c>
      <c r="K100" s="24">
        <v>31</v>
      </c>
      <c r="L100" s="24">
        <v>16519</v>
      </c>
      <c r="M100" s="24">
        <v>38900000</v>
      </c>
    </row>
    <row r="101" spans="1:13" s="48" customFormat="1" outlineLevel="2">
      <c r="A101" s="39" t="s">
        <v>78</v>
      </c>
      <c r="B101" s="40" t="s">
        <v>171</v>
      </c>
      <c r="C101" s="41" t="s">
        <v>81</v>
      </c>
      <c r="D101" s="40" t="s">
        <v>82</v>
      </c>
      <c r="E101" s="24">
        <v>6800000</v>
      </c>
      <c r="F101" s="39">
        <v>44272</v>
      </c>
      <c r="G101" s="24">
        <v>6666666</v>
      </c>
      <c r="H101" s="23">
        <v>5.0000000000000001E-3</v>
      </c>
      <c r="I101" s="39">
        <v>44317</v>
      </c>
      <c r="J101" s="39">
        <v>44332</v>
      </c>
      <c r="K101" s="24">
        <v>16</v>
      </c>
      <c r="L101" s="24">
        <v>1461</v>
      </c>
      <c r="M101" s="24">
        <v>6533332</v>
      </c>
    </row>
    <row r="102" spans="1:13" s="48" customFormat="1" outlineLevel="2">
      <c r="A102" s="39" t="s">
        <v>78</v>
      </c>
      <c r="B102" s="40" t="s">
        <v>171</v>
      </c>
      <c r="C102" s="41" t="s">
        <v>81</v>
      </c>
      <c r="D102" s="40"/>
      <c r="E102" s="24"/>
      <c r="F102" s="39"/>
      <c r="G102" s="24">
        <v>6533332</v>
      </c>
      <c r="H102" s="23">
        <v>5.0000000000000001E-3</v>
      </c>
      <c r="I102" s="39">
        <v>44333</v>
      </c>
      <c r="J102" s="39">
        <v>44347</v>
      </c>
      <c r="K102" s="24">
        <v>15</v>
      </c>
      <c r="L102" s="24">
        <v>1342</v>
      </c>
      <c r="M102" s="24"/>
    </row>
    <row r="103" spans="1:13" s="48" customFormat="1" outlineLevel="2">
      <c r="A103" s="39" t="s">
        <v>78</v>
      </c>
      <c r="B103" s="40" t="s">
        <v>172</v>
      </c>
      <c r="C103" s="41" t="s">
        <v>81</v>
      </c>
      <c r="D103" s="40" t="s">
        <v>82</v>
      </c>
      <c r="E103" s="24">
        <v>5540000</v>
      </c>
      <c r="F103" s="39">
        <v>44285</v>
      </c>
      <c r="G103" s="24">
        <v>5431372</v>
      </c>
      <c r="H103" s="23">
        <v>5.0000000000000001E-3</v>
      </c>
      <c r="I103" s="39">
        <v>44317</v>
      </c>
      <c r="J103" s="39">
        <v>44332</v>
      </c>
      <c r="K103" s="24">
        <v>16</v>
      </c>
      <c r="L103" s="24">
        <v>1190</v>
      </c>
      <c r="M103" s="24">
        <v>5322744</v>
      </c>
    </row>
    <row r="104" spans="1:13" s="48" customFormat="1" outlineLevel="2">
      <c r="A104" s="39" t="s">
        <v>78</v>
      </c>
      <c r="B104" s="40" t="s">
        <v>172</v>
      </c>
      <c r="C104" s="41" t="s">
        <v>81</v>
      </c>
      <c r="D104" s="40"/>
      <c r="E104" s="24"/>
      <c r="F104" s="39"/>
      <c r="G104" s="24">
        <v>5322744</v>
      </c>
      <c r="H104" s="23">
        <v>5.0000000000000001E-3</v>
      </c>
      <c r="I104" s="39">
        <v>44333</v>
      </c>
      <c r="J104" s="39">
        <v>44347</v>
      </c>
      <c r="K104" s="24">
        <v>15</v>
      </c>
      <c r="L104" s="24">
        <v>1094</v>
      </c>
      <c r="M104" s="24"/>
    </row>
    <row r="105" spans="1:13" s="48" customFormat="1" outlineLevel="2">
      <c r="A105" s="39" t="s">
        <v>78</v>
      </c>
      <c r="B105" s="40" t="s">
        <v>173</v>
      </c>
      <c r="C105" s="41" t="s">
        <v>337</v>
      </c>
      <c r="D105" s="40" t="s">
        <v>336</v>
      </c>
      <c r="E105" s="24">
        <v>30000000</v>
      </c>
      <c r="F105" s="39">
        <v>44286</v>
      </c>
      <c r="G105" s="24">
        <v>29500000</v>
      </c>
      <c r="H105" s="23">
        <v>5.0000000000000001E-3</v>
      </c>
      <c r="I105" s="39">
        <v>44317</v>
      </c>
      <c r="J105" s="39">
        <v>44332</v>
      </c>
      <c r="K105" s="24">
        <v>16</v>
      </c>
      <c r="L105" s="24">
        <v>6466</v>
      </c>
      <c r="M105" s="24">
        <v>29000000</v>
      </c>
    </row>
    <row r="106" spans="1:13" s="48" customFormat="1" outlineLevel="2">
      <c r="A106" s="39" t="s">
        <v>78</v>
      </c>
      <c r="B106" s="40" t="s">
        <v>173</v>
      </c>
      <c r="C106" s="41" t="s">
        <v>337</v>
      </c>
      <c r="D106" s="40"/>
      <c r="E106" s="24"/>
      <c r="F106" s="39"/>
      <c r="G106" s="24">
        <v>29000000</v>
      </c>
      <c r="H106" s="23">
        <v>5.0000000000000001E-3</v>
      </c>
      <c r="I106" s="39">
        <v>44333</v>
      </c>
      <c r="J106" s="39">
        <v>44347</v>
      </c>
      <c r="K106" s="24">
        <v>15</v>
      </c>
      <c r="L106" s="24">
        <v>5959</v>
      </c>
      <c r="M106" s="24"/>
    </row>
    <row r="107" spans="1:13" s="48" customFormat="1" outlineLevel="2">
      <c r="A107" s="39" t="s">
        <v>78</v>
      </c>
      <c r="B107" s="40" t="s">
        <v>62</v>
      </c>
      <c r="C107" s="41" t="s">
        <v>83</v>
      </c>
      <c r="D107" s="40" t="s">
        <v>84</v>
      </c>
      <c r="E107" s="24">
        <v>298410000</v>
      </c>
      <c r="F107" s="39">
        <v>44006</v>
      </c>
      <c r="G107" s="24">
        <v>298410000</v>
      </c>
      <c r="H107" s="23">
        <v>5.0000000000000001E-3</v>
      </c>
      <c r="I107" s="39">
        <v>44317</v>
      </c>
      <c r="J107" s="39">
        <v>44347</v>
      </c>
      <c r="K107" s="24">
        <v>31</v>
      </c>
      <c r="L107" s="24">
        <v>126722</v>
      </c>
      <c r="M107" s="24">
        <v>298410000</v>
      </c>
    </row>
    <row r="108" spans="1:13" s="48" customFormat="1" outlineLevel="2">
      <c r="A108" s="39" t="s">
        <v>78</v>
      </c>
      <c r="B108" s="40" t="s">
        <v>174</v>
      </c>
      <c r="C108" s="41" t="s">
        <v>155</v>
      </c>
      <c r="D108" s="40" t="s">
        <v>156</v>
      </c>
      <c r="E108" s="24">
        <v>120000000</v>
      </c>
      <c r="F108" s="39">
        <v>44270</v>
      </c>
      <c r="G108" s="24">
        <v>120000000</v>
      </c>
      <c r="H108" s="23">
        <v>5.0000000000000001E-3</v>
      </c>
      <c r="I108" s="39">
        <v>44317</v>
      </c>
      <c r="J108" s="39">
        <v>44347</v>
      </c>
      <c r="K108" s="24">
        <v>31</v>
      </c>
      <c r="L108" s="24">
        <v>50959</v>
      </c>
      <c r="M108" s="24">
        <v>120000000</v>
      </c>
    </row>
    <row r="109" spans="1:13" s="48" customFormat="1" outlineLevel="2">
      <c r="A109" s="39" t="s">
        <v>78</v>
      </c>
      <c r="B109" s="40" t="s">
        <v>175</v>
      </c>
      <c r="C109" s="41" t="s">
        <v>91</v>
      </c>
      <c r="D109" s="40" t="s">
        <v>92</v>
      </c>
      <c r="E109" s="24">
        <v>30400000</v>
      </c>
      <c r="F109" s="39">
        <v>44301</v>
      </c>
      <c r="G109" s="24">
        <v>30400000</v>
      </c>
      <c r="H109" s="23">
        <v>5.0000000000000001E-3</v>
      </c>
      <c r="I109" s="39">
        <v>44317</v>
      </c>
      <c r="J109" s="39">
        <v>44347</v>
      </c>
      <c r="K109" s="24">
        <v>31</v>
      </c>
      <c r="L109" s="24">
        <v>12910</v>
      </c>
      <c r="M109" s="24">
        <v>30400000</v>
      </c>
    </row>
    <row r="110" spans="1:13" s="48" customFormat="1" outlineLevel="2">
      <c r="A110" s="39" t="s">
        <v>78</v>
      </c>
      <c r="B110" s="40" t="s">
        <v>176</v>
      </c>
      <c r="C110" s="41" t="s">
        <v>337</v>
      </c>
      <c r="D110" s="40" t="s">
        <v>336</v>
      </c>
      <c r="E110" s="24">
        <v>20000000</v>
      </c>
      <c r="F110" s="39">
        <v>44315</v>
      </c>
      <c r="G110" s="24">
        <v>20000000</v>
      </c>
      <c r="H110" s="23">
        <v>5.0000000000000001E-3</v>
      </c>
      <c r="I110" s="39">
        <v>44317</v>
      </c>
      <c r="J110" s="39">
        <v>44332</v>
      </c>
      <c r="K110" s="24">
        <v>16</v>
      </c>
      <c r="L110" s="24">
        <v>4384</v>
      </c>
      <c r="M110" s="24">
        <v>19661017</v>
      </c>
    </row>
    <row r="111" spans="1:13" s="48" customFormat="1" outlineLevel="2">
      <c r="A111" s="39" t="s">
        <v>78</v>
      </c>
      <c r="B111" s="40" t="s">
        <v>176</v>
      </c>
      <c r="C111" s="41" t="s">
        <v>337</v>
      </c>
      <c r="D111" s="40"/>
      <c r="E111" s="24"/>
      <c r="F111" s="39"/>
      <c r="G111" s="24">
        <v>19661017</v>
      </c>
      <c r="H111" s="23">
        <v>5.0000000000000001E-3</v>
      </c>
      <c r="I111" s="39">
        <v>44333</v>
      </c>
      <c r="J111" s="39">
        <v>44347</v>
      </c>
      <c r="K111" s="24">
        <v>15</v>
      </c>
      <c r="L111" s="24">
        <v>4040</v>
      </c>
      <c r="M111" s="24"/>
    </row>
    <row r="112" spans="1:13" s="48" customFormat="1" outlineLevel="2">
      <c r="A112" s="39" t="s">
        <v>78</v>
      </c>
      <c r="B112" s="40" t="s">
        <v>177</v>
      </c>
      <c r="C112" s="41" t="s">
        <v>85</v>
      </c>
      <c r="D112" s="40" t="s">
        <v>86</v>
      </c>
      <c r="E112" s="24">
        <v>50000000</v>
      </c>
      <c r="F112" s="39">
        <v>44315</v>
      </c>
      <c r="G112" s="24">
        <v>50000000</v>
      </c>
      <c r="H112" s="23">
        <v>5.0000000000000001E-3</v>
      </c>
      <c r="I112" s="39">
        <v>44317</v>
      </c>
      <c r="J112" s="39">
        <v>44347</v>
      </c>
      <c r="K112" s="24">
        <v>31</v>
      </c>
      <c r="L112" s="24">
        <v>21233</v>
      </c>
      <c r="M112" s="24">
        <v>50000000</v>
      </c>
    </row>
    <row r="113" spans="1:13" s="48" customFormat="1" outlineLevel="2">
      <c r="A113" s="39" t="s">
        <v>78</v>
      </c>
      <c r="B113" s="40" t="s">
        <v>178</v>
      </c>
      <c r="C113" s="41" t="s">
        <v>351</v>
      </c>
      <c r="D113" s="40" t="s">
        <v>350</v>
      </c>
      <c r="E113" s="24">
        <v>8600000</v>
      </c>
      <c r="F113" s="39">
        <v>44312</v>
      </c>
      <c r="G113" s="24">
        <v>8600000</v>
      </c>
      <c r="H113" s="23">
        <v>5.0000000000000001E-3</v>
      </c>
      <c r="I113" s="39">
        <v>44317</v>
      </c>
      <c r="J113" s="39">
        <v>44347</v>
      </c>
      <c r="K113" s="24">
        <v>31</v>
      </c>
      <c r="L113" s="24">
        <v>3652</v>
      </c>
      <c r="M113" s="24">
        <v>8600000</v>
      </c>
    </row>
    <row r="114" spans="1:13" s="48" customFormat="1" outlineLevel="2">
      <c r="A114" s="39" t="s">
        <v>78</v>
      </c>
      <c r="B114" s="40" t="s">
        <v>179</v>
      </c>
      <c r="C114" s="41" t="s">
        <v>93</v>
      </c>
      <c r="D114" s="40" t="s">
        <v>94</v>
      </c>
      <c r="E114" s="24">
        <v>6174000</v>
      </c>
      <c r="F114" s="39">
        <v>44326</v>
      </c>
      <c r="G114" s="24">
        <v>6174000</v>
      </c>
      <c r="H114" s="23">
        <v>5.0000000000000001E-3</v>
      </c>
      <c r="I114" s="39">
        <v>44326</v>
      </c>
      <c r="J114" s="39">
        <v>44347</v>
      </c>
      <c r="K114" s="24">
        <v>22</v>
      </c>
      <c r="L114" s="24">
        <v>1861</v>
      </c>
      <c r="M114" s="24">
        <v>6174000</v>
      </c>
    </row>
    <row r="115" spans="1:13" s="48" customFormat="1" outlineLevel="2">
      <c r="A115" s="39" t="s">
        <v>78</v>
      </c>
      <c r="B115" s="40" t="s">
        <v>180</v>
      </c>
      <c r="C115" s="41" t="s">
        <v>91</v>
      </c>
      <c r="D115" s="40" t="s">
        <v>92</v>
      </c>
      <c r="E115" s="24">
        <v>50700000</v>
      </c>
      <c r="F115" s="39">
        <v>44333</v>
      </c>
      <c r="G115" s="24">
        <v>50700000</v>
      </c>
      <c r="H115" s="23">
        <v>5.0000000000000001E-3</v>
      </c>
      <c r="I115" s="39">
        <v>44333</v>
      </c>
      <c r="J115" s="39">
        <v>44347</v>
      </c>
      <c r="K115" s="24">
        <v>15</v>
      </c>
      <c r="L115" s="24">
        <v>10418</v>
      </c>
      <c r="M115" s="24">
        <v>50700000</v>
      </c>
    </row>
    <row r="116" spans="1:13" s="48" customFormat="1" outlineLevel="2">
      <c r="A116" s="39" t="s">
        <v>78</v>
      </c>
      <c r="B116" s="40" t="s">
        <v>181</v>
      </c>
      <c r="C116" s="41" t="s">
        <v>91</v>
      </c>
      <c r="D116" s="40" t="s">
        <v>92</v>
      </c>
      <c r="E116" s="24">
        <v>1700000</v>
      </c>
      <c r="F116" s="39">
        <v>44333</v>
      </c>
      <c r="G116" s="24">
        <v>1700000</v>
      </c>
      <c r="H116" s="23">
        <v>5.0000000000000001E-3</v>
      </c>
      <c r="I116" s="39">
        <v>44333</v>
      </c>
      <c r="J116" s="39">
        <v>44347</v>
      </c>
      <c r="K116" s="24">
        <v>15</v>
      </c>
      <c r="L116" s="24">
        <v>349</v>
      </c>
      <c r="M116" s="24">
        <v>1700000</v>
      </c>
    </row>
    <row r="117" spans="1:13" s="48" customFormat="1" outlineLevel="2">
      <c r="A117" s="39" t="s">
        <v>78</v>
      </c>
      <c r="B117" s="40" t="s">
        <v>182</v>
      </c>
      <c r="C117" s="41" t="s">
        <v>351</v>
      </c>
      <c r="D117" s="40" t="s">
        <v>350</v>
      </c>
      <c r="E117" s="24">
        <v>6000000</v>
      </c>
      <c r="F117" s="39">
        <v>44335</v>
      </c>
      <c r="G117" s="24">
        <v>6000000</v>
      </c>
      <c r="H117" s="23">
        <v>5.0000000000000001E-3</v>
      </c>
      <c r="I117" s="39">
        <v>44335</v>
      </c>
      <c r="J117" s="39">
        <v>44347</v>
      </c>
      <c r="K117" s="24">
        <v>13</v>
      </c>
      <c r="L117" s="24">
        <v>1068</v>
      </c>
      <c r="M117" s="24">
        <v>6000000</v>
      </c>
    </row>
    <row r="118" spans="1:13" s="48" customFormat="1" outlineLevel="2">
      <c r="A118" s="39" t="s">
        <v>78</v>
      </c>
      <c r="B118" s="40" t="s">
        <v>183</v>
      </c>
      <c r="C118" s="41" t="s">
        <v>89</v>
      </c>
      <c r="D118" s="40" t="s">
        <v>90</v>
      </c>
      <c r="E118" s="24">
        <v>30200000</v>
      </c>
      <c r="F118" s="39">
        <v>44323</v>
      </c>
      <c r="G118" s="24">
        <v>30200000</v>
      </c>
      <c r="H118" s="23">
        <v>5.0000000000000001E-3</v>
      </c>
      <c r="I118" s="39">
        <v>44323</v>
      </c>
      <c r="J118" s="39">
        <v>44347</v>
      </c>
      <c r="K118" s="24">
        <v>25</v>
      </c>
      <c r="L118" s="24">
        <v>10342</v>
      </c>
      <c r="M118" s="24">
        <v>30200000</v>
      </c>
    </row>
    <row r="119" spans="1:13" s="48" customFormat="1" outlineLevel="2">
      <c r="A119" s="39" t="s">
        <v>78</v>
      </c>
      <c r="B119" s="40" t="s">
        <v>63</v>
      </c>
      <c r="C119" s="41" t="s">
        <v>83</v>
      </c>
      <c r="D119" s="40" t="s">
        <v>84</v>
      </c>
      <c r="E119" s="24">
        <v>95370000</v>
      </c>
      <c r="F119" s="39">
        <v>44006</v>
      </c>
      <c r="G119" s="24">
        <v>95370000</v>
      </c>
      <c r="H119" s="23">
        <v>5.0000000000000001E-3</v>
      </c>
      <c r="I119" s="39">
        <v>44317</v>
      </c>
      <c r="J119" s="39">
        <v>44347</v>
      </c>
      <c r="K119" s="24">
        <v>31</v>
      </c>
      <c r="L119" s="24">
        <v>40500</v>
      </c>
      <c r="M119" s="24">
        <v>95370000</v>
      </c>
    </row>
    <row r="120" spans="1:13" s="48" customFormat="1" outlineLevel="2">
      <c r="A120" s="39" t="s">
        <v>78</v>
      </c>
      <c r="B120" s="40" t="s">
        <v>184</v>
      </c>
      <c r="C120" s="41" t="s">
        <v>337</v>
      </c>
      <c r="D120" s="40" t="s">
        <v>336</v>
      </c>
      <c r="E120" s="24">
        <v>15000000</v>
      </c>
      <c r="F120" s="39">
        <v>44347</v>
      </c>
      <c r="G120" s="24">
        <v>15000000</v>
      </c>
      <c r="H120" s="23">
        <v>5.0000000000000001E-3</v>
      </c>
      <c r="I120" s="39">
        <v>44347</v>
      </c>
      <c r="J120" s="39">
        <v>44347</v>
      </c>
      <c r="K120" s="24">
        <v>1</v>
      </c>
      <c r="L120" s="24">
        <v>205</v>
      </c>
      <c r="M120" s="24">
        <v>15000000</v>
      </c>
    </row>
    <row r="121" spans="1:13" s="48" customFormat="1" outlineLevel="2">
      <c r="A121" s="39" t="s">
        <v>78</v>
      </c>
      <c r="B121" s="40" t="s">
        <v>185</v>
      </c>
      <c r="C121" s="41" t="s">
        <v>83</v>
      </c>
      <c r="D121" s="40" t="s">
        <v>84</v>
      </c>
      <c r="E121" s="24">
        <v>388000000</v>
      </c>
      <c r="F121" s="39">
        <v>44344</v>
      </c>
      <c r="G121" s="24">
        <v>388000000</v>
      </c>
      <c r="H121" s="23">
        <v>3.0000000000000001E-3</v>
      </c>
      <c r="I121" s="39">
        <v>44344</v>
      </c>
      <c r="J121" s="39">
        <v>44347</v>
      </c>
      <c r="K121" s="24">
        <v>4</v>
      </c>
      <c r="L121" s="24">
        <v>12756</v>
      </c>
      <c r="M121" s="24">
        <v>388000000</v>
      </c>
    </row>
    <row r="122" spans="1:13" s="48" customFormat="1" outlineLevel="2">
      <c r="A122" s="39" t="s">
        <v>78</v>
      </c>
      <c r="B122" s="40" t="s">
        <v>186</v>
      </c>
      <c r="C122" s="41" t="s">
        <v>85</v>
      </c>
      <c r="D122" s="40" t="s">
        <v>86</v>
      </c>
      <c r="E122" s="24">
        <v>50000000</v>
      </c>
      <c r="F122" s="39">
        <v>44330</v>
      </c>
      <c r="G122" s="24">
        <v>50000000</v>
      </c>
      <c r="H122" s="23">
        <v>5.0000000000000001E-3</v>
      </c>
      <c r="I122" s="39">
        <v>44330</v>
      </c>
      <c r="J122" s="39">
        <v>44347</v>
      </c>
      <c r="K122" s="24">
        <v>18</v>
      </c>
      <c r="L122" s="24">
        <v>12329</v>
      </c>
      <c r="M122" s="24">
        <v>50000000</v>
      </c>
    </row>
    <row r="123" spans="1:13" s="48" customFormat="1" outlineLevel="2">
      <c r="A123" s="39" t="s">
        <v>78</v>
      </c>
      <c r="B123" s="40" t="s">
        <v>189</v>
      </c>
      <c r="C123" s="41" t="s">
        <v>85</v>
      </c>
      <c r="D123" s="40" t="s">
        <v>86</v>
      </c>
      <c r="E123" s="24">
        <v>50000000</v>
      </c>
      <c r="F123" s="39">
        <v>44344</v>
      </c>
      <c r="G123" s="24">
        <v>50000000</v>
      </c>
      <c r="H123" s="23">
        <v>5.0000000000000001E-3</v>
      </c>
      <c r="I123" s="39">
        <v>44344</v>
      </c>
      <c r="J123" s="39">
        <v>44347</v>
      </c>
      <c r="K123" s="24">
        <v>4</v>
      </c>
      <c r="L123" s="24">
        <v>2740</v>
      </c>
      <c r="M123" s="24">
        <v>50000000</v>
      </c>
    </row>
    <row r="124" spans="1:13" s="48" customFormat="1" outlineLevel="2">
      <c r="A124" s="39" t="s">
        <v>78</v>
      </c>
      <c r="B124" s="40" t="s">
        <v>64</v>
      </c>
      <c r="C124" s="41" t="s">
        <v>83</v>
      </c>
      <c r="D124" s="40" t="s">
        <v>84</v>
      </c>
      <c r="E124" s="24">
        <v>73910000</v>
      </c>
      <c r="F124" s="39">
        <v>44032</v>
      </c>
      <c r="G124" s="24">
        <v>73910000</v>
      </c>
      <c r="H124" s="23">
        <v>5.0000000000000001E-3</v>
      </c>
      <c r="I124" s="39">
        <v>44317</v>
      </c>
      <c r="J124" s="39">
        <v>44347</v>
      </c>
      <c r="K124" s="24">
        <v>31</v>
      </c>
      <c r="L124" s="24">
        <v>31386</v>
      </c>
      <c r="M124" s="24">
        <v>73910000</v>
      </c>
    </row>
    <row r="125" spans="1:13" s="48" customFormat="1" outlineLevel="2">
      <c r="A125" s="39" t="s">
        <v>78</v>
      </c>
      <c r="B125" s="40" t="s">
        <v>65</v>
      </c>
      <c r="C125" s="41" t="s">
        <v>83</v>
      </c>
      <c r="D125" s="40" t="s">
        <v>84</v>
      </c>
      <c r="E125" s="24">
        <v>291200000</v>
      </c>
      <c r="F125" s="39">
        <v>44032</v>
      </c>
      <c r="G125" s="24">
        <v>291200000</v>
      </c>
      <c r="H125" s="23">
        <v>3.0000000000000001E-3</v>
      </c>
      <c r="I125" s="39">
        <v>44317</v>
      </c>
      <c r="J125" s="39">
        <v>44347</v>
      </c>
      <c r="K125" s="24">
        <v>31</v>
      </c>
      <c r="L125" s="24">
        <v>74196</v>
      </c>
      <c r="M125" s="24">
        <v>291200000</v>
      </c>
    </row>
    <row r="126" spans="1:13" s="48" customFormat="1" outlineLevel="2">
      <c r="A126" s="39" t="s">
        <v>78</v>
      </c>
      <c r="B126" s="40" t="s">
        <v>68</v>
      </c>
      <c r="C126" s="41" t="s">
        <v>81</v>
      </c>
      <c r="D126" s="40" t="s">
        <v>82</v>
      </c>
      <c r="E126" s="24">
        <v>10000000</v>
      </c>
      <c r="F126" s="39">
        <v>44025</v>
      </c>
      <c r="G126" s="24">
        <v>8474572</v>
      </c>
      <c r="H126" s="23">
        <v>5.0000000000000001E-3</v>
      </c>
      <c r="I126" s="39">
        <v>44317</v>
      </c>
      <c r="J126" s="39">
        <v>44332</v>
      </c>
      <c r="K126" s="24">
        <v>16</v>
      </c>
      <c r="L126" s="24">
        <v>1857</v>
      </c>
      <c r="M126" s="24">
        <v>8305080</v>
      </c>
    </row>
    <row r="127" spans="1:13" s="48" customFormat="1" outlineLevel="2">
      <c r="A127" s="39" t="s">
        <v>78</v>
      </c>
      <c r="B127" s="40" t="s">
        <v>68</v>
      </c>
      <c r="C127" s="41" t="s">
        <v>81</v>
      </c>
      <c r="D127" s="40"/>
      <c r="E127" s="24"/>
      <c r="F127" s="39"/>
      <c r="G127" s="24">
        <v>8305080</v>
      </c>
      <c r="H127" s="23">
        <v>5.0000000000000001E-3</v>
      </c>
      <c r="I127" s="39">
        <v>44333</v>
      </c>
      <c r="J127" s="39">
        <v>44347</v>
      </c>
      <c r="K127" s="24">
        <v>15</v>
      </c>
      <c r="L127" s="24">
        <v>1707</v>
      </c>
      <c r="M127" s="24"/>
    </row>
    <row r="128" spans="1:13" s="48" customFormat="1" outlineLevel="1">
      <c r="A128" s="42" t="s">
        <v>107</v>
      </c>
      <c r="B128" s="43"/>
      <c r="C128" s="44"/>
      <c r="D128" s="43"/>
      <c r="E128" s="45">
        <v>3556537720</v>
      </c>
      <c r="F128" s="46"/>
      <c r="G128" s="45"/>
      <c r="H128" s="47"/>
      <c r="I128" s="46"/>
      <c r="J128" s="46"/>
      <c r="K128" s="45"/>
      <c r="L128" s="45">
        <v>1250578</v>
      </c>
      <c r="M128" s="45">
        <v>3534143530</v>
      </c>
    </row>
    <row r="129" spans="1:13" s="48" customFormat="1" outlineLevel="2">
      <c r="A129" s="39" t="s">
        <v>108</v>
      </c>
      <c r="B129" s="40" t="s">
        <v>16</v>
      </c>
      <c r="C129" s="41" t="s">
        <v>109</v>
      </c>
      <c r="D129" s="40" t="s">
        <v>110</v>
      </c>
      <c r="E129" s="24">
        <v>81465386</v>
      </c>
      <c r="F129" s="39">
        <v>43900</v>
      </c>
      <c r="G129" s="24">
        <v>81465386</v>
      </c>
      <c r="H129" s="23">
        <v>5.0000000000000001E-3</v>
      </c>
      <c r="I129" s="39">
        <v>44317</v>
      </c>
      <c r="J129" s="39">
        <v>44347</v>
      </c>
      <c r="K129" s="24">
        <v>31</v>
      </c>
      <c r="L129" s="24">
        <v>34595</v>
      </c>
      <c r="M129" s="24">
        <v>81465386</v>
      </c>
    </row>
    <row r="130" spans="1:13" s="48" customFormat="1" outlineLevel="2">
      <c r="A130" s="39" t="s">
        <v>108</v>
      </c>
      <c r="B130" s="40" t="s">
        <v>19</v>
      </c>
      <c r="C130" s="41" t="s">
        <v>111</v>
      </c>
      <c r="D130" s="40" t="s">
        <v>112</v>
      </c>
      <c r="E130" s="24">
        <v>8860000</v>
      </c>
      <c r="F130" s="39">
        <v>43997</v>
      </c>
      <c r="G130" s="24">
        <v>8860000</v>
      </c>
      <c r="H130" s="23">
        <v>5.0000000000000001E-3</v>
      </c>
      <c r="I130" s="39">
        <v>44317</v>
      </c>
      <c r="J130" s="39">
        <v>44347</v>
      </c>
      <c r="K130" s="24">
        <v>31</v>
      </c>
      <c r="L130" s="24">
        <v>3762</v>
      </c>
      <c r="M130" s="24">
        <v>8860000</v>
      </c>
    </row>
    <row r="131" spans="1:13" s="48" customFormat="1" outlineLevel="2">
      <c r="A131" s="39" t="s">
        <v>108</v>
      </c>
      <c r="B131" s="40" t="s">
        <v>22</v>
      </c>
      <c r="C131" s="41" t="s">
        <v>113</v>
      </c>
      <c r="D131" s="40" t="s">
        <v>114</v>
      </c>
      <c r="E131" s="24">
        <v>20390000</v>
      </c>
      <c r="F131" s="39">
        <v>43997</v>
      </c>
      <c r="G131" s="24">
        <v>17903420</v>
      </c>
      <c r="H131" s="23">
        <v>5.0000000000000001E-3</v>
      </c>
      <c r="I131" s="39">
        <v>44317</v>
      </c>
      <c r="J131" s="39">
        <v>44332</v>
      </c>
      <c r="K131" s="24">
        <v>16</v>
      </c>
      <c r="L131" s="24">
        <v>3924</v>
      </c>
      <c r="M131" s="24">
        <v>17654762</v>
      </c>
    </row>
    <row r="132" spans="1:13" s="48" customFormat="1" outlineLevel="2">
      <c r="A132" s="39" t="s">
        <v>108</v>
      </c>
      <c r="B132" s="40" t="s">
        <v>22</v>
      </c>
      <c r="C132" s="41" t="s">
        <v>113</v>
      </c>
      <c r="D132" s="40"/>
      <c r="E132" s="24"/>
      <c r="F132" s="39"/>
      <c r="G132" s="24">
        <v>17654762</v>
      </c>
      <c r="H132" s="23">
        <v>5.0000000000000001E-3</v>
      </c>
      <c r="I132" s="39">
        <v>44333</v>
      </c>
      <c r="J132" s="39">
        <v>44347</v>
      </c>
      <c r="K132" s="24">
        <v>15</v>
      </c>
      <c r="L132" s="24">
        <v>3628</v>
      </c>
      <c r="M132" s="24"/>
    </row>
    <row r="133" spans="1:13" s="48" customFormat="1" outlineLevel="2">
      <c r="A133" s="39" t="s">
        <v>108</v>
      </c>
      <c r="B133" s="40" t="s">
        <v>25</v>
      </c>
      <c r="C133" s="41" t="s">
        <v>113</v>
      </c>
      <c r="D133" s="40" t="s">
        <v>114</v>
      </c>
      <c r="E133" s="24">
        <v>69600000</v>
      </c>
      <c r="F133" s="39">
        <v>43997</v>
      </c>
      <c r="G133" s="24">
        <v>63800000</v>
      </c>
      <c r="H133" s="23">
        <v>5.0000000000000001E-3</v>
      </c>
      <c r="I133" s="39">
        <v>44317</v>
      </c>
      <c r="J133" s="39">
        <v>44332</v>
      </c>
      <c r="K133" s="24">
        <v>16</v>
      </c>
      <c r="L133" s="24">
        <v>13984</v>
      </c>
      <c r="M133" s="24">
        <v>63220000</v>
      </c>
    </row>
    <row r="134" spans="1:13" s="48" customFormat="1" outlineLevel="2">
      <c r="A134" s="39" t="s">
        <v>108</v>
      </c>
      <c r="B134" s="40" t="s">
        <v>25</v>
      </c>
      <c r="C134" s="41" t="s">
        <v>113</v>
      </c>
      <c r="D134" s="40"/>
      <c r="E134" s="24"/>
      <c r="F134" s="39"/>
      <c r="G134" s="24">
        <v>63220000</v>
      </c>
      <c r="H134" s="23">
        <v>5.0000000000000001E-3</v>
      </c>
      <c r="I134" s="39">
        <v>44333</v>
      </c>
      <c r="J134" s="39">
        <v>44347</v>
      </c>
      <c r="K134" s="24">
        <v>15</v>
      </c>
      <c r="L134" s="24">
        <v>12990</v>
      </c>
      <c r="M134" s="24"/>
    </row>
    <row r="135" spans="1:13" s="48" customFormat="1" outlineLevel="2">
      <c r="A135" s="39" t="s">
        <v>108</v>
      </c>
      <c r="B135" s="40" t="s">
        <v>26</v>
      </c>
      <c r="C135" s="41" t="s">
        <v>109</v>
      </c>
      <c r="D135" s="40" t="s">
        <v>110</v>
      </c>
      <c r="E135" s="24">
        <v>16630000</v>
      </c>
      <c r="F135" s="39">
        <v>44011</v>
      </c>
      <c r="G135" s="24">
        <v>16630000</v>
      </c>
      <c r="H135" s="23">
        <v>5.0000000000000001E-3</v>
      </c>
      <c r="I135" s="39">
        <v>44317</v>
      </c>
      <c r="J135" s="39">
        <v>44347</v>
      </c>
      <c r="K135" s="24">
        <v>31</v>
      </c>
      <c r="L135" s="24">
        <v>7062</v>
      </c>
      <c r="M135" s="24">
        <v>16630000</v>
      </c>
    </row>
    <row r="136" spans="1:13" s="48" customFormat="1" outlineLevel="2">
      <c r="A136" s="39" t="s">
        <v>108</v>
      </c>
      <c r="B136" s="40" t="s">
        <v>29</v>
      </c>
      <c r="C136" s="41" t="s">
        <v>111</v>
      </c>
      <c r="D136" s="40" t="s">
        <v>112</v>
      </c>
      <c r="E136" s="24">
        <v>4650000</v>
      </c>
      <c r="F136" s="39">
        <v>44027</v>
      </c>
      <c r="G136" s="24">
        <v>4650000</v>
      </c>
      <c r="H136" s="23">
        <v>5.0000000000000001E-3</v>
      </c>
      <c r="I136" s="39">
        <v>44317</v>
      </c>
      <c r="J136" s="39">
        <v>44347</v>
      </c>
      <c r="K136" s="24">
        <v>31</v>
      </c>
      <c r="L136" s="24">
        <v>1975</v>
      </c>
      <c r="M136" s="24">
        <v>4650000</v>
      </c>
    </row>
    <row r="137" spans="1:13" s="48" customFormat="1" outlineLevel="2">
      <c r="A137" s="39" t="s">
        <v>108</v>
      </c>
      <c r="B137" s="40" t="s">
        <v>32</v>
      </c>
      <c r="C137" s="41" t="s">
        <v>113</v>
      </c>
      <c r="D137" s="40" t="s">
        <v>114</v>
      </c>
      <c r="E137" s="24">
        <v>10860000</v>
      </c>
      <c r="F137" s="39">
        <v>44027</v>
      </c>
      <c r="G137" s="24">
        <v>9653334</v>
      </c>
      <c r="H137" s="23">
        <v>5.0000000000000001E-3</v>
      </c>
      <c r="I137" s="39">
        <v>44317</v>
      </c>
      <c r="J137" s="39">
        <v>44332</v>
      </c>
      <c r="K137" s="24">
        <v>16</v>
      </c>
      <c r="L137" s="24">
        <v>2116</v>
      </c>
      <c r="M137" s="24">
        <v>9519260</v>
      </c>
    </row>
    <row r="138" spans="1:13" s="48" customFormat="1" outlineLevel="2">
      <c r="A138" s="39" t="s">
        <v>108</v>
      </c>
      <c r="B138" s="40" t="s">
        <v>32</v>
      </c>
      <c r="C138" s="41" t="s">
        <v>113</v>
      </c>
      <c r="D138" s="40"/>
      <c r="E138" s="24"/>
      <c r="F138" s="39"/>
      <c r="G138" s="24">
        <v>9519260</v>
      </c>
      <c r="H138" s="23">
        <v>5.0000000000000001E-3</v>
      </c>
      <c r="I138" s="39">
        <v>44333</v>
      </c>
      <c r="J138" s="39">
        <v>44347</v>
      </c>
      <c r="K138" s="24">
        <v>15</v>
      </c>
      <c r="L138" s="24">
        <v>1956</v>
      </c>
      <c r="M138" s="24"/>
    </row>
    <row r="139" spans="1:13" s="48" customFormat="1" outlineLevel="2">
      <c r="A139" s="39" t="s">
        <v>108</v>
      </c>
      <c r="B139" s="40" t="s">
        <v>33</v>
      </c>
      <c r="C139" s="41" t="s">
        <v>113</v>
      </c>
      <c r="D139" s="40" t="s">
        <v>114</v>
      </c>
      <c r="E139" s="24">
        <v>11600000</v>
      </c>
      <c r="F139" s="39">
        <v>44027</v>
      </c>
      <c r="G139" s="24">
        <v>10722698</v>
      </c>
      <c r="H139" s="23">
        <v>5.0000000000000001E-3</v>
      </c>
      <c r="I139" s="39">
        <v>44317</v>
      </c>
      <c r="J139" s="39">
        <v>44332</v>
      </c>
      <c r="K139" s="24">
        <v>16</v>
      </c>
      <c r="L139" s="24">
        <v>2350</v>
      </c>
      <c r="M139" s="24">
        <v>10625220</v>
      </c>
    </row>
    <row r="140" spans="1:13" s="48" customFormat="1" outlineLevel="2">
      <c r="A140" s="39" t="s">
        <v>108</v>
      </c>
      <c r="B140" s="40" t="s">
        <v>33</v>
      </c>
      <c r="C140" s="41" t="s">
        <v>113</v>
      </c>
      <c r="D140" s="40"/>
      <c r="E140" s="24"/>
      <c r="F140" s="39"/>
      <c r="G140" s="24">
        <v>10625220</v>
      </c>
      <c r="H140" s="23">
        <v>5.0000000000000001E-3</v>
      </c>
      <c r="I140" s="39">
        <v>44333</v>
      </c>
      <c r="J140" s="39">
        <v>44347</v>
      </c>
      <c r="K140" s="24">
        <v>15</v>
      </c>
      <c r="L140" s="24">
        <v>2183</v>
      </c>
      <c r="M140" s="24"/>
    </row>
    <row r="141" spans="1:13" s="48" customFormat="1" outlineLevel="2">
      <c r="A141" s="39" t="s">
        <v>108</v>
      </c>
      <c r="B141" s="40" t="s">
        <v>34</v>
      </c>
      <c r="C141" s="41" t="s">
        <v>23</v>
      </c>
      <c r="D141" s="40" t="s">
        <v>24</v>
      </c>
      <c r="E141" s="24">
        <v>18700000</v>
      </c>
      <c r="F141" s="39">
        <v>44032</v>
      </c>
      <c r="G141" s="24">
        <v>18700000</v>
      </c>
      <c r="H141" s="23">
        <v>5.0000000000000001E-3</v>
      </c>
      <c r="I141" s="39">
        <v>44317</v>
      </c>
      <c r="J141" s="39">
        <v>44347</v>
      </c>
      <c r="K141" s="24">
        <v>31</v>
      </c>
      <c r="L141" s="24">
        <v>7941</v>
      </c>
      <c r="M141" s="24">
        <v>18700000</v>
      </c>
    </row>
    <row r="142" spans="1:13" s="48" customFormat="1" outlineLevel="2">
      <c r="A142" s="39" t="s">
        <v>108</v>
      </c>
      <c r="B142" s="40" t="s">
        <v>35</v>
      </c>
      <c r="C142" s="41" t="s">
        <v>111</v>
      </c>
      <c r="D142" s="40" t="s">
        <v>112</v>
      </c>
      <c r="E142" s="24">
        <v>2950000</v>
      </c>
      <c r="F142" s="39">
        <v>44060</v>
      </c>
      <c r="G142" s="24">
        <v>2950000</v>
      </c>
      <c r="H142" s="23">
        <v>5.0000000000000001E-3</v>
      </c>
      <c r="I142" s="39">
        <v>44317</v>
      </c>
      <c r="J142" s="39">
        <v>44347</v>
      </c>
      <c r="K142" s="24">
        <v>31</v>
      </c>
      <c r="L142" s="24">
        <v>1253</v>
      </c>
      <c r="M142" s="24">
        <v>2950000</v>
      </c>
    </row>
    <row r="143" spans="1:13" s="48" customFormat="1" outlineLevel="2">
      <c r="A143" s="39" t="s">
        <v>108</v>
      </c>
      <c r="B143" s="40" t="s">
        <v>36</v>
      </c>
      <c r="C143" s="41" t="s">
        <v>109</v>
      </c>
      <c r="D143" s="40" t="s">
        <v>110</v>
      </c>
      <c r="E143" s="24">
        <v>15120000</v>
      </c>
      <c r="F143" s="39">
        <v>44091</v>
      </c>
      <c r="G143" s="24">
        <v>15120000</v>
      </c>
      <c r="H143" s="23">
        <v>5.0000000000000001E-3</v>
      </c>
      <c r="I143" s="39">
        <v>44317</v>
      </c>
      <c r="J143" s="39">
        <v>44347</v>
      </c>
      <c r="K143" s="24">
        <v>31</v>
      </c>
      <c r="L143" s="24">
        <v>6421</v>
      </c>
      <c r="M143" s="24">
        <v>15120000</v>
      </c>
    </row>
    <row r="144" spans="1:13" s="48" customFormat="1" outlineLevel="2">
      <c r="A144" s="39" t="s">
        <v>108</v>
      </c>
      <c r="B144" s="40" t="s">
        <v>39</v>
      </c>
      <c r="C144" s="41" t="s">
        <v>111</v>
      </c>
      <c r="D144" s="40" t="s">
        <v>112</v>
      </c>
      <c r="E144" s="24">
        <v>6200000</v>
      </c>
      <c r="F144" s="39">
        <v>43929</v>
      </c>
      <c r="G144" s="24">
        <v>6200000</v>
      </c>
      <c r="H144" s="23">
        <v>5.0000000000000001E-3</v>
      </c>
      <c r="I144" s="39">
        <v>44317</v>
      </c>
      <c r="J144" s="39">
        <v>44347</v>
      </c>
      <c r="K144" s="24">
        <v>31</v>
      </c>
      <c r="L144" s="24">
        <v>2633</v>
      </c>
      <c r="M144" s="24">
        <v>6200000</v>
      </c>
    </row>
    <row r="145" spans="1:13" s="48" customFormat="1" outlineLevel="2">
      <c r="A145" s="39" t="s">
        <v>108</v>
      </c>
      <c r="B145" s="40" t="s">
        <v>40</v>
      </c>
      <c r="C145" s="41" t="s">
        <v>27</v>
      </c>
      <c r="D145" s="40" t="s">
        <v>28</v>
      </c>
      <c r="E145" s="24">
        <v>10000000</v>
      </c>
      <c r="F145" s="39">
        <v>44111</v>
      </c>
      <c r="G145" s="24">
        <v>8833338</v>
      </c>
      <c r="H145" s="23">
        <v>5.0000000000000001E-3</v>
      </c>
      <c r="I145" s="39">
        <v>44317</v>
      </c>
      <c r="J145" s="39">
        <v>44332</v>
      </c>
      <c r="K145" s="24">
        <v>16</v>
      </c>
      <c r="L145" s="24">
        <v>1936</v>
      </c>
      <c r="M145" s="24">
        <v>8666672</v>
      </c>
    </row>
    <row r="146" spans="1:13" s="48" customFormat="1" outlineLevel="2">
      <c r="A146" s="39" t="s">
        <v>108</v>
      </c>
      <c r="B146" s="40" t="s">
        <v>40</v>
      </c>
      <c r="C146" s="41" t="s">
        <v>27</v>
      </c>
      <c r="D146" s="40"/>
      <c r="E146" s="24"/>
      <c r="F146" s="39"/>
      <c r="G146" s="24">
        <v>8666672</v>
      </c>
      <c r="H146" s="23">
        <v>5.0000000000000001E-3</v>
      </c>
      <c r="I146" s="39">
        <v>44333</v>
      </c>
      <c r="J146" s="39">
        <v>44347</v>
      </c>
      <c r="K146" s="24">
        <v>15</v>
      </c>
      <c r="L146" s="24">
        <v>1781</v>
      </c>
      <c r="M146" s="24"/>
    </row>
    <row r="147" spans="1:13" s="48" customFormat="1" outlineLevel="2">
      <c r="A147" s="39" t="s">
        <v>108</v>
      </c>
      <c r="B147" s="40" t="s">
        <v>41</v>
      </c>
      <c r="C147" s="41" t="s">
        <v>27</v>
      </c>
      <c r="D147" s="40" t="s">
        <v>28</v>
      </c>
      <c r="E147" s="24">
        <v>24450000</v>
      </c>
      <c r="F147" s="39">
        <v>44120</v>
      </c>
      <c r="G147" s="24">
        <v>21963564</v>
      </c>
      <c r="H147" s="23">
        <v>5.0000000000000001E-3</v>
      </c>
      <c r="I147" s="39">
        <v>44317</v>
      </c>
      <c r="J147" s="39">
        <v>44332</v>
      </c>
      <c r="K147" s="24">
        <v>16</v>
      </c>
      <c r="L147" s="24">
        <v>4814</v>
      </c>
      <c r="M147" s="24">
        <v>21549158</v>
      </c>
    </row>
    <row r="148" spans="1:13" s="48" customFormat="1" outlineLevel="2">
      <c r="A148" s="39" t="s">
        <v>108</v>
      </c>
      <c r="B148" s="40" t="s">
        <v>41</v>
      </c>
      <c r="C148" s="41" t="s">
        <v>27</v>
      </c>
      <c r="D148" s="40"/>
      <c r="E148" s="24"/>
      <c r="F148" s="39"/>
      <c r="G148" s="24">
        <v>21549158</v>
      </c>
      <c r="H148" s="23">
        <v>5.0000000000000001E-3</v>
      </c>
      <c r="I148" s="39">
        <v>44333</v>
      </c>
      <c r="J148" s="39">
        <v>44347</v>
      </c>
      <c r="K148" s="24">
        <v>15</v>
      </c>
      <c r="L148" s="24">
        <v>4428</v>
      </c>
      <c r="M148" s="24"/>
    </row>
    <row r="149" spans="1:13" s="48" customFormat="1" outlineLevel="2">
      <c r="A149" s="39" t="s">
        <v>108</v>
      </c>
      <c r="B149" s="40" t="s">
        <v>42</v>
      </c>
      <c r="C149" s="41" t="s">
        <v>23</v>
      </c>
      <c r="D149" s="40" t="s">
        <v>24</v>
      </c>
      <c r="E149" s="24">
        <v>26100000</v>
      </c>
      <c r="F149" s="39">
        <v>44124</v>
      </c>
      <c r="G149" s="24">
        <v>26100000</v>
      </c>
      <c r="H149" s="23">
        <v>5.0000000000000001E-3</v>
      </c>
      <c r="I149" s="39">
        <v>44317</v>
      </c>
      <c r="J149" s="39">
        <v>44347</v>
      </c>
      <c r="K149" s="24">
        <v>31</v>
      </c>
      <c r="L149" s="24">
        <v>11084</v>
      </c>
      <c r="M149" s="24">
        <v>26100000</v>
      </c>
    </row>
    <row r="150" spans="1:13" s="48" customFormat="1" outlineLevel="2">
      <c r="A150" s="39" t="s">
        <v>108</v>
      </c>
      <c r="B150" s="40" t="s">
        <v>43</v>
      </c>
      <c r="C150" s="41" t="s">
        <v>27</v>
      </c>
      <c r="D150" s="40" t="s">
        <v>28</v>
      </c>
      <c r="E150" s="24">
        <v>25800000</v>
      </c>
      <c r="F150" s="39">
        <v>44137</v>
      </c>
      <c r="G150" s="24">
        <v>23176272</v>
      </c>
      <c r="H150" s="23">
        <v>5.0000000000000001E-3</v>
      </c>
      <c r="I150" s="39">
        <v>44317</v>
      </c>
      <c r="J150" s="39">
        <v>44332</v>
      </c>
      <c r="K150" s="24">
        <v>16</v>
      </c>
      <c r="L150" s="24">
        <v>5080</v>
      </c>
      <c r="M150" s="24">
        <v>22738984</v>
      </c>
    </row>
    <row r="151" spans="1:13" s="48" customFormat="1" outlineLevel="2">
      <c r="A151" s="39" t="s">
        <v>108</v>
      </c>
      <c r="B151" s="40" t="s">
        <v>43</v>
      </c>
      <c r="C151" s="41" t="s">
        <v>27</v>
      </c>
      <c r="D151" s="40"/>
      <c r="E151" s="24"/>
      <c r="F151" s="39"/>
      <c r="G151" s="24">
        <v>22738984</v>
      </c>
      <c r="H151" s="23">
        <v>5.0000000000000001E-3</v>
      </c>
      <c r="I151" s="39">
        <v>44333</v>
      </c>
      <c r="J151" s="39">
        <v>44347</v>
      </c>
      <c r="K151" s="24">
        <v>15</v>
      </c>
      <c r="L151" s="24">
        <v>4672</v>
      </c>
      <c r="M151" s="24"/>
    </row>
    <row r="152" spans="1:13" s="48" customFormat="1" outlineLevel="2">
      <c r="A152" s="39" t="s">
        <v>108</v>
      </c>
      <c r="B152" s="40" t="s">
        <v>44</v>
      </c>
      <c r="C152" s="41" t="s">
        <v>115</v>
      </c>
      <c r="D152" s="40" t="s">
        <v>116</v>
      </c>
      <c r="E152" s="24">
        <v>1200000</v>
      </c>
      <c r="F152" s="39">
        <v>44138</v>
      </c>
      <c r="G152" s="24">
        <v>1200000</v>
      </c>
      <c r="H152" s="23">
        <v>5.0000000000000001E-3</v>
      </c>
      <c r="I152" s="39">
        <v>44317</v>
      </c>
      <c r="J152" s="39">
        <v>44347</v>
      </c>
      <c r="K152" s="24">
        <v>31</v>
      </c>
      <c r="L152" s="24">
        <v>510</v>
      </c>
      <c r="M152" s="24">
        <v>1200000</v>
      </c>
    </row>
    <row r="153" spans="1:13" s="48" customFormat="1" outlineLevel="2">
      <c r="A153" s="39" t="s">
        <v>108</v>
      </c>
      <c r="B153" s="40" t="s">
        <v>47</v>
      </c>
      <c r="C153" s="41" t="s">
        <v>115</v>
      </c>
      <c r="D153" s="40" t="s">
        <v>116</v>
      </c>
      <c r="E153" s="24">
        <v>2350000</v>
      </c>
      <c r="F153" s="39">
        <v>44138</v>
      </c>
      <c r="G153" s="24">
        <v>2350000</v>
      </c>
      <c r="H153" s="23">
        <v>5.0000000000000001E-3</v>
      </c>
      <c r="I153" s="39">
        <v>44317</v>
      </c>
      <c r="J153" s="39">
        <v>44347</v>
      </c>
      <c r="K153" s="24">
        <v>31</v>
      </c>
      <c r="L153" s="24">
        <v>998</v>
      </c>
      <c r="M153" s="24">
        <v>2350000</v>
      </c>
    </row>
    <row r="154" spans="1:13" s="48" customFormat="1" outlineLevel="2">
      <c r="A154" s="39" t="s">
        <v>108</v>
      </c>
      <c r="B154" s="40" t="s">
        <v>50</v>
      </c>
      <c r="C154" s="41" t="s">
        <v>113</v>
      </c>
      <c r="D154" s="40" t="s">
        <v>114</v>
      </c>
      <c r="E154" s="24">
        <v>23200000</v>
      </c>
      <c r="F154" s="39">
        <v>44151</v>
      </c>
      <c r="G154" s="24">
        <v>22191305</v>
      </c>
      <c r="H154" s="23">
        <v>5.0000000000000001E-3</v>
      </c>
      <c r="I154" s="39">
        <v>44317</v>
      </c>
      <c r="J154" s="39">
        <v>44332</v>
      </c>
      <c r="K154" s="24">
        <v>16</v>
      </c>
      <c r="L154" s="24">
        <v>4864</v>
      </c>
      <c r="M154" s="24">
        <v>21989566</v>
      </c>
    </row>
    <row r="155" spans="1:13" s="48" customFormat="1" outlineLevel="2">
      <c r="A155" s="39" t="s">
        <v>108</v>
      </c>
      <c r="B155" s="40" t="s">
        <v>50</v>
      </c>
      <c r="C155" s="41" t="s">
        <v>113</v>
      </c>
      <c r="D155" s="40"/>
      <c r="E155" s="24"/>
      <c r="F155" s="39"/>
      <c r="G155" s="24">
        <v>21989566</v>
      </c>
      <c r="H155" s="23">
        <v>5.0000000000000001E-3</v>
      </c>
      <c r="I155" s="39">
        <v>44333</v>
      </c>
      <c r="J155" s="39">
        <v>44347</v>
      </c>
      <c r="K155" s="24">
        <v>15</v>
      </c>
      <c r="L155" s="24">
        <v>4518</v>
      </c>
      <c r="M155" s="24"/>
    </row>
    <row r="156" spans="1:13" s="48" customFormat="1" outlineLevel="2">
      <c r="A156" s="39" t="s">
        <v>108</v>
      </c>
      <c r="B156" s="40" t="s">
        <v>51</v>
      </c>
      <c r="C156" s="41" t="s">
        <v>111</v>
      </c>
      <c r="D156" s="40" t="s">
        <v>112</v>
      </c>
      <c r="E156" s="24">
        <v>5910000</v>
      </c>
      <c r="F156" s="39">
        <v>44151</v>
      </c>
      <c r="G156" s="24">
        <v>5910000</v>
      </c>
      <c r="H156" s="23">
        <v>5.0000000000000001E-3</v>
      </c>
      <c r="I156" s="39">
        <v>44317</v>
      </c>
      <c r="J156" s="39">
        <v>44347</v>
      </c>
      <c r="K156" s="24">
        <v>31</v>
      </c>
      <c r="L156" s="24">
        <v>2510</v>
      </c>
      <c r="M156" s="24">
        <v>5910000</v>
      </c>
    </row>
    <row r="157" spans="1:13" s="48" customFormat="1" outlineLevel="2">
      <c r="A157" s="39" t="s">
        <v>108</v>
      </c>
      <c r="B157" s="40" t="s">
        <v>52</v>
      </c>
      <c r="C157" s="41" t="s">
        <v>117</v>
      </c>
      <c r="D157" s="40" t="s">
        <v>118</v>
      </c>
      <c r="E157" s="24">
        <v>26000000</v>
      </c>
      <c r="F157" s="39">
        <v>44162</v>
      </c>
      <c r="G157" s="24">
        <v>24849560</v>
      </c>
      <c r="H157" s="23">
        <v>5.0000000000000001E-3</v>
      </c>
      <c r="I157" s="39">
        <v>44317</v>
      </c>
      <c r="J157" s="39">
        <v>44332</v>
      </c>
      <c r="K157" s="24">
        <v>16</v>
      </c>
      <c r="L157" s="24">
        <v>5446</v>
      </c>
      <c r="M157" s="24">
        <v>24619472</v>
      </c>
    </row>
    <row r="158" spans="1:13" s="48" customFormat="1" outlineLevel="2">
      <c r="A158" s="39" t="s">
        <v>108</v>
      </c>
      <c r="B158" s="40" t="s">
        <v>52</v>
      </c>
      <c r="C158" s="41" t="s">
        <v>117</v>
      </c>
      <c r="D158" s="40"/>
      <c r="E158" s="24"/>
      <c r="F158" s="39"/>
      <c r="G158" s="24">
        <v>24619472</v>
      </c>
      <c r="H158" s="23">
        <v>5.0000000000000001E-3</v>
      </c>
      <c r="I158" s="39">
        <v>44333</v>
      </c>
      <c r="J158" s="39">
        <v>44347</v>
      </c>
      <c r="K158" s="24">
        <v>15</v>
      </c>
      <c r="L158" s="24">
        <v>5059</v>
      </c>
      <c r="M158" s="24"/>
    </row>
    <row r="159" spans="1:13" s="48" customFormat="1" outlineLevel="2">
      <c r="A159" s="39" t="s">
        <v>108</v>
      </c>
      <c r="B159" s="40" t="s">
        <v>53</v>
      </c>
      <c r="C159" s="41" t="s">
        <v>27</v>
      </c>
      <c r="D159" s="40" t="s">
        <v>28</v>
      </c>
      <c r="E159" s="24">
        <v>9280000</v>
      </c>
      <c r="F159" s="39">
        <v>44167</v>
      </c>
      <c r="G159" s="24">
        <v>8480000</v>
      </c>
      <c r="H159" s="23">
        <v>5.0000000000000001E-3</v>
      </c>
      <c r="I159" s="39">
        <v>44317</v>
      </c>
      <c r="J159" s="39">
        <v>44332</v>
      </c>
      <c r="K159" s="24">
        <v>16</v>
      </c>
      <c r="L159" s="24">
        <v>1859</v>
      </c>
      <c r="M159" s="24">
        <v>8320000</v>
      </c>
    </row>
    <row r="160" spans="1:13" s="48" customFormat="1" outlineLevel="2">
      <c r="A160" s="39" t="s">
        <v>108</v>
      </c>
      <c r="B160" s="40" t="s">
        <v>53</v>
      </c>
      <c r="C160" s="41" t="s">
        <v>27</v>
      </c>
      <c r="D160" s="40"/>
      <c r="E160" s="24"/>
      <c r="F160" s="39"/>
      <c r="G160" s="24">
        <v>8320000</v>
      </c>
      <c r="H160" s="23">
        <v>5.0000000000000001E-3</v>
      </c>
      <c r="I160" s="39">
        <v>44333</v>
      </c>
      <c r="J160" s="39">
        <v>44347</v>
      </c>
      <c r="K160" s="24">
        <v>15</v>
      </c>
      <c r="L160" s="24">
        <v>1710</v>
      </c>
      <c r="M160" s="24"/>
    </row>
    <row r="161" spans="1:13" s="48" customFormat="1" outlineLevel="2">
      <c r="A161" s="39" t="s">
        <v>108</v>
      </c>
      <c r="B161" s="40" t="s">
        <v>54</v>
      </c>
      <c r="C161" s="41" t="s">
        <v>111</v>
      </c>
      <c r="D161" s="40" t="s">
        <v>112</v>
      </c>
      <c r="E161" s="24">
        <v>23630000</v>
      </c>
      <c r="F161" s="39">
        <v>43936</v>
      </c>
      <c r="G161" s="24">
        <v>23630000</v>
      </c>
      <c r="H161" s="23">
        <v>5.0000000000000001E-3</v>
      </c>
      <c r="I161" s="39">
        <v>44317</v>
      </c>
      <c r="J161" s="39">
        <v>44347</v>
      </c>
      <c r="K161" s="24">
        <v>31</v>
      </c>
      <c r="L161" s="24">
        <v>10035</v>
      </c>
      <c r="M161" s="24">
        <v>23630000</v>
      </c>
    </row>
    <row r="162" spans="1:13" s="48" customFormat="1" outlineLevel="2">
      <c r="A162" s="39" t="s">
        <v>108</v>
      </c>
      <c r="B162" s="40" t="s">
        <v>57</v>
      </c>
      <c r="C162" s="41" t="s">
        <v>27</v>
      </c>
      <c r="D162" s="40" t="s">
        <v>28</v>
      </c>
      <c r="E162" s="24">
        <v>10470000</v>
      </c>
      <c r="F162" s="39">
        <v>44181</v>
      </c>
      <c r="G162" s="24">
        <v>9735264</v>
      </c>
      <c r="H162" s="23">
        <v>5.0000000000000001E-3</v>
      </c>
      <c r="I162" s="39">
        <v>44317</v>
      </c>
      <c r="J162" s="39">
        <v>44332</v>
      </c>
      <c r="K162" s="24">
        <v>16</v>
      </c>
      <c r="L162" s="24">
        <v>2134</v>
      </c>
      <c r="M162" s="24">
        <v>9551580</v>
      </c>
    </row>
    <row r="163" spans="1:13" s="48" customFormat="1" outlineLevel="2">
      <c r="A163" s="39" t="s">
        <v>108</v>
      </c>
      <c r="B163" s="40" t="s">
        <v>57</v>
      </c>
      <c r="C163" s="41" t="s">
        <v>27</v>
      </c>
      <c r="D163" s="40"/>
      <c r="E163" s="24"/>
      <c r="F163" s="39"/>
      <c r="G163" s="24">
        <v>9551580</v>
      </c>
      <c r="H163" s="23">
        <v>5.0000000000000001E-3</v>
      </c>
      <c r="I163" s="39">
        <v>44333</v>
      </c>
      <c r="J163" s="39">
        <v>44347</v>
      </c>
      <c r="K163" s="24">
        <v>15</v>
      </c>
      <c r="L163" s="24">
        <v>1963</v>
      </c>
      <c r="M163" s="24"/>
    </row>
    <row r="164" spans="1:13" s="48" customFormat="1" outlineLevel="2">
      <c r="A164" s="39" t="s">
        <v>108</v>
      </c>
      <c r="B164" s="40" t="s">
        <v>58</v>
      </c>
      <c r="C164" s="41" t="s">
        <v>111</v>
      </c>
      <c r="D164" s="40" t="s">
        <v>112</v>
      </c>
      <c r="E164" s="24">
        <v>2950000</v>
      </c>
      <c r="F164" s="39">
        <v>44180</v>
      </c>
      <c r="G164" s="24">
        <v>2950000</v>
      </c>
      <c r="H164" s="23">
        <v>5.0000000000000001E-3</v>
      </c>
      <c r="I164" s="39">
        <v>44317</v>
      </c>
      <c r="J164" s="39">
        <v>44347</v>
      </c>
      <c r="K164" s="24">
        <v>31</v>
      </c>
      <c r="L164" s="24">
        <v>1253</v>
      </c>
      <c r="M164" s="24">
        <v>2950000</v>
      </c>
    </row>
    <row r="165" spans="1:13" s="48" customFormat="1" outlineLevel="2">
      <c r="A165" s="39" t="s">
        <v>108</v>
      </c>
      <c r="B165" s="40" t="s">
        <v>99</v>
      </c>
      <c r="C165" s="41" t="s">
        <v>115</v>
      </c>
      <c r="D165" s="40" t="s">
        <v>116</v>
      </c>
      <c r="E165" s="24">
        <v>24400000</v>
      </c>
      <c r="F165" s="39">
        <v>44193</v>
      </c>
      <c r="G165" s="24">
        <v>24400000</v>
      </c>
      <c r="H165" s="23">
        <v>5.0000000000000001E-3</v>
      </c>
      <c r="I165" s="39">
        <v>44317</v>
      </c>
      <c r="J165" s="39">
        <v>44347</v>
      </c>
      <c r="K165" s="24">
        <v>31</v>
      </c>
      <c r="L165" s="24">
        <v>10362</v>
      </c>
      <c r="M165" s="24">
        <v>24400000</v>
      </c>
    </row>
    <row r="166" spans="1:13" s="48" customFormat="1" outlineLevel="2">
      <c r="A166" s="39" t="s">
        <v>108</v>
      </c>
      <c r="B166" s="40" t="s">
        <v>100</v>
      </c>
      <c r="C166" s="41" t="s">
        <v>115</v>
      </c>
      <c r="D166" s="40" t="s">
        <v>116</v>
      </c>
      <c r="E166" s="24">
        <v>5500000</v>
      </c>
      <c r="F166" s="39">
        <v>44193</v>
      </c>
      <c r="G166" s="24">
        <v>5500000</v>
      </c>
      <c r="H166" s="23">
        <v>5.0000000000000001E-3</v>
      </c>
      <c r="I166" s="39">
        <v>44317</v>
      </c>
      <c r="J166" s="39">
        <v>44347</v>
      </c>
      <c r="K166" s="24">
        <v>31</v>
      </c>
      <c r="L166" s="24">
        <v>2336</v>
      </c>
      <c r="M166" s="24">
        <v>5500000</v>
      </c>
    </row>
    <row r="167" spans="1:13" s="48" customFormat="1" outlineLevel="2">
      <c r="A167" s="39" t="s">
        <v>108</v>
      </c>
      <c r="B167" s="40" t="s">
        <v>101</v>
      </c>
      <c r="C167" s="41" t="s">
        <v>115</v>
      </c>
      <c r="D167" s="40" t="s">
        <v>116</v>
      </c>
      <c r="E167" s="24">
        <v>28050000</v>
      </c>
      <c r="F167" s="39">
        <v>44193</v>
      </c>
      <c r="G167" s="24">
        <v>28050000</v>
      </c>
      <c r="H167" s="23">
        <v>5.0000000000000001E-3</v>
      </c>
      <c r="I167" s="39">
        <v>44317</v>
      </c>
      <c r="J167" s="39">
        <v>44347</v>
      </c>
      <c r="K167" s="24">
        <v>31</v>
      </c>
      <c r="L167" s="24">
        <v>11912</v>
      </c>
      <c r="M167" s="24">
        <v>28050000</v>
      </c>
    </row>
    <row r="168" spans="1:13" s="48" customFormat="1" outlineLevel="2">
      <c r="A168" s="39" t="s">
        <v>108</v>
      </c>
      <c r="B168" s="40" t="s">
        <v>102</v>
      </c>
      <c r="C168" s="41" t="s">
        <v>115</v>
      </c>
      <c r="D168" s="40" t="s">
        <v>116</v>
      </c>
      <c r="E168" s="24">
        <v>5000000</v>
      </c>
      <c r="F168" s="39">
        <v>44193</v>
      </c>
      <c r="G168" s="24">
        <v>5000000</v>
      </c>
      <c r="H168" s="23">
        <v>5.0000000000000001E-3</v>
      </c>
      <c r="I168" s="39">
        <v>44317</v>
      </c>
      <c r="J168" s="39">
        <v>44347</v>
      </c>
      <c r="K168" s="24">
        <v>31</v>
      </c>
      <c r="L168" s="24">
        <v>2123</v>
      </c>
      <c r="M168" s="24">
        <v>5000000</v>
      </c>
    </row>
    <row r="169" spans="1:13" s="48" customFormat="1" outlineLevel="2">
      <c r="A169" s="39" t="s">
        <v>108</v>
      </c>
      <c r="B169" s="40" t="s">
        <v>103</v>
      </c>
      <c r="C169" s="41" t="s">
        <v>111</v>
      </c>
      <c r="D169" s="40" t="s">
        <v>112</v>
      </c>
      <c r="E169" s="24">
        <v>4920000</v>
      </c>
      <c r="F169" s="39">
        <v>44211</v>
      </c>
      <c r="G169" s="24">
        <v>4920000</v>
      </c>
      <c r="H169" s="23">
        <v>5.0000000000000001E-3</v>
      </c>
      <c r="I169" s="39">
        <v>44317</v>
      </c>
      <c r="J169" s="39">
        <v>44347</v>
      </c>
      <c r="K169" s="24">
        <v>31</v>
      </c>
      <c r="L169" s="24">
        <v>2089</v>
      </c>
      <c r="M169" s="24">
        <v>4920000</v>
      </c>
    </row>
    <row r="170" spans="1:13" s="48" customFormat="1" outlineLevel="2">
      <c r="A170" s="39" t="s">
        <v>108</v>
      </c>
      <c r="B170" s="40" t="s">
        <v>104</v>
      </c>
      <c r="C170" s="41" t="s">
        <v>115</v>
      </c>
      <c r="D170" s="40" t="s">
        <v>116</v>
      </c>
      <c r="E170" s="24">
        <v>7300000</v>
      </c>
      <c r="F170" s="39">
        <v>44224</v>
      </c>
      <c r="G170" s="24">
        <v>7300000</v>
      </c>
      <c r="H170" s="23">
        <v>5.0000000000000001E-3</v>
      </c>
      <c r="I170" s="39">
        <v>44317</v>
      </c>
      <c r="J170" s="39">
        <v>44347</v>
      </c>
      <c r="K170" s="24">
        <v>31</v>
      </c>
      <c r="L170" s="24">
        <v>3100</v>
      </c>
      <c r="M170" s="24">
        <v>7300000</v>
      </c>
    </row>
    <row r="171" spans="1:13" s="48" customFormat="1" outlineLevel="2">
      <c r="A171" s="39" t="s">
        <v>108</v>
      </c>
      <c r="B171" s="40" t="s">
        <v>105</v>
      </c>
      <c r="C171" s="41" t="s">
        <v>115</v>
      </c>
      <c r="D171" s="40" t="s">
        <v>116</v>
      </c>
      <c r="E171" s="24">
        <v>15000000</v>
      </c>
      <c r="F171" s="39">
        <v>44224</v>
      </c>
      <c r="G171" s="24">
        <v>15000000</v>
      </c>
      <c r="H171" s="23">
        <v>5.0000000000000001E-3</v>
      </c>
      <c r="I171" s="39">
        <v>44317</v>
      </c>
      <c r="J171" s="39">
        <v>44347</v>
      </c>
      <c r="K171" s="24">
        <v>31</v>
      </c>
      <c r="L171" s="24">
        <v>6370</v>
      </c>
      <c r="M171" s="24">
        <v>15000000</v>
      </c>
    </row>
    <row r="172" spans="1:13" s="48" customFormat="1" outlineLevel="2">
      <c r="A172" s="39" t="s">
        <v>108</v>
      </c>
      <c r="B172" s="40" t="s">
        <v>106</v>
      </c>
      <c r="C172" s="41" t="s">
        <v>113</v>
      </c>
      <c r="D172" s="40" t="s">
        <v>114</v>
      </c>
      <c r="E172" s="24">
        <v>23200000</v>
      </c>
      <c r="F172" s="39">
        <v>44229</v>
      </c>
      <c r="G172" s="24">
        <v>22584073</v>
      </c>
      <c r="H172" s="23">
        <v>5.0000000000000001E-3</v>
      </c>
      <c r="I172" s="39">
        <v>44317</v>
      </c>
      <c r="J172" s="39">
        <v>44332</v>
      </c>
      <c r="K172" s="24">
        <v>16</v>
      </c>
      <c r="L172" s="24">
        <v>4950</v>
      </c>
      <c r="M172" s="24">
        <v>22378764</v>
      </c>
    </row>
    <row r="173" spans="1:13" s="48" customFormat="1" outlineLevel="2">
      <c r="A173" s="39" t="s">
        <v>108</v>
      </c>
      <c r="B173" s="40" t="s">
        <v>106</v>
      </c>
      <c r="C173" s="41" t="s">
        <v>113</v>
      </c>
      <c r="D173" s="40"/>
      <c r="E173" s="24"/>
      <c r="F173" s="39"/>
      <c r="G173" s="24">
        <v>22378764</v>
      </c>
      <c r="H173" s="23">
        <v>5.0000000000000001E-3</v>
      </c>
      <c r="I173" s="39">
        <v>44333</v>
      </c>
      <c r="J173" s="39">
        <v>44347</v>
      </c>
      <c r="K173" s="24">
        <v>15</v>
      </c>
      <c r="L173" s="24">
        <v>4598</v>
      </c>
      <c r="M173" s="24"/>
    </row>
    <row r="174" spans="1:13" s="48" customFormat="1" outlineLevel="2">
      <c r="A174" s="39" t="s">
        <v>108</v>
      </c>
      <c r="B174" s="40" t="s">
        <v>59</v>
      </c>
      <c r="C174" s="41" t="s">
        <v>117</v>
      </c>
      <c r="D174" s="40" t="s">
        <v>118</v>
      </c>
      <c r="E174" s="24">
        <v>24000000</v>
      </c>
      <c r="F174" s="39">
        <v>43937</v>
      </c>
      <c r="G174" s="24">
        <v>21600000</v>
      </c>
      <c r="H174" s="23">
        <v>5.0000000000000001E-3</v>
      </c>
      <c r="I174" s="39">
        <v>44317</v>
      </c>
      <c r="J174" s="39">
        <v>44332</v>
      </c>
      <c r="K174" s="24">
        <v>16</v>
      </c>
      <c r="L174" s="24">
        <v>4734</v>
      </c>
      <c r="M174" s="24">
        <v>21400000</v>
      </c>
    </row>
    <row r="175" spans="1:13" s="48" customFormat="1" outlineLevel="2">
      <c r="A175" s="39" t="s">
        <v>108</v>
      </c>
      <c r="B175" s="40" t="s">
        <v>59</v>
      </c>
      <c r="C175" s="41" t="s">
        <v>117</v>
      </c>
      <c r="D175" s="40"/>
      <c r="E175" s="24"/>
      <c r="F175" s="39"/>
      <c r="G175" s="24">
        <v>21400000</v>
      </c>
      <c r="H175" s="23">
        <v>5.0000000000000001E-3</v>
      </c>
      <c r="I175" s="39">
        <v>44333</v>
      </c>
      <c r="J175" s="39">
        <v>44347</v>
      </c>
      <c r="K175" s="24">
        <v>15</v>
      </c>
      <c r="L175" s="24">
        <v>4397</v>
      </c>
      <c r="M175" s="24"/>
    </row>
    <row r="176" spans="1:13" s="48" customFormat="1" outlineLevel="2">
      <c r="A176" s="39" t="s">
        <v>108</v>
      </c>
      <c r="B176" s="40" t="s">
        <v>136</v>
      </c>
      <c r="C176" s="41" t="s">
        <v>111</v>
      </c>
      <c r="D176" s="40" t="s">
        <v>112</v>
      </c>
      <c r="E176" s="24">
        <v>3410000</v>
      </c>
      <c r="F176" s="39">
        <v>44270</v>
      </c>
      <c r="G176" s="24">
        <v>3410000</v>
      </c>
      <c r="H176" s="23">
        <v>5.0000000000000001E-3</v>
      </c>
      <c r="I176" s="39">
        <v>44317</v>
      </c>
      <c r="J176" s="39">
        <v>44347</v>
      </c>
      <c r="K176" s="24">
        <v>31</v>
      </c>
      <c r="L176" s="24">
        <v>1448</v>
      </c>
      <c r="M176" s="24">
        <v>3410000</v>
      </c>
    </row>
    <row r="177" spans="1:13" s="48" customFormat="1" outlineLevel="2">
      <c r="A177" s="39" t="s">
        <v>108</v>
      </c>
      <c r="B177" s="40" t="s">
        <v>137</v>
      </c>
      <c r="C177" s="41" t="s">
        <v>117</v>
      </c>
      <c r="D177" s="40" t="s">
        <v>118</v>
      </c>
      <c r="E177" s="24">
        <v>10000000</v>
      </c>
      <c r="F177" s="39">
        <v>44277</v>
      </c>
      <c r="G177" s="24">
        <v>9908257</v>
      </c>
      <c r="H177" s="23">
        <v>5.0000000000000001E-3</v>
      </c>
      <c r="I177" s="39">
        <v>44317</v>
      </c>
      <c r="J177" s="39">
        <v>44332</v>
      </c>
      <c r="K177" s="24">
        <v>16</v>
      </c>
      <c r="L177" s="24">
        <v>2172</v>
      </c>
      <c r="M177" s="24">
        <v>9816514</v>
      </c>
    </row>
    <row r="178" spans="1:13" s="48" customFormat="1" outlineLevel="2">
      <c r="A178" s="39" t="s">
        <v>108</v>
      </c>
      <c r="B178" s="40" t="s">
        <v>137</v>
      </c>
      <c r="C178" s="41" t="s">
        <v>117</v>
      </c>
      <c r="D178" s="40"/>
      <c r="E178" s="24"/>
      <c r="F178" s="39"/>
      <c r="G178" s="24">
        <v>9816514</v>
      </c>
      <c r="H178" s="23">
        <v>5.0000000000000001E-3</v>
      </c>
      <c r="I178" s="39">
        <v>44333</v>
      </c>
      <c r="J178" s="39">
        <v>44347</v>
      </c>
      <c r="K178" s="24">
        <v>15</v>
      </c>
      <c r="L178" s="24">
        <v>2017</v>
      </c>
      <c r="M178" s="24"/>
    </row>
    <row r="179" spans="1:13" s="48" customFormat="1" outlineLevel="2">
      <c r="A179" s="39" t="s">
        <v>108</v>
      </c>
      <c r="B179" s="40" t="s">
        <v>138</v>
      </c>
      <c r="C179" s="41" t="s">
        <v>123</v>
      </c>
      <c r="D179" s="40" t="s">
        <v>124</v>
      </c>
      <c r="E179" s="24">
        <v>51000000</v>
      </c>
      <c r="F179" s="39">
        <v>44294</v>
      </c>
      <c r="G179" s="24">
        <v>51000000</v>
      </c>
      <c r="H179" s="23">
        <v>5.0000000000000001E-3</v>
      </c>
      <c r="I179" s="39">
        <v>44317</v>
      </c>
      <c r="J179" s="39">
        <v>44347</v>
      </c>
      <c r="K179" s="24">
        <v>31</v>
      </c>
      <c r="L179" s="24">
        <v>21658</v>
      </c>
      <c r="M179" s="24">
        <v>51000000</v>
      </c>
    </row>
    <row r="180" spans="1:13" s="48" customFormat="1" outlineLevel="2">
      <c r="A180" s="39" t="s">
        <v>108</v>
      </c>
      <c r="B180" s="40" t="s">
        <v>139</v>
      </c>
      <c r="C180" s="41" t="s">
        <v>115</v>
      </c>
      <c r="D180" s="40" t="s">
        <v>116</v>
      </c>
      <c r="E180" s="24">
        <v>12000000</v>
      </c>
      <c r="F180" s="39">
        <v>44321</v>
      </c>
      <c r="G180" s="24">
        <v>12000000</v>
      </c>
      <c r="H180" s="23">
        <v>5.0000000000000001E-3</v>
      </c>
      <c r="I180" s="39">
        <v>44321</v>
      </c>
      <c r="J180" s="39">
        <v>44347</v>
      </c>
      <c r="K180" s="24">
        <v>27</v>
      </c>
      <c r="L180" s="24">
        <v>4438</v>
      </c>
      <c r="M180" s="24">
        <v>12000000</v>
      </c>
    </row>
    <row r="181" spans="1:13" s="48" customFormat="1" outlineLevel="2">
      <c r="A181" s="39" t="s">
        <v>108</v>
      </c>
      <c r="B181" s="40" t="s">
        <v>140</v>
      </c>
      <c r="C181" s="41" t="s">
        <v>115</v>
      </c>
      <c r="D181" s="40" t="s">
        <v>116</v>
      </c>
      <c r="E181" s="24">
        <v>21000000</v>
      </c>
      <c r="F181" s="39">
        <v>44330</v>
      </c>
      <c r="G181" s="24">
        <v>21000000</v>
      </c>
      <c r="H181" s="23">
        <v>5.0000000000000001E-3</v>
      </c>
      <c r="I181" s="39">
        <v>44330</v>
      </c>
      <c r="J181" s="39">
        <v>44347</v>
      </c>
      <c r="K181" s="24">
        <v>18</v>
      </c>
      <c r="L181" s="24">
        <v>5178</v>
      </c>
      <c r="M181" s="24">
        <v>21000000</v>
      </c>
    </row>
    <row r="182" spans="1:13" s="48" customFormat="1" outlineLevel="2">
      <c r="A182" s="39" t="s">
        <v>108</v>
      </c>
      <c r="B182" s="40" t="s">
        <v>169</v>
      </c>
      <c r="C182" s="41" t="s">
        <v>79</v>
      </c>
      <c r="D182" s="40" t="s">
        <v>80</v>
      </c>
      <c r="E182" s="24">
        <v>39150000</v>
      </c>
      <c r="F182" s="39">
        <v>44336</v>
      </c>
      <c r="G182" s="24">
        <v>39150000</v>
      </c>
      <c r="H182" s="23">
        <v>5.0000000000000001E-3</v>
      </c>
      <c r="I182" s="39">
        <v>44336</v>
      </c>
      <c r="J182" s="39">
        <v>44347</v>
      </c>
      <c r="K182" s="24">
        <v>12</v>
      </c>
      <c r="L182" s="24">
        <v>6436</v>
      </c>
      <c r="M182" s="24">
        <v>39150000</v>
      </c>
    </row>
    <row r="183" spans="1:13" s="48" customFormat="1" outlineLevel="2">
      <c r="A183" s="39" t="s">
        <v>108</v>
      </c>
      <c r="B183" s="40" t="s">
        <v>170</v>
      </c>
      <c r="C183" s="41" t="s">
        <v>123</v>
      </c>
      <c r="D183" s="40" t="s">
        <v>124</v>
      </c>
      <c r="E183" s="24">
        <v>92500000</v>
      </c>
      <c r="F183" s="39">
        <v>44341</v>
      </c>
      <c r="G183" s="24">
        <v>92500000</v>
      </c>
      <c r="H183" s="23">
        <v>5.0000000000000001E-3</v>
      </c>
      <c r="I183" s="39">
        <v>44341</v>
      </c>
      <c r="J183" s="39">
        <v>44347</v>
      </c>
      <c r="K183" s="24">
        <v>7</v>
      </c>
      <c r="L183" s="24">
        <v>8870</v>
      </c>
      <c r="M183" s="24">
        <v>92500000</v>
      </c>
    </row>
    <row r="184" spans="1:13" s="48" customFormat="1" outlineLevel="2">
      <c r="A184" s="39" t="s">
        <v>108</v>
      </c>
      <c r="B184" s="40" t="s">
        <v>62</v>
      </c>
      <c r="C184" s="41" t="s">
        <v>113</v>
      </c>
      <c r="D184" s="40" t="s">
        <v>114</v>
      </c>
      <c r="E184" s="24">
        <v>28240000</v>
      </c>
      <c r="F184" s="39">
        <v>43951</v>
      </c>
      <c r="G184" s="24">
        <v>24205720</v>
      </c>
      <c r="H184" s="23">
        <v>5.0000000000000001E-3</v>
      </c>
      <c r="I184" s="39">
        <v>44317</v>
      </c>
      <c r="J184" s="39">
        <v>44332</v>
      </c>
      <c r="K184" s="24">
        <v>16</v>
      </c>
      <c r="L184" s="24">
        <v>5305</v>
      </c>
      <c r="M184" s="24">
        <v>23869530</v>
      </c>
    </row>
    <row r="185" spans="1:13" s="48" customFormat="1" outlineLevel="2">
      <c r="A185" s="39" t="s">
        <v>108</v>
      </c>
      <c r="B185" s="40" t="s">
        <v>62</v>
      </c>
      <c r="C185" s="41" t="s">
        <v>113</v>
      </c>
      <c r="D185" s="40"/>
      <c r="E185" s="24"/>
      <c r="F185" s="39"/>
      <c r="G185" s="24">
        <v>23869530</v>
      </c>
      <c r="H185" s="23">
        <v>5.0000000000000001E-3</v>
      </c>
      <c r="I185" s="39">
        <v>44333</v>
      </c>
      <c r="J185" s="39">
        <v>44347</v>
      </c>
      <c r="K185" s="24">
        <v>15</v>
      </c>
      <c r="L185" s="24">
        <v>4905</v>
      </c>
      <c r="M185" s="24"/>
    </row>
    <row r="186" spans="1:13" s="48" customFormat="1" outlineLevel="2">
      <c r="A186" s="39" t="s">
        <v>108</v>
      </c>
      <c r="B186" s="40" t="s">
        <v>63</v>
      </c>
      <c r="C186" s="41" t="s">
        <v>111</v>
      </c>
      <c r="D186" s="40" t="s">
        <v>112</v>
      </c>
      <c r="E186" s="24">
        <v>8000000</v>
      </c>
      <c r="F186" s="39">
        <v>43957</v>
      </c>
      <c r="G186" s="24">
        <v>6400004</v>
      </c>
      <c r="H186" s="23">
        <v>5.0000000000000001E-3</v>
      </c>
      <c r="I186" s="39">
        <v>44317</v>
      </c>
      <c r="J186" s="39">
        <v>44332</v>
      </c>
      <c r="K186" s="24">
        <v>16</v>
      </c>
      <c r="L186" s="24">
        <v>1403</v>
      </c>
      <c r="M186" s="24">
        <v>6266671</v>
      </c>
    </row>
    <row r="187" spans="1:13" s="48" customFormat="1" outlineLevel="2">
      <c r="A187" s="39" t="s">
        <v>108</v>
      </c>
      <c r="B187" s="40" t="s">
        <v>63</v>
      </c>
      <c r="C187" s="41" t="s">
        <v>111</v>
      </c>
      <c r="D187" s="40"/>
      <c r="E187" s="24"/>
      <c r="F187" s="39"/>
      <c r="G187" s="24">
        <v>6266671</v>
      </c>
      <c r="H187" s="23">
        <v>5.0000000000000001E-3</v>
      </c>
      <c r="I187" s="39">
        <v>44333</v>
      </c>
      <c r="J187" s="39">
        <v>44347</v>
      </c>
      <c r="K187" s="24">
        <v>15</v>
      </c>
      <c r="L187" s="24">
        <v>1288</v>
      </c>
      <c r="M187" s="24"/>
    </row>
    <row r="188" spans="1:13" s="48" customFormat="1" outlineLevel="2">
      <c r="A188" s="39" t="s">
        <v>108</v>
      </c>
      <c r="B188" s="40" t="s">
        <v>64</v>
      </c>
      <c r="C188" s="41" t="s">
        <v>111</v>
      </c>
      <c r="D188" s="40" t="s">
        <v>112</v>
      </c>
      <c r="E188" s="24">
        <v>5910000</v>
      </c>
      <c r="F188" s="39">
        <v>43966</v>
      </c>
      <c r="G188" s="24">
        <v>5910000</v>
      </c>
      <c r="H188" s="23">
        <v>5.0000000000000001E-3</v>
      </c>
      <c r="I188" s="39">
        <v>44317</v>
      </c>
      <c r="J188" s="39">
        <v>44347</v>
      </c>
      <c r="K188" s="24">
        <v>31</v>
      </c>
      <c r="L188" s="24">
        <v>2510</v>
      </c>
      <c r="M188" s="24">
        <v>5910000</v>
      </c>
    </row>
    <row r="189" spans="1:13" s="48" customFormat="1" outlineLevel="2">
      <c r="A189" s="39" t="s">
        <v>108</v>
      </c>
      <c r="B189" s="40" t="s">
        <v>65</v>
      </c>
      <c r="C189" s="41" t="s">
        <v>113</v>
      </c>
      <c r="D189" s="40" t="s">
        <v>114</v>
      </c>
      <c r="E189" s="24">
        <v>20510000</v>
      </c>
      <c r="F189" s="39">
        <v>43966</v>
      </c>
      <c r="G189" s="24">
        <v>17791812</v>
      </c>
      <c r="H189" s="23">
        <v>5.0000000000000001E-3</v>
      </c>
      <c r="I189" s="39">
        <v>44317</v>
      </c>
      <c r="J189" s="39">
        <v>44332</v>
      </c>
      <c r="K189" s="24">
        <v>16</v>
      </c>
      <c r="L189" s="24">
        <v>3900</v>
      </c>
      <c r="M189" s="24">
        <v>17544704</v>
      </c>
    </row>
    <row r="190" spans="1:13" s="48" customFormat="1" outlineLevel="2">
      <c r="A190" s="39" t="s">
        <v>108</v>
      </c>
      <c r="B190" s="40" t="s">
        <v>65</v>
      </c>
      <c r="C190" s="41" t="s">
        <v>113</v>
      </c>
      <c r="D190" s="40"/>
      <c r="E190" s="24"/>
      <c r="F190" s="39"/>
      <c r="G190" s="24">
        <v>17544704</v>
      </c>
      <c r="H190" s="23">
        <v>5.0000000000000001E-3</v>
      </c>
      <c r="I190" s="39">
        <v>44333</v>
      </c>
      <c r="J190" s="39">
        <v>44347</v>
      </c>
      <c r="K190" s="24">
        <v>15</v>
      </c>
      <c r="L190" s="24">
        <v>3605</v>
      </c>
      <c r="M190" s="24"/>
    </row>
    <row r="191" spans="1:13" s="48" customFormat="1" outlineLevel="2">
      <c r="A191" s="39" t="s">
        <v>108</v>
      </c>
      <c r="B191" s="40" t="s">
        <v>68</v>
      </c>
      <c r="C191" s="41" t="s">
        <v>109</v>
      </c>
      <c r="D191" s="40" t="s">
        <v>110</v>
      </c>
      <c r="E191" s="24">
        <v>33960000</v>
      </c>
      <c r="F191" s="39">
        <v>43978</v>
      </c>
      <c r="G191" s="24">
        <v>33960000</v>
      </c>
      <c r="H191" s="23">
        <v>5.0000000000000001E-3</v>
      </c>
      <c r="I191" s="39">
        <v>44317</v>
      </c>
      <c r="J191" s="39">
        <v>44347</v>
      </c>
      <c r="K191" s="24">
        <v>31</v>
      </c>
      <c r="L191" s="24">
        <v>14421</v>
      </c>
      <c r="M191" s="24">
        <v>33960000</v>
      </c>
    </row>
    <row r="192" spans="1:13" s="48" customFormat="1" outlineLevel="1">
      <c r="A192" s="42" t="s">
        <v>119</v>
      </c>
      <c r="B192" s="43"/>
      <c r="C192" s="44"/>
      <c r="D192" s="43"/>
      <c r="E192" s="45">
        <v>921415386</v>
      </c>
      <c r="F192" s="46"/>
      <c r="G192" s="45"/>
      <c r="H192" s="47"/>
      <c r="I192" s="46"/>
      <c r="J192" s="46"/>
      <c r="K192" s="45"/>
      <c r="L192" s="45">
        <v>331952</v>
      </c>
      <c r="M192" s="45">
        <v>885546243</v>
      </c>
    </row>
    <row r="193" spans="1:13" s="48" customFormat="1" outlineLevel="2">
      <c r="A193" s="39" t="s">
        <v>120</v>
      </c>
      <c r="B193" s="40" t="s">
        <v>16</v>
      </c>
      <c r="C193" s="41" t="s">
        <v>121</v>
      </c>
      <c r="D193" s="40" t="s">
        <v>122</v>
      </c>
      <c r="E193" s="24">
        <v>69000000</v>
      </c>
      <c r="F193" s="39">
        <v>43822</v>
      </c>
      <c r="G193" s="24">
        <v>69000000</v>
      </c>
      <c r="H193" s="23">
        <v>5.0000000000000001E-3</v>
      </c>
      <c r="I193" s="39">
        <v>44317</v>
      </c>
      <c r="J193" s="39">
        <v>44347</v>
      </c>
      <c r="K193" s="24">
        <v>31</v>
      </c>
      <c r="L193" s="24">
        <v>29301</v>
      </c>
      <c r="M193" s="24">
        <v>69000000</v>
      </c>
    </row>
    <row r="194" spans="1:13" s="48" customFormat="1" outlineLevel="2">
      <c r="A194" s="39" t="s">
        <v>120</v>
      </c>
      <c r="B194" s="40" t="s">
        <v>19</v>
      </c>
      <c r="C194" s="41" t="s">
        <v>37</v>
      </c>
      <c r="D194" s="40" t="s">
        <v>38</v>
      </c>
      <c r="E194" s="24">
        <v>247700000</v>
      </c>
      <c r="F194" s="39">
        <v>43985</v>
      </c>
      <c r="G194" s="24">
        <v>247700000</v>
      </c>
      <c r="H194" s="23">
        <v>5.0000000000000001E-3</v>
      </c>
      <c r="I194" s="39">
        <v>44317</v>
      </c>
      <c r="J194" s="39">
        <v>44347</v>
      </c>
      <c r="K194" s="24">
        <v>31</v>
      </c>
      <c r="L194" s="24">
        <v>105188</v>
      </c>
      <c r="M194" s="24">
        <v>247700000</v>
      </c>
    </row>
    <row r="195" spans="1:13" s="48" customFormat="1" outlineLevel="2">
      <c r="A195" s="39" t="s">
        <v>120</v>
      </c>
      <c r="B195" s="40" t="s">
        <v>22</v>
      </c>
      <c r="C195" s="41" t="s">
        <v>123</v>
      </c>
      <c r="D195" s="40" t="s">
        <v>124</v>
      </c>
      <c r="E195" s="24">
        <v>18612000</v>
      </c>
      <c r="F195" s="39">
        <v>43997</v>
      </c>
      <c r="G195" s="24">
        <v>3722400</v>
      </c>
      <c r="H195" s="23">
        <v>5.0000000000000001E-3</v>
      </c>
      <c r="I195" s="39">
        <v>44317</v>
      </c>
      <c r="J195" s="39">
        <v>44347</v>
      </c>
      <c r="K195" s="24">
        <v>31</v>
      </c>
      <c r="L195" s="24">
        <v>1581</v>
      </c>
      <c r="M195" s="24">
        <v>3722400</v>
      </c>
    </row>
    <row r="196" spans="1:13" s="48" customFormat="1" outlineLevel="2">
      <c r="A196" s="39" t="s">
        <v>120</v>
      </c>
      <c r="B196" s="40" t="s">
        <v>25</v>
      </c>
      <c r="C196" s="41" t="s">
        <v>20</v>
      </c>
      <c r="D196" s="40" t="s">
        <v>21</v>
      </c>
      <c r="E196" s="24">
        <v>624000000</v>
      </c>
      <c r="F196" s="39">
        <v>44014</v>
      </c>
      <c r="G196" s="24">
        <v>624000000</v>
      </c>
      <c r="H196" s="23">
        <v>5.0000000000000001E-3</v>
      </c>
      <c r="I196" s="39">
        <v>44317</v>
      </c>
      <c r="J196" s="39">
        <v>44347</v>
      </c>
      <c r="K196" s="24">
        <v>31</v>
      </c>
      <c r="L196" s="24">
        <v>264986</v>
      </c>
      <c r="M196" s="24">
        <v>624000000</v>
      </c>
    </row>
    <row r="197" spans="1:13" s="48" customFormat="1" outlineLevel="2">
      <c r="A197" s="39" t="s">
        <v>120</v>
      </c>
      <c r="B197" s="40" t="s">
        <v>26</v>
      </c>
      <c r="C197" s="41" t="s">
        <v>20</v>
      </c>
      <c r="D197" s="40" t="s">
        <v>21</v>
      </c>
      <c r="E197" s="24">
        <v>82000000</v>
      </c>
      <c r="F197" s="39">
        <v>44042</v>
      </c>
      <c r="G197" s="24">
        <v>82000000</v>
      </c>
      <c r="H197" s="23">
        <v>5.0000000000000001E-3</v>
      </c>
      <c r="I197" s="39">
        <v>44317</v>
      </c>
      <c r="J197" s="39">
        <v>44347</v>
      </c>
      <c r="K197" s="24">
        <v>31</v>
      </c>
      <c r="L197" s="24">
        <v>34822</v>
      </c>
      <c r="M197" s="24">
        <v>82000000</v>
      </c>
    </row>
    <row r="198" spans="1:13" s="48" customFormat="1" outlineLevel="2">
      <c r="A198" s="39" t="s">
        <v>120</v>
      </c>
      <c r="B198" s="40" t="s">
        <v>29</v>
      </c>
      <c r="C198" s="41" t="s">
        <v>20</v>
      </c>
      <c r="D198" s="40" t="s">
        <v>21</v>
      </c>
      <c r="E198" s="24">
        <v>406400000</v>
      </c>
      <c r="F198" s="39">
        <v>44042</v>
      </c>
      <c r="G198" s="24">
        <v>406400000</v>
      </c>
      <c r="H198" s="23">
        <v>3.0000000000000001E-3</v>
      </c>
      <c r="I198" s="39">
        <v>44317</v>
      </c>
      <c r="J198" s="39">
        <v>44347</v>
      </c>
      <c r="K198" s="24">
        <v>31</v>
      </c>
      <c r="L198" s="24">
        <v>103548</v>
      </c>
      <c r="M198" s="24">
        <v>406400000</v>
      </c>
    </row>
    <row r="199" spans="1:13" s="48" customFormat="1" outlineLevel="2">
      <c r="A199" s="39" t="s">
        <v>120</v>
      </c>
      <c r="B199" s="40" t="s">
        <v>32</v>
      </c>
      <c r="C199" s="41" t="s">
        <v>20</v>
      </c>
      <c r="D199" s="40" t="s">
        <v>21</v>
      </c>
      <c r="E199" s="24">
        <v>51600000</v>
      </c>
      <c r="F199" s="39">
        <v>44042</v>
      </c>
      <c r="G199" s="24">
        <v>51600000</v>
      </c>
      <c r="H199" s="23">
        <v>3.0000000000000001E-3</v>
      </c>
      <c r="I199" s="39">
        <v>44317</v>
      </c>
      <c r="J199" s="39">
        <v>44347</v>
      </c>
      <c r="K199" s="24">
        <v>31</v>
      </c>
      <c r="L199" s="24">
        <v>13147</v>
      </c>
      <c r="M199" s="24">
        <v>51600000</v>
      </c>
    </row>
    <row r="200" spans="1:13" s="48" customFormat="1" outlineLevel="2">
      <c r="A200" s="39" t="s">
        <v>120</v>
      </c>
      <c r="B200" s="40" t="s">
        <v>33</v>
      </c>
      <c r="C200" s="41" t="s">
        <v>125</v>
      </c>
      <c r="D200" s="40" t="s">
        <v>126</v>
      </c>
      <c r="E200" s="24">
        <v>1850000</v>
      </c>
      <c r="F200" s="39">
        <v>44018</v>
      </c>
      <c r="G200" s="24">
        <v>1850000</v>
      </c>
      <c r="H200" s="23">
        <v>5.0000000000000001E-3</v>
      </c>
      <c r="I200" s="39">
        <v>44317</v>
      </c>
      <c r="J200" s="39">
        <v>44347</v>
      </c>
      <c r="K200" s="24">
        <v>31</v>
      </c>
      <c r="L200" s="24">
        <v>786</v>
      </c>
      <c r="M200" s="24">
        <v>1850000</v>
      </c>
    </row>
    <row r="201" spans="1:13" s="48" customFormat="1" outlineLevel="2">
      <c r="A201" s="39" t="s">
        <v>120</v>
      </c>
      <c r="B201" s="40" t="s">
        <v>34</v>
      </c>
      <c r="C201" s="41" t="s">
        <v>125</v>
      </c>
      <c r="D201" s="40" t="s">
        <v>126</v>
      </c>
      <c r="E201" s="24">
        <v>5400000</v>
      </c>
      <c r="F201" s="39">
        <v>44019</v>
      </c>
      <c r="G201" s="24">
        <v>5400000</v>
      </c>
      <c r="H201" s="23">
        <v>5.0000000000000001E-3</v>
      </c>
      <c r="I201" s="39">
        <v>44317</v>
      </c>
      <c r="J201" s="39">
        <v>44347</v>
      </c>
      <c r="K201" s="24">
        <v>31</v>
      </c>
      <c r="L201" s="24">
        <v>2293</v>
      </c>
      <c r="M201" s="24">
        <v>5400000</v>
      </c>
    </row>
    <row r="202" spans="1:13" s="48" customFormat="1" outlineLevel="2">
      <c r="A202" s="39" t="s">
        <v>120</v>
      </c>
      <c r="B202" s="40" t="s">
        <v>35</v>
      </c>
      <c r="C202" s="41" t="s">
        <v>125</v>
      </c>
      <c r="D202" s="40" t="s">
        <v>126</v>
      </c>
      <c r="E202" s="24">
        <v>2300000</v>
      </c>
      <c r="F202" s="39">
        <v>44027</v>
      </c>
      <c r="G202" s="24">
        <v>2300000</v>
      </c>
      <c r="H202" s="23">
        <v>5.0000000000000001E-3</v>
      </c>
      <c r="I202" s="39">
        <v>44317</v>
      </c>
      <c r="J202" s="39">
        <v>44347</v>
      </c>
      <c r="K202" s="24">
        <v>31</v>
      </c>
      <c r="L202" s="24">
        <v>977</v>
      </c>
      <c r="M202" s="24">
        <v>2300000</v>
      </c>
    </row>
    <row r="203" spans="1:13" s="48" customFormat="1" outlineLevel="2">
      <c r="A203" s="39" t="s">
        <v>120</v>
      </c>
      <c r="B203" s="40" t="s">
        <v>36</v>
      </c>
      <c r="C203" s="41" t="s">
        <v>125</v>
      </c>
      <c r="D203" s="40" t="s">
        <v>126</v>
      </c>
      <c r="E203" s="24">
        <v>16280000</v>
      </c>
      <c r="F203" s="39">
        <v>44041</v>
      </c>
      <c r="G203" s="24">
        <v>16280000</v>
      </c>
      <c r="H203" s="23">
        <v>5.0000000000000001E-3</v>
      </c>
      <c r="I203" s="39">
        <v>44317</v>
      </c>
      <c r="J203" s="39">
        <v>44347</v>
      </c>
      <c r="K203" s="24">
        <v>31</v>
      </c>
      <c r="L203" s="24">
        <v>6913</v>
      </c>
      <c r="M203" s="24">
        <v>16280000</v>
      </c>
    </row>
    <row r="204" spans="1:13" s="48" customFormat="1" outlineLevel="2">
      <c r="A204" s="39" t="s">
        <v>120</v>
      </c>
      <c r="B204" s="40" t="s">
        <v>39</v>
      </c>
      <c r="C204" s="41" t="s">
        <v>127</v>
      </c>
      <c r="D204" s="40" t="s">
        <v>18</v>
      </c>
      <c r="E204" s="24">
        <v>162300000</v>
      </c>
      <c r="F204" s="39">
        <v>43829</v>
      </c>
      <c r="G204" s="24">
        <v>119020000</v>
      </c>
      <c r="H204" s="23">
        <v>5.0000000000000001E-3</v>
      </c>
      <c r="I204" s="39">
        <v>44317</v>
      </c>
      <c r="J204" s="39">
        <v>44332</v>
      </c>
      <c r="K204" s="24">
        <v>16</v>
      </c>
      <c r="L204" s="24">
        <v>26087</v>
      </c>
      <c r="M204" s="24">
        <v>116315000</v>
      </c>
    </row>
    <row r="205" spans="1:13" s="48" customFormat="1" outlineLevel="2">
      <c r="A205" s="39" t="s">
        <v>120</v>
      </c>
      <c r="B205" s="40" t="s">
        <v>39</v>
      </c>
      <c r="C205" s="41" t="s">
        <v>127</v>
      </c>
      <c r="D205" s="40"/>
      <c r="E205" s="24"/>
      <c r="F205" s="39"/>
      <c r="G205" s="24">
        <v>116315000</v>
      </c>
      <c r="H205" s="23">
        <v>5.0000000000000001E-3</v>
      </c>
      <c r="I205" s="39">
        <v>44333</v>
      </c>
      <c r="J205" s="39">
        <v>44347</v>
      </c>
      <c r="K205" s="24">
        <v>15</v>
      </c>
      <c r="L205" s="24">
        <v>23900</v>
      </c>
      <c r="M205" s="24"/>
    </row>
    <row r="206" spans="1:13" s="48" customFormat="1" outlineLevel="2">
      <c r="A206" s="39" t="s">
        <v>120</v>
      </c>
      <c r="B206" s="40" t="s">
        <v>40</v>
      </c>
      <c r="C206" s="41" t="s">
        <v>71</v>
      </c>
      <c r="D206" s="40" t="s">
        <v>72</v>
      </c>
      <c r="E206" s="24">
        <v>30000000</v>
      </c>
      <c r="F206" s="39">
        <v>44020</v>
      </c>
      <c r="G206" s="24">
        <v>30000000</v>
      </c>
      <c r="H206" s="23">
        <v>5.0000000000000001E-3</v>
      </c>
      <c r="I206" s="39">
        <v>44317</v>
      </c>
      <c r="J206" s="39">
        <v>44347</v>
      </c>
      <c r="K206" s="24">
        <v>31</v>
      </c>
      <c r="L206" s="24">
        <v>12740</v>
      </c>
      <c r="M206" s="24">
        <v>30000000</v>
      </c>
    </row>
    <row r="207" spans="1:13" s="48" customFormat="1" outlineLevel="2">
      <c r="A207" s="39" t="s">
        <v>120</v>
      </c>
      <c r="B207" s="40" t="s">
        <v>41</v>
      </c>
      <c r="C207" s="41" t="s">
        <v>27</v>
      </c>
      <c r="D207" s="40" t="s">
        <v>28</v>
      </c>
      <c r="E207" s="24">
        <v>35100000</v>
      </c>
      <c r="F207" s="39">
        <v>44013</v>
      </c>
      <c r="G207" s="24">
        <v>35100000</v>
      </c>
      <c r="H207" s="23">
        <v>5.0000000000000001E-3</v>
      </c>
      <c r="I207" s="39">
        <v>44317</v>
      </c>
      <c r="J207" s="39">
        <v>44347</v>
      </c>
      <c r="K207" s="24">
        <v>31</v>
      </c>
      <c r="L207" s="24">
        <v>14905</v>
      </c>
      <c r="M207" s="24">
        <v>35100000</v>
      </c>
    </row>
    <row r="208" spans="1:13" s="48" customFormat="1" outlineLevel="2">
      <c r="A208" s="39" t="s">
        <v>120</v>
      </c>
      <c r="B208" s="40" t="s">
        <v>42</v>
      </c>
      <c r="C208" s="41" t="s">
        <v>27</v>
      </c>
      <c r="D208" s="40" t="s">
        <v>28</v>
      </c>
      <c r="E208" s="24">
        <v>14900000</v>
      </c>
      <c r="F208" s="39">
        <v>44021</v>
      </c>
      <c r="G208" s="24">
        <v>14900000</v>
      </c>
      <c r="H208" s="23">
        <v>5.0000000000000001E-3</v>
      </c>
      <c r="I208" s="39">
        <v>44317</v>
      </c>
      <c r="J208" s="39">
        <v>44347</v>
      </c>
      <c r="K208" s="24">
        <v>31</v>
      </c>
      <c r="L208" s="24">
        <v>6327</v>
      </c>
      <c r="M208" s="24">
        <v>14900000</v>
      </c>
    </row>
    <row r="209" spans="1:13" s="48" customFormat="1" outlineLevel="2">
      <c r="A209" s="39" t="s">
        <v>120</v>
      </c>
      <c r="B209" s="40" t="s">
        <v>43</v>
      </c>
      <c r="C209" s="41" t="s">
        <v>71</v>
      </c>
      <c r="D209" s="40" t="s">
        <v>72</v>
      </c>
      <c r="E209" s="24">
        <v>30000000</v>
      </c>
      <c r="F209" s="39">
        <v>44050</v>
      </c>
      <c r="G209" s="24">
        <v>30000000</v>
      </c>
      <c r="H209" s="23">
        <v>5.0000000000000001E-3</v>
      </c>
      <c r="I209" s="39">
        <v>44317</v>
      </c>
      <c r="J209" s="39">
        <v>44347</v>
      </c>
      <c r="K209" s="24">
        <v>31</v>
      </c>
      <c r="L209" s="24">
        <v>12740</v>
      </c>
      <c r="M209" s="24">
        <v>30000000</v>
      </c>
    </row>
    <row r="210" spans="1:13" s="48" customFormat="1" outlineLevel="2">
      <c r="A210" s="39" t="s">
        <v>120</v>
      </c>
      <c r="B210" s="40" t="s">
        <v>44</v>
      </c>
      <c r="C210" s="41" t="s">
        <v>83</v>
      </c>
      <c r="D210" s="40" t="s">
        <v>84</v>
      </c>
      <c r="E210" s="24">
        <v>72450000</v>
      </c>
      <c r="F210" s="39">
        <v>44064</v>
      </c>
      <c r="G210" s="24">
        <v>72450000</v>
      </c>
      <c r="H210" s="23">
        <v>5.0000000000000001E-3</v>
      </c>
      <c r="I210" s="39">
        <v>44317</v>
      </c>
      <c r="J210" s="39">
        <v>44347</v>
      </c>
      <c r="K210" s="24">
        <v>31</v>
      </c>
      <c r="L210" s="24">
        <v>30766</v>
      </c>
      <c r="M210" s="24">
        <v>72450000</v>
      </c>
    </row>
    <row r="211" spans="1:13" s="48" customFormat="1" outlineLevel="2">
      <c r="A211" s="39" t="s">
        <v>120</v>
      </c>
      <c r="B211" s="40" t="s">
        <v>47</v>
      </c>
      <c r="C211" s="41" t="s">
        <v>97</v>
      </c>
      <c r="D211" s="40" t="s">
        <v>98</v>
      </c>
      <c r="E211" s="24">
        <v>77500000</v>
      </c>
      <c r="F211" s="39">
        <v>44060</v>
      </c>
      <c r="G211" s="24">
        <v>77500000</v>
      </c>
      <c r="H211" s="23">
        <v>5.0000000000000001E-3</v>
      </c>
      <c r="I211" s="39">
        <v>44317</v>
      </c>
      <c r="J211" s="39">
        <v>44347</v>
      </c>
      <c r="K211" s="24">
        <v>31</v>
      </c>
      <c r="L211" s="24">
        <v>32911</v>
      </c>
      <c r="M211" s="24">
        <v>77500000</v>
      </c>
    </row>
    <row r="212" spans="1:13" s="48" customFormat="1" outlineLevel="2">
      <c r="A212" s="39" t="s">
        <v>120</v>
      </c>
      <c r="B212" s="40" t="s">
        <v>50</v>
      </c>
      <c r="C212" s="41" t="s">
        <v>83</v>
      </c>
      <c r="D212" s="40" t="s">
        <v>84</v>
      </c>
      <c r="E212" s="24">
        <v>160000000</v>
      </c>
      <c r="F212" s="39">
        <v>44098</v>
      </c>
      <c r="G212" s="24">
        <v>160000000</v>
      </c>
      <c r="H212" s="23">
        <v>5.0000000000000001E-3</v>
      </c>
      <c r="I212" s="39">
        <v>44317</v>
      </c>
      <c r="J212" s="39">
        <v>44347</v>
      </c>
      <c r="K212" s="24">
        <v>31</v>
      </c>
      <c r="L212" s="24">
        <v>67945</v>
      </c>
      <c r="M212" s="24">
        <v>160000000</v>
      </c>
    </row>
    <row r="213" spans="1:13" s="48" customFormat="1" outlineLevel="2">
      <c r="A213" s="39" t="s">
        <v>120</v>
      </c>
      <c r="B213" s="40" t="s">
        <v>51</v>
      </c>
      <c r="C213" s="41" t="s">
        <v>128</v>
      </c>
      <c r="D213" s="40" t="s">
        <v>129</v>
      </c>
      <c r="E213" s="24">
        <v>73100000</v>
      </c>
      <c r="F213" s="39">
        <v>44095</v>
      </c>
      <c r="G213" s="24">
        <v>73100000</v>
      </c>
      <c r="H213" s="23">
        <v>5.0000000000000001E-3</v>
      </c>
      <c r="I213" s="39">
        <v>44317</v>
      </c>
      <c r="J213" s="39">
        <v>44347</v>
      </c>
      <c r="K213" s="24">
        <v>31</v>
      </c>
      <c r="L213" s="24">
        <v>31042</v>
      </c>
      <c r="M213" s="24">
        <v>73100000</v>
      </c>
    </row>
    <row r="214" spans="1:13" s="48" customFormat="1" outlineLevel="2">
      <c r="A214" s="39" t="s">
        <v>120</v>
      </c>
      <c r="B214" s="40" t="s">
        <v>52</v>
      </c>
      <c r="C214" s="41" t="s">
        <v>125</v>
      </c>
      <c r="D214" s="40" t="s">
        <v>126</v>
      </c>
      <c r="E214" s="24">
        <v>3000000</v>
      </c>
      <c r="F214" s="39">
        <v>44132</v>
      </c>
      <c r="G214" s="24">
        <v>3000000</v>
      </c>
      <c r="H214" s="23">
        <v>5.0000000000000001E-3</v>
      </c>
      <c r="I214" s="39">
        <v>44317</v>
      </c>
      <c r="J214" s="39">
        <v>44347</v>
      </c>
      <c r="K214" s="24">
        <v>31</v>
      </c>
      <c r="L214" s="24">
        <v>1274</v>
      </c>
      <c r="M214" s="24">
        <v>3000000</v>
      </c>
    </row>
    <row r="215" spans="1:13" s="48" customFormat="1" outlineLevel="2">
      <c r="A215" s="39" t="s">
        <v>120</v>
      </c>
      <c r="B215" s="40" t="s">
        <v>53</v>
      </c>
      <c r="C215" s="41" t="s">
        <v>97</v>
      </c>
      <c r="D215" s="40" t="s">
        <v>98</v>
      </c>
      <c r="E215" s="24">
        <v>141000000</v>
      </c>
      <c r="F215" s="39">
        <v>44119</v>
      </c>
      <c r="G215" s="24">
        <v>141000000</v>
      </c>
      <c r="H215" s="23">
        <v>5.0000000000000001E-3</v>
      </c>
      <c r="I215" s="39">
        <v>44317</v>
      </c>
      <c r="J215" s="39">
        <v>44347</v>
      </c>
      <c r="K215" s="24">
        <v>31</v>
      </c>
      <c r="L215" s="24">
        <v>59877</v>
      </c>
      <c r="M215" s="24">
        <v>141000000</v>
      </c>
    </row>
    <row r="216" spans="1:13" s="48" customFormat="1" outlineLevel="2">
      <c r="A216" s="39" t="s">
        <v>120</v>
      </c>
      <c r="B216" s="40" t="s">
        <v>54</v>
      </c>
      <c r="C216" s="41" t="s">
        <v>20</v>
      </c>
      <c r="D216" s="40" t="s">
        <v>21</v>
      </c>
      <c r="E216" s="24">
        <v>60000000</v>
      </c>
      <c r="F216" s="39">
        <v>43922</v>
      </c>
      <c r="G216" s="24">
        <v>60000000</v>
      </c>
      <c r="H216" s="23">
        <v>3.0000000000000001E-3</v>
      </c>
      <c r="I216" s="39">
        <v>44317</v>
      </c>
      <c r="J216" s="39">
        <v>44347</v>
      </c>
      <c r="K216" s="24">
        <v>31</v>
      </c>
      <c r="L216" s="24">
        <v>15288</v>
      </c>
      <c r="M216" s="24">
        <v>60000000</v>
      </c>
    </row>
    <row r="217" spans="1:13" s="48" customFormat="1" outlineLevel="2">
      <c r="A217" s="39" t="s">
        <v>120</v>
      </c>
      <c r="B217" s="40" t="s">
        <v>57</v>
      </c>
      <c r="C217" s="41" t="s">
        <v>125</v>
      </c>
      <c r="D217" s="40" t="s">
        <v>126</v>
      </c>
      <c r="E217" s="24">
        <v>2500000</v>
      </c>
      <c r="F217" s="39">
        <v>44146</v>
      </c>
      <c r="G217" s="24">
        <v>2500000</v>
      </c>
      <c r="H217" s="23">
        <v>5.0000000000000001E-3</v>
      </c>
      <c r="I217" s="39">
        <v>44317</v>
      </c>
      <c r="J217" s="39">
        <v>44347</v>
      </c>
      <c r="K217" s="24">
        <v>31</v>
      </c>
      <c r="L217" s="24">
        <v>1062</v>
      </c>
      <c r="M217" s="24">
        <v>2500000</v>
      </c>
    </row>
    <row r="218" spans="1:13" s="48" customFormat="1" outlineLevel="2">
      <c r="A218" s="39" t="s">
        <v>120</v>
      </c>
      <c r="B218" s="40" t="s">
        <v>58</v>
      </c>
      <c r="C218" s="41" t="s">
        <v>71</v>
      </c>
      <c r="D218" s="40" t="s">
        <v>72</v>
      </c>
      <c r="E218" s="24">
        <v>11610900</v>
      </c>
      <c r="F218" s="39">
        <v>44137</v>
      </c>
      <c r="G218" s="24">
        <v>11610900</v>
      </c>
      <c r="H218" s="23">
        <v>5.0000000000000001E-3</v>
      </c>
      <c r="I218" s="39">
        <v>44317</v>
      </c>
      <c r="J218" s="39">
        <v>44347</v>
      </c>
      <c r="K218" s="24">
        <v>31</v>
      </c>
      <c r="L218" s="24">
        <v>4931</v>
      </c>
      <c r="M218" s="24">
        <v>11610900</v>
      </c>
    </row>
    <row r="219" spans="1:13" s="48" customFormat="1" outlineLevel="2">
      <c r="A219" s="39" t="s">
        <v>120</v>
      </c>
      <c r="B219" s="40" t="s">
        <v>99</v>
      </c>
      <c r="C219" s="41" t="s">
        <v>130</v>
      </c>
      <c r="D219" s="40" t="s">
        <v>131</v>
      </c>
      <c r="E219" s="24">
        <v>12000000</v>
      </c>
      <c r="F219" s="39">
        <v>44145</v>
      </c>
      <c r="G219" s="24">
        <v>7000000</v>
      </c>
      <c r="H219" s="23">
        <v>5.0000000000000001E-3</v>
      </c>
      <c r="I219" s="39">
        <v>44317</v>
      </c>
      <c r="J219" s="39">
        <v>44347</v>
      </c>
      <c r="K219" s="24">
        <v>31</v>
      </c>
      <c r="L219" s="24">
        <v>2973</v>
      </c>
      <c r="M219" s="24">
        <v>7000000</v>
      </c>
    </row>
    <row r="220" spans="1:13" s="48" customFormat="1" outlineLevel="2">
      <c r="A220" s="39" t="s">
        <v>120</v>
      </c>
      <c r="B220" s="40" t="s">
        <v>100</v>
      </c>
      <c r="C220" s="41" t="s">
        <v>132</v>
      </c>
      <c r="D220" s="40" t="s">
        <v>133</v>
      </c>
      <c r="E220" s="24">
        <v>23000000</v>
      </c>
      <c r="F220" s="39">
        <v>44137</v>
      </c>
      <c r="G220" s="24">
        <v>20700002</v>
      </c>
      <c r="H220" s="23">
        <v>5.0000000000000001E-3</v>
      </c>
      <c r="I220" s="39">
        <v>44317</v>
      </c>
      <c r="J220" s="39">
        <v>44332</v>
      </c>
      <c r="K220" s="24">
        <v>16</v>
      </c>
      <c r="L220" s="24">
        <v>4537</v>
      </c>
      <c r="M220" s="24">
        <v>20316669</v>
      </c>
    </row>
    <row r="221" spans="1:13" s="48" customFormat="1" outlineLevel="2">
      <c r="A221" s="39" t="s">
        <v>120</v>
      </c>
      <c r="B221" s="40" t="s">
        <v>100</v>
      </c>
      <c r="C221" s="41" t="s">
        <v>132</v>
      </c>
      <c r="D221" s="40"/>
      <c r="E221" s="24"/>
      <c r="F221" s="39"/>
      <c r="G221" s="24">
        <v>20316669</v>
      </c>
      <c r="H221" s="23">
        <v>5.0000000000000001E-3</v>
      </c>
      <c r="I221" s="39">
        <v>44333</v>
      </c>
      <c r="J221" s="39">
        <v>44347</v>
      </c>
      <c r="K221" s="24">
        <v>15</v>
      </c>
      <c r="L221" s="24">
        <v>4175</v>
      </c>
      <c r="M221" s="24"/>
    </row>
    <row r="222" spans="1:13" s="48" customFormat="1" outlineLevel="2">
      <c r="A222" s="39" t="s">
        <v>120</v>
      </c>
      <c r="B222" s="40" t="s">
        <v>101</v>
      </c>
      <c r="C222" s="41" t="s">
        <v>132</v>
      </c>
      <c r="D222" s="40" t="s">
        <v>133</v>
      </c>
      <c r="E222" s="24">
        <v>17000000</v>
      </c>
      <c r="F222" s="39">
        <v>44145</v>
      </c>
      <c r="G222" s="24">
        <v>15300002</v>
      </c>
      <c r="H222" s="23">
        <v>5.0000000000000001E-3</v>
      </c>
      <c r="I222" s="39">
        <v>44317</v>
      </c>
      <c r="J222" s="39">
        <v>44332</v>
      </c>
      <c r="K222" s="24">
        <v>16</v>
      </c>
      <c r="L222" s="24">
        <v>3353</v>
      </c>
      <c r="M222" s="24">
        <v>15016669</v>
      </c>
    </row>
    <row r="223" spans="1:13" s="48" customFormat="1" outlineLevel="2">
      <c r="A223" s="39" t="s">
        <v>120</v>
      </c>
      <c r="B223" s="40" t="s">
        <v>101</v>
      </c>
      <c r="C223" s="41" t="s">
        <v>132</v>
      </c>
      <c r="D223" s="40"/>
      <c r="E223" s="24"/>
      <c r="F223" s="39"/>
      <c r="G223" s="24">
        <v>15016669</v>
      </c>
      <c r="H223" s="23">
        <v>5.0000000000000001E-3</v>
      </c>
      <c r="I223" s="39">
        <v>44333</v>
      </c>
      <c r="J223" s="39">
        <v>44347</v>
      </c>
      <c r="K223" s="24">
        <v>15</v>
      </c>
      <c r="L223" s="24">
        <v>3086</v>
      </c>
      <c r="M223" s="24"/>
    </row>
    <row r="224" spans="1:13" s="48" customFormat="1" outlineLevel="2">
      <c r="A224" s="39" t="s">
        <v>120</v>
      </c>
      <c r="B224" s="40" t="s">
        <v>102</v>
      </c>
      <c r="C224" s="41" t="s">
        <v>17</v>
      </c>
      <c r="D224" s="40" t="s">
        <v>18</v>
      </c>
      <c r="E224" s="24">
        <v>4591000</v>
      </c>
      <c r="F224" s="39">
        <v>44160</v>
      </c>
      <c r="G224" s="24">
        <v>4208415</v>
      </c>
      <c r="H224" s="23">
        <v>5.0000000000000001E-3</v>
      </c>
      <c r="I224" s="39">
        <v>44317</v>
      </c>
      <c r="J224" s="39">
        <v>44332</v>
      </c>
      <c r="K224" s="24">
        <v>16</v>
      </c>
      <c r="L224" s="24">
        <v>922</v>
      </c>
      <c r="M224" s="24">
        <v>4131898</v>
      </c>
    </row>
    <row r="225" spans="1:13" s="48" customFormat="1" outlineLevel="2">
      <c r="A225" s="39" t="s">
        <v>120</v>
      </c>
      <c r="B225" s="40" t="s">
        <v>102</v>
      </c>
      <c r="C225" s="41" t="s">
        <v>17</v>
      </c>
      <c r="D225" s="40"/>
      <c r="E225" s="24"/>
      <c r="F225" s="39"/>
      <c r="G225" s="24">
        <v>4131898</v>
      </c>
      <c r="H225" s="23">
        <v>5.0000000000000001E-3</v>
      </c>
      <c r="I225" s="39">
        <v>44333</v>
      </c>
      <c r="J225" s="39">
        <v>44347</v>
      </c>
      <c r="K225" s="24">
        <v>15</v>
      </c>
      <c r="L225" s="24">
        <v>849</v>
      </c>
      <c r="M225" s="24"/>
    </row>
    <row r="226" spans="1:13" s="48" customFormat="1" outlineLevel="2">
      <c r="A226" s="39" t="s">
        <v>120</v>
      </c>
      <c r="B226" s="40" t="s">
        <v>103</v>
      </c>
      <c r="C226" s="41" t="s">
        <v>83</v>
      </c>
      <c r="D226" s="40" t="s">
        <v>84</v>
      </c>
      <c r="E226" s="24">
        <v>238000000</v>
      </c>
      <c r="F226" s="39">
        <v>44189</v>
      </c>
      <c r="G226" s="24">
        <v>238000000</v>
      </c>
      <c r="H226" s="23">
        <v>5.0000000000000001E-3</v>
      </c>
      <c r="I226" s="39">
        <v>44317</v>
      </c>
      <c r="J226" s="39">
        <v>44347</v>
      </c>
      <c r="K226" s="24">
        <v>31</v>
      </c>
      <c r="L226" s="24">
        <v>101068</v>
      </c>
      <c r="M226" s="24">
        <v>238000000</v>
      </c>
    </row>
    <row r="227" spans="1:13" s="48" customFormat="1" outlineLevel="2">
      <c r="A227" s="39" t="s">
        <v>120</v>
      </c>
      <c r="B227" s="40" t="s">
        <v>104</v>
      </c>
      <c r="C227" s="41" t="s">
        <v>97</v>
      </c>
      <c r="D227" s="40" t="s">
        <v>98</v>
      </c>
      <c r="E227" s="24">
        <v>17000000</v>
      </c>
      <c r="F227" s="39">
        <v>44180</v>
      </c>
      <c r="G227" s="24">
        <v>17000000</v>
      </c>
      <c r="H227" s="23">
        <v>5.0000000000000001E-3</v>
      </c>
      <c r="I227" s="39">
        <v>44317</v>
      </c>
      <c r="J227" s="39">
        <v>44347</v>
      </c>
      <c r="K227" s="24">
        <v>31</v>
      </c>
      <c r="L227" s="24">
        <v>7219</v>
      </c>
      <c r="M227" s="24">
        <v>17000000</v>
      </c>
    </row>
    <row r="228" spans="1:13" s="48" customFormat="1" outlineLevel="2">
      <c r="A228" s="39" t="s">
        <v>120</v>
      </c>
      <c r="B228" s="40" t="s">
        <v>105</v>
      </c>
      <c r="C228" s="41" t="s">
        <v>134</v>
      </c>
      <c r="D228" s="40" t="s">
        <v>135</v>
      </c>
      <c r="E228" s="24">
        <v>8000000</v>
      </c>
      <c r="F228" s="39">
        <v>44169</v>
      </c>
      <c r="G228" s="24">
        <v>8000000</v>
      </c>
      <c r="H228" s="23">
        <v>5.0000000000000001E-3</v>
      </c>
      <c r="I228" s="39">
        <v>44317</v>
      </c>
      <c r="J228" s="39">
        <v>44347</v>
      </c>
      <c r="K228" s="24">
        <v>31</v>
      </c>
      <c r="L228" s="24">
        <v>3397</v>
      </c>
      <c r="M228" s="24">
        <v>8000000</v>
      </c>
    </row>
    <row r="229" spans="1:13" s="48" customFormat="1" outlineLevel="2">
      <c r="A229" s="39" t="s">
        <v>120</v>
      </c>
      <c r="B229" s="40" t="s">
        <v>106</v>
      </c>
      <c r="C229" s="41" t="s">
        <v>134</v>
      </c>
      <c r="D229" s="40" t="s">
        <v>135</v>
      </c>
      <c r="E229" s="24">
        <v>15000000</v>
      </c>
      <c r="F229" s="39">
        <v>44169</v>
      </c>
      <c r="G229" s="24">
        <v>15000000</v>
      </c>
      <c r="H229" s="23">
        <v>5.0000000000000001E-3</v>
      </c>
      <c r="I229" s="39">
        <v>44317</v>
      </c>
      <c r="J229" s="39">
        <v>44347</v>
      </c>
      <c r="K229" s="24">
        <v>31</v>
      </c>
      <c r="L229" s="24">
        <v>6370</v>
      </c>
      <c r="M229" s="24">
        <v>15000000</v>
      </c>
    </row>
    <row r="230" spans="1:13" s="48" customFormat="1" outlineLevel="2">
      <c r="A230" s="39" t="s">
        <v>120</v>
      </c>
      <c r="B230" s="40" t="s">
        <v>59</v>
      </c>
      <c r="C230" s="41" t="s">
        <v>20</v>
      </c>
      <c r="D230" s="40" t="s">
        <v>21</v>
      </c>
      <c r="E230" s="24">
        <v>144000000</v>
      </c>
      <c r="F230" s="39">
        <v>43922</v>
      </c>
      <c r="G230" s="24">
        <v>144000000</v>
      </c>
      <c r="H230" s="23">
        <v>5.0000000000000001E-3</v>
      </c>
      <c r="I230" s="39">
        <v>44317</v>
      </c>
      <c r="J230" s="39">
        <v>44347</v>
      </c>
      <c r="K230" s="24">
        <v>31</v>
      </c>
      <c r="L230" s="24">
        <v>61151</v>
      </c>
      <c r="M230" s="24">
        <v>144000000</v>
      </c>
    </row>
    <row r="231" spans="1:13" s="48" customFormat="1" outlineLevel="2">
      <c r="A231" s="39" t="s">
        <v>120</v>
      </c>
      <c r="B231" s="40" t="s">
        <v>136</v>
      </c>
      <c r="C231" s="41" t="s">
        <v>125</v>
      </c>
      <c r="D231" s="40" t="s">
        <v>126</v>
      </c>
      <c r="E231" s="24">
        <v>7000000</v>
      </c>
      <c r="F231" s="39">
        <v>44202</v>
      </c>
      <c r="G231" s="24">
        <v>7000000</v>
      </c>
      <c r="H231" s="23">
        <v>5.0000000000000001E-3</v>
      </c>
      <c r="I231" s="39">
        <v>44317</v>
      </c>
      <c r="J231" s="39">
        <v>44347</v>
      </c>
      <c r="K231" s="24">
        <v>31</v>
      </c>
      <c r="L231" s="24">
        <v>2973</v>
      </c>
      <c r="M231" s="24">
        <v>7000000</v>
      </c>
    </row>
    <row r="232" spans="1:13" s="48" customFormat="1" outlineLevel="2">
      <c r="A232" s="39" t="s">
        <v>120</v>
      </c>
      <c r="B232" s="40" t="s">
        <v>137</v>
      </c>
      <c r="C232" s="41" t="s">
        <v>125</v>
      </c>
      <c r="D232" s="40" t="s">
        <v>126</v>
      </c>
      <c r="E232" s="24">
        <v>26000000</v>
      </c>
      <c r="F232" s="39">
        <v>44218</v>
      </c>
      <c r="G232" s="24">
        <v>26000000</v>
      </c>
      <c r="H232" s="23">
        <v>5.0000000000000001E-3</v>
      </c>
      <c r="I232" s="39">
        <v>44317</v>
      </c>
      <c r="J232" s="39">
        <v>44347</v>
      </c>
      <c r="K232" s="24">
        <v>31</v>
      </c>
      <c r="L232" s="24">
        <v>11041</v>
      </c>
      <c r="M232" s="24">
        <v>26000000</v>
      </c>
    </row>
    <row r="233" spans="1:13" s="48" customFormat="1" outlineLevel="2">
      <c r="A233" s="39" t="s">
        <v>120</v>
      </c>
      <c r="B233" s="40" t="s">
        <v>138</v>
      </c>
      <c r="C233" s="41" t="s">
        <v>134</v>
      </c>
      <c r="D233" s="40" t="s">
        <v>135</v>
      </c>
      <c r="E233" s="24">
        <v>15000000</v>
      </c>
      <c r="F233" s="39">
        <v>44200</v>
      </c>
      <c r="G233" s="24">
        <v>15000000</v>
      </c>
      <c r="H233" s="23">
        <v>5.0000000000000001E-3</v>
      </c>
      <c r="I233" s="39">
        <v>44317</v>
      </c>
      <c r="J233" s="39">
        <v>44347</v>
      </c>
      <c r="K233" s="24">
        <v>31</v>
      </c>
      <c r="L233" s="24">
        <v>6370</v>
      </c>
      <c r="M233" s="24">
        <v>15000000</v>
      </c>
    </row>
    <row r="234" spans="1:13" s="48" customFormat="1" outlineLevel="2">
      <c r="A234" s="39" t="s">
        <v>120</v>
      </c>
      <c r="B234" s="40" t="s">
        <v>139</v>
      </c>
      <c r="C234" s="41" t="s">
        <v>134</v>
      </c>
      <c r="D234" s="40" t="s">
        <v>135</v>
      </c>
      <c r="E234" s="24">
        <v>6000000</v>
      </c>
      <c r="F234" s="39">
        <v>44203</v>
      </c>
      <c r="G234" s="24">
        <v>6000000</v>
      </c>
      <c r="H234" s="23">
        <v>5.0000000000000001E-3</v>
      </c>
      <c r="I234" s="39">
        <v>44317</v>
      </c>
      <c r="J234" s="39">
        <v>44347</v>
      </c>
      <c r="K234" s="24">
        <v>31</v>
      </c>
      <c r="L234" s="24">
        <v>2548</v>
      </c>
      <c r="M234" s="24">
        <v>6000000</v>
      </c>
    </row>
    <row r="235" spans="1:13" s="48" customFormat="1" outlineLevel="2">
      <c r="A235" s="39" t="s">
        <v>120</v>
      </c>
      <c r="B235" s="40" t="s">
        <v>140</v>
      </c>
      <c r="C235" s="41" t="s">
        <v>134</v>
      </c>
      <c r="D235" s="40" t="s">
        <v>135</v>
      </c>
      <c r="E235" s="24">
        <v>9000000</v>
      </c>
      <c r="F235" s="39">
        <v>44216</v>
      </c>
      <c r="G235" s="24">
        <v>9000000</v>
      </c>
      <c r="H235" s="23">
        <v>5.0000000000000001E-3</v>
      </c>
      <c r="I235" s="39">
        <v>44317</v>
      </c>
      <c r="J235" s="39">
        <v>44347</v>
      </c>
      <c r="K235" s="24">
        <v>31</v>
      </c>
      <c r="L235" s="24">
        <v>3822</v>
      </c>
      <c r="M235" s="24">
        <v>9000000</v>
      </c>
    </row>
    <row r="236" spans="1:13" s="48" customFormat="1" outlineLevel="2">
      <c r="A236" s="39" t="s">
        <v>120</v>
      </c>
      <c r="B236" s="40" t="s">
        <v>169</v>
      </c>
      <c r="C236" s="41" t="s">
        <v>20</v>
      </c>
      <c r="D236" s="40" t="s">
        <v>21</v>
      </c>
      <c r="E236" s="24">
        <v>150000000</v>
      </c>
      <c r="F236" s="39">
        <v>44231</v>
      </c>
      <c r="G236" s="24">
        <v>150000000</v>
      </c>
      <c r="H236" s="23">
        <v>3.0000000000000001E-3</v>
      </c>
      <c r="I236" s="39">
        <v>44317</v>
      </c>
      <c r="J236" s="39">
        <v>44347</v>
      </c>
      <c r="K236" s="24">
        <v>31</v>
      </c>
      <c r="L236" s="24">
        <v>38219</v>
      </c>
      <c r="M236" s="24">
        <v>150000000</v>
      </c>
    </row>
    <row r="237" spans="1:13" s="48" customFormat="1" outlineLevel="2">
      <c r="A237" s="39" t="s">
        <v>120</v>
      </c>
      <c r="B237" s="40" t="s">
        <v>170</v>
      </c>
      <c r="C237" s="41" t="s">
        <v>134</v>
      </c>
      <c r="D237" s="40" t="s">
        <v>135</v>
      </c>
      <c r="E237" s="24">
        <v>2000000</v>
      </c>
      <c r="F237" s="39">
        <v>44228</v>
      </c>
      <c r="G237" s="24">
        <v>2000000</v>
      </c>
      <c r="H237" s="23">
        <v>5.0000000000000001E-3</v>
      </c>
      <c r="I237" s="39">
        <v>44317</v>
      </c>
      <c r="J237" s="39">
        <v>44347</v>
      </c>
      <c r="K237" s="24">
        <v>31</v>
      </c>
      <c r="L237" s="24">
        <v>849</v>
      </c>
      <c r="M237" s="24">
        <v>2000000</v>
      </c>
    </row>
    <row r="238" spans="1:13" s="48" customFormat="1" outlineLevel="2">
      <c r="A238" s="39" t="s">
        <v>120</v>
      </c>
      <c r="B238" s="40" t="s">
        <v>171</v>
      </c>
      <c r="C238" s="41" t="s">
        <v>134</v>
      </c>
      <c r="D238" s="40" t="s">
        <v>135</v>
      </c>
      <c r="E238" s="24">
        <v>13000000</v>
      </c>
      <c r="F238" s="39">
        <v>44231</v>
      </c>
      <c r="G238" s="24">
        <v>13000000</v>
      </c>
      <c r="H238" s="23">
        <v>5.0000000000000001E-3</v>
      </c>
      <c r="I238" s="39">
        <v>44317</v>
      </c>
      <c r="J238" s="39">
        <v>44347</v>
      </c>
      <c r="K238" s="24">
        <v>31</v>
      </c>
      <c r="L238" s="24">
        <v>5521</v>
      </c>
      <c r="M238" s="24">
        <v>13000000</v>
      </c>
    </row>
    <row r="239" spans="1:13" s="48" customFormat="1" outlineLevel="2">
      <c r="A239" s="39" t="s">
        <v>120</v>
      </c>
      <c r="B239" s="40" t="s">
        <v>172</v>
      </c>
      <c r="C239" s="41" t="s">
        <v>134</v>
      </c>
      <c r="D239" s="40" t="s">
        <v>135</v>
      </c>
      <c r="E239" s="24">
        <v>8000000</v>
      </c>
      <c r="F239" s="39">
        <v>44235</v>
      </c>
      <c r="G239" s="24">
        <v>8000000</v>
      </c>
      <c r="H239" s="23">
        <v>5.0000000000000001E-3</v>
      </c>
      <c r="I239" s="39">
        <v>44317</v>
      </c>
      <c r="J239" s="39">
        <v>44347</v>
      </c>
      <c r="K239" s="24">
        <v>31</v>
      </c>
      <c r="L239" s="24">
        <v>3397</v>
      </c>
      <c r="M239" s="24">
        <v>8000000</v>
      </c>
    </row>
    <row r="240" spans="1:13" s="48" customFormat="1" outlineLevel="2">
      <c r="A240" s="39" t="s">
        <v>120</v>
      </c>
      <c r="B240" s="40" t="s">
        <v>173</v>
      </c>
      <c r="C240" s="41" t="s">
        <v>134</v>
      </c>
      <c r="D240" s="40" t="s">
        <v>135</v>
      </c>
      <c r="E240" s="24">
        <v>6000000</v>
      </c>
      <c r="F240" s="39">
        <v>44231</v>
      </c>
      <c r="G240" s="24">
        <v>6000000</v>
      </c>
      <c r="H240" s="23">
        <v>5.0000000000000001E-3</v>
      </c>
      <c r="I240" s="39">
        <v>44317</v>
      </c>
      <c r="J240" s="39">
        <v>44347</v>
      </c>
      <c r="K240" s="24">
        <v>31</v>
      </c>
      <c r="L240" s="24">
        <v>2548</v>
      </c>
      <c r="M240" s="24">
        <v>6000000</v>
      </c>
    </row>
    <row r="241" spans="1:13" s="48" customFormat="1" outlineLevel="2">
      <c r="A241" s="39" t="s">
        <v>120</v>
      </c>
      <c r="B241" s="40" t="s">
        <v>62</v>
      </c>
      <c r="C241" s="41" t="s">
        <v>125</v>
      </c>
      <c r="D241" s="40" t="s">
        <v>126</v>
      </c>
      <c r="E241" s="24">
        <v>34480000</v>
      </c>
      <c r="F241" s="39">
        <v>43980</v>
      </c>
      <c r="G241" s="24">
        <v>34480000</v>
      </c>
      <c r="H241" s="23">
        <v>5.0000000000000001E-3</v>
      </c>
      <c r="I241" s="39">
        <v>44317</v>
      </c>
      <c r="J241" s="39">
        <v>44347</v>
      </c>
      <c r="K241" s="24">
        <v>31</v>
      </c>
      <c r="L241" s="24">
        <v>14642</v>
      </c>
      <c r="M241" s="24">
        <v>34480000</v>
      </c>
    </row>
    <row r="242" spans="1:13" s="48" customFormat="1" outlineLevel="2">
      <c r="A242" s="39" t="s">
        <v>120</v>
      </c>
      <c r="B242" s="40" t="s">
        <v>174</v>
      </c>
      <c r="C242" s="41" t="s">
        <v>246</v>
      </c>
      <c r="D242" s="40" t="s">
        <v>247</v>
      </c>
      <c r="E242" s="24">
        <v>11000000</v>
      </c>
      <c r="F242" s="39">
        <v>44235</v>
      </c>
      <c r="G242" s="24">
        <v>11000000</v>
      </c>
      <c r="H242" s="23">
        <v>5.0000000000000001E-3</v>
      </c>
      <c r="I242" s="39">
        <v>44317</v>
      </c>
      <c r="J242" s="39">
        <v>44347</v>
      </c>
      <c r="K242" s="24">
        <v>31</v>
      </c>
      <c r="L242" s="24">
        <v>4671</v>
      </c>
      <c r="M242" s="24">
        <v>11000000</v>
      </c>
    </row>
    <row r="243" spans="1:13" s="48" customFormat="1" outlineLevel="2">
      <c r="A243" s="39" t="s">
        <v>120</v>
      </c>
      <c r="B243" s="40" t="s">
        <v>175</v>
      </c>
      <c r="C243" s="41" t="s">
        <v>246</v>
      </c>
      <c r="D243" s="40" t="s">
        <v>247</v>
      </c>
      <c r="E243" s="24">
        <v>67000000</v>
      </c>
      <c r="F243" s="39">
        <v>44251</v>
      </c>
      <c r="G243" s="24">
        <v>67000000</v>
      </c>
      <c r="H243" s="23">
        <v>5.0000000000000001E-3</v>
      </c>
      <c r="I243" s="39">
        <v>44317</v>
      </c>
      <c r="J243" s="39">
        <v>44347</v>
      </c>
      <c r="K243" s="24">
        <v>31</v>
      </c>
      <c r="L243" s="24">
        <v>28452</v>
      </c>
      <c r="M243" s="24">
        <v>67000000</v>
      </c>
    </row>
    <row r="244" spans="1:13" s="48" customFormat="1" outlineLevel="2">
      <c r="A244" s="39" t="s">
        <v>120</v>
      </c>
      <c r="B244" s="40" t="s">
        <v>176</v>
      </c>
      <c r="C244" s="41" t="s">
        <v>306</v>
      </c>
      <c r="D244" s="40" t="s">
        <v>305</v>
      </c>
      <c r="E244" s="24">
        <v>320000000</v>
      </c>
      <c r="F244" s="39">
        <v>44228</v>
      </c>
      <c r="G244" s="24">
        <v>320000000</v>
      </c>
      <c r="H244" s="23">
        <v>5.0000000000000001E-3</v>
      </c>
      <c r="I244" s="39">
        <v>44317</v>
      </c>
      <c r="J244" s="39">
        <v>44347</v>
      </c>
      <c r="K244" s="24">
        <v>31</v>
      </c>
      <c r="L244" s="24">
        <v>135890</v>
      </c>
      <c r="M244" s="24">
        <v>320000000</v>
      </c>
    </row>
    <row r="245" spans="1:13" s="48" customFormat="1" outlineLevel="2">
      <c r="A245" s="39" t="s">
        <v>120</v>
      </c>
      <c r="B245" s="40" t="s">
        <v>177</v>
      </c>
      <c r="C245" s="41" t="s">
        <v>306</v>
      </c>
      <c r="D245" s="40" t="s">
        <v>305</v>
      </c>
      <c r="E245" s="24">
        <v>17000000</v>
      </c>
      <c r="F245" s="39">
        <v>44246</v>
      </c>
      <c r="G245" s="24">
        <v>17000000</v>
      </c>
      <c r="H245" s="23">
        <v>5.0000000000000001E-3</v>
      </c>
      <c r="I245" s="39">
        <v>44317</v>
      </c>
      <c r="J245" s="39">
        <v>44347</v>
      </c>
      <c r="K245" s="24">
        <v>31</v>
      </c>
      <c r="L245" s="24">
        <v>7219</v>
      </c>
      <c r="M245" s="24">
        <v>17000000</v>
      </c>
    </row>
    <row r="246" spans="1:13" s="48" customFormat="1" outlineLevel="2">
      <c r="A246" s="39" t="s">
        <v>120</v>
      </c>
      <c r="B246" s="40" t="s">
        <v>178</v>
      </c>
      <c r="C246" s="41" t="s">
        <v>71</v>
      </c>
      <c r="D246" s="40" t="s">
        <v>72</v>
      </c>
      <c r="E246" s="24">
        <v>19980000</v>
      </c>
      <c r="F246" s="39">
        <v>44252</v>
      </c>
      <c r="G246" s="24">
        <v>19980000</v>
      </c>
      <c r="H246" s="23">
        <v>5.0000000000000001E-3</v>
      </c>
      <c r="I246" s="39">
        <v>44317</v>
      </c>
      <c r="J246" s="39">
        <v>44347</v>
      </c>
      <c r="K246" s="24">
        <v>31</v>
      </c>
      <c r="L246" s="24">
        <v>8485</v>
      </c>
      <c r="M246" s="24">
        <v>19980000</v>
      </c>
    </row>
    <row r="247" spans="1:13" s="48" customFormat="1" outlineLevel="2">
      <c r="A247" s="39" t="s">
        <v>120</v>
      </c>
      <c r="B247" s="40" t="s">
        <v>179</v>
      </c>
      <c r="C247" s="41" t="s">
        <v>219</v>
      </c>
      <c r="D247" s="40" t="s">
        <v>220</v>
      </c>
      <c r="E247" s="24">
        <v>9000000</v>
      </c>
      <c r="F247" s="39">
        <v>44253</v>
      </c>
      <c r="G247" s="24">
        <v>9000000</v>
      </c>
      <c r="H247" s="23">
        <v>5.0000000000000001E-3</v>
      </c>
      <c r="I247" s="39">
        <v>44317</v>
      </c>
      <c r="J247" s="39">
        <v>44347</v>
      </c>
      <c r="K247" s="24">
        <v>31</v>
      </c>
      <c r="L247" s="24">
        <v>3822</v>
      </c>
      <c r="M247" s="24">
        <v>9000000</v>
      </c>
    </row>
    <row r="248" spans="1:13" s="48" customFormat="1" outlineLevel="2">
      <c r="A248" s="39" t="s">
        <v>120</v>
      </c>
      <c r="B248" s="40" t="s">
        <v>180</v>
      </c>
      <c r="C248" s="41" t="s">
        <v>219</v>
      </c>
      <c r="D248" s="40" t="s">
        <v>220</v>
      </c>
      <c r="E248" s="24">
        <v>17000000</v>
      </c>
      <c r="F248" s="39">
        <v>44253</v>
      </c>
      <c r="G248" s="24">
        <v>17000000</v>
      </c>
      <c r="H248" s="23">
        <v>5.0000000000000001E-3</v>
      </c>
      <c r="I248" s="39">
        <v>44317</v>
      </c>
      <c r="J248" s="39">
        <v>44347</v>
      </c>
      <c r="K248" s="24">
        <v>31</v>
      </c>
      <c r="L248" s="24">
        <v>7219</v>
      </c>
      <c r="M248" s="24">
        <v>17000000</v>
      </c>
    </row>
    <row r="249" spans="1:13" s="48" customFormat="1" outlineLevel="2">
      <c r="A249" s="39" t="s">
        <v>120</v>
      </c>
      <c r="B249" s="40" t="s">
        <v>181</v>
      </c>
      <c r="C249" s="41" t="s">
        <v>37</v>
      </c>
      <c r="D249" s="40" t="s">
        <v>38</v>
      </c>
      <c r="E249" s="24">
        <v>90862000</v>
      </c>
      <c r="F249" s="39">
        <v>44285</v>
      </c>
      <c r="G249" s="24">
        <v>90862000</v>
      </c>
      <c r="H249" s="23">
        <v>5.0000000000000001E-3</v>
      </c>
      <c r="I249" s="39">
        <v>44317</v>
      </c>
      <c r="J249" s="39">
        <v>44347</v>
      </c>
      <c r="K249" s="24">
        <v>31</v>
      </c>
      <c r="L249" s="24">
        <v>38585</v>
      </c>
      <c r="M249" s="24">
        <v>90862000</v>
      </c>
    </row>
    <row r="250" spans="1:13" s="48" customFormat="1" outlineLevel="2">
      <c r="A250" s="39" t="s">
        <v>120</v>
      </c>
      <c r="B250" s="40" t="s">
        <v>182</v>
      </c>
      <c r="C250" s="41" t="s">
        <v>37</v>
      </c>
      <c r="D250" s="40" t="s">
        <v>38</v>
      </c>
      <c r="E250" s="24">
        <v>49390000</v>
      </c>
      <c r="F250" s="39">
        <v>44285</v>
      </c>
      <c r="G250" s="24">
        <v>49390000</v>
      </c>
      <c r="H250" s="23">
        <v>5.0000000000000001E-3</v>
      </c>
      <c r="I250" s="39">
        <v>44317</v>
      </c>
      <c r="J250" s="39">
        <v>44347</v>
      </c>
      <c r="K250" s="24">
        <v>31</v>
      </c>
      <c r="L250" s="24">
        <v>20974</v>
      </c>
      <c r="M250" s="24">
        <v>49390000</v>
      </c>
    </row>
    <row r="251" spans="1:13" s="48" customFormat="1" outlineLevel="2">
      <c r="A251" s="39" t="s">
        <v>120</v>
      </c>
      <c r="B251" s="40" t="s">
        <v>183</v>
      </c>
      <c r="C251" s="41" t="s">
        <v>134</v>
      </c>
      <c r="D251" s="40" t="s">
        <v>135</v>
      </c>
      <c r="E251" s="24">
        <v>9000000</v>
      </c>
      <c r="F251" s="39">
        <v>44285</v>
      </c>
      <c r="G251" s="24">
        <v>9000000</v>
      </c>
      <c r="H251" s="23">
        <v>5.0000000000000001E-3</v>
      </c>
      <c r="I251" s="39">
        <v>44317</v>
      </c>
      <c r="J251" s="39">
        <v>44347</v>
      </c>
      <c r="K251" s="24">
        <v>31</v>
      </c>
      <c r="L251" s="24">
        <v>3822</v>
      </c>
      <c r="M251" s="24">
        <v>9000000</v>
      </c>
    </row>
    <row r="252" spans="1:13" s="48" customFormat="1" outlineLevel="2">
      <c r="A252" s="39" t="s">
        <v>120</v>
      </c>
      <c r="B252" s="40" t="s">
        <v>63</v>
      </c>
      <c r="C252" s="41" t="s">
        <v>66</v>
      </c>
      <c r="D252" s="40" t="s">
        <v>67</v>
      </c>
      <c r="E252" s="24">
        <v>56000000</v>
      </c>
      <c r="F252" s="39">
        <v>43966</v>
      </c>
      <c r="G252" s="24">
        <v>56000000</v>
      </c>
      <c r="H252" s="23">
        <v>5.0000000000000001E-3</v>
      </c>
      <c r="I252" s="39">
        <v>44317</v>
      </c>
      <c r="J252" s="39">
        <v>44347</v>
      </c>
      <c r="K252" s="24">
        <v>31</v>
      </c>
      <c r="L252" s="24">
        <v>23781</v>
      </c>
      <c r="M252" s="24">
        <v>56000000</v>
      </c>
    </row>
    <row r="253" spans="1:13" s="48" customFormat="1" outlineLevel="2">
      <c r="A253" s="39" t="s">
        <v>120</v>
      </c>
      <c r="B253" s="40" t="s">
        <v>184</v>
      </c>
      <c r="C253" s="41" t="s">
        <v>125</v>
      </c>
      <c r="D253" s="40" t="s">
        <v>126</v>
      </c>
      <c r="E253" s="24">
        <v>28000000</v>
      </c>
      <c r="F253" s="39">
        <v>44264</v>
      </c>
      <c r="G253" s="24">
        <v>28000000</v>
      </c>
      <c r="H253" s="23">
        <v>5.0000000000000001E-3</v>
      </c>
      <c r="I253" s="39">
        <v>44317</v>
      </c>
      <c r="J253" s="39">
        <v>44347</v>
      </c>
      <c r="K253" s="24">
        <v>31</v>
      </c>
      <c r="L253" s="24">
        <v>11890</v>
      </c>
      <c r="M253" s="24">
        <v>28000000</v>
      </c>
    </row>
    <row r="254" spans="1:13" s="48" customFormat="1" outlineLevel="2">
      <c r="A254" s="39" t="s">
        <v>120</v>
      </c>
      <c r="B254" s="40" t="s">
        <v>185</v>
      </c>
      <c r="C254" s="41" t="s">
        <v>125</v>
      </c>
      <c r="D254" s="40" t="s">
        <v>126</v>
      </c>
      <c r="E254" s="24">
        <v>26000000</v>
      </c>
      <c r="F254" s="39">
        <v>44264</v>
      </c>
      <c r="G254" s="24">
        <v>26000000</v>
      </c>
      <c r="H254" s="23">
        <v>5.0000000000000001E-3</v>
      </c>
      <c r="I254" s="39">
        <v>44317</v>
      </c>
      <c r="J254" s="39">
        <v>44347</v>
      </c>
      <c r="K254" s="24">
        <v>31</v>
      </c>
      <c r="L254" s="24">
        <v>11041</v>
      </c>
      <c r="M254" s="24">
        <v>26000000</v>
      </c>
    </row>
    <row r="255" spans="1:13" s="48" customFormat="1" outlineLevel="2">
      <c r="A255" s="39" t="s">
        <v>120</v>
      </c>
      <c r="B255" s="40" t="s">
        <v>186</v>
      </c>
      <c r="C255" s="41" t="s">
        <v>30</v>
      </c>
      <c r="D255" s="40" t="s">
        <v>31</v>
      </c>
      <c r="E255" s="24">
        <v>60000000</v>
      </c>
      <c r="F255" s="39">
        <v>44272</v>
      </c>
      <c r="G255" s="24">
        <v>60000000</v>
      </c>
      <c r="H255" s="23">
        <v>5.0000000000000001E-3</v>
      </c>
      <c r="I255" s="39">
        <v>44317</v>
      </c>
      <c r="J255" s="39">
        <v>44347</v>
      </c>
      <c r="K255" s="24">
        <v>31</v>
      </c>
      <c r="L255" s="24">
        <v>25479</v>
      </c>
      <c r="M255" s="24">
        <v>60000000</v>
      </c>
    </row>
    <row r="256" spans="1:13" s="48" customFormat="1" outlineLevel="2">
      <c r="A256" s="39" t="s">
        <v>120</v>
      </c>
      <c r="B256" s="40" t="s">
        <v>189</v>
      </c>
      <c r="C256" s="41" t="s">
        <v>324</v>
      </c>
      <c r="D256" s="40" t="s">
        <v>323</v>
      </c>
      <c r="E256" s="24">
        <v>37000000</v>
      </c>
      <c r="F256" s="39">
        <v>44270</v>
      </c>
      <c r="G256" s="24">
        <v>36691666</v>
      </c>
      <c r="H256" s="23">
        <v>5.0000000000000001E-3</v>
      </c>
      <c r="I256" s="39">
        <v>44317</v>
      </c>
      <c r="J256" s="39">
        <v>44332</v>
      </c>
      <c r="K256" s="24">
        <v>16</v>
      </c>
      <c r="L256" s="24">
        <v>8042</v>
      </c>
      <c r="M256" s="24">
        <v>36383332</v>
      </c>
    </row>
    <row r="257" spans="1:13" s="48" customFormat="1" outlineLevel="2">
      <c r="A257" s="39" t="s">
        <v>120</v>
      </c>
      <c r="B257" s="40" t="s">
        <v>189</v>
      </c>
      <c r="C257" s="41" t="s">
        <v>324</v>
      </c>
      <c r="D257" s="40"/>
      <c r="E257" s="24"/>
      <c r="F257" s="39"/>
      <c r="G257" s="24">
        <v>36383332</v>
      </c>
      <c r="H257" s="23">
        <v>5.0000000000000001E-3</v>
      </c>
      <c r="I257" s="39">
        <v>44333</v>
      </c>
      <c r="J257" s="39">
        <v>44347</v>
      </c>
      <c r="K257" s="24">
        <v>15</v>
      </c>
      <c r="L257" s="24">
        <v>7476</v>
      </c>
      <c r="M257" s="24"/>
    </row>
    <row r="258" spans="1:13" s="48" customFormat="1" outlineLevel="2">
      <c r="A258" s="39" t="s">
        <v>120</v>
      </c>
      <c r="B258" s="40" t="s">
        <v>190</v>
      </c>
      <c r="C258" s="41" t="s">
        <v>324</v>
      </c>
      <c r="D258" s="40" t="s">
        <v>323</v>
      </c>
      <c r="E258" s="24">
        <v>23000000</v>
      </c>
      <c r="F258" s="39">
        <v>44270</v>
      </c>
      <c r="G258" s="24">
        <v>22726190</v>
      </c>
      <c r="H258" s="23">
        <v>5.0000000000000001E-3</v>
      </c>
      <c r="I258" s="39">
        <v>44317</v>
      </c>
      <c r="J258" s="39">
        <v>44332</v>
      </c>
      <c r="K258" s="24">
        <v>16</v>
      </c>
      <c r="L258" s="24">
        <v>4981</v>
      </c>
      <c r="M258" s="24">
        <v>22452380</v>
      </c>
    </row>
    <row r="259" spans="1:13" s="48" customFormat="1" outlineLevel="2">
      <c r="A259" s="39" t="s">
        <v>120</v>
      </c>
      <c r="B259" s="40" t="s">
        <v>190</v>
      </c>
      <c r="C259" s="41" t="s">
        <v>324</v>
      </c>
      <c r="D259" s="40"/>
      <c r="E259" s="24"/>
      <c r="F259" s="39"/>
      <c r="G259" s="24">
        <v>22452380</v>
      </c>
      <c r="H259" s="23">
        <v>5.0000000000000001E-3</v>
      </c>
      <c r="I259" s="39">
        <v>44333</v>
      </c>
      <c r="J259" s="39">
        <v>44347</v>
      </c>
      <c r="K259" s="24">
        <v>15</v>
      </c>
      <c r="L259" s="24">
        <v>4614</v>
      </c>
      <c r="M259" s="24"/>
    </row>
    <row r="260" spans="1:13" s="48" customFormat="1" outlineLevel="2">
      <c r="A260" s="39" t="s">
        <v>120</v>
      </c>
      <c r="B260" s="40" t="s">
        <v>191</v>
      </c>
      <c r="C260" s="41" t="s">
        <v>324</v>
      </c>
      <c r="D260" s="40" t="s">
        <v>323</v>
      </c>
      <c r="E260" s="24">
        <v>30000000</v>
      </c>
      <c r="F260" s="39">
        <v>44270</v>
      </c>
      <c r="G260" s="24">
        <v>29642857</v>
      </c>
      <c r="H260" s="23">
        <v>5.0000000000000001E-3</v>
      </c>
      <c r="I260" s="39">
        <v>44317</v>
      </c>
      <c r="J260" s="39">
        <v>44332</v>
      </c>
      <c r="K260" s="24">
        <v>16</v>
      </c>
      <c r="L260" s="24">
        <v>6497</v>
      </c>
      <c r="M260" s="24">
        <v>29285714</v>
      </c>
    </row>
    <row r="261" spans="1:13" s="48" customFormat="1" outlineLevel="2">
      <c r="A261" s="39" t="s">
        <v>120</v>
      </c>
      <c r="B261" s="40" t="s">
        <v>191</v>
      </c>
      <c r="C261" s="41" t="s">
        <v>324</v>
      </c>
      <c r="D261" s="40"/>
      <c r="E261" s="24"/>
      <c r="F261" s="39"/>
      <c r="G261" s="24">
        <v>29285714</v>
      </c>
      <c r="H261" s="23">
        <v>5.0000000000000001E-3</v>
      </c>
      <c r="I261" s="39">
        <v>44333</v>
      </c>
      <c r="J261" s="39">
        <v>44347</v>
      </c>
      <c r="K261" s="24">
        <v>15</v>
      </c>
      <c r="L261" s="24">
        <v>6018</v>
      </c>
      <c r="M261" s="24"/>
    </row>
    <row r="262" spans="1:13" s="48" customFormat="1" outlineLevel="2">
      <c r="A262" s="39" t="s">
        <v>120</v>
      </c>
      <c r="B262" s="40" t="s">
        <v>192</v>
      </c>
      <c r="C262" s="41" t="s">
        <v>341</v>
      </c>
      <c r="D262" s="40" t="s">
        <v>340</v>
      </c>
      <c r="E262" s="24">
        <v>33600000</v>
      </c>
      <c r="F262" s="39">
        <v>44314</v>
      </c>
      <c r="G262" s="24">
        <v>33600000</v>
      </c>
      <c r="H262" s="23">
        <v>5.0000000000000001E-3</v>
      </c>
      <c r="I262" s="39">
        <v>44317</v>
      </c>
      <c r="J262" s="39">
        <v>44347</v>
      </c>
      <c r="K262" s="24">
        <v>31</v>
      </c>
      <c r="L262" s="24">
        <v>14268</v>
      </c>
      <c r="M262" s="24">
        <v>33600000</v>
      </c>
    </row>
    <row r="263" spans="1:13" s="48" customFormat="1" outlineLevel="2">
      <c r="A263" s="39" t="s">
        <v>120</v>
      </c>
      <c r="B263" s="40" t="s">
        <v>193</v>
      </c>
      <c r="C263" s="41" t="s">
        <v>219</v>
      </c>
      <c r="D263" s="40" t="s">
        <v>220</v>
      </c>
      <c r="E263" s="24">
        <v>22000000</v>
      </c>
      <c r="F263" s="39">
        <v>44314</v>
      </c>
      <c r="G263" s="24">
        <v>22000000</v>
      </c>
      <c r="H263" s="23">
        <v>5.0000000000000001E-3</v>
      </c>
      <c r="I263" s="39">
        <v>44317</v>
      </c>
      <c r="J263" s="39">
        <v>44347</v>
      </c>
      <c r="K263" s="24">
        <v>31</v>
      </c>
      <c r="L263" s="24">
        <v>9342</v>
      </c>
      <c r="M263" s="24">
        <v>22000000</v>
      </c>
    </row>
    <row r="264" spans="1:13" s="48" customFormat="1" outlineLevel="2">
      <c r="A264" s="39" t="s">
        <v>120</v>
      </c>
      <c r="B264" s="40" t="s">
        <v>194</v>
      </c>
      <c r="C264" s="41" t="s">
        <v>345</v>
      </c>
      <c r="D264" s="40" t="s">
        <v>344</v>
      </c>
      <c r="E264" s="24">
        <v>16000000</v>
      </c>
      <c r="F264" s="39">
        <v>44315</v>
      </c>
      <c r="G264" s="24">
        <v>16000000</v>
      </c>
      <c r="H264" s="23">
        <v>3.0000000000000001E-3</v>
      </c>
      <c r="I264" s="39">
        <v>44317</v>
      </c>
      <c r="J264" s="39">
        <v>44347</v>
      </c>
      <c r="K264" s="24">
        <v>31</v>
      </c>
      <c r="L264" s="24">
        <v>4077</v>
      </c>
      <c r="M264" s="24">
        <v>16000000</v>
      </c>
    </row>
    <row r="265" spans="1:13" s="48" customFormat="1" outlineLevel="2">
      <c r="A265" s="39" t="s">
        <v>120</v>
      </c>
      <c r="B265" s="40" t="s">
        <v>195</v>
      </c>
      <c r="C265" s="41" t="s">
        <v>363</v>
      </c>
      <c r="D265" s="40" t="s">
        <v>362</v>
      </c>
      <c r="E265" s="24">
        <v>3800000</v>
      </c>
      <c r="F265" s="39">
        <v>44309</v>
      </c>
      <c r="G265" s="24">
        <v>3800000</v>
      </c>
      <c r="H265" s="23">
        <v>5.0000000000000001E-3</v>
      </c>
      <c r="I265" s="39">
        <v>44317</v>
      </c>
      <c r="J265" s="39">
        <v>44347</v>
      </c>
      <c r="K265" s="24">
        <v>31</v>
      </c>
      <c r="L265" s="24">
        <v>1614</v>
      </c>
      <c r="M265" s="24">
        <v>3800000</v>
      </c>
    </row>
    <row r="266" spans="1:13" s="48" customFormat="1" outlineLevel="2">
      <c r="A266" s="39" t="s">
        <v>120</v>
      </c>
      <c r="B266" s="40" t="s">
        <v>64</v>
      </c>
      <c r="C266" s="41" t="s">
        <v>20</v>
      </c>
      <c r="D266" s="40" t="s">
        <v>21</v>
      </c>
      <c r="E266" s="24">
        <v>150000000</v>
      </c>
      <c r="F266" s="39">
        <v>43958</v>
      </c>
      <c r="G266" s="24">
        <v>150000000</v>
      </c>
      <c r="H266" s="23">
        <v>5.0000000000000001E-3</v>
      </c>
      <c r="I266" s="39">
        <v>44317</v>
      </c>
      <c r="J266" s="39">
        <v>44347</v>
      </c>
      <c r="K266" s="24">
        <v>31</v>
      </c>
      <c r="L266" s="24">
        <v>63699</v>
      </c>
      <c r="M266" s="24">
        <v>150000000</v>
      </c>
    </row>
    <row r="267" spans="1:13" s="48" customFormat="1" outlineLevel="2">
      <c r="A267" s="39" t="s">
        <v>120</v>
      </c>
      <c r="B267" s="40" t="s">
        <v>196</v>
      </c>
      <c r="C267" s="41" t="s">
        <v>17</v>
      </c>
      <c r="D267" s="40" t="s">
        <v>18</v>
      </c>
      <c r="E267" s="24">
        <v>2245530</v>
      </c>
      <c r="F267" s="39">
        <v>44334</v>
      </c>
      <c r="G267" s="24">
        <v>2245530</v>
      </c>
      <c r="H267" s="23">
        <v>5.0000000000000001E-3</v>
      </c>
      <c r="I267" s="39">
        <v>44334</v>
      </c>
      <c r="J267" s="39">
        <v>44347</v>
      </c>
      <c r="K267" s="24">
        <v>14</v>
      </c>
      <c r="L267" s="24">
        <v>431</v>
      </c>
      <c r="M267" s="24">
        <v>2245530</v>
      </c>
    </row>
    <row r="268" spans="1:13" s="48" customFormat="1" outlineLevel="2">
      <c r="A268" s="39" t="s">
        <v>120</v>
      </c>
      <c r="B268" s="40" t="s">
        <v>65</v>
      </c>
      <c r="C268" s="41" t="s">
        <v>125</v>
      </c>
      <c r="D268" s="40" t="s">
        <v>126</v>
      </c>
      <c r="E268" s="24">
        <v>5000000</v>
      </c>
      <c r="F268" s="39">
        <v>43998</v>
      </c>
      <c r="G268" s="24">
        <v>5000000</v>
      </c>
      <c r="H268" s="23">
        <v>5.0000000000000001E-3</v>
      </c>
      <c r="I268" s="39">
        <v>44317</v>
      </c>
      <c r="J268" s="39">
        <v>44347</v>
      </c>
      <c r="K268" s="24">
        <v>31</v>
      </c>
      <c r="L268" s="24">
        <v>2123</v>
      </c>
      <c r="M268" s="24">
        <v>5000000</v>
      </c>
    </row>
    <row r="269" spans="1:13" s="48" customFormat="1" outlineLevel="2">
      <c r="A269" s="39" t="s">
        <v>120</v>
      </c>
      <c r="B269" s="40" t="s">
        <v>68</v>
      </c>
      <c r="C269" s="41" t="s">
        <v>125</v>
      </c>
      <c r="D269" s="40" t="s">
        <v>126</v>
      </c>
      <c r="E269" s="24">
        <v>17292000</v>
      </c>
      <c r="F269" s="39">
        <v>44002</v>
      </c>
      <c r="G269" s="24">
        <v>17292000</v>
      </c>
      <c r="H269" s="23">
        <v>5.0000000000000001E-3</v>
      </c>
      <c r="I269" s="39">
        <v>44317</v>
      </c>
      <c r="J269" s="39">
        <v>44347</v>
      </c>
      <c r="K269" s="24">
        <v>31</v>
      </c>
      <c r="L269" s="24">
        <v>7343</v>
      </c>
      <c r="M269" s="24">
        <v>17292000</v>
      </c>
    </row>
    <row r="270" spans="1:13" s="48" customFormat="1" outlineLevel="1">
      <c r="A270" s="42" t="s">
        <v>141</v>
      </c>
      <c r="B270" s="43"/>
      <c r="C270" s="44"/>
      <c r="D270" s="43"/>
      <c r="E270" s="45">
        <v>4273843430</v>
      </c>
      <c r="F270" s="46"/>
      <c r="G270" s="45"/>
      <c r="H270" s="47"/>
      <c r="I270" s="46"/>
      <c r="J270" s="46"/>
      <c r="K270" s="45"/>
      <c r="L270" s="45">
        <v>1668222</v>
      </c>
      <c r="M270" s="45">
        <v>4200964492</v>
      </c>
    </row>
    <row r="271" spans="1:13" s="48" customFormat="1" outlineLevel="2">
      <c r="A271" s="39" t="s">
        <v>142</v>
      </c>
      <c r="B271" s="40" t="s">
        <v>16</v>
      </c>
      <c r="C271" s="41" t="s">
        <v>143</v>
      </c>
      <c r="D271" s="40" t="s">
        <v>144</v>
      </c>
      <c r="E271" s="24">
        <v>38000000</v>
      </c>
      <c r="F271" s="39">
        <v>43762</v>
      </c>
      <c r="G271" s="24">
        <v>38000000</v>
      </c>
      <c r="H271" s="23">
        <v>5.0000000000000001E-3</v>
      </c>
      <c r="I271" s="39">
        <v>44317</v>
      </c>
      <c r="J271" s="39">
        <v>44347</v>
      </c>
      <c r="K271" s="24">
        <v>31</v>
      </c>
      <c r="L271" s="24">
        <v>16137</v>
      </c>
      <c r="M271" s="24">
        <v>38000000</v>
      </c>
    </row>
    <row r="272" spans="1:13" s="48" customFormat="1" outlineLevel="2">
      <c r="A272" s="39" t="s">
        <v>142</v>
      </c>
      <c r="B272" s="40" t="s">
        <v>19</v>
      </c>
      <c r="C272" s="41" t="s">
        <v>60</v>
      </c>
      <c r="D272" s="40" t="s">
        <v>61</v>
      </c>
      <c r="E272" s="24">
        <v>110000000</v>
      </c>
      <c r="F272" s="39">
        <v>43913</v>
      </c>
      <c r="G272" s="24">
        <v>110000000</v>
      </c>
      <c r="H272" s="23">
        <v>5.0000000000000001E-3</v>
      </c>
      <c r="I272" s="39">
        <v>44317</v>
      </c>
      <c r="J272" s="39">
        <v>44347</v>
      </c>
      <c r="K272" s="24">
        <v>31</v>
      </c>
      <c r="L272" s="24">
        <v>46712</v>
      </c>
      <c r="M272" s="24">
        <v>110000000</v>
      </c>
    </row>
    <row r="273" spans="1:13" s="48" customFormat="1" outlineLevel="2">
      <c r="A273" s="39" t="s">
        <v>142</v>
      </c>
      <c r="B273" s="40" t="s">
        <v>145</v>
      </c>
      <c r="C273" s="41" t="s">
        <v>146</v>
      </c>
      <c r="D273" s="40" t="s">
        <v>147</v>
      </c>
      <c r="E273" s="24">
        <v>5000000</v>
      </c>
      <c r="F273" s="39">
        <v>44204</v>
      </c>
      <c r="G273" s="24">
        <v>5000000</v>
      </c>
      <c r="H273" s="23">
        <v>5.0000000000000001E-3</v>
      </c>
      <c r="I273" s="39">
        <v>44317</v>
      </c>
      <c r="J273" s="39">
        <v>44347</v>
      </c>
      <c r="K273" s="24">
        <v>31</v>
      </c>
      <c r="L273" s="24">
        <v>2123</v>
      </c>
      <c r="M273" s="24">
        <v>5000000</v>
      </c>
    </row>
    <row r="274" spans="1:13" s="48" customFormat="1" outlineLevel="2">
      <c r="A274" s="39" t="s">
        <v>142</v>
      </c>
      <c r="B274" s="40" t="s">
        <v>148</v>
      </c>
      <c r="C274" s="41" t="s">
        <v>149</v>
      </c>
      <c r="D274" s="40" t="s">
        <v>150</v>
      </c>
      <c r="E274" s="24">
        <v>3528000</v>
      </c>
      <c r="F274" s="39">
        <v>44207</v>
      </c>
      <c r="G274" s="24">
        <v>3528000</v>
      </c>
      <c r="H274" s="23">
        <v>5.0000000000000001E-3</v>
      </c>
      <c r="I274" s="39">
        <v>44317</v>
      </c>
      <c r="J274" s="39">
        <v>44347</v>
      </c>
      <c r="K274" s="24">
        <v>31</v>
      </c>
      <c r="L274" s="24">
        <v>1498</v>
      </c>
      <c r="M274" s="24">
        <v>3528000</v>
      </c>
    </row>
    <row r="275" spans="1:13" s="48" customFormat="1" outlineLevel="2">
      <c r="A275" s="39" t="s">
        <v>142</v>
      </c>
      <c r="B275" s="40" t="s">
        <v>151</v>
      </c>
      <c r="C275" s="41" t="s">
        <v>149</v>
      </c>
      <c r="D275" s="40" t="s">
        <v>150</v>
      </c>
      <c r="E275" s="24">
        <v>2520000</v>
      </c>
      <c r="F275" s="39">
        <v>44207</v>
      </c>
      <c r="G275" s="24">
        <v>2520000</v>
      </c>
      <c r="H275" s="23">
        <v>5.0000000000000001E-3</v>
      </c>
      <c r="I275" s="39">
        <v>44317</v>
      </c>
      <c r="J275" s="39">
        <v>44347</v>
      </c>
      <c r="K275" s="24">
        <v>31</v>
      </c>
      <c r="L275" s="24">
        <v>1070</v>
      </c>
      <c r="M275" s="24">
        <v>2520000</v>
      </c>
    </row>
    <row r="276" spans="1:13" s="48" customFormat="1" outlineLevel="2">
      <c r="A276" s="39" t="s">
        <v>142</v>
      </c>
      <c r="B276" s="40" t="s">
        <v>152</v>
      </c>
      <c r="C276" s="41" t="s">
        <v>149</v>
      </c>
      <c r="D276" s="40" t="s">
        <v>150</v>
      </c>
      <c r="E276" s="24">
        <v>4368000</v>
      </c>
      <c r="F276" s="39">
        <v>44210</v>
      </c>
      <c r="G276" s="24">
        <v>4368000</v>
      </c>
      <c r="H276" s="23">
        <v>5.0000000000000001E-3</v>
      </c>
      <c r="I276" s="39">
        <v>44317</v>
      </c>
      <c r="J276" s="39">
        <v>44347</v>
      </c>
      <c r="K276" s="24">
        <v>31</v>
      </c>
      <c r="L276" s="24">
        <v>1855</v>
      </c>
      <c r="M276" s="24">
        <v>4368000</v>
      </c>
    </row>
    <row r="277" spans="1:13" s="48" customFormat="1" outlineLevel="2">
      <c r="A277" s="39" t="s">
        <v>142</v>
      </c>
      <c r="B277" s="40" t="s">
        <v>153</v>
      </c>
      <c r="C277" s="41" t="s">
        <v>149</v>
      </c>
      <c r="D277" s="40" t="s">
        <v>150</v>
      </c>
      <c r="E277" s="24">
        <v>95583736</v>
      </c>
      <c r="F277" s="39">
        <v>44225</v>
      </c>
      <c r="G277" s="24">
        <v>95583736</v>
      </c>
      <c r="H277" s="23">
        <v>5.0000000000000001E-3</v>
      </c>
      <c r="I277" s="39">
        <v>44317</v>
      </c>
      <c r="J277" s="39">
        <v>44347</v>
      </c>
      <c r="K277" s="24">
        <v>31</v>
      </c>
      <c r="L277" s="24">
        <v>40590</v>
      </c>
      <c r="M277" s="24">
        <v>95583736</v>
      </c>
    </row>
    <row r="278" spans="1:13" s="48" customFormat="1" outlineLevel="2">
      <c r="A278" s="39" t="s">
        <v>142</v>
      </c>
      <c r="B278" s="40" t="s">
        <v>154</v>
      </c>
      <c r="C278" s="41" t="s">
        <v>155</v>
      </c>
      <c r="D278" s="40" t="s">
        <v>156</v>
      </c>
      <c r="E278" s="24">
        <v>200000000</v>
      </c>
      <c r="F278" s="39">
        <v>44211</v>
      </c>
      <c r="G278" s="24">
        <v>200000000</v>
      </c>
      <c r="H278" s="23">
        <v>5.0000000000000001E-3</v>
      </c>
      <c r="I278" s="39">
        <v>44317</v>
      </c>
      <c r="J278" s="39">
        <v>44347</v>
      </c>
      <c r="K278" s="24">
        <v>31</v>
      </c>
      <c r="L278" s="24">
        <v>84932</v>
      </c>
      <c r="M278" s="24">
        <v>200000000</v>
      </c>
    </row>
    <row r="279" spans="1:13" s="48" customFormat="1" outlineLevel="2">
      <c r="A279" s="39" t="s">
        <v>142</v>
      </c>
      <c r="B279" s="40" t="s">
        <v>157</v>
      </c>
      <c r="C279" s="41" t="s">
        <v>125</v>
      </c>
      <c r="D279" s="40" t="s">
        <v>126</v>
      </c>
      <c r="E279" s="24">
        <v>3000000</v>
      </c>
      <c r="F279" s="39">
        <v>44216</v>
      </c>
      <c r="G279" s="24">
        <v>3000000</v>
      </c>
      <c r="H279" s="23">
        <v>5.0000000000000001E-3</v>
      </c>
      <c r="I279" s="39">
        <v>44317</v>
      </c>
      <c r="J279" s="39">
        <v>44347</v>
      </c>
      <c r="K279" s="24">
        <v>31</v>
      </c>
      <c r="L279" s="24">
        <v>1274</v>
      </c>
      <c r="M279" s="24">
        <v>3000000</v>
      </c>
    </row>
    <row r="280" spans="1:13" s="48" customFormat="1" outlineLevel="2">
      <c r="A280" s="39" t="s">
        <v>142</v>
      </c>
      <c r="B280" s="40" t="s">
        <v>158</v>
      </c>
      <c r="C280" s="41" t="s">
        <v>125</v>
      </c>
      <c r="D280" s="40" t="s">
        <v>126</v>
      </c>
      <c r="E280" s="24">
        <v>10000000</v>
      </c>
      <c r="F280" s="39">
        <v>44216</v>
      </c>
      <c r="G280" s="24">
        <v>10000000</v>
      </c>
      <c r="H280" s="23">
        <v>5.0000000000000001E-3</v>
      </c>
      <c r="I280" s="39">
        <v>44317</v>
      </c>
      <c r="J280" s="39">
        <v>44347</v>
      </c>
      <c r="K280" s="24">
        <v>31</v>
      </c>
      <c r="L280" s="24">
        <v>4247</v>
      </c>
      <c r="M280" s="24">
        <v>10000000</v>
      </c>
    </row>
    <row r="281" spans="1:13" s="48" customFormat="1" outlineLevel="2">
      <c r="A281" s="39" t="s">
        <v>142</v>
      </c>
      <c r="B281" s="40" t="s">
        <v>159</v>
      </c>
      <c r="C281" s="41" t="s">
        <v>87</v>
      </c>
      <c r="D281" s="40" t="s">
        <v>88</v>
      </c>
      <c r="E281" s="24">
        <v>14776161</v>
      </c>
      <c r="F281" s="39">
        <v>44221</v>
      </c>
      <c r="G281" s="24">
        <v>14776161</v>
      </c>
      <c r="H281" s="23">
        <v>5.0000000000000001E-3</v>
      </c>
      <c r="I281" s="39">
        <v>44317</v>
      </c>
      <c r="J281" s="39">
        <v>44347</v>
      </c>
      <c r="K281" s="24">
        <v>31</v>
      </c>
      <c r="L281" s="24">
        <v>6275</v>
      </c>
      <c r="M281" s="24">
        <v>14776161</v>
      </c>
    </row>
    <row r="282" spans="1:13" s="48" customFormat="1" outlineLevel="2">
      <c r="A282" s="39" t="s">
        <v>142</v>
      </c>
      <c r="B282" s="40" t="s">
        <v>320</v>
      </c>
      <c r="C282" s="41" t="s">
        <v>143</v>
      </c>
      <c r="D282" s="40" t="s">
        <v>144</v>
      </c>
      <c r="E282" s="24">
        <v>4100000</v>
      </c>
      <c r="F282" s="39">
        <v>44228</v>
      </c>
      <c r="G282" s="24">
        <v>4100000</v>
      </c>
      <c r="H282" s="23">
        <v>5.0000000000000001E-3</v>
      </c>
      <c r="I282" s="39">
        <v>44317</v>
      </c>
      <c r="J282" s="39">
        <v>44347</v>
      </c>
      <c r="K282" s="24">
        <v>31</v>
      </c>
      <c r="L282" s="24">
        <v>1741</v>
      </c>
      <c r="M282" s="24">
        <v>4100000</v>
      </c>
    </row>
    <row r="283" spans="1:13" s="48" customFormat="1" outlineLevel="2">
      <c r="A283" s="39" t="s">
        <v>142</v>
      </c>
      <c r="B283" s="40" t="s">
        <v>22</v>
      </c>
      <c r="C283" s="41" t="s">
        <v>149</v>
      </c>
      <c r="D283" s="40" t="s">
        <v>150</v>
      </c>
      <c r="E283" s="24">
        <v>95655336</v>
      </c>
      <c r="F283" s="39">
        <v>43951</v>
      </c>
      <c r="G283" s="24">
        <v>95655336</v>
      </c>
      <c r="H283" s="23">
        <v>5.0000000000000001E-3</v>
      </c>
      <c r="I283" s="39">
        <v>44317</v>
      </c>
      <c r="J283" s="39">
        <v>44347</v>
      </c>
      <c r="K283" s="24">
        <v>31</v>
      </c>
      <c r="L283" s="24">
        <v>40621</v>
      </c>
      <c r="M283" s="24">
        <v>95655336</v>
      </c>
    </row>
    <row r="284" spans="1:13" s="48" customFormat="1" outlineLevel="2">
      <c r="A284" s="39" t="s">
        <v>142</v>
      </c>
      <c r="B284" s="40" t="s">
        <v>319</v>
      </c>
      <c r="C284" s="41" t="s">
        <v>149</v>
      </c>
      <c r="D284" s="40" t="s">
        <v>150</v>
      </c>
      <c r="E284" s="24">
        <v>13843200</v>
      </c>
      <c r="F284" s="39">
        <v>44232</v>
      </c>
      <c r="G284" s="24">
        <v>13843200</v>
      </c>
      <c r="H284" s="23">
        <v>5.0000000000000001E-3</v>
      </c>
      <c r="I284" s="39">
        <v>44317</v>
      </c>
      <c r="J284" s="39">
        <v>44347</v>
      </c>
      <c r="K284" s="24">
        <v>31</v>
      </c>
      <c r="L284" s="24">
        <v>5879</v>
      </c>
      <c r="M284" s="24">
        <v>13843200</v>
      </c>
    </row>
    <row r="285" spans="1:13" s="48" customFormat="1" outlineLevel="2">
      <c r="A285" s="39" t="s">
        <v>142</v>
      </c>
      <c r="B285" s="40" t="s">
        <v>318</v>
      </c>
      <c r="C285" s="41" t="s">
        <v>149</v>
      </c>
      <c r="D285" s="40" t="s">
        <v>150</v>
      </c>
      <c r="E285" s="24">
        <v>7056000</v>
      </c>
      <c r="F285" s="39">
        <v>44235</v>
      </c>
      <c r="G285" s="24">
        <v>7056000</v>
      </c>
      <c r="H285" s="23">
        <v>5.0000000000000001E-3</v>
      </c>
      <c r="I285" s="39">
        <v>44317</v>
      </c>
      <c r="J285" s="39">
        <v>44347</v>
      </c>
      <c r="K285" s="24">
        <v>31</v>
      </c>
      <c r="L285" s="24">
        <v>2996</v>
      </c>
      <c r="M285" s="24">
        <v>7056000</v>
      </c>
    </row>
    <row r="286" spans="1:13" s="48" customFormat="1" outlineLevel="2">
      <c r="A286" s="39" t="s">
        <v>142</v>
      </c>
      <c r="B286" s="40" t="s">
        <v>317</v>
      </c>
      <c r="C286" s="41" t="s">
        <v>149</v>
      </c>
      <c r="D286" s="40" t="s">
        <v>150</v>
      </c>
      <c r="E286" s="24">
        <v>2184000</v>
      </c>
      <c r="F286" s="39">
        <v>44235</v>
      </c>
      <c r="G286" s="24">
        <v>2184000</v>
      </c>
      <c r="H286" s="23">
        <v>5.0000000000000001E-3</v>
      </c>
      <c r="I286" s="39">
        <v>44317</v>
      </c>
      <c r="J286" s="39">
        <v>44347</v>
      </c>
      <c r="K286" s="24">
        <v>31</v>
      </c>
      <c r="L286" s="24">
        <v>927</v>
      </c>
      <c r="M286" s="24">
        <v>2184000</v>
      </c>
    </row>
    <row r="287" spans="1:13" s="48" customFormat="1" outlineLevel="2">
      <c r="A287" s="39" t="s">
        <v>142</v>
      </c>
      <c r="B287" s="40" t="s">
        <v>316</v>
      </c>
      <c r="C287" s="41" t="s">
        <v>149</v>
      </c>
      <c r="D287" s="40" t="s">
        <v>150</v>
      </c>
      <c r="E287" s="24">
        <v>5040000</v>
      </c>
      <c r="F287" s="39">
        <v>44235</v>
      </c>
      <c r="G287" s="24">
        <v>5040000</v>
      </c>
      <c r="H287" s="23">
        <v>5.0000000000000001E-3</v>
      </c>
      <c r="I287" s="39">
        <v>44317</v>
      </c>
      <c r="J287" s="39">
        <v>44347</v>
      </c>
      <c r="K287" s="24">
        <v>31</v>
      </c>
      <c r="L287" s="24">
        <v>2140</v>
      </c>
      <c r="M287" s="24">
        <v>5040000</v>
      </c>
    </row>
    <row r="288" spans="1:13" s="48" customFormat="1" outlineLevel="2">
      <c r="A288" s="39" t="s">
        <v>142</v>
      </c>
      <c r="B288" s="40" t="s">
        <v>315</v>
      </c>
      <c r="C288" s="41" t="s">
        <v>149</v>
      </c>
      <c r="D288" s="40" t="s">
        <v>150</v>
      </c>
      <c r="E288" s="24">
        <v>8316000</v>
      </c>
      <c r="F288" s="39">
        <v>44244</v>
      </c>
      <c r="G288" s="24">
        <v>8316000</v>
      </c>
      <c r="H288" s="23">
        <v>5.0000000000000001E-3</v>
      </c>
      <c r="I288" s="39">
        <v>44317</v>
      </c>
      <c r="J288" s="39">
        <v>44347</v>
      </c>
      <c r="K288" s="24">
        <v>31</v>
      </c>
      <c r="L288" s="24">
        <v>3531</v>
      </c>
      <c r="M288" s="24">
        <v>8316000</v>
      </c>
    </row>
    <row r="289" spans="1:13" s="48" customFormat="1" outlineLevel="2">
      <c r="A289" s="39" t="s">
        <v>142</v>
      </c>
      <c r="B289" s="40" t="s">
        <v>314</v>
      </c>
      <c r="C289" s="41" t="s">
        <v>149</v>
      </c>
      <c r="D289" s="40" t="s">
        <v>150</v>
      </c>
      <c r="E289" s="24">
        <v>8547840</v>
      </c>
      <c r="F289" s="39">
        <v>44244</v>
      </c>
      <c r="G289" s="24">
        <v>8547840</v>
      </c>
      <c r="H289" s="23">
        <v>5.0000000000000001E-3</v>
      </c>
      <c r="I289" s="39">
        <v>44317</v>
      </c>
      <c r="J289" s="39">
        <v>44347</v>
      </c>
      <c r="K289" s="24">
        <v>31</v>
      </c>
      <c r="L289" s="24">
        <v>3630</v>
      </c>
      <c r="M289" s="24">
        <v>8547840</v>
      </c>
    </row>
    <row r="290" spans="1:13" s="48" customFormat="1" outlineLevel="2">
      <c r="A290" s="39" t="s">
        <v>142</v>
      </c>
      <c r="B290" s="40" t="s">
        <v>313</v>
      </c>
      <c r="C290" s="41" t="s">
        <v>149</v>
      </c>
      <c r="D290" s="40" t="s">
        <v>150</v>
      </c>
      <c r="E290" s="24">
        <v>6384000</v>
      </c>
      <c r="F290" s="39">
        <v>44244</v>
      </c>
      <c r="G290" s="24">
        <v>6384000</v>
      </c>
      <c r="H290" s="23">
        <v>5.0000000000000001E-3</v>
      </c>
      <c r="I290" s="39">
        <v>44317</v>
      </c>
      <c r="J290" s="39">
        <v>44347</v>
      </c>
      <c r="K290" s="24">
        <v>31</v>
      </c>
      <c r="L290" s="24">
        <v>2711</v>
      </c>
      <c r="M290" s="24">
        <v>6384000</v>
      </c>
    </row>
    <row r="291" spans="1:13" s="48" customFormat="1" outlineLevel="2">
      <c r="A291" s="39" t="s">
        <v>142</v>
      </c>
      <c r="B291" s="40" t="s">
        <v>312</v>
      </c>
      <c r="C291" s="41" t="s">
        <v>149</v>
      </c>
      <c r="D291" s="40" t="s">
        <v>150</v>
      </c>
      <c r="E291" s="24">
        <v>226800</v>
      </c>
      <c r="F291" s="39">
        <v>44244</v>
      </c>
      <c r="G291" s="24">
        <v>226800</v>
      </c>
      <c r="H291" s="23">
        <v>5.0000000000000001E-3</v>
      </c>
      <c r="I291" s="39">
        <v>44317</v>
      </c>
      <c r="J291" s="39">
        <v>44347</v>
      </c>
      <c r="K291" s="24">
        <v>31</v>
      </c>
      <c r="L291" s="24">
        <v>96</v>
      </c>
      <c r="M291" s="24">
        <v>226800</v>
      </c>
    </row>
    <row r="292" spans="1:13" s="48" customFormat="1" outlineLevel="2">
      <c r="A292" s="39" t="s">
        <v>142</v>
      </c>
      <c r="B292" s="40" t="s">
        <v>311</v>
      </c>
      <c r="C292" s="41" t="s">
        <v>155</v>
      </c>
      <c r="D292" s="40" t="s">
        <v>156</v>
      </c>
      <c r="E292" s="24">
        <v>100000000</v>
      </c>
      <c r="F292" s="39">
        <v>44236</v>
      </c>
      <c r="G292" s="24">
        <v>100000000</v>
      </c>
      <c r="H292" s="23">
        <v>5.0000000000000001E-3</v>
      </c>
      <c r="I292" s="39">
        <v>44317</v>
      </c>
      <c r="J292" s="39">
        <v>44347</v>
      </c>
      <c r="K292" s="24">
        <v>31</v>
      </c>
      <c r="L292" s="24">
        <v>42466</v>
      </c>
      <c r="M292" s="24">
        <v>100000000</v>
      </c>
    </row>
    <row r="293" spans="1:13" s="48" customFormat="1" outlineLevel="2">
      <c r="A293" s="39" t="s">
        <v>142</v>
      </c>
      <c r="B293" s="40" t="s">
        <v>310</v>
      </c>
      <c r="C293" s="41" t="s">
        <v>155</v>
      </c>
      <c r="D293" s="40" t="s">
        <v>156</v>
      </c>
      <c r="E293" s="24">
        <v>200000000</v>
      </c>
      <c r="F293" s="39">
        <v>44244</v>
      </c>
      <c r="G293" s="24">
        <v>200000000</v>
      </c>
      <c r="H293" s="23">
        <v>5.0000000000000001E-3</v>
      </c>
      <c r="I293" s="39">
        <v>44317</v>
      </c>
      <c r="J293" s="39">
        <v>44347</v>
      </c>
      <c r="K293" s="24">
        <v>31</v>
      </c>
      <c r="L293" s="24">
        <v>84932</v>
      </c>
      <c r="M293" s="24">
        <v>200000000</v>
      </c>
    </row>
    <row r="294" spans="1:13" s="48" customFormat="1" outlineLevel="2">
      <c r="A294" s="39" t="s">
        <v>142</v>
      </c>
      <c r="B294" s="40" t="s">
        <v>25</v>
      </c>
      <c r="C294" s="41" t="s">
        <v>143</v>
      </c>
      <c r="D294" s="40" t="s">
        <v>144</v>
      </c>
      <c r="E294" s="24">
        <v>38000000</v>
      </c>
      <c r="F294" s="39">
        <v>43962</v>
      </c>
      <c r="G294" s="24">
        <v>38000000</v>
      </c>
      <c r="H294" s="23">
        <v>5.0000000000000001E-3</v>
      </c>
      <c r="I294" s="39">
        <v>44317</v>
      </c>
      <c r="J294" s="39">
        <v>44347</v>
      </c>
      <c r="K294" s="24">
        <v>31</v>
      </c>
      <c r="L294" s="24">
        <v>16137</v>
      </c>
      <c r="M294" s="24">
        <v>38000000</v>
      </c>
    </row>
    <row r="295" spans="1:13" s="48" customFormat="1" outlineLevel="2">
      <c r="A295" s="39" t="s">
        <v>142</v>
      </c>
      <c r="B295" s="40" t="s">
        <v>309</v>
      </c>
      <c r="C295" s="41" t="s">
        <v>219</v>
      </c>
      <c r="D295" s="40" t="s">
        <v>220</v>
      </c>
      <c r="E295" s="24">
        <v>20000000</v>
      </c>
      <c r="F295" s="39">
        <v>44251</v>
      </c>
      <c r="G295" s="24">
        <v>20000000</v>
      </c>
      <c r="H295" s="23">
        <v>5.0000000000000001E-3</v>
      </c>
      <c r="I295" s="39">
        <v>44317</v>
      </c>
      <c r="J295" s="39">
        <v>44347</v>
      </c>
      <c r="K295" s="24">
        <v>31</v>
      </c>
      <c r="L295" s="24">
        <v>8493</v>
      </c>
      <c r="M295" s="24">
        <v>20000000</v>
      </c>
    </row>
    <row r="296" spans="1:13" s="48" customFormat="1" outlineLevel="2">
      <c r="A296" s="39" t="s">
        <v>142</v>
      </c>
      <c r="B296" s="40" t="s">
        <v>308</v>
      </c>
      <c r="C296" s="41" t="s">
        <v>125</v>
      </c>
      <c r="D296" s="40" t="s">
        <v>126</v>
      </c>
      <c r="E296" s="24">
        <v>5000000</v>
      </c>
      <c r="F296" s="39">
        <v>44251</v>
      </c>
      <c r="G296" s="24">
        <v>5000000</v>
      </c>
      <c r="H296" s="23">
        <v>5.0000000000000001E-3</v>
      </c>
      <c r="I296" s="39">
        <v>44317</v>
      </c>
      <c r="J296" s="39">
        <v>44347</v>
      </c>
      <c r="K296" s="24">
        <v>31</v>
      </c>
      <c r="L296" s="24">
        <v>2123</v>
      </c>
      <c r="M296" s="24">
        <v>5000000</v>
      </c>
    </row>
    <row r="297" spans="1:13" s="48" customFormat="1" outlineLevel="2">
      <c r="A297" s="39" t="s">
        <v>142</v>
      </c>
      <c r="B297" s="40" t="s">
        <v>307</v>
      </c>
      <c r="C297" s="41" t="s">
        <v>89</v>
      </c>
      <c r="D297" s="40" t="s">
        <v>90</v>
      </c>
      <c r="E297" s="24">
        <v>80000000</v>
      </c>
      <c r="F297" s="39">
        <v>44253</v>
      </c>
      <c r="G297" s="24">
        <v>80000000</v>
      </c>
      <c r="H297" s="23">
        <v>5.0000000000000001E-3</v>
      </c>
      <c r="I297" s="39">
        <v>44317</v>
      </c>
      <c r="J297" s="39">
        <v>44347</v>
      </c>
      <c r="K297" s="24">
        <v>31</v>
      </c>
      <c r="L297" s="24">
        <v>33973</v>
      </c>
      <c r="M297" s="24">
        <v>80000000</v>
      </c>
    </row>
    <row r="298" spans="1:13" s="48" customFormat="1" outlineLevel="2">
      <c r="A298" s="39" t="s">
        <v>142</v>
      </c>
      <c r="B298" s="40" t="s">
        <v>335</v>
      </c>
      <c r="C298" s="41" t="s">
        <v>143</v>
      </c>
      <c r="D298" s="40" t="s">
        <v>144</v>
      </c>
      <c r="E298" s="24">
        <v>1350000</v>
      </c>
      <c r="F298" s="39">
        <v>44257</v>
      </c>
      <c r="G298" s="24">
        <v>1350000</v>
      </c>
      <c r="H298" s="23">
        <v>5.0000000000000001E-3</v>
      </c>
      <c r="I298" s="39">
        <v>44317</v>
      </c>
      <c r="J298" s="39">
        <v>44347</v>
      </c>
      <c r="K298" s="24">
        <v>31</v>
      </c>
      <c r="L298" s="24">
        <v>573</v>
      </c>
      <c r="M298" s="24">
        <v>1350000</v>
      </c>
    </row>
    <row r="299" spans="1:13" s="48" customFormat="1" outlineLevel="2">
      <c r="A299" s="39" t="s">
        <v>142</v>
      </c>
      <c r="B299" s="40" t="s">
        <v>334</v>
      </c>
      <c r="C299" s="41" t="s">
        <v>143</v>
      </c>
      <c r="D299" s="40" t="s">
        <v>144</v>
      </c>
      <c r="E299" s="24">
        <v>3000000</v>
      </c>
      <c r="F299" s="39">
        <v>44286</v>
      </c>
      <c r="G299" s="24">
        <v>3000000</v>
      </c>
      <c r="H299" s="23">
        <v>5.0000000000000001E-3</v>
      </c>
      <c r="I299" s="39">
        <v>44317</v>
      </c>
      <c r="J299" s="39">
        <v>44347</v>
      </c>
      <c r="K299" s="24">
        <v>31</v>
      </c>
      <c r="L299" s="24">
        <v>1274</v>
      </c>
      <c r="M299" s="24">
        <v>3000000</v>
      </c>
    </row>
    <row r="300" spans="1:13" s="48" customFormat="1" outlineLevel="2">
      <c r="A300" s="39" t="s">
        <v>142</v>
      </c>
      <c r="B300" s="40" t="s">
        <v>333</v>
      </c>
      <c r="C300" s="41" t="s">
        <v>143</v>
      </c>
      <c r="D300" s="40" t="s">
        <v>144</v>
      </c>
      <c r="E300" s="24">
        <v>12800000</v>
      </c>
      <c r="F300" s="39">
        <v>44286</v>
      </c>
      <c r="G300" s="24">
        <v>12800000</v>
      </c>
      <c r="H300" s="23">
        <v>5.0000000000000001E-3</v>
      </c>
      <c r="I300" s="39">
        <v>44317</v>
      </c>
      <c r="J300" s="39">
        <v>44347</v>
      </c>
      <c r="K300" s="24">
        <v>31</v>
      </c>
      <c r="L300" s="24">
        <v>5436</v>
      </c>
      <c r="M300" s="24">
        <v>12800000</v>
      </c>
    </row>
    <row r="301" spans="1:13" s="48" customFormat="1" outlineLevel="2">
      <c r="A301" s="39" t="s">
        <v>142</v>
      </c>
      <c r="B301" s="40" t="s">
        <v>332</v>
      </c>
      <c r="C301" s="41" t="s">
        <v>125</v>
      </c>
      <c r="D301" s="40" t="s">
        <v>126</v>
      </c>
      <c r="E301" s="24">
        <v>29000000</v>
      </c>
      <c r="F301" s="39">
        <v>44257</v>
      </c>
      <c r="G301" s="24">
        <v>29000000</v>
      </c>
      <c r="H301" s="23">
        <v>5.0000000000000001E-3</v>
      </c>
      <c r="I301" s="39">
        <v>44317</v>
      </c>
      <c r="J301" s="39">
        <v>44347</v>
      </c>
      <c r="K301" s="24">
        <v>31</v>
      </c>
      <c r="L301" s="24">
        <v>12315</v>
      </c>
      <c r="M301" s="24">
        <v>29000000</v>
      </c>
    </row>
    <row r="302" spans="1:13" s="48" customFormat="1" outlineLevel="2">
      <c r="A302" s="39" t="s">
        <v>142</v>
      </c>
      <c r="B302" s="40" t="s">
        <v>331</v>
      </c>
      <c r="C302" s="41" t="s">
        <v>125</v>
      </c>
      <c r="D302" s="40" t="s">
        <v>126</v>
      </c>
      <c r="E302" s="24">
        <v>5000000</v>
      </c>
      <c r="F302" s="39">
        <v>44279</v>
      </c>
      <c r="G302" s="24">
        <v>5000000</v>
      </c>
      <c r="H302" s="23">
        <v>5.0000000000000001E-3</v>
      </c>
      <c r="I302" s="39">
        <v>44317</v>
      </c>
      <c r="J302" s="39">
        <v>44347</v>
      </c>
      <c r="K302" s="24">
        <v>31</v>
      </c>
      <c r="L302" s="24">
        <v>2123</v>
      </c>
      <c r="M302" s="24">
        <v>5000000</v>
      </c>
    </row>
    <row r="303" spans="1:13" s="48" customFormat="1" outlineLevel="2">
      <c r="A303" s="39" t="s">
        <v>142</v>
      </c>
      <c r="B303" s="40" t="s">
        <v>330</v>
      </c>
      <c r="C303" s="41" t="s">
        <v>125</v>
      </c>
      <c r="D303" s="40" t="s">
        <v>126</v>
      </c>
      <c r="E303" s="24">
        <v>5000000</v>
      </c>
      <c r="F303" s="39">
        <v>44286</v>
      </c>
      <c r="G303" s="24">
        <v>5000000</v>
      </c>
      <c r="H303" s="23">
        <v>5.0000000000000001E-3</v>
      </c>
      <c r="I303" s="39">
        <v>44317</v>
      </c>
      <c r="J303" s="39">
        <v>44347</v>
      </c>
      <c r="K303" s="24">
        <v>31</v>
      </c>
      <c r="L303" s="24">
        <v>2123</v>
      </c>
      <c r="M303" s="24">
        <v>5000000</v>
      </c>
    </row>
    <row r="304" spans="1:13" s="48" customFormat="1" outlineLevel="2">
      <c r="A304" s="39" t="s">
        <v>142</v>
      </c>
      <c r="B304" s="40" t="s">
        <v>329</v>
      </c>
      <c r="C304" s="41" t="s">
        <v>149</v>
      </c>
      <c r="D304" s="40" t="s">
        <v>150</v>
      </c>
      <c r="E304" s="24">
        <v>1176000</v>
      </c>
      <c r="F304" s="39">
        <v>44270</v>
      </c>
      <c r="G304" s="24">
        <v>1176000</v>
      </c>
      <c r="H304" s="23">
        <v>5.0000000000000001E-3</v>
      </c>
      <c r="I304" s="39">
        <v>44317</v>
      </c>
      <c r="J304" s="39">
        <v>44347</v>
      </c>
      <c r="K304" s="24">
        <v>31</v>
      </c>
      <c r="L304" s="24">
        <v>499</v>
      </c>
      <c r="M304" s="24">
        <v>1176000</v>
      </c>
    </row>
    <row r="305" spans="1:13" s="48" customFormat="1" outlineLevel="2">
      <c r="A305" s="39" t="s">
        <v>142</v>
      </c>
      <c r="B305" s="40" t="s">
        <v>26</v>
      </c>
      <c r="C305" s="41" t="s">
        <v>143</v>
      </c>
      <c r="D305" s="40" t="s">
        <v>144</v>
      </c>
      <c r="E305" s="24">
        <v>10500000</v>
      </c>
      <c r="F305" s="39">
        <v>43962</v>
      </c>
      <c r="G305" s="24">
        <v>10500000</v>
      </c>
      <c r="H305" s="23">
        <v>5.0000000000000001E-3</v>
      </c>
      <c r="I305" s="39">
        <v>44317</v>
      </c>
      <c r="J305" s="39">
        <v>44347</v>
      </c>
      <c r="K305" s="24">
        <v>31</v>
      </c>
      <c r="L305" s="24">
        <v>4459</v>
      </c>
      <c r="M305" s="24">
        <v>10500000</v>
      </c>
    </row>
    <row r="306" spans="1:13" s="48" customFormat="1" outlineLevel="2">
      <c r="A306" s="39" t="s">
        <v>142</v>
      </c>
      <c r="B306" s="40" t="s">
        <v>328</v>
      </c>
      <c r="C306" s="41" t="s">
        <v>149</v>
      </c>
      <c r="D306" s="40" t="s">
        <v>150</v>
      </c>
      <c r="E306" s="24">
        <v>840000</v>
      </c>
      <c r="F306" s="39">
        <v>44270</v>
      </c>
      <c r="G306" s="24">
        <v>840000</v>
      </c>
      <c r="H306" s="23">
        <v>5.0000000000000001E-3</v>
      </c>
      <c r="I306" s="39">
        <v>44317</v>
      </c>
      <c r="J306" s="39">
        <v>44347</v>
      </c>
      <c r="K306" s="24">
        <v>31</v>
      </c>
      <c r="L306" s="24">
        <v>357</v>
      </c>
      <c r="M306" s="24">
        <v>840000</v>
      </c>
    </row>
    <row r="307" spans="1:13" s="48" customFormat="1" outlineLevel="2">
      <c r="A307" s="39" t="s">
        <v>142</v>
      </c>
      <c r="B307" s="40" t="s">
        <v>327</v>
      </c>
      <c r="C307" s="41" t="s">
        <v>187</v>
      </c>
      <c r="D307" s="40" t="s">
        <v>188</v>
      </c>
      <c r="E307" s="24">
        <v>190400000</v>
      </c>
      <c r="F307" s="39">
        <v>44273</v>
      </c>
      <c r="G307" s="24">
        <v>190400000</v>
      </c>
      <c r="H307" s="23">
        <v>5.0000000000000001E-3</v>
      </c>
      <c r="I307" s="39">
        <v>44317</v>
      </c>
      <c r="J307" s="39">
        <v>44347</v>
      </c>
      <c r="K307" s="24">
        <v>31</v>
      </c>
      <c r="L307" s="24">
        <v>80855</v>
      </c>
      <c r="M307" s="24">
        <v>190400000</v>
      </c>
    </row>
    <row r="308" spans="1:13" s="48" customFormat="1" outlineLevel="2">
      <c r="A308" s="39" t="s">
        <v>142</v>
      </c>
      <c r="B308" s="40" t="s">
        <v>326</v>
      </c>
      <c r="C308" s="41" t="s">
        <v>121</v>
      </c>
      <c r="D308" s="40" t="s">
        <v>122</v>
      </c>
      <c r="E308" s="24">
        <v>54000000</v>
      </c>
      <c r="F308" s="39">
        <v>44278</v>
      </c>
      <c r="G308" s="24">
        <v>54000000</v>
      </c>
      <c r="H308" s="23">
        <v>5.0000000000000001E-3</v>
      </c>
      <c r="I308" s="39">
        <v>44317</v>
      </c>
      <c r="J308" s="39">
        <v>44347</v>
      </c>
      <c r="K308" s="24">
        <v>31</v>
      </c>
      <c r="L308" s="24">
        <v>22932</v>
      </c>
      <c r="M308" s="24">
        <v>54000000</v>
      </c>
    </row>
    <row r="309" spans="1:13" s="48" customFormat="1" outlineLevel="2">
      <c r="A309" s="39" t="s">
        <v>142</v>
      </c>
      <c r="B309" s="40" t="s">
        <v>325</v>
      </c>
      <c r="C309" s="41" t="s">
        <v>165</v>
      </c>
      <c r="D309" s="40" t="s">
        <v>166</v>
      </c>
      <c r="E309" s="24">
        <v>24800000</v>
      </c>
      <c r="F309" s="39">
        <v>44284</v>
      </c>
      <c r="G309" s="24">
        <v>24800000</v>
      </c>
      <c r="H309" s="23">
        <v>5.0000000000000001E-3</v>
      </c>
      <c r="I309" s="39">
        <v>44317</v>
      </c>
      <c r="J309" s="39">
        <v>44347</v>
      </c>
      <c r="K309" s="24">
        <v>31</v>
      </c>
      <c r="L309" s="24">
        <v>10532</v>
      </c>
      <c r="M309" s="24">
        <v>24800000</v>
      </c>
    </row>
    <row r="310" spans="1:13" s="48" customFormat="1" outlineLevel="2">
      <c r="A310" s="39" t="s">
        <v>142</v>
      </c>
      <c r="B310" s="40" t="s">
        <v>361</v>
      </c>
      <c r="C310" s="41" t="s">
        <v>85</v>
      </c>
      <c r="D310" s="40" t="s">
        <v>86</v>
      </c>
      <c r="E310" s="24">
        <v>2500000</v>
      </c>
      <c r="F310" s="39">
        <v>44287</v>
      </c>
      <c r="G310" s="24">
        <v>2500000</v>
      </c>
      <c r="H310" s="23">
        <v>5.0000000000000001E-3</v>
      </c>
      <c r="I310" s="39">
        <v>44317</v>
      </c>
      <c r="J310" s="39">
        <v>44347</v>
      </c>
      <c r="K310" s="24">
        <v>31</v>
      </c>
      <c r="L310" s="24">
        <v>1062</v>
      </c>
      <c r="M310" s="24">
        <v>2500000</v>
      </c>
    </row>
    <row r="311" spans="1:13" s="48" customFormat="1" outlineLevel="2">
      <c r="A311" s="39" t="s">
        <v>142</v>
      </c>
      <c r="B311" s="40" t="s">
        <v>360</v>
      </c>
      <c r="C311" s="41" t="s">
        <v>85</v>
      </c>
      <c r="D311" s="40" t="s">
        <v>86</v>
      </c>
      <c r="E311" s="24">
        <v>7500000</v>
      </c>
      <c r="F311" s="39">
        <v>44287</v>
      </c>
      <c r="G311" s="24">
        <v>7500000</v>
      </c>
      <c r="H311" s="23">
        <v>5.0000000000000001E-3</v>
      </c>
      <c r="I311" s="39">
        <v>44317</v>
      </c>
      <c r="J311" s="39">
        <v>44347</v>
      </c>
      <c r="K311" s="24">
        <v>31</v>
      </c>
      <c r="L311" s="24">
        <v>3185</v>
      </c>
      <c r="M311" s="24">
        <v>7500000</v>
      </c>
    </row>
    <row r="312" spans="1:13" s="48" customFormat="1" outlineLevel="2">
      <c r="A312" s="39" t="s">
        <v>142</v>
      </c>
      <c r="B312" s="40" t="s">
        <v>359</v>
      </c>
      <c r="C312" s="41" t="s">
        <v>85</v>
      </c>
      <c r="D312" s="40" t="s">
        <v>86</v>
      </c>
      <c r="E312" s="24">
        <v>4975000</v>
      </c>
      <c r="F312" s="39">
        <v>44306</v>
      </c>
      <c r="G312" s="24">
        <v>4975000</v>
      </c>
      <c r="H312" s="23">
        <v>5.0000000000000001E-3</v>
      </c>
      <c r="I312" s="39">
        <v>44317</v>
      </c>
      <c r="J312" s="39">
        <v>44347</v>
      </c>
      <c r="K312" s="24">
        <v>31</v>
      </c>
      <c r="L312" s="24">
        <v>2113</v>
      </c>
      <c r="M312" s="24">
        <v>4975000</v>
      </c>
    </row>
    <row r="313" spans="1:13" s="48" customFormat="1" outlineLevel="2">
      <c r="A313" s="39" t="s">
        <v>142</v>
      </c>
      <c r="B313" s="40" t="s">
        <v>358</v>
      </c>
      <c r="C313" s="41" t="s">
        <v>85</v>
      </c>
      <c r="D313" s="40" t="s">
        <v>86</v>
      </c>
      <c r="E313" s="24">
        <v>14925000</v>
      </c>
      <c r="F313" s="39">
        <v>44306</v>
      </c>
      <c r="G313" s="24">
        <v>14925000</v>
      </c>
      <c r="H313" s="23">
        <v>5.0000000000000001E-3</v>
      </c>
      <c r="I313" s="39">
        <v>44317</v>
      </c>
      <c r="J313" s="39">
        <v>44347</v>
      </c>
      <c r="K313" s="24">
        <v>31</v>
      </c>
      <c r="L313" s="24">
        <v>6338</v>
      </c>
      <c r="M313" s="24">
        <v>14925000</v>
      </c>
    </row>
    <row r="314" spans="1:13" s="48" customFormat="1" outlineLevel="2">
      <c r="A314" s="39" t="s">
        <v>142</v>
      </c>
      <c r="B314" s="40" t="s">
        <v>357</v>
      </c>
      <c r="C314" s="41" t="s">
        <v>149</v>
      </c>
      <c r="D314" s="40" t="s">
        <v>150</v>
      </c>
      <c r="E314" s="24">
        <v>1663200</v>
      </c>
      <c r="F314" s="39">
        <v>44294</v>
      </c>
      <c r="G314" s="24">
        <v>1663200</v>
      </c>
      <c r="H314" s="23">
        <v>5.0000000000000001E-3</v>
      </c>
      <c r="I314" s="39">
        <v>44317</v>
      </c>
      <c r="J314" s="39">
        <v>44347</v>
      </c>
      <c r="K314" s="24">
        <v>31</v>
      </c>
      <c r="L314" s="24">
        <v>706</v>
      </c>
      <c r="M314" s="24">
        <v>1663200</v>
      </c>
    </row>
    <row r="315" spans="1:13" s="48" customFormat="1" outlineLevel="2">
      <c r="A315" s="39" t="s">
        <v>142</v>
      </c>
      <c r="B315" s="40" t="s">
        <v>356</v>
      </c>
      <c r="C315" s="41" t="s">
        <v>149</v>
      </c>
      <c r="D315" s="40" t="s">
        <v>150</v>
      </c>
      <c r="E315" s="24">
        <v>3528000</v>
      </c>
      <c r="F315" s="39">
        <v>44300</v>
      </c>
      <c r="G315" s="24">
        <v>3528000</v>
      </c>
      <c r="H315" s="23">
        <v>5.0000000000000001E-3</v>
      </c>
      <c r="I315" s="39">
        <v>44317</v>
      </c>
      <c r="J315" s="39">
        <v>44347</v>
      </c>
      <c r="K315" s="24">
        <v>31</v>
      </c>
      <c r="L315" s="24">
        <v>1498</v>
      </c>
      <c r="M315" s="24">
        <v>3528000</v>
      </c>
    </row>
    <row r="316" spans="1:13" s="48" customFormat="1" outlineLevel="2">
      <c r="A316" s="39" t="s">
        <v>142</v>
      </c>
      <c r="B316" s="40" t="s">
        <v>29</v>
      </c>
      <c r="C316" s="41" t="s">
        <v>123</v>
      </c>
      <c r="D316" s="40" t="s">
        <v>124</v>
      </c>
      <c r="E316" s="24">
        <v>160000000</v>
      </c>
      <c r="F316" s="39">
        <v>43970</v>
      </c>
      <c r="G316" s="24">
        <v>160000000</v>
      </c>
      <c r="H316" s="23">
        <v>5.0000000000000001E-3</v>
      </c>
      <c r="I316" s="39">
        <v>44317</v>
      </c>
      <c r="J316" s="39">
        <v>44347</v>
      </c>
      <c r="K316" s="24">
        <v>31</v>
      </c>
      <c r="L316" s="24">
        <v>67945</v>
      </c>
      <c r="M316" s="24">
        <v>160000000</v>
      </c>
    </row>
    <row r="317" spans="1:13" s="48" customFormat="1" outlineLevel="2">
      <c r="A317" s="39" t="s">
        <v>142</v>
      </c>
      <c r="B317" s="40" t="s">
        <v>355</v>
      </c>
      <c r="C317" s="41" t="s">
        <v>149</v>
      </c>
      <c r="D317" s="40" t="s">
        <v>150</v>
      </c>
      <c r="E317" s="24">
        <v>12213027</v>
      </c>
      <c r="F317" s="39">
        <v>44307</v>
      </c>
      <c r="G317" s="24">
        <v>12213027</v>
      </c>
      <c r="H317" s="23">
        <v>5.0000000000000001E-3</v>
      </c>
      <c r="I317" s="39">
        <v>44317</v>
      </c>
      <c r="J317" s="39">
        <v>44347</v>
      </c>
      <c r="K317" s="24">
        <v>31</v>
      </c>
      <c r="L317" s="24">
        <v>5186</v>
      </c>
      <c r="M317" s="24">
        <v>12213027</v>
      </c>
    </row>
    <row r="318" spans="1:13" s="48" customFormat="1" outlineLevel="2">
      <c r="A318" s="39" t="s">
        <v>142</v>
      </c>
      <c r="B318" s="40" t="s">
        <v>354</v>
      </c>
      <c r="C318" s="41" t="s">
        <v>149</v>
      </c>
      <c r="D318" s="40" t="s">
        <v>150</v>
      </c>
      <c r="E318" s="24">
        <v>11337919</v>
      </c>
      <c r="F318" s="39">
        <v>44314</v>
      </c>
      <c r="G318" s="24">
        <v>11337919</v>
      </c>
      <c r="H318" s="23">
        <v>5.0000000000000001E-3</v>
      </c>
      <c r="I318" s="39">
        <v>44317</v>
      </c>
      <c r="J318" s="39">
        <v>44347</v>
      </c>
      <c r="K318" s="24">
        <v>31</v>
      </c>
      <c r="L318" s="24">
        <v>4815</v>
      </c>
      <c r="M318" s="24">
        <v>11337919</v>
      </c>
    </row>
    <row r="319" spans="1:13" s="48" customFormat="1" outlineLevel="2">
      <c r="A319" s="39" t="s">
        <v>142</v>
      </c>
      <c r="B319" s="40" t="s">
        <v>353</v>
      </c>
      <c r="C319" s="41" t="s">
        <v>219</v>
      </c>
      <c r="D319" s="40" t="s">
        <v>220</v>
      </c>
      <c r="E319" s="24">
        <v>20000000</v>
      </c>
      <c r="F319" s="39">
        <v>44308</v>
      </c>
      <c r="G319" s="24">
        <v>20000000</v>
      </c>
      <c r="H319" s="23">
        <v>5.0000000000000001E-3</v>
      </c>
      <c r="I319" s="39">
        <v>44317</v>
      </c>
      <c r="J319" s="39">
        <v>44347</v>
      </c>
      <c r="K319" s="24">
        <v>31</v>
      </c>
      <c r="L319" s="24">
        <v>8493</v>
      </c>
      <c r="M319" s="24">
        <v>20000000</v>
      </c>
    </row>
    <row r="320" spans="1:13" s="48" customFormat="1" outlineLevel="2">
      <c r="A320" s="39" t="s">
        <v>142</v>
      </c>
      <c r="B320" s="40" t="s">
        <v>352</v>
      </c>
      <c r="C320" s="41" t="s">
        <v>351</v>
      </c>
      <c r="D320" s="40" t="s">
        <v>350</v>
      </c>
      <c r="E320" s="24">
        <v>9800000</v>
      </c>
      <c r="F320" s="39">
        <v>44313</v>
      </c>
      <c r="G320" s="24">
        <v>9800000</v>
      </c>
      <c r="H320" s="23">
        <v>5.0000000000000001E-3</v>
      </c>
      <c r="I320" s="39">
        <v>44317</v>
      </c>
      <c r="J320" s="39">
        <v>44347</v>
      </c>
      <c r="K320" s="24">
        <v>31</v>
      </c>
      <c r="L320" s="24">
        <v>4162</v>
      </c>
      <c r="M320" s="24">
        <v>9800000</v>
      </c>
    </row>
    <row r="321" spans="1:13" s="48" customFormat="1" outlineLevel="2">
      <c r="A321" s="39" t="s">
        <v>142</v>
      </c>
      <c r="B321" s="40" t="s">
        <v>349</v>
      </c>
      <c r="C321" s="41" t="s">
        <v>345</v>
      </c>
      <c r="D321" s="40" t="s">
        <v>344</v>
      </c>
      <c r="E321" s="24">
        <v>37000000</v>
      </c>
      <c r="F321" s="39">
        <v>44314</v>
      </c>
      <c r="G321" s="24">
        <v>37000000</v>
      </c>
      <c r="H321" s="23">
        <v>5.0000000000000001E-3</v>
      </c>
      <c r="I321" s="39">
        <v>44317</v>
      </c>
      <c r="J321" s="39">
        <v>44347</v>
      </c>
      <c r="K321" s="24">
        <v>31</v>
      </c>
      <c r="L321" s="24">
        <v>15712</v>
      </c>
      <c r="M321" s="24">
        <v>37000000</v>
      </c>
    </row>
    <row r="322" spans="1:13" s="48" customFormat="1" outlineLevel="2">
      <c r="A322" s="39" t="s">
        <v>142</v>
      </c>
      <c r="B322" s="40" t="s">
        <v>348</v>
      </c>
      <c r="C322" s="41" t="s">
        <v>163</v>
      </c>
      <c r="D322" s="40" t="s">
        <v>164</v>
      </c>
      <c r="E322" s="24">
        <v>70000000</v>
      </c>
      <c r="F322" s="39">
        <v>44315</v>
      </c>
      <c r="G322" s="24">
        <v>70000000</v>
      </c>
      <c r="H322" s="23">
        <v>5.0000000000000001E-3</v>
      </c>
      <c r="I322" s="39">
        <v>44317</v>
      </c>
      <c r="J322" s="39">
        <v>44332</v>
      </c>
      <c r="K322" s="24">
        <v>16</v>
      </c>
      <c r="L322" s="24">
        <v>15342</v>
      </c>
      <c r="M322" s="24">
        <v>69363636</v>
      </c>
    </row>
    <row r="323" spans="1:13" s="48" customFormat="1" outlineLevel="2">
      <c r="A323" s="39" t="s">
        <v>142</v>
      </c>
      <c r="B323" s="40" t="s">
        <v>348</v>
      </c>
      <c r="C323" s="41" t="s">
        <v>163</v>
      </c>
      <c r="D323" s="40"/>
      <c r="E323" s="24"/>
      <c r="F323" s="39"/>
      <c r="G323" s="24">
        <v>69363636</v>
      </c>
      <c r="H323" s="23">
        <v>5.0000000000000001E-3</v>
      </c>
      <c r="I323" s="39">
        <v>44333</v>
      </c>
      <c r="J323" s="39">
        <v>44347</v>
      </c>
      <c r="K323" s="24">
        <v>15</v>
      </c>
      <c r="L323" s="24">
        <v>14253</v>
      </c>
      <c r="M323" s="24"/>
    </row>
    <row r="324" spans="1:13" s="48" customFormat="1" outlineLevel="2">
      <c r="A324" s="39" t="s">
        <v>142</v>
      </c>
      <c r="B324" s="40" t="s">
        <v>347</v>
      </c>
      <c r="C324" s="41" t="s">
        <v>163</v>
      </c>
      <c r="D324" s="40" t="s">
        <v>164</v>
      </c>
      <c r="E324" s="24">
        <v>10000000</v>
      </c>
      <c r="F324" s="39">
        <v>44315</v>
      </c>
      <c r="G324" s="24">
        <v>10000000</v>
      </c>
      <c r="H324" s="23">
        <v>5.0000000000000001E-3</v>
      </c>
      <c r="I324" s="39">
        <v>44317</v>
      </c>
      <c r="J324" s="39">
        <v>44332</v>
      </c>
      <c r="K324" s="24">
        <v>16</v>
      </c>
      <c r="L324" s="24">
        <v>2192</v>
      </c>
      <c r="M324" s="24">
        <v>9880952</v>
      </c>
    </row>
    <row r="325" spans="1:13" s="48" customFormat="1" outlineLevel="2">
      <c r="A325" s="39" t="s">
        <v>142</v>
      </c>
      <c r="B325" s="40" t="s">
        <v>347</v>
      </c>
      <c r="C325" s="41" t="s">
        <v>163</v>
      </c>
      <c r="D325" s="40"/>
      <c r="E325" s="24"/>
      <c r="F325" s="39"/>
      <c r="G325" s="24">
        <v>9880952</v>
      </c>
      <c r="H325" s="23">
        <v>5.0000000000000001E-3</v>
      </c>
      <c r="I325" s="39">
        <v>44333</v>
      </c>
      <c r="J325" s="39">
        <v>44347</v>
      </c>
      <c r="K325" s="24">
        <v>15</v>
      </c>
      <c r="L325" s="24">
        <v>2030</v>
      </c>
      <c r="M325" s="24"/>
    </row>
    <row r="326" spans="1:13" s="48" customFormat="1" outlineLevel="2">
      <c r="A326" s="39" t="s">
        <v>142</v>
      </c>
      <c r="B326" s="40" t="s">
        <v>346</v>
      </c>
      <c r="C326" s="41" t="s">
        <v>163</v>
      </c>
      <c r="D326" s="40" t="s">
        <v>164</v>
      </c>
      <c r="E326" s="24">
        <v>40000000</v>
      </c>
      <c r="F326" s="39">
        <v>44315</v>
      </c>
      <c r="G326" s="24">
        <v>40000000</v>
      </c>
      <c r="H326" s="23">
        <v>5.0000000000000001E-3</v>
      </c>
      <c r="I326" s="39">
        <v>44317</v>
      </c>
      <c r="J326" s="39">
        <v>44332</v>
      </c>
      <c r="K326" s="24">
        <v>16</v>
      </c>
      <c r="L326" s="24">
        <v>8767</v>
      </c>
      <c r="M326" s="24">
        <v>39523810</v>
      </c>
    </row>
    <row r="327" spans="1:13" s="48" customFormat="1" outlineLevel="2">
      <c r="A327" s="39" t="s">
        <v>142</v>
      </c>
      <c r="B327" s="40" t="s">
        <v>346</v>
      </c>
      <c r="C327" s="41" t="s">
        <v>163</v>
      </c>
      <c r="D327" s="40"/>
      <c r="E327" s="24"/>
      <c r="F327" s="39"/>
      <c r="G327" s="24">
        <v>39523810</v>
      </c>
      <c r="H327" s="23">
        <v>5.0000000000000001E-3</v>
      </c>
      <c r="I327" s="39">
        <v>44333</v>
      </c>
      <c r="J327" s="39">
        <v>44347</v>
      </c>
      <c r="K327" s="24">
        <v>15</v>
      </c>
      <c r="L327" s="24">
        <v>8121</v>
      </c>
      <c r="M327" s="24"/>
    </row>
    <row r="328" spans="1:13" s="48" customFormat="1" outlineLevel="2">
      <c r="A328" s="39" t="s">
        <v>142</v>
      </c>
      <c r="B328" s="40" t="s">
        <v>373</v>
      </c>
      <c r="C328" s="41" t="s">
        <v>149</v>
      </c>
      <c r="D328" s="40" t="s">
        <v>150</v>
      </c>
      <c r="E328" s="24">
        <v>10752000</v>
      </c>
      <c r="F328" s="39">
        <v>44320</v>
      </c>
      <c r="G328" s="24">
        <v>10752000</v>
      </c>
      <c r="H328" s="23">
        <v>5.0000000000000001E-3</v>
      </c>
      <c r="I328" s="39">
        <v>44320</v>
      </c>
      <c r="J328" s="39">
        <v>44347</v>
      </c>
      <c r="K328" s="24">
        <v>28</v>
      </c>
      <c r="L328" s="24">
        <v>4124</v>
      </c>
      <c r="M328" s="24">
        <v>10752000</v>
      </c>
    </row>
    <row r="329" spans="1:13" s="48" customFormat="1" outlineLevel="2">
      <c r="A329" s="39" t="s">
        <v>142</v>
      </c>
      <c r="B329" s="40" t="s">
        <v>372</v>
      </c>
      <c r="C329" s="41" t="s">
        <v>149</v>
      </c>
      <c r="D329" s="40" t="s">
        <v>150</v>
      </c>
      <c r="E329" s="24">
        <v>4200000</v>
      </c>
      <c r="F329" s="39">
        <v>44320</v>
      </c>
      <c r="G329" s="24">
        <v>4200000</v>
      </c>
      <c r="H329" s="23">
        <v>5.0000000000000001E-3</v>
      </c>
      <c r="I329" s="39">
        <v>44320</v>
      </c>
      <c r="J329" s="39">
        <v>44347</v>
      </c>
      <c r="K329" s="24">
        <v>28</v>
      </c>
      <c r="L329" s="24">
        <v>1611</v>
      </c>
      <c r="M329" s="24">
        <v>4200000</v>
      </c>
    </row>
    <row r="330" spans="1:13" s="48" customFormat="1" outlineLevel="2">
      <c r="A330" s="39" t="s">
        <v>142</v>
      </c>
      <c r="B330" s="40" t="s">
        <v>32</v>
      </c>
      <c r="C330" s="41" t="s">
        <v>160</v>
      </c>
      <c r="D330" s="40" t="s">
        <v>150</v>
      </c>
      <c r="E330" s="24">
        <v>13104000</v>
      </c>
      <c r="F330" s="39">
        <v>43979</v>
      </c>
      <c r="G330" s="24">
        <v>13104000</v>
      </c>
      <c r="H330" s="23">
        <v>5.0000000000000001E-3</v>
      </c>
      <c r="I330" s="39">
        <v>44317</v>
      </c>
      <c r="J330" s="39">
        <v>44347</v>
      </c>
      <c r="K330" s="24">
        <v>31</v>
      </c>
      <c r="L330" s="24">
        <v>5565</v>
      </c>
      <c r="M330" s="24">
        <v>13104000</v>
      </c>
    </row>
    <row r="331" spans="1:13" s="48" customFormat="1" outlineLevel="2">
      <c r="A331" s="39" t="s">
        <v>142</v>
      </c>
      <c r="B331" s="40" t="s">
        <v>371</v>
      </c>
      <c r="C331" s="41" t="s">
        <v>149</v>
      </c>
      <c r="D331" s="40" t="s">
        <v>150</v>
      </c>
      <c r="E331" s="24">
        <v>4200000</v>
      </c>
      <c r="F331" s="39">
        <v>44320</v>
      </c>
      <c r="G331" s="24">
        <v>4200000</v>
      </c>
      <c r="H331" s="23">
        <v>5.0000000000000001E-3</v>
      </c>
      <c r="I331" s="39">
        <v>44320</v>
      </c>
      <c r="J331" s="39">
        <v>44347</v>
      </c>
      <c r="K331" s="24">
        <v>28</v>
      </c>
      <c r="L331" s="24">
        <v>1611</v>
      </c>
      <c r="M331" s="24">
        <v>4200000</v>
      </c>
    </row>
    <row r="332" spans="1:13" s="48" customFormat="1" outlineLevel="2">
      <c r="A332" s="39" t="s">
        <v>142</v>
      </c>
      <c r="B332" s="40" t="s">
        <v>370</v>
      </c>
      <c r="C332" s="41" t="s">
        <v>351</v>
      </c>
      <c r="D332" s="40" t="s">
        <v>350</v>
      </c>
      <c r="E332" s="24">
        <v>5100000</v>
      </c>
      <c r="F332" s="39">
        <v>44330</v>
      </c>
      <c r="G332" s="24">
        <v>5100000</v>
      </c>
      <c r="H332" s="23">
        <v>5.0000000000000001E-3</v>
      </c>
      <c r="I332" s="39">
        <v>44330</v>
      </c>
      <c r="J332" s="39">
        <v>44347</v>
      </c>
      <c r="K332" s="24">
        <v>18</v>
      </c>
      <c r="L332" s="24">
        <v>1258</v>
      </c>
      <c r="M332" s="24">
        <v>5100000</v>
      </c>
    </row>
    <row r="333" spans="1:13" s="48" customFormat="1" outlineLevel="2">
      <c r="A333" s="39" t="s">
        <v>142</v>
      </c>
      <c r="B333" s="40" t="s">
        <v>369</v>
      </c>
      <c r="C333" s="41" t="s">
        <v>149</v>
      </c>
      <c r="D333" s="40" t="s">
        <v>150</v>
      </c>
      <c r="E333" s="24">
        <v>100000000</v>
      </c>
      <c r="F333" s="39">
        <v>44335</v>
      </c>
      <c r="G333" s="24">
        <v>100000000</v>
      </c>
      <c r="H333" s="23">
        <v>5.0000000000000001E-3</v>
      </c>
      <c r="I333" s="39">
        <v>44335</v>
      </c>
      <c r="J333" s="39">
        <v>44347</v>
      </c>
      <c r="K333" s="24">
        <v>13</v>
      </c>
      <c r="L333" s="24">
        <v>17808</v>
      </c>
      <c r="M333" s="24">
        <v>100000000</v>
      </c>
    </row>
    <row r="334" spans="1:13" s="48" customFormat="1" outlineLevel="2">
      <c r="A334" s="39" t="s">
        <v>142</v>
      </c>
      <c r="B334" s="40" t="s">
        <v>368</v>
      </c>
      <c r="C334" s="41" t="s">
        <v>87</v>
      </c>
      <c r="D334" s="40" t="s">
        <v>88</v>
      </c>
      <c r="E334" s="24">
        <v>9464321</v>
      </c>
      <c r="F334" s="39">
        <v>44337</v>
      </c>
      <c r="G334" s="24">
        <v>9464321</v>
      </c>
      <c r="H334" s="23">
        <v>5.0000000000000001E-3</v>
      </c>
      <c r="I334" s="39">
        <v>44337</v>
      </c>
      <c r="J334" s="39">
        <v>44347</v>
      </c>
      <c r="K334" s="24">
        <v>11</v>
      </c>
      <c r="L334" s="24">
        <v>1426</v>
      </c>
      <c r="M334" s="24">
        <v>9464321</v>
      </c>
    </row>
    <row r="335" spans="1:13" s="48" customFormat="1" outlineLevel="2">
      <c r="A335" s="39" t="s">
        <v>142</v>
      </c>
      <c r="B335" s="40" t="s">
        <v>33</v>
      </c>
      <c r="C335" s="41" t="s">
        <v>89</v>
      </c>
      <c r="D335" s="40" t="s">
        <v>90</v>
      </c>
      <c r="E335" s="24">
        <v>6550000</v>
      </c>
      <c r="F335" s="39">
        <v>43993</v>
      </c>
      <c r="G335" s="24">
        <v>6550000</v>
      </c>
      <c r="H335" s="23">
        <v>5.0000000000000001E-3</v>
      </c>
      <c r="I335" s="39">
        <v>44317</v>
      </c>
      <c r="J335" s="39">
        <v>44347</v>
      </c>
      <c r="K335" s="24">
        <v>31</v>
      </c>
      <c r="L335" s="24">
        <v>2782</v>
      </c>
      <c r="M335" s="24">
        <v>6550000</v>
      </c>
    </row>
    <row r="336" spans="1:13" s="48" customFormat="1" outlineLevel="2">
      <c r="A336" s="39" t="s">
        <v>142</v>
      </c>
      <c r="B336" s="40" t="s">
        <v>34</v>
      </c>
      <c r="C336" s="41" t="s">
        <v>89</v>
      </c>
      <c r="D336" s="40" t="s">
        <v>90</v>
      </c>
      <c r="E336" s="24">
        <v>19710000</v>
      </c>
      <c r="F336" s="39">
        <v>43993</v>
      </c>
      <c r="G336" s="24">
        <v>19710000</v>
      </c>
      <c r="H336" s="23">
        <v>5.0000000000000001E-3</v>
      </c>
      <c r="I336" s="39">
        <v>44317</v>
      </c>
      <c r="J336" s="39">
        <v>44347</v>
      </c>
      <c r="K336" s="24">
        <v>31</v>
      </c>
      <c r="L336" s="24">
        <v>8370</v>
      </c>
      <c r="M336" s="24">
        <v>19710000</v>
      </c>
    </row>
    <row r="337" spans="1:13" s="48" customFormat="1" outlineLevel="2">
      <c r="A337" s="39" t="s">
        <v>142</v>
      </c>
      <c r="B337" s="40" t="s">
        <v>35</v>
      </c>
      <c r="C337" s="41" t="s">
        <v>89</v>
      </c>
      <c r="D337" s="40" t="s">
        <v>90</v>
      </c>
      <c r="E337" s="24">
        <v>16860000</v>
      </c>
      <c r="F337" s="39">
        <v>43993</v>
      </c>
      <c r="G337" s="24">
        <v>16860000</v>
      </c>
      <c r="H337" s="23">
        <v>5.0000000000000001E-3</v>
      </c>
      <c r="I337" s="39">
        <v>44317</v>
      </c>
      <c r="J337" s="39">
        <v>44347</v>
      </c>
      <c r="K337" s="24">
        <v>31</v>
      </c>
      <c r="L337" s="24">
        <v>7160</v>
      </c>
      <c r="M337" s="24">
        <v>16860000</v>
      </c>
    </row>
    <row r="338" spans="1:13" s="48" customFormat="1" outlineLevel="2">
      <c r="A338" s="39" t="s">
        <v>142</v>
      </c>
      <c r="B338" s="40" t="s">
        <v>36</v>
      </c>
      <c r="C338" s="41" t="s">
        <v>161</v>
      </c>
      <c r="D338" s="40" t="s">
        <v>162</v>
      </c>
      <c r="E338" s="24">
        <v>240000000</v>
      </c>
      <c r="F338" s="39">
        <v>44000</v>
      </c>
      <c r="G338" s="24">
        <v>240000000</v>
      </c>
      <c r="H338" s="23">
        <v>5.0000000000000001E-3</v>
      </c>
      <c r="I338" s="39">
        <v>44317</v>
      </c>
      <c r="J338" s="39">
        <v>44347</v>
      </c>
      <c r="K338" s="24">
        <v>31</v>
      </c>
      <c r="L338" s="24">
        <v>101918</v>
      </c>
      <c r="M338" s="24">
        <v>240000000</v>
      </c>
    </row>
    <row r="339" spans="1:13" s="48" customFormat="1" outlineLevel="2">
      <c r="A339" s="39" t="s">
        <v>142</v>
      </c>
      <c r="B339" s="40" t="s">
        <v>39</v>
      </c>
      <c r="C339" s="41" t="s">
        <v>143</v>
      </c>
      <c r="D339" s="40" t="s">
        <v>144</v>
      </c>
      <c r="E339" s="24">
        <v>57000000</v>
      </c>
      <c r="F339" s="39">
        <v>43822</v>
      </c>
      <c r="G339" s="24">
        <v>57000000</v>
      </c>
      <c r="H339" s="23">
        <v>5.0000000000000001E-3</v>
      </c>
      <c r="I339" s="39">
        <v>44317</v>
      </c>
      <c r="J339" s="39">
        <v>44347</v>
      </c>
      <c r="K339" s="24">
        <v>31</v>
      </c>
      <c r="L339" s="24">
        <v>24205</v>
      </c>
      <c r="M339" s="24">
        <v>57000000</v>
      </c>
    </row>
    <row r="340" spans="1:13" s="48" customFormat="1" outlineLevel="2">
      <c r="A340" s="39" t="s">
        <v>142</v>
      </c>
      <c r="B340" s="40" t="s">
        <v>40</v>
      </c>
      <c r="C340" s="41" t="s">
        <v>123</v>
      </c>
      <c r="D340" s="40" t="s">
        <v>124</v>
      </c>
      <c r="E340" s="24">
        <v>55000000</v>
      </c>
      <c r="F340" s="39">
        <v>44001</v>
      </c>
      <c r="G340" s="24">
        <v>55000000</v>
      </c>
      <c r="H340" s="23">
        <v>5.0000000000000001E-3</v>
      </c>
      <c r="I340" s="39">
        <v>44317</v>
      </c>
      <c r="J340" s="39">
        <v>44347</v>
      </c>
      <c r="K340" s="24">
        <v>31</v>
      </c>
      <c r="L340" s="24">
        <v>23356</v>
      </c>
      <c r="M340" s="24">
        <v>55000000</v>
      </c>
    </row>
    <row r="341" spans="1:13" s="48" customFormat="1" outlineLevel="2">
      <c r="A341" s="39" t="s">
        <v>142</v>
      </c>
      <c r="B341" s="40" t="s">
        <v>41</v>
      </c>
      <c r="C341" s="41" t="s">
        <v>87</v>
      </c>
      <c r="D341" s="40" t="s">
        <v>88</v>
      </c>
      <c r="E341" s="24">
        <v>8907064</v>
      </c>
      <c r="F341" s="39">
        <v>44006</v>
      </c>
      <c r="G341" s="24">
        <v>8907064</v>
      </c>
      <c r="H341" s="23">
        <v>5.0000000000000001E-3</v>
      </c>
      <c r="I341" s="39">
        <v>44317</v>
      </c>
      <c r="J341" s="39">
        <v>44347</v>
      </c>
      <c r="K341" s="24">
        <v>31</v>
      </c>
      <c r="L341" s="24">
        <v>3782</v>
      </c>
      <c r="M341" s="24">
        <v>8907064</v>
      </c>
    </row>
    <row r="342" spans="1:13" s="48" customFormat="1" outlineLevel="2">
      <c r="A342" s="39" t="s">
        <v>142</v>
      </c>
      <c r="B342" s="40" t="s">
        <v>42</v>
      </c>
      <c r="C342" s="41" t="s">
        <v>149</v>
      </c>
      <c r="D342" s="40" t="s">
        <v>150</v>
      </c>
      <c r="E342" s="24">
        <v>7560000</v>
      </c>
      <c r="F342" s="39">
        <v>44018</v>
      </c>
      <c r="G342" s="24">
        <v>7560000</v>
      </c>
      <c r="H342" s="23">
        <v>5.0000000000000001E-3</v>
      </c>
      <c r="I342" s="39">
        <v>44317</v>
      </c>
      <c r="J342" s="39">
        <v>44347</v>
      </c>
      <c r="K342" s="24">
        <v>31</v>
      </c>
      <c r="L342" s="24">
        <v>3210</v>
      </c>
      <c r="M342" s="24">
        <v>7560000</v>
      </c>
    </row>
    <row r="343" spans="1:13" s="48" customFormat="1" outlineLevel="2">
      <c r="A343" s="39" t="s">
        <v>142</v>
      </c>
      <c r="B343" s="40" t="s">
        <v>43</v>
      </c>
      <c r="C343" s="41" t="s">
        <v>143</v>
      </c>
      <c r="D343" s="40" t="s">
        <v>144</v>
      </c>
      <c r="E343" s="24">
        <v>38000000</v>
      </c>
      <c r="F343" s="39">
        <v>44022</v>
      </c>
      <c r="G343" s="24">
        <v>38000000</v>
      </c>
      <c r="H343" s="23">
        <v>5.0000000000000001E-3</v>
      </c>
      <c r="I343" s="39">
        <v>44317</v>
      </c>
      <c r="J343" s="39">
        <v>44347</v>
      </c>
      <c r="K343" s="24">
        <v>31</v>
      </c>
      <c r="L343" s="24">
        <v>16137</v>
      </c>
      <c r="M343" s="24">
        <v>38000000</v>
      </c>
    </row>
    <row r="344" spans="1:13" s="48" customFormat="1" outlineLevel="2">
      <c r="A344" s="39" t="s">
        <v>142</v>
      </c>
      <c r="B344" s="40" t="s">
        <v>44</v>
      </c>
      <c r="C344" s="41" t="s">
        <v>143</v>
      </c>
      <c r="D344" s="40" t="s">
        <v>144</v>
      </c>
      <c r="E344" s="24">
        <v>10500000</v>
      </c>
      <c r="F344" s="39">
        <v>44022</v>
      </c>
      <c r="G344" s="24">
        <v>10500000</v>
      </c>
      <c r="H344" s="23">
        <v>5.0000000000000001E-3</v>
      </c>
      <c r="I344" s="39">
        <v>44317</v>
      </c>
      <c r="J344" s="39">
        <v>44347</v>
      </c>
      <c r="K344" s="24">
        <v>31</v>
      </c>
      <c r="L344" s="24">
        <v>4459</v>
      </c>
      <c r="M344" s="24">
        <v>10500000</v>
      </c>
    </row>
    <row r="345" spans="1:13" s="48" customFormat="1" outlineLevel="2">
      <c r="A345" s="39" t="s">
        <v>142</v>
      </c>
      <c r="B345" s="40" t="s">
        <v>47</v>
      </c>
      <c r="C345" s="41" t="s">
        <v>163</v>
      </c>
      <c r="D345" s="40" t="s">
        <v>164</v>
      </c>
      <c r="E345" s="24">
        <v>72000000</v>
      </c>
      <c r="F345" s="39">
        <v>44025</v>
      </c>
      <c r="G345" s="24">
        <v>66554622</v>
      </c>
      <c r="H345" s="23">
        <v>5.0000000000000001E-3</v>
      </c>
      <c r="I345" s="39">
        <v>44317</v>
      </c>
      <c r="J345" s="39">
        <v>44332</v>
      </c>
      <c r="K345" s="24">
        <v>16</v>
      </c>
      <c r="L345" s="24">
        <v>14587</v>
      </c>
      <c r="M345" s="24">
        <v>65949580</v>
      </c>
    </row>
    <row r="346" spans="1:13" s="48" customFormat="1" outlineLevel="2">
      <c r="A346" s="39" t="s">
        <v>142</v>
      </c>
      <c r="B346" s="40" t="s">
        <v>47</v>
      </c>
      <c r="C346" s="41" t="s">
        <v>163</v>
      </c>
      <c r="D346" s="40"/>
      <c r="E346" s="24"/>
      <c r="F346" s="39"/>
      <c r="G346" s="24">
        <v>65949580</v>
      </c>
      <c r="H346" s="23">
        <v>5.0000000000000001E-3</v>
      </c>
      <c r="I346" s="39">
        <v>44333</v>
      </c>
      <c r="J346" s="39">
        <v>44347</v>
      </c>
      <c r="K346" s="24">
        <v>15</v>
      </c>
      <c r="L346" s="24">
        <v>13551</v>
      </c>
      <c r="M346" s="24"/>
    </row>
    <row r="347" spans="1:13" s="48" customFormat="1" outlineLevel="2">
      <c r="A347" s="39" t="s">
        <v>142</v>
      </c>
      <c r="B347" s="40" t="s">
        <v>50</v>
      </c>
      <c r="C347" s="41" t="s">
        <v>97</v>
      </c>
      <c r="D347" s="40" t="s">
        <v>98</v>
      </c>
      <c r="E347" s="24">
        <v>87500000</v>
      </c>
      <c r="F347" s="39">
        <v>44027</v>
      </c>
      <c r="G347" s="24">
        <v>87500000</v>
      </c>
      <c r="H347" s="23">
        <v>5.0000000000000001E-3</v>
      </c>
      <c r="I347" s="39">
        <v>44317</v>
      </c>
      <c r="J347" s="39">
        <v>44347</v>
      </c>
      <c r="K347" s="24">
        <v>31</v>
      </c>
      <c r="L347" s="24">
        <v>37158</v>
      </c>
      <c r="M347" s="24">
        <v>87500000</v>
      </c>
    </row>
    <row r="348" spans="1:13" s="48" customFormat="1" outlineLevel="2">
      <c r="A348" s="39" t="s">
        <v>142</v>
      </c>
      <c r="B348" s="40" t="s">
        <v>51</v>
      </c>
      <c r="C348" s="41" t="s">
        <v>165</v>
      </c>
      <c r="D348" s="40" t="s">
        <v>166</v>
      </c>
      <c r="E348" s="24">
        <v>84000000</v>
      </c>
      <c r="F348" s="39">
        <v>44027</v>
      </c>
      <c r="G348" s="24">
        <v>84000000</v>
      </c>
      <c r="H348" s="23">
        <v>5.0000000000000001E-3</v>
      </c>
      <c r="I348" s="39">
        <v>44317</v>
      </c>
      <c r="J348" s="39">
        <v>44347</v>
      </c>
      <c r="K348" s="24">
        <v>31</v>
      </c>
      <c r="L348" s="24">
        <v>35671</v>
      </c>
      <c r="M348" s="24">
        <v>84000000</v>
      </c>
    </row>
    <row r="349" spans="1:13" s="48" customFormat="1" outlineLevel="2">
      <c r="A349" s="39" t="s">
        <v>142</v>
      </c>
      <c r="B349" s="40" t="s">
        <v>52</v>
      </c>
      <c r="C349" s="41" t="s">
        <v>30</v>
      </c>
      <c r="D349" s="40" t="s">
        <v>31</v>
      </c>
      <c r="E349" s="24">
        <v>12230000</v>
      </c>
      <c r="F349" s="39">
        <v>44034</v>
      </c>
      <c r="G349" s="24">
        <v>12230000</v>
      </c>
      <c r="H349" s="23">
        <v>5.0000000000000001E-3</v>
      </c>
      <c r="I349" s="39">
        <v>44317</v>
      </c>
      <c r="J349" s="39">
        <v>44347</v>
      </c>
      <c r="K349" s="24">
        <v>31</v>
      </c>
      <c r="L349" s="24">
        <v>5194</v>
      </c>
      <c r="M349" s="24">
        <v>12230000</v>
      </c>
    </row>
    <row r="350" spans="1:13" s="48" customFormat="1" outlineLevel="2">
      <c r="A350" s="39" t="s">
        <v>142</v>
      </c>
      <c r="B350" s="40" t="s">
        <v>53</v>
      </c>
      <c r="C350" s="41" t="s">
        <v>123</v>
      </c>
      <c r="D350" s="40" t="s">
        <v>124</v>
      </c>
      <c r="E350" s="24">
        <v>40000000</v>
      </c>
      <c r="F350" s="39">
        <v>44040</v>
      </c>
      <c r="G350" s="24">
        <v>40000000</v>
      </c>
      <c r="H350" s="23">
        <v>5.0000000000000001E-3</v>
      </c>
      <c r="I350" s="39">
        <v>44317</v>
      </c>
      <c r="J350" s="39">
        <v>44347</v>
      </c>
      <c r="K350" s="24">
        <v>31</v>
      </c>
      <c r="L350" s="24">
        <v>16986</v>
      </c>
      <c r="M350" s="24">
        <v>40000000</v>
      </c>
    </row>
    <row r="351" spans="1:13" s="48" customFormat="1" outlineLevel="2">
      <c r="A351" s="39" t="s">
        <v>142</v>
      </c>
      <c r="B351" s="40" t="s">
        <v>54</v>
      </c>
      <c r="C351" s="41" t="s">
        <v>121</v>
      </c>
      <c r="D351" s="40" t="s">
        <v>122</v>
      </c>
      <c r="E351" s="24">
        <v>171000000</v>
      </c>
      <c r="F351" s="39">
        <v>43822</v>
      </c>
      <c r="G351" s="24">
        <v>171000000</v>
      </c>
      <c r="H351" s="23">
        <v>5.0000000000000001E-3</v>
      </c>
      <c r="I351" s="39">
        <v>44317</v>
      </c>
      <c r="J351" s="39">
        <v>44347</v>
      </c>
      <c r="K351" s="24">
        <v>31</v>
      </c>
      <c r="L351" s="24">
        <v>72616</v>
      </c>
      <c r="M351" s="24">
        <v>171000000</v>
      </c>
    </row>
    <row r="352" spans="1:13" s="48" customFormat="1" outlineLevel="2">
      <c r="A352" s="39" t="s">
        <v>142</v>
      </c>
      <c r="B352" s="40" t="s">
        <v>57</v>
      </c>
      <c r="C352" s="41" t="s">
        <v>167</v>
      </c>
      <c r="D352" s="40" t="s">
        <v>168</v>
      </c>
      <c r="E352" s="24">
        <v>18000000</v>
      </c>
      <c r="F352" s="39">
        <v>44043</v>
      </c>
      <c r="G352" s="24">
        <v>18000000</v>
      </c>
      <c r="H352" s="23">
        <v>5.0000000000000001E-3</v>
      </c>
      <c r="I352" s="39">
        <v>44317</v>
      </c>
      <c r="J352" s="39">
        <v>44347</v>
      </c>
      <c r="K352" s="24">
        <v>31</v>
      </c>
      <c r="L352" s="24">
        <v>7644</v>
      </c>
      <c r="M352" s="24">
        <v>18000000</v>
      </c>
    </row>
    <row r="353" spans="1:13" s="48" customFormat="1" outlineLevel="2">
      <c r="A353" s="39" t="s">
        <v>142</v>
      </c>
      <c r="B353" s="40" t="s">
        <v>58</v>
      </c>
      <c r="C353" s="41" t="s">
        <v>167</v>
      </c>
      <c r="D353" s="40" t="s">
        <v>168</v>
      </c>
      <c r="E353" s="24">
        <v>21000000</v>
      </c>
      <c r="F353" s="39">
        <v>44043</v>
      </c>
      <c r="G353" s="24">
        <v>21000000</v>
      </c>
      <c r="H353" s="23">
        <v>5.0000000000000001E-3</v>
      </c>
      <c r="I353" s="39">
        <v>44317</v>
      </c>
      <c r="J353" s="39">
        <v>44347</v>
      </c>
      <c r="K353" s="24">
        <v>31</v>
      </c>
      <c r="L353" s="24">
        <v>8918</v>
      </c>
      <c r="M353" s="24">
        <v>21000000</v>
      </c>
    </row>
    <row r="354" spans="1:13" s="48" customFormat="1" outlineLevel="2">
      <c r="A354" s="39" t="s">
        <v>142</v>
      </c>
      <c r="B354" s="40" t="s">
        <v>99</v>
      </c>
      <c r="C354" s="41" t="s">
        <v>167</v>
      </c>
      <c r="D354" s="40" t="s">
        <v>168</v>
      </c>
      <c r="E354" s="24">
        <v>13600000</v>
      </c>
      <c r="F354" s="39">
        <v>44043</v>
      </c>
      <c r="G354" s="24">
        <v>13600000</v>
      </c>
      <c r="H354" s="23">
        <v>5.0000000000000001E-3</v>
      </c>
      <c r="I354" s="39">
        <v>44317</v>
      </c>
      <c r="J354" s="39">
        <v>44347</v>
      </c>
      <c r="K354" s="24">
        <v>31</v>
      </c>
      <c r="L354" s="24">
        <v>5775</v>
      </c>
      <c r="M354" s="24">
        <v>13600000</v>
      </c>
    </row>
    <row r="355" spans="1:13" s="48" customFormat="1" outlineLevel="2">
      <c r="A355" s="39" t="s">
        <v>142</v>
      </c>
      <c r="B355" s="40" t="s">
        <v>100</v>
      </c>
      <c r="C355" s="41" t="s">
        <v>143</v>
      </c>
      <c r="D355" s="40" t="s">
        <v>144</v>
      </c>
      <c r="E355" s="24">
        <v>28000000</v>
      </c>
      <c r="F355" s="39">
        <v>44046</v>
      </c>
      <c r="G355" s="24">
        <v>28000000</v>
      </c>
      <c r="H355" s="23">
        <v>5.0000000000000001E-3</v>
      </c>
      <c r="I355" s="39">
        <v>44317</v>
      </c>
      <c r="J355" s="39">
        <v>44347</v>
      </c>
      <c r="K355" s="24">
        <v>31</v>
      </c>
      <c r="L355" s="24">
        <v>11890</v>
      </c>
      <c r="M355" s="24">
        <v>28000000</v>
      </c>
    </row>
    <row r="356" spans="1:13" s="48" customFormat="1" outlineLevel="2">
      <c r="A356" s="39" t="s">
        <v>142</v>
      </c>
      <c r="B356" s="40" t="s">
        <v>101</v>
      </c>
      <c r="C356" s="41" t="s">
        <v>143</v>
      </c>
      <c r="D356" s="40" t="s">
        <v>144</v>
      </c>
      <c r="E356" s="24">
        <v>2700000</v>
      </c>
      <c r="F356" s="39">
        <v>44056</v>
      </c>
      <c r="G356" s="24">
        <v>2700000</v>
      </c>
      <c r="H356" s="23">
        <v>5.0000000000000001E-3</v>
      </c>
      <c r="I356" s="39">
        <v>44317</v>
      </c>
      <c r="J356" s="39">
        <v>44347</v>
      </c>
      <c r="K356" s="24">
        <v>31</v>
      </c>
      <c r="L356" s="24">
        <v>1147</v>
      </c>
      <c r="M356" s="24">
        <v>2700000</v>
      </c>
    </row>
    <row r="357" spans="1:13" s="48" customFormat="1" outlineLevel="2">
      <c r="A357" s="39" t="s">
        <v>142</v>
      </c>
      <c r="B357" s="40" t="s">
        <v>102</v>
      </c>
      <c r="C357" s="41" t="s">
        <v>143</v>
      </c>
      <c r="D357" s="40" t="s">
        <v>144</v>
      </c>
      <c r="E357" s="24">
        <v>29500000</v>
      </c>
      <c r="F357" s="39">
        <v>44074</v>
      </c>
      <c r="G357" s="24">
        <v>29500000</v>
      </c>
      <c r="H357" s="23">
        <v>5.0000000000000001E-3</v>
      </c>
      <c r="I357" s="39">
        <v>44317</v>
      </c>
      <c r="J357" s="39">
        <v>44347</v>
      </c>
      <c r="K357" s="24">
        <v>31</v>
      </c>
      <c r="L357" s="24">
        <v>12527</v>
      </c>
      <c r="M357" s="24">
        <v>29500000</v>
      </c>
    </row>
    <row r="358" spans="1:13" s="48" customFormat="1" outlineLevel="2">
      <c r="A358" s="39" t="s">
        <v>142</v>
      </c>
      <c r="B358" s="40" t="s">
        <v>103</v>
      </c>
      <c r="C358" s="41" t="s">
        <v>79</v>
      </c>
      <c r="D358" s="40" t="s">
        <v>80</v>
      </c>
      <c r="E358" s="24">
        <v>120000000</v>
      </c>
      <c r="F358" s="39">
        <v>44046</v>
      </c>
      <c r="G358" s="24">
        <v>120000000</v>
      </c>
      <c r="H358" s="23">
        <v>5.0000000000000001E-3</v>
      </c>
      <c r="I358" s="39">
        <v>44317</v>
      </c>
      <c r="J358" s="39">
        <v>44347</v>
      </c>
      <c r="K358" s="24">
        <v>31</v>
      </c>
      <c r="L358" s="24">
        <v>50959</v>
      </c>
      <c r="M358" s="24">
        <v>120000000</v>
      </c>
    </row>
    <row r="359" spans="1:13" s="48" customFormat="1" outlineLevel="2">
      <c r="A359" s="39" t="s">
        <v>142</v>
      </c>
      <c r="B359" s="40" t="s">
        <v>104</v>
      </c>
      <c r="C359" s="41" t="s">
        <v>149</v>
      </c>
      <c r="D359" s="40" t="s">
        <v>150</v>
      </c>
      <c r="E359" s="24">
        <v>8736000</v>
      </c>
      <c r="F359" s="39">
        <v>44047</v>
      </c>
      <c r="G359" s="24">
        <v>8736000</v>
      </c>
      <c r="H359" s="23">
        <v>5.0000000000000001E-3</v>
      </c>
      <c r="I359" s="39">
        <v>44317</v>
      </c>
      <c r="J359" s="39">
        <v>44347</v>
      </c>
      <c r="K359" s="24">
        <v>31</v>
      </c>
      <c r="L359" s="24">
        <v>3710</v>
      </c>
      <c r="M359" s="24">
        <v>8736000</v>
      </c>
    </row>
    <row r="360" spans="1:13" s="48" customFormat="1" outlineLevel="2">
      <c r="A360" s="39" t="s">
        <v>142</v>
      </c>
      <c r="B360" s="40" t="s">
        <v>105</v>
      </c>
      <c r="C360" s="41" t="s">
        <v>149</v>
      </c>
      <c r="D360" s="40" t="s">
        <v>150</v>
      </c>
      <c r="E360" s="24">
        <v>8988000</v>
      </c>
      <c r="F360" s="39">
        <v>44067</v>
      </c>
      <c r="G360" s="24">
        <v>8988000</v>
      </c>
      <c r="H360" s="23">
        <v>5.0000000000000001E-3</v>
      </c>
      <c r="I360" s="39">
        <v>44317</v>
      </c>
      <c r="J360" s="39">
        <v>44347</v>
      </c>
      <c r="K360" s="24">
        <v>31</v>
      </c>
      <c r="L360" s="24">
        <v>3817</v>
      </c>
      <c r="M360" s="24">
        <v>8988000</v>
      </c>
    </row>
    <row r="361" spans="1:13" s="48" customFormat="1" outlineLevel="2">
      <c r="A361" s="39" t="s">
        <v>142</v>
      </c>
      <c r="B361" s="40" t="s">
        <v>106</v>
      </c>
      <c r="C361" s="41" t="s">
        <v>149</v>
      </c>
      <c r="D361" s="40" t="s">
        <v>150</v>
      </c>
      <c r="E361" s="24">
        <v>34608000</v>
      </c>
      <c r="F361" s="39">
        <v>44070</v>
      </c>
      <c r="G361" s="24">
        <v>34608000</v>
      </c>
      <c r="H361" s="23">
        <v>5.0000000000000001E-3</v>
      </c>
      <c r="I361" s="39">
        <v>44317</v>
      </c>
      <c r="J361" s="39">
        <v>44347</v>
      </c>
      <c r="K361" s="24">
        <v>31</v>
      </c>
      <c r="L361" s="24">
        <v>14697</v>
      </c>
      <c r="M361" s="24">
        <v>34608000</v>
      </c>
    </row>
    <row r="362" spans="1:13" s="48" customFormat="1" outlineLevel="2">
      <c r="A362" s="39" t="s">
        <v>142</v>
      </c>
      <c r="B362" s="40" t="s">
        <v>59</v>
      </c>
      <c r="C362" s="41" t="s">
        <v>143</v>
      </c>
      <c r="D362" s="40" t="s">
        <v>144</v>
      </c>
      <c r="E362" s="24">
        <v>38000000</v>
      </c>
      <c r="F362" s="39">
        <v>43850</v>
      </c>
      <c r="G362" s="24">
        <v>38000000</v>
      </c>
      <c r="H362" s="23">
        <v>5.0000000000000001E-3</v>
      </c>
      <c r="I362" s="39">
        <v>44317</v>
      </c>
      <c r="J362" s="39">
        <v>44347</v>
      </c>
      <c r="K362" s="24">
        <v>31</v>
      </c>
      <c r="L362" s="24">
        <v>16137</v>
      </c>
      <c r="M362" s="24">
        <v>38000000</v>
      </c>
    </row>
    <row r="363" spans="1:13" s="48" customFormat="1" outlineLevel="2">
      <c r="A363" s="39" t="s">
        <v>142</v>
      </c>
      <c r="B363" s="40" t="s">
        <v>136</v>
      </c>
      <c r="C363" s="41" t="s">
        <v>146</v>
      </c>
      <c r="D363" s="40" t="s">
        <v>147</v>
      </c>
      <c r="E363" s="24">
        <v>13000000</v>
      </c>
      <c r="F363" s="39">
        <v>44047</v>
      </c>
      <c r="G363" s="24">
        <v>13000000</v>
      </c>
      <c r="H363" s="23">
        <v>5.0000000000000001E-3</v>
      </c>
      <c r="I363" s="39">
        <v>44317</v>
      </c>
      <c r="J363" s="39">
        <v>44347</v>
      </c>
      <c r="K363" s="24">
        <v>31</v>
      </c>
      <c r="L363" s="24">
        <v>5521</v>
      </c>
      <c r="M363" s="24">
        <v>13000000</v>
      </c>
    </row>
    <row r="364" spans="1:13" s="48" customFormat="1" outlineLevel="2">
      <c r="A364" s="39" t="s">
        <v>142</v>
      </c>
      <c r="B364" s="40" t="s">
        <v>137</v>
      </c>
      <c r="C364" s="41" t="s">
        <v>146</v>
      </c>
      <c r="D364" s="40" t="s">
        <v>147</v>
      </c>
      <c r="E364" s="24">
        <v>5000000</v>
      </c>
      <c r="F364" s="39">
        <v>44053</v>
      </c>
      <c r="G364" s="24">
        <v>5000000</v>
      </c>
      <c r="H364" s="23">
        <v>5.0000000000000001E-3</v>
      </c>
      <c r="I364" s="39">
        <v>44317</v>
      </c>
      <c r="J364" s="39">
        <v>44347</v>
      </c>
      <c r="K364" s="24">
        <v>31</v>
      </c>
      <c r="L364" s="24">
        <v>2123</v>
      </c>
      <c r="M364" s="24">
        <v>5000000</v>
      </c>
    </row>
    <row r="365" spans="1:13" s="48" customFormat="1" outlineLevel="2">
      <c r="A365" s="39" t="s">
        <v>142</v>
      </c>
      <c r="B365" s="40" t="s">
        <v>138</v>
      </c>
      <c r="C365" s="41" t="s">
        <v>163</v>
      </c>
      <c r="D365" s="40" t="s">
        <v>164</v>
      </c>
      <c r="E365" s="24">
        <v>5300000</v>
      </c>
      <c r="F365" s="39">
        <v>44050</v>
      </c>
      <c r="G365" s="24">
        <v>4940680</v>
      </c>
      <c r="H365" s="23">
        <v>5.0000000000000001E-3</v>
      </c>
      <c r="I365" s="39">
        <v>44317</v>
      </c>
      <c r="J365" s="39">
        <v>44332</v>
      </c>
      <c r="K365" s="24">
        <v>16</v>
      </c>
      <c r="L365" s="24">
        <v>1083</v>
      </c>
      <c r="M365" s="24">
        <v>4895765</v>
      </c>
    </row>
    <row r="366" spans="1:13" s="48" customFormat="1" outlineLevel="2">
      <c r="A366" s="39" t="s">
        <v>142</v>
      </c>
      <c r="B366" s="40" t="s">
        <v>138</v>
      </c>
      <c r="C366" s="41" t="s">
        <v>163</v>
      </c>
      <c r="D366" s="40"/>
      <c r="E366" s="24"/>
      <c r="F366" s="39"/>
      <c r="G366" s="24">
        <v>4895765</v>
      </c>
      <c r="H366" s="23">
        <v>5.0000000000000001E-3</v>
      </c>
      <c r="I366" s="39">
        <v>44333</v>
      </c>
      <c r="J366" s="39">
        <v>44347</v>
      </c>
      <c r="K366" s="24">
        <v>15</v>
      </c>
      <c r="L366" s="24">
        <v>1006</v>
      </c>
      <c r="M366" s="24"/>
    </row>
    <row r="367" spans="1:13" s="48" customFormat="1" outlineLevel="2">
      <c r="A367" s="39" t="s">
        <v>142</v>
      </c>
      <c r="B367" s="40" t="s">
        <v>139</v>
      </c>
      <c r="C367" s="41" t="s">
        <v>117</v>
      </c>
      <c r="D367" s="40" t="s">
        <v>118</v>
      </c>
      <c r="E367" s="24">
        <v>40000000</v>
      </c>
      <c r="F367" s="39">
        <v>44060</v>
      </c>
      <c r="G367" s="24">
        <v>40000000</v>
      </c>
      <c r="H367" s="23">
        <v>5.0000000000000001E-3</v>
      </c>
      <c r="I367" s="39">
        <v>44317</v>
      </c>
      <c r="J367" s="39">
        <v>44347</v>
      </c>
      <c r="K367" s="24">
        <v>31</v>
      </c>
      <c r="L367" s="24">
        <v>16986</v>
      </c>
      <c r="M367" s="24">
        <v>40000000</v>
      </c>
    </row>
    <row r="368" spans="1:13" s="48" customFormat="1" outlineLevel="2">
      <c r="A368" s="39" t="s">
        <v>142</v>
      </c>
      <c r="B368" s="40" t="s">
        <v>140</v>
      </c>
      <c r="C368" s="41" t="s">
        <v>45</v>
      </c>
      <c r="D368" s="40" t="s">
        <v>46</v>
      </c>
      <c r="E368" s="24">
        <v>10000000</v>
      </c>
      <c r="F368" s="39">
        <v>44067</v>
      </c>
      <c r="G368" s="24">
        <v>10000000</v>
      </c>
      <c r="H368" s="23">
        <v>5.0000000000000001E-3</v>
      </c>
      <c r="I368" s="39">
        <v>44317</v>
      </c>
      <c r="J368" s="39">
        <v>44347</v>
      </c>
      <c r="K368" s="24">
        <v>31</v>
      </c>
      <c r="L368" s="24">
        <v>4247</v>
      </c>
      <c r="M368" s="24">
        <v>10000000</v>
      </c>
    </row>
    <row r="369" spans="1:13" s="48" customFormat="1" outlineLevel="2">
      <c r="A369" s="39" t="s">
        <v>142</v>
      </c>
      <c r="B369" s="40" t="s">
        <v>169</v>
      </c>
      <c r="C369" s="41" t="s">
        <v>79</v>
      </c>
      <c r="D369" s="40" t="s">
        <v>80</v>
      </c>
      <c r="E369" s="24">
        <v>125000000</v>
      </c>
      <c r="F369" s="39">
        <v>44075</v>
      </c>
      <c r="G369" s="24">
        <v>125000000</v>
      </c>
      <c r="H369" s="23">
        <v>5.0000000000000001E-3</v>
      </c>
      <c r="I369" s="39">
        <v>44317</v>
      </c>
      <c r="J369" s="39">
        <v>44347</v>
      </c>
      <c r="K369" s="24">
        <v>31</v>
      </c>
      <c r="L369" s="24">
        <v>53082</v>
      </c>
      <c r="M369" s="24">
        <v>125000000</v>
      </c>
    </row>
    <row r="370" spans="1:13" s="48" customFormat="1" outlineLevel="2">
      <c r="A370" s="39" t="s">
        <v>142</v>
      </c>
      <c r="B370" s="40" t="s">
        <v>170</v>
      </c>
      <c r="C370" s="41" t="s">
        <v>79</v>
      </c>
      <c r="D370" s="40" t="s">
        <v>80</v>
      </c>
      <c r="E370" s="24">
        <v>105000000</v>
      </c>
      <c r="F370" s="39">
        <v>44104</v>
      </c>
      <c r="G370" s="24">
        <v>105000000</v>
      </c>
      <c r="H370" s="23">
        <v>5.0000000000000001E-3</v>
      </c>
      <c r="I370" s="39">
        <v>44317</v>
      </c>
      <c r="J370" s="39">
        <v>44347</v>
      </c>
      <c r="K370" s="24">
        <v>31</v>
      </c>
      <c r="L370" s="24">
        <v>44589</v>
      </c>
      <c r="M370" s="24">
        <v>105000000</v>
      </c>
    </row>
    <row r="371" spans="1:13" s="48" customFormat="1" outlineLevel="2">
      <c r="A371" s="39" t="s">
        <v>142</v>
      </c>
      <c r="B371" s="40" t="s">
        <v>171</v>
      </c>
      <c r="C371" s="41" t="s">
        <v>146</v>
      </c>
      <c r="D371" s="40" t="s">
        <v>147</v>
      </c>
      <c r="E371" s="24">
        <v>13000000</v>
      </c>
      <c r="F371" s="39">
        <v>44077</v>
      </c>
      <c r="G371" s="24">
        <v>13000000</v>
      </c>
      <c r="H371" s="23">
        <v>5.0000000000000001E-3</v>
      </c>
      <c r="I371" s="39">
        <v>44317</v>
      </c>
      <c r="J371" s="39">
        <v>44347</v>
      </c>
      <c r="K371" s="24">
        <v>31</v>
      </c>
      <c r="L371" s="24">
        <v>5521</v>
      </c>
      <c r="M371" s="24">
        <v>13000000</v>
      </c>
    </row>
    <row r="372" spans="1:13" s="48" customFormat="1" outlineLevel="2">
      <c r="A372" s="39" t="s">
        <v>142</v>
      </c>
      <c r="B372" s="40" t="s">
        <v>172</v>
      </c>
      <c r="C372" s="41" t="s">
        <v>146</v>
      </c>
      <c r="D372" s="40" t="s">
        <v>147</v>
      </c>
      <c r="E372" s="24">
        <v>5800000</v>
      </c>
      <c r="F372" s="39">
        <v>44083</v>
      </c>
      <c r="G372" s="24">
        <v>5800000</v>
      </c>
      <c r="H372" s="23">
        <v>5.0000000000000001E-3</v>
      </c>
      <c r="I372" s="39">
        <v>44317</v>
      </c>
      <c r="J372" s="39">
        <v>44347</v>
      </c>
      <c r="K372" s="24">
        <v>31</v>
      </c>
      <c r="L372" s="24">
        <v>2463</v>
      </c>
      <c r="M372" s="24">
        <v>5800000</v>
      </c>
    </row>
    <row r="373" spans="1:13" s="48" customFormat="1" outlineLevel="2">
      <c r="A373" s="39" t="s">
        <v>142</v>
      </c>
      <c r="B373" s="40" t="s">
        <v>173</v>
      </c>
      <c r="C373" s="41" t="s">
        <v>149</v>
      </c>
      <c r="D373" s="40" t="s">
        <v>150</v>
      </c>
      <c r="E373" s="24">
        <v>4989600</v>
      </c>
      <c r="F373" s="39">
        <v>44088</v>
      </c>
      <c r="G373" s="24">
        <v>4989600</v>
      </c>
      <c r="H373" s="23">
        <v>5.0000000000000001E-3</v>
      </c>
      <c r="I373" s="39">
        <v>44317</v>
      </c>
      <c r="J373" s="39">
        <v>44347</v>
      </c>
      <c r="K373" s="24">
        <v>31</v>
      </c>
      <c r="L373" s="24">
        <v>2119</v>
      </c>
      <c r="M373" s="24">
        <v>4989600</v>
      </c>
    </row>
    <row r="374" spans="1:13" s="48" customFormat="1" outlineLevel="2">
      <c r="A374" s="39" t="s">
        <v>142</v>
      </c>
      <c r="B374" s="40" t="s">
        <v>62</v>
      </c>
      <c r="C374" s="41" t="s">
        <v>143</v>
      </c>
      <c r="D374" s="40" t="s">
        <v>144</v>
      </c>
      <c r="E374" s="24">
        <v>10000000</v>
      </c>
      <c r="F374" s="39">
        <v>43850</v>
      </c>
      <c r="G374" s="24">
        <v>10000000</v>
      </c>
      <c r="H374" s="23">
        <v>5.0000000000000001E-3</v>
      </c>
      <c r="I374" s="39">
        <v>44317</v>
      </c>
      <c r="J374" s="39">
        <v>44347</v>
      </c>
      <c r="K374" s="24">
        <v>31</v>
      </c>
      <c r="L374" s="24">
        <v>4247</v>
      </c>
      <c r="M374" s="24">
        <v>10000000</v>
      </c>
    </row>
    <row r="375" spans="1:13" s="48" customFormat="1" outlineLevel="2">
      <c r="A375" s="39" t="s">
        <v>142</v>
      </c>
      <c r="B375" s="40" t="s">
        <v>174</v>
      </c>
      <c r="C375" s="41" t="s">
        <v>66</v>
      </c>
      <c r="D375" s="40" t="s">
        <v>67</v>
      </c>
      <c r="E375" s="24">
        <v>96000000</v>
      </c>
      <c r="F375" s="39">
        <v>44089</v>
      </c>
      <c r="G375" s="24">
        <v>96000000</v>
      </c>
      <c r="H375" s="23">
        <v>5.0000000000000001E-3</v>
      </c>
      <c r="I375" s="39">
        <v>44317</v>
      </c>
      <c r="J375" s="39">
        <v>44347</v>
      </c>
      <c r="K375" s="24">
        <v>31</v>
      </c>
      <c r="L375" s="24">
        <v>40767</v>
      </c>
      <c r="M375" s="24">
        <v>96000000</v>
      </c>
    </row>
    <row r="376" spans="1:13" s="48" customFormat="1" outlineLevel="2">
      <c r="A376" s="39" t="s">
        <v>142</v>
      </c>
      <c r="B376" s="40" t="s">
        <v>175</v>
      </c>
      <c r="C376" s="41" t="s">
        <v>66</v>
      </c>
      <c r="D376" s="40" t="s">
        <v>67</v>
      </c>
      <c r="E376" s="24">
        <v>16000000</v>
      </c>
      <c r="F376" s="39">
        <v>44089</v>
      </c>
      <c r="G376" s="24">
        <v>16000000</v>
      </c>
      <c r="H376" s="23">
        <v>5.0000000000000001E-3</v>
      </c>
      <c r="I376" s="39">
        <v>44317</v>
      </c>
      <c r="J376" s="39">
        <v>44347</v>
      </c>
      <c r="K376" s="24">
        <v>31</v>
      </c>
      <c r="L376" s="24">
        <v>6795</v>
      </c>
      <c r="M376" s="24">
        <v>16000000</v>
      </c>
    </row>
    <row r="377" spans="1:13" s="48" customFormat="1" outlineLevel="2">
      <c r="A377" s="39" t="s">
        <v>142</v>
      </c>
      <c r="B377" s="40" t="s">
        <v>176</v>
      </c>
      <c r="C377" s="41" t="s">
        <v>143</v>
      </c>
      <c r="D377" s="40" t="s">
        <v>144</v>
      </c>
      <c r="E377" s="24">
        <v>21600000</v>
      </c>
      <c r="F377" s="39">
        <v>44095</v>
      </c>
      <c r="G377" s="24">
        <v>21600000</v>
      </c>
      <c r="H377" s="23">
        <v>5.0000000000000001E-3</v>
      </c>
      <c r="I377" s="39">
        <v>44317</v>
      </c>
      <c r="J377" s="39">
        <v>44347</v>
      </c>
      <c r="K377" s="24">
        <v>31</v>
      </c>
      <c r="L377" s="24">
        <v>9173</v>
      </c>
      <c r="M377" s="24">
        <v>21600000</v>
      </c>
    </row>
    <row r="378" spans="1:13" s="48" customFormat="1" outlineLevel="2">
      <c r="A378" s="39" t="s">
        <v>142</v>
      </c>
      <c r="B378" s="40" t="s">
        <v>177</v>
      </c>
      <c r="C378" s="41" t="s">
        <v>123</v>
      </c>
      <c r="D378" s="40" t="s">
        <v>124</v>
      </c>
      <c r="E378" s="24">
        <v>40000000</v>
      </c>
      <c r="F378" s="39">
        <v>44100</v>
      </c>
      <c r="G378" s="24">
        <v>40000000</v>
      </c>
      <c r="H378" s="23">
        <v>5.0000000000000001E-3</v>
      </c>
      <c r="I378" s="39">
        <v>44317</v>
      </c>
      <c r="J378" s="39">
        <v>44347</v>
      </c>
      <c r="K378" s="24">
        <v>31</v>
      </c>
      <c r="L378" s="24">
        <v>16986</v>
      </c>
      <c r="M378" s="24">
        <v>40000000</v>
      </c>
    </row>
    <row r="379" spans="1:13" s="48" customFormat="1" outlineLevel="2">
      <c r="A379" s="39" t="s">
        <v>142</v>
      </c>
      <c r="B379" s="40" t="s">
        <v>178</v>
      </c>
      <c r="C379" s="41" t="s">
        <v>125</v>
      </c>
      <c r="D379" s="40" t="s">
        <v>126</v>
      </c>
      <c r="E379" s="24">
        <v>2000000</v>
      </c>
      <c r="F379" s="39">
        <v>44103</v>
      </c>
      <c r="G379" s="24">
        <v>2000000</v>
      </c>
      <c r="H379" s="23">
        <v>5.0000000000000001E-3</v>
      </c>
      <c r="I379" s="39">
        <v>44317</v>
      </c>
      <c r="J379" s="39">
        <v>44347</v>
      </c>
      <c r="K379" s="24">
        <v>31</v>
      </c>
      <c r="L379" s="24">
        <v>849</v>
      </c>
      <c r="M379" s="24">
        <v>2000000</v>
      </c>
    </row>
    <row r="380" spans="1:13" s="48" customFormat="1" outlineLevel="2">
      <c r="A380" s="39" t="s">
        <v>142</v>
      </c>
      <c r="B380" s="40" t="s">
        <v>179</v>
      </c>
      <c r="C380" s="41" t="s">
        <v>146</v>
      </c>
      <c r="D380" s="40" t="s">
        <v>147</v>
      </c>
      <c r="E380" s="24">
        <v>13200000</v>
      </c>
      <c r="F380" s="39">
        <v>44109</v>
      </c>
      <c r="G380" s="24">
        <v>13200000</v>
      </c>
      <c r="H380" s="23">
        <v>5.0000000000000001E-3</v>
      </c>
      <c r="I380" s="39">
        <v>44317</v>
      </c>
      <c r="J380" s="39">
        <v>44347</v>
      </c>
      <c r="K380" s="24">
        <v>31</v>
      </c>
      <c r="L380" s="24">
        <v>5605</v>
      </c>
      <c r="M380" s="24">
        <v>13200000</v>
      </c>
    </row>
    <row r="381" spans="1:13" s="48" customFormat="1" outlineLevel="2">
      <c r="A381" s="39" t="s">
        <v>142</v>
      </c>
      <c r="B381" s="40" t="s">
        <v>180</v>
      </c>
      <c r="C381" s="41" t="s">
        <v>146</v>
      </c>
      <c r="D381" s="40" t="s">
        <v>147</v>
      </c>
      <c r="E381" s="24">
        <v>3000000</v>
      </c>
      <c r="F381" s="39">
        <v>44116</v>
      </c>
      <c r="G381" s="24">
        <v>3000000</v>
      </c>
      <c r="H381" s="23">
        <v>5.0000000000000001E-3</v>
      </c>
      <c r="I381" s="39">
        <v>44317</v>
      </c>
      <c r="J381" s="39">
        <v>44347</v>
      </c>
      <c r="K381" s="24">
        <v>31</v>
      </c>
      <c r="L381" s="24">
        <v>1274</v>
      </c>
      <c r="M381" s="24">
        <v>3000000</v>
      </c>
    </row>
    <row r="382" spans="1:13" s="48" customFormat="1" outlineLevel="2">
      <c r="A382" s="39" t="s">
        <v>142</v>
      </c>
      <c r="B382" s="40" t="s">
        <v>181</v>
      </c>
      <c r="C382" s="41" t="s">
        <v>149</v>
      </c>
      <c r="D382" s="40" t="s">
        <v>150</v>
      </c>
      <c r="E382" s="24">
        <v>8736000</v>
      </c>
      <c r="F382" s="39">
        <v>44109</v>
      </c>
      <c r="G382" s="24">
        <v>8736000</v>
      </c>
      <c r="H382" s="23">
        <v>5.0000000000000001E-3</v>
      </c>
      <c r="I382" s="39">
        <v>44317</v>
      </c>
      <c r="J382" s="39">
        <v>44347</v>
      </c>
      <c r="K382" s="24">
        <v>31</v>
      </c>
      <c r="L382" s="24">
        <v>3710</v>
      </c>
      <c r="M382" s="24">
        <v>8736000</v>
      </c>
    </row>
    <row r="383" spans="1:13" s="48" customFormat="1" outlineLevel="2">
      <c r="A383" s="39" t="s">
        <v>142</v>
      </c>
      <c r="B383" s="40" t="s">
        <v>182</v>
      </c>
      <c r="C383" s="41" t="s">
        <v>149</v>
      </c>
      <c r="D383" s="40" t="s">
        <v>150</v>
      </c>
      <c r="E383" s="24">
        <v>4273920</v>
      </c>
      <c r="F383" s="39">
        <v>44111</v>
      </c>
      <c r="G383" s="24">
        <v>4273920</v>
      </c>
      <c r="H383" s="23">
        <v>5.0000000000000001E-3</v>
      </c>
      <c r="I383" s="39">
        <v>44317</v>
      </c>
      <c r="J383" s="39">
        <v>44347</v>
      </c>
      <c r="K383" s="24">
        <v>31</v>
      </c>
      <c r="L383" s="24">
        <v>1815</v>
      </c>
      <c r="M383" s="24">
        <v>4273920</v>
      </c>
    </row>
    <row r="384" spans="1:13" s="48" customFormat="1" outlineLevel="2">
      <c r="A384" s="39" t="s">
        <v>142</v>
      </c>
      <c r="B384" s="40" t="s">
        <v>183</v>
      </c>
      <c r="C384" s="41" t="s">
        <v>149</v>
      </c>
      <c r="D384" s="40" t="s">
        <v>150</v>
      </c>
      <c r="E384" s="24">
        <v>4368000</v>
      </c>
      <c r="F384" s="39">
        <v>44132</v>
      </c>
      <c r="G384" s="24">
        <v>4368000</v>
      </c>
      <c r="H384" s="23">
        <v>5.0000000000000001E-3</v>
      </c>
      <c r="I384" s="39">
        <v>44317</v>
      </c>
      <c r="J384" s="39">
        <v>44347</v>
      </c>
      <c r="K384" s="24">
        <v>31</v>
      </c>
      <c r="L384" s="24">
        <v>1855</v>
      </c>
      <c r="M384" s="24">
        <v>4368000</v>
      </c>
    </row>
    <row r="385" spans="1:13" s="48" customFormat="1" outlineLevel="2">
      <c r="A385" s="39" t="s">
        <v>142</v>
      </c>
      <c r="B385" s="40" t="s">
        <v>63</v>
      </c>
      <c r="C385" s="41" t="s">
        <v>149</v>
      </c>
      <c r="D385" s="40" t="s">
        <v>150</v>
      </c>
      <c r="E385" s="24">
        <v>96176976</v>
      </c>
      <c r="F385" s="39">
        <v>43861</v>
      </c>
      <c r="G385" s="24">
        <v>96176976</v>
      </c>
      <c r="H385" s="23">
        <v>5.0000000000000001E-3</v>
      </c>
      <c r="I385" s="39">
        <v>44317</v>
      </c>
      <c r="J385" s="39">
        <v>44347</v>
      </c>
      <c r="K385" s="24">
        <v>31</v>
      </c>
      <c r="L385" s="24">
        <v>40842</v>
      </c>
      <c r="M385" s="24">
        <v>96176976</v>
      </c>
    </row>
    <row r="386" spans="1:13" s="48" customFormat="1" outlineLevel="2">
      <c r="A386" s="39" t="s">
        <v>142</v>
      </c>
      <c r="B386" s="40" t="s">
        <v>184</v>
      </c>
      <c r="C386" s="41" t="s">
        <v>149</v>
      </c>
      <c r="D386" s="40" t="s">
        <v>150</v>
      </c>
      <c r="E386" s="24">
        <v>8064000</v>
      </c>
      <c r="F386" s="39">
        <v>44133</v>
      </c>
      <c r="G386" s="24">
        <v>8064000</v>
      </c>
      <c r="H386" s="23">
        <v>5.0000000000000001E-3</v>
      </c>
      <c r="I386" s="39">
        <v>44317</v>
      </c>
      <c r="J386" s="39">
        <v>44347</v>
      </c>
      <c r="K386" s="24">
        <v>31</v>
      </c>
      <c r="L386" s="24">
        <v>3424</v>
      </c>
      <c r="M386" s="24">
        <v>8064000</v>
      </c>
    </row>
    <row r="387" spans="1:13" s="48" customFormat="1" outlineLevel="2">
      <c r="A387" s="39" t="s">
        <v>142</v>
      </c>
      <c r="B387" s="40" t="s">
        <v>185</v>
      </c>
      <c r="C387" s="41" t="s">
        <v>149</v>
      </c>
      <c r="D387" s="40" t="s">
        <v>150</v>
      </c>
      <c r="E387" s="24">
        <v>113400</v>
      </c>
      <c r="F387" s="39">
        <v>44133</v>
      </c>
      <c r="G387" s="24">
        <v>113400</v>
      </c>
      <c r="H387" s="23">
        <v>5.0000000000000001E-3</v>
      </c>
      <c r="I387" s="39">
        <v>44317</v>
      </c>
      <c r="J387" s="39">
        <v>44347</v>
      </c>
      <c r="K387" s="24">
        <v>31</v>
      </c>
      <c r="L387" s="24">
        <v>48</v>
      </c>
      <c r="M387" s="24">
        <v>113400</v>
      </c>
    </row>
    <row r="388" spans="1:13" s="48" customFormat="1" outlineLevel="2">
      <c r="A388" s="39" t="s">
        <v>142</v>
      </c>
      <c r="B388" s="40" t="s">
        <v>186</v>
      </c>
      <c r="C388" s="41" t="s">
        <v>187</v>
      </c>
      <c r="D388" s="40" t="s">
        <v>188</v>
      </c>
      <c r="E388" s="24">
        <v>93700000</v>
      </c>
      <c r="F388" s="39">
        <v>44109</v>
      </c>
      <c r="G388" s="24">
        <v>93700000</v>
      </c>
      <c r="H388" s="23">
        <v>5.0000000000000001E-3</v>
      </c>
      <c r="I388" s="39">
        <v>44317</v>
      </c>
      <c r="J388" s="39">
        <v>44347</v>
      </c>
      <c r="K388" s="24">
        <v>31</v>
      </c>
      <c r="L388" s="24">
        <v>39790</v>
      </c>
      <c r="M388" s="24">
        <v>93700000</v>
      </c>
    </row>
    <row r="389" spans="1:13" s="48" customFormat="1" outlineLevel="2">
      <c r="A389" s="39" t="s">
        <v>142</v>
      </c>
      <c r="B389" s="40" t="s">
        <v>189</v>
      </c>
      <c r="C389" s="41" t="s">
        <v>187</v>
      </c>
      <c r="D389" s="40" t="s">
        <v>188</v>
      </c>
      <c r="E389" s="24">
        <v>21400000</v>
      </c>
      <c r="F389" s="39">
        <v>44109</v>
      </c>
      <c r="G389" s="24">
        <v>21400000</v>
      </c>
      <c r="H389" s="23">
        <v>5.0000000000000001E-3</v>
      </c>
      <c r="I389" s="39">
        <v>44317</v>
      </c>
      <c r="J389" s="39">
        <v>44347</v>
      </c>
      <c r="K389" s="24">
        <v>31</v>
      </c>
      <c r="L389" s="24">
        <v>9088</v>
      </c>
      <c r="M389" s="24">
        <v>21400000</v>
      </c>
    </row>
    <row r="390" spans="1:13" s="48" customFormat="1" outlineLevel="2">
      <c r="A390" s="39" t="s">
        <v>142</v>
      </c>
      <c r="B390" s="40" t="s">
        <v>190</v>
      </c>
      <c r="C390" s="41" t="s">
        <v>143</v>
      </c>
      <c r="D390" s="40" t="s">
        <v>144</v>
      </c>
      <c r="E390" s="24">
        <v>7150000</v>
      </c>
      <c r="F390" s="39">
        <v>44119</v>
      </c>
      <c r="G390" s="24">
        <v>7150000</v>
      </c>
      <c r="H390" s="23">
        <v>5.0000000000000001E-3</v>
      </c>
      <c r="I390" s="39">
        <v>44317</v>
      </c>
      <c r="J390" s="39">
        <v>44347</v>
      </c>
      <c r="K390" s="24">
        <v>31</v>
      </c>
      <c r="L390" s="24">
        <v>3036</v>
      </c>
      <c r="M390" s="24">
        <v>7150000</v>
      </c>
    </row>
    <row r="391" spans="1:13" s="48" customFormat="1" outlineLevel="2">
      <c r="A391" s="39" t="s">
        <v>142</v>
      </c>
      <c r="B391" s="40" t="s">
        <v>191</v>
      </c>
      <c r="C391" s="41" t="s">
        <v>143</v>
      </c>
      <c r="D391" s="40" t="s">
        <v>144</v>
      </c>
      <c r="E391" s="24">
        <v>14400000</v>
      </c>
      <c r="F391" s="39">
        <v>44124</v>
      </c>
      <c r="G391" s="24">
        <v>14400000</v>
      </c>
      <c r="H391" s="23">
        <v>5.0000000000000001E-3</v>
      </c>
      <c r="I391" s="39">
        <v>44317</v>
      </c>
      <c r="J391" s="39">
        <v>44347</v>
      </c>
      <c r="K391" s="24">
        <v>31</v>
      </c>
      <c r="L391" s="24">
        <v>6115</v>
      </c>
      <c r="M391" s="24">
        <v>14400000</v>
      </c>
    </row>
    <row r="392" spans="1:13" s="48" customFormat="1" outlineLevel="2">
      <c r="A392" s="39" t="s">
        <v>142</v>
      </c>
      <c r="B392" s="40" t="s">
        <v>192</v>
      </c>
      <c r="C392" s="41" t="s">
        <v>125</v>
      </c>
      <c r="D392" s="40" t="s">
        <v>126</v>
      </c>
      <c r="E392" s="24">
        <v>24000000</v>
      </c>
      <c r="F392" s="39">
        <v>44120</v>
      </c>
      <c r="G392" s="24">
        <v>24000000</v>
      </c>
      <c r="H392" s="23">
        <v>5.0000000000000001E-3</v>
      </c>
      <c r="I392" s="39">
        <v>44317</v>
      </c>
      <c r="J392" s="39">
        <v>44347</v>
      </c>
      <c r="K392" s="24">
        <v>31</v>
      </c>
      <c r="L392" s="24">
        <v>10192</v>
      </c>
      <c r="M392" s="24">
        <v>24000000</v>
      </c>
    </row>
    <row r="393" spans="1:13" s="48" customFormat="1" outlineLevel="2">
      <c r="A393" s="39" t="s">
        <v>142</v>
      </c>
      <c r="B393" s="40" t="s">
        <v>193</v>
      </c>
      <c r="C393" s="41" t="s">
        <v>125</v>
      </c>
      <c r="D393" s="40" t="s">
        <v>126</v>
      </c>
      <c r="E393" s="24">
        <v>24000000</v>
      </c>
      <c r="F393" s="39">
        <v>44127</v>
      </c>
      <c r="G393" s="24">
        <v>24000000</v>
      </c>
      <c r="H393" s="23">
        <v>5.0000000000000001E-3</v>
      </c>
      <c r="I393" s="39">
        <v>44317</v>
      </c>
      <c r="J393" s="39">
        <v>44347</v>
      </c>
      <c r="K393" s="24">
        <v>31</v>
      </c>
      <c r="L393" s="24">
        <v>10192</v>
      </c>
      <c r="M393" s="24">
        <v>24000000</v>
      </c>
    </row>
    <row r="394" spans="1:13" s="48" customFormat="1" outlineLevel="2">
      <c r="A394" s="39" t="s">
        <v>142</v>
      </c>
      <c r="B394" s="40" t="s">
        <v>194</v>
      </c>
      <c r="C394" s="41" t="s">
        <v>123</v>
      </c>
      <c r="D394" s="40" t="s">
        <v>124</v>
      </c>
      <c r="E394" s="24">
        <v>5000000</v>
      </c>
      <c r="F394" s="39">
        <v>44134</v>
      </c>
      <c r="G394" s="24">
        <v>5000000</v>
      </c>
      <c r="H394" s="23">
        <v>5.0000000000000001E-3</v>
      </c>
      <c r="I394" s="39">
        <v>44317</v>
      </c>
      <c r="J394" s="39">
        <v>44347</v>
      </c>
      <c r="K394" s="24">
        <v>31</v>
      </c>
      <c r="L394" s="24">
        <v>2123</v>
      </c>
      <c r="M394" s="24">
        <v>5000000</v>
      </c>
    </row>
    <row r="395" spans="1:13" s="48" customFormat="1" outlineLevel="2">
      <c r="A395" s="39" t="s">
        <v>142</v>
      </c>
      <c r="B395" s="40" t="s">
        <v>195</v>
      </c>
      <c r="C395" s="41" t="s">
        <v>146</v>
      </c>
      <c r="D395" s="40" t="s">
        <v>147</v>
      </c>
      <c r="E395" s="24">
        <v>16000000</v>
      </c>
      <c r="F395" s="39">
        <v>44139</v>
      </c>
      <c r="G395" s="24">
        <v>16000000</v>
      </c>
      <c r="H395" s="23">
        <v>5.0000000000000001E-3</v>
      </c>
      <c r="I395" s="39">
        <v>44317</v>
      </c>
      <c r="J395" s="39">
        <v>44347</v>
      </c>
      <c r="K395" s="24">
        <v>31</v>
      </c>
      <c r="L395" s="24">
        <v>6795</v>
      </c>
      <c r="M395" s="24">
        <v>16000000</v>
      </c>
    </row>
    <row r="396" spans="1:13" s="48" customFormat="1" outlineLevel="2">
      <c r="A396" s="39" t="s">
        <v>142</v>
      </c>
      <c r="B396" s="40" t="s">
        <v>64</v>
      </c>
      <c r="C396" s="41" t="s">
        <v>143</v>
      </c>
      <c r="D396" s="40" t="s">
        <v>144</v>
      </c>
      <c r="E396" s="24">
        <v>1800000</v>
      </c>
      <c r="F396" s="39">
        <v>43876</v>
      </c>
      <c r="G396" s="24">
        <v>1800000</v>
      </c>
      <c r="H396" s="23">
        <v>5.0000000000000001E-3</v>
      </c>
      <c r="I396" s="39">
        <v>44317</v>
      </c>
      <c r="J396" s="39">
        <v>44347</v>
      </c>
      <c r="K396" s="24">
        <v>31</v>
      </c>
      <c r="L396" s="24">
        <v>764</v>
      </c>
      <c r="M396" s="24">
        <v>1800000</v>
      </c>
    </row>
    <row r="397" spans="1:13" s="48" customFormat="1" outlineLevel="2">
      <c r="A397" s="39" t="s">
        <v>142</v>
      </c>
      <c r="B397" s="40" t="s">
        <v>196</v>
      </c>
      <c r="C397" s="41" t="s">
        <v>146</v>
      </c>
      <c r="D397" s="40" t="s">
        <v>147</v>
      </c>
      <c r="E397" s="24">
        <v>6000000</v>
      </c>
      <c r="F397" s="39">
        <v>44145</v>
      </c>
      <c r="G397" s="24">
        <v>6000000</v>
      </c>
      <c r="H397" s="23">
        <v>5.0000000000000001E-3</v>
      </c>
      <c r="I397" s="39">
        <v>44317</v>
      </c>
      <c r="J397" s="39">
        <v>44347</v>
      </c>
      <c r="K397" s="24">
        <v>31</v>
      </c>
      <c r="L397" s="24">
        <v>2548</v>
      </c>
      <c r="M397" s="24">
        <v>6000000</v>
      </c>
    </row>
    <row r="398" spans="1:13" s="48" customFormat="1" outlineLevel="2">
      <c r="A398" s="39" t="s">
        <v>142</v>
      </c>
      <c r="B398" s="40" t="s">
        <v>197</v>
      </c>
      <c r="C398" s="41" t="s">
        <v>143</v>
      </c>
      <c r="D398" s="40" t="s">
        <v>144</v>
      </c>
      <c r="E398" s="24">
        <v>19000000</v>
      </c>
      <c r="F398" s="39">
        <v>44140</v>
      </c>
      <c r="G398" s="24">
        <v>19000000</v>
      </c>
      <c r="H398" s="23">
        <v>5.0000000000000001E-3</v>
      </c>
      <c r="I398" s="39">
        <v>44317</v>
      </c>
      <c r="J398" s="39">
        <v>44347</v>
      </c>
      <c r="K398" s="24">
        <v>31</v>
      </c>
      <c r="L398" s="24">
        <v>8068</v>
      </c>
      <c r="M398" s="24">
        <v>19000000</v>
      </c>
    </row>
    <row r="399" spans="1:13" s="48" customFormat="1" outlineLevel="2">
      <c r="A399" s="39" t="s">
        <v>142</v>
      </c>
      <c r="B399" s="40" t="s">
        <v>198</v>
      </c>
      <c r="C399" s="41" t="s">
        <v>143</v>
      </c>
      <c r="D399" s="40" t="s">
        <v>144</v>
      </c>
      <c r="E399" s="24">
        <v>1800000</v>
      </c>
      <c r="F399" s="39">
        <v>44165</v>
      </c>
      <c r="G399" s="24">
        <v>1800000</v>
      </c>
      <c r="H399" s="23">
        <v>5.0000000000000001E-3</v>
      </c>
      <c r="I399" s="39">
        <v>44317</v>
      </c>
      <c r="J399" s="39">
        <v>44347</v>
      </c>
      <c r="K399" s="24">
        <v>31</v>
      </c>
      <c r="L399" s="24">
        <v>764</v>
      </c>
      <c r="M399" s="24">
        <v>1800000</v>
      </c>
    </row>
    <row r="400" spans="1:13" s="48" customFormat="1" outlineLevel="2">
      <c r="A400" s="39" t="s">
        <v>142</v>
      </c>
      <c r="B400" s="40" t="s">
        <v>199</v>
      </c>
      <c r="C400" s="41" t="s">
        <v>143</v>
      </c>
      <c r="D400" s="40" t="s">
        <v>144</v>
      </c>
      <c r="E400" s="24">
        <v>5500000</v>
      </c>
      <c r="F400" s="39">
        <v>44165</v>
      </c>
      <c r="G400" s="24">
        <v>5500000</v>
      </c>
      <c r="H400" s="23">
        <v>5.0000000000000001E-3</v>
      </c>
      <c r="I400" s="39">
        <v>44317</v>
      </c>
      <c r="J400" s="39">
        <v>44347</v>
      </c>
      <c r="K400" s="24">
        <v>31</v>
      </c>
      <c r="L400" s="24">
        <v>2336</v>
      </c>
      <c r="M400" s="24">
        <v>5500000</v>
      </c>
    </row>
    <row r="401" spans="1:13" s="48" customFormat="1" outlineLevel="2">
      <c r="A401" s="39" t="s">
        <v>142</v>
      </c>
      <c r="B401" s="40" t="s">
        <v>200</v>
      </c>
      <c r="C401" s="41" t="s">
        <v>143</v>
      </c>
      <c r="D401" s="40" t="s">
        <v>144</v>
      </c>
      <c r="E401" s="24">
        <v>8600000</v>
      </c>
      <c r="F401" s="39">
        <v>44165</v>
      </c>
      <c r="G401" s="24">
        <v>8600000</v>
      </c>
      <c r="H401" s="23">
        <v>5.0000000000000001E-3</v>
      </c>
      <c r="I401" s="39">
        <v>44317</v>
      </c>
      <c r="J401" s="39">
        <v>44347</v>
      </c>
      <c r="K401" s="24">
        <v>31</v>
      </c>
      <c r="L401" s="24">
        <v>3652</v>
      </c>
      <c r="M401" s="24">
        <v>8600000</v>
      </c>
    </row>
    <row r="402" spans="1:13" s="48" customFormat="1" outlineLevel="2">
      <c r="A402" s="39" t="s">
        <v>142</v>
      </c>
      <c r="B402" s="40" t="s">
        <v>201</v>
      </c>
      <c r="C402" s="41" t="s">
        <v>161</v>
      </c>
      <c r="D402" s="40" t="s">
        <v>162</v>
      </c>
      <c r="E402" s="24">
        <v>150000000</v>
      </c>
      <c r="F402" s="39">
        <v>44144</v>
      </c>
      <c r="G402" s="24">
        <v>150000000</v>
      </c>
      <c r="H402" s="23">
        <v>5.0000000000000001E-3</v>
      </c>
      <c r="I402" s="39">
        <v>44317</v>
      </c>
      <c r="J402" s="39">
        <v>44347</v>
      </c>
      <c r="K402" s="24">
        <v>31</v>
      </c>
      <c r="L402" s="24">
        <v>63699</v>
      </c>
      <c r="M402" s="24">
        <v>150000000</v>
      </c>
    </row>
    <row r="403" spans="1:13" s="48" customFormat="1" outlineLevel="2">
      <c r="A403" s="39" t="s">
        <v>142</v>
      </c>
      <c r="B403" s="40" t="s">
        <v>202</v>
      </c>
      <c r="C403" s="41" t="s">
        <v>125</v>
      </c>
      <c r="D403" s="40" t="s">
        <v>126</v>
      </c>
      <c r="E403" s="24">
        <v>2500000</v>
      </c>
      <c r="F403" s="39">
        <v>44147</v>
      </c>
      <c r="G403" s="24">
        <v>2500000</v>
      </c>
      <c r="H403" s="23">
        <v>5.0000000000000001E-3</v>
      </c>
      <c r="I403" s="39">
        <v>44317</v>
      </c>
      <c r="J403" s="39">
        <v>44347</v>
      </c>
      <c r="K403" s="24">
        <v>31</v>
      </c>
      <c r="L403" s="24">
        <v>1062</v>
      </c>
      <c r="M403" s="24">
        <v>2500000</v>
      </c>
    </row>
    <row r="404" spans="1:13" s="48" customFormat="1" outlineLevel="2">
      <c r="A404" s="39" t="s">
        <v>142</v>
      </c>
      <c r="B404" s="40" t="s">
        <v>203</v>
      </c>
      <c r="C404" s="41" t="s">
        <v>125</v>
      </c>
      <c r="D404" s="40" t="s">
        <v>126</v>
      </c>
      <c r="E404" s="24">
        <v>18000000</v>
      </c>
      <c r="F404" s="39">
        <v>44158</v>
      </c>
      <c r="G404" s="24">
        <v>18000000</v>
      </c>
      <c r="H404" s="23">
        <v>5.0000000000000001E-3</v>
      </c>
      <c r="I404" s="39">
        <v>44317</v>
      </c>
      <c r="J404" s="39">
        <v>44347</v>
      </c>
      <c r="K404" s="24">
        <v>31</v>
      </c>
      <c r="L404" s="24">
        <v>7644</v>
      </c>
      <c r="M404" s="24">
        <v>18000000</v>
      </c>
    </row>
    <row r="405" spans="1:13" s="48" customFormat="1" outlineLevel="2">
      <c r="A405" s="39" t="s">
        <v>142</v>
      </c>
      <c r="B405" s="40" t="s">
        <v>204</v>
      </c>
      <c r="C405" s="41" t="s">
        <v>149</v>
      </c>
      <c r="D405" s="40" t="s">
        <v>150</v>
      </c>
      <c r="E405" s="24">
        <v>1764000</v>
      </c>
      <c r="F405" s="39">
        <v>44147</v>
      </c>
      <c r="G405" s="24">
        <v>1764000</v>
      </c>
      <c r="H405" s="23">
        <v>5.0000000000000001E-3</v>
      </c>
      <c r="I405" s="39">
        <v>44317</v>
      </c>
      <c r="J405" s="39">
        <v>44347</v>
      </c>
      <c r="K405" s="24">
        <v>31</v>
      </c>
      <c r="L405" s="24">
        <v>749</v>
      </c>
      <c r="M405" s="24">
        <v>1764000</v>
      </c>
    </row>
    <row r="406" spans="1:13" s="48" customFormat="1" outlineLevel="2">
      <c r="A406" s="39" t="s">
        <v>142</v>
      </c>
      <c r="B406" s="40" t="s">
        <v>205</v>
      </c>
      <c r="C406" s="41" t="s">
        <v>163</v>
      </c>
      <c r="D406" s="40" t="s">
        <v>164</v>
      </c>
      <c r="E406" s="24">
        <v>15000000</v>
      </c>
      <c r="F406" s="39">
        <v>44153</v>
      </c>
      <c r="G406" s="24">
        <v>14347825</v>
      </c>
      <c r="H406" s="23">
        <v>5.0000000000000001E-3</v>
      </c>
      <c r="I406" s="39">
        <v>44317</v>
      </c>
      <c r="J406" s="39">
        <v>44332</v>
      </c>
      <c r="K406" s="24">
        <v>16</v>
      </c>
      <c r="L406" s="24">
        <v>3145</v>
      </c>
      <c r="M406" s="24">
        <v>14217390</v>
      </c>
    </row>
    <row r="407" spans="1:13" s="48" customFormat="1" outlineLevel="2">
      <c r="A407" s="39" t="s">
        <v>142</v>
      </c>
      <c r="B407" s="40" t="s">
        <v>205</v>
      </c>
      <c r="C407" s="41" t="s">
        <v>163</v>
      </c>
      <c r="D407" s="40"/>
      <c r="E407" s="24"/>
      <c r="F407" s="39"/>
      <c r="G407" s="24">
        <v>14217390</v>
      </c>
      <c r="H407" s="23">
        <v>5.0000000000000001E-3</v>
      </c>
      <c r="I407" s="39">
        <v>44333</v>
      </c>
      <c r="J407" s="39">
        <v>44347</v>
      </c>
      <c r="K407" s="24">
        <v>15</v>
      </c>
      <c r="L407" s="24">
        <v>2921</v>
      </c>
      <c r="M407" s="24"/>
    </row>
    <row r="408" spans="1:13" s="48" customFormat="1" outlineLevel="2">
      <c r="A408" s="39" t="s">
        <v>142</v>
      </c>
      <c r="B408" s="40" t="s">
        <v>65</v>
      </c>
      <c r="C408" s="41" t="s">
        <v>117</v>
      </c>
      <c r="D408" s="40" t="s">
        <v>118</v>
      </c>
      <c r="E408" s="24">
        <v>30000000</v>
      </c>
      <c r="F408" s="39">
        <v>43906</v>
      </c>
      <c r="G408" s="24">
        <v>30000000</v>
      </c>
      <c r="H408" s="23">
        <v>5.0000000000000001E-3</v>
      </c>
      <c r="I408" s="39">
        <v>44317</v>
      </c>
      <c r="J408" s="39">
        <v>44347</v>
      </c>
      <c r="K408" s="24">
        <v>31</v>
      </c>
      <c r="L408" s="24">
        <v>12740</v>
      </c>
      <c r="M408" s="24">
        <v>30000000</v>
      </c>
    </row>
    <row r="409" spans="1:13" s="48" customFormat="1" outlineLevel="2">
      <c r="A409" s="39" t="s">
        <v>142</v>
      </c>
      <c r="B409" s="40" t="s">
        <v>206</v>
      </c>
      <c r="C409" s="41" t="s">
        <v>87</v>
      </c>
      <c r="D409" s="40" t="s">
        <v>88</v>
      </c>
      <c r="E409" s="24">
        <v>13481921</v>
      </c>
      <c r="F409" s="39">
        <v>44158</v>
      </c>
      <c r="G409" s="24">
        <v>13481921</v>
      </c>
      <c r="H409" s="23">
        <v>5.0000000000000001E-3</v>
      </c>
      <c r="I409" s="39">
        <v>44317</v>
      </c>
      <c r="J409" s="39">
        <v>44347</v>
      </c>
      <c r="K409" s="24">
        <v>31</v>
      </c>
      <c r="L409" s="24">
        <v>5725</v>
      </c>
      <c r="M409" s="24">
        <v>13481921</v>
      </c>
    </row>
    <row r="410" spans="1:13" s="48" customFormat="1" outlineLevel="2">
      <c r="A410" s="39" t="s">
        <v>142</v>
      </c>
      <c r="B410" s="40" t="s">
        <v>207</v>
      </c>
      <c r="C410" s="41" t="s">
        <v>85</v>
      </c>
      <c r="D410" s="40" t="s">
        <v>86</v>
      </c>
      <c r="E410" s="24">
        <v>2682500</v>
      </c>
      <c r="F410" s="39">
        <v>44165</v>
      </c>
      <c r="G410" s="24">
        <v>2682500</v>
      </c>
      <c r="H410" s="23">
        <v>5.0000000000000001E-3</v>
      </c>
      <c r="I410" s="39">
        <v>44317</v>
      </c>
      <c r="J410" s="39">
        <v>44347</v>
      </c>
      <c r="K410" s="24">
        <v>31</v>
      </c>
      <c r="L410" s="24">
        <v>1139</v>
      </c>
      <c r="M410" s="24">
        <v>2682500</v>
      </c>
    </row>
    <row r="411" spans="1:13" s="48" customFormat="1" outlineLevel="2">
      <c r="A411" s="39" t="s">
        <v>142</v>
      </c>
      <c r="B411" s="40" t="s">
        <v>208</v>
      </c>
      <c r="C411" s="41" t="s">
        <v>85</v>
      </c>
      <c r="D411" s="40" t="s">
        <v>86</v>
      </c>
      <c r="E411" s="24">
        <v>8047500</v>
      </c>
      <c r="F411" s="39">
        <v>44165</v>
      </c>
      <c r="G411" s="24">
        <v>8047500</v>
      </c>
      <c r="H411" s="23">
        <v>5.0000000000000001E-3</v>
      </c>
      <c r="I411" s="39">
        <v>44317</v>
      </c>
      <c r="J411" s="39">
        <v>44347</v>
      </c>
      <c r="K411" s="24">
        <v>31</v>
      </c>
      <c r="L411" s="24">
        <v>3417</v>
      </c>
      <c r="M411" s="24">
        <v>8047500</v>
      </c>
    </row>
    <row r="412" spans="1:13" s="48" customFormat="1" outlineLevel="2">
      <c r="A412" s="39" t="s">
        <v>142</v>
      </c>
      <c r="B412" s="40" t="s">
        <v>209</v>
      </c>
      <c r="C412" s="41" t="s">
        <v>146</v>
      </c>
      <c r="D412" s="40" t="s">
        <v>147</v>
      </c>
      <c r="E412" s="24">
        <v>15600000</v>
      </c>
      <c r="F412" s="39">
        <v>44168</v>
      </c>
      <c r="G412" s="24">
        <v>15600000</v>
      </c>
      <c r="H412" s="23">
        <v>5.0000000000000001E-3</v>
      </c>
      <c r="I412" s="39">
        <v>44317</v>
      </c>
      <c r="J412" s="39">
        <v>44347</v>
      </c>
      <c r="K412" s="24">
        <v>31</v>
      </c>
      <c r="L412" s="24">
        <v>6625</v>
      </c>
      <c r="M412" s="24">
        <v>15600000</v>
      </c>
    </row>
    <row r="413" spans="1:13" s="48" customFormat="1" outlineLevel="2">
      <c r="A413" s="39" t="s">
        <v>142</v>
      </c>
      <c r="B413" s="40" t="s">
        <v>210</v>
      </c>
      <c r="C413" s="41" t="s">
        <v>146</v>
      </c>
      <c r="D413" s="40" t="s">
        <v>147</v>
      </c>
      <c r="E413" s="24">
        <v>4400000</v>
      </c>
      <c r="F413" s="39">
        <v>44173</v>
      </c>
      <c r="G413" s="24">
        <v>4400000</v>
      </c>
      <c r="H413" s="23">
        <v>5.0000000000000001E-3</v>
      </c>
      <c r="I413" s="39">
        <v>44317</v>
      </c>
      <c r="J413" s="39">
        <v>44347</v>
      </c>
      <c r="K413" s="24">
        <v>31</v>
      </c>
      <c r="L413" s="24">
        <v>1868</v>
      </c>
      <c r="M413" s="24">
        <v>4400000</v>
      </c>
    </row>
    <row r="414" spans="1:13" s="48" customFormat="1" outlineLevel="2">
      <c r="A414" s="39" t="s">
        <v>142</v>
      </c>
      <c r="B414" s="40" t="s">
        <v>211</v>
      </c>
      <c r="C414" s="41" t="s">
        <v>187</v>
      </c>
      <c r="D414" s="40" t="s">
        <v>188</v>
      </c>
      <c r="E414" s="24">
        <v>88900000</v>
      </c>
      <c r="F414" s="39">
        <v>44169</v>
      </c>
      <c r="G414" s="24">
        <v>88900000</v>
      </c>
      <c r="H414" s="23">
        <v>5.0000000000000001E-3</v>
      </c>
      <c r="I414" s="39">
        <v>44317</v>
      </c>
      <c r="J414" s="39">
        <v>44347</v>
      </c>
      <c r="K414" s="24">
        <v>31</v>
      </c>
      <c r="L414" s="24">
        <v>37752</v>
      </c>
      <c r="M414" s="24">
        <v>88900000</v>
      </c>
    </row>
    <row r="415" spans="1:13" s="48" customFormat="1" outlineLevel="2">
      <c r="A415" s="39" t="s">
        <v>142</v>
      </c>
      <c r="B415" s="40" t="s">
        <v>212</v>
      </c>
      <c r="C415" s="41" t="s">
        <v>163</v>
      </c>
      <c r="D415" s="40" t="s">
        <v>164</v>
      </c>
      <c r="E415" s="24">
        <v>7300000</v>
      </c>
      <c r="F415" s="39">
        <v>44173</v>
      </c>
      <c r="G415" s="24">
        <v>7043860</v>
      </c>
      <c r="H415" s="23">
        <v>5.0000000000000001E-3</v>
      </c>
      <c r="I415" s="39">
        <v>44317</v>
      </c>
      <c r="J415" s="39">
        <v>44332</v>
      </c>
      <c r="K415" s="24">
        <v>16</v>
      </c>
      <c r="L415" s="24">
        <v>1544</v>
      </c>
      <c r="M415" s="24">
        <v>6979825</v>
      </c>
    </row>
    <row r="416" spans="1:13" s="48" customFormat="1" outlineLevel="2">
      <c r="A416" s="39" t="s">
        <v>142</v>
      </c>
      <c r="B416" s="40" t="s">
        <v>212</v>
      </c>
      <c r="C416" s="41" t="s">
        <v>163</v>
      </c>
      <c r="D416" s="40"/>
      <c r="E416" s="24"/>
      <c r="F416" s="39"/>
      <c r="G416" s="24">
        <v>6979825</v>
      </c>
      <c r="H416" s="23">
        <v>5.0000000000000001E-3</v>
      </c>
      <c r="I416" s="39">
        <v>44333</v>
      </c>
      <c r="J416" s="39">
        <v>44347</v>
      </c>
      <c r="K416" s="24">
        <v>15</v>
      </c>
      <c r="L416" s="24">
        <v>1434</v>
      </c>
      <c r="M416" s="24"/>
    </row>
    <row r="417" spans="1:13" s="48" customFormat="1" outlineLevel="2">
      <c r="A417" s="39" t="s">
        <v>142</v>
      </c>
      <c r="B417" s="40" t="s">
        <v>213</v>
      </c>
      <c r="C417" s="41" t="s">
        <v>149</v>
      </c>
      <c r="D417" s="40" t="s">
        <v>150</v>
      </c>
      <c r="E417" s="24">
        <v>2184000</v>
      </c>
      <c r="F417" s="39">
        <v>44174</v>
      </c>
      <c r="G417" s="24">
        <v>2184000</v>
      </c>
      <c r="H417" s="23">
        <v>5.0000000000000001E-3</v>
      </c>
      <c r="I417" s="39">
        <v>44317</v>
      </c>
      <c r="J417" s="39">
        <v>44347</v>
      </c>
      <c r="K417" s="24">
        <v>31</v>
      </c>
      <c r="L417" s="24">
        <v>927</v>
      </c>
      <c r="M417" s="24">
        <v>2184000</v>
      </c>
    </row>
    <row r="418" spans="1:13" s="48" customFormat="1" outlineLevel="2">
      <c r="A418" s="39" t="s">
        <v>142</v>
      </c>
      <c r="B418" s="40" t="s">
        <v>214</v>
      </c>
      <c r="C418" s="41" t="s">
        <v>149</v>
      </c>
      <c r="D418" s="40" t="s">
        <v>150</v>
      </c>
      <c r="E418" s="24">
        <v>20764000</v>
      </c>
      <c r="F418" s="39">
        <v>44176</v>
      </c>
      <c r="G418" s="24">
        <v>20764000</v>
      </c>
      <c r="H418" s="23">
        <v>5.0000000000000001E-3</v>
      </c>
      <c r="I418" s="39">
        <v>44317</v>
      </c>
      <c r="J418" s="39">
        <v>44347</v>
      </c>
      <c r="K418" s="24">
        <v>31</v>
      </c>
      <c r="L418" s="24">
        <v>8818</v>
      </c>
      <c r="M418" s="24">
        <v>20764000</v>
      </c>
    </row>
    <row r="419" spans="1:13" s="48" customFormat="1" outlineLevel="2">
      <c r="A419" s="39" t="s">
        <v>142</v>
      </c>
      <c r="B419" s="40" t="s">
        <v>215</v>
      </c>
      <c r="C419" s="41" t="s">
        <v>149</v>
      </c>
      <c r="D419" s="40" t="s">
        <v>150</v>
      </c>
      <c r="E419" s="24">
        <v>2423030</v>
      </c>
      <c r="F419" s="39">
        <v>44190</v>
      </c>
      <c r="G419" s="24">
        <v>2423030</v>
      </c>
      <c r="H419" s="23">
        <v>5.0000000000000001E-3</v>
      </c>
      <c r="I419" s="39">
        <v>44317</v>
      </c>
      <c r="J419" s="39">
        <v>44347</v>
      </c>
      <c r="K419" s="24">
        <v>31</v>
      </c>
      <c r="L419" s="24">
        <v>1029</v>
      </c>
      <c r="M419" s="24">
        <v>2423030</v>
      </c>
    </row>
    <row r="420" spans="1:13" s="48" customFormat="1" outlineLevel="2">
      <c r="A420" s="39" t="s">
        <v>142</v>
      </c>
      <c r="B420" s="40" t="s">
        <v>68</v>
      </c>
      <c r="C420" s="41" t="s">
        <v>117</v>
      </c>
      <c r="D420" s="40" t="s">
        <v>118</v>
      </c>
      <c r="E420" s="24">
        <v>50000000</v>
      </c>
      <c r="F420" s="39">
        <v>43908</v>
      </c>
      <c r="G420" s="24">
        <v>50000000</v>
      </c>
      <c r="H420" s="23">
        <v>5.0000000000000001E-3</v>
      </c>
      <c r="I420" s="39">
        <v>44317</v>
      </c>
      <c r="J420" s="39">
        <v>44347</v>
      </c>
      <c r="K420" s="24">
        <v>31</v>
      </c>
      <c r="L420" s="24">
        <v>21233</v>
      </c>
      <c r="M420" s="24">
        <v>50000000</v>
      </c>
    </row>
    <row r="421" spans="1:13" s="48" customFormat="1" outlineLevel="2">
      <c r="A421" s="39" t="s">
        <v>142</v>
      </c>
      <c r="B421" s="40" t="s">
        <v>216</v>
      </c>
      <c r="C421" s="41" t="s">
        <v>149</v>
      </c>
      <c r="D421" s="40" t="s">
        <v>150</v>
      </c>
      <c r="E421" s="24">
        <v>5653738</v>
      </c>
      <c r="F421" s="39">
        <v>44196</v>
      </c>
      <c r="G421" s="24">
        <v>5653738</v>
      </c>
      <c r="H421" s="23">
        <v>5.0000000000000001E-3</v>
      </c>
      <c r="I421" s="39">
        <v>44317</v>
      </c>
      <c r="J421" s="39">
        <v>44347</v>
      </c>
      <c r="K421" s="24">
        <v>31</v>
      </c>
      <c r="L421" s="24">
        <v>2401</v>
      </c>
      <c r="M421" s="24">
        <v>5653738</v>
      </c>
    </row>
    <row r="422" spans="1:13" s="48" customFormat="1" outlineLevel="2">
      <c r="A422" s="39" t="s">
        <v>142</v>
      </c>
      <c r="B422" s="40" t="s">
        <v>217</v>
      </c>
      <c r="C422" s="41" t="s">
        <v>155</v>
      </c>
      <c r="D422" s="40" t="s">
        <v>156</v>
      </c>
      <c r="E422" s="24">
        <v>200000000</v>
      </c>
      <c r="F422" s="39">
        <v>44190</v>
      </c>
      <c r="G422" s="24">
        <v>200000000</v>
      </c>
      <c r="H422" s="23">
        <v>5.0000000000000001E-3</v>
      </c>
      <c r="I422" s="39">
        <v>44317</v>
      </c>
      <c r="J422" s="39">
        <v>44347</v>
      </c>
      <c r="K422" s="24">
        <v>31</v>
      </c>
      <c r="L422" s="24">
        <v>84932</v>
      </c>
      <c r="M422" s="24">
        <v>200000000</v>
      </c>
    </row>
    <row r="423" spans="1:13" s="48" customFormat="1" outlineLevel="2">
      <c r="A423" s="39" t="s">
        <v>142</v>
      </c>
      <c r="B423" s="40" t="s">
        <v>218</v>
      </c>
      <c r="C423" s="41" t="s">
        <v>219</v>
      </c>
      <c r="D423" s="40" t="s">
        <v>220</v>
      </c>
      <c r="E423" s="24">
        <v>14160000</v>
      </c>
      <c r="F423" s="39">
        <v>44190</v>
      </c>
      <c r="G423" s="24">
        <v>14160000</v>
      </c>
      <c r="H423" s="23">
        <v>5.0000000000000001E-3</v>
      </c>
      <c r="I423" s="39">
        <v>44317</v>
      </c>
      <c r="J423" s="39">
        <v>44347</v>
      </c>
      <c r="K423" s="24">
        <v>31</v>
      </c>
      <c r="L423" s="24">
        <v>6013</v>
      </c>
      <c r="M423" s="24">
        <v>14160000</v>
      </c>
    </row>
    <row r="424" spans="1:13" s="48" customFormat="1" outlineLevel="2">
      <c r="A424" s="39" t="s">
        <v>142</v>
      </c>
      <c r="B424" s="40" t="s">
        <v>221</v>
      </c>
      <c r="C424" s="41" t="s">
        <v>87</v>
      </c>
      <c r="D424" s="40" t="s">
        <v>88</v>
      </c>
      <c r="E424" s="24">
        <v>13481921</v>
      </c>
      <c r="F424" s="39">
        <v>44190</v>
      </c>
      <c r="G424" s="24">
        <v>13481921</v>
      </c>
      <c r="H424" s="23">
        <v>5.0000000000000001E-3</v>
      </c>
      <c r="I424" s="39">
        <v>44317</v>
      </c>
      <c r="J424" s="39">
        <v>44347</v>
      </c>
      <c r="K424" s="24">
        <v>31</v>
      </c>
      <c r="L424" s="24">
        <v>5725</v>
      </c>
      <c r="M424" s="24">
        <v>13481921</v>
      </c>
    </row>
    <row r="425" spans="1:13" s="48" customFormat="1" outlineLevel="2">
      <c r="A425" s="39" t="s">
        <v>142</v>
      </c>
      <c r="B425" s="40" t="s">
        <v>222</v>
      </c>
      <c r="C425" s="41" t="s">
        <v>143</v>
      </c>
      <c r="D425" s="40" t="s">
        <v>144</v>
      </c>
      <c r="E425" s="24">
        <v>1800000</v>
      </c>
      <c r="F425" s="39">
        <v>44190</v>
      </c>
      <c r="G425" s="24">
        <v>1800000</v>
      </c>
      <c r="H425" s="23">
        <v>5.0000000000000001E-3</v>
      </c>
      <c r="I425" s="39">
        <v>44317</v>
      </c>
      <c r="J425" s="39">
        <v>44347</v>
      </c>
      <c r="K425" s="24">
        <v>31</v>
      </c>
      <c r="L425" s="24">
        <v>764</v>
      </c>
      <c r="M425" s="24">
        <v>1800000</v>
      </c>
    </row>
    <row r="426" spans="1:13" s="48" customFormat="1" outlineLevel="2">
      <c r="A426" s="39" t="s">
        <v>142</v>
      </c>
      <c r="B426" s="40" t="s">
        <v>223</v>
      </c>
      <c r="C426" s="41" t="s">
        <v>143</v>
      </c>
      <c r="D426" s="40" t="s">
        <v>144</v>
      </c>
      <c r="E426" s="24">
        <v>8300000</v>
      </c>
      <c r="F426" s="39">
        <v>44196</v>
      </c>
      <c r="G426" s="24">
        <v>8300000</v>
      </c>
      <c r="H426" s="23">
        <v>5.0000000000000001E-3</v>
      </c>
      <c r="I426" s="39">
        <v>44317</v>
      </c>
      <c r="J426" s="39">
        <v>44347</v>
      </c>
      <c r="K426" s="24">
        <v>31</v>
      </c>
      <c r="L426" s="24">
        <v>3525</v>
      </c>
      <c r="M426" s="24">
        <v>8300000</v>
      </c>
    </row>
    <row r="427" spans="1:13" s="48" customFormat="1" outlineLevel="2">
      <c r="A427" s="39" t="s">
        <v>142</v>
      </c>
      <c r="B427" s="40" t="s">
        <v>224</v>
      </c>
      <c r="C427" s="41" t="s">
        <v>165</v>
      </c>
      <c r="D427" s="40" t="s">
        <v>166</v>
      </c>
      <c r="E427" s="24">
        <v>39740000</v>
      </c>
      <c r="F427" s="39">
        <v>44195</v>
      </c>
      <c r="G427" s="24">
        <v>39740000</v>
      </c>
      <c r="H427" s="23">
        <v>5.0000000000000001E-3</v>
      </c>
      <c r="I427" s="39">
        <v>44317</v>
      </c>
      <c r="J427" s="39">
        <v>44347</v>
      </c>
      <c r="K427" s="24">
        <v>31</v>
      </c>
      <c r="L427" s="24">
        <v>16876</v>
      </c>
      <c r="M427" s="24">
        <v>39740000</v>
      </c>
    </row>
    <row r="428" spans="1:13" s="48" customFormat="1" outlineLevel="2">
      <c r="A428" s="39" t="s">
        <v>142</v>
      </c>
      <c r="B428" s="40" t="s">
        <v>225</v>
      </c>
      <c r="C428" s="41" t="s">
        <v>85</v>
      </c>
      <c r="D428" s="40" t="s">
        <v>86</v>
      </c>
      <c r="E428" s="24">
        <v>4842500</v>
      </c>
      <c r="F428" s="39">
        <v>44202</v>
      </c>
      <c r="G428" s="24">
        <v>4842500</v>
      </c>
      <c r="H428" s="23">
        <v>5.0000000000000001E-3</v>
      </c>
      <c r="I428" s="39">
        <v>44317</v>
      </c>
      <c r="J428" s="39">
        <v>44347</v>
      </c>
      <c r="K428" s="24">
        <v>31</v>
      </c>
      <c r="L428" s="24">
        <v>2056</v>
      </c>
      <c r="M428" s="24">
        <v>4842500</v>
      </c>
    </row>
    <row r="429" spans="1:13" s="48" customFormat="1" outlineLevel="2">
      <c r="A429" s="39" t="s">
        <v>142</v>
      </c>
      <c r="B429" s="40" t="s">
        <v>226</v>
      </c>
      <c r="C429" s="41" t="s">
        <v>85</v>
      </c>
      <c r="D429" s="40" t="s">
        <v>86</v>
      </c>
      <c r="E429" s="24">
        <v>14527500</v>
      </c>
      <c r="F429" s="39">
        <v>44202</v>
      </c>
      <c r="G429" s="24">
        <v>14527500</v>
      </c>
      <c r="H429" s="23">
        <v>5.0000000000000001E-3</v>
      </c>
      <c r="I429" s="39">
        <v>44317</v>
      </c>
      <c r="J429" s="39">
        <v>44347</v>
      </c>
      <c r="K429" s="24">
        <v>31</v>
      </c>
      <c r="L429" s="24">
        <v>6169</v>
      </c>
      <c r="M429" s="24">
        <v>14527500</v>
      </c>
    </row>
    <row r="430" spans="1:13" s="48" customFormat="1" outlineLevel="2">
      <c r="A430" s="39" t="s">
        <v>142</v>
      </c>
      <c r="B430" s="40" t="s">
        <v>227</v>
      </c>
      <c r="C430" s="41" t="s">
        <v>143</v>
      </c>
      <c r="D430" s="40" t="s">
        <v>144</v>
      </c>
      <c r="E430" s="24">
        <v>4600000</v>
      </c>
      <c r="F430" s="39">
        <v>44204</v>
      </c>
      <c r="G430" s="24">
        <v>4600000</v>
      </c>
      <c r="H430" s="23">
        <v>5.0000000000000001E-3</v>
      </c>
      <c r="I430" s="39">
        <v>44317</v>
      </c>
      <c r="J430" s="39">
        <v>44347</v>
      </c>
      <c r="K430" s="24">
        <v>31</v>
      </c>
      <c r="L430" s="24">
        <v>1953</v>
      </c>
      <c r="M430" s="24">
        <v>4600000</v>
      </c>
    </row>
    <row r="431" spans="1:13" s="48" customFormat="1" outlineLevel="1">
      <c r="A431" s="42" t="s">
        <v>228</v>
      </c>
      <c r="B431" s="43"/>
      <c r="C431" s="44"/>
      <c r="D431" s="43"/>
      <c r="E431" s="45">
        <v>4860331110</v>
      </c>
      <c r="F431" s="46"/>
      <c r="G431" s="45"/>
      <c r="H431" s="47"/>
      <c r="I431" s="46"/>
      <c r="J431" s="46"/>
      <c r="K431" s="45"/>
      <c r="L431" s="45">
        <v>2031751</v>
      </c>
      <c r="M431" s="45">
        <v>4851542068</v>
      </c>
    </row>
    <row r="432" spans="1:13" s="48" customFormat="1" outlineLevel="2">
      <c r="A432" s="39" t="s">
        <v>229</v>
      </c>
      <c r="B432" s="40" t="s">
        <v>16</v>
      </c>
      <c r="C432" s="41" t="s">
        <v>117</v>
      </c>
      <c r="D432" s="40" t="s">
        <v>118</v>
      </c>
      <c r="E432" s="24">
        <v>1210000</v>
      </c>
      <c r="F432" s="39">
        <v>44061</v>
      </c>
      <c r="G432" s="24">
        <v>1210000</v>
      </c>
      <c r="H432" s="23">
        <v>5.0000000000000001E-3</v>
      </c>
      <c r="I432" s="39">
        <v>44317</v>
      </c>
      <c r="J432" s="39">
        <v>44347</v>
      </c>
      <c r="K432" s="24">
        <v>31</v>
      </c>
      <c r="L432" s="24">
        <v>514</v>
      </c>
      <c r="M432" s="24">
        <v>1210000</v>
      </c>
    </row>
    <row r="433" spans="1:13" s="48" customFormat="1" outlineLevel="1">
      <c r="A433" s="42" t="s">
        <v>230</v>
      </c>
      <c r="B433" s="43"/>
      <c r="C433" s="44"/>
      <c r="D433" s="43"/>
      <c r="E433" s="45">
        <v>1210000</v>
      </c>
      <c r="F433" s="46"/>
      <c r="G433" s="45"/>
      <c r="H433" s="47"/>
      <c r="I433" s="46"/>
      <c r="J433" s="46"/>
      <c r="K433" s="45"/>
      <c r="L433" s="45">
        <v>514</v>
      </c>
      <c r="M433" s="45">
        <v>1210000</v>
      </c>
    </row>
    <row r="434" spans="1:13" s="48" customFormat="1" outlineLevel="2">
      <c r="A434" s="39" t="s">
        <v>231</v>
      </c>
      <c r="B434" s="40" t="s">
        <v>16</v>
      </c>
      <c r="C434" s="41" t="s">
        <v>17</v>
      </c>
      <c r="D434" s="40" t="s">
        <v>18</v>
      </c>
      <c r="E434" s="24">
        <v>150000000</v>
      </c>
      <c r="F434" s="39">
        <v>43829</v>
      </c>
      <c r="G434" s="24">
        <v>110000000</v>
      </c>
      <c r="H434" s="23">
        <v>5.0000000000000001E-3</v>
      </c>
      <c r="I434" s="39">
        <v>44317</v>
      </c>
      <c r="J434" s="39">
        <v>44332</v>
      </c>
      <c r="K434" s="24">
        <v>16</v>
      </c>
      <c r="L434" s="24">
        <v>24110</v>
      </c>
      <c r="M434" s="24">
        <v>107500000</v>
      </c>
    </row>
    <row r="435" spans="1:13" s="48" customFormat="1" outlineLevel="2">
      <c r="A435" s="39" t="s">
        <v>231</v>
      </c>
      <c r="B435" s="40" t="s">
        <v>16</v>
      </c>
      <c r="C435" s="41" t="s">
        <v>17</v>
      </c>
      <c r="D435" s="40"/>
      <c r="E435" s="24"/>
      <c r="F435" s="39"/>
      <c r="G435" s="24">
        <v>107500000</v>
      </c>
      <c r="H435" s="23">
        <v>5.0000000000000001E-3</v>
      </c>
      <c r="I435" s="39">
        <v>44333</v>
      </c>
      <c r="J435" s="39">
        <v>44347</v>
      </c>
      <c r="K435" s="24">
        <v>15</v>
      </c>
      <c r="L435" s="24">
        <v>22089</v>
      </c>
      <c r="M435" s="24"/>
    </row>
    <row r="436" spans="1:13" s="48" customFormat="1" outlineLevel="2">
      <c r="A436" s="39" t="s">
        <v>231</v>
      </c>
      <c r="B436" s="40" t="s">
        <v>19</v>
      </c>
      <c r="C436" s="41" t="s">
        <v>17</v>
      </c>
      <c r="D436" s="40" t="s">
        <v>18</v>
      </c>
      <c r="E436" s="24">
        <v>9460000</v>
      </c>
      <c r="F436" s="39">
        <v>43990</v>
      </c>
      <c r="G436" s="24">
        <v>7568000</v>
      </c>
      <c r="H436" s="23">
        <v>5.0000000000000001E-3</v>
      </c>
      <c r="I436" s="39">
        <v>44317</v>
      </c>
      <c r="J436" s="39">
        <v>44332</v>
      </c>
      <c r="K436" s="24">
        <v>16</v>
      </c>
      <c r="L436" s="24">
        <v>1659</v>
      </c>
      <c r="M436" s="24">
        <v>7396000</v>
      </c>
    </row>
    <row r="437" spans="1:13" s="48" customFormat="1" outlineLevel="2">
      <c r="A437" s="39" t="s">
        <v>231</v>
      </c>
      <c r="B437" s="40" t="s">
        <v>19</v>
      </c>
      <c r="C437" s="41" t="s">
        <v>17</v>
      </c>
      <c r="D437" s="40"/>
      <c r="E437" s="24"/>
      <c r="F437" s="39"/>
      <c r="G437" s="24">
        <v>7396000</v>
      </c>
      <c r="H437" s="23">
        <v>5.0000000000000001E-3</v>
      </c>
      <c r="I437" s="39">
        <v>44333</v>
      </c>
      <c r="J437" s="39">
        <v>44347</v>
      </c>
      <c r="K437" s="24">
        <v>15</v>
      </c>
      <c r="L437" s="24">
        <v>1520</v>
      </c>
      <c r="M437" s="24"/>
    </row>
    <row r="438" spans="1:13" s="48" customFormat="1" outlineLevel="2">
      <c r="A438" s="39" t="s">
        <v>231</v>
      </c>
      <c r="B438" s="40" t="s">
        <v>22</v>
      </c>
      <c r="C438" s="41" t="s">
        <v>45</v>
      </c>
      <c r="D438" s="40" t="s">
        <v>46</v>
      </c>
      <c r="E438" s="24">
        <v>5000000</v>
      </c>
      <c r="F438" s="39">
        <v>44046</v>
      </c>
      <c r="G438" s="24">
        <v>5000000</v>
      </c>
      <c r="H438" s="23">
        <v>5.0000000000000001E-3</v>
      </c>
      <c r="I438" s="39">
        <v>44317</v>
      </c>
      <c r="J438" s="39">
        <v>44347</v>
      </c>
      <c r="K438" s="24">
        <v>31</v>
      </c>
      <c r="L438" s="24">
        <v>2123</v>
      </c>
      <c r="M438" s="24">
        <v>5000000</v>
      </c>
    </row>
    <row r="439" spans="1:13" s="48" customFormat="1" outlineLevel="2">
      <c r="A439" s="39" t="s">
        <v>231</v>
      </c>
      <c r="B439" s="40" t="s">
        <v>25</v>
      </c>
      <c r="C439" s="41" t="s">
        <v>143</v>
      </c>
      <c r="D439" s="40" t="s">
        <v>144</v>
      </c>
      <c r="E439" s="24">
        <v>20000000</v>
      </c>
      <c r="F439" s="39">
        <v>44155</v>
      </c>
      <c r="G439" s="24">
        <v>20000000</v>
      </c>
      <c r="H439" s="23">
        <v>5.0000000000000001E-3</v>
      </c>
      <c r="I439" s="39">
        <v>44317</v>
      </c>
      <c r="J439" s="39">
        <v>44347</v>
      </c>
      <c r="K439" s="24">
        <v>31</v>
      </c>
      <c r="L439" s="24">
        <v>8493</v>
      </c>
      <c r="M439" s="24">
        <v>20000000</v>
      </c>
    </row>
    <row r="440" spans="1:13" s="48" customFormat="1" outlineLevel="2">
      <c r="A440" s="39" t="s">
        <v>231</v>
      </c>
      <c r="B440" s="40" t="s">
        <v>26</v>
      </c>
      <c r="C440" s="41" t="s">
        <v>232</v>
      </c>
      <c r="D440" s="40" t="s">
        <v>233</v>
      </c>
      <c r="E440" s="24">
        <v>125000000</v>
      </c>
      <c r="F440" s="39">
        <v>44193</v>
      </c>
      <c r="G440" s="24">
        <v>125000000</v>
      </c>
      <c r="H440" s="23">
        <v>5.0000000000000001E-3</v>
      </c>
      <c r="I440" s="39">
        <v>44317</v>
      </c>
      <c r="J440" s="39">
        <v>44347</v>
      </c>
      <c r="K440" s="24">
        <v>31</v>
      </c>
      <c r="L440" s="24">
        <v>53082</v>
      </c>
      <c r="M440" s="24">
        <v>125000000</v>
      </c>
    </row>
    <row r="441" spans="1:13" s="48" customFormat="1" outlineLevel="2">
      <c r="A441" s="39" t="s">
        <v>231</v>
      </c>
      <c r="B441" s="40" t="s">
        <v>29</v>
      </c>
      <c r="C441" s="41" t="s">
        <v>143</v>
      </c>
      <c r="D441" s="40" t="s">
        <v>144</v>
      </c>
      <c r="E441" s="24">
        <v>20000000</v>
      </c>
      <c r="F441" s="39">
        <v>44194</v>
      </c>
      <c r="G441" s="24">
        <v>20000000</v>
      </c>
      <c r="H441" s="23">
        <v>5.0000000000000001E-3</v>
      </c>
      <c r="I441" s="39">
        <v>44317</v>
      </c>
      <c r="J441" s="39">
        <v>44347</v>
      </c>
      <c r="K441" s="24">
        <v>31</v>
      </c>
      <c r="L441" s="24">
        <v>8493</v>
      </c>
      <c r="M441" s="24">
        <v>20000000</v>
      </c>
    </row>
    <row r="442" spans="1:13" s="48" customFormat="1" outlineLevel="2">
      <c r="A442" s="39" t="s">
        <v>231</v>
      </c>
      <c r="B442" s="40" t="s">
        <v>32</v>
      </c>
      <c r="C442" s="41" t="s">
        <v>30</v>
      </c>
      <c r="D442" s="40" t="s">
        <v>31</v>
      </c>
      <c r="E442" s="24">
        <v>120000000</v>
      </c>
      <c r="F442" s="39">
        <v>44214</v>
      </c>
      <c r="G442" s="24">
        <v>120000000</v>
      </c>
      <c r="H442" s="23">
        <v>5.0000000000000001E-3</v>
      </c>
      <c r="I442" s="39">
        <v>44317</v>
      </c>
      <c r="J442" s="39">
        <v>44347</v>
      </c>
      <c r="K442" s="24">
        <v>31</v>
      </c>
      <c r="L442" s="24">
        <v>50959</v>
      </c>
      <c r="M442" s="24">
        <v>120000000</v>
      </c>
    </row>
    <row r="443" spans="1:13" s="48" customFormat="1" outlineLevel="2">
      <c r="A443" s="39" t="s">
        <v>231</v>
      </c>
      <c r="B443" s="40" t="s">
        <v>33</v>
      </c>
      <c r="C443" s="41" t="s">
        <v>143</v>
      </c>
      <c r="D443" s="40" t="s">
        <v>144</v>
      </c>
      <c r="E443" s="24">
        <v>20000000</v>
      </c>
      <c r="F443" s="39">
        <v>44225</v>
      </c>
      <c r="G443" s="24">
        <v>20000000</v>
      </c>
      <c r="H443" s="23">
        <v>5.0000000000000001E-3</v>
      </c>
      <c r="I443" s="39">
        <v>44317</v>
      </c>
      <c r="J443" s="39">
        <v>44347</v>
      </c>
      <c r="K443" s="24">
        <v>31</v>
      </c>
      <c r="L443" s="24">
        <v>8493</v>
      </c>
      <c r="M443" s="24">
        <v>20000000</v>
      </c>
    </row>
    <row r="444" spans="1:13" s="48" customFormat="1" outlineLevel="2">
      <c r="A444" s="39" t="s">
        <v>231</v>
      </c>
      <c r="B444" s="40" t="s">
        <v>34</v>
      </c>
      <c r="C444" s="41" t="s">
        <v>280</v>
      </c>
      <c r="D444" s="40" t="s">
        <v>281</v>
      </c>
      <c r="E444" s="24">
        <v>250000000</v>
      </c>
      <c r="F444" s="39">
        <v>44228</v>
      </c>
      <c r="G444" s="24">
        <v>250000000</v>
      </c>
      <c r="H444" s="23">
        <v>3.0000000000000001E-3</v>
      </c>
      <c r="I444" s="39">
        <v>44317</v>
      </c>
      <c r="J444" s="39">
        <v>44347</v>
      </c>
      <c r="K444" s="24">
        <v>31</v>
      </c>
      <c r="L444" s="24">
        <v>63699</v>
      </c>
      <c r="M444" s="24">
        <v>250000000</v>
      </c>
    </row>
    <row r="445" spans="1:13" s="48" customFormat="1" outlineLevel="2">
      <c r="A445" s="39" t="s">
        <v>231</v>
      </c>
      <c r="B445" s="40" t="s">
        <v>35</v>
      </c>
      <c r="C445" s="41" t="s">
        <v>143</v>
      </c>
      <c r="D445" s="40" t="s">
        <v>144</v>
      </c>
      <c r="E445" s="24">
        <v>20000000</v>
      </c>
      <c r="F445" s="39">
        <v>44253</v>
      </c>
      <c r="G445" s="24">
        <v>20000000</v>
      </c>
      <c r="H445" s="23">
        <v>5.0000000000000001E-3</v>
      </c>
      <c r="I445" s="39">
        <v>44317</v>
      </c>
      <c r="J445" s="39">
        <v>44347</v>
      </c>
      <c r="K445" s="24">
        <v>31</v>
      </c>
      <c r="L445" s="24">
        <v>8493</v>
      </c>
      <c r="M445" s="24">
        <v>20000000</v>
      </c>
    </row>
    <row r="446" spans="1:13" s="48" customFormat="1" outlineLevel="2">
      <c r="A446" s="39" t="s">
        <v>231</v>
      </c>
      <c r="B446" s="40" t="s">
        <v>36</v>
      </c>
      <c r="C446" s="41" t="s">
        <v>280</v>
      </c>
      <c r="D446" s="40" t="s">
        <v>281</v>
      </c>
      <c r="E446" s="24">
        <v>160000000</v>
      </c>
      <c r="F446" s="39">
        <v>44286</v>
      </c>
      <c r="G446" s="24">
        <v>160000000</v>
      </c>
      <c r="H446" s="23">
        <v>3.0000000000000001E-3</v>
      </c>
      <c r="I446" s="39">
        <v>44317</v>
      </c>
      <c r="J446" s="39">
        <v>44347</v>
      </c>
      <c r="K446" s="24">
        <v>31</v>
      </c>
      <c r="L446" s="24">
        <v>40767</v>
      </c>
      <c r="M446" s="24">
        <v>160000000</v>
      </c>
    </row>
    <row r="447" spans="1:13" s="48" customFormat="1" outlineLevel="2">
      <c r="A447" s="39" t="s">
        <v>231</v>
      </c>
      <c r="B447" s="40" t="s">
        <v>39</v>
      </c>
      <c r="C447" s="41" t="s">
        <v>17</v>
      </c>
      <c r="D447" s="40" t="s">
        <v>18</v>
      </c>
      <c r="E447" s="24">
        <v>32900000</v>
      </c>
      <c r="F447" s="39">
        <v>43829</v>
      </c>
      <c r="G447" s="24">
        <v>24126672</v>
      </c>
      <c r="H447" s="23">
        <v>5.0000000000000001E-3</v>
      </c>
      <c r="I447" s="39">
        <v>44317</v>
      </c>
      <c r="J447" s="39">
        <v>44332</v>
      </c>
      <c r="K447" s="24">
        <v>16</v>
      </c>
      <c r="L447" s="24">
        <v>5288</v>
      </c>
      <c r="M447" s="24">
        <v>23578339</v>
      </c>
    </row>
    <row r="448" spans="1:13" s="48" customFormat="1" outlineLevel="2">
      <c r="A448" s="39" t="s">
        <v>231</v>
      </c>
      <c r="B448" s="40" t="s">
        <v>39</v>
      </c>
      <c r="C448" s="41" t="s">
        <v>17</v>
      </c>
      <c r="D448" s="40"/>
      <c r="E448" s="24"/>
      <c r="F448" s="39"/>
      <c r="G448" s="24">
        <v>23578339</v>
      </c>
      <c r="H448" s="23">
        <v>5.0000000000000001E-3</v>
      </c>
      <c r="I448" s="39">
        <v>44333</v>
      </c>
      <c r="J448" s="39">
        <v>44347</v>
      </c>
      <c r="K448" s="24">
        <v>15</v>
      </c>
      <c r="L448" s="24">
        <v>4845</v>
      </c>
      <c r="M448" s="24"/>
    </row>
    <row r="449" spans="1:13" s="48" customFormat="1" outlineLevel="2">
      <c r="A449" s="39" t="s">
        <v>231</v>
      </c>
      <c r="B449" s="40" t="s">
        <v>40</v>
      </c>
      <c r="C449" s="41" t="s">
        <v>246</v>
      </c>
      <c r="D449" s="40" t="s">
        <v>247</v>
      </c>
      <c r="E449" s="24">
        <v>3400000</v>
      </c>
      <c r="F449" s="39">
        <v>44294</v>
      </c>
      <c r="G449" s="24">
        <v>3400000</v>
      </c>
      <c r="H449" s="23">
        <v>5.0000000000000001E-3</v>
      </c>
      <c r="I449" s="39">
        <v>44317</v>
      </c>
      <c r="J449" s="39">
        <v>44347</v>
      </c>
      <c r="K449" s="24">
        <v>31</v>
      </c>
      <c r="L449" s="24">
        <v>1444</v>
      </c>
      <c r="M449" s="24">
        <v>3400000</v>
      </c>
    </row>
    <row r="450" spans="1:13" s="48" customFormat="1" outlineLevel="2">
      <c r="A450" s="39" t="s">
        <v>231</v>
      </c>
      <c r="B450" s="40" t="s">
        <v>54</v>
      </c>
      <c r="C450" s="41" t="s">
        <v>17</v>
      </c>
      <c r="D450" s="40" t="s">
        <v>18</v>
      </c>
      <c r="E450" s="24">
        <v>2790000</v>
      </c>
      <c r="F450" s="39">
        <v>43921</v>
      </c>
      <c r="G450" s="24">
        <v>2153689</v>
      </c>
      <c r="H450" s="23">
        <v>5.0000000000000001E-3</v>
      </c>
      <c r="I450" s="39">
        <v>44317</v>
      </c>
      <c r="J450" s="39">
        <v>44332</v>
      </c>
      <c r="K450" s="24">
        <v>16</v>
      </c>
      <c r="L450" s="24">
        <v>472</v>
      </c>
      <c r="M450" s="24">
        <v>2104742</v>
      </c>
    </row>
    <row r="451" spans="1:13" s="48" customFormat="1" outlineLevel="2">
      <c r="A451" s="39" t="s">
        <v>231</v>
      </c>
      <c r="B451" s="40" t="s">
        <v>54</v>
      </c>
      <c r="C451" s="41" t="s">
        <v>17</v>
      </c>
      <c r="D451" s="40"/>
      <c r="E451" s="24"/>
      <c r="F451" s="39"/>
      <c r="G451" s="24">
        <v>2104742</v>
      </c>
      <c r="H451" s="23">
        <v>5.0000000000000001E-3</v>
      </c>
      <c r="I451" s="39">
        <v>44333</v>
      </c>
      <c r="J451" s="39">
        <v>44347</v>
      </c>
      <c r="K451" s="24">
        <v>15</v>
      </c>
      <c r="L451" s="24">
        <v>432</v>
      </c>
      <c r="M451" s="24"/>
    </row>
    <row r="452" spans="1:13" s="48" customFormat="1" outlineLevel="2">
      <c r="A452" s="39" t="s">
        <v>231</v>
      </c>
      <c r="B452" s="40" t="s">
        <v>59</v>
      </c>
      <c r="C452" s="41" t="s">
        <v>55</v>
      </c>
      <c r="D452" s="40" t="s">
        <v>56</v>
      </c>
      <c r="E452" s="24">
        <v>12000000</v>
      </c>
      <c r="F452" s="39">
        <v>43948</v>
      </c>
      <c r="G452" s="24">
        <v>9600000</v>
      </c>
      <c r="H452" s="23">
        <v>5.0000000000000001E-3</v>
      </c>
      <c r="I452" s="39">
        <v>44317</v>
      </c>
      <c r="J452" s="39">
        <v>44332</v>
      </c>
      <c r="K452" s="24">
        <v>16</v>
      </c>
      <c r="L452" s="24">
        <v>2104</v>
      </c>
      <c r="M452" s="24">
        <v>9400000</v>
      </c>
    </row>
    <row r="453" spans="1:13" s="48" customFormat="1" outlineLevel="2">
      <c r="A453" s="39" t="s">
        <v>231</v>
      </c>
      <c r="B453" s="40" t="s">
        <v>59</v>
      </c>
      <c r="C453" s="41" t="s">
        <v>55</v>
      </c>
      <c r="D453" s="40"/>
      <c r="E453" s="24"/>
      <c r="F453" s="39"/>
      <c r="G453" s="24">
        <v>9400000</v>
      </c>
      <c r="H453" s="23">
        <v>5.0000000000000001E-3</v>
      </c>
      <c r="I453" s="39">
        <v>44333</v>
      </c>
      <c r="J453" s="39">
        <v>44347</v>
      </c>
      <c r="K453" s="24">
        <v>15</v>
      </c>
      <c r="L453" s="24">
        <v>1932</v>
      </c>
      <c r="M453" s="24"/>
    </row>
    <row r="454" spans="1:13" s="48" customFormat="1" outlineLevel="2">
      <c r="A454" s="39" t="s">
        <v>231</v>
      </c>
      <c r="B454" s="40" t="s">
        <v>62</v>
      </c>
      <c r="C454" s="41" t="s">
        <v>30</v>
      </c>
      <c r="D454" s="40" t="s">
        <v>31</v>
      </c>
      <c r="E454" s="24">
        <v>71750000</v>
      </c>
      <c r="F454" s="39">
        <v>43955</v>
      </c>
      <c r="G454" s="24">
        <v>71750000</v>
      </c>
      <c r="H454" s="23">
        <v>5.0000000000000001E-3</v>
      </c>
      <c r="I454" s="39">
        <v>44317</v>
      </c>
      <c r="J454" s="39">
        <v>44347</v>
      </c>
      <c r="K454" s="24">
        <v>31</v>
      </c>
      <c r="L454" s="24">
        <v>30469</v>
      </c>
      <c r="M454" s="24">
        <v>71750000</v>
      </c>
    </row>
    <row r="455" spans="1:13" s="48" customFormat="1" outlineLevel="2">
      <c r="A455" s="39" t="s">
        <v>231</v>
      </c>
      <c r="B455" s="40" t="s">
        <v>63</v>
      </c>
      <c r="C455" s="41" t="s">
        <v>55</v>
      </c>
      <c r="D455" s="40" t="s">
        <v>56</v>
      </c>
      <c r="E455" s="24">
        <v>10000000</v>
      </c>
      <c r="F455" s="39">
        <v>43963</v>
      </c>
      <c r="G455" s="24">
        <v>8000007</v>
      </c>
      <c r="H455" s="23">
        <v>5.0000000000000001E-3</v>
      </c>
      <c r="I455" s="39">
        <v>44317</v>
      </c>
      <c r="J455" s="39">
        <v>44332</v>
      </c>
      <c r="K455" s="24">
        <v>16</v>
      </c>
      <c r="L455" s="24">
        <v>1753</v>
      </c>
      <c r="M455" s="24">
        <v>7833341</v>
      </c>
    </row>
    <row r="456" spans="1:13" s="48" customFormat="1" outlineLevel="2">
      <c r="A456" s="39" t="s">
        <v>231</v>
      </c>
      <c r="B456" s="40" t="s">
        <v>63</v>
      </c>
      <c r="C456" s="41" t="s">
        <v>55</v>
      </c>
      <c r="D456" s="40"/>
      <c r="E456" s="24"/>
      <c r="F456" s="39"/>
      <c r="G456" s="24">
        <v>7833341</v>
      </c>
      <c r="H456" s="23">
        <v>5.0000000000000001E-3</v>
      </c>
      <c r="I456" s="39">
        <v>44333</v>
      </c>
      <c r="J456" s="39">
        <v>44347</v>
      </c>
      <c r="K456" s="24">
        <v>15</v>
      </c>
      <c r="L456" s="24">
        <v>1610</v>
      </c>
      <c r="M456" s="24"/>
    </row>
    <row r="457" spans="1:13" s="48" customFormat="1" outlineLevel="2">
      <c r="A457" s="39" t="s">
        <v>231</v>
      </c>
      <c r="B457" s="40" t="s">
        <v>64</v>
      </c>
      <c r="C457" s="41" t="s">
        <v>55</v>
      </c>
      <c r="D457" s="40" t="s">
        <v>56</v>
      </c>
      <c r="E457" s="24">
        <v>4000000</v>
      </c>
      <c r="F457" s="39">
        <v>43970</v>
      </c>
      <c r="G457" s="24">
        <v>3254244</v>
      </c>
      <c r="H457" s="23">
        <v>5.0000000000000001E-3</v>
      </c>
      <c r="I457" s="39">
        <v>44317</v>
      </c>
      <c r="J457" s="39">
        <v>44332</v>
      </c>
      <c r="K457" s="24">
        <v>16</v>
      </c>
      <c r="L457" s="24">
        <v>713</v>
      </c>
      <c r="M457" s="24">
        <v>3186448</v>
      </c>
    </row>
    <row r="458" spans="1:13" s="48" customFormat="1" outlineLevel="2">
      <c r="A458" s="39" t="s">
        <v>231</v>
      </c>
      <c r="B458" s="40" t="s">
        <v>64</v>
      </c>
      <c r="C458" s="41" t="s">
        <v>55</v>
      </c>
      <c r="D458" s="40"/>
      <c r="E458" s="24"/>
      <c r="F458" s="39"/>
      <c r="G458" s="24">
        <v>3186448</v>
      </c>
      <c r="H458" s="23">
        <v>5.0000000000000001E-3</v>
      </c>
      <c r="I458" s="39">
        <v>44333</v>
      </c>
      <c r="J458" s="39">
        <v>44347</v>
      </c>
      <c r="K458" s="24">
        <v>15</v>
      </c>
      <c r="L458" s="24">
        <v>655</v>
      </c>
      <c r="M458" s="24"/>
    </row>
    <row r="459" spans="1:13" s="48" customFormat="1" outlineLevel="2">
      <c r="A459" s="39" t="s">
        <v>231</v>
      </c>
      <c r="B459" s="40" t="s">
        <v>65</v>
      </c>
      <c r="C459" s="41" t="s">
        <v>55</v>
      </c>
      <c r="D459" s="40" t="s">
        <v>56</v>
      </c>
      <c r="E459" s="24">
        <v>18000000</v>
      </c>
      <c r="F459" s="39">
        <v>43977</v>
      </c>
      <c r="G459" s="24">
        <v>14644076</v>
      </c>
      <c r="H459" s="23">
        <v>5.0000000000000001E-3</v>
      </c>
      <c r="I459" s="39">
        <v>44317</v>
      </c>
      <c r="J459" s="39">
        <v>44332</v>
      </c>
      <c r="K459" s="24">
        <v>16</v>
      </c>
      <c r="L459" s="24">
        <v>3210</v>
      </c>
      <c r="M459" s="24">
        <v>14338992</v>
      </c>
    </row>
    <row r="460" spans="1:13" s="48" customFormat="1" outlineLevel="2">
      <c r="A460" s="39" t="s">
        <v>231</v>
      </c>
      <c r="B460" s="40" t="s">
        <v>65</v>
      </c>
      <c r="C460" s="41" t="s">
        <v>55</v>
      </c>
      <c r="D460" s="40"/>
      <c r="E460" s="24"/>
      <c r="F460" s="39"/>
      <c r="G460" s="24">
        <v>14338992</v>
      </c>
      <c r="H460" s="23">
        <v>5.0000000000000001E-3</v>
      </c>
      <c r="I460" s="39">
        <v>44333</v>
      </c>
      <c r="J460" s="39">
        <v>44347</v>
      </c>
      <c r="K460" s="24">
        <v>15</v>
      </c>
      <c r="L460" s="24">
        <v>2946</v>
      </c>
      <c r="M460" s="24"/>
    </row>
    <row r="461" spans="1:13" s="48" customFormat="1" outlineLevel="2">
      <c r="A461" s="39" t="s">
        <v>231</v>
      </c>
      <c r="B461" s="40" t="s">
        <v>68</v>
      </c>
      <c r="C461" s="41" t="s">
        <v>55</v>
      </c>
      <c r="D461" s="40" t="s">
        <v>56</v>
      </c>
      <c r="E461" s="24">
        <v>6000000</v>
      </c>
      <c r="F461" s="39">
        <v>43984</v>
      </c>
      <c r="G461" s="24">
        <v>4881366</v>
      </c>
      <c r="H461" s="23">
        <v>5.0000000000000001E-3</v>
      </c>
      <c r="I461" s="39">
        <v>44317</v>
      </c>
      <c r="J461" s="39">
        <v>44332</v>
      </c>
      <c r="K461" s="24">
        <v>16</v>
      </c>
      <c r="L461" s="24">
        <v>1070</v>
      </c>
      <c r="M461" s="24">
        <v>4779672</v>
      </c>
    </row>
    <row r="462" spans="1:13" s="48" customFormat="1" outlineLevel="2">
      <c r="A462" s="39" t="s">
        <v>231</v>
      </c>
      <c r="B462" s="40" t="s">
        <v>68</v>
      </c>
      <c r="C462" s="41" t="s">
        <v>55</v>
      </c>
      <c r="D462" s="40"/>
      <c r="E462" s="24"/>
      <c r="F462" s="39"/>
      <c r="G462" s="24">
        <v>4779672</v>
      </c>
      <c r="H462" s="23">
        <v>5.0000000000000001E-3</v>
      </c>
      <c r="I462" s="39">
        <v>44333</v>
      </c>
      <c r="J462" s="39">
        <v>44347</v>
      </c>
      <c r="K462" s="24">
        <v>15</v>
      </c>
      <c r="L462" s="24">
        <v>982</v>
      </c>
      <c r="M462" s="24"/>
    </row>
    <row r="463" spans="1:13" s="48" customFormat="1" outlineLevel="1">
      <c r="A463" s="42" t="s">
        <v>234</v>
      </c>
      <c r="B463" s="43"/>
      <c r="C463" s="44"/>
      <c r="D463" s="43"/>
      <c r="E463" s="45">
        <v>1060300000</v>
      </c>
      <c r="F463" s="46"/>
      <c r="G463" s="45"/>
      <c r="H463" s="47"/>
      <c r="I463" s="46"/>
      <c r="J463" s="46"/>
      <c r="K463" s="45"/>
      <c r="L463" s="45">
        <v>353905</v>
      </c>
      <c r="M463" s="45">
        <v>995267534</v>
      </c>
    </row>
    <row r="464" spans="1:13" s="48" customFormat="1" outlineLevel="2">
      <c r="A464" s="39" t="s">
        <v>235</v>
      </c>
      <c r="B464" s="40" t="s">
        <v>16</v>
      </c>
      <c r="C464" s="41" t="s">
        <v>17</v>
      </c>
      <c r="D464" s="40" t="s">
        <v>18</v>
      </c>
      <c r="E464" s="24">
        <v>50000000</v>
      </c>
      <c r="F464" s="39">
        <v>43829</v>
      </c>
      <c r="G464" s="24">
        <v>36666656</v>
      </c>
      <c r="H464" s="23">
        <v>5.0000000000000001E-3</v>
      </c>
      <c r="I464" s="39">
        <v>44317</v>
      </c>
      <c r="J464" s="39">
        <v>44330</v>
      </c>
      <c r="K464" s="24">
        <v>14</v>
      </c>
      <c r="L464" s="24">
        <v>7032</v>
      </c>
      <c r="M464" s="24">
        <v>35833322</v>
      </c>
    </row>
    <row r="465" spans="1:13" s="48" customFormat="1" outlineLevel="2">
      <c r="A465" s="39" t="s">
        <v>235</v>
      </c>
      <c r="B465" s="40" t="s">
        <v>16</v>
      </c>
      <c r="C465" s="41" t="s">
        <v>17</v>
      </c>
      <c r="D465" s="40"/>
      <c r="E465" s="24"/>
      <c r="F465" s="39"/>
      <c r="G465" s="24">
        <v>35833322</v>
      </c>
      <c r="H465" s="23">
        <v>5.0000000000000001E-3</v>
      </c>
      <c r="I465" s="39">
        <v>44331</v>
      </c>
      <c r="J465" s="39">
        <v>44347</v>
      </c>
      <c r="K465" s="24">
        <v>17</v>
      </c>
      <c r="L465" s="24">
        <v>8345</v>
      </c>
      <c r="M465" s="24"/>
    </row>
    <row r="466" spans="1:13" s="48" customFormat="1" outlineLevel="2">
      <c r="A466" s="39" t="s">
        <v>235</v>
      </c>
      <c r="B466" s="40" t="s">
        <v>39</v>
      </c>
      <c r="C466" s="41" t="s">
        <v>17</v>
      </c>
      <c r="D466" s="40" t="s">
        <v>18</v>
      </c>
      <c r="E466" s="24">
        <v>25200000</v>
      </c>
      <c r="F466" s="39">
        <v>43829</v>
      </c>
      <c r="G466" s="24">
        <v>18480000</v>
      </c>
      <c r="H466" s="23">
        <v>5.0000000000000001E-3</v>
      </c>
      <c r="I466" s="39">
        <v>44317</v>
      </c>
      <c r="J466" s="39">
        <v>44330</v>
      </c>
      <c r="K466" s="24">
        <v>14</v>
      </c>
      <c r="L466" s="24">
        <v>3544</v>
      </c>
      <c r="M466" s="24">
        <v>18060000</v>
      </c>
    </row>
    <row r="467" spans="1:13" s="48" customFormat="1" outlineLevel="2">
      <c r="A467" s="39" t="s">
        <v>235</v>
      </c>
      <c r="B467" s="40" t="s">
        <v>39</v>
      </c>
      <c r="C467" s="41" t="s">
        <v>17</v>
      </c>
      <c r="D467" s="40"/>
      <c r="E467" s="24"/>
      <c r="F467" s="39"/>
      <c r="G467" s="24">
        <v>18060000</v>
      </c>
      <c r="H467" s="23">
        <v>5.0000000000000001E-3</v>
      </c>
      <c r="I467" s="39">
        <v>44331</v>
      </c>
      <c r="J467" s="39">
        <v>44347</v>
      </c>
      <c r="K467" s="24">
        <v>17</v>
      </c>
      <c r="L467" s="24">
        <v>4206</v>
      </c>
      <c r="M467" s="24"/>
    </row>
    <row r="468" spans="1:13" s="48" customFormat="1" outlineLevel="2">
      <c r="A468" s="39" t="s">
        <v>235</v>
      </c>
      <c r="B468" s="40" t="s">
        <v>54</v>
      </c>
      <c r="C468" s="41" t="s">
        <v>17</v>
      </c>
      <c r="D468" s="40" t="s">
        <v>18</v>
      </c>
      <c r="E468" s="24">
        <v>11310000</v>
      </c>
      <c r="F468" s="39">
        <v>43920</v>
      </c>
      <c r="G468" s="24">
        <v>8730527</v>
      </c>
      <c r="H468" s="23">
        <v>5.0000000000000001E-3</v>
      </c>
      <c r="I468" s="39">
        <v>44317</v>
      </c>
      <c r="J468" s="39">
        <v>44330</v>
      </c>
      <c r="K468" s="24">
        <v>14</v>
      </c>
      <c r="L468" s="24">
        <v>1674</v>
      </c>
      <c r="M468" s="24">
        <v>8532106</v>
      </c>
    </row>
    <row r="469" spans="1:13" s="48" customFormat="1" outlineLevel="2">
      <c r="A469" s="39" t="s">
        <v>235</v>
      </c>
      <c r="B469" s="40" t="s">
        <v>54</v>
      </c>
      <c r="C469" s="41" t="s">
        <v>17</v>
      </c>
      <c r="D469" s="40"/>
      <c r="E469" s="24"/>
      <c r="F469" s="39"/>
      <c r="G469" s="24">
        <v>8532106</v>
      </c>
      <c r="H469" s="23">
        <v>5.0000000000000001E-3</v>
      </c>
      <c r="I469" s="39">
        <v>44331</v>
      </c>
      <c r="J469" s="39">
        <v>44347</v>
      </c>
      <c r="K469" s="24">
        <v>17</v>
      </c>
      <c r="L469" s="24">
        <v>1987</v>
      </c>
      <c r="M469" s="24"/>
    </row>
    <row r="470" spans="1:13" s="48" customFormat="1" outlineLevel="2">
      <c r="A470" s="39" t="s">
        <v>235</v>
      </c>
      <c r="B470" s="40" t="s">
        <v>59</v>
      </c>
      <c r="C470" s="41" t="s">
        <v>17</v>
      </c>
      <c r="D470" s="40" t="s">
        <v>18</v>
      </c>
      <c r="E470" s="24">
        <v>6050000</v>
      </c>
      <c r="F470" s="39">
        <v>43990</v>
      </c>
      <c r="G470" s="24">
        <v>4840000</v>
      </c>
      <c r="H470" s="23">
        <v>5.0000000000000001E-3</v>
      </c>
      <c r="I470" s="39">
        <v>44317</v>
      </c>
      <c r="J470" s="39">
        <v>44330</v>
      </c>
      <c r="K470" s="24">
        <v>14</v>
      </c>
      <c r="L470" s="24">
        <v>928</v>
      </c>
      <c r="M470" s="24">
        <v>4730000</v>
      </c>
    </row>
    <row r="471" spans="1:13" s="48" customFormat="1" outlineLevel="2">
      <c r="A471" s="39" t="s">
        <v>235</v>
      </c>
      <c r="B471" s="40" t="s">
        <v>59</v>
      </c>
      <c r="C471" s="41" t="s">
        <v>17</v>
      </c>
      <c r="D471" s="40"/>
      <c r="E471" s="24"/>
      <c r="F471" s="39"/>
      <c r="G471" s="24">
        <v>4730000</v>
      </c>
      <c r="H471" s="23">
        <v>5.0000000000000001E-3</v>
      </c>
      <c r="I471" s="39">
        <v>44331</v>
      </c>
      <c r="J471" s="39">
        <v>44347</v>
      </c>
      <c r="K471" s="24">
        <v>17</v>
      </c>
      <c r="L471" s="24">
        <v>1102</v>
      </c>
      <c r="M471" s="24"/>
    </row>
    <row r="472" spans="1:13" s="48" customFormat="1" outlineLevel="2">
      <c r="A472" s="39" t="s">
        <v>235</v>
      </c>
      <c r="B472" s="40" t="s">
        <v>62</v>
      </c>
      <c r="C472" s="41" t="s">
        <v>17</v>
      </c>
      <c r="D472" s="40" t="s">
        <v>18</v>
      </c>
      <c r="E472" s="24">
        <v>7541000</v>
      </c>
      <c r="F472" s="39">
        <v>44074</v>
      </c>
      <c r="G472" s="24">
        <v>6380848</v>
      </c>
      <c r="H472" s="23">
        <v>5.0000000000000001E-3</v>
      </c>
      <c r="I472" s="39">
        <v>44317</v>
      </c>
      <c r="J472" s="39">
        <v>44330</v>
      </c>
      <c r="K472" s="24">
        <v>14</v>
      </c>
      <c r="L472" s="24">
        <v>1224</v>
      </c>
      <c r="M472" s="24">
        <v>6235829</v>
      </c>
    </row>
    <row r="473" spans="1:13" s="48" customFormat="1" outlineLevel="2">
      <c r="A473" s="39" t="s">
        <v>235</v>
      </c>
      <c r="B473" s="40" t="s">
        <v>62</v>
      </c>
      <c r="C473" s="41" t="s">
        <v>17</v>
      </c>
      <c r="D473" s="40"/>
      <c r="E473" s="24"/>
      <c r="F473" s="39"/>
      <c r="G473" s="24">
        <v>6235829</v>
      </c>
      <c r="H473" s="23">
        <v>5.0000000000000001E-3</v>
      </c>
      <c r="I473" s="39">
        <v>44331</v>
      </c>
      <c r="J473" s="39">
        <v>44347</v>
      </c>
      <c r="K473" s="24">
        <v>17</v>
      </c>
      <c r="L473" s="24">
        <v>1452</v>
      </c>
      <c r="M473" s="24"/>
    </row>
    <row r="474" spans="1:13" s="48" customFormat="1" outlineLevel="2">
      <c r="A474" s="39" t="s">
        <v>235</v>
      </c>
      <c r="B474" s="40" t="s">
        <v>63</v>
      </c>
      <c r="C474" s="41" t="s">
        <v>17</v>
      </c>
      <c r="D474" s="40" t="s">
        <v>18</v>
      </c>
      <c r="E474" s="24">
        <v>8986000</v>
      </c>
      <c r="F474" s="39">
        <v>44160</v>
      </c>
      <c r="G474" s="24">
        <v>8069060</v>
      </c>
      <c r="H474" s="23">
        <v>5.0000000000000001E-3</v>
      </c>
      <c r="I474" s="39">
        <v>44317</v>
      </c>
      <c r="J474" s="39">
        <v>44330</v>
      </c>
      <c r="K474" s="24">
        <v>14</v>
      </c>
      <c r="L474" s="24">
        <v>1547</v>
      </c>
      <c r="M474" s="24">
        <v>7885672</v>
      </c>
    </row>
    <row r="475" spans="1:13" s="48" customFormat="1" outlineLevel="2">
      <c r="A475" s="39" t="s">
        <v>235</v>
      </c>
      <c r="B475" s="40" t="s">
        <v>63</v>
      </c>
      <c r="C475" s="41" t="s">
        <v>17</v>
      </c>
      <c r="D475" s="40"/>
      <c r="E475" s="24"/>
      <c r="F475" s="39"/>
      <c r="G475" s="24">
        <v>7885672</v>
      </c>
      <c r="H475" s="23">
        <v>5.0000000000000001E-3</v>
      </c>
      <c r="I475" s="39">
        <v>44331</v>
      </c>
      <c r="J475" s="39">
        <v>44347</v>
      </c>
      <c r="K475" s="24">
        <v>17</v>
      </c>
      <c r="L475" s="24">
        <v>1836</v>
      </c>
      <c r="M475" s="24"/>
    </row>
    <row r="476" spans="1:13" s="48" customFormat="1" outlineLevel="2">
      <c r="A476" s="39" t="s">
        <v>235</v>
      </c>
      <c r="B476" s="40" t="s">
        <v>64</v>
      </c>
      <c r="C476" s="41" t="s">
        <v>17</v>
      </c>
      <c r="D476" s="40" t="s">
        <v>18</v>
      </c>
      <c r="E476" s="24">
        <v>2534784</v>
      </c>
      <c r="F476" s="39">
        <v>44334</v>
      </c>
      <c r="G476" s="24">
        <v>2534784</v>
      </c>
      <c r="H476" s="23">
        <v>5.0000000000000001E-3</v>
      </c>
      <c r="I476" s="39">
        <v>44334</v>
      </c>
      <c r="J476" s="39">
        <v>44347</v>
      </c>
      <c r="K476" s="24">
        <v>14</v>
      </c>
      <c r="L476" s="24">
        <v>486</v>
      </c>
      <c r="M476" s="24">
        <v>2534784</v>
      </c>
    </row>
    <row r="477" spans="1:13" s="48" customFormat="1" outlineLevel="1">
      <c r="A477" s="42" t="s">
        <v>236</v>
      </c>
      <c r="B477" s="43"/>
      <c r="C477" s="44"/>
      <c r="D477" s="43"/>
      <c r="E477" s="45">
        <v>111621784</v>
      </c>
      <c r="F477" s="46"/>
      <c r="G477" s="45"/>
      <c r="H477" s="47"/>
      <c r="I477" s="46"/>
      <c r="J477" s="46"/>
      <c r="K477" s="45"/>
      <c r="L477" s="45">
        <v>35363</v>
      </c>
      <c r="M477" s="45">
        <v>83811713</v>
      </c>
    </row>
    <row r="478" spans="1:13" s="48" customFormat="1" outlineLevel="2">
      <c r="A478" s="39" t="s">
        <v>237</v>
      </c>
      <c r="B478" s="40" t="s">
        <v>16</v>
      </c>
      <c r="C478" s="41" t="s">
        <v>45</v>
      </c>
      <c r="D478" s="40" t="s">
        <v>46</v>
      </c>
      <c r="E478" s="24">
        <v>4300000</v>
      </c>
      <c r="F478" s="39">
        <v>43966</v>
      </c>
      <c r="G478" s="24">
        <v>4300000</v>
      </c>
      <c r="H478" s="23">
        <v>5.0000000000000001E-3</v>
      </c>
      <c r="I478" s="39">
        <v>44317</v>
      </c>
      <c r="J478" s="39">
        <v>44347</v>
      </c>
      <c r="K478" s="24">
        <v>31</v>
      </c>
      <c r="L478" s="24">
        <v>1826</v>
      </c>
      <c r="M478" s="24">
        <v>4300000</v>
      </c>
    </row>
    <row r="479" spans="1:13" s="48" customFormat="1" outlineLevel="2">
      <c r="A479" s="39" t="s">
        <v>237</v>
      </c>
      <c r="B479" s="40" t="s">
        <v>39</v>
      </c>
      <c r="C479" s="41" t="s">
        <v>66</v>
      </c>
      <c r="D479" s="40" t="s">
        <v>67</v>
      </c>
      <c r="E479" s="24">
        <v>120000000</v>
      </c>
      <c r="F479" s="39">
        <v>44060</v>
      </c>
      <c r="G479" s="24">
        <v>120000000</v>
      </c>
      <c r="H479" s="23">
        <v>5.0000000000000001E-3</v>
      </c>
      <c r="I479" s="39">
        <v>44317</v>
      </c>
      <c r="J479" s="39">
        <v>44347</v>
      </c>
      <c r="K479" s="24">
        <v>31</v>
      </c>
      <c r="L479" s="24">
        <v>50959</v>
      </c>
      <c r="M479" s="24">
        <v>120000000</v>
      </c>
    </row>
    <row r="480" spans="1:13" s="48" customFormat="1" outlineLevel="1">
      <c r="A480" s="42" t="s">
        <v>238</v>
      </c>
      <c r="B480" s="43"/>
      <c r="C480" s="44"/>
      <c r="D480" s="43"/>
      <c r="E480" s="45">
        <v>124300000</v>
      </c>
      <c r="F480" s="46"/>
      <c r="G480" s="45"/>
      <c r="H480" s="47"/>
      <c r="I480" s="46"/>
      <c r="J480" s="46"/>
      <c r="K480" s="45"/>
      <c r="L480" s="45">
        <v>52785</v>
      </c>
      <c r="M480" s="45">
        <v>124300000</v>
      </c>
    </row>
    <row r="481" spans="1:13" s="48" customFormat="1" outlineLevel="2">
      <c r="A481" s="39" t="s">
        <v>239</v>
      </c>
      <c r="B481" s="40" t="s">
        <v>16</v>
      </c>
      <c r="C481" s="41" t="s">
        <v>109</v>
      </c>
      <c r="D481" s="40" t="s">
        <v>110</v>
      </c>
      <c r="E481" s="24">
        <v>38650000</v>
      </c>
      <c r="F481" s="39">
        <v>43986</v>
      </c>
      <c r="G481" s="24">
        <v>38650000</v>
      </c>
      <c r="H481" s="23">
        <v>5.0000000000000001E-3</v>
      </c>
      <c r="I481" s="39">
        <v>44317</v>
      </c>
      <c r="J481" s="39">
        <v>44347</v>
      </c>
      <c r="K481" s="24">
        <v>31</v>
      </c>
      <c r="L481" s="24">
        <v>16413</v>
      </c>
      <c r="M481" s="24">
        <v>38650000</v>
      </c>
    </row>
    <row r="482" spans="1:13" s="48" customFormat="1" outlineLevel="2">
      <c r="A482" s="39" t="s">
        <v>239</v>
      </c>
      <c r="B482" s="40" t="s">
        <v>19</v>
      </c>
      <c r="C482" s="41" t="s">
        <v>125</v>
      </c>
      <c r="D482" s="40" t="s">
        <v>126</v>
      </c>
      <c r="E482" s="24">
        <v>23000000</v>
      </c>
      <c r="F482" s="39">
        <v>44155</v>
      </c>
      <c r="G482" s="24">
        <v>23000000</v>
      </c>
      <c r="H482" s="23">
        <v>5.0000000000000001E-3</v>
      </c>
      <c r="I482" s="39">
        <v>44317</v>
      </c>
      <c r="J482" s="39">
        <v>44347</v>
      </c>
      <c r="K482" s="24">
        <v>31</v>
      </c>
      <c r="L482" s="24">
        <v>9767</v>
      </c>
      <c r="M482" s="24">
        <v>23000000</v>
      </c>
    </row>
    <row r="483" spans="1:13" s="48" customFormat="1" outlineLevel="2">
      <c r="A483" s="39" t="s">
        <v>239</v>
      </c>
      <c r="B483" s="40" t="s">
        <v>22</v>
      </c>
      <c r="C483" s="41" t="s">
        <v>125</v>
      </c>
      <c r="D483" s="40" t="s">
        <v>126</v>
      </c>
      <c r="E483" s="24">
        <v>1000000</v>
      </c>
      <c r="F483" s="39">
        <v>44160</v>
      </c>
      <c r="G483" s="24">
        <v>1000000</v>
      </c>
      <c r="H483" s="23">
        <v>5.0000000000000001E-3</v>
      </c>
      <c r="I483" s="39">
        <v>44317</v>
      </c>
      <c r="J483" s="39">
        <v>44347</v>
      </c>
      <c r="K483" s="24">
        <v>31</v>
      </c>
      <c r="L483" s="24">
        <v>425</v>
      </c>
      <c r="M483" s="24">
        <v>1000000</v>
      </c>
    </row>
    <row r="484" spans="1:13" s="48" customFormat="1" outlineLevel="2">
      <c r="A484" s="39" t="s">
        <v>239</v>
      </c>
      <c r="B484" s="40" t="s">
        <v>25</v>
      </c>
      <c r="C484" s="41" t="s">
        <v>95</v>
      </c>
      <c r="D484" s="40" t="s">
        <v>96</v>
      </c>
      <c r="E484" s="24">
        <v>6030000</v>
      </c>
      <c r="F484" s="39">
        <v>44145</v>
      </c>
      <c r="G484" s="24">
        <v>6030000</v>
      </c>
      <c r="H484" s="23">
        <v>5.0000000000000001E-3</v>
      </c>
      <c r="I484" s="39">
        <v>44317</v>
      </c>
      <c r="J484" s="39">
        <v>44347</v>
      </c>
      <c r="K484" s="24">
        <v>31</v>
      </c>
      <c r="L484" s="24">
        <v>2561</v>
      </c>
      <c r="M484" s="24">
        <v>6030000</v>
      </c>
    </row>
    <row r="485" spans="1:13" s="48" customFormat="1" outlineLevel="2">
      <c r="A485" s="39" t="s">
        <v>239</v>
      </c>
      <c r="B485" s="40" t="s">
        <v>26</v>
      </c>
      <c r="C485" s="41" t="s">
        <v>240</v>
      </c>
      <c r="D485" s="40" t="s">
        <v>241</v>
      </c>
      <c r="E485" s="24">
        <v>16018839</v>
      </c>
      <c r="F485" s="39">
        <v>44188</v>
      </c>
      <c r="G485" s="24">
        <v>16018839</v>
      </c>
      <c r="H485" s="23">
        <v>5.0000000000000001E-3</v>
      </c>
      <c r="I485" s="39">
        <v>44317</v>
      </c>
      <c r="J485" s="39">
        <v>44347</v>
      </c>
      <c r="K485" s="24">
        <v>31</v>
      </c>
      <c r="L485" s="24">
        <v>6803</v>
      </c>
      <c r="M485" s="24">
        <v>16018839</v>
      </c>
    </row>
    <row r="486" spans="1:13" s="48" customFormat="1" outlineLevel="2">
      <c r="A486" s="39" t="s">
        <v>239</v>
      </c>
      <c r="B486" s="40" t="s">
        <v>29</v>
      </c>
      <c r="C486" s="41" t="s">
        <v>240</v>
      </c>
      <c r="D486" s="40" t="s">
        <v>241</v>
      </c>
      <c r="E486" s="24">
        <v>31481161</v>
      </c>
      <c r="F486" s="39">
        <v>44188</v>
      </c>
      <c r="G486" s="24">
        <v>31481161</v>
      </c>
      <c r="H486" s="23">
        <v>5.0000000000000001E-3</v>
      </c>
      <c r="I486" s="39">
        <v>44317</v>
      </c>
      <c r="J486" s="39">
        <v>44347</v>
      </c>
      <c r="K486" s="24">
        <v>31</v>
      </c>
      <c r="L486" s="24">
        <v>13369</v>
      </c>
      <c r="M486" s="24">
        <v>31481161</v>
      </c>
    </row>
    <row r="487" spans="1:13" s="48" customFormat="1" outlineLevel="2">
      <c r="A487" s="39" t="s">
        <v>239</v>
      </c>
      <c r="B487" s="40" t="s">
        <v>32</v>
      </c>
      <c r="C487" s="41" t="s">
        <v>242</v>
      </c>
      <c r="D487" s="40" t="s">
        <v>243</v>
      </c>
      <c r="E487" s="24">
        <v>10000000</v>
      </c>
      <c r="F487" s="39">
        <v>44172</v>
      </c>
      <c r="G487" s="24">
        <v>10000000</v>
      </c>
      <c r="H487" s="23">
        <v>5.0000000000000001E-3</v>
      </c>
      <c r="I487" s="39">
        <v>44317</v>
      </c>
      <c r="J487" s="39">
        <v>44347</v>
      </c>
      <c r="K487" s="24">
        <v>31</v>
      </c>
      <c r="L487" s="24">
        <v>4247</v>
      </c>
      <c r="M487" s="24">
        <v>10000000</v>
      </c>
    </row>
    <row r="488" spans="1:13" s="48" customFormat="1" outlineLevel="2">
      <c r="A488" s="39" t="s">
        <v>239</v>
      </c>
      <c r="B488" s="40" t="s">
        <v>33</v>
      </c>
      <c r="C488" s="41" t="s">
        <v>242</v>
      </c>
      <c r="D488" s="40" t="s">
        <v>243</v>
      </c>
      <c r="E488" s="24">
        <v>10000000</v>
      </c>
      <c r="F488" s="39">
        <v>44181</v>
      </c>
      <c r="G488" s="24">
        <v>10000000</v>
      </c>
      <c r="H488" s="23">
        <v>5.0000000000000001E-3</v>
      </c>
      <c r="I488" s="39">
        <v>44317</v>
      </c>
      <c r="J488" s="39">
        <v>44347</v>
      </c>
      <c r="K488" s="24">
        <v>31</v>
      </c>
      <c r="L488" s="24">
        <v>4247</v>
      </c>
      <c r="M488" s="24">
        <v>10000000</v>
      </c>
    </row>
    <row r="489" spans="1:13" s="48" customFormat="1" outlineLevel="2">
      <c r="A489" s="39" t="s">
        <v>239</v>
      </c>
      <c r="B489" s="40" t="s">
        <v>34</v>
      </c>
      <c r="C489" s="41" t="s">
        <v>244</v>
      </c>
      <c r="D489" s="40" t="s">
        <v>245</v>
      </c>
      <c r="E489" s="24">
        <v>210000000</v>
      </c>
      <c r="F489" s="39">
        <v>44172</v>
      </c>
      <c r="G489" s="24">
        <v>210000000</v>
      </c>
      <c r="H489" s="23">
        <v>5.0000000000000001E-3</v>
      </c>
      <c r="I489" s="39">
        <v>44317</v>
      </c>
      <c r="J489" s="39">
        <v>44347</v>
      </c>
      <c r="K489" s="24">
        <v>31</v>
      </c>
      <c r="L489" s="24">
        <v>89178</v>
      </c>
      <c r="M489" s="24">
        <v>210000000</v>
      </c>
    </row>
    <row r="490" spans="1:13" s="48" customFormat="1" outlineLevel="2">
      <c r="A490" s="39" t="s">
        <v>239</v>
      </c>
      <c r="B490" s="40" t="s">
        <v>35</v>
      </c>
      <c r="C490" s="41" t="s">
        <v>246</v>
      </c>
      <c r="D490" s="40" t="s">
        <v>247</v>
      </c>
      <c r="E490" s="24">
        <v>3000000</v>
      </c>
      <c r="F490" s="39">
        <v>44167</v>
      </c>
      <c r="G490" s="24">
        <v>3000000</v>
      </c>
      <c r="H490" s="23">
        <v>5.0000000000000001E-3</v>
      </c>
      <c r="I490" s="39">
        <v>44317</v>
      </c>
      <c r="J490" s="39">
        <v>44347</v>
      </c>
      <c r="K490" s="24">
        <v>31</v>
      </c>
      <c r="L490" s="24">
        <v>1274</v>
      </c>
      <c r="M490" s="24">
        <v>3000000</v>
      </c>
    </row>
    <row r="491" spans="1:13" s="48" customFormat="1" outlineLevel="2">
      <c r="A491" s="39" t="s">
        <v>239</v>
      </c>
      <c r="B491" s="40" t="s">
        <v>36</v>
      </c>
      <c r="C491" s="41" t="s">
        <v>95</v>
      </c>
      <c r="D491" s="40" t="s">
        <v>96</v>
      </c>
      <c r="E491" s="24">
        <v>5530000</v>
      </c>
      <c r="F491" s="39">
        <v>44168</v>
      </c>
      <c r="G491" s="24">
        <v>5530000</v>
      </c>
      <c r="H491" s="23">
        <v>5.0000000000000001E-3</v>
      </c>
      <c r="I491" s="39">
        <v>44317</v>
      </c>
      <c r="J491" s="39">
        <v>44347</v>
      </c>
      <c r="K491" s="24">
        <v>31</v>
      </c>
      <c r="L491" s="24">
        <v>2348</v>
      </c>
      <c r="M491" s="24">
        <v>5530000</v>
      </c>
    </row>
    <row r="492" spans="1:13" s="48" customFormat="1" outlineLevel="2">
      <c r="A492" s="39" t="s">
        <v>239</v>
      </c>
      <c r="B492" s="40" t="s">
        <v>39</v>
      </c>
      <c r="C492" s="41" t="s">
        <v>248</v>
      </c>
      <c r="D492" s="40" t="s">
        <v>249</v>
      </c>
      <c r="E492" s="24">
        <v>23530000</v>
      </c>
      <c r="F492" s="39">
        <v>44013</v>
      </c>
      <c r="G492" s="24">
        <v>23530000</v>
      </c>
      <c r="H492" s="23">
        <v>5.0000000000000001E-3</v>
      </c>
      <c r="I492" s="39">
        <v>44317</v>
      </c>
      <c r="J492" s="39">
        <v>44347</v>
      </c>
      <c r="K492" s="24">
        <v>31</v>
      </c>
      <c r="L492" s="24">
        <v>9992</v>
      </c>
      <c r="M492" s="24">
        <v>23530000</v>
      </c>
    </row>
    <row r="493" spans="1:13" s="48" customFormat="1" outlineLevel="2">
      <c r="A493" s="39" t="s">
        <v>239</v>
      </c>
      <c r="B493" s="40" t="s">
        <v>40</v>
      </c>
      <c r="C493" s="41" t="s">
        <v>242</v>
      </c>
      <c r="D493" s="40" t="s">
        <v>243</v>
      </c>
      <c r="E493" s="24">
        <v>10000000</v>
      </c>
      <c r="F493" s="39">
        <v>44208</v>
      </c>
      <c r="G493" s="24">
        <v>10000000</v>
      </c>
      <c r="H493" s="23">
        <v>5.0000000000000001E-3</v>
      </c>
      <c r="I493" s="39">
        <v>44317</v>
      </c>
      <c r="J493" s="39">
        <v>44347</v>
      </c>
      <c r="K493" s="24">
        <v>31</v>
      </c>
      <c r="L493" s="24">
        <v>4247</v>
      </c>
      <c r="M493" s="24">
        <v>10000000</v>
      </c>
    </row>
    <row r="494" spans="1:13" s="48" customFormat="1" outlineLevel="2">
      <c r="A494" s="39" t="s">
        <v>239</v>
      </c>
      <c r="B494" s="40" t="s">
        <v>41</v>
      </c>
      <c r="C494" s="41" t="s">
        <v>125</v>
      </c>
      <c r="D494" s="40" t="s">
        <v>126</v>
      </c>
      <c r="E494" s="24">
        <v>28000000</v>
      </c>
      <c r="F494" s="39">
        <v>44217</v>
      </c>
      <c r="G494" s="24">
        <v>28000000</v>
      </c>
      <c r="H494" s="23">
        <v>5.0000000000000001E-3</v>
      </c>
      <c r="I494" s="39">
        <v>44317</v>
      </c>
      <c r="J494" s="39">
        <v>44347</v>
      </c>
      <c r="K494" s="24">
        <v>31</v>
      </c>
      <c r="L494" s="24">
        <v>11890</v>
      </c>
      <c r="M494" s="24">
        <v>28000000</v>
      </c>
    </row>
    <row r="495" spans="1:13" s="48" customFormat="1" outlineLevel="2">
      <c r="A495" s="39" t="s">
        <v>239</v>
      </c>
      <c r="B495" s="40" t="s">
        <v>42</v>
      </c>
      <c r="C495" s="41" t="s">
        <v>250</v>
      </c>
      <c r="D495" s="40" t="s">
        <v>251</v>
      </c>
      <c r="E495" s="24">
        <v>22500000</v>
      </c>
      <c r="F495" s="39">
        <v>44215</v>
      </c>
      <c r="G495" s="24">
        <v>21375000</v>
      </c>
      <c r="H495" s="23">
        <v>5.0000000000000001E-3</v>
      </c>
      <c r="I495" s="39">
        <v>44317</v>
      </c>
      <c r="J495" s="39">
        <v>44332</v>
      </c>
      <c r="K495" s="24">
        <v>16</v>
      </c>
      <c r="L495" s="24">
        <v>4685</v>
      </c>
      <c r="M495" s="24">
        <v>21000000</v>
      </c>
    </row>
    <row r="496" spans="1:13" s="48" customFormat="1" outlineLevel="2">
      <c r="A496" s="39" t="s">
        <v>239</v>
      </c>
      <c r="B496" s="40" t="s">
        <v>42</v>
      </c>
      <c r="C496" s="41" t="s">
        <v>250</v>
      </c>
      <c r="D496" s="40"/>
      <c r="E496" s="24"/>
      <c r="F496" s="39"/>
      <c r="G496" s="24">
        <v>21000000</v>
      </c>
      <c r="H496" s="23">
        <v>5.0000000000000001E-3</v>
      </c>
      <c r="I496" s="39">
        <v>44333</v>
      </c>
      <c r="J496" s="39">
        <v>44347</v>
      </c>
      <c r="K496" s="24">
        <v>15</v>
      </c>
      <c r="L496" s="24">
        <v>4315</v>
      </c>
      <c r="M496" s="24"/>
    </row>
    <row r="497" spans="1:13" s="48" customFormat="1" outlineLevel="2">
      <c r="A497" s="39" t="s">
        <v>239</v>
      </c>
      <c r="B497" s="40" t="s">
        <v>43</v>
      </c>
      <c r="C497" s="41" t="s">
        <v>250</v>
      </c>
      <c r="D497" s="40" t="s">
        <v>251</v>
      </c>
      <c r="E497" s="24">
        <v>4950000</v>
      </c>
      <c r="F497" s="39">
        <v>44215</v>
      </c>
      <c r="G497" s="24">
        <v>4702500</v>
      </c>
      <c r="H497" s="23">
        <v>5.0000000000000001E-3</v>
      </c>
      <c r="I497" s="39">
        <v>44317</v>
      </c>
      <c r="J497" s="39">
        <v>44332</v>
      </c>
      <c r="K497" s="24">
        <v>16</v>
      </c>
      <c r="L497" s="24">
        <v>1031</v>
      </c>
      <c r="M497" s="24">
        <v>4620000</v>
      </c>
    </row>
    <row r="498" spans="1:13" s="48" customFormat="1" outlineLevel="2">
      <c r="A498" s="39" t="s">
        <v>239</v>
      </c>
      <c r="B498" s="40" t="s">
        <v>43</v>
      </c>
      <c r="C498" s="41" t="s">
        <v>250</v>
      </c>
      <c r="D498" s="40"/>
      <c r="E498" s="24"/>
      <c r="F498" s="39"/>
      <c r="G498" s="24">
        <v>4620000</v>
      </c>
      <c r="H498" s="23">
        <v>5.0000000000000001E-3</v>
      </c>
      <c r="I498" s="39">
        <v>44333</v>
      </c>
      <c r="J498" s="39">
        <v>44347</v>
      </c>
      <c r="K498" s="24">
        <v>15</v>
      </c>
      <c r="L498" s="24">
        <v>949</v>
      </c>
      <c r="M498" s="24"/>
    </row>
    <row r="499" spans="1:13" s="48" customFormat="1" outlineLevel="2">
      <c r="A499" s="39" t="s">
        <v>239</v>
      </c>
      <c r="B499" s="40" t="s">
        <v>44</v>
      </c>
      <c r="C499" s="41" t="s">
        <v>242</v>
      </c>
      <c r="D499" s="40" t="s">
        <v>243</v>
      </c>
      <c r="E499" s="24">
        <v>10000000</v>
      </c>
      <c r="F499" s="39">
        <v>44244</v>
      </c>
      <c r="G499" s="24">
        <v>10000000</v>
      </c>
      <c r="H499" s="23">
        <v>5.0000000000000001E-3</v>
      </c>
      <c r="I499" s="39">
        <v>44317</v>
      </c>
      <c r="J499" s="39">
        <v>44347</v>
      </c>
      <c r="K499" s="24">
        <v>31</v>
      </c>
      <c r="L499" s="24">
        <v>4247</v>
      </c>
      <c r="M499" s="24">
        <v>10000000</v>
      </c>
    </row>
    <row r="500" spans="1:13" s="48" customFormat="1" outlineLevel="2">
      <c r="A500" s="39" t="s">
        <v>239</v>
      </c>
      <c r="B500" s="40" t="s">
        <v>47</v>
      </c>
      <c r="C500" s="41" t="s">
        <v>242</v>
      </c>
      <c r="D500" s="40" t="s">
        <v>243</v>
      </c>
      <c r="E500" s="24">
        <v>4000000</v>
      </c>
      <c r="F500" s="39">
        <v>44249</v>
      </c>
      <c r="G500" s="24">
        <v>4000000</v>
      </c>
      <c r="H500" s="23">
        <v>5.0000000000000001E-3</v>
      </c>
      <c r="I500" s="39">
        <v>44317</v>
      </c>
      <c r="J500" s="39">
        <v>44347</v>
      </c>
      <c r="K500" s="24">
        <v>31</v>
      </c>
      <c r="L500" s="24">
        <v>1699</v>
      </c>
      <c r="M500" s="24">
        <v>4000000</v>
      </c>
    </row>
    <row r="501" spans="1:13" s="48" customFormat="1" outlineLevel="2">
      <c r="A501" s="39" t="s">
        <v>239</v>
      </c>
      <c r="B501" s="40" t="s">
        <v>50</v>
      </c>
      <c r="C501" s="41" t="s">
        <v>306</v>
      </c>
      <c r="D501" s="40" t="s">
        <v>305</v>
      </c>
      <c r="E501" s="24">
        <v>23949000</v>
      </c>
      <c r="F501" s="39">
        <v>44251</v>
      </c>
      <c r="G501" s="24">
        <v>23949000</v>
      </c>
      <c r="H501" s="23">
        <v>5.0000000000000001E-3</v>
      </c>
      <c r="I501" s="39">
        <v>44317</v>
      </c>
      <c r="J501" s="39">
        <v>44347</v>
      </c>
      <c r="K501" s="24">
        <v>31</v>
      </c>
      <c r="L501" s="24">
        <v>10170</v>
      </c>
      <c r="M501" s="24">
        <v>23949000</v>
      </c>
    </row>
    <row r="502" spans="1:13" s="48" customFormat="1" outlineLevel="2">
      <c r="A502" s="39" t="s">
        <v>239</v>
      </c>
      <c r="B502" s="40" t="s">
        <v>51</v>
      </c>
      <c r="C502" s="41" t="s">
        <v>66</v>
      </c>
      <c r="D502" s="40" t="s">
        <v>67</v>
      </c>
      <c r="E502" s="24">
        <v>40000000</v>
      </c>
      <c r="F502" s="39">
        <v>44235</v>
      </c>
      <c r="G502" s="24">
        <v>40000000</v>
      </c>
      <c r="H502" s="23">
        <v>5.0000000000000001E-3</v>
      </c>
      <c r="I502" s="39">
        <v>44317</v>
      </c>
      <c r="J502" s="39">
        <v>44347</v>
      </c>
      <c r="K502" s="24">
        <v>31</v>
      </c>
      <c r="L502" s="24">
        <v>16986</v>
      </c>
      <c r="M502" s="24">
        <v>40000000</v>
      </c>
    </row>
    <row r="503" spans="1:13" s="48" customFormat="1" outlineLevel="2">
      <c r="A503" s="39" t="s">
        <v>239</v>
      </c>
      <c r="B503" s="40" t="s">
        <v>52</v>
      </c>
      <c r="C503" s="41" t="s">
        <v>244</v>
      </c>
      <c r="D503" s="40" t="s">
        <v>245</v>
      </c>
      <c r="E503" s="24">
        <v>64000000</v>
      </c>
      <c r="F503" s="39">
        <v>44228</v>
      </c>
      <c r="G503" s="24">
        <v>64000000</v>
      </c>
      <c r="H503" s="23">
        <v>5.0000000000000001E-3</v>
      </c>
      <c r="I503" s="39">
        <v>44317</v>
      </c>
      <c r="J503" s="39">
        <v>44347</v>
      </c>
      <c r="K503" s="24">
        <v>31</v>
      </c>
      <c r="L503" s="24">
        <v>27178</v>
      </c>
      <c r="M503" s="24">
        <v>64000000</v>
      </c>
    </row>
    <row r="504" spans="1:13" s="48" customFormat="1" outlineLevel="2">
      <c r="A504" s="39" t="s">
        <v>239</v>
      </c>
      <c r="B504" s="40" t="s">
        <v>53</v>
      </c>
      <c r="C504" s="41" t="s">
        <v>246</v>
      </c>
      <c r="D504" s="40" t="s">
        <v>247</v>
      </c>
      <c r="E504" s="24">
        <v>100000000</v>
      </c>
      <c r="F504" s="39">
        <v>44251</v>
      </c>
      <c r="G504" s="24">
        <v>100000000</v>
      </c>
      <c r="H504" s="23">
        <v>5.0000000000000001E-3</v>
      </c>
      <c r="I504" s="39">
        <v>44317</v>
      </c>
      <c r="J504" s="39">
        <v>44347</v>
      </c>
      <c r="K504" s="24">
        <v>31</v>
      </c>
      <c r="L504" s="24">
        <v>42466</v>
      </c>
      <c r="M504" s="24">
        <v>100000000</v>
      </c>
    </row>
    <row r="505" spans="1:13" s="48" customFormat="1" outlineLevel="2">
      <c r="A505" s="39" t="s">
        <v>239</v>
      </c>
      <c r="B505" s="40" t="s">
        <v>54</v>
      </c>
      <c r="C505" s="41" t="s">
        <v>248</v>
      </c>
      <c r="D505" s="40" t="s">
        <v>249</v>
      </c>
      <c r="E505" s="24">
        <v>47470000</v>
      </c>
      <c r="F505" s="39">
        <v>44013</v>
      </c>
      <c r="G505" s="24">
        <v>47470000</v>
      </c>
      <c r="H505" s="23">
        <v>5.0000000000000001E-3</v>
      </c>
      <c r="I505" s="39">
        <v>44317</v>
      </c>
      <c r="J505" s="39">
        <v>44347</v>
      </c>
      <c r="K505" s="24">
        <v>31</v>
      </c>
      <c r="L505" s="24">
        <v>20158</v>
      </c>
      <c r="M505" s="24">
        <v>47470000</v>
      </c>
    </row>
    <row r="506" spans="1:13" s="48" customFormat="1" outlineLevel="2">
      <c r="A506" s="39" t="s">
        <v>239</v>
      </c>
      <c r="B506" s="40" t="s">
        <v>57</v>
      </c>
      <c r="C506" s="41" t="s">
        <v>246</v>
      </c>
      <c r="D506" s="40" t="s">
        <v>247</v>
      </c>
      <c r="E506" s="24">
        <v>93000000</v>
      </c>
      <c r="F506" s="39">
        <v>44251</v>
      </c>
      <c r="G506" s="24">
        <v>93000000</v>
      </c>
      <c r="H506" s="23">
        <v>5.0000000000000001E-3</v>
      </c>
      <c r="I506" s="39">
        <v>44317</v>
      </c>
      <c r="J506" s="39">
        <v>44347</v>
      </c>
      <c r="K506" s="24">
        <v>31</v>
      </c>
      <c r="L506" s="24">
        <v>39493</v>
      </c>
      <c r="M506" s="24">
        <v>93000000</v>
      </c>
    </row>
    <row r="507" spans="1:13" s="48" customFormat="1" outlineLevel="2">
      <c r="A507" s="39" t="s">
        <v>239</v>
      </c>
      <c r="B507" s="40" t="s">
        <v>99</v>
      </c>
      <c r="C507" s="41" t="s">
        <v>95</v>
      </c>
      <c r="D507" s="40" t="s">
        <v>96</v>
      </c>
      <c r="E507" s="24">
        <v>4840000</v>
      </c>
      <c r="F507" s="39">
        <v>44235</v>
      </c>
      <c r="G507" s="24">
        <v>4840000</v>
      </c>
      <c r="H507" s="23">
        <v>5.0000000000000001E-3</v>
      </c>
      <c r="I507" s="39">
        <v>44317</v>
      </c>
      <c r="J507" s="39">
        <v>44347</v>
      </c>
      <c r="K507" s="24">
        <v>31</v>
      </c>
      <c r="L507" s="24">
        <v>2055</v>
      </c>
      <c r="M507" s="24">
        <v>4840000</v>
      </c>
    </row>
    <row r="508" spans="1:13" s="48" customFormat="1" outlineLevel="2">
      <c r="A508" s="39" t="s">
        <v>239</v>
      </c>
      <c r="B508" s="40" t="s">
        <v>100</v>
      </c>
      <c r="C508" s="41" t="s">
        <v>130</v>
      </c>
      <c r="D508" s="40" t="s">
        <v>131</v>
      </c>
      <c r="E508" s="24">
        <v>10000000</v>
      </c>
      <c r="F508" s="39">
        <v>44284</v>
      </c>
      <c r="G508" s="24">
        <v>5000000</v>
      </c>
      <c r="H508" s="23">
        <v>5.0000000000000001E-3</v>
      </c>
      <c r="I508" s="39">
        <v>44317</v>
      </c>
      <c r="J508" s="39">
        <v>44347</v>
      </c>
      <c r="K508" s="24">
        <v>31</v>
      </c>
      <c r="L508" s="24">
        <v>2123</v>
      </c>
      <c r="M508" s="24">
        <v>5000000</v>
      </c>
    </row>
    <row r="509" spans="1:13" s="48" customFormat="1" outlineLevel="2">
      <c r="A509" s="39" t="s">
        <v>239</v>
      </c>
      <c r="B509" s="40" t="s">
        <v>101</v>
      </c>
      <c r="C509" s="41" t="s">
        <v>244</v>
      </c>
      <c r="D509" s="40" t="s">
        <v>245</v>
      </c>
      <c r="E509" s="24">
        <v>70000000</v>
      </c>
      <c r="F509" s="39">
        <v>44260</v>
      </c>
      <c r="G509" s="24">
        <v>70000000</v>
      </c>
      <c r="H509" s="23">
        <v>5.0000000000000001E-3</v>
      </c>
      <c r="I509" s="39">
        <v>44317</v>
      </c>
      <c r="J509" s="39">
        <v>44347</v>
      </c>
      <c r="K509" s="24">
        <v>31</v>
      </c>
      <c r="L509" s="24">
        <v>29726</v>
      </c>
      <c r="M509" s="24">
        <v>70000000</v>
      </c>
    </row>
    <row r="510" spans="1:13" s="48" customFormat="1" outlineLevel="2">
      <c r="A510" s="39" t="s">
        <v>239</v>
      </c>
      <c r="B510" s="40" t="s">
        <v>102</v>
      </c>
      <c r="C510" s="41" t="s">
        <v>125</v>
      </c>
      <c r="D510" s="40" t="s">
        <v>126</v>
      </c>
      <c r="E510" s="24">
        <v>5000000</v>
      </c>
      <c r="F510" s="39">
        <v>44259</v>
      </c>
      <c r="G510" s="24">
        <v>5000000</v>
      </c>
      <c r="H510" s="23">
        <v>5.0000000000000001E-3</v>
      </c>
      <c r="I510" s="39">
        <v>44317</v>
      </c>
      <c r="J510" s="39">
        <v>44347</v>
      </c>
      <c r="K510" s="24">
        <v>31</v>
      </c>
      <c r="L510" s="24">
        <v>2123</v>
      </c>
      <c r="M510" s="24">
        <v>5000000</v>
      </c>
    </row>
    <row r="511" spans="1:13" s="48" customFormat="1" outlineLevel="2">
      <c r="A511" s="39" t="s">
        <v>239</v>
      </c>
      <c r="B511" s="40" t="s">
        <v>103</v>
      </c>
      <c r="C511" s="41" t="s">
        <v>66</v>
      </c>
      <c r="D511" s="40" t="s">
        <v>67</v>
      </c>
      <c r="E511" s="24">
        <v>49780000</v>
      </c>
      <c r="F511" s="39">
        <v>44306</v>
      </c>
      <c r="G511" s="24">
        <v>49780000</v>
      </c>
      <c r="H511" s="23">
        <v>5.0000000000000001E-3</v>
      </c>
      <c r="I511" s="39">
        <v>44317</v>
      </c>
      <c r="J511" s="39">
        <v>44347</v>
      </c>
      <c r="K511" s="24">
        <v>31</v>
      </c>
      <c r="L511" s="24">
        <v>21139</v>
      </c>
      <c r="M511" s="24">
        <v>49780000</v>
      </c>
    </row>
    <row r="512" spans="1:13" s="48" customFormat="1" outlineLevel="2">
      <c r="A512" s="39" t="s">
        <v>239</v>
      </c>
      <c r="B512" s="40" t="s">
        <v>104</v>
      </c>
      <c r="C512" s="41" t="s">
        <v>244</v>
      </c>
      <c r="D512" s="40" t="s">
        <v>245</v>
      </c>
      <c r="E512" s="24">
        <v>39000000</v>
      </c>
      <c r="F512" s="39">
        <v>44295</v>
      </c>
      <c r="G512" s="24">
        <v>39000000</v>
      </c>
      <c r="H512" s="23">
        <v>5.0000000000000001E-3</v>
      </c>
      <c r="I512" s="39">
        <v>44317</v>
      </c>
      <c r="J512" s="39">
        <v>44347</v>
      </c>
      <c r="K512" s="24">
        <v>31</v>
      </c>
      <c r="L512" s="24">
        <v>16562</v>
      </c>
      <c r="M512" s="24">
        <v>39000000</v>
      </c>
    </row>
    <row r="513" spans="1:13" s="48" customFormat="1" outlineLevel="2">
      <c r="A513" s="39" t="s">
        <v>239</v>
      </c>
      <c r="B513" s="40" t="s">
        <v>105</v>
      </c>
      <c r="C513" s="41" t="s">
        <v>95</v>
      </c>
      <c r="D513" s="40" t="s">
        <v>96</v>
      </c>
      <c r="E513" s="24">
        <v>2600000</v>
      </c>
      <c r="F513" s="39">
        <v>44314</v>
      </c>
      <c r="G513" s="24">
        <v>2600000</v>
      </c>
      <c r="H513" s="23">
        <v>5.0000000000000001E-3</v>
      </c>
      <c r="I513" s="39">
        <v>44317</v>
      </c>
      <c r="J513" s="39">
        <v>44347</v>
      </c>
      <c r="K513" s="24">
        <v>31</v>
      </c>
      <c r="L513" s="24">
        <v>1104</v>
      </c>
      <c r="M513" s="24">
        <v>2600000</v>
      </c>
    </row>
    <row r="514" spans="1:13" s="48" customFormat="1" outlineLevel="2">
      <c r="A514" s="39" t="s">
        <v>239</v>
      </c>
      <c r="B514" s="40" t="s">
        <v>106</v>
      </c>
      <c r="C514" s="41" t="s">
        <v>339</v>
      </c>
      <c r="D514" s="40" t="s">
        <v>338</v>
      </c>
      <c r="E514" s="24">
        <v>1000000</v>
      </c>
      <c r="F514" s="39">
        <v>44292</v>
      </c>
      <c r="G514" s="24">
        <v>1000000</v>
      </c>
      <c r="H514" s="23">
        <v>5.0000000000000001E-3</v>
      </c>
      <c r="I514" s="39">
        <v>44317</v>
      </c>
      <c r="J514" s="39">
        <v>44347</v>
      </c>
      <c r="K514" s="24">
        <v>31</v>
      </c>
      <c r="L514" s="24">
        <v>425</v>
      </c>
      <c r="M514" s="24">
        <v>1000000</v>
      </c>
    </row>
    <row r="515" spans="1:13" s="48" customFormat="1" outlineLevel="2">
      <c r="A515" s="39" t="s">
        <v>239</v>
      </c>
      <c r="B515" s="40" t="s">
        <v>59</v>
      </c>
      <c r="C515" s="41" t="s">
        <v>240</v>
      </c>
      <c r="D515" s="40" t="s">
        <v>241</v>
      </c>
      <c r="E515" s="24">
        <v>6665394</v>
      </c>
      <c r="F515" s="39">
        <v>44029</v>
      </c>
      <c r="G515" s="24">
        <v>6665394</v>
      </c>
      <c r="H515" s="23">
        <v>5.0000000000000001E-3</v>
      </c>
      <c r="I515" s="39">
        <v>44317</v>
      </c>
      <c r="J515" s="39">
        <v>44347</v>
      </c>
      <c r="K515" s="24">
        <v>31</v>
      </c>
      <c r="L515" s="24">
        <v>2831</v>
      </c>
      <c r="M515" s="24">
        <v>6665394</v>
      </c>
    </row>
    <row r="516" spans="1:13" s="48" customFormat="1" outlineLevel="2">
      <c r="A516" s="39" t="s">
        <v>239</v>
      </c>
      <c r="B516" s="40" t="s">
        <v>136</v>
      </c>
      <c r="C516" s="41" t="s">
        <v>345</v>
      </c>
      <c r="D516" s="40" t="s">
        <v>344</v>
      </c>
      <c r="E516" s="24">
        <v>10000000</v>
      </c>
      <c r="F516" s="39">
        <v>44315</v>
      </c>
      <c r="G516" s="24">
        <v>10000000</v>
      </c>
      <c r="H516" s="23">
        <v>3.0000000000000001E-3</v>
      </c>
      <c r="I516" s="39">
        <v>44317</v>
      </c>
      <c r="J516" s="39">
        <v>44347</v>
      </c>
      <c r="K516" s="24">
        <v>31</v>
      </c>
      <c r="L516" s="24">
        <v>2548</v>
      </c>
      <c r="M516" s="24">
        <v>10000000</v>
      </c>
    </row>
    <row r="517" spans="1:13" s="48" customFormat="1" outlineLevel="2">
      <c r="A517" s="39" t="s">
        <v>239</v>
      </c>
      <c r="B517" s="40" t="s">
        <v>137</v>
      </c>
      <c r="C517" s="41" t="s">
        <v>244</v>
      </c>
      <c r="D517" s="40" t="s">
        <v>245</v>
      </c>
      <c r="E517" s="24">
        <v>67000000</v>
      </c>
      <c r="F517" s="39">
        <v>44321</v>
      </c>
      <c r="G517" s="24">
        <v>67000000</v>
      </c>
      <c r="H517" s="23">
        <v>5.0000000000000001E-3</v>
      </c>
      <c r="I517" s="39">
        <v>44321</v>
      </c>
      <c r="J517" s="39">
        <v>44347</v>
      </c>
      <c r="K517" s="24">
        <v>27</v>
      </c>
      <c r="L517" s="24">
        <v>24781</v>
      </c>
      <c r="M517" s="24">
        <v>67000000</v>
      </c>
    </row>
    <row r="518" spans="1:13" s="48" customFormat="1" outlineLevel="2">
      <c r="A518" s="39" t="s">
        <v>239</v>
      </c>
      <c r="B518" s="40" t="s">
        <v>138</v>
      </c>
      <c r="C518" s="41" t="s">
        <v>232</v>
      </c>
      <c r="D518" s="40" t="s">
        <v>233</v>
      </c>
      <c r="E518" s="24">
        <v>287705120</v>
      </c>
      <c r="F518" s="39">
        <v>44327</v>
      </c>
      <c r="G518" s="24">
        <v>287705120</v>
      </c>
      <c r="H518" s="23">
        <v>5.0000000000000001E-3</v>
      </c>
      <c r="I518" s="39">
        <v>44327</v>
      </c>
      <c r="J518" s="39">
        <v>44347</v>
      </c>
      <c r="K518" s="24">
        <v>21</v>
      </c>
      <c r="L518" s="24">
        <v>82764</v>
      </c>
      <c r="M518" s="24">
        <v>287705120</v>
      </c>
    </row>
    <row r="519" spans="1:13" s="48" customFormat="1" outlineLevel="2">
      <c r="A519" s="39" t="s">
        <v>239</v>
      </c>
      <c r="B519" s="40" t="s">
        <v>139</v>
      </c>
      <c r="C519" s="41" t="s">
        <v>367</v>
      </c>
      <c r="D519" s="40" t="s">
        <v>366</v>
      </c>
      <c r="E519" s="24">
        <v>14000000</v>
      </c>
      <c r="F519" s="39">
        <v>44336</v>
      </c>
      <c r="G519" s="24">
        <v>14000000</v>
      </c>
      <c r="H519" s="23">
        <v>5.0000000000000001E-3</v>
      </c>
      <c r="I519" s="39">
        <v>44336</v>
      </c>
      <c r="J519" s="39">
        <v>44347</v>
      </c>
      <c r="K519" s="24">
        <v>12</v>
      </c>
      <c r="L519" s="24">
        <v>2301</v>
      </c>
      <c r="M519" s="24">
        <v>14000000</v>
      </c>
    </row>
    <row r="520" spans="1:13" s="48" customFormat="1" outlineLevel="2">
      <c r="A520" s="39" t="s">
        <v>239</v>
      </c>
      <c r="B520" s="40" t="s">
        <v>62</v>
      </c>
      <c r="C520" s="41" t="s">
        <v>240</v>
      </c>
      <c r="D520" s="40" t="s">
        <v>241</v>
      </c>
      <c r="E520" s="24">
        <v>12334606</v>
      </c>
      <c r="F520" s="39">
        <v>44029</v>
      </c>
      <c r="G520" s="24">
        <v>12334606</v>
      </c>
      <c r="H520" s="23">
        <v>5.0000000000000001E-3</v>
      </c>
      <c r="I520" s="39">
        <v>44317</v>
      </c>
      <c r="J520" s="39">
        <v>44347</v>
      </c>
      <c r="K520" s="24">
        <v>31</v>
      </c>
      <c r="L520" s="24">
        <v>5238</v>
      </c>
      <c r="M520" s="24">
        <v>12334606</v>
      </c>
    </row>
    <row r="521" spans="1:13" s="48" customFormat="1" outlineLevel="2">
      <c r="A521" s="39" t="s">
        <v>239</v>
      </c>
      <c r="B521" s="40" t="s">
        <v>63</v>
      </c>
      <c r="C521" s="41" t="s">
        <v>252</v>
      </c>
      <c r="D521" s="40" t="s">
        <v>253</v>
      </c>
      <c r="E521" s="24">
        <v>131500000</v>
      </c>
      <c r="F521" s="39">
        <v>44089</v>
      </c>
      <c r="G521" s="24">
        <v>131500000</v>
      </c>
      <c r="H521" s="23">
        <v>5.0000000000000001E-3</v>
      </c>
      <c r="I521" s="39">
        <v>44317</v>
      </c>
      <c r="J521" s="39">
        <v>44347</v>
      </c>
      <c r="K521" s="24">
        <v>31</v>
      </c>
      <c r="L521" s="24">
        <v>55842</v>
      </c>
      <c r="M521" s="24">
        <v>131500000</v>
      </c>
    </row>
    <row r="522" spans="1:13" s="48" customFormat="1" outlineLevel="2">
      <c r="A522" s="39" t="s">
        <v>239</v>
      </c>
      <c r="B522" s="40" t="s">
        <v>64</v>
      </c>
      <c r="C522" s="41" t="s">
        <v>109</v>
      </c>
      <c r="D522" s="40" t="s">
        <v>110</v>
      </c>
      <c r="E522" s="24">
        <v>10400000</v>
      </c>
      <c r="F522" s="39">
        <v>44096</v>
      </c>
      <c r="G522" s="24">
        <v>10400000</v>
      </c>
      <c r="H522" s="23">
        <v>5.0000000000000001E-3</v>
      </c>
      <c r="I522" s="39">
        <v>44317</v>
      </c>
      <c r="J522" s="39">
        <v>44347</v>
      </c>
      <c r="K522" s="24">
        <v>31</v>
      </c>
      <c r="L522" s="24">
        <v>4416</v>
      </c>
      <c r="M522" s="24">
        <v>10400000</v>
      </c>
    </row>
    <row r="523" spans="1:13" s="48" customFormat="1" outlineLevel="2">
      <c r="A523" s="39" t="s">
        <v>239</v>
      </c>
      <c r="B523" s="40" t="s">
        <v>65</v>
      </c>
      <c r="C523" s="41" t="s">
        <v>242</v>
      </c>
      <c r="D523" s="40" t="s">
        <v>243</v>
      </c>
      <c r="E523" s="24">
        <v>10000000</v>
      </c>
      <c r="F523" s="39">
        <v>44139</v>
      </c>
      <c r="G523" s="24">
        <v>10000000</v>
      </c>
      <c r="H523" s="23">
        <v>5.0000000000000001E-3</v>
      </c>
      <c r="I523" s="39">
        <v>44317</v>
      </c>
      <c r="J523" s="39">
        <v>44347</v>
      </c>
      <c r="K523" s="24">
        <v>31</v>
      </c>
      <c r="L523" s="24">
        <v>4247</v>
      </c>
      <c r="M523" s="24">
        <v>10000000</v>
      </c>
    </row>
    <row r="524" spans="1:13" s="48" customFormat="1" outlineLevel="2">
      <c r="A524" s="39" t="s">
        <v>239</v>
      </c>
      <c r="B524" s="40" t="s">
        <v>68</v>
      </c>
      <c r="C524" s="41" t="s">
        <v>242</v>
      </c>
      <c r="D524" s="40" t="s">
        <v>243</v>
      </c>
      <c r="E524" s="24">
        <v>10000000</v>
      </c>
      <c r="F524" s="39">
        <v>44152</v>
      </c>
      <c r="G524" s="24">
        <v>10000000</v>
      </c>
      <c r="H524" s="23">
        <v>5.0000000000000001E-3</v>
      </c>
      <c r="I524" s="39">
        <v>44317</v>
      </c>
      <c r="J524" s="39">
        <v>44347</v>
      </c>
      <c r="K524" s="24">
        <v>31</v>
      </c>
      <c r="L524" s="24">
        <v>4247</v>
      </c>
      <c r="M524" s="24">
        <v>10000000</v>
      </c>
    </row>
    <row r="525" spans="1:13" s="48" customFormat="1" outlineLevel="1">
      <c r="A525" s="42" t="s">
        <v>254</v>
      </c>
      <c r="B525" s="43"/>
      <c r="C525" s="44"/>
      <c r="D525" s="43"/>
      <c r="E525" s="45">
        <v>1567934120</v>
      </c>
      <c r="F525" s="46"/>
      <c r="G525" s="45"/>
      <c r="H525" s="47"/>
      <c r="I525" s="46"/>
      <c r="J525" s="46"/>
      <c r="K525" s="45"/>
      <c r="L525" s="45">
        <v>614610</v>
      </c>
      <c r="M525" s="45">
        <v>1561104120</v>
      </c>
    </row>
    <row r="526" spans="1:13" s="48" customFormat="1" outlineLevel="2">
      <c r="A526" s="39" t="s">
        <v>255</v>
      </c>
      <c r="B526" s="40" t="s">
        <v>16</v>
      </c>
      <c r="C526" s="41" t="s">
        <v>20</v>
      </c>
      <c r="D526" s="40" t="s">
        <v>21</v>
      </c>
      <c r="E526" s="24">
        <v>330000000</v>
      </c>
      <c r="F526" s="39">
        <v>43915</v>
      </c>
      <c r="G526" s="24">
        <v>330000000</v>
      </c>
      <c r="H526" s="23">
        <v>5.0000000000000001E-3</v>
      </c>
      <c r="I526" s="39">
        <v>44317</v>
      </c>
      <c r="J526" s="39">
        <v>44347</v>
      </c>
      <c r="K526" s="24">
        <v>31</v>
      </c>
      <c r="L526" s="24">
        <v>140137</v>
      </c>
      <c r="M526" s="24">
        <v>330000000</v>
      </c>
    </row>
    <row r="527" spans="1:13" s="48" customFormat="1" outlineLevel="2">
      <c r="A527" s="39" t="s">
        <v>255</v>
      </c>
      <c r="B527" s="40" t="s">
        <v>39</v>
      </c>
      <c r="C527" s="41" t="s">
        <v>20</v>
      </c>
      <c r="D527" s="40" t="s">
        <v>21</v>
      </c>
      <c r="E527" s="24">
        <v>93600000</v>
      </c>
      <c r="F527" s="39">
        <v>43955</v>
      </c>
      <c r="G527" s="24">
        <v>93600000</v>
      </c>
      <c r="H527" s="23">
        <v>5.0000000000000001E-3</v>
      </c>
      <c r="I527" s="39">
        <v>44317</v>
      </c>
      <c r="J527" s="39">
        <v>44347</v>
      </c>
      <c r="K527" s="24">
        <v>31</v>
      </c>
      <c r="L527" s="24">
        <v>39748</v>
      </c>
      <c r="M527" s="24">
        <v>93600000</v>
      </c>
    </row>
    <row r="528" spans="1:13" s="48" customFormat="1" outlineLevel="2">
      <c r="A528" s="39" t="s">
        <v>255</v>
      </c>
      <c r="B528" s="40" t="s">
        <v>54</v>
      </c>
      <c r="C528" s="41" t="s">
        <v>20</v>
      </c>
      <c r="D528" s="40" t="s">
        <v>21</v>
      </c>
      <c r="E528" s="24">
        <v>576400000</v>
      </c>
      <c r="F528" s="39">
        <v>44013</v>
      </c>
      <c r="G528" s="24">
        <v>576400000</v>
      </c>
      <c r="H528" s="23">
        <v>5.0000000000000001E-3</v>
      </c>
      <c r="I528" s="39">
        <v>44317</v>
      </c>
      <c r="J528" s="39">
        <v>44347</v>
      </c>
      <c r="K528" s="24">
        <v>31</v>
      </c>
      <c r="L528" s="24">
        <v>244773</v>
      </c>
      <c r="M528" s="24">
        <v>576400000</v>
      </c>
    </row>
    <row r="529" spans="1:13" s="48" customFormat="1" outlineLevel="1">
      <c r="A529" s="42" t="s">
        <v>256</v>
      </c>
      <c r="B529" s="43"/>
      <c r="C529" s="44"/>
      <c r="D529" s="43"/>
      <c r="E529" s="45">
        <v>1000000000</v>
      </c>
      <c r="F529" s="46"/>
      <c r="G529" s="45"/>
      <c r="H529" s="47"/>
      <c r="I529" s="46"/>
      <c r="J529" s="46"/>
      <c r="K529" s="45"/>
      <c r="L529" s="45">
        <v>424658</v>
      </c>
      <c r="M529" s="45">
        <v>1000000000</v>
      </c>
    </row>
    <row r="530" spans="1:13" s="48" customFormat="1" outlineLevel="2">
      <c r="A530" s="39" t="s">
        <v>257</v>
      </c>
      <c r="B530" s="40" t="s">
        <v>16</v>
      </c>
      <c r="C530" s="41" t="s">
        <v>262</v>
      </c>
      <c r="D530" s="40" t="s">
        <v>259</v>
      </c>
      <c r="E530" s="24">
        <v>3400000</v>
      </c>
      <c r="F530" s="39">
        <v>43927</v>
      </c>
      <c r="G530" s="24">
        <v>3400000</v>
      </c>
      <c r="H530" s="23">
        <v>5.0000000000000001E-3</v>
      </c>
      <c r="I530" s="39">
        <v>44317</v>
      </c>
      <c r="J530" s="39">
        <v>44347</v>
      </c>
      <c r="K530" s="24">
        <v>31</v>
      </c>
      <c r="L530" s="24">
        <v>1444</v>
      </c>
      <c r="M530" s="24">
        <v>3400000</v>
      </c>
    </row>
    <row r="531" spans="1:13" s="48" customFormat="1" outlineLevel="2">
      <c r="A531" s="39" t="s">
        <v>257</v>
      </c>
      <c r="B531" s="40" t="s">
        <v>19</v>
      </c>
      <c r="C531" s="41" t="s">
        <v>260</v>
      </c>
      <c r="D531" s="40" t="s">
        <v>261</v>
      </c>
      <c r="E531" s="24">
        <v>620000</v>
      </c>
      <c r="F531" s="39">
        <v>44148</v>
      </c>
      <c r="G531" s="24">
        <v>520000</v>
      </c>
      <c r="H531" s="23">
        <v>5.0000000000000001E-3</v>
      </c>
      <c r="I531" s="39">
        <v>44317</v>
      </c>
      <c r="J531" s="39">
        <v>44332</v>
      </c>
      <c r="K531" s="24">
        <v>16</v>
      </c>
      <c r="L531" s="24">
        <v>114</v>
      </c>
      <c r="M531" s="24">
        <v>510000</v>
      </c>
    </row>
    <row r="532" spans="1:13" s="48" customFormat="1" outlineLevel="2">
      <c r="A532" s="39" t="s">
        <v>257</v>
      </c>
      <c r="B532" s="40" t="s">
        <v>19</v>
      </c>
      <c r="C532" s="41" t="s">
        <v>260</v>
      </c>
      <c r="D532" s="40"/>
      <c r="E532" s="24"/>
      <c r="F532" s="39"/>
      <c r="G532" s="24">
        <v>510000</v>
      </c>
      <c r="H532" s="23">
        <v>5.0000000000000001E-3</v>
      </c>
      <c r="I532" s="39">
        <v>44333</v>
      </c>
      <c r="J532" s="39">
        <v>44347</v>
      </c>
      <c r="K532" s="24">
        <v>15</v>
      </c>
      <c r="L532" s="24">
        <v>105</v>
      </c>
      <c r="M532" s="24"/>
    </row>
    <row r="533" spans="1:13" s="48" customFormat="1" outlineLevel="2">
      <c r="A533" s="39" t="s">
        <v>257</v>
      </c>
      <c r="B533" s="40" t="s">
        <v>22</v>
      </c>
      <c r="C533" s="41" t="s">
        <v>260</v>
      </c>
      <c r="D533" s="40" t="s">
        <v>261</v>
      </c>
      <c r="E533" s="24">
        <v>3910000</v>
      </c>
      <c r="F533" s="39">
        <v>44165</v>
      </c>
      <c r="G533" s="24">
        <v>3536000</v>
      </c>
      <c r="H533" s="23">
        <v>5.0000000000000001E-3</v>
      </c>
      <c r="I533" s="39">
        <v>44317</v>
      </c>
      <c r="J533" s="39">
        <v>44332</v>
      </c>
      <c r="K533" s="24">
        <v>16</v>
      </c>
      <c r="L533" s="24">
        <v>775</v>
      </c>
      <c r="M533" s="24">
        <v>3468000</v>
      </c>
    </row>
    <row r="534" spans="1:13" s="48" customFormat="1" outlineLevel="2">
      <c r="A534" s="39" t="s">
        <v>257</v>
      </c>
      <c r="B534" s="40" t="s">
        <v>22</v>
      </c>
      <c r="C534" s="41" t="s">
        <v>260</v>
      </c>
      <c r="D534" s="40"/>
      <c r="E534" s="24"/>
      <c r="F534" s="39"/>
      <c r="G534" s="24">
        <v>3468000</v>
      </c>
      <c r="H534" s="23">
        <v>5.0000000000000001E-3</v>
      </c>
      <c r="I534" s="39">
        <v>44333</v>
      </c>
      <c r="J534" s="39">
        <v>44347</v>
      </c>
      <c r="K534" s="24">
        <v>15</v>
      </c>
      <c r="L534" s="24">
        <v>713</v>
      </c>
      <c r="M534" s="24"/>
    </row>
    <row r="535" spans="1:13" s="48" customFormat="1" outlineLevel="2">
      <c r="A535" s="39" t="s">
        <v>257</v>
      </c>
      <c r="B535" s="40" t="s">
        <v>25</v>
      </c>
      <c r="C535" s="41" t="s">
        <v>260</v>
      </c>
      <c r="D535" s="40" t="s">
        <v>261</v>
      </c>
      <c r="E535" s="24">
        <v>4030000</v>
      </c>
      <c r="F535" s="39">
        <v>44165</v>
      </c>
      <c r="G535" s="24">
        <v>3640000</v>
      </c>
      <c r="H535" s="23">
        <v>5.0000000000000001E-3</v>
      </c>
      <c r="I535" s="39">
        <v>44317</v>
      </c>
      <c r="J535" s="39">
        <v>44332</v>
      </c>
      <c r="K535" s="24">
        <v>16</v>
      </c>
      <c r="L535" s="24">
        <v>798</v>
      </c>
      <c r="M535" s="24">
        <v>3570000</v>
      </c>
    </row>
    <row r="536" spans="1:13" s="48" customFormat="1" outlineLevel="2">
      <c r="A536" s="39" t="s">
        <v>257</v>
      </c>
      <c r="B536" s="40" t="s">
        <v>25</v>
      </c>
      <c r="C536" s="41" t="s">
        <v>260</v>
      </c>
      <c r="D536" s="40"/>
      <c r="E536" s="24"/>
      <c r="F536" s="39"/>
      <c r="G536" s="24">
        <v>3570000</v>
      </c>
      <c r="H536" s="23">
        <v>5.0000000000000001E-3</v>
      </c>
      <c r="I536" s="39">
        <v>44333</v>
      </c>
      <c r="J536" s="39">
        <v>44347</v>
      </c>
      <c r="K536" s="24">
        <v>15</v>
      </c>
      <c r="L536" s="24">
        <v>734</v>
      </c>
      <c r="M536" s="24"/>
    </row>
    <row r="537" spans="1:13" s="48" customFormat="1" outlineLevel="2">
      <c r="A537" s="39" t="s">
        <v>257</v>
      </c>
      <c r="B537" s="40" t="s">
        <v>26</v>
      </c>
      <c r="C537" s="41" t="s">
        <v>260</v>
      </c>
      <c r="D537" s="40" t="s">
        <v>261</v>
      </c>
      <c r="E537" s="24">
        <v>570000</v>
      </c>
      <c r="F537" s="39">
        <v>44155</v>
      </c>
      <c r="G537" s="24">
        <v>570000</v>
      </c>
      <c r="H537" s="23">
        <v>5.0000000000000001E-3</v>
      </c>
      <c r="I537" s="39">
        <v>44317</v>
      </c>
      <c r="J537" s="39">
        <v>44347</v>
      </c>
      <c r="K537" s="24">
        <v>31</v>
      </c>
      <c r="L537" s="24">
        <v>242</v>
      </c>
      <c r="M537" s="24">
        <v>570000</v>
      </c>
    </row>
    <row r="538" spans="1:13" s="48" customFormat="1" outlineLevel="2">
      <c r="A538" s="39" t="s">
        <v>257</v>
      </c>
      <c r="B538" s="40" t="s">
        <v>29</v>
      </c>
      <c r="C538" s="41" t="s">
        <v>260</v>
      </c>
      <c r="D538" s="40" t="s">
        <v>261</v>
      </c>
      <c r="E538" s="24">
        <v>6000000</v>
      </c>
      <c r="F538" s="39">
        <v>44155</v>
      </c>
      <c r="G538" s="24">
        <v>6000000</v>
      </c>
      <c r="H538" s="23">
        <v>5.0000000000000001E-3</v>
      </c>
      <c r="I538" s="39">
        <v>44317</v>
      </c>
      <c r="J538" s="39">
        <v>44347</v>
      </c>
      <c r="K538" s="24">
        <v>31</v>
      </c>
      <c r="L538" s="24">
        <v>2548</v>
      </c>
      <c r="M538" s="24">
        <v>6000000</v>
      </c>
    </row>
    <row r="539" spans="1:13" s="48" customFormat="1" outlineLevel="2">
      <c r="A539" s="39" t="s">
        <v>257</v>
      </c>
      <c r="B539" s="40" t="s">
        <v>32</v>
      </c>
      <c r="C539" s="41" t="s">
        <v>260</v>
      </c>
      <c r="D539" s="40" t="s">
        <v>261</v>
      </c>
      <c r="E539" s="24">
        <v>270000</v>
      </c>
      <c r="F539" s="39">
        <v>44181</v>
      </c>
      <c r="G539" s="24">
        <v>208000</v>
      </c>
      <c r="H539" s="23">
        <v>5.0000000000000001E-3</v>
      </c>
      <c r="I539" s="39">
        <v>44317</v>
      </c>
      <c r="J539" s="39">
        <v>44332</v>
      </c>
      <c r="K539" s="24">
        <v>16</v>
      </c>
      <c r="L539" s="24">
        <v>46</v>
      </c>
      <c r="M539" s="24">
        <v>204000</v>
      </c>
    </row>
    <row r="540" spans="1:13" s="48" customFormat="1" outlineLevel="2">
      <c r="A540" s="39" t="s">
        <v>257</v>
      </c>
      <c r="B540" s="40" t="s">
        <v>32</v>
      </c>
      <c r="C540" s="41" t="s">
        <v>260</v>
      </c>
      <c r="D540" s="40"/>
      <c r="E540" s="24"/>
      <c r="F540" s="39"/>
      <c r="G540" s="24">
        <v>204000</v>
      </c>
      <c r="H540" s="23">
        <v>5.0000000000000001E-3</v>
      </c>
      <c r="I540" s="39">
        <v>44333</v>
      </c>
      <c r="J540" s="39">
        <v>44347</v>
      </c>
      <c r="K540" s="24">
        <v>15</v>
      </c>
      <c r="L540" s="24">
        <v>42</v>
      </c>
      <c r="M540" s="24"/>
    </row>
    <row r="541" spans="1:13" s="48" customFormat="1" outlineLevel="2">
      <c r="A541" s="39" t="s">
        <v>257</v>
      </c>
      <c r="B541" s="40" t="s">
        <v>33</v>
      </c>
      <c r="C541" s="41" t="s">
        <v>260</v>
      </c>
      <c r="D541" s="40" t="s">
        <v>261</v>
      </c>
      <c r="E541" s="24">
        <v>2400000</v>
      </c>
      <c r="F541" s="39">
        <v>44181</v>
      </c>
      <c r="G541" s="24">
        <v>2400000</v>
      </c>
      <c r="H541" s="23">
        <v>5.0000000000000001E-3</v>
      </c>
      <c r="I541" s="39">
        <v>44317</v>
      </c>
      <c r="J541" s="39">
        <v>44347</v>
      </c>
      <c r="K541" s="24">
        <v>31</v>
      </c>
      <c r="L541" s="24">
        <v>1019</v>
      </c>
      <c r="M541" s="24">
        <v>2400000</v>
      </c>
    </row>
    <row r="542" spans="1:13" s="48" customFormat="1" outlineLevel="2">
      <c r="A542" s="39" t="s">
        <v>257</v>
      </c>
      <c r="B542" s="40" t="s">
        <v>34</v>
      </c>
      <c r="C542" s="41" t="s">
        <v>260</v>
      </c>
      <c r="D542" s="40" t="s">
        <v>261</v>
      </c>
      <c r="E542" s="24">
        <v>11000000</v>
      </c>
      <c r="F542" s="39">
        <v>44181</v>
      </c>
      <c r="G542" s="24">
        <v>11000000</v>
      </c>
      <c r="H542" s="23">
        <v>5.0000000000000001E-3</v>
      </c>
      <c r="I542" s="39">
        <v>44317</v>
      </c>
      <c r="J542" s="39">
        <v>44347</v>
      </c>
      <c r="K542" s="24">
        <v>31</v>
      </c>
      <c r="L542" s="24">
        <v>4671</v>
      </c>
      <c r="M542" s="24">
        <v>11000000</v>
      </c>
    </row>
    <row r="543" spans="1:13" s="48" customFormat="1" outlineLevel="2">
      <c r="A543" s="39" t="s">
        <v>257</v>
      </c>
      <c r="B543" s="40" t="s">
        <v>35</v>
      </c>
      <c r="C543" s="41" t="s">
        <v>260</v>
      </c>
      <c r="D543" s="40" t="s">
        <v>261</v>
      </c>
      <c r="E543" s="24">
        <v>220000</v>
      </c>
      <c r="F543" s="39">
        <v>44215</v>
      </c>
      <c r="G543" s="24">
        <v>208000</v>
      </c>
      <c r="H543" s="23">
        <v>5.0000000000000001E-3</v>
      </c>
      <c r="I543" s="39">
        <v>44317</v>
      </c>
      <c r="J543" s="39">
        <v>44332</v>
      </c>
      <c r="K543" s="24">
        <v>16</v>
      </c>
      <c r="L543" s="24">
        <v>46</v>
      </c>
      <c r="M543" s="24">
        <v>204000</v>
      </c>
    </row>
    <row r="544" spans="1:13" s="48" customFormat="1" outlineLevel="2">
      <c r="A544" s="39" t="s">
        <v>257</v>
      </c>
      <c r="B544" s="40" t="s">
        <v>35</v>
      </c>
      <c r="C544" s="41" t="s">
        <v>260</v>
      </c>
      <c r="D544" s="40"/>
      <c r="E544" s="24"/>
      <c r="F544" s="39"/>
      <c r="G544" s="24">
        <v>204000</v>
      </c>
      <c r="H544" s="23">
        <v>5.0000000000000001E-3</v>
      </c>
      <c r="I544" s="39">
        <v>44333</v>
      </c>
      <c r="J544" s="39">
        <v>44347</v>
      </c>
      <c r="K544" s="24">
        <v>15</v>
      </c>
      <c r="L544" s="24">
        <v>42</v>
      </c>
      <c r="M544" s="24"/>
    </row>
    <row r="545" spans="1:13" s="48" customFormat="1" outlineLevel="2">
      <c r="A545" s="39" t="s">
        <v>257</v>
      </c>
      <c r="B545" s="40" t="s">
        <v>36</v>
      </c>
      <c r="C545" s="41" t="s">
        <v>260</v>
      </c>
      <c r="D545" s="40" t="s">
        <v>261</v>
      </c>
      <c r="E545" s="24">
        <v>1000000</v>
      </c>
      <c r="F545" s="39">
        <v>44215</v>
      </c>
      <c r="G545" s="24">
        <v>936000</v>
      </c>
      <c r="H545" s="23">
        <v>5.0000000000000001E-3</v>
      </c>
      <c r="I545" s="39">
        <v>44317</v>
      </c>
      <c r="J545" s="39">
        <v>44332</v>
      </c>
      <c r="K545" s="24">
        <v>16</v>
      </c>
      <c r="L545" s="24">
        <v>205</v>
      </c>
      <c r="M545" s="24">
        <v>918000</v>
      </c>
    </row>
    <row r="546" spans="1:13" s="48" customFormat="1" outlineLevel="2">
      <c r="A546" s="39" t="s">
        <v>257</v>
      </c>
      <c r="B546" s="40" t="s">
        <v>36</v>
      </c>
      <c r="C546" s="41" t="s">
        <v>260</v>
      </c>
      <c r="D546" s="40"/>
      <c r="E546" s="24"/>
      <c r="F546" s="39"/>
      <c r="G546" s="24">
        <v>918000</v>
      </c>
      <c r="H546" s="23">
        <v>5.0000000000000001E-3</v>
      </c>
      <c r="I546" s="39">
        <v>44333</v>
      </c>
      <c r="J546" s="39">
        <v>44347</v>
      </c>
      <c r="K546" s="24">
        <v>15</v>
      </c>
      <c r="L546" s="24">
        <v>189</v>
      </c>
      <c r="M546" s="24"/>
    </row>
    <row r="547" spans="1:13" s="48" customFormat="1" outlineLevel="2">
      <c r="A547" s="39" t="s">
        <v>257</v>
      </c>
      <c r="B547" s="40" t="s">
        <v>39</v>
      </c>
      <c r="C547" s="41" t="s">
        <v>262</v>
      </c>
      <c r="D547" s="40" t="s">
        <v>259</v>
      </c>
      <c r="E547" s="24">
        <v>70440000</v>
      </c>
      <c r="F547" s="39">
        <v>43951</v>
      </c>
      <c r="G547" s="24">
        <v>70440000</v>
      </c>
      <c r="H547" s="23">
        <v>5.0000000000000001E-3</v>
      </c>
      <c r="I547" s="39">
        <v>44317</v>
      </c>
      <c r="J547" s="39">
        <v>44347</v>
      </c>
      <c r="K547" s="24">
        <v>31</v>
      </c>
      <c r="L547" s="24">
        <v>29913</v>
      </c>
      <c r="M547" s="24">
        <v>70440000</v>
      </c>
    </row>
    <row r="548" spans="1:13" s="48" customFormat="1" outlineLevel="2">
      <c r="A548" s="39" t="s">
        <v>257</v>
      </c>
      <c r="B548" s="40" t="s">
        <v>40</v>
      </c>
      <c r="C548" s="41" t="s">
        <v>262</v>
      </c>
      <c r="D548" s="40" t="s">
        <v>259</v>
      </c>
      <c r="E548" s="24">
        <v>54250000</v>
      </c>
      <c r="F548" s="39">
        <v>44228</v>
      </c>
      <c r="G548" s="24">
        <v>54250000</v>
      </c>
      <c r="H548" s="23">
        <v>5.0000000000000001E-3</v>
      </c>
      <c r="I548" s="39">
        <v>44317</v>
      </c>
      <c r="J548" s="39">
        <v>44347</v>
      </c>
      <c r="K548" s="24">
        <v>31</v>
      </c>
      <c r="L548" s="24">
        <v>23038</v>
      </c>
      <c r="M548" s="24">
        <v>54250000</v>
      </c>
    </row>
    <row r="549" spans="1:13" s="48" customFormat="1" outlineLevel="2">
      <c r="A549" s="39" t="s">
        <v>257</v>
      </c>
      <c r="B549" s="40" t="s">
        <v>41</v>
      </c>
      <c r="C549" s="41" t="s">
        <v>304</v>
      </c>
      <c r="D549" s="40" t="s">
        <v>303</v>
      </c>
      <c r="E549" s="24">
        <v>40000000</v>
      </c>
      <c r="F549" s="39">
        <v>44229</v>
      </c>
      <c r="G549" s="24">
        <v>40000000</v>
      </c>
      <c r="H549" s="23">
        <v>5.0000000000000001E-3</v>
      </c>
      <c r="I549" s="39">
        <v>44317</v>
      </c>
      <c r="J549" s="39">
        <v>44347</v>
      </c>
      <c r="K549" s="24">
        <v>31</v>
      </c>
      <c r="L549" s="24">
        <v>16986</v>
      </c>
      <c r="M549" s="24">
        <v>40000000</v>
      </c>
    </row>
    <row r="550" spans="1:13" s="48" customFormat="1" outlineLevel="2">
      <c r="A550" s="39" t="s">
        <v>257</v>
      </c>
      <c r="B550" s="40" t="s">
        <v>42</v>
      </c>
      <c r="C550" s="41" t="s">
        <v>304</v>
      </c>
      <c r="D550" s="40" t="s">
        <v>303</v>
      </c>
      <c r="E550" s="24">
        <v>38000000</v>
      </c>
      <c r="F550" s="39">
        <v>44245</v>
      </c>
      <c r="G550" s="24">
        <v>38000000</v>
      </c>
      <c r="H550" s="23">
        <v>5.0000000000000001E-3</v>
      </c>
      <c r="I550" s="39">
        <v>44317</v>
      </c>
      <c r="J550" s="39">
        <v>44347</v>
      </c>
      <c r="K550" s="24">
        <v>31</v>
      </c>
      <c r="L550" s="24">
        <v>16137</v>
      </c>
      <c r="M550" s="24">
        <v>38000000</v>
      </c>
    </row>
    <row r="551" spans="1:13" s="48" customFormat="1" outlineLevel="2">
      <c r="A551" s="39" t="s">
        <v>257</v>
      </c>
      <c r="B551" s="40" t="s">
        <v>43</v>
      </c>
      <c r="C551" s="41" t="s">
        <v>89</v>
      </c>
      <c r="D551" s="40" t="s">
        <v>90</v>
      </c>
      <c r="E551" s="24">
        <v>66000000</v>
      </c>
      <c r="F551" s="39">
        <v>44270</v>
      </c>
      <c r="G551" s="24">
        <v>66000000</v>
      </c>
      <c r="H551" s="23">
        <v>5.0000000000000001E-3</v>
      </c>
      <c r="I551" s="39">
        <v>44317</v>
      </c>
      <c r="J551" s="39">
        <v>44347</v>
      </c>
      <c r="K551" s="24">
        <v>31</v>
      </c>
      <c r="L551" s="24">
        <v>28027</v>
      </c>
      <c r="M551" s="24">
        <v>66000000</v>
      </c>
    </row>
    <row r="552" spans="1:13" s="48" customFormat="1" outlineLevel="2">
      <c r="A552" s="39" t="s">
        <v>257</v>
      </c>
      <c r="B552" s="40" t="s">
        <v>44</v>
      </c>
      <c r="C552" s="41" t="s">
        <v>260</v>
      </c>
      <c r="D552" s="40" t="s">
        <v>261</v>
      </c>
      <c r="E552" s="24">
        <v>10800000</v>
      </c>
      <c r="F552" s="39">
        <v>44273</v>
      </c>
      <c r="G552" s="24">
        <v>10800000</v>
      </c>
      <c r="H552" s="23">
        <v>5.0000000000000001E-3</v>
      </c>
      <c r="I552" s="39">
        <v>44317</v>
      </c>
      <c r="J552" s="39">
        <v>44347</v>
      </c>
      <c r="K552" s="24">
        <v>31</v>
      </c>
      <c r="L552" s="24">
        <v>4586</v>
      </c>
      <c r="M552" s="24">
        <v>10800000</v>
      </c>
    </row>
    <row r="553" spans="1:13" s="48" customFormat="1" outlineLevel="2">
      <c r="A553" s="39" t="s">
        <v>257</v>
      </c>
      <c r="B553" s="40" t="s">
        <v>47</v>
      </c>
      <c r="C553" s="41" t="s">
        <v>260</v>
      </c>
      <c r="D553" s="40" t="s">
        <v>261</v>
      </c>
      <c r="E553" s="24">
        <v>1720000</v>
      </c>
      <c r="F553" s="39">
        <v>44285</v>
      </c>
      <c r="G553" s="24">
        <v>1720000</v>
      </c>
      <c r="H553" s="23">
        <v>5.0000000000000001E-3</v>
      </c>
      <c r="I553" s="39">
        <v>44317</v>
      </c>
      <c r="J553" s="39">
        <v>44347</v>
      </c>
      <c r="K553" s="24">
        <v>31</v>
      </c>
      <c r="L553" s="24">
        <v>730</v>
      </c>
      <c r="M553" s="24">
        <v>1720000</v>
      </c>
    </row>
    <row r="554" spans="1:13" s="48" customFormat="1" outlineLevel="2">
      <c r="A554" s="39" t="s">
        <v>257</v>
      </c>
      <c r="B554" s="40" t="s">
        <v>50</v>
      </c>
      <c r="C554" s="41" t="s">
        <v>324</v>
      </c>
      <c r="D554" s="40" t="s">
        <v>323</v>
      </c>
      <c r="E554" s="24">
        <v>28800000</v>
      </c>
      <c r="F554" s="39">
        <v>44271</v>
      </c>
      <c r="G554" s="24">
        <v>28560000</v>
      </c>
      <c r="H554" s="23">
        <v>5.0000000000000001E-3</v>
      </c>
      <c r="I554" s="39">
        <v>44317</v>
      </c>
      <c r="J554" s="39">
        <v>44332</v>
      </c>
      <c r="K554" s="24">
        <v>16</v>
      </c>
      <c r="L554" s="24">
        <v>6260</v>
      </c>
      <c r="M554" s="24">
        <v>28320000</v>
      </c>
    </row>
    <row r="555" spans="1:13" s="48" customFormat="1" outlineLevel="2">
      <c r="A555" s="39" t="s">
        <v>257</v>
      </c>
      <c r="B555" s="40" t="s">
        <v>50</v>
      </c>
      <c r="C555" s="41" t="s">
        <v>324</v>
      </c>
      <c r="D555" s="40"/>
      <c r="E555" s="24"/>
      <c r="F555" s="39"/>
      <c r="G555" s="24">
        <v>28320000</v>
      </c>
      <c r="H555" s="23">
        <v>5.0000000000000001E-3</v>
      </c>
      <c r="I555" s="39">
        <v>44333</v>
      </c>
      <c r="J555" s="39">
        <v>44347</v>
      </c>
      <c r="K555" s="24">
        <v>15</v>
      </c>
      <c r="L555" s="24">
        <v>5819</v>
      </c>
      <c r="M555" s="24"/>
    </row>
    <row r="556" spans="1:13" s="48" customFormat="1" outlineLevel="2">
      <c r="A556" s="39" t="s">
        <v>257</v>
      </c>
      <c r="B556" s="40" t="s">
        <v>51</v>
      </c>
      <c r="C556" s="41" t="s">
        <v>324</v>
      </c>
      <c r="D556" s="40" t="s">
        <v>323</v>
      </c>
      <c r="E556" s="24">
        <v>45270000</v>
      </c>
      <c r="F556" s="39">
        <v>44271</v>
      </c>
      <c r="G556" s="24">
        <v>44892750</v>
      </c>
      <c r="H556" s="23">
        <v>5.0000000000000001E-3</v>
      </c>
      <c r="I556" s="39">
        <v>44317</v>
      </c>
      <c r="J556" s="39">
        <v>44332</v>
      </c>
      <c r="K556" s="24">
        <v>16</v>
      </c>
      <c r="L556" s="24">
        <v>9840</v>
      </c>
      <c r="M556" s="24">
        <v>44515500</v>
      </c>
    </row>
    <row r="557" spans="1:13" s="48" customFormat="1" outlineLevel="2">
      <c r="A557" s="39" t="s">
        <v>257</v>
      </c>
      <c r="B557" s="40" t="s">
        <v>51</v>
      </c>
      <c r="C557" s="41" t="s">
        <v>324</v>
      </c>
      <c r="D557" s="40"/>
      <c r="E557" s="24"/>
      <c r="F557" s="39"/>
      <c r="G557" s="24">
        <v>44515500</v>
      </c>
      <c r="H557" s="23">
        <v>5.0000000000000001E-3</v>
      </c>
      <c r="I557" s="39">
        <v>44333</v>
      </c>
      <c r="J557" s="39">
        <v>44347</v>
      </c>
      <c r="K557" s="24">
        <v>15</v>
      </c>
      <c r="L557" s="24">
        <v>9147</v>
      </c>
      <c r="M557" s="24"/>
    </row>
    <row r="558" spans="1:13" s="48" customFormat="1" outlineLevel="2">
      <c r="A558" s="39" t="s">
        <v>257</v>
      </c>
      <c r="B558" s="40" t="s">
        <v>52</v>
      </c>
      <c r="C558" s="41" t="s">
        <v>324</v>
      </c>
      <c r="D558" s="40" t="s">
        <v>323</v>
      </c>
      <c r="E558" s="24">
        <v>32000000</v>
      </c>
      <c r="F558" s="39">
        <v>44271</v>
      </c>
      <c r="G558" s="24">
        <v>31619048</v>
      </c>
      <c r="H558" s="23">
        <v>5.0000000000000001E-3</v>
      </c>
      <c r="I558" s="39">
        <v>44317</v>
      </c>
      <c r="J558" s="39">
        <v>44332</v>
      </c>
      <c r="K558" s="24">
        <v>16</v>
      </c>
      <c r="L558" s="24">
        <v>6930</v>
      </c>
      <c r="M558" s="24">
        <v>31238096</v>
      </c>
    </row>
    <row r="559" spans="1:13" s="48" customFormat="1" outlineLevel="2">
      <c r="A559" s="39" t="s">
        <v>257</v>
      </c>
      <c r="B559" s="40" t="s">
        <v>52</v>
      </c>
      <c r="C559" s="41" t="s">
        <v>324</v>
      </c>
      <c r="D559" s="40"/>
      <c r="E559" s="24"/>
      <c r="F559" s="39"/>
      <c r="G559" s="24">
        <v>31238096</v>
      </c>
      <c r="H559" s="23">
        <v>5.0000000000000001E-3</v>
      </c>
      <c r="I559" s="39">
        <v>44333</v>
      </c>
      <c r="J559" s="39">
        <v>44347</v>
      </c>
      <c r="K559" s="24">
        <v>15</v>
      </c>
      <c r="L559" s="24">
        <v>6419</v>
      </c>
      <c r="M559" s="24"/>
    </row>
    <row r="560" spans="1:13" s="48" customFormat="1" outlineLevel="2">
      <c r="A560" s="39" t="s">
        <v>257</v>
      </c>
      <c r="B560" s="40" t="s">
        <v>53</v>
      </c>
      <c r="C560" s="41" t="s">
        <v>262</v>
      </c>
      <c r="D560" s="40" t="s">
        <v>259</v>
      </c>
      <c r="E560" s="24">
        <v>21700000</v>
      </c>
      <c r="F560" s="39">
        <v>44287</v>
      </c>
      <c r="G560" s="24">
        <v>21700000</v>
      </c>
      <c r="H560" s="23">
        <v>5.0000000000000001E-3</v>
      </c>
      <c r="I560" s="39">
        <v>44317</v>
      </c>
      <c r="J560" s="39">
        <v>44347</v>
      </c>
      <c r="K560" s="24">
        <v>31</v>
      </c>
      <c r="L560" s="24">
        <v>9215</v>
      </c>
      <c r="M560" s="24">
        <v>21700000</v>
      </c>
    </row>
    <row r="561" spans="1:13" s="48" customFormat="1" outlineLevel="2">
      <c r="A561" s="39" t="s">
        <v>257</v>
      </c>
      <c r="B561" s="40" t="s">
        <v>54</v>
      </c>
      <c r="C561" s="41" t="s">
        <v>248</v>
      </c>
      <c r="D561" s="40" t="s">
        <v>249</v>
      </c>
      <c r="E561" s="24">
        <v>182300000</v>
      </c>
      <c r="F561" s="39">
        <v>43959</v>
      </c>
      <c r="G561" s="24">
        <v>182300000</v>
      </c>
      <c r="H561" s="23">
        <v>5.0000000000000001E-3</v>
      </c>
      <c r="I561" s="39">
        <v>44317</v>
      </c>
      <c r="J561" s="39">
        <v>44332</v>
      </c>
      <c r="K561" s="24">
        <v>16</v>
      </c>
      <c r="L561" s="24">
        <v>39956</v>
      </c>
      <c r="M561" s="24">
        <v>179630000</v>
      </c>
    </row>
    <row r="562" spans="1:13" s="48" customFormat="1" outlineLevel="2">
      <c r="A562" s="39" t="s">
        <v>257</v>
      </c>
      <c r="B562" s="40" t="s">
        <v>54</v>
      </c>
      <c r="C562" s="41" t="s">
        <v>248</v>
      </c>
      <c r="D562" s="40"/>
      <c r="E562" s="24"/>
      <c r="F562" s="39"/>
      <c r="G562" s="24">
        <v>179630000</v>
      </c>
      <c r="H562" s="23">
        <v>5.0000000000000001E-3</v>
      </c>
      <c r="I562" s="39">
        <v>44333</v>
      </c>
      <c r="J562" s="39">
        <v>44347</v>
      </c>
      <c r="K562" s="24">
        <v>15</v>
      </c>
      <c r="L562" s="24">
        <v>36910</v>
      </c>
      <c r="M562" s="24"/>
    </row>
    <row r="563" spans="1:13" s="48" customFormat="1" outlineLevel="2">
      <c r="A563" s="39" t="s">
        <v>257</v>
      </c>
      <c r="B563" s="40" t="s">
        <v>57</v>
      </c>
      <c r="C563" s="41" t="s">
        <v>260</v>
      </c>
      <c r="D563" s="40" t="s">
        <v>261</v>
      </c>
      <c r="E563" s="24">
        <v>20900000</v>
      </c>
      <c r="F563" s="39">
        <v>44300</v>
      </c>
      <c r="G563" s="24">
        <v>20280000</v>
      </c>
      <c r="H563" s="23">
        <v>5.0000000000000001E-3</v>
      </c>
      <c r="I563" s="39">
        <v>44317</v>
      </c>
      <c r="J563" s="39">
        <v>44332</v>
      </c>
      <c r="K563" s="24">
        <v>16</v>
      </c>
      <c r="L563" s="24">
        <v>4445</v>
      </c>
      <c r="M563" s="24">
        <v>19890000</v>
      </c>
    </row>
    <row r="564" spans="1:13" s="48" customFormat="1" outlineLevel="2">
      <c r="A564" s="39" t="s">
        <v>257</v>
      </c>
      <c r="B564" s="40" t="s">
        <v>57</v>
      </c>
      <c r="C564" s="41" t="s">
        <v>260</v>
      </c>
      <c r="D564" s="40"/>
      <c r="E564" s="24"/>
      <c r="F564" s="39"/>
      <c r="G564" s="24">
        <v>19890000</v>
      </c>
      <c r="H564" s="23">
        <v>5.0000000000000001E-3</v>
      </c>
      <c r="I564" s="39">
        <v>44333</v>
      </c>
      <c r="J564" s="39">
        <v>44347</v>
      </c>
      <c r="K564" s="24">
        <v>15</v>
      </c>
      <c r="L564" s="24">
        <v>4087</v>
      </c>
      <c r="M564" s="24"/>
    </row>
    <row r="565" spans="1:13" s="48" customFormat="1" outlineLevel="2">
      <c r="A565" s="39" t="s">
        <v>257</v>
      </c>
      <c r="B565" s="40" t="s">
        <v>58</v>
      </c>
      <c r="C565" s="41" t="s">
        <v>262</v>
      </c>
      <c r="D565" s="40" t="s">
        <v>259</v>
      </c>
      <c r="E565" s="24">
        <v>21700000</v>
      </c>
      <c r="F565" s="39">
        <v>44319</v>
      </c>
      <c r="G565" s="24">
        <v>21700000</v>
      </c>
      <c r="H565" s="23">
        <v>5.0000000000000001E-3</v>
      </c>
      <c r="I565" s="39">
        <v>44319</v>
      </c>
      <c r="J565" s="39">
        <v>44347</v>
      </c>
      <c r="K565" s="24">
        <v>29</v>
      </c>
      <c r="L565" s="24">
        <v>8621</v>
      </c>
      <c r="M565" s="24">
        <v>21700000</v>
      </c>
    </row>
    <row r="566" spans="1:13" s="48" customFormat="1" outlineLevel="2">
      <c r="A566" s="39" t="s">
        <v>257</v>
      </c>
      <c r="B566" s="40" t="s">
        <v>99</v>
      </c>
      <c r="C566" s="41" t="s">
        <v>262</v>
      </c>
      <c r="D566" s="40" t="s">
        <v>259</v>
      </c>
      <c r="E566" s="24">
        <v>21700000</v>
      </c>
      <c r="F566" s="39">
        <v>44333</v>
      </c>
      <c r="G566" s="24">
        <v>21700000</v>
      </c>
      <c r="H566" s="23">
        <v>5.0000000000000001E-3</v>
      </c>
      <c r="I566" s="39">
        <v>44333</v>
      </c>
      <c r="J566" s="39">
        <v>44347</v>
      </c>
      <c r="K566" s="24">
        <v>15</v>
      </c>
      <c r="L566" s="24">
        <v>4459</v>
      </c>
      <c r="M566" s="24">
        <v>21700000</v>
      </c>
    </row>
    <row r="567" spans="1:13" s="48" customFormat="1" outlineLevel="2">
      <c r="A567" s="39" t="s">
        <v>257</v>
      </c>
      <c r="B567" s="40" t="s">
        <v>100</v>
      </c>
      <c r="C567" s="41" t="s">
        <v>260</v>
      </c>
      <c r="D567" s="40" t="s">
        <v>261</v>
      </c>
      <c r="E567" s="24">
        <v>12860000</v>
      </c>
      <c r="F567" s="39">
        <v>44326</v>
      </c>
      <c r="G567" s="24">
        <v>12860000</v>
      </c>
      <c r="H567" s="23">
        <v>5.0000000000000001E-3</v>
      </c>
      <c r="I567" s="39">
        <v>44326</v>
      </c>
      <c r="J567" s="39">
        <v>44332</v>
      </c>
      <c r="K567" s="24">
        <v>7</v>
      </c>
      <c r="L567" s="24">
        <v>1233</v>
      </c>
      <c r="M567" s="24">
        <v>12597000</v>
      </c>
    </row>
    <row r="568" spans="1:13" s="48" customFormat="1" outlineLevel="2">
      <c r="A568" s="39" t="s">
        <v>257</v>
      </c>
      <c r="B568" s="40" t="s">
        <v>100</v>
      </c>
      <c r="C568" s="41" t="s">
        <v>260</v>
      </c>
      <c r="D568" s="40"/>
      <c r="E568" s="24"/>
      <c r="F568" s="39"/>
      <c r="G568" s="24">
        <v>12597000</v>
      </c>
      <c r="H568" s="23">
        <v>5.0000000000000001E-3</v>
      </c>
      <c r="I568" s="39">
        <v>44333</v>
      </c>
      <c r="J568" s="39">
        <v>44347</v>
      </c>
      <c r="K568" s="24">
        <v>15</v>
      </c>
      <c r="L568" s="24">
        <v>2588</v>
      </c>
      <c r="M568" s="24"/>
    </row>
    <row r="569" spans="1:13" s="48" customFormat="1" outlineLevel="2">
      <c r="A569" s="39" t="s">
        <v>257</v>
      </c>
      <c r="B569" s="40" t="s">
        <v>59</v>
      </c>
      <c r="C569" s="41" t="s">
        <v>260</v>
      </c>
      <c r="D569" s="40" t="s">
        <v>261</v>
      </c>
      <c r="E569" s="24">
        <v>610000</v>
      </c>
      <c r="F569" s="39">
        <v>44085</v>
      </c>
      <c r="G569" s="24">
        <v>520000</v>
      </c>
      <c r="H569" s="23">
        <v>5.0000000000000001E-3</v>
      </c>
      <c r="I569" s="39">
        <v>44317</v>
      </c>
      <c r="J569" s="39">
        <v>44332</v>
      </c>
      <c r="K569" s="24">
        <v>16</v>
      </c>
      <c r="L569" s="24">
        <v>114</v>
      </c>
      <c r="M569" s="24">
        <v>510000</v>
      </c>
    </row>
    <row r="570" spans="1:13" s="48" customFormat="1" outlineLevel="2">
      <c r="A570" s="39" t="s">
        <v>257</v>
      </c>
      <c r="B570" s="40" t="s">
        <v>59</v>
      </c>
      <c r="C570" s="41" t="s">
        <v>260</v>
      </c>
      <c r="D570" s="40"/>
      <c r="E570" s="24"/>
      <c r="F570" s="39"/>
      <c r="G570" s="24">
        <v>510000</v>
      </c>
      <c r="H570" s="23">
        <v>5.0000000000000001E-3</v>
      </c>
      <c r="I570" s="39">
        <v>44333</v>
      </c>
      <c r="J570" s="39">
        <v>44347</v>
      </c>
      <c r="K570" s="24">
        <v>15</v>
      </c>
      <c r="L570" s="24">
        <v>105</v>
      </c>
      <c r="M570" s="24"/>
    </row>
    <row r="571" spans="1:13" s="48" customFormat="1" outlineLevel="2">
      <c r="A571" s="39" t="s">
        <v>257</v>
      </c>
      <c r="B571" s="40" t="s">
        <v>62</v>
      </c>
      <c r="C571" s="41" t="s">
        <v>262</v>
      </c>
      <c r="D571" s="40" t="s">
        <v>259</v>
      </c>
      <c r="E571" s="24">
        <v>18080000</v>
      </c>
      <c r="F571" s="39">
        <v>44102</v>
      </c>
      <c r="G571" s="24">
        <v>18080000</v>
      </c>
      <c r="H571" s="23">
        <v>5.0000000000000001E-3</v>
      </c>
      <c r="I571" s="39">
        <v>44317</v>
      </c>
      <c r="J571" s="39">
        <v>44347</v>
      </c>
      <c r="K571" s="24">
        <v>31</v>
      </c>
      <c r="L571" s="24">
        <v>7678</v>
      </c>
      <c r="M571" s="24">
        <v>18080000</v>
      </c>
    </row>
    <row r="572" spans="1:13" s="48" customFormat="1" outlineLevel="2">
      <c r="A572" s="39" t="s">
        <v>257</v>
      </c>
      <c r="B572" s="40" t="s">
        <v>63</v>
      </c>
      <c r="C572" s="41" t="s">
        <v>262</v>
      </c>
      <c r="D572" s="40" t="s">
        <v>259</v>
      </c>
      <c r="E572" s="24">
        <v>50630000</v>
      </c>
      <c r="F572" s="39">
        <v>44131</v>
      </c>
      <c r="G572" s="24">
        <v>50630000</v>
      </c>
      <c r="H572" s="23">
        <v>5.0000000000000001E-3</v>
      </c>
      <c r="I572" s="39">
        <v>44317</v>
      </c>
      <c r="J572" s="39">
        <v>44347</v>
      </c>
      <c r="K572" s="24">
        <v>31</v>
      </c>
      <c r="L572" s="24">
        <v>21500</v>
      </c>
      <c r="M572" s="24">
        <v>50630000</v>
      </c>
    </row>
    <row r="573" spans="1:13" s="48" customFormat="1" outlineLevel="2">
      <c r="A573" s="39" t="s">
        <v>257</v>
      </c>
      <c r="B573" s="40" t="s">
        <v>64</v>
      </c>
      <c r="C573" s="41" t="s">
        <v>260</v>
      </c>
      <c r="D573" s="40" t="s">
        <v>261</v>
      </c>
      <c r="E573" s="24">
        <v>710000</v>
      </c>
      <c r="F573" s="39">
        <v>44110</v>
      </c>
      <c r="G573" s="24">
        <v>624000</v>
      </c>
      <c r="H573" s="23">
        <v>5.0000000000000001E-3</v>
      </c>
      <c r="I573" s="39">
        <v>44317</v>
      </c>
      <c r="J573" s="39">
        <v>44332</v>
      </c>
      <c r="K573" s="24">
        <v>16</v>
      </c>
      <c r="L573" s="24">
        <v>137</v>
      </c>
      <c r="M573" s="24">
        <v>612000</v>
      </c>
    </row>
    <row r="574" spans="1:13" s="48" customFormat="1" outlineLevel="2">
      <c r="A574" s="39" t="s">
        <v>257</v>
      </c>
      <c r="B574" s="40" t="s">
        <v>64</v>
      </c>
      <c r="C574" s="41" t="s">
        <v>260</v>
      </c>
      <c r="D574" s="40"/>
      <c r="E574" s="24"/>
      <c r="F574" s="39"/>
      <c r="G574" s="24">
        <v>612000</v>
      </c>
      <c r="H574" s="23">
        <v>5.0000000000000001E-3</v>
      </c>
      <c r="I574" s="39">
        <v>44333</v>
      </c>
      <c r="J574" s="39">
        <v>44347</v>
      </c>
      <c r="K574" s="24">
        <v>15</v>
      </c>
      <c r="L574" s="24">
        <v>126</v>
      </c>
      <c r="M574" s="24"/>
    </row>
    <row r="575" spans="1:13" s="48" customFormat="1" outlineLevel="2">
      <c r="A575" s="39" t="s">
        <v>257</v>
      </c>
      <c r="B575" s="40" t="s">
        <v>65</v>
      </c>
      <c r="C575" s="41" t="s">
        <v>260</v>
      </c>
      <c r="D575" s="40" t="s">
        <v>261</v>
      </c>
      <c r="E575" s="24">
        <v>830000</v>
      </c>
      <c r="F575" s="39">
        <v>44137</v>
      </c>
      <c r="G575" s="24">
        <v>728000</v>
      </c>
      <c r="H575" s="23">
        <v>5.0000000000000001E-3</v>
      </c>
      <c r="I575" s="39">
        <v>44317</v>
      </c>
      <c r="J575" s="39">
        <v>44332</v>
      </c>
      <c r="K575" s="24">
        <v>16</v>
      </c>
      <c r="L575" s="24">
        <v>160</v>
      </c>
      <c r="M575" s="24">
        <v>714000</v>
      </c>
    </row>
    <row r="576" spans="1:13" s="48" customFormat="1" outlineLevel="2">
      <c r="A576" s="39" t="s">
        <v>257</v>
      </c>
      <c r="B576" s="40" t="s">
        <v>65</v>
      </c>
      <c r="C576" s="41" t="s">
        <v>260</v>
      </c>
      <c r="D576" s="40"/>
      <c r="E576" s="24"/>
      <c r="F576" s="39"/>
      <c r="G576" s="24">
        <v>714000</v>
      </c>
      <c r="H576" s="23">
        <v>5.0000000000000001E-3</v>
      </c>
      <c r="I576" s="39">
        <v>44333</v>
      </c>
      <c r="J576" s="39">
        <v>44347</v>
      </c>
      <c r="K576" s="24">
        <v>15</v>
      </c>
      <c r="L576" s="24">
        <v>147</v>
      </c>
      <c r="M576" s="24"/>
    </row>
    <row r="577" spans="1:13" s="48" customFormat="1" outlineLevel="2">
      <c r="A577" s="39" t="s">
        <v>257</v>
      </c>
      <c r="B577" s="40" t="s">
        <v>68</v>
      </c>
      <c r="C577" s="41" t="s">
        <v>260</v>
      </c>
      <c r="D577" s="40" t="s">
        <v>261</v>
      </c>
      <c r="E577" s="24">
        <v>180000</v>
      </c>
      <c r="F577" s="39">
        <v>44141</v>
      </c>
      <c r="G577" s="24">
        <v>156000</v>
      </c>
      <c r="H577" s="23">
        <v>5.0000000000000001E-3</v>
      </c>
      <c r="I577" s="39">
        <v>44317</v>
      </c>
      <c r="J577" s="39">
        <v>44332</v>
      </c>
      <c r="K577" s="24">
        <v>16</v>
      </c>
      <c r="L577" s="24">
        <v>34</v>
      </c>
      <c r="M577" s="24">
        <v>153000</v>
      </c>
    </row>
    <row r="578" spans="1:13" s="48" customFormat="1" outlineLevel="2">
      <c r="A578" s="39" t="s">
        <v>257</v>
      </c>
      <c r="B578" s="40" t="s">
        <v>68</v>
      </c>
      <c r="C578" s="41" t="s">
        <v>260</v>
      </c>
      <c r="D578" s="40"/>
      <c r="E578" s="24"/>
      <c r="F578" s="39"/>
      <c r="G578" s="24">
        <v>153000</v>
      </c>
      <c r="H578" s="23">
        <v>5.0000000000000001E-3</v>
      </c>
      <c r="I578" s="39">
        <v>44333</v>
      </c>
      <c r="J578" s="39">
        <v>44347</v>
      </c>
      <c r="K578" s="24">
        <v>15</v>
      </c>
      <c r="L578" s="24">
        <v>31</v>
      </c>
      <c r="M578" s="24"/>
    </row>
    <row r="579" spans="1:13" s="48" customFormat="1" outlineLevel="1">
      <c r="A579" s="42" t="s">
        <v>263</v>
      </c>
      <c r="B579" s="43"/>
      <c r="C579" s="44"/>
      <c r="D579" s="43"/>
      <c r="E579" s="45">
        <v>772900000</v>
      </c>
      <c r="F579" s="46"/>
      <c r="G579" s="45"/>
      <c r="H579" s="47"/>
      <c r="I579" s="46"/>
      <c r="J579" s="46"/>
      <c r="K579" s="45"/>
      <c r="L579" s="45">
        <v>319111</v>
      </c>
      <c r="M579" s="45">
        <v>765443596</v>
      </c>
    </row>
    <row r="580" spans="1:13" s="48" customFormat="1" outlineLevel="2">
      <c r="A580" s="39" t="s">
        <v>264</v>
      </c>
      <c r="B580" s="40" t="s">
        <v>16</v>
      </c>
      <c r="C580" s="41" t="s">
        <v>27</v>
      </c>
      <c r="D580" s="40" t="s">
        <v>28</v>
      </c>
      <c r="E580" s="24">
        <v>26000000</v>
      </c>
      <c r="F580" s="39">
        <v>44140</v>
      </c>
      <c r="G580" s="24">
        <v>26000000</v>
      </c>
      <c r="H580" s="23">
        <v>5.0000000000000001E-3</v>
      </c>
      <c r="I580" s="39">
        <v>44317</v>
      </c>
      <c r="J580" s="39">
        <v>44347</v>
      </c>
      <c r="K580" s="24">
        <v>31</v>
      </c>
      <c r="L580" s="24">
        <v>11041</v>
      </c>
      <c r="M580" s="24">
        <v>26000000</v>
      </c>
    </row>
    <row r="581" spans="1:13" s="48" customFormat="1" outlineLevel="2">
      <c r="A581" s="39" t="s">
        <v>264</v>
      </c>
      <c r="B581" s="40" t="s">
        <v>39</v>
      </c>
      <c r="C581" s="41" t="s">
        <v>27</v>
      </c>
      <c r="D581" s="40" t="s">
        <v>28</v>
      </c>
      <c r="E581" s="24">
        <v>10250000</v>
      </c>
      <c r="F581" s="39">
        <v>44140</v>
      </c>
      <c r="G581" s="24">
        <v>10250000</v>
      </c>
      <c r="H581" s="23">
        <v>5.0000000000000001E-3</v>
      </c>
      <c r="I581" s="39">
        <v>44317</v>
      </c>
      <c r="J581" s="39">
        <v>44347</v>
      </c>
      <c r="K581" s="24">
        <v>31</v>
      </c>
      <c r="L581" s="24">
        <v>4353</v>
      </c>
      <c r="M581" s="24">
        <v>10250000</v>
      </c>
    </row>
    <row r="582" spans="1:13" s="48" customFormat="1" outlineLevel="2">
      <c r="A582" s="39" t="s">
        <v>264</v>
      </c>
      <c r="B582" s="40" t="s">
        <v>54</v>
      </c>
      <c r="C582" s="41" t="s">
        <v>27</v>
      </c>
      <c r="D582" s="40" t="s">
        <v>28</v>
      </c>
      <c r="E582" s="24">
        <v>3960000</v>
      </c>
      <c r="F582" s="39">
        <v>44148</v>
      </c>
      <c r="G582" s="24">
        <v>3960000</v>
      </c>
      <c r="H582" s="23">
        <v>5.0000000000000001E-3</v>
      </c>
      <c r="I582" s="39">
        <v>44317</v>
      </c>
      <c r="J582" s="39">
        <v>44347</v>
      </c>
      <c r="K582" s="24">
        <v>31</v>
      </c>
      <c r="L582" s="24">
        <v>1682</v>
      </c>
      <c r="M582" s="24">
        <v>3960000</v>
      </c>
    </row>
    <row r="583" spans="1:13" s="48" customFormat="1" outlineLevel="2">
      <c r="A583" s="39" t="s">
        <v>264</v>
      </c>
      <c r="B583" s="40" t="s">
        <v>59</v>
      </c>
      <c r="C583" s="41" t="s">
        <v>27</v>
      </c>
      <c r="D583" s="40" t="s">
        <v>28</v>
      </c>
      <c r="E583" s="24">
        <v>8000000</v>
      </c>
      <c r="F583" s="39">
        <v>44244</v>
      </c>
      <c r="G583" s="24">
        <v>8000000</v>
      </c>
      <c r="H583" s="23">
        <v>5.0000000000000001E-3</v>
      </c>
      <c r="I583" s="39">
        <v>44317</v>
      </c>
      <c r="J583" s="39">
        <v>44347</v>
      </c>
      <c r="K583" s="24">
        <v>31</v>
      </c>
      <c r="L583" s="24">
        <v>3397</v>
      </c>
      <c r="M583" s="24">
        <v>8000000</v>
      </c>
    </row>
    <row r="584" spans="1:13" s="48" customFormat="1" outlineLevel="1">
      <c r="A584" s="42" t="s">
        <v>265</v>
      </c>
      <c r="B584" s="43"/>
      <c r="C584" s="44"/>
      <c r="D584" s="43"/>
      <c r="E584" s="45">
        <v>48210000</v>
      </c>
      <c r="F584" s="46"/>
      <c r="G584" s="45"/>
      <c r="H584" s="47"/>
      <c r="I584" s="46"/>
      <c r="J584" s="46"/>
      <c r="K584" s="45"/>
      <c r="L584" s="45">
        <v>20473</v>
      </c>
      <c r="M584" s="45">
        <v>48210000</v>
      </c>
    </row>
    <row r="585" spans="1:13" s="48" customFormat="1" outlineLevel="2">
      <c r="A585" s="39" t="s">
        <v>266</v>
      </c>
      <c r="B585" s="40" t="s">
        <v>16</v>
      </c>
      <c r="C585" s="41" t="s">
        <v>128</v>
      </c>
      <c r="D585" s="40" t="s">
        <v>129</v>
      </c>
      <c r="E585" s="24">
        <v>50000000</v>
      </c>
      <c r="F585" s="39">
        <v>44099</v>
      </c>
      <c r="G585" s="24">
        <v>50000000</v>
      </c>
      <c r="H585" s="23">
        <v>5.0000000000000001E-3</v>
      </c>
      <c r="I585" s="39">
        <v>44317</v>
      </c>
      <c r="J585" s="39">
        <v>44347</v>
      </c>
      <c r="K585" s="24">
        <v>31</v>
      </c>
      <c r="L585" s="24">
        <v>21233</v>
      </c>
      <c r="M585" s="24">
        <v>50000000</v>
      </c>
    </row>
    <row r="586" spans="1:13" s="48" customFormat="1" outlineLevel="2">
      <c r="A586" s="39" t="s">
        <v>266</v>
      </c>
      <c r="B586" s="40" t="s">
        <v>39</v>
      </c>
      <c r="C586" s="41" t="s">
        <v>128</v>
      </c>
      <c r="D586" s="40" t="s">
        <v>129</v>
      </c>
      <c r="E586" s="24">
        <v>30000000</v>
      </c>
      <c r="F586" s="39">
        <v>44232</v>
      </c>
      <c r="G586" s="24">
        <v>30000000</v>
      </c>
      <c r="H586" s="23">
        <v>5.0000000000000001E-3</v>
      </c>
      <c r="I586" s="39">
        <v>44317</v>
      </c>
      <c r="J586" s="39">
        <v>44347</v>
      </c>
      <c r="K586" s="24">
        <v>31</v>
      </c>
      <c r="L586" s="24">
        <v>12740</v>
      </c>
      <c r="M586" s="24">
        <v>30000000</v>
      </c>
    </row>
    <row r="587" spans="1:13" s="48" customFormat="1" outlineLevel="1">
      <c r="A587" s="42" t="s">
        <v>267</v>
      </c>
      <c r="B587" s="43"/>
      <c r="C587" s="44"/>
      <c r="D587" s="43"/>
      <c r="E587" s="45">
        <v>80000000</v>
      </c>
      <c r="F587" s="46"/>
      <c r="G587" s="45"/>
      <c r="H587" s="47"/>
      <c r="I587" s="46"/>
      <c r="J587" s="46"/>
      <c r="K587" s="45"/>
      <c r="L587" s="45">
        <v>33973</v>
      </c>
      <c r="M587" s="45">
        <v>80000000</v>
      </c>
    </row>
    <row r="588" spans="1:13" s="48" customFormat="1" outlineLevel="2">
      <c r="A588" s="39" t="s">
        <v>268</v>
      </c>
      <c r="B588" s="40" t="s">
        <v>16</v>
      </c>
      <c r="C588" s="41" t="s">
        <v>20</v>
      </c>
      <c r="D588" s="40" t="s">
        <v>21</v>
      </c>
      <c r="E588" s="24">
        <v>43200000</v>
      </c>
      <c r="F588" s="39">
        <v>43937</v>
      </c>
      <c r="G588" s="24">
        <v>43200000</v>
      </c>
      <c r="H588" s="23">
        <v>3.0000000000000001E-3</v>
      </c>
      <c r="I588" s="39">
        <v>44317</v>
      </c>
      <c r="J588" s="39">
        <v>44347</v>
      </c>
      <c r="K588" s="24">
        <v>31</v>
      </c>
      <c r="L588" s="24">
        <v>11007</v>
      </c>
      <c r="M588" s="24">
        <v>43200000</v>
      </c>
    </row>
    <row r="589" spans="1:13" s="48" customFormat="1" outlineLevel="2">
      <c r="A589" s="39" t="s">
        <v>268</v>
      </c>
      <c r="B589" s="40" t="s">
        <v>39</v>
      </c>
      <c r="C589" s="41" t="s">
        <v>20</v>
      </c>
      <c r="D589" s="40" t="s">
        <v>21</v>
      </c>
      <c r="E589" s="24">
        <v>330000000</v>
      </c>
      <c r="F589" s="39">
        <v>44013</v>
      </c>
      <c r="G589" s="24">
        <v>330000000</v>
      </c>
      <c r="H589" s="23">
        <v>3.0000000000000001E-3</v>
      </c>
      <c r="I589" s="39">
        <v>44317</v>
      </c>
      <c r="J589" s="39">
        <v>44347</v>
      </c>
      <c r="K589" s="24">
        <v>31</v>
      </c>
      <c r="L589" s="24">
        <v>84082</v>
      </c>
      <c r="M589" s="24">
        <v>330000000</v>
      </c>
    </row>
    <row r="590" spans="1:13" s="48" customFormat="1" outlineLevel="2">
      <c r="A590" s="39" t="s">
        <v>268</v>
      </c>
      <c r="B590" s="40" t="s">
        <v>54</v>
      </c>
      <c r="C590" s="41" t="s">
        <v>20</v>
      </c>
      <c r="D590" s="40" t="s">
        <v>21</v>
      </c>
      <c r="E590" s="24">
        <v>120000000</v>
      </c>
      <c r="F590" s="39">
        <v>44049</v>
      </c>
      <c r="G590" s="24">
        <v>120000000</v>
      </c>
      <c r="H590" s="23">
        <v>3.0000000000000001E-3</v>
      </c>
      <c r="I590" s="39">
        <v>44317</v>
      </c>
      <c r="J590" s="39">
        <v>44347</v>
      </c>
      <c r="K590" s="24">
        <v>31</v>
      </c>
      <c r="L590" s="24">
        <v>30575</v>
      </c>
      <c r="M590" s="24">
        <v>120000000</v>
      </c>
    </row>
    <row r="591" spans="1:13" s="48" customFormat="1" outlineLevel="2">
      <c r="A591" s="39" t="s">
        <v>268</v>
      </c>
      <c r="B591" s="40" t="s">
        <v>59</v>
      </c>
      <c r="C591" s="41" t="s">
        <v>20</v>
      </c>
      <c r="D591" s="40" t="s">
        <v>21</v>
      </c>
      <c r="E591" s="24">
        <v>39840000</v>
      </c>
      <c r="F591" s="39">
        <v>44111</v>
      </c>
      <c r="G591" s="24">
        <v>39840000</v>
      </c>
      <c r="H591" s="23">
        <v>3.0000000000000001E-3</v>
      </c>
      <c r="I591" s="39">
        <v>44317</v>
      </c>
      <c r="J591" s="39">
        <v>44347</v>
      </c>
      <c r="K591" s="24">
        <v>31</v>
      </c>
      <c r="L591" s="24">
        <v>10151</v>
      </c>
      <c r="M591" s="24">
        <v>39840000</v>
      </c>
    </row>
    <row r="592" spans="1:13" s="48" customFormat="1" outlineLevel="2">
      <c r="A592" s="39" t="s">
        <v>268</v>
      </c>
      <c r="B592" s="40" t="s">
        <v>62</v>
      </c>
      <c r="C592" s="41" t="s">
        <v>20</v>
      </c>
      <c r="D592" s="40" t="s">
        <v>21</v>
      </c>
      <c r="E592" s="24">
        <v>252000000</v>
      </c>
      <c r="F592" s="39">
        <v>44231</v>
      </c>
      <c r="G592" s="24">
        <v>252000000</v>
      </c>
      <c r="H592" s="23">
        <v>3.0000000000000001E-3</v>
      </c>
      <c r="I592" s="39">
        <v>44317</v>
      </c>
      <c r="J592" s="39">
        <v>44347</v>
      </c>
      <c r="K592" s="24">
        <v>31</v>
      </c>
      <c r="L592" s="24">
        <v>64208</v>
      </c>
      <c r="M592" s="24">
        <v>252000000</v>
      </c>
    </row>
    <row r="593" spans="1:13" s="48" customFormat="1" outlineLevel="2">
      <c r="A593" s="39" t="s">
        <v>268</v>
      </c>
      <c r="B593" s="40" t="s">
        <v>63</v>
      </c>
      <c r="C593" s="41" t="s">
        <v>280</v>
      </c>
      <c r="D593" s="40" t="s">
        <v>281</v>
      </c>
      <c r="E593" s="24">
        <v>250000000</v>
      </c>
      <c r="F593" s="39">
        <v>44228</v>
      </c>
      <c r="G593" s="24">
        <v>250000000</v>
      </c>
      <c r="H593" s="23">
        <v>3.0000000000000001E-3</v>
      </c>
      <c r="I593" s="39">
        <v>44317</v>
      </c>
      <c r="J593" s="39">
        <v>44347</v>
      </c>
      <c r="K593" s="24">
        <v>31</v>
      </c>
      <c r="L593" s="24">
        <v>63699</v>
      </c>
      <c r="M593" s="24">
        <v>250000000</v>
      </c>
    </row>
    <row r="594" spans="1:13" s="48" customFormat="1" outlineLevel="2">
      <c r="A594" s="39" t="s">
        <v>268</v>
      </c>
      <c r="B594" s="40" t="s">
        <v>64</v>
      </c>
      <c r="C594" s="41" t="s">
        <v>280</v>
      </c>
      <c r="D594" s="40" t="s">
        <v>281</v>
      </c>
      <c r="E594" s="24">
        <v>50000000</v>
      </c>
      <c r="F594" s="39">
        <v>44347</v>
      </c>
      <c r="G594" s="24">
        <v>50000000</v>
      </c>
      <c r="H594" s="23">
        <v>3.0000000000000001E-3</v>
      </c>
      <c r="I594" s="39">
        <v>44347</v>
      </c>
      <c r="J594" s="39">
        <v>44347</v>
      </c>
      <c r="K594" s="24">
        <v>1</v>
      </c>
      <c r="L594" s="24">
        <v>411</v>
      </c>
      <c r="M594" s="24">
        <v>50000000</v>
      </c>
    </row>
    <row r="595" spans="1:13" s="48" customFormat="1" outlineLevel="1">
      <c r="A595" s="42" t="s">
        <v>269</v>
      </c>
      <c r="B595" s="43"/>
      <c r="C595" s="44"/>
      <c r="D595" s="43"/>
      <c r="E595" s="45">
        <v>1085040000</v>
      </c>
      <c r="F595" s="46"/>
      <c r="G595" s="45"/>
      <c r="H595" s="47"/>
      <c r="I595" s="46"/>
      <c r="J595" s="46"/>
      <c r="K595" s="45"/>
      <c r="L595" s="45">
        <v>264133</v>
      </c>
      <c r="M595" s="45">
        <v>1085040000</v>
      </c>
    </row>
    <row r="596" spans="1:13" s="48" customFormat="1" outlineLevel="2">
      <c r="A596" s="39" t="s">
        <v>343</v>
      </c>
      <c r="B596" s="40" t="s">
        <v>16</v>
      </c>
      <c r="C596" s="41" t="s">
        <v>246</v>
      </c>
      <c r="D596" s="40" t="s">
        <v>247</v>
      </c>
      <c r="E596" s="24">
        <v>1230000</v>
      </c>
      <c r="F596" s="39">
        <v>44308</v>
      </c>
      <c r="G596" s="24">
        <v>1230000</v>
      </c>
      <c r="H596" s="23">
        <v>5.0000000000000001E-3</v>
      </c>
      <c r="I596" s="39">
        <v>44317</v>
      </c>
      <c r="J596" s="39">
        <v>44347</v>
      </c>
      <c r="K596" s="24">
        <v>31</v>
      </c>
      <c r="L596" s="24">
        <v>522</v>
      </c>
      <c r="M596" s="24">
        <v>1230000</v>
      </c>
    </row>
    <row r="597" spans="1:13" s="48" customFormat="1" outlineLevel="1">
      <c r="A597" s="42" t="s">
        <v>342</v>
      </c>
      <c r="B597" s="43"/>
      <c r="C597" s="44"/>
      <c r="D597" s="43"/>
      <c r="E597" s="45">
        <v>1230000</v>
      </c>
      <c r="F597" s="46"/>
      <c r="G597" s="45"/>
      <c r="H597" s="47"/>
      <c r="I597" s="46"/>
      <c r="J597" s="46"/>
      <c r="K597" s="45"/>
      <c r="L597" s="45">
        <v>522</v>
      </c>
      <c r="M597" s="45">
        <v>1230000</v>
      </c>
    </row>
    <row r="598" spans="1:13" s="48" customFormat="1" outlineLevel="2">
      <c r="A598" s="39" t="s">
        <v>270</v>
      </c>
      <c r="B598" s="40" t="s">
        <v>16</v>
      </c>
      <c r="C598" s="41" t="s">
        <v>271</v>
      </c>
      <c r="D598" s="40" t="s">
        <v>272</v>
      </c>
      <c r="E598" s="24">
        <v>126000000</v>
      </c>
      <c r="F598" s="39">
        <v>43804</v>
      </c>
      <c r="G598" s="24">
        <v>126000000</v>
      </c>
      <c r="H598" s="23">
        <v>5.0000000000000001E-3</v>
      </c>
      <c r="I598" s="39">
        <v>44317</v>
      </c>
      <c r="J598" s="39">
        <v>44347</v>
      </c>
      <c r="K598" s="24">
        <v>31</v>
      </c>
      <c r="L598" s="24">
        <v>53507</v>
      </c>
      <c r="M598" s="24">
        <v>126000000</v>
      </c>
    </row>
    <row r="599" spans="1:13" s="48" customFormat="1" outlineLevel="2">
      <c r="A599" s="39" t="s">
        <v>270</v>
      </c>
      <c r="B599" s="40" t="s">
        <v>19</v>
      </c>
      <c r="C599" s="41" t="s">
        <v>273</v>
      </c>
      <c r="D599" s="40" t="s">
        <v>272</v>
      </c>
      <c r="E599" s="24">
        <v>46600000</v>
      </c>
      <c r="F599" s="39">
        <v>43866</v>
      </c>
      <c r="G599" s="24">
        <v>46600000</v>
      </c>
      <c r="H599" s="23">
        <v>5.0000000000000001E-3</v>
      </c>
      <c r="I599" s="39">
        <v>44317</v>
      </c>
      <c r="J599" s="39">
        <v>44347</v>
      </c>
      <c r="K599" s="24">
        <v>31</v>
      </c>
      <c r="L599" s="24">
        <v>19789</v>
      </c>
      <c r="M599" s="24">
        <v>46600000</v>
      </c>
    </row>
    <row r="600" spans="1:13" s="48" customFormat="1" outlineLevel="2">
      <c r="A600" s="39" t="s">
        <v>270</v>
      </c>
      <c r="B600" s="40" t="s">
        <v>145</v>
      </c>
      <c r="C600" s="41" t="s">
        <v>115</v>
      </c>
      <c r="D600" s="40" t="s">
        <v>116</v>
      </c>
      <c r="E600" s="24">
        <v>41000000</v>
      </c>
      <c r="F600" s="39">
        <v>44337</v>
      </c>
      <c r="G600" s="24">
        <v>41000000</v>
      </c>
      <c r="H600" s="23">
        <v>5.0000000000000001E-3</v>
      </c>
      <c r="I600" s="39">
        <v>44337</v>
      </c>
      <c r="J600" s="39">
        <v>44347</v>
      </c>
      <c r="K600" s="24">
        <v>11</v>
      </c>
      <c r="L600" s="24">
        <v>6178</v>
      </c>
      <c r="M600" s="24">
        <v>41000000</v>
      </c>
    </row>
    <row r="601" spans="1:13" s="48" customFormat="1" outlineLevel="2">
      <c r="A601" s="39" t="s">
        <v>270</v>
      </c>
      <c r="B601" s="40" t="s">
        <v>148</v>
      </c>
      <c r="C601" s="41" t="s">
        <v>143</v>
      </c>
      <c r="D601" s="40" t="s">
        <v>144</v>
      </c>
      <c r="E601" s="24">
        <v>2900000</v>
      </c>
      <c r="F601" s="39">
        <v>44319</v>
      </c>
      <c r="G601" s="24">
        <v>2900000</v>
      </c>
      <c r="H601" s="23">
        <v>5.0000000000000001E-3</v>
      </c>
      <c r="I601" s="39">
        <v>44319</v>
      </c>
      <c r="J601" s="39">
        <v>44347</v>
      </c>
      <c r="K601" s="24">
        <v>29</v>
      </c>
      <c r="L601" s="24">
        <v>1152</v>
      </c>
      <c r="M601" s="24">
        <v>2900000</v>
      </c>
    </row>
    <row r="602" spans="1:13" s="48" customFormat="1" outlineLevel="2">
      <c r="A602" s="39" t="s">
        <v>270</v>
      </c>
      <c r="B602" s="40" t="s">
        <v>151</v>
      </c>
      <c r="C602" s="41" t="s">
        <v>143</v>
      </c>
      <c r="D602" s="40" t="s">
        <v>144</v>
      </c>
      <c r="E602" s="24">
        <v>6800000</v>
      </c>
      <c r="F602" s="39">
        <v>44327</v>
      </c>
      <c r="G602" s="24">
        <v>6800000</v>
      </c>
      <c r="H602" s="23">
        <v>5.0000000000000001E-3</v>
      </c>
      <c r="I602" s="39">
        <v>44327</v>
      </c>
      <c r="J602" s="39">
        <v>44347</v>
      </c>
      <c r="K602" s="24">
        <v>21</v>
      </c>
      <c r="L602" s="24">
        <v>1956</v>
      </c>
      <c r="M602" s="24">
        <v>6800000</v>
      </c>
    </row>
    <row r="603" spans="1:13" s="48" customFormat="1" outlineLevel="2">
      <c r="A603" s="39" t="s">
        <v>270</v>
      </c>
      <c r="B603" s="40" t="s">
        <v>152</v>
      </c>
      <c r="C603" s="41" t="s">
        <v>143</v>
      </c>
      <c r="D603" s="40" t="s">
        <v>144</v>
      </c>
      <c r="E603" s="24">
        <v>1620000</v>
      </c>
      <c r="F603" s="39">
        <v>44347</v>
      </c>
      <c r="G603" s="24">
        <v>1620000</v>
      </c>
      <c r="H603" s="23">
        <v>5.0000000000000001E-3</v>
      </c>
      <c r="I603" s="39">
        <v>44347</v>
      </c>
      <c r="J603" s="39">
        <v>44347</v>
      </c>
      <c r="K603" s="24">
        <v>1</v>
      </c>
      <c r="L603" s="24">
        <v>22</v>
      </c>
      <c r="M603" s="24">
        <v>1620000</v>
      </c>
    </row>
    <row r="604" spans="1:13" s="48" customFormat="1" outlineLevel="2">
      <c r="A604" s="39" t="s">
        <v>270</v>
      </c>
      <c r="B604" s="40" t="s">
        <v>153</v>
      </c>
      <c r="C604" s="41" t="s">
        <v>273</v>
      </c>
      <c r="D604" s="40" t="s">
        <v>272</v>
      </c>
      <c r="E604" s="24">
        <v>1500000</v>
      </c>
      <c r="F604" s="39">
        <v>44321</v>
      </c>
      <c r="G604" s="24">
        <v>1500000</v>
      </c>
      <c r="H604" s="23">
        <v>5.0000000000000001E-3</v>
      </c>
      <c r="I604" s="39">
        <v>44321</v>
      </c>
      <c r="J604" s="39">
        <v>44347</v>
      </c>
      <c r="K604" s="24">
        <v>27</v>
      </c>
      <c r="L604" s="24">
        <v>555</v>
      </c>
      <c r="M604" s="24">
        <v>1500000</v>
      </c>
    </row>
    <row r="605" spans="1:13" s="48" customFormat="1" outlineLevel="2">
      <c r="A605" s="39" t="s">
        <v>270</v>
      </c>
      <c r="B605" s="40" t="s">
        <v>154</v>
      </c>
      <c r="C605" s="41" t="s">
        <v>273</v>
      </c>
      <c r="D605" s="40" t="s">
        <v>272</v>
      </c>
      <c r="E605" s="24">
        <v>18000000</v>
      </c>
      <c r="F605" s="39">
        <v>44321</v>
      </c>
      <c r="G605" s="24">
        <v>18000000</v>
      </c>
      <c r="H605" s="23">
        <v>5.0000000000000001E-3</v>
      </c>
      <c r="I605" s="39">
        <v>44321</v>
      </c>
      <c r="J605" s="39">
        <v>44347</v>
      </c>
      <c r="K605" s="24">
        <v>27</v>
      </c>
      <c r="L605" s="24">
        <v>6658</v>
      </c>
      <c r="M605" s="24">
        <v>18000000</v>
      </c>
    </row>
    <row r="606" spans="1:13" s="48" customFormat="1" outlineLevel="2">
      <c r="A606" s="39" t="s">
        <v>270</v>
      </c>
      <c r="B606" s="40" t="s">
        <v>157</v>
      </c>
      <c r="C606" s="41" t="s">
        <v>75</v>
      </c>
      <c r="D606" s="40" t="s">
        <v>76</v>
      </c>
      <c r="E606" s="24">
        <v>38590000</v>
      </c>
      <c r="F606" s="39">
        <v>44321</v>
      </c>
      <c r="G606" s="24">
        <v>38590000</v>
      </c>
      <c r="H606" s="23">
        <v>5.0000000000000001E-3</v>
      </c>
      <c r="I606" s="39">
        <v>44321</v>
      </c>
      <c r="J606" s="39">
        <v>44347</v>
      </c>
      <c r="K606" s="24">
        <v>27</v>
      </c>
      <c r="L606" s="24">
        <v>14273</v>
      </c>
      <c r="M606" s="24">
        <v>38590000</v>
      </c>
    </row>
    <row r="607" spans="1:13" s="48" customFormat="1" outlineLevel="2">
      <c r="A607" s="39" t="s">
        <v>270</v>
      </c>
      <c r="B607" s="40" t="s">
        <v>22</v>
      </c>
      <c r="C607" s="41" t="s">
        <v>273</v>
      </c>
      <c r="D607" s="40" t="s">
        <v>272</v>
      </c>
      <c r="E607" s="24">
        <v>1300000</v>
      </c>
      <c r="F607" s="39">
        <v>43866</v>
      </c>
      <c r="G607" s="24">
        <v>1300000</v>
      </c>
      <c r="H607" s="23">
        <v>5.0000000000000001E-3</v>
      </c>
      <c r="I607" s="39">
        <v>44317</v>
      </c>
      <c r="J607" s="39">
        <v>44347</v>
      </c>
      <c r="K607" s="24">
        <v>31</v>
      </c>
      <c r="L607" s="24">
        <v>552</v>
      </c>
      <c r="M607" s="24">
        <v>1300000</v>
      </c>
    </row>
    <row r="608" spans="1:13" s="48" customFormat="1" outlineLevel="2">
      <c r="A608" s="39" t="s">
        <v>270</v>
      </c>
      <c r="B608" s="40" t="s">
        <v>25</v>
      </c>
      <c r="C608" s="41" t="s">
        <v>274</v>
      </c>
      <c r="D608" s="40" t="s">
        <v>275</v>
      </c>
      <c r="E608" s="24">
        <v>9087600</v>
      </c>
      <c r="F608" s="39">
        <v>43901</v>
      </c>
      <c r="G608" s="24">
        <v>9087600</v>
      </c>
      <c r="H608" s="23">
        <v>5.0000000000000001E-3</v>
      </c>
      <c r="I608" s="39">
        <v>44317</v>
      </c>
      <c r="J608" s="39">
        <v>44347</v>
      </c>
      <c r="K608" s="24">
        <v>31</v>
      </c>
      <c r="L608" s="24">
        <v>3859</v>
      </c>
      <c r="M608" s="24">
        <v>9087600</v>
      </c>
    </row>
    <row r="609" spans="1:13" s="48" customFormat="1" outlineLevel="2">
      <c r="A609" s="39" t="s">
        <v>270</v>
      </c>
      <c r="B609" s="40" t="s">
        <v>26</v>
      </c>
      <c r="C609" s="41" t="s">
        <v>274</v>
      </c>
      <c r="D609" s="40" t="s">
        <v>275</v>
      </c>
      <c r="E609" s="24">
        <v>7270080</v>
      </c>
      <c r="F609" s="39">
        <v>43901</v>
      </c>
      <c r="G609" s="24">
        <v>7270080</v>
      </c>
      <c r="H609" s="23">
        <v>5.0000000000000001E-3</v>
      </c>
      <c r="I609" s="39">
        <v>44317</v>
      </c>
      <c r="J609" s="39">
        <v>44347</v>
      </c>
      <c r="K609" s="24">
        <v>31</v>
      </c>
      <c r="L609" s="24">
        <v>3087</v>
      </c>
      <c r="M609" s="24">
        <v>7270080</v>
      </c>
    </row>
    <row r="610" spans="1:13" s="48" customFormat="1" outlineLevel="2">
      <c r="A610" s="39" t="s">
        <v>270</v>
      </c>
      <c r="B610" s="40" t="s">
        <v>29</v>
      </c>
      <c r="C610" s="41" t="s">
        <v>273</v>
      </c>
      <c r="D610" s="40" t="s">
        <v>272</v>
      </c>
      <c r="E610" s="24">
        <v>99400000</v>
      </c>
      <c r="F610" s="39">
        <v>43917</v>
      </c>
      <c r="G610" s="24">
        <v>99400000</v>
      </c>
      <c r="H610" s="23">
        <v>5.0000000000000001E-3</v>
      </c>
      <c r="I610" s="39">
        <v>44317</v>
      </c>
      <c r="J610" s="39">
        <v>44347</v>
      </c>
      <c r="K610" s="24">
        <v>31</v>
      </c>
      <c r="L610" s="24">
        <v>42211</v>
      </c>
      <c r="M610" s="24">
        <v>99400000</v>
      </c>
    </row>
    <row r="611" spans="1:13" s="48" customFormat="1" outlineLevel="2">
      <c r="A611" s="39" t="s">
        <v>270</v>
      </c>
      <c r="B611" s="40" t="s">
        <v>32</v>
      </c>
      <c r="C611" s="41" t="s">
        <v>274</v>
      </c>
      <c r="D611" s="40" t="s">
        <v>275</v>
      </c>
      <c r="E611" s="24">
        <v>9087600</v>
      </c>
      <c r="F611" s="39">
        <v>43929</v>
      </c>
      <c r="G611" s="24">
        <v>9087600</v>
      </c>
      <c r="H611" s="23">
        <v>5.0000000000000001E-3</v>
      </c>
      <c r="I611" s="39">
        <v>44317</v>
      </c>
      <c r="J611" s="39">
        <v>44347</v>
      </c>
      <c r="K611" s="24">
        <v>31</v>
      </c>
      <c r="L611" s="24">
        <v>3859</v>
      </c>
      <c r="M611" s="24">
        <v>9087600</v>
      </c>
    </row>
    <row r="612" spans="1:13" s="48" customFormat="1" outlineLevel="2">
      <c r="A612" s="39" t="s">
        <v>270</v>
      </c>
      <c r="B612" s="40" t="s">
        <v>33</v>
      </c>
      <c r="C612" s="41" t="s">
        <v>274</v>
      </c>
      <c r="D612" s="40" t="s">
        <v>275</v>
      </c>
      <c r="E612" s="24">
        <v>13007640</v>
      </c>
      <c r="F612" s="39">
        <v>43929</v>
      </c>
      <c r="G612" s="24">
        <v>13007640</v>
      </c>
      <c r="H612" s="23">
        <v>5.0000000000000001E-3</v>
      </c>
      <c r="I612" s="39">
        <v>44317</v>
      </c>
      <c r="J612" s="39">
        <v>44347</v>
      </c>
      <c r="K612" s="24">
        <v>31</v>
      </c>
      <c r="L612" s="24">
        <v>5524</v>
      </c>
      <c r="M612" s="24">
        <v>13007640</v>
      </c>
    </row>
    <row r="613" spans="1:13" s="48" customFormat="1" outlineLevel="2">
      <c r="A613" s="39" t="s">
        <v>270</v>
      </c>
      <c r="B613" s="40" t="s">
        <v>34</v>
      </c>
      <c r="C613" s="41" t="s">
        <v>276</v>
      </c>
      <c r="D613" s="40" t="s">
        <v>277</v>
      </c>
      <c r="E613" s="24">
        <v>61668037</v>
      </c>
      <c r="F613" s="39">
        <v>43949</v>
      </c>
      <c r="G613" s="24">
        <v>61668037</v>
      </c>
      <c r="H613" s="23">
        <v>5.0000000000000001E-3</v>
      </c>
      <c r="I613" s="39">
        <v>44317</v>
      </c>
      <c r="J613" s="39">
        <v>44347</v>
      </c>
      <c r="K613" s="24">
        <v>31</v>
      </c>
      <c r="L613" s="24">
        <v>26188</v>
      </c>
      <c r="M613" s="24">
        <v>61668037</v>
      </c>
    </row>
    <row r="614" spans="1:13" s="48" customFormat="1" outlineLevel="2">
      <c r="A614" s="39" t="s">
        <v>270</v>
      </c>
      <c r="B614" s="40" t="s">
        <v>35</v>
      </c>
      <c r="C614" s="41" t="s">
        <v>274</v>
      </c>
      <c r="D614" s="40" t="s">
        <v>275</v>
      </c>
      <c r="E614" s="24">
        <v>13007640</v>
      </c>
      <c r="F614" s="39">
        <v>43964</v>
      </c>
      <c r="G614" s="24">
        <v>13007640</v>
      </c>
      <c r="H614" s="23">
        <v>5.0000000000000001E-3</v>
      </c>
      <c r="I614" s="39">
        <v>44317</v>
      </c>
      <c r="J614" s="39">
        <v>44347</v>
      </c>
      <c r="K614" s="24">
        <v>31</v>
      </c>
      <c r="L614" s="24">
        <v>5524</v>
      </c>
      <c r="M614" s="24">
        <v>13007640</v>
      </c>
    </row>
    <row r="615" spans="1:13" s="48" customFormat="1" outlineLevel="2">
      <c r="A615" s="39" t="s">
        <v>270</v>
      </c>
      <c r="B615" s="40" t="s">
        <v>36</v>
      </c>
      <c r="C615" s="41" t="s">
        <v>274</v>
      </c>
      <c r="D615" s="40" t="s">
        <v>275</v>
      </c>
      <c r="E615" s="24">
        <v>6361320</v>
      </c>
      <c r="F615" s="39">
        <v>43964</v>
      </c>
      <c r="G615" s="24">
        <v>6361320</v>
      </c>
      <c r="H615" s="23">
        <v>5.0000000000000001E-3</v>
      </c>
      <c r="I615" s="39">
        <v>44317</v>
      </c>
      <c r="J615" s="39">
        <v>44347</v>
      </c>
      <c r="K615" s="24">
        <v>31</v>
      </c>
      <c r="L615" s="24">
        <v>2701</v>
      </c>
      <c r="M615" s="24">
        <v>6361320</v>
      </c>
    </row>
    <row r="616" spans="1:13" s="48" customFormat="1" outlineLevel="2">
      <c r="A616" s="39" t="s">
        <v>270</v>
      </c>
      <c r="B616" s="40" t="s">
        <v>39</v>
      </c>
      <c r="C616" s="41" t="s">
        <v>274</v>
      </c>
      <c r="D616" s="40" t="s">
        <v>275</v>
      </c>
      <c r="E616" s="24">
        <v>5452560</v>
      </c>
      <c r="F616" s="39">
        <v>43810</v>
      </c>
      <c r="G616" s="24">
        <v>5452560</v>
      </c>
      <c r="H616" s="23">
        <v>5.0000000000000001E-3</v>
      </c>
      <c r="I616" s="39">
        <v>44317</v>
      </c>
      <c r="J616" s="39">
        <v>44347</v>
      </c>
      <c r="K616" s="24">
        <v>31</v>
      </c>
      <c r="L616" s="24">
        <v>2315</v>
      </c>
      <c r="M616" s="24">
        <v>5452560</v>
      </c>
    </row>
    <row r="617" spans="1:13" s="48" customFormat="1" outlineLevel="2">
      <c r="A617" s="39" t="s">
        <v>270</v>
      </c>
      <c r="B617" s="40" t="s">
        <v>40</v>
      </c>
      <c r="C617" s="41" t="s">
        <v>273</v>
      </c>
      <c r="D617" s="40" t="s">
        <v>272</v>
      </c>
      <c r="E617" s="24">
        <v>69800000</v>
      </c>
      <c r="F617" s="39">
        <v>43956</v>
      </c>
      <c r="G617" s="24">
        <v>69800000</v>
      </c>
      <c r="H617" s="23">
        <v>5.0000000000000001E-3</v>
      </c>
      <c r="I617" s="39">
        <v>44317</v>
      </c>
      <c r="J617" s="39">
        <v>44347</v>
      </c>
      <c r="K617" s="24">
        <v>31</v>
      </c>
      <c r="L617" s="24">
        <v>29641</v>
      </c>
      <c r="M617" s="24">
        <v>69800000</v>
      </c>
    </row>
    <row r="618" spans="1:13" s="48" customFormat="1" outlineLevel="2">
      <c r="A618" s="39" t="s">
        <v>270</v>
      </c>
      <c r="B618" s="40" t="s">
        <v>41</v>
      </c>
      <c r="C618" s="41" t="s">
        <v>273</v>
      </c>
      <c r="D618" s="40" t="s">
        <v>272</v>
      </c>
      <c r="E618" s="24">
        <v>1500000</v>
      </c>
      <c r="F618" s="39">
        <v>43956</v>
      </c>
      <c r="G618" s="24">
        <v>1500000</v>
      </c>
      <c r="H618" s="23">
        <v>5.0000000000000001E-3</v>
      </c>
      <c r="I618" s="39">
        <v>44317</v>
      </c>
      <c r="J618" s="39">
        <v>44347</v>
      </c>
      <c r="K618" s="24">
        <v>31</v>
      </c>
      <c r="L618" s="24">
        <v>637</v>
      </c>
      <c r="M618" s="24">
        <v>1500000</v>
      </c>
    </row>
    <row r="619" spans="1:13" s="48" customFormat="1" outlineLevel="2">
      <c r="A619" s="39" t="s">
        <v>270</v>
      </c>
      <c r="B619" s="40" t="s">
        <v>42</v>
      </c>
      <c r="C619" s="41" t="s">
        <v>30</v>
      </c>
      <c r="D619" s="40" t="s">
        <v>31</v>
      </c>
      <c r="E619" s="24">
        <v>50000000</v>
      </c>
      <c r="F619" s="39">
        <v>43976</v>
      </c>
      <c r="G619" s="24">
        <v>50000000</v>
      </c>
      <c r="H619" s="23">
        <v>5.0000000000000001E-3</v>
      </c>
      <c r="I619" s="39">
        <v>44317</v>
      </c>
      <c r="J619" s="39">
        <v>44347</v>
      </c>
      <c r="K619" s="24">
        <v>31</v>
      </c>
      <c r="L619" s="24">
        <v>21233</v>
      </c>
      <c r="M619" s="24">
        <v>50000000</v>
      </c>
    </row>
    <row r="620" spans="1:13" s="48" customFormat="1" outlineLevel="2">
      <c r="A620" s="39" t="s">
        <v>270</v>
      </c>
      <c r="B620" s="40" t="s">
        <v>43</v>
      </c>
      <c r="C620" s="41" t="s">
        <v>274</v>
      </c>
      <c r="D620" s="40" t="s">
        <v>275</v>
      </c>
      <c r="E620" s="24">
        <v>6657720</v>
      </c>
      <c r="F620" s="39">
        <v>43992</v>
      </c>
      <c r="G620" s="24">
        <v>6657720</v>
      </c>
      <c r="H620" s="23">
        <v>5.0000000000000001E-3</v>
      </c>
      <c r="I620" s="39">
        <v>44317</v>
      </c>
      <c r="J620" s="39">
        <v>44347</v>
      </c>
      <c r="K620" s="24">
        <v>31</v>
      </c>
      <c r="L620" s="24">
        <v>2827</v>
      </c>
      <c r="M620" s="24">
        <v>6657720</v>
      </c>
    </row>
    <row r="621" spans="1:13" s="48" customFormat="1" outlineLevel="2">
      <c r="A621" s="39" t="s">
        <v>270</v>
      </c>
      <c r="B621" s="40" t="s">
        <v>44</v>
      </c>
      <c r="C621" s="41" t="s">
        <v>274</v>
      </c>
      <c r="D621" s="40" t="s">
        <v>275</v>
      </c>
      <c r="E621" s="24">
        <v>6361320</v>
      </c>
      <c r="F621" s="39">
        <v>43992</v>
      </c>
      <c r="G621" s="24">
        <v>6361320</v>
      </c>
      <c r="H621" s="23">
        <v>5.0000000000000001E-3</v>
      </c>
      <c r="I621" s="39">
        <v>44317</v>
      </c>
      <c r="J621" s="39">
        <v>44347</v>
      </c>
      <c r="K621" s="24">
        <v>31</v>
      </c>
      <c r="L621" s="24">
        <v>2701</v>
      </c>
      <c r="M621" s="24">
        <v>6361320</v>
      </c>
    </row>
    <row r="622" spans="1:13" s="48" customFormat="1" outlineLevel="2">
      <c r="A622" s="39" t="s">
        <v>270</v>
      </c>
      <c r="B622" s="40" t="s">
        <v>47</v>
      </c>
      <c r="C622" s="41" t="s">
        <v>273</v>
      </c>
      <c r="D622" s="40" t="s">
        <v>272</v>
      </c>
      <c r="E622" s="24">
        <v>41200000</v>
      </c>
      <c r="F622" s="39">
        <v>43987</v>
      </c>
      <c r="G622" s="24">
        <v>41200000</v>
      </c>
      <c r="H622" s="23">
        <v>5.0000000000000001E-3</v>
      </c>
      <c r="I622" s="39">
        <v>44317</v>
      </c>
      <c r="J622" s="39">
        <v>44347</v>
      </c>
      <c r="K622" s="24">
        <v>31</v>
      </c>
      <c r="L622" s="24">
        <v>17496</v>
      </c>
      <c r="M622" s="24">
        <v>41200000</v>
      </c>
    </row>
    <row r="623" spans="1:13" s="48" customFormat="1" outlineLevel="2">
      <c r="A623" s="39" t="s">
        <v>270</v>
      </c>
      <c r="B623" s="40" t="s">
        <v>50</v>
      </c>
      <c r="C623" s="41" t="s">
        <v>274</v>
      </c>
      <c r="D623" s="40" t="s">
        <v>275</v>
      </c>
      <c r="E623" s="24">
        <v>6657720</v>
      </c>
      <c r="F623" s="39">
        <v>44020</v>
      </c>
      <c r="G623" s="24">
        <v>6657720</v>
      </c>
      <c r="H623" s="23">
        <v>5.0000000000000001E-3</v>
      </c>
      <c r="I623" s="39">
        <v>44317</v>
      </c>
      <c r="J623" s="39">
        <v>44347</v>
      </c>
      <c r="K623" s="24">
        <v>31</v>
      </c>
      <c r="L623" s="24">
        <v>2827</v>
      </c>
      <c r="M623" s="24">
        <v>6657720</v>
      </c>
    </row>
    <row r="624" spans="1:13" s="48" customFormat="1" outlineLevel="2">
      <c r="A624" s="39" t="s">
        <v>270</v>
      </c>
      <c r="B624" s="40" t="s">
        <v>51</v>
      </c>
      <c r="C624" s="41" t="s">
        <v>274</v>
      </c>
      <c r="D624" s="40" t="s">
        <v>275</v>
      </c>
      <c r="E624" s="24">
        <v>6657720</v>
      </c>
      <c r="F624" s="39">
        <v>44020</v>
      </c>
      <c r="G624" s="24">
        <v>6657720</v>
      </c>
      <c r="H624" s="23">
        <v>5.0000000000000001E-3</v>
      </c>
      <c r="I624" s="39">
        <v>44317</v>
      </c>
      <c r="J624" s="39">
        <v>44347</v>
      </c>
      <c r="K624" s="24">
        <v>31</v>
      </c>
      <c r="L624" s="24">
        <v>2827</v>
      </c>
      <c r="M624" s="24">
        <v>6657720</v>
      </c>
    </row>
    <row r="625" spans="1:13" s="48" customFormat="1" outlineLevel="2">
      <c r="A625" s="39" t="s">
        <v>270</v>
      </c>
      <c r="B625" s="40" t="s">
        <v>52</v>
      </c>
      <c r="C625" s="41" t="s">
        <v>273</v>
      </c>
      <c r="D625" s="40" t="s">
        <v>272</v>
      </c>
      <c r="E625" s="24">
        <v>11800000</v>
      </c>
      <c r="F625" s="39">
        <v>44015</v>
      </c>
      <c r="G625" s="24">
        <v>11800000</v>
      </c>
      <c r="H625" s="23">
        <v>5.0000000000000001E-3</v>
      </c>
      <c r="I625" s="39">
        <v>44317</v>
      </c>
      <c r="J625" s="39">
        <v>44347</v>
      </c>
      <c r="K625" s="24">
        <v>31</v>
      </c>
      <c r="L625" s="24">
        <v>5011</v>
      </c>
      <c r="M625" s="24">
        <v>11800000</v>
      </c>
    </row>
    <row r="626" spans="1:13" s="48" customFormat="1" outlineLevel="2">
      <c r="A626" s="39" t="s">
        <v>270</v>
      </c>
      <c r="B626" s="40" t="s">
        <v>53</v>
      </c>
      <c r="C626" s="41" t="s">
        <v>273</v>
      </c>
      <c r="D626" s="40" t="s">
        <v>272</v>
      </c>
      <c r="E626" s="24">
        <v>2600000</v>
      </c>
      <c r="F626" s="39">
        <v>44015</v>
      </c>
      <c r="G626" s="24">
        <v>2600000</v>
      </c>
      <c r="H626" s="23">
        <v>5.0000000000000001E-3</v>
      </c>
      <c r="I626" s="39">
        <v>44317</v>
      </c>
      <c r="J626" s="39">
        <v>44347</v>
      </c>
      <c r="K626" s="24">
        <v>31</v>
      </c>
      <c r="L626" s="24">
        <v>1104</v>
      </c>
      <c r="M626" s="24">
        <v>2600000</v>
      </c>
    </row>
    <row r="627" spans="1:13" s="48" customFormat="1" outlineLevel="2">
      <c r="A627" s="39" t="s">
        <v>270</v>
      </c>
      <c r="B627" s="40" t="s">
        <v>54</v>
      </c>
      <c r="C627" s="41" t="s">
        <v>278</v>
      </c>
      <c r="D627" s="40" t="s">
        <v>279</v>
      </c>
      <c r="E627" s="24">
        <v>220000000</v>
      </c>
      <c r="F627" s="39">
        <v>43815</v>
      </c>
      <c r="G627" s="24">
        <v>220000000</v>
      </c>
      <c r="H627" s="23">
        <v>5.0000000000000001E-3</v>
      </c>
      <c r="I627" s="39">
        <v>44317</v>
      </c>
      <c r="J627" s="39">
        <v>44347</v>
      </c>
      <c r="K627" s="24">
        <v>31</v>
      </c>
      <c r="L627" s="24">
        <v>93425</v>
      </c>
      <c r="M627" s="24">
        <v>220000000</v>
      </c>
    </row>
    <row r="628" spans="1:13" s="48" customFormat="1" outlineLevel="2">
      <c r="A628" s="39" t="s">
        <v>270</v>
      </c>
      <c r="B628" s="40" t="s">
        <v>57</v>
      </c>
      <c r="C628" s="41" t="s">
        <v>143</v>
      </c>
      <c r="D628" s="40" t="s">
        <v>144</v>
      </c>
      <c r="E628" s="24">
        <v>10400000</v>
      </c>
      <c r="F628" s="39">
        <v>44033</v>
      </c>
      <c r="G628" s="24">
        <v>10400000</v>
      </c>
      <c r="H628" s="23">
        <v>5.0000000000000001E-3</v>
      </c>
      <c r="I628" s="39">
        <v>44317</v>
      </c>
      <c r="J628" s="39">
        <v>44347</v>
      </c>
      <c r="K628" s="24">
        <v>31</v>
      </c>
      <c r="L628" s="24">
        <v>4416</v>
      </c>
      <c r="M628" s="24">
        <v>10400000</v>
      </c>
    </row>
    <row r="629" spans="1:13" s="48" customFormat="1" outlineLevel="2">
      <c r="A629" s="39" t="s">
        <v>270</v>
      </c>
      <c r="B629" s="40" t="s">
        <v>58</v>
      </c>
      <c r="C629" s="41" t="s">
        <v>97</v>
      </c>
      <c r="D629" s="40" t="s">
        <v>98</v>
      </c>
      <c r="E629" s="24">
        <v>28200000</v>
      </c>
      <c r="F629" s="39">
        <v>44027</v>
      </c>
      <c r="G629" s="24">
        <v>28200000</v>
      </c>
      <c r="H629" s="23">
        <v>5.0000000000000001E-3</v>
      </c>
      <c r="I629" s="39">
        <v>44317</v>
      </c>
      <c r="J629" s="39">
        <v>44347</v>
      </c>
      <c r="K629" s="24">
        <v>31</v>
      </c>
      <c r="L629" s="24">
        <v>11975</v>
      </c>
      <c r="M629" s="24">
        <v>28200000</v>
      </c>
    </row>
    <row r="630" spans="1:13" s="48" customFormat="1" outlineLevel="2">
      <c r="A630" s="39" t="s">
        <v>270</v>
      </c>
      <c r="B630" s="40" t="s">
        <v>99</v>
      </c>
      <c r="C630" s="41" t="s">
        <v>274</v>
      </c>
      <c r="D630" s="40" t="s">
        <v>275</v>
      </c>
      <c r="E630" s="24">
        <v>6657720</v>
      </c>
      <c r="F630" s="39">
        <v>44055</v>
      </c>
      <c r="G630" s="24">
        <v>6657720</v>
      </c>
      <c r="H630" s="23">
        <v>5.0000000000000001E-3</v>
      </c>
      <c r="I630" s="39">
        <v>44317</v>
      </c>
      <c r="J630" s="39">
        <v>44347</v>
      </c>
      <c r="K630" s="24">
        <v>31</v>
      </c>
      <c r="L630" s="24">
        <v>2827</v>
      </c>
      <c r="M630" s="24">
        <v>6657720</v>
      </c>
    </row>
    <row r="631" spans="1:13" s="48" customFormat="1" outlineLevel="2">
      <c r="A631" s="39" t="s">
        <v>270</v>
      </c>
      <c r="B631" s="40" t="s">
        <v>100</v>
      </c>
      <c r="C631" s="41" t="s">
        <v>274</v>
      </c>
      <c r="D631" s="40" t="s">
        <v>275</v>
      </c>
      <c r="E631" s="24">
        <v>6714720</v>
      </c>
      <c r="F631" s="39">
        <v>44055</v>
      </c>
      <c r="G631" s="24">
        <v>6714720</v>
      </c>
      <c r="H631" s="23">
        <v>5.0000000000000001E-3</v>
      </c>
      <c r="I631" s="39">
        <v>44317</v>
      </c>
      <c r="J631" s="39">
        <v>44347</v>
      </c>
      <c r="K631" s="24">
        <v>31</v>
      </c>
      <c r="L631" s="24">
        <v>2851</v>
      </c>
      <c r="M631" s="24">
        <v>6714720</v>
      </c>
    </row>
    <row r="632" spans="1:13" s="48" customFormat="1" outlineLevel="2">
      <c r="A632" s="39" t="s">
        <v>270</v>
      </c>
      <c r="B632" s="40" t="s">
        <v>101</v>
      </c>
      <c r="C632" s="41" t="s">
        <v>273</v>
      </c>
      <c r="D632" s="40" t="s">
        <v>272</v>
      </c>
      <c r="E632" s="24">
        <v>47630000</v>
      </c>
      <c r="F632" s="39">
        <v>44048</v>
      </c>
      <c r="G632" s="24">
        <v>47630000</v>
      </c>
      <c r="H632" s="23">
        <v>5.0000000000000001E-3</v>
      </c>
      <c r="I632" s="39">
        <v>44317</v>
      </c>
      <c r="J632" s="39">
        <v>44347</v>
      </c>
      <c r="K632" s="24">
        <v>31</v>
      </c>
      <c r="L632" s="24">
        <v>20226</v>
      </c>
      <c r="M632" s="24">
        <v>47630000</v>
      </c>
    </row>
    <row r="633" spans="1:13" s="48" customFormat="1" outlineLevel="2">
      <c r="A633" s="39" t="s">
        <v>270</v>
      </c>
      <c r="B633" s="40" t="s">
        <v>102</v>
      </c>
      <c r="C633" s="41" t="s">
        <v>273</v>
      </c>
      <c r="D633" s="40" t="s">
        <v>272</v>
      </c>
      <c r="E633" s="24">
        <v>1970000</v>
      </c>
      <c r="F633" s="39">
        <v>44048</v>
      </c>
      <c r="G633" s="24">
        <v>1970000</v>
      </c>
      <c r="H633" s="23">
        <v>5.0000000000000001E-3</v>
      </c>
      <c r="I633" s="39">
        <v>44317</v>
      </c>
      <c r="J633" s="39">
        <v>44347</v>
      </c>
      <c r="K633" s="24">
        <v>31</v>
      </c>
      <c r="L633" s="24">
        <v>837</v>
      </c>
      <c r="M633" s="24">
        <v>1970000</v>
      </c>
    </row>
    <row r="634" spans="1:13" s="48" customFormat="1" outlineLevel="2">
      <c r="A634" s="39" t="s">
        <v>270</v>
      </c>
      <c r="B634" s="40" t="s">
        <v>103</v>
      </c>
      <c r="C634" s="41" t="s">
        <v>252</v>
      </c>
      <c r="D634" s="40" t="s">
        <v>253</v>
      </c>
      <c r="E634" s="24">
        <v>27700000</v>
      </c>
      <c r="F634" s="39">
        <v>44071</v>
      </c>
      <c r="G634" s="24">
        <v>27700000</v>
      </c>
      <c r="H634" s="23">
        <v>5.0000000000000001E-3</v>
      </c>
      <c r="I634" s="39">
        <v>44317</v>
      </c>
      <c r="J634" s="39">
        <v>44347</v>
      </c>
      <c r="K634" s="24">
        <v>31</v>
      </c>
      <c r="L634" s="24">
        <v>11763</v>
      </c>
      <c r="M634" s="24">
        <v>27700000</v>
      </c>
    </row>
    <row r="635" spans="1:13" s="48" customFormat="1" outlineLevel="2">
      <c r="A635" s="39" t="s">
        <v>270</v>
      </c>
      <c r="B635" s="40" t="s">
        <v>104</v>
      </c>
      <c r="C635" s="41" t="s">
        <v>274</v>
      </c>
      <c r="D635" s="40" t="s">
        <v>275</v>
      </c>
      <c r="E635" s="24">
        <v>6714720</v>
      </c>
      <c r="F635" s="39">
        <v>44083</v>
      </c>
      <c r="G635" s="24">
        <v>6714720</v>
      </c>
      <c r="H635" s="23">
        <v>5.0000000000000001E-3</v>
      </c>
      <c r="I635" s="39">
        <v>44317</v>
      </c>
      <c r="J635" s="39">
        <v>44347</v>
      </c>
      <c r="K635" s="24">
        <v>31</v>
      </c>
      <c r="L635" s="24">
        <v>2851</v>
      </c>
      <c r="M635" s="24">
        <v>6714720</v>
      </c>
    </row>
    <row r="636" spans="1:13" s="48" customFormat="1" outlineLevel="2">
      <c r="A636" s="39" t="s">
        <v>270</v>
      </c>
      <c r="B636" s="40" t="s">
        <v>105</v>
      </c>
      <c r="C636" s="41" t="s">
        <v>274</v>
      </c>
      <c r="D636" s="40" t="s">
        <v>275</v>
      </c>
      <c r="E636" s="24">
        <v>5805960</v>
      </c>
      <c r="F636" s="39">
        <v>44083</v>
      </c>
      <c r="G636" s="24">
        <v>5805960</v>
      </c>
      <c r="H636" s="23">
        <v>5.0000000000000001E-3</v>
      </c>
      <c r="I636" s="39">
        <v>44317</v>
      </c>
      <c r="J636" s="39">
        <v>44347</v>
      </c>
      <c r="K636" s="24">
        <v>31</v>
      </c>
      <c r="L636" s="24">
        <v>2466</v>
      </c>
      <c r="M636" s="24">
        <v>5805960</v>
      </c>
    </row>
    <row r="637" spans="1:13" s="48" customFormat="1" outlineLevel="2">
      <c r="A637" s="39" t="s">
        <v>270</v>
      </c>
      <c r="B637" s="40" t="s">
        <v>106</v>
      </c>
      <c r="C637" s="41" t="s">
        <v>273</v>
      </c>
      <c r="D637" s="40" t="s">
        <v>272</v>
      </c>
      <c r="E637" s="24">
        <v>19100000</v>
      </c>
      <c r="F637" s="39">
        <v>44078</v>
      </c>
      <c r="G637" s="24">
        <v>19100000</v>
      </c>
      <c r="H637" s="23">
        <v>5.0000000000000001E-3</v>
      </c>
      <c r="I637" s="39">
        <v>44317</v>
      </c>
      <c r="J637" s="39">
        <v>44347</v>
      </c>
      <c r="K637" s="24">
        <v>31</v>
      </c>
      <c r="L637" s="24">
        <v>8111</v>
      </c>
      <c r="M637" s="24">
        <v>19100000</v>
      </c>
    </row>
    <row r="638" spans="1:13" s="48" customFormat="1" outlineLevel="2">
      <c r="A638" s="39" t="s">
        <v>270</v>
      </c>
      <c r="B638" s="40" t="s">
        <v>59</v>
      </c>
      <c r="C638" s="41" t="s">
        <v>274</v>
      </c>
      <c r="D638" s="40" t="s">
        <v>275</v>
      </c>
      <c r="E638" s="24">
        <v>5452560</v>
      </c>
      <c r="F638" s="39">
        <v>43838</v>
      </c>
      <c r="G638" s="24">
        <v>5452560</v>
      </c>
      <c r="H638" s="23">
        <v>5.0000000000000001E-3</v>
      </c>
      <c r="I638" s="39">
        <v>44317</v>
      </c>
      <c r="J638" s="39">
        <v>44347</v>
      </c>
      <c r="K638" s="24">
        <v>31</v>
      </c>
      <c r="L638" s="24">
        <v>2315</v>
      </c>
      <c r="M638" s="24">
        <v>5452560</v>
      </c>
    </row>
    <row r="639" spans="1:13" s="48" customFormat="1" outlineLevel="2">
      <c r="A639" s="39" t="s">
        <v>270</v>
      </c>
      <c r="B639" s="40" t="s">
        <v>136</v>
      </c>
      <c r="C639" s="41" t="s">
        <v>30</v>
      </c>
      <c r="D639" s="40" t="s">
        <v>31</v>
      </c>
      <c r="E639" s="24">
        <v>31000000</v>
      </c>
      <c r="F639" s="39">
        <v>44102</v>
      </c>
      <c r="G639" s="24">
        <v>31000000</v>
      </c>
      <c r="H639" s="23">
        <v>5.0000000000000001E-3</v>
      </c>
      <c r="I639" s="39">
        <v>44317</v>
      </c>
      <c r="J639" s="39">
        <v>44347</v>
      </c>
      <c r="K639" s="24">
        <v>31</v>
      </c>
      <c r="L639" s="24">
        <v>13164</v>
      </c>
      <c r="M639" s="24">
        <v>31000000</v>
      </c>
    </row>
    <row r="640" spans="1:13" s="48" customFormat="1" outlineLevel="2">
      <c r="A640" s="39" t="s">
        <v>270</v>
      </c>
      <c r="B640" s="40" t="s">
        <v>137</v>
      </c>
      <c r="C640" s="41" t="s">
        <v>143</v>
      </c>
      <c r="D640" s="40" t="s">
        <v>144</v>
      </c>
      <c r="E640" s="24">
        <v>10700000</v>
      </c>
      <c r="F640" s="39">
        <v>44104</v>
      </c>
      <c r="G640" s="24">
        <v>10700000</v>
      </c>
      <c r="H640" s="23">
        <v>5.0000000000000001E-3</v>
      </c>
      <c r="I640" s="39">
        <v>44317</v>
      </c>
      <c r="J640" s="39">
        <v>44347</v>
      </c>
      <c r="K640" s="24">
        <v>31</v>
      </c>
      <c r="L640" s="24">
        <v>4544</v>
      </c>
      <c r="M640" s="24">
        <v>10700000</v>
      </c>
    </row>
    <row r="641" spans="1:13" s="48" customFormat="1" outlineLevel="2">
      <c r="A641" s="39" t="s">
        <v>270</v>
      </c>
      <c r="B641" s="40" t="s">
        <v>138</v>
      </c>
      <c r="C641" s="41" t="s">
        <v>280</v>
      </c>
      <c r="D641" s="40" t="s">
        <v>281</v>
      </c>
      <c r="E641" s="24">
        <v>1000000000</v>
      </c>
      <c r="F641" s="39">
        <v>44102</v>
      </c>
      <c r="G641" s="24">
        <v>1000000000</v>
      </c>
      <c r="H641" s="23">
        <v>5.0000000000000001E-3</v>
      </c>
      <c r="I641" s="39">
        <v>44317</v>
      </c>
      <c r="J641" s="39">
        <v>44347</v>
      </c>
      <c r="K641" s="24">
        <v>31</v>
      </c>
      <c r="L641" s="24">
        <v>424658</v>
      </c>
      <c r="M641" s="24">
        <v>1000000000</v>
      </c>
    </row>
    <row r="642" spans="1:13" s="48" customFormat="1" outlineLevel="2">
      <c r="A642" s="39" t="s">
        <v>270</v>
      </c>
      <c r="B642" s="40" t="s">
        <v>139</v>
      </c>
      <c r="C642" s="41" t="s">
        <v>274</v>
      </c>
      <c r="D642" s="40" t="s">
        <v>275</v>
      </c>
      <c r="E642" s="24">
        <v>5805960</v>
      </c>
      <c r="F642" s="39">
        <v>44111</v>
      </c>
      <c r="G642" s="24">
        <v>5805960</v>
      </c>
      <c r="H642" s="23">
        <v>5.0000000000000001E-3</v>
      </c>
      <c r="I642" s="39">
        <v>44317</v>
      </c>
      <c r="J642" s="39">
        <v>44347</v>
      </c>
      <c r="K642" s="24">
        <v>31</v>
      </c>
      <c r="L642" s="24">
        <v>2466</v>
      </c>
      <c r="M642" s="24">
        <v>5805960</v>
      </c>
    </row>
    <row r="643" spans="1:13" s="48" customFormat="1" outlineLevel="2">
      <c r="A643" s="39" t="s">
        <v>270</v>
      </c>
      <c r="B643" s="40" t="s">
        <v>140</v>
      </c>
      <c r="C643" s="41" t="s">
        <v>274</v>
      </c>
      <c r="D643" s="40" t="s">
        <v>275</v>
      </c>
      <c r="E643" s="24">
        <v>5805960</v>
      </c>
      <c r="F643" s="39">
        <v>44111</v>
      </c>
      <c r="G643" s="24">
        <v>5805960</v>
      </c>
      <c r="H643" s="23">
        <v>5.0000000000000001E-3</v>
      </c>
      <c r="I643" s="39">
        <v>44317</v>
      </c>
      <c r="J643" s="39">
        <v>44347</v>
      </c>
      <c r="K643" s="24">
        <v>31</v>
      </c>
      <c r="L643" s="24">
        <v>2466</v>
      </c>
      <c r="M643" s="24">
        <v>5805960</v>
      </c>
    </row>
    <row r="644" spans="1:13" s="48" customFormat="1" outlineLevel="2">
      <c r="A644" s="39" t="s">
        <v>270</v>
      </c>
      <c r="B644" s="40" t="s">
        <v>169</v>
      </c>
      <c r="C644" s="41" t="s">
        <v>273</v>
      </c>
      <c r="D644" s="40" t="s">
        <v>272</v>
      </c>
      <c r="E644" s="24">
        <v>18400000</v>
      </c>
      <c r="F644" s="39">
        <v>44109</v>
      </c>
      <c r="G644" s="24">
        <v>18400000</v>
      </c>
      <c r="H644" s="23">
        <v>5.0000000000000001E-3</v>
      </c>
      <c r="I644" s="39">
        <v>44317</v>
      </c>
      <c r="J644" s="39">
        <v>44347</v>
      </c>
      <c r="K644" s="24">
        <v>31</v>
      </c>
      <c r="L644" s="24">
        <v>7814</v>
      </c>
      <c r="M644" s="24">
        <v>18400000</v>
      </c>
    </row>
    <row r="645" spans="1:13" s="48" customFormat="1" outlineLevel="2">
      <c r="A645" s="39" t="s">
        <v>270</v>
      </c>
      <c r="B645" s="40" t="s">
        <v>170</v>
      </c>
      <c r="C645" s="41" t="s">
        <v>273</v>
      </c>
      <c r="D645" s="40" t="s">
        <v>272</v>
      </c>
      <c r="E645" s="24">
        <v>1500000</v>
      </c>
      <c r="F645" s="39">
        <v>44109</v>
      </c>
      <c r="G645" s="24">
        <v>1500000</v>
      </c>
      <c r="H645" s="23">
        <v>5.0000000000000001E-3</v>
      </c>
      <c r="I645" s="39">
        <v>44317</v>
      </c>
      <c r="J645" s="39">
        <v>44347</v>
      </c>
      <c r="K645" s="24">
        <v>31</v>
      </c>
      <c r="L645" s="24">
        <v>637</v>
      </c>
      <c r="M645" s="24">
        <v>1500000</v>
      </c>
    </row>
    <row r="646" spans="1:13" s="48" customFormat="1" outlineLevel="2">
      <c r="A646" s="39" t="s">
        <v>270</v>
      </c>
      <c r="B646" s="40" t="s">
        <v>171</v>
      </c>
      <c r="C646" s="41" t="s">
        <v>125</v>
      </c>
      <c r="D646" s="40" t="s">
        <v>126</v>
      </c>
      <c r="E646" s="24">
        <v>3480000</v>
      </c>
      <c r="F646" s="39">
        <v>44125</v>
      </c>
      <c r="G646" s="24">
        <v>3480000</v>
      </c>
      <c r="H646" s="23">
        <v>5.0000000000000001E-3</v>
      </c>
      <c r="I646" s="39">
        <v>44317</v>
      </c>
      <c r="J646" s="39">
        <v>44347</v>
      </c>
      <c r="K646" s="24">
        <v>31</v>
      </c>
      <c r="L646" s="24">
        <v>1478</v>
      </c>
      <c r="M646" s="24">
        <v>3480000</v>
      </c>
    </row>
    <row r="647" spans="1:13" s="48" customFormat="1" outlineLevel="2">
      <c r="A647" s="39" t="s">
        <v>270</v>
      </c>
      <c r="B647" s="40" t="s">
        <v>172</v>
      </c>
      <c r="C647" s="41" t="s">
        <v>276</v>
      </c>
      <c r="D647" s="40" t="s">
        <v>277</v>
      </c>
      <c r="E647" s="24">
        <v>32000000</v>
      </c>
      <c r="F647" s="39">
        <v>44133</v>
      </c>
      <c r="G647" s="24">
        <v>32000000</v>
      </c>
      <c r="H647" s="23">
        <v>5.0000000000000001E-3</v>
      </c>
      <c r="I647" s="39">
        <v>44317</v>
      </c>
      <c r="J647" s="39">
        <v>44347</v>
      </c>
      <c r="K647" s="24">
        <v>31</v>
      </c>
      <c r="L647" s="24">
        <v>13589</v>
      </c>
      <c r="M647" s="24">
        <v>32000000</v>
      </c>
    </row>
    <row r="648" spans="1:13" s="48" customFormat="1" outlineLevel="2">
      <c r="A648" s="39" t="s">
        <v>270</v>
      </c>
      <c r="B648" s="40" t="s">
        <v>173</v>
      </c>
      <c r="C648" s="41" t="s">
        <v>274</v>
      </c>
      <c r="D648" s="40" t="s">
        <v>275</v>
      </c>
      <c r="E648" s="24">
        <v>5805960</v>
      </c>
      <c r="F648" s="39">
        <v>44146</v>
      </c>
      <c r="G648" s="24">
        <v>5805960</v>
      </c>
      <c r="H648" s="23">
        <v>5.0000000000000001E-3</v>
      </c>
      <c r="I648" s="39">
        <v>44317</v>
      </c>
      <c r="J648" s="39">
        <v>44347</v>
      </c>
      <c r="K648" s="24">
        <v>31</v>
      </c>
      <c r="L648" s="24">
        <v>2466</v>
      </c>
      <c r="M648" s="24">
        <v>5805960</v>
      </c>
    </row>
    <row r="649" spans="1:13" s="48" customFormat="1" outlineLevel="2">
      <c r="A649" s="39" t="s">
        <v>270</v>
      </c>
      <c r="B649" s="40" t="s">
        <v>62</v>
      </c>
      <c r="C649" s="41" t="s">
        <v>274</v>
      </c>
      <c r="D649" s="40" t="s">
        <v>275</v>
      </c>
      <c r="E649" s="24">
        <v>5452560</v>
      </c>
      <c r="F649" s="39">
        <v>43838</v>
      </c>
      <c r="G649" s="24">
        <v>5452560</v>
      </c>
      <c r="H649" s="23">
        <v>5.0000000000000001E-3</v>
      </c>
      <c r="I649" s="39">
        <v>44317</v>
      </c>
      <c r="J649" s="39">
        <v>44347</v>
      </c>
      <c r="K649" s="24">
        <v>31</v>
      </c>
      <c r="L649" s="24">
        <v>2315</v>
      </c>
      <c r="M649" s="24">
        <v>5452560</v>
      </c>
    </row>
    <row r="650" spans="1:13" s="48" customFormat="1" outlineLevel="2">
      <c r="A650" s="39" t="s">
        <v>270</v>
      </c>
      <c r="B650" s="40" t="s">
        <v>174</v>
      </c>
      <c r="C650" s="41" t="s">
        <v>274</v>
      </c>
      <c r="D650" s="40" t="s">
        <v>275</v>
      </c>
      <c r="E650" s="24">
        <v>14338200</v>
      </c>
      <c r="F650" s="39">
        <v>44146</v>
      </c>
      <c r="G650" s="24">
        <v>14338200</v>
      </c>
      <c r="H650" s="23">
        <v>5.0000000000000001E-3</v>
      </c>
      <c r="I650" s="39">
        <v>44317</v>
      </c>
      <c r="J650" s="39">
        <v>44347</v>
      </c>
      <c r="K650" s="24">
        <v>31</v>
      </c>
      <c r="L650" s="24">
        <v>6089</v>
      </c>
      <c r="M650" s="24">
        <v>14338200</v>
      </c>
    </row>
    <row r="651" spans="1:13" s="48" customFormat="1" outlineLevel="2">
      <c r="A651" s="39" t="s">
        <v>270</v>
      </c>
      <c r="B651" s="40" t="s">
        <v>175</v>
      </c>
      <c r="C651" s="41" t="s">
        <v>273</v>
      </c>
      <c r="D651" s="40" t="s">
        <v>272</v>
      </c>
      <c r="E651" s="24">
        <v>31500000</v>
      </c>
      <c r="F651" s="39">
        <v>44140</v>
      </c>
      <c r="G651" s="24">
        <v>31500000</v>
      </c>
      <c r="H651" s="23">
        <v>5.0000000000000001E-3</v>
      </c>
      <c r="I651" s="39">
        <v>44317</v>
      </c>
      <c r="J651" s="39">
        <v>44347</v>
      </c>
      <c r="K651" s="24">
        <v>31</v>
      </c>
      <c r="L651" s="24">
        <v>13377</v>
      </c>
      <c r="M651" s="24">
        <v>31500000</v>
      </c>
    </row>
    <row r="652" spans="1:13" s="48" customFormat="1" outlineLevel="2">
      <c r="A652" s="39" t="s">
        <v>270</v>
      </c>
      <c r="B652" s="40" t="s">
        <v>176</v>
      </c>
      <c r="C652" s="41" t="s">
        <v>125</v>
      </c>
      <c r="D652" s="40" t="s">
        <v>126</v>
      </c>
      <c r="E652" s="24">
        <v>2500000</v>
      </c>
      <c r="F652" s="39">
        <v>44146</v>
      </c>
      <c r="G652" s="24">
        <v>2500000</v>
      </c>
      <c r="H652" s="23">
        <v>5.0000000000000001E-3</v>
      </c>
      <c r="I652" s="39">
        <v>44317</v>
      </c>
      <c r="J652" s="39">
        <v>44347</v>
      </c>
      <c r="K652" s="24">
        <v>31</v>
      </c>
      <c r="L652" s="24">
        <v>1062</v>
      </c>
      <c r="M652" s="24">
        <v>2500000</v>
      </c>
    </row>
    <row r="653" spans="1:13" s="48" customFormat="1" outlineLevel="2">
      <c r="A653" s="39" t="s">
        <v>270</v>
      </c>
      <c r="B653" s="40" t="s">
        <v>177</v>
      </c>
      <c r="C653" s="41" t="s">
        <v>276</v>
      </c>
      <c r="D653" s="40" t="s">
        <v>277</v>
      </c>
      <c r="E653" s="24">
        <v>30000000</v>
      </c>
      <c r="F653" s="39">
        <v>44140</v>
      </c>
      <c r="G653" s="24">
        <v>30000000</v>
      </c>
      <c r="H653" s="23">
        <v>5.0000000000000001E-3</v>
      </c>
      <c r="I653" s="39">
        <v>44317</v>
      </c>
      <c r="J653" s="39">
        <v>44347</v>
      </c>
      <c r="K653" s="24">
        <v>31</v>
      </c>
      <c r="L653" s="24">
        <v>12740</v>
      </c>
      <c r="M653" s="24">
        <v>30000000</v>
      </c>
    </row>
    <row r="654" spans="1:13" s="48" customFormat="1" outlineLevel="2">
      <c r="A654" s="39" t="s">
        <v>270</v>
      </c>
      <c r="B654" s="40" t="s">
        <v>178</v>
      </c>
      <c r="C654" s="41" t="s">
        <v>115</v>
      </c>
      <c r="D654" s="40" t="s">
        <v>116</v>
      </c>
      <c r="E654" s="24">
        <v>6100000</v>
      </c>
      <c r="F654" s="39">
        <v>44138</v>
      </c>
      <c r="G654" s="24">
        <v>6100000</v>
      </c>
      <c r="H654" s="23">
        <v>5.0000000000000001E-3</v>
      </c>
      <c r="I654" s="39">
        <v>44317</v>
      </c>
      <c r="J654" s="39">
        <v>44347</v>
      </c>
      <c r="K654" s="24">
        <v>31</v>
      </c>
      <c r="L654" s="24">
        <v>2590</v>
      </c>
      <c r="M654" s="24">
        <v>6100000</v>
      </c>
    </row>
    <row r="655" spans="1:13" s="48" customFormat="1" outlineLevel="2">
      <c r="A655" s="39" t="s">
        <v>270</v>
      </c>
      <c r="B655" s="40" t="s">
        <v>179</v>
      </c>
      <c r="C655" s="41" t="s">
        <v>278</v>
      </c>
      <c r="D655" s="40" t="s">
        <v>279</v>
      </c>
      <c r="E655" s="24">
        <v>82036355</v>
      </c>
      <c r="F655" s="39">
        <v>44137</v>
      </c>
      <c r="G655" s="24">
        <v>82036355</v>
      </c>
      <c r="H655" s="23">
        <v>5.0000000000000001E-3</v>
      </c>
      <c r="I655" s="39">
        <v>44317</v>
      </c>
      <c r="J655" s="39">
        <v>44347</v>
      </c>
      <c r="K655" s="24">
        <v>31</v>
      </c>
      <c r="L655" s="24">
        <v>34837</v>
      </c>
      <c r="M655" s="24">
        <v>82036355</v>
      </c>
    </row>
    <row r="656" spans="1:13" s="48" customFormat="1" outlineLevel="2">
      <c r="A656" s="39" t="s">
        <v>270</v>
      </c>
      <c r="B656" s="40" t="s">
        <v>180</v>
      </c>
      <c r="C656" s="41" t="s">
        <v>280</v>
      </c>
      <c r="D656" s="40" t="s">
        <v>281</v>
      </c>
      <c r="E656" s="24">
        <v>1000000000</v>
      </c>
      <c r="F656" s="39">
        <v>44162</v>
      </c>
      <c r="G656" s="24">
        <v>1000000000</v>
      </c>
      <c r="H656" s="23">
        <v>5.0000000000000001E-3</v>
      </c>
      <c r="I656" s="39">
        <v>44317</v>
      </c>
      <c r="J656" s="39">
        <v>44347</v>
      </c>
      <c r="K656" s="24">
        <v>31</v>
      </c>
      <c r="L656" s="24">
        <v>424658</v>
      </c>
      <c r="M656" s="24">
        <v>1000000000</v>
      </c>
    </row>
    <row r="657" spans="1:13" s="48" customFormat="1" outlineLevel="2">
      <c r="A657" s="39" t="s">
        <v>270</v>
      </c>
      <c r="B657" s="40" t="s">
        <v>181</v>
      </c>
      <c r="C657" s="41" t="s">
        <v>75</v>
      </c>
      <c r="D657" s="40" t="s">
        <v>76</v>
      </c>
      <c r="E657" s="24">
        <v>47490000</v>
      </c>
      <c r="F657" s="39">
        <v>44137</v>
      </c>
      <c r="G657" s="24">
        <v>47490000</v>
      </c>
      <c r="H657" s="23">
        <v>5.0000000000000001E-3</v>
      </c>
      <c r="I657" s="39">
        <v>44317</v>
      </c>
      <c r="J657" s="39">
        <v>44347</v>
      </c>
      <c r="K657" s="24">
        <v>31</v>
      </c>
      <c r="L657" s="24">
        <v>20167</v>
      </c>
      <c r="M657" s="24">
        <v>47490000</v>
      </c>
    </row>
    <row r="658" spans="1:13" s="48" customFormat="1" outlineLevel="2">
      <c r="A658" s="39" t="s">
        <v>270</v>
      </c>
      <c r="B658" s="40" t="s">
        <v>182</v>
      </c>
      <c r="C658" s="41" t="s">
        <v>143</v>
      </c>
      <c r="D658" s="40" t="s">
        <v>144</v>
      </c>
      <c r="E658" s="24">
        <v>5300000</v>
      </c>
      <c r="F658" s="39">
        <v>44145</v>
      </c>
      <c r="G658" s="24">
        <v>5300000</v>
      </c>
      <c r="H658" s="23">
        <v>5.0000000000000001E-3</v>
      </c>
      <c r="I658" s="39">
        <v>44317</v>
      </c>
      <c r="J658" s="39">
        <v>44347</v>
      </c>
      <c r="K658" s="24">
        <v>31</v>
      </c>
      <c r="L658" s="24">
        <v>2251</v>
      </c>
      <c r="M658" s="24">
        <v>5300000</v>
      </c>
    </row>
    <row r="659" spans="1:13" s="48" customFormat="1" outlineLevel="2">
      <c r="A659" s="39" t="s">
        <v>270</v>
      </c>
      <c r="B659" s="40" t="s">
        <v>183</v>
      </c>
      <c r="C659" s="41" t="s">
        <v>143</v>
      </c>
      <c r="D659" s="40" t="s">
        <v>144</v>
      </c>
      <c r="E659" s="24">
        <v>4130000</v>
      </c>
      <c r="F659" s="39">
        <v>44151</v>
      </c>
      <c r="G659" s="24">
        <v>4130000</v>
      </c>
      <c r="H659" s="23">
        <v>5.0000000000000001E-3</v>
      </c>
      <c r="I659" s="39">
        <v>44317</v>
      </c>
      <c r="J659" s="39">
        <v>44347</v>
      </c>
      <c r="K659" s="24">
        <v>31</v>
      </c>
      <c r="L659" s="24">
        <v>1754</v>
      </c>
      <c r="M659" s="24">
        <v>4130000</v>
      </c>
    </row>
    <row r="660" spans="1:13" s="48" customFormat="1" outlineLevel="2">
      <c r="A660" s="39" t="s">
        <v>270</v>
      </c>
      <c r="B660" s="40" t="s">
        <v>63</v>
      </c>
      <c r="C660" s="41" t="s">
        <v>273</v>
      </c>
      <c r="D660" s="40" t="s">
        <v>272</v>
      </c>
      <c r="E660" s="24">
        <v>55600000</v>
      </c>
      <c r="F660" s="39">
        <v>43833</v>
      </c>
      <c r="G660" s="24">
        <v>55600000</v>
      </c>
      <c r="H660" s="23">
        <v>5.0000000000000001E-3</v>
      </c>
      <c r="I660" s="39">
        <v>44317</v>
      </c>
      <c r="J660" s="39">
        <v>44347</v>
      </c>
      <c r="K660" s="24">
        <v>31</v>
      </c>
      <c r="L660" s="24">
        <v>23611</v>
      </c>
      <c r="M660" s="24">
        <v>55600000</v>
      </c>
    </row>
    <row r="661" spans="1:13" s="48" customFormat="1" outlineLevel="2">
      <c r="A661" s="39" t="s">
        <v>270</v>
      </c>
      <c r="B661" s="40" t="s">
        <v>184</v>
      </c>
      <c r="C661" s="41" t="s">
        <v>143</v>
      </c>
      <c r="D661" s="40" t="s">
        <v>144</v>
      </c>
      <c r="E661" s="24">
        <v>6450000</v>
      </c>
      <c r="F661" s="39">
        <v>44165</v>
      </c>
      <c r="G661" s="24">
        <v>6450000</v>
      </c>
      <c r="H661" s="23">
        <v>5.0000000000000001E-3</v>
      </c>
      <c r="I661" s="39">
        <v>44317</v>
      </c>
      <c r="J661" s="39">
        <v>44347</v>
      </c>
      <c r="K661" s="24">
        <v>31</v>
      </c>
      <c r="L661" s="24">
        <v>2739</v>
      </c>
      <c r="M661" s="24">
        <v>6450000</v>
      </c>
    </row>
    <row r="662" spans="1:13" s="48" customFormat="1" outlineLevel="2">
      <c r="A662" s="39" t="s">
        <v>270</v>
      </c>
      <c r="B662" s="40" t="s">
        <v>185</v>
      </c>
      <c r="C662" s="41" t="s">
        <v>55</v>
      </c>
      <c r="D662" s="40" t="s">
        <v>56</v>
      </c>
      <c r="E662" s="24">
        <v>31466520</v>
      </c>
      <c r="F662" s="39">
        <v>44189</v>
      </c>
      <c r="G662" s="24">
        <v>31466520</v>
      </c>
      <c r="H662" s="23">
        <v>5.0000000000000001E-3</v>
      </c>
      <c r="I662" s="39">
        <v>44317</v>
      </c>
      <c r="J662" s="39">
        <v>44347</v>
      </c>
      <c r="K662" s="24">
        <v>31</v>
      </c>
      <c r="L662" s="24">
        <v>13362</v>
      </c>
      <c r="M662" s="24">
        <v>31466520</v>
      </c>
    </row>
    <row r="663" spans="1:13" s="48" customFormat="1" outlineLevel="2">
      <c r="A663" s="39" t="s">
        <v>270</v>
      </c>
      <c r="B663" s="40" t="s">
        <v>186</v>
      </c>
      <c r="C663" s="41" t="s">
        <v>274</v>
      </c>
      <c r="D663" s="40" t="s">
        <v>275</v>
      </c>
      <c r="E663" s="24">
        <v>14338200</v>
      </c>
      <c r="F663" s="39">
        <v>44174</v>
      </c>
      <c r="G663" s="24">
        <v>14338200</v>
      </c>
      <c r="H663" s="23">
        <v>5.0000000000000001E-3</v>
      </c>
      <c r="I663" s="39">
        <v>44317</v>
      </c>
      <c r="J663" s="39">
        <v>44347</v>
      </c>
      <c r="K663" s="24">
        <v>31</v>
      </c>
      <c r="L663" s="24">
        <v>6089</v>
      </c>
      <c r="M663" s="24">
        <v>14338200</v>
      </c>
    </row>
    <row r="664" spans="1:13" s="48" customFormat="1" outlineLevel="2">
      <c r="A664" s="39" t="s">
        <v>270</v>
      </c>
      <c r="B664" s="40" t="s">
        <v>189</v>
      </c>
      <c r="C664" s="41" t="s">
        <v>274</v>
      </c>
      <c r="D664" s="40" t="s">
        <v>275</v>
      </c>
      <c r="E664" s="24">
        <v>4977000</v>
      </c>
      <c r="F664" s="39">
        <v>44174</v>
      </c>
      <c r="G664" s="24">
        <v>4977000</v>
      </c>
      <c r="H664" s="23">
        <v>5.0000000000000001E-3</v>
      </c>
      <c r="I664" s="39">
        <v>44317</v>
      </c>
      <c r="J664" s="39">
        <v>44347</v>
      </c>
      <c r="K664" s="24">
        <v>31</v>
      </c>
      <c r="L664" s="24">
        <v>2114</v>
      </c>
      <c r="M664" s="24">
        <v>4977000</v>
      </c>
    </row>
    <row r="665" spans="1:13" s="48" customFormat="1" outlineLevel="2">
      <c r="A665" s="39" t="s">
        <v>270</v>
      </c>
      <c r="B665" s="40" t="s">
        <v>190</v>
      </c>
      <c r="C665" s="41" t="s">
        <v>115</v>
      </c>
      <c r="D665" s="40" t="s">
        <v>116</v>
      </c>
      <c r="E665" s="24">
        <v>40000000</v>
      </c>
      <c r="F665" s="39">
        <v>44193</v>
      </c>
      <c r="G665" s="24">
        <v>40000000</v>
      </c>
      <c r="H665" s="23">
        <v>5.0000000000000001E-3</v>
      </c>
      <c r="I665" s="39">
        <v>44317</v>
      </c>
      <c r="J665" s="39">
        <v>44347</v>
      </c>
      <c r="K665" s="24">
        <v>31</v>
      </c>
      <c r="L665" s="24">
        <v>16986</v>
      </c>
      <c r="M665" s="24">
        <v>40000000</v>
      </c>
    </row>
    <row r="666" spans="1:13" s="48" customFormat="1" outlineLevel="2">
      <c r="A666" s="39" t="s">
        <v>270</v>
      </c>
      <c r="B666" s="40" t="s">
        <v>191</v>
      </c>
      <c r="C666" s="41" t="s">
        <v>143</v>
      </c>
      <c r="D666" s="40" t="s">
        <v>144</v>
      </c>
      <c r="E666" s="24">
        <v>8890000</v>
      </c>
      <c r="F666" s="39">
        <v>44175</v>
      </c>
      <c r="G666" s="24">
        <v>8890000</v>
      </c>
      <c r="H666" s="23">
        <v>5.0000000000000001E-3</v>
      </c>
      <c r="I666" s="39">
        <v>44317</v>
      </c>
      <c r="J666" s="39">
        <v>44347</v>
      </c>
      <c r="K666" s="24">
        <v>31</v>
      </c>
      <c r="L666" s="24">
        <v>3775</v>
      </c>
      <c r="M666" s="24">
        <v>8890000</v>
      </c>
    </row>
    <row r="667" spans="1:13" s="48" customFormat="1" outlineLevel="2">
      <c r="A667" s="39" t="s">
        <v>270</v>
      </c>
      <c r="B667" s="40" t="s">
        <v>192</v>
      </c>
      <c r="C667" s="41" t="s">
        <v>143</v>
      </c>
      <c r="D667" s="40" t="s">
        <v>144</v>
      </c>
      <c r="E667" s="24">
        <v>4020000</v>
      </c>
      <c r="F667" s="39">
        <v>44196</v>
      </c>
      <c r="G667" s="24">
        <v>4020000</v>
      </c>
      <c r="H667" s="23">
        <v>5.0000000000000001E-3</v>
      </c>
      <c r="I667" s="39">
        <v>44317</v>
      </c>
      <c r="J667" s="39">
        <v>44347</v>
      </c>
      <c r="K667" s="24">
        <v>31</v>
      </c>
      <c r="L667" s="24">
        <v>1707</v>
      </c>
      <c r="M667" s="24">
        <v>4020000</v>
      </c>
    </row>
    <row r="668" spans="1:13" s="48" customFormat="1" outlineLevel="2">
      <c r="A668" s="39" t="s">
        <v>270</v>
      </c>
      <c r="B668" s="40" t="s">
        <v>193</v>
      </c>
      <c r="C668" s="41" t="s">
        <v>273</v>
      </c>
      <c r="D668" s="40" t="s">
        <v>272</v>
      </c>
      <c r="E668" s="24">
        <v>86700000</v>
      </c>
      <c r="F668" s="39">
        <v>44169</v>
      </c>
      <c r="G668" s="24">
        <v>86700000</v>
      </c>
      <c r="H668" s="23">
        <v>5.0000000000000001E-3</v>
      </c>
      <c r="I668" s="39">
        <v>44317</v>
      </c>
      <c r="J668" s="39">
        <v>44347</v>
      </c>
      <c r="K668" s="24">
        <v>31</v>
      </c>
      <c r="L668" s="24">
        <v>36818</v>
      </c>
      <c r="M668" s="24">
        <v>86700000</v>
      </c>
    </row>
    <row r="669" spans="1:13" s="48" customFormat="1" outlineLevel="2">
      <c r="A669" s="39" t="s">
        <v>270</v>
      </c>
      <c r="B669" s="40" t="s">
        <v>194</v>
      </c>
      <c r="C669" s="41" t="s">
        <v>274</v>
      </c>
      <c r="D669" s="40" t="s">
        <v>275</v>
      </c>
      <c r="E669" s="24">
        <v>4977000</v>
      </c>
      <c r="F669" s="39">
        <v>44209</v>
      </c>
      <c r="G669" s="24">
        <v>4977000</v>
      </c>
      <c r="H669" s="23">
        <v>5.0000000000000001E-3</v>
      </c>
      <c r="I669" s="39">
        <v>44317</v>
      </c>
      <c r="J669" s="39">
        <v>44347</v>
      </c>
      <c r="K669" s="24">
        <v>31</v>
      </c>
      <c r="L669" s="24">
        <v>2114</v>
      </c>
      <c r="M669" s="24">
        <v>4977000</v>
      </c>
    </row>
    <row r="670" spans="1:13" s="48" customFormat="1" outlineLevel="2">
      <c r="A670" s="39" t="s">
        <v>270</v>
      </c>
      <c r="B670" s="40" t="s">
        <v>195</v>
      </c>
      <c r="C670" s="41" t="s">
        <v>274</v>
      </c>
      <c r="D670" s="40" t="s">
        <v>275</v>
      </c>
      <c r="E670" s="24">
        <v>9862800</v>
      </c>
      <c r="F670" s="39">
        <v>44209</v>
      </c>
      <c r="G670" s="24">
        <v>9862800</v>
      </c>
      <c r="H670" s="23">
        <v>5.0000000000000001E-3</v>
      </c>
      <c r="I670" s="39">
        <v>44317</v>
      </c>
      <c r="J670" s="39">
        <v>44347</v>
      </c>
      <c r="K670" s="24">
        <v>31</v>
      </c>
      <c r="L670" s="24">
        <v>4188</v>
      </c>
      <c r="M670" s="24">
        <v>9862800</v>
      </c>
    </row>
    <row r="671" spans="1:13" s="48" customFormat="1" outlineLevel="2">
      <c r="A671" s="39" t="s">
        <v>270</v>
      </c>
      <c r="B671" s="40" t="s">
        <v>64</v>
      </c>
      <c r="C671" s="41" t="s">
        <v>273</v>
      </c>
      <c r="D671" s="40" t="s">
        <v>272</v>
      </c>
      <c r="E671" s="24">
        <v>28400000</v>
      </c>
      <c r="F671" s="39">
        <v>43833</v>
      </c>
      <c r="G671" s="24">
        <v>28400000</v>
      </c>
      <c r="H671" s="23">
        <v>5.0000000000000001E-3</v>
      </c>
      <c r="I671" s="39">
        <v>44317</v>
      </c>
      <c r="J671" s="39">
        <v>44347</v>
      </c>
      <c r="K671" s="24">
        <v>31</v>
      </c>
      <c r="L671" s="24">
        <v>12060</v>
      </c>
      <c r="M671" s="24">
        <v>28400000</v>
      </c>
    </row>
    <row r="672" spans="1:13" s="48" customFormat="1" outlineLevel="2">
      <c r="A672" s="39" t="s">
        <v>270</v>
      </c>
      <c r="B672" s="40" t="s">
        <v>196</v>
      </c>
      <c r="C672" s="41" t="s">
        <v>143</v>
      </c>
      <c r="D672" s="40" t="s">
        <v>144</v>
      </c>
      <c r="E672" s="24">
        <v>3620000</v>
      </c>
      <c r="F672" s="39">
        <v>44207</v>
      </c>
      <c r="G672" s="24">
        <v>3620000</v>
      </c>
      <c r="H672" s="23">
        <v>5.0000000000000001E-3</v>
      </c>
      <c r="I672" s="39">
        <v>44317</v>
      </c>
      <c r="J672" s="39">
        <v>44347</v>
      </c>
      <c r="K672" s="24">
        <v>31</v>
      </c>
      <c r="L672" s="24">
        <v>1537</v>
      </c>
      <c r="M672" s="24">
        <v>3620000</v>
      </c>
    </row>
    <row r="673" spans="1:13" s="48" customFormat="1" outlineLevel="2">
      <c r="A673" s="39" t="s">
        <v>270</v>
      </c>
      <c r="B673" s="40" t="s">
        <v>197</v>
      </c>
      <c r="C673" s="41" t="s">
        <v>273</v>
      </c>
      <c r="D673" s="40" t="s">
        <v>272</v>
      </c>
      <c r="E673" s="24">
        <v>20600000</v>
      </c>
      <c r="F673" s="39">
        <v>44201</v>
      </c>
      <c r="G673" s="24">
        <v>20600000</v>
      </c>
      <c r="H673" s="23">
        <v>5.0000000000000001E-3</v>
      </c>
      <c r="I673" s="39">
        <v>44317</v>
      </c>
      <c r="J673" s="39">
        <v>44347</v>
      </c>
      <c r="K673" s="24">
        <v>31</v>
      </c>
      <c r="L673" s="24">
        <v>8748</v>
      </c>
      <c r="M673" s="24">
        <v>20600000</v>
      </c>
    </row>
    <row r="674" spans="1:13" s="48" customFormat="1" outlineLevel="2">
      <c r="A674" s="39" t="s">
        <v>270</v>
      </c>
      <c r="B674" s="40" t="s">
        <v>198</v>
      </c>
      <c r="C674" s="41" t="s">
        <v>75</v>
      </c>
      <c r="D674" s="40" t="s">
        <v>76</v>
      </c>
      <c r="E674" s="24">
        <v>53640000</v>
      </c>
      <c r="F674" s="39">
        <v>44203</v>
      </c>
      <c r="G674" s="24">
        <v>53640000</v>
      </c>
      <c r="H674" s="23">
        <v>5.0000000000000001E-3</v>
      </c>
      <c r="I674" s="39">
        <v>44317</v>
      </c>
      <c r="J674" s="39">
        <v>44347</v>
      </c>
      <c r="K674" s="24">
        <v>31</v>
      </c>
      <c r="L674" s="24">
        <v>22779</v>
      </c>
      <c r="M674" s="24">
        <v>53640000</v>
      </c>
    </row>
    <row r="675" spans="1:13" s="48" customFormat="1" outlineLevel="2">
      <c r="A675" s="39" t="s">
        <v>270</v>
      </c>
      <c r="B675" s="40" t="s">
        <v>199</v>
      </c>
      <c r="C675" s="41" t="s">
        <v>302</v>
      </c>
      <c r="D675" s="40" t="s">
        <v>301</v>
      </c>
      <c r="E675" s="24">
        <v>40160000</v>
      </c>
      <c r="F675" s="39">
        <v>44232</v>
      </c>
      <c r="G675" s="24">
        <v>40160000</v>
      </c>
      <c r="H675" s="23">
        <v>5.0000000000000001E-3</v>
      </c>
      <c r="I675" s="39">
        <v>44317</v>
      </c>
      <c r="J675" s="39">
        <v>44347</v>
      </c>
      <c r="K675" s="24">
        <v>31</v>
      </c>
      <c r="L675" s="24">
        <v>17054</v>
      </c>
      <c r="M675" s="24">
        <v>40160000</v>
      </c>
    </row>
    <row r="676" spans="1:13" s="48" customFormat="1" outlineLevel="2">
      <c r="A676" s="39" t="s">
        <v>270</v>
      </c>
      <c r="B676" s="40" t="s">
        <v>200</v>
      </c>
      <c r="C676" s="41" t="s">
        <v>274</v>
      </c>
      <c r="D676" s="40" t="s">
        <v>275</v>
      </c>
      <c r="E676" s="24">
        <v>3655380</v>
      </c>
      <c r="F676" s="39">
        <v>44230</v>
      </c>
      <c r="G676" s="24">
        <v>3655380</v>
      </c>
      <c r="H676" s="23">
        <v>5.0000000000000001E-3</v>
      </c>
      <c r="I676" s="39">
        <v>44317</v>
      </c>
      <c r="J676" s="39">
        <v>44347</v>
      </c>
      <c r="K676" s="24">
        <v>31</v>
      </c>
      <c r="L676" s="24">
        <v>1552</v>
      </c>
      <c r="M676" s="24">
        <v>3655380</v>
      </c>
    </row>
    <row r="677" spans="1:13" s="48" customFormat="1" outlineLevel="2">
      <c r="A677" s="39" t="s">
        <v>270</v>
      </c>
      <c r="B677" s="40" t="s">
        <v>201</v>
      </c>
      <c r="C677" s="41" t="s">
        <v>274</v>
      </c>
      <c r="D677" s="40" t="s">
        <v>275</v>
      </c>
      <c r="E677" s="24">
        <v>9862800</v>
      </c>
      <c r="F677" s="39">
        <v>44230</v>
      </c>
      <c r="G677" s="24">
        <v>9862800</v>
      </c>
      <c r="H677" s="23">
        <v>5.0000000000000001E-3</v>
      </c>
      <c r="I677" s="39">
        <v>44317</v>
      </c>
      <c r="J677" s="39">
        <v>44347</v>
      </c>
      <c r="K677" s="24">
        <v>31</v>
      </c>
      <c r="L677" s="24">
        <v>4188</v>
      </c>
      <c r="M677" s="24">
        <v>9862800</v>
      </c>
    </row>
    <row r="678" spans="1:13" s="48" customFormat="1" outlineLevel="2">
      <c r="A678" s="39" t="s">
        <v>270</v>
      </c>
      <c r="B678" s="40" t="s">
        <v>202</v>
      </c>
      <c r="C678" s="41" t="s">
        <v>125</v>
      </c>
      <c r="D678" s="40" t="s">
        <v>126</v>
      </c>
      <c r="E678" s="24">
        <v>32000000</v>
      </c>
      <c r="F678" s="39">
        <v>44250</v>
      </c>
      <c r="G678" s="24">
        <v>32000000</v>
      </c>
      <c r="H678" s="23">
        <v>5.0000000000000001E-3</v>
      </c>
      <c r="I678" s="39">
        <v>44317</v>
      </c>
      <c r="J678" s="39">
        <v>44347</v>
      </c>
      <c r="K678" s="24">
        <v>31</v>
      </c>
      <c r="L678" s="24">
        <v>13589</v>
      </c>
      <c r="M678" s="24">
        <v>32000000</v>
      </c>
    </row>
    <row r="679" spans="1:13" s="48" customFormat="1" outlineLevel="2">
      <c r="A679" s="39" t="s">
        <v>270</v>
      </c>
      <c r="B679" s="40" t="s">
        <v>203</v>
      </c>
      <c r="C679" s="41" t="s">
        <v>143</v>
      </c>
      <c r="D679" s="40" t="s">
        <v>144</v>
      </c>
      <c r="E679" s="24">
        <v>2390000</v>
      </c>
      <c r="F679" s="39">
        <v>44228</v>
      </c>
      <c r="G679" s="24">
        <v>2390000</v>
      </c>
      <c r="H679" s="23">
        <v>5.0000000000000001E-3</v>
      </c>
      <c r="I679" s="39">
        <v>44317</v>
      </c>
      <c r="J679" s="39">
        <v>44347</v>
      </c>
      <c r="K679" s="24">
        <v>31</v>
      </c>
      <c r="L679" s="24">
        <v>1015</v>
      </c>
      <c r="M679" s="24">
        <v>2390000</v>
      </c>
    </row>
    <row r="680" spans="1:13" s="48" customFormat="1" outlineLevel="2">
      <c r="A680" s="39" t="s">
        <v>270</v>
      </c>
      <c r="B680" s="40" t="s">
        <v>204</v>
      </c>
      <c r="C680" s="41" t="s">
        <v>273</v>
      </c>
      <c r="D680" s="40" t="s">
        <v>272</v>
      </c>
      <c r="E680" s="24">
        <v>43200000</v>
      </c>
      <c r="F680" s="39">
        <v>44232</v>
      </c>
      <c r="G680" s="24">
        <v>43200000</v>
      </c>
      <c r="H680" s="23">
        <v>5.0000000000000001E-3</v>
      </c>
      <c r="I680" s="39">
        <v>44317</v>
      </c>
      <c r="J680" s="39">
        <v>44347</v>
      </c>
      <c r="K680" s="24">
        <v>31</v>
      </c>
      <c r="L680" s="24">
        <v>18345</v>
      </c>
      <c r="M680" s="24">
        <v>43200000</v>
      </c>
    </row>
    <row r="681" spans="1:13" s="48" customFormat="1" outlineLevel="2">
      <c r="A681" s="39" t="s">
        <v>270</v>
      </c>
      <c r="B681" s="40" t="s">
        <v>205</v>
      </c>
      <c r="C681" s="41" t="s">
        <v>273</v>
      </c>
      <c r="D681" s="40" t="s">
        <v>272</v>
      </c>
      <c r="E681" s="24">
        <v>4600000</v>
      </c>
      <c r="F681" s="39">
        <v>44232</v>
      </c>
      <c r="G681" s="24">
        <v>4600000</v>
      </c>
      <c r="H681" s="23">
        <v>5.0000000000000001E-3</v>
      </c>
      <c r="I681" s="39">
        <v>44317</v>
      </c>
      <c r="J681" s="39">
        <v>44347</v>
      </c>
      <c r="K681" s="24">
        <v>31</v>
      </c>
      <c r="L681" s="24">
        <v>1953</v>
      </c>
      <c r="M681" s="24">
        <v>4600000</v>
      </c>
    </row>
    <row r="682" spans="1:13" s="48" customFormat="1" outlineLevel="2">
      <c r="A682" s="39" t="s">
        <v>270</v>
      </c>
      <c r="B682" s="40" t="s">
        <v>65</v>
      </c>
      <c r="C682" s="41" t="s">
        <v>274</v>
      </c>
      <c r="D682" s="40" t="s">
        <v>275</v>
      </c>
      <c r="E682" s="24">
        <v>5452560</v>
      </c>
      <c r="F682" s="39">
        <v>43873</v>
      </c>
      <c r="G682" s="24">
        <v>5452560</v>
      </c>
      <c r="H682" s="23">
        <v>5.0000000000000001E-3</v>
      </c>
      <c r="I682" s="39">
        <v>44317</v>
      </c>
      <c r="J682" s="39">
        <v>44347</v>
      </c>
      <c r="K682" s="24">
        <v>31</v>
      </c>
      <c r="L682" s="24">
        <v>2315</v>
      </c>
      <c r="M682" s="24">
        <v>5452560</v>
      </c>
    </row>
    <row r="683" spans="1:13" s="48" customFormat="1" outlineLevel="2">
      <c r="A683" s="39" t="s">
        <v>270</v>
      </c>
      <c r="B683" s="40" t="s">
        <v>206</v>
      </c>
      <c r="C683" s="41" t="s">
        <v>302</v>
      </c>
      <c r="D683" s="40" t="s">
        <v>301</v>
      </c>
      <c r="E683" s="24">
        <v>40660000</v>
      </c>
      <c r="F683" s="39">
        <v>44272</v>
      </c>
      <c r="G683" s="24">
        <v>40660000</v>
      </c>
      <c r="H683" s="23">
        <v>5.0000000000000001E-3</v>
      </c>
      <c r="I683" s="39">
        <v>44317</v>
      </c>
      <c r="J683" s="39">
        <v>44347</v>
      </c>
      <c r="K683" s="24">
        <v>31</v>
      </c>
      <c r="L683" s="24">
        <v>17267</v>
      </c>
      <c r="M683" s="24">
        <v>40660000</v>
      </c>
    </row>
    <row r="684" spans="1:13" s="48" customFormat="1" outlineLevel="2">
      <c r="A684" s="39" t="s">
        <v>270</v>
      </c>
      <c r="B684" s="40" t="s">
        <v>207</v>
      </c>
      <c r="C684" s="41" t="s">
        <v>322</v>
      </c>
      <c r="D684" s="40" t="s">
        <v>321</v>
      </c>
      <c r="E684" s="24">
        <v>13800000</v>
      </c>
      <c r="F684" s="39">
        <v>44264</v>
      </c>
      <c r="G684" s="24">
        <v>13800000</v>
      </c>
      <c r="H684" s="23">
        <v>5.0000000000000001E-3</v>
      </c>
      <c r="I684" s="39">
        <v>44317</v>
      </c>
      <c r="J684" s="39">
        <v>44347</v>
      </c>
      <c r="K684" s="24">
        <v>31</v>
      </c>
      <c r="L684" s="24">
        <v>5860</v>
      </c>
      <c r="M684" s="24">
        <v>13800000</v>
      </c>
    </row>
    <row r="685" spans="1:13" s="48" customFormat="1" outlineLevel="2">
      <c r="A685" s="39" t="s">
        <v>270</v>
      </c>
      <c r="B685" s="40" t="s">
        <v>208</v>
      </c>
      <c r="C685" s="41" t="s">
        <v>274</v>
      </c>
      <c r="D685" s="40" t="s">
        <v>275</v>
      </c>
      <c r="E685" s="24">
        <v>8641320</v>
      </c>
      <c r="F685" s="39">
        <v>44265</v>
      </c>
      <c r="G685" s="24">
        <v>8641320</v>
      </c>
      <c r="H685" s="23">
        <v>5.0000000000000001E-3</v>
      </c>
      <c r="I685" s="39">
        <v>44317</v>
      </c>
      <c r="J685" s="39">
        <v>44347</v>
      </c>
      <c r="K685" s="24">
        <v>31</v>
      </c>
      <c r="L685" s="24">
        <v>3670</v>
      </c>
      <c r="M685" s="24">
        <v>8641320</v>
      </c>
    </row>
    <row r="686" spans="1:13" s="48" customFormat="1" outlineLevel="2">
      <c r="A686" s="39" t="s">
        <v>270</v>
      </c>
      <c r="B686" s="40" t="s">
        <v>209</v>
      </c>
      <c r="C686" s="41" t="s">
        <v>274</v>
      </c>
      <c r="D686" s="40" t="s">
        <v>275</v>
      </c>
      <c r="E686" s="24">
        <v>3655380</v>
      </c>
      <c r="F686" s="39">
        <v>44265</v>
      </c>
      <c r="G686" s="24">
        <v>3655380</v>
      </c>
      <c r="H686" s="23">
        <v>5.0000000000000001E-3</v>
      </c>
      <c r="I686" s="39">
        <v>44317</v>
      </c>
      <c r="J686" s="39">
        <v>44347</v>
      </c>
      <c r="K686" s="24">
        <v>31</v>
      </c>
      <c r="L686" s="24">
        <v>1552</v>
      </c>
      <c r="M686" s="24">
        <v>3655380</v>
      </c>
    </row>
    <row r="687" spans="1:13" s="48" customFormat="1" outlineLevel="2">
      <c r="A687" s="39" t="s">
        <v>270</v>
      </c>
      <c r="B687" s="40" t="s">
        <v>210</v>
      </c>
      <c r="C687" s="41" t="s">
        <v>274</v>
      </c>
      <c r="D687" s="40" t="s">
        <v>275</v>
      </c>
      <c r="E687" s="24">
        <v>13280000</v>
      </c>
      <c r="F687" s="39">
        <v>44272</v>
      </c>
      <c r="G687" s="24">
        <v>13280000</v>
      </c>
      <c r="H687" s="23">
        <v>5.0000000000000001E-3</v>
      </c>
      <c r="I687" s="39">
        <v>44317</v>
      </c>
      <c r="J687" s="39">
        <v>44347</v>
      </c>
      <c r="K687" s="24">
        <v>31</v>
      </c>
      <c r="L687" s="24">
        <v>5639</v>
      </c>
      <c r="M687" s="24">
        <v>13280000</v>
      </c>
    </row>
    <row r="688" spans="1:13" s="48" customFormat="1" outlineLevel="2">
      <c r="A688" s="39" t="s">
        <v>270</v>
      </c>
      <c r="B688" s="40" t="s">
        <v>211</v>
      </c>
      <c r="C688" s="41" t="s">
        <v>115</v>
      </c>
      <c r="D688" s="40" t="s">
        <v>116</v>
      </c>
      <c r="E688" s="24">
        <v>47000000</v>
      </c>
      <c r="F688" s="39">
        <v>44284</v>
      </c>
      <c r="G688" s="24">
        <v>47000000</v>
      </c>
      <c r="H688" s="23">
        <v>5.0000000000000001E-3</v>
      </c>
      <c r="I688" s="39">
        <v>44317</v>
      </c>
      <c r="J688" s="39">
        <v>44347</v>
      </c>
      <c r="K688" s="24">
        <v>31</v>
      </c>
      <c r="L688" s="24">
        <v>19959</v>
      </c>
      <c r="M688" s="24">
        <v>47000000</v>
      </c>
    </row>
    <row r="689" spans="1:13" s="48" customFormat="1" outlineLevel="2">
      <c r="A689" s="39" t="s">
        <v>270</v>
      </c>
      <c r="B689" s="40" t="s">
        <v>212</v>
      </c>
      <c r="C689" s="41" t="s">
        <v>143</v>
      </c>
      <c r="D689" s="40" t="s">
        <v>144</v>
      </c>
      <c r="E689" s="24">
        <v>5840000</v>
      </c>
      <c r="F689" s="39">
        <v>44257</v>
      </c>
      <c r="G689" s="24">
        <v>5840000</v>
      </c>
      <c r="H689" s="23">
        <v>5.0000000000000001E-3</v>
      </c>
      <c r="I689" s="39">
        <v>44317</v>
      </c>
      <c r="J689" s="39">
        <v>44347</v>
      </c>
      <c r="K689" s="24">
        <v>31</v>
      </c>
      <c r="L689" s="24">
        <v>2480</v>
      </c>
      <c r="M689" s="24">
        <v>5840000</v>
      </c>
    </row>
    <row r="690" spans="1:13" s="48" customFormat="1" outlineLevel="2">
      <c r="A690" s="39" t="s">
        <v>270</v>
      </c>
      <c r="B690" s="40" t="s">
        <v>213</v>
      </c>
      <c r="C690" s="41" t="s">
        <v>143</v>
      </c>
      <c r="D690" s="40" t="s">
        <v>144</v>
      </c>
      <c r="E690" s="24">
        <v>3570000</v>
      </c>
      <c r="F690" s="39">
        <v>44286</v>
      </c>
      <c r="G690" s="24">
        <v>3570000</v>
      </c>
      <c r="H690" s="23">
        <v>5.0000000000000001E-3</v>
      </c>
      <c r="I690" s="39">
        <v>44317</v>
      </c>
      <c r="J690" s="39">
        <v>44347</v>
      </c>
      <c r="K690" s="24">
        <v>31</v>
      </c>
      <c r="L690" s="24">
        <v>1516</v>
      </c>
      <c r="M690" s="24">
        <v>3570000</v>
      </c>
    </row>
    <row r="691" spans="1:13" s="48" customFormat="1" outlineLevel="2">
      <c r="A691" s="39" t="s">
        <v>270</v>
      </c>
      <c r="B691" s="40" t="s">
        <v>214</v>
      </c>
      <c r="C691" s="41" t="s">
        <v>273</v>
      </c>
      <c r="D691" s="40" t="s">
        <v>272</v>
      </c>
      <c r="E691" s="24">
        <v>63400000</v>
      </c>
      <c r="F691" s="39">
        <v>44260</v>
      </c>
      <c r="G691" s="24">
        <v>63400000</v>
      </c>
      <c r="H691" s="23">
        <v>5.0000000000000001E-3</v>
      </c>
      <c r="I691" s="39">
        <v>44317</v>
      </c>
      <c r="J691" s="39">
        <v>44347</v>
      </c>
      <c r="K691" s="24">
        <v>31</v>
      </c>
      <c r="L691" s="24">
        <v>26923</v>
      </c>
      <c r="M691" s="24">
        <v>63400000</v>
      </c>
    </row>
    <row r="692" spans="1:13" s="48" customFormat="1" outlineLevel="2">
      <c r="A692" s="39" t="s">
        <v>270</v>
      </c>
      <c r="B692" s="40" t="s">
        <v>215</v>
      </c>
      <c r="C692" s="41" t="s">
        <v>273</v>
      </c>
      <c r="D692" s="40" t="s">
        <v>272</v>
      </c>
      <c r="E692" s="24">
        <v>2800000</v>
      </c>
      <c r="F692" s="39">
        <v>44260</v>
      </c>
      <c r="G692" s="24">
        <v>2800000</v>
      </c>
      <c r="H692" s="23">
        <v>5.0000000000000001E-3</v>
      </c>
      <c r="I692" s="39">
        <v>44317</v>
      </c>
      <c r="J692" s="39">
        <v>44347</v>
      </c>
      <c r="K692" s="24">
        <v>31</v>
      </c>
      <c r="L692" s="24">
        <v>1189</v>
      </c>
      <c r="M692" s="24">
        <v>2800000</v>
      </c>
    </row>
    <row r="693" spans="1:13" s="48" customFormat="1" outlineLevel="2">
      <c r="A693" s="39" t="s">
        <v>270</v>
      </c>
      <c r="B693" s="40" t="s">
        <v>68</v>
      </c>
      <c r="C693" s="41" t="s">
        <v>274</v>
      </c>
      <c r="D693" s="40" t="s">
        <v>275</v>
      </c>
      <c r="E693" s="24">
        <v>7270080</v>
      </c>
      <c r="F693" s="39">
        <v>43873</v>
      </c>
      <c r="G693" s="24">
        <v>7270080</v>
      </c>
      <c r="H693" s="23">
        <v>5.0000000000000001E-3</v>
      </c>
      <c r="I693" s="39">
        <v>44317</v>
      </c>
      <c r="J693" s="39">
        <v>44347</v>
      </c>
      <c r="K693" s="24">
        <v>31</v>
      </c>
      <c r="L693" s="24">
        <v>3087</v>
      </c>
      <c r="M693" s="24">
        <v>7270080</v>
      </c>
    </row>
    <row r="694" spans="1:13" s="48" customFormat="1" outlineLevel="2">
      <c r="A694" s="39" t="s">
        <v>270</v>
      </c>
      <c r="B694" s="40" t="s">
        <v>216</v>
      </c>
      <c r="C694" s="41" t="s">
        <v>75</v>
      </c>
      <c r="D694" s="40" t="s">
        <v>76</v>
      </c>
      <c r="E694" s="24">
        <v>48420000</v>
      </c>
      <c r="F694" s="39">
        <v>44280</v>
      </c>
      <c r="G694" s="24">
        <v>48420000</v>
      </c>
      <c r="H694" s="23">
        <v>5.0000000000000001E-3</v>
      </c>
      <c r="I694" s="39">
        <v>44317</v>
      </c>
      <c r="J694" s="39">
        <v>44347</v>
      </c>
      <c r="K694" s="24">
        <v>31</v>
      </c>
      <c r="L694" s="24">
        <v>20562</v>
      </c>
      <c r="M694" s="24">
        <v>48420000</v>
      </c>
    </row>
    <row r="695" spans="1:13" s="48" customFormat="1" outlineLevel="2">
      <c r="A695" s="39" t="s">
        <v>270</v>
      </c>
      <c r="B695" s="40" t="s">
        <v>217</v>
      </c>
      <c r="C695" s="41" t="s">
        <v>274</v>
      </c>
      <c r="D695" s="40" t="s">
        <v>275</v>
      </c>
      <c r="E695" s="24">
        <v>8641320</v>
      </c>
      <c r="F695" s="39">
        <v>44293</v>
      </c>
      <c r="G695" s="24">
        <v>8641320</v>
      </c>
      <c r="H695" s="23">
        <v>5.0000000000000001E-3</v>
      </c>
      <c r="I695" s="39">
        <v>44317</v>
      </c>
      <c r="J695" s="39">
        <v>44347</v>
      </c>
      <c r="K695" s="24">
        <v>31</v>
      </c>
      <c r="L695" s="24">
        <v>3670</v>
      </c>
      <c r="M695" s="24">
        <v>8641320</v>
      </c>
    </row>
    <row r="696" spans="1:13" s="48" customFormat="1" outlineLevel="2">
      <c r="A696" s="39" t="s">
        <v>270</v>
      </c>
      <c r="B696" s="40" t="s">
        <v>218</v>
      </c>
      <c r="C696" s="41" t="s">
        <v>274</v>
      </c>
      <c r="D696" s="40" t="s">
        <v>275</v>
      </c>
      <c r="E696" s="24">
        <v>10475040</v>
      </c>
      <c r="F696" s="39">
        <v>44293</v>
      </c>
      <c r="G696" s="24">
        <v>10475040</v>
      </c>
      <c r="H696" s="23">
        <v>5.0000000000000001E-3</v>
      </c>
      <c r="I696" s="39">
        <v>44317</v>
      </c>
      <c r="J696" s="39">
        <v>44347</v>
      </c>
      <c r="K696" s="24">
        <v>31</v>
      </c>
      <c r="L696" s="24">
        <v>4448</v>
      </c>
      <c r="M696" s="24">
        <v>10475040</v>
      </c>
    </row>
    <row r="697" spans="1:13" s="48" customFormat="1" outlineLevel="2">
      <c r="A697" s="39" t="s">
        <v>270</v>
      </c>
      <c r="B697" s="40" t="s">
        <v>221</v>
      </c>
      <c r="C697" s="41" t="s">
        <v>143</v>
      </c>
      <c r="D697" s="40" t="s">
        <v>144</v>
      </c>
      <c r="E697" s="24">
        <v>2890000</v>
      </c>
      <c r="F697" s="39">
        <v>44298</v>
      </c>
      <c r="G697" s="24">
        <v>2890000</v>
      </c>
      <c r="H697" s="23">
        <v>5.0000000000000001E-3</v>
      </c>
      <c r="I697" s="39">
        <v>44317</v>
      </c>
      <c r="J697" s="39">
        <v>44347</v>
      </c>
      <c r="K697" s="24">
        <v>31</v>
      </c>
      <c r="L697" s="24">
        <v>1227</v>
      </c>
      <c r="M697" s="24">
        <v>2890000</v>
      </c>
    </row>
    <row r="698" spans="1:13" s="48" customFormat="1" outlineLevel="2">
      <c r="A698" s="39" t="s">
        <v>270</v>
      </c>
      <c r="B698" s="40" t="s">
        <v>222</v>
      </c>
      <c r="C698" s="41" t="s">
        <v>273</v>
      </c>
      <c r="D698" s="40" t="s">
        <v>272</v>
      </c>
      <c r="E698" s="24">
        <v>5600000</v>
      </c>
      <c r="F698" s="39">
        <v>44287</v>
      </c>
      <c r="G698" s="24">
        <v>5600000</v>
      </c>
      <c r="H698" s="23">
        <v>5.0000000000000001E-3</v>
      </c>
      <c r="I698" s="39">
        <v>44317</v>
      </c>
      <c r="J698" s="39">
        <v>44347</v>
      </c>
      <c r="K698" s="24">
        <v>31</v>
      </c>
      <c r="L698" s="24">
        <v>2378</v>
      </c>
      <c r="M698" s="24">
        <v>5600000</v>
      </c>
    </row>
    <row r="699" spans="1:13" s="48" customFormat="1" outlineLevel="2">
      <c r="A699" s="39" t="s">
        <v>270</v>
      </c>
      <c r="B699" s="40" t="s">
        <v>223</v>
      </c>
      <c r="C699" s="41" t="s">
        <v>273</v>
      </c>
      <c r="D699" s="40" t="s">
        <v>272</v>
      </c>
      <c r="E699" s="24">
        <v>24000000</v>
      </c>
      <c r="F699" s="39">
        <v>44287</v>
      </c>
      <c r="G699" s="24">
        <v>24000000</v>
      </c>
      <c r="H699" s="23">
        <v>5.0000000000000001E-3</v>
      </c>
      <c r="I699" s="39">
        <v>44317</v>
      </c>
      <c r="J699" s="39">
        <v>44347</v>
      </c>
      <c r="K699" s="24">
        <v>31</v>
      </c>
      <c r="L699" s="24">
        <v>10192</v>
      </c>
      <c r="M699" s="24">
        <v>24000000</v>
      </c>
    </row>
    <row r="700" spans="1:13" s="48" customFormat="1" outlineLevel="2">
      <c r="A700" s="39" t="s">
        <v>270</v>
      </c>
      <c r="B700" s="40" t="s">
        <v>224</v>
      </c>
      <c r="C700" s="41" t="s">
        <v>341</v>
      </c>
      <c r="D700" s="40" t="s">
        <v>340</v>
      </c>
      <c r="E700" s="24">
        <v>19600000</v>
      </c>
      <c r="F700" s="39">
        <v>44314</v>
      </c>
      <c r="G700" s="24">
        <v>19600000</v>
      </c>
      <c r="H700" s="23">
        <v>5.0000000000000001E-3</v>
      </c>
      <c r="I700" s="39">
        <v>44317</v>
      </c>
      <c r="J700" s="39">
        <v>44347</v>
      </c>
      <c r="K700" s="24">
        <v>31</v>
      </c>
      <c r="L700" s="24">
        <v>8323</v>
      </c>
      <c r="M700" s="24">
        <v>19600000</v>
      </c>
    </row>
    <row r="701" spans="1:13" s="48" customFormat="1" outlineLevel="2">
      <c r="A701" s="39" t="s">
        <v>270</v>
      </c>
      <c r="B701" s="40" t="s">
        <v>225</v>
      </c>
      <c r="C701" s="41" t="s">
        <v>341</v>
      </c>
      <c r="D701" s="40" t="s">
        <v>340</v>
      </c>
      <c r="E701" s="24">
        <v>46800000</v>
      </c>
      <c r="F701" s="39">
        <v>44314</v>
      </c>
      <c r="G701" s="24">
        <v>46800000</v>
      </c>
      <c r="H701" s="23">
        <v>5.0000000000000001E-3</v>
      </c>
      <c r="I701" s="39">
        <v>44317</v>
      </c>
      <c r="J701" s="39">
        <v>44347</v>
      </c>
      <c r="K701" s="24">
        <v>31</v>
      </c>
      <c r="L701" s="24">
        <v>19874</v>
      </c>
      <c r="M701" s="24">
        <v>46800000</v>
      </c>
    </row>
    <row r="702" spans="1:13" s="48" customFormat="1" outlineLevel="2">
      <c r="A702" s="39" t="s">
        <v>270</v>
      </c>
      <c r="B702" s="40" t="s">
        <v>226</v>
      </c>
      <c r="C702" s="41" t="s">
        <v>274</v>
      </c>
      <c r="D702" s="40" t="s">
        <v>275</v>
      </c>
      <c r="E702" s="24">
        <v>10475040</v>
      </c>
      <c r="F702" s="39">
        <v>44328</v>
      </c>
      <c r="G702" s="24">
        <v>10475040</v>
      </c>
      <c r="H702" s="23">
        <v>5.0000000000000001E-3</v>
      </c>
      <c r="I702" s="39">
        <v>44328</v>
      </c>
      <c r="J702" s="39">
        <v>44347</v>
      </c>
      <c r="K702" s="24">
        <v>20</v>
      </c>
      <c r="L702" s="24">
        <v>2870</v>
      </c>
      <c r="M702" s="24">
        <v>10475040</v>
      </c>
    </row>
    <row r="703" spans="1:13" s="48" customFormat="1" outlineLevel="2">
      <c r="A703" s="39" t="s">
        <v>270</v>
      </c>
      <c r="B703" s="40" t="s">
        <v>227</v>
      </c>
      <c r="C703" s="41" t="s">
        <v>274</v>
      </c>
      <c r="D703" s="40" t="s">
        <v>275</v>
      </c>
      <c r="E703" s="24">
        <v>18388440</v>
      </c>
      <c r="F703" s="39">
        <v>44328</v>
      </c>
      <c r="G703" s="24">
        <v>18388440</v>
      </c>
      <c r="H703" s="23">
        <v>5.0000000000000001E-3</v>
      </c>
      <c r="I703" s="39">
        <v>44328</v>
      </c>
      <c r="J703" s="39">
        <v>44347</v>
      </c>
      <c r="K703" s="24">
        <v>20</v>
      </c>
      <c r="L703" s="24">
        <v>5038</v>
      </c>
      <c r="M703" s="24">
        <v>18388440</v>
      </c>
    </row>
    <row r="704" spans="1:13" s="48" customFormat="1" outlineLevel="1">
      <c r="A704" s="42" t="s">
        <v>282</v>
      </c>
      <c r="B704" s="43"/>
      <c r="C704" s="44"/>
      <c r="D704" s="43"/>
      <c r="E704" s="45">
        <v>4361646512</v>
      </c>
      <c r="F704" s="46"/>
      <c r="G704" s="45"/>
      <c r="H704" s="47"/>
      <c r="I704" s="46"/>
      <c r="J704" s="46"/>
      <c r="K704" s="45"/>
      <c r="L704" s="45">
        <v>1831761</v>
      </c>
      <c r="M704" s="45">
        <v>4361646512</v>
      </c>
    </row>
    <row r="705" spans="1:13" s="48" customFormat="1" outlineLevel="2">
      <c r="A705" s="39" t="s">
        <v>283</v>
      </c>
      <c r="B705" s="40" t="s">
        <v>16</v>
      </c>
      <c r="C705" s="41" t="s">
        <v>284</v>
      </c>
      <c r="D705" s="40" t="s">
        <v>285</v>
      </c>
      <c r="E705" s="24">
        <v>50000000</v>
      </c>
      <c r="F705" s="39">
        <v>44211</v>
      </c>
      <c r="G705" s="24">
        <v>50000000</v>
      </c>
      <c r="H705" s="23">
        <v>5.0000000000000001E-3</v>
      </c>
      <c r="I705" s="39">
        <v>44317</v>
      </c>
      <c r="J705" s="39">
        <v>44347</v>
      </c>
      <c r="K705" s="24">
        <v>31</v>
      </c>
      <c r="L705" s="24">
        <v>21233</v>
      </c>
      <c r="M705" s="24">
        <v>50000000</v>
      </c>
    </row>
    <row r="706" spans="1:13" s="48" customFormat="1" outlineLevel="1">
      <c r="A706" s="42" t="s">
        <v>286</v>
      </c>
      <c r="B706" s="43"/>
      <c r="C706" s="44"/>
      <c r="D706" s="43"/>
      <c r="E706" s="45">
        <v>50000000</v>
      </c>
      <c r="F706" s="46"/>
      <c r="G706" s="45"/>
      <c r="H706" s="47"/>
      <c r="I706" s="46"/>
      <c r="J706" s="46"/>
      <c r="K706" s="45"/>
      <c r="L706" s="45">
        <v>21233</v>
      </c>
      <c r="M706" s="45">
        <v>50000000</v>
      </c>
    </row>
    <row r="707" spans="1:13" s="48" customFormat="1" outlineLevel="2">
      <c r="A707" s="39" t="s">
        <v>287</v>
      </c>
      <c r="B707" s="40" t="s">
        <v>16</v>
      </c>
      <c r="C707" s="41" t="s">
        <v>30</v>
      </c>
      <c r="D707" s="40" t="s">
        <v>31</v>
      </c>
      <c r="E707" s="24">
        <v>20000000</v>
      </c>
      <c r="F707" s="39">
        <v>43985</v>
      </c>
      <c r="G707" s="24">
        <v>20000000</v>
      </c>
      <c r="H707" s="23">
        <v>5.0000000000000001E-3</v>
      </c>
      <c r="I707" s="39">
        <v>44317</v>
      </c>
      <c r="J707" s="39">
        <v>44347</v>
      </c>
      <c r="K707" s="24">
        <v>31</v>
      </c>
      <c r="L707" s="24">
        <v>8493</v>
      </c>
      <c r="M707" s="24">
        <v>20000000</v>
      </c>
    </row>
    <row r="708" spans="1:13" s="48" customFormat="1" outlineLevel="2">
      <c r="A708" s="39" t="s">
        <v>287</v>
      </c>
      <c r="B708" s="40" t="s">
        <v>39</v>
      </c>
      <c r="C708" s="41" t="s">
        <v>30</v>
      </c>
      <c r="D708" s="40" t="s">
        <v>31</v>
      </c>
      <c r="E708" s="24">
        <v>13800000</v>
      </c>
      <c r="F708" s="39">
        <v>44034</v>
      </c>
      <c r="G708" s="24">
        <v>13800000</v>
      </c>
      <c r="H708" s="23">
        <v>5.0000000000000001E-3</v>
      </c>
      <c r="I708" s="39">
        <v>44317</v>
      </c>
      <c r="J708" s="39">
        <v>44347</v>
      </c>
      <c r="K708" s="24">
        <v>31</v>
      </c>
      <c r="L708" s="24">
        <v>5860</v>
      </c>
      <c r="M708" s="24">
        <v>13800000</v>
      </c>
    </row>
    <row r="709" spans="1:13" s="48" customFormat="1" outlineLevel="2">
      <c r="A709" s="39" t="s">
        <v>287</v>
      </c>
      <c r="B709" s="40" t="s">
        <v>54</v>
      </c>
      <c r="C709" s="41" t="s">
        <v>30</v>
      </c>
      <c r="D709" s="40" t="s">
        <v>31</v>
      </c>
      <c r="E709" s="24">
        <v>25000000</v>
      </c>
      <c r="F709" s="39">
        <v>44102</v>
      </c>
      <c r="G709" s="24">
        <v>25000000</v>
      </c>
      <c r="H709" s="23">
        <v>5.0000000000000001E-3</v>
      </c>
      <c r="I709" s="39">
        <v>44317</v>
      </c>
      <c r="J709" s="39">
        <v>44347</v>
      </c>
      <c r="K709" s="24">
        <v>31</v>
      </c>
      <c r="L709" s="24">
        <v>10616</v>
      </c>
      <c r="M709" s="24">
        <v>25000000</v>
      </c>
    </row>
    <row r="710" spans="1:13" s="48" customFormat="1" outlineLevel="2">
      <c r="A710" s="39" t="s">
        <v>287</v>
      </c>
      <c r="B710" s="40" t="s">
        <v>59</v>
      </c>
      <c r="C710" s="41" t="s">
        <v>30</v>
      </c>
      <c r="D710" s="40" t="s">
        <v>31</v>
      </c>
      <c r="E710" s="24">
        <v>5600000</v>
      </c>
      <c r="F710" s="39">
        <v>44103</v>
      </c>
      <c r="G710" s="24">
        <v>5600000</v>
      </c>
      <c r="H710" s="23">
        <v>5.0000000000000001E-3</v>
      </c>
      <c r="I710" s="39">
        <v>44317</v>
      </c>
      <c r="J710" s="39">
        <v>44347</v>
      </c>
      <c r="K710" s="24">
        <v>31</v>
      </c>
      <c r="L710" s="24">
        <v>2378</v>
      </c>
      <c r="M710" s="24">
        <v>5600000</v>
      </c>
    </row>
    <row r="711" spans="1:13" s="48" customFormat="1" outlineLevel="1">
      <c r="A711" s="42" t="s">
        <v>288</v>
      </c>
      <c r="B711" s="43"/>
      <c r="C711" s="44"/>
      <c r="D711" s="43"/>
      <c r="E711" s="45">
        <v>64400000</v>
      </c>
      <c r="F711" s="46"/>
      <c r="G711" s="45"/>
      <c r="H711" s="47"/>
      <c r="I711" s="46"/>
      <c r="J711" s="46"/>
      <c r="K711" s="45"/>
      <c r="L711" s="45">
        <v>27347</v>
      </c>
      <c r="M711" s="45">
        <v>64400000</v>
      </c>
    </row>
    <row r="712" spans="1:13" s="48" customFormat="1" outlineLevel="2">
      <c r="A712" s="39" t="s">
        <v>289</v>
      </c>
      <c r="B712" s="40" t="s">
        <v>16</v>
      </c>
      <c r="C712" s="41" t="s">
        <v>121</v>
      </c>
      <c r="D712" s="40" t="s">
        <v>122</v>
      </c>
      <c r="E712" s="24">
        <v>72000000</v>
      </c>
      <c r="F712" s="39">
        <v>43917</v>
      </c>
      <c r="G712" s="24">
        <v>72000000</v>
      </c>
      <c r="H712" s="23">
        <v>5.0000000000000001E-3</v>
      </c>
      <c r="I712" s="39">
        <v>44317</v>
      </c>
      <c r="J712" s="39">
        <v>44347</v>
      </c>
      <c r="K712" s="24">
        <v>31</v>
      </c>
      <c r="L712" s="24">
        <v>30575</v>
      </c>
      <c r="M712" s="24">
        <v>72000000</v>
      </c>
    </row>
    <row r="713" spans="1:13" s="48" customFormat="1" outlineLevel="2">
      <c r="A713" s="39" t="s">
        <v>289</v>
      </c>
      <c r="B713" s="40" t="s">
        <v>39</v>
      </c>
      <c r="C713" s="41" t="s">
        <v>121</v>
      </c>
      <c r="D713" s="40" t="s">
        <v>122</v>
      </c>
      <c r="E713" s="24">
        <v>144000000</v>
      </c>
      <c r="F713" s="39">
        <v>44018</v>
      </c>
      <c r="G713" s="24">
        <v>144000000</v>
      </c>
      <c r="H713" s="23">
        <v>5.0000000000000001E-3</v>
      </c>
      <c r="I713" s="39">
        <v>44317</v>
      </c>
      <c r="J713" s="39">
        <v>44347</v>
      </c>
      <c r="K713" s="24">
        <v>31</v>
      </c>
      <c r="L713" s="24">
        <v>61151</v>
      </c>
      <c r="M713" s="24">
        <v>144000000</v>
      </c>
    </row>
    <row r="714" spans="1:13" s="48" customFormat="1" outlineLevel="2">
      <c r="A714" s="39" t="s">
        <v>289</v>
      </c>
      <c r="B714" s="40" t="s">
        <v>54</v>
      </c>
      <c r="C714" s="41" t="s">
        <v>290</v>
      </c>
      <c r="D714" s="40" t="s">
        <v>291</v>
      </c>
      <c r="E714" s="24">
        <v>6820000</v>
      </c>
      <c r="F714" s="39">
        <v>44092</v>
      </c>
      <c r="G714" s="24">
        <v>6024331</v>
      </c>
      <c r="H714" s="23">
        <v>5.0000000000000001E-3</v>
      </c>
      <c r="I714" s="39">
        <v>44317</v>
      </c>
      <c r="J714" s="39">
        <v>44332</v>
      </c>
      <c r="K714" s="24">
        <v>16</v>
      </c>
      <c r="L714" s="24">
        <v>1320</v>
      </c>
      <c r="M714" s="24">
        <v>5910664</v>
      </c>
    </row>
    <row r="715" spans="1:13" s="48" customFormat="1" outlineLevel="2">
      <c r="A715" s="39" t="s">
        <v>289</v>
      </c>
      <c r="B715" s="40" t="s">
        <v>54</v>
      </c>
      <c r="C715" s="41" t="s">
        <v>290</v>
      </c>
      <c r="D715" s="40"/>
      <c r="E715" s="24"/>
      <c r="F715" s="39"/>
      <c r="G715" s="24">
        <v>5910664</v>
      </c>
      <c r="H715" s="23">
        <v>5.0000000000000001E-3</v>
      </c>
      <c r="I715" s="39">
        <v>44333</v>
      </c>
      <c r="J715" s="39">
        <v>44347</v>
      </c>
      <c r="K715" s="24">
        <v>15</v>
      </c>
      <c r="L715" s="24">
        <v>1215</v>
      </c>
      <c r="M715" s="24"/>
    </row>
    <row r="716" spans="1:13" s="48" customFormat="1" outlineLevel="2">
      <c r="A716" s="39" t="s">
        <v>289</v>
      </c>
      <c r="B716" s="40" t="s">
        <v>59</v>
      </c>
      <c r="C716" s="41" t="s">
        <v>290</v>
      </c>
      <c r="D716" s="40" t="s">
        <v>291</v>
      </c>
      <c r="E716" s="24">
        <v>17380000</v>
      </c>
      <c r="F716" s="39">
        <v>44092</v>
      </c>
      <c r="G716" s="24">
        <v>14000554</v>
      </c>
      <c r="H716" s="23">
        <v>5.0000000000000001E-3</v>
      </c>
      <c r="I716" s="39">
        <v>44317</v>
      </c>
      <c r="J716" s="39">
        <v>44332</v>
      </c>
      <c r="K716" s="24">
        <v>16</v>
      </c>
      <c r="L716" s="24">
        <v>3069</v>
      </c>
      <c r="M716" s="24">
        <v>13517776</v>
      </c>
    </row>
    <row r="717" spans="1:13" s="48" customFormat="1" outlineLevel="2">
      <c r="A717" s="39" t="s">
        <v>289</v>
      </c>
      <c r="B717" s="40" t="s">
        <v>59</v>
      </c>
      <c r="C717" s="41" t="s">
        <v>290</v>
      </c>
      <c r="D717" s="40"/>
      <c r="E717" s="24"/>
      <c r="F717" s="39"/>
      <c r="G717" s="24">
        <v>13517776</v>
      </c>
      <c r="H717" s="23">
        <v>5.0000000000000001E-3</v>
      </c>
      <c r="I717" s="39">
        <v>44333</v>
      </c>
      <c r="J717" s="39">
        <v>44347</v>
      </c>
      <c r="K717" s="24">
        <v>15</v>
      </c>
      <c r="L717" s="24">
        <v>2778</v>
      </c>
      <c r="M717" s="24"/>
    </row>
    <row r="718" spans="1:13" s="48" customFormat="1" outlineLevel="2">
      <c r="A718" s="39" t="s">
        <v>289</v>
      </c>
      <c r="B718" s="40" t="s">
        <v>62</v>
      </c>
      <c r="C718" s="41" t="s">
        <v>121</v>
      </c>
      <c r="D718" s="40" t="s">
        <v>122</v>
      </c>
      <c r="E718" s="24">
        <v>41000000</v>
      </c>
      <c r="F718" s="39">
        <v>44140</v>
      </c>
      <c r="G718" s="24">
        <v>41000000</v>
      </c>
      <c r="H718" s="23">
        <v>5.0000000000000001E-3</v>
      </c>
      <c r="I718" s="39">
        <v>44317</v>
      </c>
      <c r="J718" s="39">
        <v>44347</v>
      </c>
      <c r="K718" s="24">
        <v>31</v>
      </c>
      <c r="L718" s="24">
        <v>17411</v>
      </c>
      <c r="M718" s="24">
        <v>41000000</v>
      </c>
    </row>
    <row r="719" spans="1:13" s="48" customFormat="1" outlineLevel="2">
      <c r="A719" s="39" t="s">
        <v>289</v>
      </c>
      <c r="B719" s="40" t="s">
        <v>63</v>
      </c>
      <c r="C719" s="41" t="s">
        <v>290</v>
      </c>
      <c r="D719" s="40" t="s">
        <v>291</v>
      </c>
      <c r="E719" s="24">
        <v>3220000</v>
      </c>
      <c r="F719" s="39">
        <v>44161</v>
      </c>
      <c r="G719" s="24">
        <v>2942415</v>
      </c>
      <c r="H719" s="23">
        <v>5.0000000000000001E-3</v>
      </c>
      <c r="I719" s="39">
        <v>44317</v>
      </c>
      <c r="J719" s="39">
        <v>44332</v>
      </c>
      <c r="K719" s="24">
        <v>16</v>
      </c>
      <c r="L719" s="24">
        <v>645</v>
      </c>
      <c r="M719" s="24">
        <v>2886898</v>
      </c>
    </row>
    <row r="720" spans="1:13" s="48" customFormat="1" outlineLevel="2">
      <c r="A720" s="39" t="s">
        <v>289</v>
      </c>
      <c r="B720" s="40" t="s">
        <v>63</v>
      </c>
      <c r="C720" s="41" t="s">
        <v>290</v>
      </c>
      <c r="D720" s="40"/>
      <c r="E720" s="24"/>
      <c r="F720" s="39"/>
      <c r="G720" s="24">
        <v>2886898</v>
      </c>
      <c r="H720" s="23">
        <v>5.0000000000000001E-3</v>
      </c>
      <c r="I720" s="39">
        <v>44333</v>
      </c>
      <c r="J720" s="39">
        <v>44347</v>
      </c>
      <c r="K720" s="24">
        <v>15</v>
      </c>
      <c r="L720" s="24">
        <v>593</v>
      </c>
      <c r="M720" s="24"/>
    </row>
    <row r="721" spans="1:13" s="48" customFormat="1" outlineLevel="2">
      <c r="A721" s="39" t="s">
        <v>289</v>
      </c>
      <c r="B721" s="40" t="s">
        <v>64</v>
      </c>
      <c r="C721" s="41" t="s">
        <v>121</v>
      </c>
      <c r="D721" s="40" t="s">
        <v>122</v>
      </c>
      <c r="E721" s="24">
        <v>50000000</v>
      </c>
      <c r="F721" s="39">
        <v>44189</v>
      </c>
      <c r="G721" s="24">
        <v>50000000</v>
      </c>
      <c r="H721" s="23">
        <v>5.0000000000000001E-3</v>
      </c>
      <c r="I721" s="39">
        <v>44317</v>
      </c>
      <c r="J721" s="39">
        <v>44347</v>
      </c>
      <c r="K721" s="24">
        <v>31</v>
      </c>
      <c r="L721" s="24">
        <v>21233</v>
      </c>
      <c r="M721" s="24">
        <v>50000000</v>
      </c>
    </row>
    <row r="722" spans="1:13" s="48" customFormat="1" outlineLevel="2">
      <c r="A722" s="39" t="s">
        <v>289</v>
      </c>
      <c r="B722" s="40" t="s">
        <v>65</v>
      </c>
      <c r="C722" s="41" t="s">
        <v>121</v>
      </c>
      <c r="D722" s="40" t="s">
        <v>122</v>
      </c>
      <c r="E722" s="24">
        <v>15000000</v>
      </c>
      <c r="F722" s="39">
        <v>44189</v>
      </c>
      <c r="G722" s="24">
        <v>15000000</v>
      </c>
      <c r="H722" s="23">
        <v>5.0000000000000001E-3</v>
      </c>
      <c r="I722" s="39">
        <v>44317</v>
      </c>
      <c r="J722" s="39">
        <v>44347</v>
      </c>
      <c r="K722" s="24">
        <v>31</v>
      </c>
      <c r="L722" s="24">
        <v>6370</v>
      </c>
      <c r="M722" s="24">
        <v>15000000</v>
      </c>
    </row>
    <row r="723" spans="1:13" s="48" customFormat="1" outlineLevel="2">
      <c r="A723" s="39" t="s">
        <v>289</v>
      </c>
      <c r="B723" s="40" t="s">
        <v>68</v>
      </c>
      <c r="C723" s="41" t="s">
        <v>121</v>
      </c>
      <c r="D723" s="40" t="s">
        <v>122</v>
      </c>
      <c r="E723" s="24">
        <v>850000</v>
      </c>
      <c r="F723" s="39">
        <v>44253</v>
      </c>
      <c r="G723" s="24">
        <v>850000</v>
      </c>
      <c r="H723" s="23">
        <v>5.0000000000000001E-3</v>
      </c>
      <c r="I723" s="39">
        <v>44317</v>
      </c>
      <c r="J723" s="39">
        <v>44347</v>
      </c>
      <c r="K723" s="24">
        <v>31</v>
      </c>
      <c r="L723" s="24">
        <v>361</v>
      </c>
      <c r="M723" s="24">
        <v>850000</v>
      </c>
    </row>
    <row r="724" spans="1:13" s="48" customFormat="1" outlineLevel="1">
      <c r="A724" s="42" t="s">
        <v>292</v>
      </c>
      <c r="B724" s="43"/>
      <c r="C724" s="44"/>
      <c r="D724" s="43"/>
      <c r="E724" s="45">
        <v>350270000</v>
      </c>
      <c r="F724" s="46"/>
      <c r="G724" s="45"/>
      <c r="H724" s="47"/>
      <c r="I724" s="46"/>
      <c r="J724" s="46"/>
      <c r="K724" s="45"/>
      <c r="L724" s="45">
        <v>146721</v>
      </c>
      <c r="M724" s="45">
        <v>345165338</v>
      </c>
    </row>
    <row r="725" spans="1:13" s="48" customFormat="1" outlineLevel="2">
      <c r="A725" s="39" t="s">
        <v>293</v>
      </c>
      <c r="B725" s="40" t="s">
        <v>16</v>
      </c>
      <c r="C725" s="41" t="s">
        <v>121</v>
      </c>
      <c r="D725" s="40" t="s">
        <v>122</v>
      </c>
      <c r="E725" s="24">
        <v>190000000</v>
      </c>
      <c r="F725" s="39">
        <v>43797</v>
      </c>
      <c r="G725" s="24">
        <v>190000000</v>
      </c>
      <c r="H725" s="23">
        <v>5.0000000000000001E-3</v>
      </c>
      <c r="I725" s="39">
        <v>44317</v>
      </c>
      <c r="J725" s="39">
        <v>44347</v>
      </c>
      <c r="K725" s="24">
        <v>31</v>
      </c>
      <c r="L725" s="24">
        <v>80685</v>
      </c>
      <c r="M725" s="24">
        <v>190000000</v>
      </c>
    </row>
    <row r="726" spans="1:13" s="48" customFormat="1" outlineLevel="2">
      <c r="A726" s="39" t="s">
        <v>293</v>
      </c>
      <c r="B726" s="40" t="s">
        <v>19</v>
      </c>
      <c r="C726" s="41" t="s">
        <v>55</v>
      </c>
      <c r="D726" s="40" t="s">
        <v>56</v>
      </c>
      <c r="E726" s="24">
        <v>1310400</v>
      </c>
      <c r="F726" s="39">
        <v>44043</v>
      </c>
      <c r="G726" s="24">
        <v>1095975</v>
      </c>
      <c r="H726" s="23">
        <v>5.0000000000000001E-3</v>
      </c>
      <c r="I726" s="39">
        <v>44317</v>
      </c>
      <c r="J726" s="39">
        <v>44332</v>
      </c>
      <c r="K726" s="24">
        <v>16</v>
      </c>
      <c r="L726" s="24">
        <v>240</v>
      </c>
      <c r="M726" s="24">
        <v>1072150</v>
      </c>
    </row>
    <row r="727" spans="1:13" s="48" customFormat="1" outlineLevel="2">
      <c r="A727" s="39" t="s">
        <v>293</v>
      </c>
      <c r="B727" s="40" t="s">
        <v>19</v>
      </c>
      <c r="C727" s="41" t="s">
        <v>55</v>
      </c>
      <c r="D727" s="40"/>
      <c r="E727" s="24"/>
      <c r="F727" s="39"/>
      <c r="G727" s="24">
        <v>1072150</v>
      </c>
      <c r="H727" s="23">
        <v>5.0000000000000001E-3</v>
      </c>
      <c r="I727" s="39">
        <v>44333</v>
      </c>
      <c r="J727" s="39">
        <v>44347</v>
      </c>
      <c r="K727" s="24">
        <v>15</v>
      </c>
      <c r="L727" s="24">
        <v>220</v>
      </c>
      <c r="M727" s="24"/>
    </row>
    <row r="728" spans="1:13" s="48" customFormat="1" outlineLevel="2">
      <c r="A728" s="39" t="s">
        <v>293</v>
      </c>
      <c r="B728" s="40" t="s">
        <v>22</v>
      </c>
      <c r="C728" s="41" t="s">
        <v>20</v>
      </c>
      <c r="D728" s="40" t="s">
        <v>21</v>
      </c>
      <c r="E728" s="24">
        <v>201600000</v>
      </c>
      <c r="F728" s="39">
        <v>44028</v>
      </c>
      <c r="G728" s="24">
        <v>201600000</v>
      </c>
      <c r="H728" s="23">
        <v>3.0000000000000001E-3</v>
      </c>
      <c r="I728" s="39">
        <v>44317</v>
      </c>
      <c r="J728" s="39">
        <v>44347</v>
      </c>
      <c r="K728" s="24">
        <v>31</v>
      </c>
      <c r="L728" s="24">
        <v>51367</v>
      </c>
      <c r="M728" s="24">
        <v>201600000</v>
      </c>
    </row>
    <row r="729" spans="1:13" s="48" customFormat="1" outlineLevel="2">
      <c r="A729" s="39" t="s">
        <v>293</v>
      </c>
      <c r="B729" s="40" t="s">
        <v>25</v>
      </c>
      <c r="C729" s="41" t="s">
        <v>294</v>
      </c>
      <c r="D729" s="40" t="s">
        <v>295</v>
      </c>
      <c r="E729" s="24">
        <v>67678400</v>
      </c>
      <c r="F729" s="39">
        <v>44041</v>
      </c>
      <c r="G729" s="24">
        <v>67678400</v>
      </c>
      <c r="H729" s="23">
        <v>5.0000000000000001E-3</v>
      </c>
      <c r="I729" s="39">
        <v>44317</v>
      </c>
      <c r="J729" s="39">
        <v>44347</v>
      </c>
      <c r="K729" s="24">
        <v>31</v>
      </c>
      <c r="L729" s="24">
        <v>28740</v>
      </c>
      <c r="M729" s="24">
        <v>67678400</v>
      </c>
    </row>
    <row r="730" spans="1:13" s="48" customFormat="1" outlineLevel="2">
      <c r="A730" s="39" t="s">
        <v>293</v>
      </c>
      <c r="B730" s="40" t="s">
        <v>26</v>
      </c>
      <c r="C730" s="41" t="s">
        <v>294</v>
      </c>
      <c r="D730" s="40" t="s">
        <v>295</v>
      </c>
      <c r="E730" s="24">
        <v>56400000</v>
      </c>
      <c r="F730" s="39">
        <v>44060</v>
      </c>
      <c r="G730" s="24">
        <v>56400000</v>
      </c>
      <c r="H730" s="23">
        <v>5.0000000000000001E-3</v>
      </c>
      <c r="I730" s="39">
        <v>44317</v>
      </c>
      <c r="J730" s="39">
        <v>44347</v>
      </c>
      <c r="K730" s="24">
        <v>31</v>
      </c>
      <c r="L730" s="24">
        <v>23951</v>
      </c>
      <c r="M730" s="24">
        <v>56400000</v>
      </c>
    </row>
    <row r="731" spans="1:13" s="48" customFormat="1" outlineLevel="2">
      <c r="A731" s="39" t="s">
        <v>293</v>
      </c>
      <c r="B731" s="40" t="s">
        <v>29</v>
      </c>
      <c r="C731" s="41" t="s">
        <v>294</v>
      </c>
      <c r="D731" s="40" t="s">
        <v>295</v>
      </c>
      <c r="E731" s="24">
        <v>56400000</v>
      </c>
      <c r="F731" s="39">
        <v>44089</v>
      </c>
      <c r="G731" s="24">
        <v>56400000</v>
      </c>
      <c r="H731" s="23">
        <v>5.0000000000000001E-3</v>
      </c>
      <c r="I731" s="39">
        <v>44317</v>
      </c>
      <c r="J731" s="39">
        <v>44347</v>
      </c>
      <c r="K731" s="24">
        <v>31</v>
      </c>
      <c r="L731" s="24">
        <v>23951</v>
      </c>
      <c r="M731" s="24">
        <v>56400000</v>
      </c>
    </row>
    <row r="732" spans="1:13" s="48" customFormat="1" outlineLevel="2">
      <c r="A732" s="39" t="s">
        <v>293</v>
      </c>
      <c r="B732" s="40" t="s">
        <v>32</v>
      </c>
      <c r="C732" s="41" t="s">
        <v>294</v>
      </c>
      <c r="D732" s="40" t="s">
        <v>295</v>
      </c>
      <c r="E732" s="24">
        <v>56400000</v>
      </c>
      <c r="F732" s="39">
        <v>44119</v>
      </c>
      <c r="G732" s="24">
        <v>56400000</v>
      </c>
      <c r="H732" s="23">
        <v>5.0000000000000001E-3</v>
      </c>
      <c r="I732" s="39">
        <v>44317</v>
      </c>
      <c r="J732" s="39">
        <v>44347</v>
      </c>
      <c r="K732" s="24">
        <v>31</v>
      </c>
      <c r="L732" s="24">
        <v>23951</v>
      </c>
      <c r="M732" s="24">
        <v>56400000</v>
      </c>
    </row>
    <row r="733" spans="1:13" s="48" customFormat="1" outlineLevel="2">
      <c r="A733" s="39" t="s">
        <v>293</v>
      </c>
      <c r="B733" s="40" t="s">
        <v>33</v>
      </c>
      <c r="C733" s="41" t="s">
        <v>55</v>
      </c>
      <c r="D733" s="40" t="s">
        <v>56</v>
      </c>
      <c r="E733" s="24">
        <v>1169666</v>
      </c>
      <c r="F733" s="39">
        <v>44134</v>
      </c>
      <c r="G733" s="24">
        <v>1034702</v>
      </c>
      <c r="H733" s="23">
        <v>5.0000000000000001E-3</v>
      </c>
      <c r="I733" s="39">
        <v>44317</v>
      </c>
      <c r="J733" s="39">
        <v>44332</v>
      </c>
      <c r="K733" s="24">
        <v>16</v>
      </c>
      <c r="L733" s="24">
        <v>227</v>
      </c>
      <c r="M733" s="24">
        <v>1012208</v>
      </c>
    </row>
    <row r="734" spans="1:13" s="48" customFormat="1" outlineLevel="2">
      <c r="A734" s="39" t="s">
        <v>293</v>
      </c>
      <c r="B734" s="40" t="s">
        <v>33</v>
      </c>
      <c r="C734" s="41" t="s">
        <v>55</v>
      </c>
      <c r="D734" s="40"/>
      <c r="E734" s="24"/>
      <c r="F734" s="39"/>
      <c r="G734" s="24">
        <v>1012208</v>
      </c>
      <c r="H734" s="23">
        <v>5.0000000000000001E-3</v>
      </c>
      <c r="I734" s="39">
        <v>44333</v>
      </c>
      <c r="J734" s="39">
        <v>44347</v>
      </c>
      <c r="K734" s="24">
        <v>15</v>
      </c>
      <c r="L734" s="24">
        <v>208</v>
      </c>
      <c r="M734" s="24"/>
    </row>
    <row r="735" spans="1:13" s="48" customFormat="1" outlineLevel="2">
      <c r="A735" s="39" t="s">
        <v>293</v>
      </c>
      <c r="B735" s="40" t="s">
        <v>34</v>
      </c>
      <c r="C735" s="41" t="s">
        <v>294</v>
      </c>
      <c r="D735" s="40" t="s">
        <v>295</v>
      </c>
      <c r="E735" s="24">
        <v>56400000</v>
      </c>
      <c r="F735" s="39">
        <v>44151</v>
      </c>
      <c r="G735" s="24">
        <v>56400000</v>
      </c>
      <c r="H735" s="23">
        <v>5.0000000000000001E-3</v>
      </c>
      <c r="I735" s="39">
        <v>44317</v>
      </c>
      <c r="J735" s="39">
        <v>44347</v>
      </c>
      <c r="K735" s="24">
        <v>31</v>
      </c>
      <c r="L735" s="24">
        <v>23951</v>
      </c>
      <c r="M735" s="24">
        <v>56400000</v>
      </c>
    </row>
    <row r="736" spans="1:13" s="48" customFormat="1" outlineLevel="2">
      <c r="A736" s="39" t="s">
        <v>293</v>
      </c>
      <c r="B736" s="40" t="s">
        <v>35</v>
      </c>
      <c r="C736" s="41" t="s">
        <v>115</v>
      </c>
      <c r="D736" s="40" t="s">
        <v>116</v>
      </c>
      <c r="E736" s="24">
        <v>2230000</v>
      </c>
      <c r="F736" s="39">
        <v>44138</v>
      </c>
      <c r="G736" s="24">
        <v>2230000</v>
      </c>
      <c r="H736" s="23">
        <v>5.0000000000000001E-3</v>
      </c>
      <c r="I736" s="39">
        <v>44317</v>
      </c>
      <c r="J736" s="39">
        <v>44347</v>
      </c>
      <c r="K736" s="24">
        <v>31</v>
      </c>
      <c r="L736" s="24">
        <v>947</v>
      </c>
      <c r="M736" s="24">
        <v>2230000</v>
      </c>
    </row>
    <row r="737" spans="1:13" s="48" customFormat="1" outlineLevel="2">
      <c r="A737" s="39" t="s">
        <v>293</v>
      </c>
      <c r="B737" s="40" t="s">
        <v>36</v>
      </c>
      <c r="C737" s="41" t="s">
        <v>294</v>
      </c>
      <c r="D737" s="40" t="s">
        <v>295</v>
      </c>
      <c r="E737" s="24">
        <v>112800000</v>
      </c>
      <c r="F737" s="39">
        <v>44180</v>
      </c>
      <c r="G737" s="24">
        <v>112800000</v>
      </c>
      <c r="H737" s="23">
        <v>5.0000000000000001E-3</v>
      </c>
      <c r="I737" s="39">
        <v>44317</v>
      </c>
      <c r="J737" s="39">
        <v>44347</v>
      </c>
      <c r="K737" s="24">
        <v>31</v>
      </c>
      <c r="L737" s="24">
        <v>47901</v>
      </c>
      <c r="M737" s="24">
        <v>112800000</v>
      </c>
    </row>
    <row r="738" spans="1:13" s="48" customFormat="1" outlineLevel="2">
      <c r="A738" s="39" t="s">
        <v>293</v>
      </c>
      <c r="B738" s="40" t="s">
        <v>39</v>
      </c>
      <c r="C738" s="41" t="s">
        <v>121</v>
      </c>
      <c r="D738" s="40" t="s">
        <v>122</v>
      </c>
      <c r="E738" s="24">
        <v>37000000</v>
      </c>
      <c r="F738" s="39">
        <v>43829</v>
      </c>
      <c r="G738" s="24">
        <v>37000000</v>
      </c>
      <c r="H738" s="23">
        <v>5.0000000000000001E-3</v>
      </c>
      <c r="I738" s="39">
        <v>44317</v>
      </c>
      <c r="J738" s="39">
        <v>44347</v>
      </c>
      <c r="K738" s="24">
        <v>31</v>
      </c>
      <c r="L738" s="24">
        <v>15712</v>
      </c>
      <c r="M738" s="24">
        <v>37000000</v>
      </c>
    </row>
    <row r="739" spans="1:13" s="48" customFormat="1" outlineLevel="2">
      <c r="A739" s="39" t="s">
        <v>293</v>
      </c>
      <c r="B739" s="40" t="s">
        <v>40</v>
      </c>
      <c r="C739" s="41" t="s">
        <v>294</v>
      </c>
      <c r="D739" s="40" t="s">
        <v>295</v>
      </c>
      <c r="E739" s="24">
        <v>3667200</v>
      </c>
      <c r="F739" s="39">
        <v>44180</v>
      </c>
      <c r="G739" s="24">
        <v>3667200</v>
      </c>
      <c r="H739" s="23">
        <v>5.0000000000000001E-3</v>
      </c>
      <c r="I739" s="39">
        <v>44317</v>
      </c>
      <c r="J739" s="39">
        <v>44347</v>
      </c>
      <c r="K739" s="24">
        <v>31</v>
      </c>
      <c r="L739" s="24">
        <v>1557</v>
      </c>
      <c r="M739" s="24">
        <v>3667200</v>
      </c>
    </row>
    <row r="740" spans="1:13" s="48" customFormat="1" outlineLevel="2">
      <c r="A740" s="39" t="s">
        <v>293</v>
      </c>
      <c r="B740" s="40" t="s">
        <v>41</v>
      </c>
      <c r="C740" s="41" t="s">
        <v>132</v>
      </c>
      <c r="D740" s="40" t="s">
        <v>133</v>
      </c>
      <c r="E740" s="24">
        <v>30870000</v>
      </c>
      <c r="F740" s="39">
        <v>44175</v>
      </c>
      <c r="G740" s="24">
        <v>30870000</v>
      </c>
      <c r="H740" s="23">
        <v>5.0000000000000001E-3</v>
      </c>
      <c r="I740" s="39">
        <v>44317</v>
      </c>
      <c r="J740" s="39">
        <v>44347</v>
      </c>
      <c r="K740" s="24">
        <v>31</v>
      </c>
      <c r="L740" s="24">
        <v>13109</v>
      </c>
      <c r="M740" s="24">
        <v>30870000</v>
      </c>
    </row>
    <row r="741" spans="1:13" s="48" customFormat="1" outlineLevel="2">
      <c r="A741" s="39" t="s">
        <v>293</v>
      </c>
      <c r="B741" s="40" t="s">
        <v>42</v>
      </c>
      <c r="C741" s="41" t="s">
        <v>294</v>
      </c>
      <c r="D741" s="40" t="s">
        <v>295</v>
      </c>
      <c r="E741" s="24">
        <v>57011200</v>
      </c>
      <c r="F741" s="39">
        <v>44211</v>
      </c>
      <c r="G741" s="24">
        <v>57011200</v>
      </c>
      <c r="H741" s="23">
        <v>5.0000000000000001E-3</v>
      </c>
      <c r="I741" s="39">
        <v>44317</v>
      </c>
      <c r="J741" s="39">
        <v>44347</v>
      </c>
      <c r="K741" s="24">
        <v>31</v>
      </c>
      <c r="L741" s="24">
        <v>24210</v>
      </c>
      <c r="M741" s="24">
        <v>57011200</v>
      </c>
    </row>
    <row r="742" spans="1:13" s="48" customFormat="1" outlineLevel="2">
      <c r="A742" s="39" t="s">
        <v>293</v>
      </c>
      <c r="B742" s="40" t="s">
        <v>43</v>
      </c>
      <c r="C742" s="41" t="s">
        <v>115</v>
      </c>
      <c r="D742" s="40" t="s">
        <v>116</v>
      </c>
      <c r="E742" s="24">
        <v>10000000</v>
      </c>
      <c r="F742" s="39">
        <v>44225</v>
      </c>
      <c r="G742" s="24">
        <v>10000000</v>
      </c>
      <c r="H742" s="23">
        <v>5.0000000000000001E-3</v>
      </c>
      <c r="I742" s="39">
        <v>44317</v>
      </c>
      <c r="J742" s="39">
        <v>44347</v>
      </c>
      <c r="K742" s="24">
        <v>31</v>
      </c>
      <c r="L742" s="24">
        <v>4247</v>
      </c>
      <c r="M742" s="24">
        <v>10000000</v>
      </c>
    </row>
    <row r="743" spans="1:13" s="48" customFormat="1" outlineLevel="2">
      <c r="A743" s="39" t="s">
        <v>293</v>
      </c>
      <c r="B743" s="40" t="s">
        <v>44</v>
      </c>
      <c r="C743" s="41" t="s">
        <v>132</v>
      </c>
      <c r="D743" s="40" t="s">
        <v>133</v>
      </c>
      <c r="E743" s="24">
        <v>5880000</v>
      </c>
      <c r="F743" s="39">
        <v>44207</v>
      </c>
      <c r="G743" s="24">
        <v>5880000</v>
      </c>
      <c r="H743" s="23">
        <v>5.0000000000000001E-3</v>
      </c>
      <c r="I743" s="39">
        <v>44317</v>
      </c>
      <c r="J743" s="39">
        <v>44347</v>
      </c>
      <c r="K743" s="24">
        <v>31</v>
      </c>
      <c r="L743" s="24">
        <v>2497</v>
      </c>
      <c r="M743" s="24">
        <v>5880000</v>
      </c>
    </row>
    <row r="744" spans="1:13" s="48" customFormat="1" outlineLevel="2">
      <c r="A744" s="39" t="s">
        <v>293</v>
      </c>
      <c r="B744" s="40" t="s">
        <v>47</v>
      </c>
      <c r="C744" s="41" t="s">
        <v>132</v>
      </c>
      <c r="D744" s="40" t="s">
        <v>133</v>
      </c>
      <c r="E744" s="24">
        <v>660000</v>
      </c>
      <c r="F744" s="39">
        <v>44221</v>
      </c>
      <c r="G744" s="24">
        <v>660000</v>
      </c>
      <c r="H744" s="23">
        <v>5.0000000000000001E-3</v>
      </c>
      <c r="I744" s="39">
        <v>44317</v>
      </c>
      <c r="J744" s="39">
        <v>44347</v>
      </c>
      <c r="K744" s="24">
        <v>31</v>
      </c>
      <c r="L744" s="24">
        <v>280</v>
      </c>
      <c r="M744" s="24">
        <v>660000</v>
      </c>
    </row>
    <row r="745" spans="1:13" s="48" customFormat="1" outlineLevel="2">
      <c r="A745" s="39" t="s">
        <v>293</v>
      </c>
      <c r="B745" s="40" t="s">
        <v>50</v>
      </c>
      <c r="C745" s="41" t="s">
        <v>132</v>
      </c>
      <c r="D745" s="40" t="s">
        <v>133</v>
      </c>
      <c r="E745" s="24">
        <v>4160000</v>
      </c>
      <c r="F745" s="39">
        <v>44207</v>
      </c>
      <c r="G745" s="24">
        <v>4160000</v>
      </c>
      <c r="H745" s="23">
        <v>5.0000000000000001E-3</v>
      </c>
      <c r="I745" s="39">
        <v>44317</v>
      </c>
      <c r="J745" s="39">
        <v>44347</v>
      </c>
      <c r="K745" s="24">
        <v>31</v>
      </c>
      <c r="L745" s="24">
        <v>1767</v>
      </c>
      <c r="M745" s="24">
        <v>4160000</v>
      </c>
    </row>
    <row r="746" spans="1:13" s="48" customFormat="1" outlineLevel="2">
      <c r="A746" s="39" t="s">
        <v>293</v>
      </c>
      <c r="B746" s="40" t="s">
        <v>51</v>
      </c>
      <c r="C746" s="41" t="s">
        <v>294</v>
      </c>
      <c r="D746" s="40" t="s">
        <v>295</v>
      </c>
      <c r="E746" s="24">
        <v>64400000</v>
      </c>
      <c r="F746" s="39">
        <v>44236</v>
      </c>
      <c r="G746" s="24">
        <v>64400000</v>
      </c>
      <c r="H746" s="23">
        <v>5.0000000000000001E-3</v>
      </c>
      <c r="I746" s="39">
        <v>44317</v>
      </c>
      <c r="J746" s="39">
        <v>44347</v>
      </c>
      <c r="K746" s="24">
        <v>31</v>
      </c>
      <c r="L746" s="24">
        <v>27348</v>
      </c>
      <c r="M746" s="24">
        <v>64400000</v>
      </c>
    </row>
    <row r="747" spans="1:13" s="48" customFormat="1" outlineLevel="2">
      <c r="A747" s="39" t="s">
        <v>293</v>
      </c>
      <c r="B747" s="40" t="s">
        <v>52</v>
      </c>
      <c r="C747" s="41" t="s">
        <v>294</v>
      </c>
      <c r="D747" s="40" t="s">
        <v>295</v>
      </c>
      <c r="E747" s="24">
        <v>57011200</v>
      </c>
      <c r="F747" s="39">
        <v>44245</v>
      </c>
      <c r="G747" s="24">
        <v>57011200</v>
      </c>
      <c r="H747" s="23">
        <v>5.0000000000000001E-3</v>
      </c>
      <c r="I747" s="39">
        <v>44317</v>
      </c>
      <c r="J747" s="39">
        <v>44347</v>
      </c>
      <c r="K747" s="24">
        <v>31</v>
      </c>
      <c r="L747" s="24">
        <v>24210</v>
      </c>
      <c r="M747" s="24">
        <v>57011200</v>
      </c>
    </row>
    <row r="748" spans="1:13" s="48" customFormat="1" outlineLevel="2">
      <c r="A748" s="39" t="s">
        <v>293</v>
      </c>
      <c r="B748" s="40" t="s">
        <v>53</v>
      </c>
      <c r="C748" s="41" t="s">
        <v>132</v>
      </c>
      <c r="D748" s="40" t="s">
        <v>133</v>
      </c>
      <c r="E748" s="24">
        <v>3640000</v>
      </c>
      <c r="F748" s="39">
        <v>44244</v>
      </c>
      <c r="G748" s="24">
        <v>3640000</v>
      </c>
      <c r="H748" s="23">
        <v>5.0000000000000001E-3</v>
      </c>
      <c r="I748" s="39">
        <v>44317</v>
      </c>
      <c r="J748" s="39">
        <v>44347</v>
      </c>
      <c r="K748" s="24">
        <v>31</v>
      </c>
      <c r="L748" s="24">
        <v>1546</v>
      </c>
      <c r="M748" s="24">
        <v>3640000</v>
      </c>
    </row>
    <row r="749" spans="1:13" s="48" customFormat="1" outlineLevel="2">
      <c r="A749" s="39" t="s">
        <v>293</v>
      </c>
      <c r="B749" s="40" t="s">
        <v>54</v>
      </c>
      <c r="C749" s="41" t="s">
        <v>55</v>
      </c>
      <c r="D749" s="40" t="s">
        <v>56</v>
      </c>
      <c r="E749" s="24">
        <v>17276700</v>
      </c>
      <c r="F749" s="39">
        <v>43878</v>
      </c>
      <c r="G749" s="24">
        <v>13245470</v>
      </c>
      <c r="H749" s="23">
        <v>5.0000000000000001E-3</v>
      </c>
      <c r="I749" s="39">
        <v>44317</v>
      </c>
      <c r="J749" s="39">
        <v>44332</v>
      </c>
      <c r="K749" s="24">
        <v>16</v>
      </c>
      <c r="L749" s="24">
        <v>2903</v>
      </c>
      <c r="M749" s="24">
        <v>12957525</v>
      </c>
    </row>
    <row r="750" spans="1:13" s="48" customFormat="1" outlineLevel="2">
      <c r="A750" s="39" t="s">
        <v>293</v>
      </c>
      <c r="B750" s="40" t="s">
        <v>54</v>
      </c>
      <c r="C750" s="41" t="s">
        <v>55</v>
      </c>
      <c r="D750" s="40"/>
      <c r="E750" s="24"/>
      <c r="F750" s="39"/>
      <c r="G750" s="24">
        <v>12957525</v>
      </c>
      <c r="H750" s="23">
        <v>5.0000000000000001E-3</v>
      </c>
      <c r="I750" s="39">
        <v>44333</v>
      </c>
      <c r="J750" s="39">
        <v>44347</v>
      </c>
      <c r="K750" s="24">
        <v>15</v>
      </c>
      <c r="L750" s="24">
        <v>2663</v>
      </c>
      <c r="M750" s="24"/>
    </row>
    <row r="751" spans="1:13" s="48" customFormat="1" outlineLevel="2">
      <c r="A751" s="39" t="s">
        <v>293</v>
      </c>
      <c r="B751" s="40" t="s">
        <v>57</v>
      </c>
      <c r="C751" s="41" t="s">
        <v>132</v>
      </c>
      <c r="D751" s="40" t="s">
        <v>133</v>
      </c>
      <c r="E751" s="24">
        <v>7500000</v>
      </c>
      <c r="F751" s="39">
        <v>44228</v>
      </c>
      <c r="G751" s="24">
        <v>7500000</v>
      </c>
      <c r="H751" s="23">
        <v>5.0000000000000001E-3</v>
      </c>
      <c r="I751" s="39">
        <v>44317</v>
      </c>
      <c r="J751" s="39">
        <v>44347</v>
      </c>
      <c r="K751" s="24">
        <v>31</v>
      </c>
      <c r="L751" s="24">
        <v>3185</v>
      </c>
      <c r="M751" s="24">
        <v>7500000</v>
      </c>
    </row>
    <row r="752" spans="1:13" s="48" customFormat="1" outlineLevel="2">
      <c r="A752" s="39" t="s">
        <v>293</v>
      </c>
      <c r="B752" s="40" t="s">
        <v>58</v>
      </c>
      <c r="C752" s="41" t="s">
        <v>132</v>
      </c>
      <c r="D752" s="40" t="s">
        <v>133</v>
      </c>
      <c r="E752" s="24">
        <v>7490000</v>
      </c>
      <c r="F752" s="39">
        <v>44235</v>
      </c>
      <c r="G752" s="24">
        <v>7490000</v>
      </c>
      <c r="H752" s="23">
        <v>5.0000000000000001E-3</v>
      </c>
      <c r="I752" s="39">
        <v>44317</v>
      </c>
      <c r="J752" s="39">
        <v>44347</v>
      </c>
      <c r="K752" s="24">
        <v>31</v>
      </c>
      <c r="L752" s="24">
        <v>3181</v>
      </c>
      <c r="M752" s="24">
        <v>7490000</v>
      </c>
    </row>
    <row r="753" spans="1:13" s="48" customFormat="1" outlineLevel="2">
      <c r="A753" s="39" t="s">
        <v>293</v>
      </c>
      <c r="B753" s="40" t="s">
        <v>99</v>
      </c>
      <c r="C753" s="41" t="s">
        <v>132</v>
      </c>
      <c r="D753" s="40" t="s">
        <v>133</v>
      </c>
      <c r="E753" s="24">
        <v>6670000</v>
      </c>
      <c r="F753" s="39">
        <v>44252</v>
      </c>
      <c r="G753" s="24">
        <v>6670000</v>
      </c>
      <c r="H753" s="23">
        <v>5.0000000000000001E-3</v>
      </c>
      <c r="I753" s="39">
        <v>44317</v>
      </c>
      <c r="J753" s="39">
        <v>44347</v>
      </c>
      <c r="K753" s="24">
        <v>31</v>
      </c>
      <c r="L753" s="24">
        <v>2832</v>
      </c>
      <c r="M753" s="24">
        <v>6670000</v>
      </c>
    </row>
    <row r="754" spans="1:13" s="48" customFormat="1" outlineLevel="2">
      <c r="A754" s="39" t="s">
        <v>293</v>
      </c>
      <c r="B754" s="40" t="s">
        <v>100</v>
      </c>
      <c r="C754" s="41" t="s">
        <v>20</v>
      </c>
      <c r="D754" s="40" t="s">
        <v>21</v>
      </c>
      <c r="E754" s="24">
        <v>199200000</v>
      </c>
      <c r="F754" s="39">
        <v>44259</v>
      </c>
      <c r="G754" s="24">
        <v>199200000</v>
      </c>
      <c r="H754" s="23">
        <v>3.0000000000000001E-3</v>
      </c>
      <c r="I754" s="39">
        <v>44317</v>
      </c>
      <c r="J754" s="39">
        <v>44347</v>
      </c>
      <c r="K754" s="24">
        <v>31</v>
      </c>
      <c r="L754" s="24">
        <v>50755</v>
      </c>
      <c r="M754" s="24">
        <v>199200000</v>
      </c>
    </row>
    <row r="755" spans="1:13" s="48" customFormat="1" outlineLevel="2">
      <c r="A755" s="39" t="s">
        <v>293</v>
      </c>
      <c r="B755" s="40" t="s">
        <v>101</v>
      </c>
      <c r="C755" s="41" t="s">
        <v>294</v>
      </c>
      <c r="D755" s="40" t="s">
        <v>295</v>
      </c>
      <c r="E755" s="24">
        <v>39703444</v>
      </c>
      <c r="F755" s="39">
        <v>44270</v>
      </c>
      <c r="G755" s="24">
        <v>39703444</v>
      </c>
      <c r="H755" s="23">
        <v>5.0000000000000001E-3</v>
      </c>
      <c r="I755" s="39">
        <v>44317</v>
      </c>
      <c r="J755" s="39">
        <v>44347</v>
      </c>
      <c r="K755" s="24">
        <v>31</v>
      </c>
      <c r="L755" s="24">
        <v>16860</v>
      </c>
      <c r="M755" s="24">
        <v>39703444</v>
      </c>
    </row>
    <row r="756" spans="1:13" s="48" customFormat="1" outlineLevel="2">
      <c r="A756" s="39" t="s">
        <v>293</v>
      </c>
      <c r="B756" s="40" t="s">
        <v>102</v>
      </c>
      <c r="C756" s="41" t="s">
        <v>115</v>
      </c>
      <c r="D756" s="40" t="s">
        <v>116</v>
      </c>
      <c r="E756" s="24">
        <v>27770000</v>
      </c>
      <c r="F756" s="39">
        <v>44273</v>
      </c>
      <c r="G756" s="24">
        <v>27770000</v>
      </c>
      <c r="H756" s="23">
        <v>5.0000000000000001E-3</v>
      </c>
      <c r="I756" s="39">
        <v>44317</v>
      </c>
      <c r="J756" s="39">
        <v>44347</v>
      </c>
      <c r="K756" s="24">
        <v>31</v>
      </c>
      <c r="L756" s="24">
        <v>11793</v>
      </c>
      <c r="M756" s="24">
        <v>27770000</v>
      </c>
    </row>
    <row r="757" spans="1:13" s="48" customFormat="1" outlineLevel="2">
      <c r="A757" s="39" t="s">
        <v>293</v>
      </c>
      <c r="B757" s="40" t="s">
        <v>103</v>
      </c>
      <c r="C757" s="41" t="s">
        <v>132</v>
      </c>
      <c r="D757" s="40" t="s">
        <v>133</v>
      </c>
      <c r="E757" s="24">
        <v>2620000</v>
      </c>
      <c r="F757" s="39">
        <v>44280</v>
      </c>
      <c r="G757" s="24">
        <v>2620000</v>
      </c>
      <c r="H757" s="23">
        <v>5.0000000000000001E-3</v>
      </c>
      <c r="I757" s="39">
        <v>44317</v>
      </c>
      <c r="J757" s="39">
        <v>44347</v>
      </c>
      <c r="K757" s="24">
        <v>31</v>
      </c>
      <c r="L757" s="24">
        <v>1113</v>
      </c>
      <c r="M757" s="24">
        <v>2620000</v>
      </c>
    </row>
    <row r="758" spans="1:13" s="48" customFormat="1" outlineLevel="2">
      <c r="A758" s="39" t="s">
        <v>293</v>
      </c>
      <c r="B758" s="40" t="s">
        <v>104</v>
      </c>
      <c r="C758" s="41" t="s">
        <v>132</v>
      </c>
      <c r="D758" s="40" t="s">
        <v>133</v>
      </c>
      <c r="E758" s="24">
        <v>6350000</v>
      </c>
      <c r="F758" s="39">
        <v>44265</v>
      </c>
      <c r="G758" s="24">
        <v>6350000</v>
      </c>
      <c r="H758" s="23">
        <v>5.0000000000000001E-3</v>
      </c>
      <c r="I758" s="39">
        <v>44317</v>
      </c>
      <c r="J758" s="39">
        <v>44347</v>
      </c>
      <c r="K758" s="24">
        <v>31</v>
      </c>
      <c r="L758" s="24">
        <v>2697</v>
      </c>
      <c r="M758" s="24">
        <v>6350000</v>
      </c>
    </row>
    <row r="759" spans="1:13" s="48" customFormat="1" outlineLevel="2">
      <c r="A759" s="39" t="s">
        <v>293</v>
      </c>
      <c r="B759" s="40" t="s">
        <v>105</v>
      </c>
      <c r="C759" s="41" t="s">
        <v>132</v>
      </c>
      <c r="D759" s="40" t="s">
        <v>133</v>
      </c>
      <c r="E759" s="24">
        <v>1870000</v>
      </c>
      <c r="F759" s="39">
        <v>44280</v>
      </c>
      <c r="G759" s="24">
        <v>1870000</v>
      </c>
      <c r="H759" s="23">
        <v>5.0000000000000001E-3</v>
      </c>
      <c r="I759" s="39">
        <v>44317</v>
      </c>
      <c r="J759" s="39">
        <v>44347</v>
      </c>
      <c r="K759" s="24">
        <v>31</v>
      </c>
      <c r="L759" s="24">
        <v>794</v>
      </c>
      <c r="M759" s="24">
        <v>1870000</v>
      </c>
    </row>
    <row r="760" spans="1:13" s="48" customFormat="1" outlineLevel="2">
      <c r="A760" s="39" t="s">
        <v>293</v>
      </c>
      <c r="B760" s="40" t="s">
        <v>106</v>
      </c>
      <c r="C760" s="41" t="s">
        <v>294</v>
      </c>
      <c r="D760" s="40" t="s">
        <v>295</v>
      </c>
      <c r="E760" s="24">
        <v>72291200</v>
      </c>
      <c r="F760" s="39">
        <v>44301</v>
      </c>
      <c r="G760" s="24">
        <v>72291200</v>
      </c>
      <c r="H760" s="23">
        <v>5.0000000000000001E-3</v>
      </c>
      <c r="I760" s="39">
        <v>44317</v>
      </c>
      <c r="J760" s="39">
        <v>44347</v>
      </c>
      <c r="K760" s="24">
        <v>31</v>
      </c>
      <c r="L760" s="24">
        <v>30699</v>
      </c>
      <c r="M760" s="24">
        <v>72291200</v>
      </c>
    </row>
    <row r="761" spans="1:13" s="48" customFormat="1" outlineLevel="2">
      <c r="A761" s="39" t="s">
        <v>293</v>
      </c>
      <c r="B761" s="40" t="s">
        <v>59</v>
      </c>
      <c r="C761" s="41" t="s">
        <v>121</v>
      </c>
      <c r="D761" s="40" t="s">
        <v>122</v>
      </c>
      <c r="E761" s="24">
        <v>73000000</v>
      </c>
      <c r="F761" s="39">
        <v>43896</v>
      </c>
      <c r="G761" s="24">
        <v>73000000</v>
      </c>
      <c r="H761" s="23">
        <v>5.0000000000000001E-3</v>
      </c>
      <c r="I761" s="39">
        <v>44317</v>
      </c>
      <c r="J761" s="39">
        <v>44347</v>
      </c>
      <c r="K761" s="24">
        <v>31</v>
      </c>
      <c r="L761" s="24">
        <v>31000</v>
      </c>
      <c r="M761" s="24">
        <v>73000000</v>
      </c>
    </row>
    <row r="762" spans="1:13" s="48" customFormat="1" outlineLevel="2">
      <c r="A762" s="39" t="s">
        <v>293</v>
      </c>
      <c r="B762" s="40" t="s">
        <v>136</v>
      </c>
      <c r="C762" s="41" t="s">
        <v>132</v>
      </c>
      <c r="D762" s="40" t="s">
        <v>133</v>
      </c>
      <c r="E762" s="24">
        <v>750000</v>
      </c>
      <c r="F762" s="39">
        <v>44301</v>
      </c>
      <c r="G762" s="24">
        <v>750000</v>
      </c>
      <c r="H762" s="23">
        <v>5.0000000000000001E-3</v>
      </c>
      <c r="I762" s="39">
        <v>44317</v>
      </c>
      <c r="J762" s="39">
        <v>44347</v>
      </c>
      <c r="K762" s="24">
        <v>31</v>
      </c>
      <c r="L762" s="24">
        <v>318</v>
      </c>
      <c r="M762" s="24">
        <v>750000</v>
      </c>
    </row>
    <row r="763" spans="1:13" s="48" customFormat="1" outlineLevel="2">
      <c r="A763" s="39" t="s">
        <v>293</v>
      </c>
      <c r="B763" s="40" t="s">
        <v>137</v>
      </c>
      <c r="C763" s="41" t="s">
        <v>132</v>
      </c>
      <c r="D763" s="40" t="s">
        <v>133</v>
      </c>
      <c r="E763" s="24">
        <v>4560000</v>
      </c>
      <c r="F763" s="39">
        <v>44298</v>
      </c>
      <c r="G763" s="24">
        <v>4560000</v>
      </c>
      <c r="H763" s="23">
        <v>5.0000000000000001E-3</v>
      </c>
      <c r="I763" s="39">
        <v>44317</v>
      </c>
      <c r="J763" s="39">
        <v>44347</v>
      </c>
      <c r="K763" s="24">
        <v>31</v>
      </c>
      <c r="L763" s="24">
        <v>1936</v>
      </c>
      <c r="M763" s="24">
        <v>4560000</v>
      </c>
    </row>
    <row r="764" spans="1:13" s="48" customFormat="1" outlineLevel="2">
      <c r="A764" s="39" t="s">
        <v>293</v>
      </c>
      <c r="B764" s="40" t="s">
        <v>138</v>
      </c>
      <c r="C764" s="41" t="s">
        <v>132</v>
      </c>
      <c r="D764" s="40" t="s">
        <v>133</v>
      </c>
      <c r="E764" s="24">
        <v>10770000</v>
      </c>
      <c r="F764" s="39">
        <v>44312</v>
      </c>
      <c r="G764" s="24">
        <v>10770000</v>
      </c>
      <c r="H764" s="23">
        <v>5.0000000000000001E-3</v>
      </c>
      <c r="I764" s="39">
        <v>44317</v>
      </c>
      <c r="J764" s="39">
        <v>44347</v>
      </c>
      <c r="K764" s="24">
        <v>31</v>
      </c>
      <c r="L764" s="24">
        <v>4574</v>
      </c>
      <c r="M764" s="24">
        <v>10770000</v>
      </c>
    </row>
    <row r="765" spans="1:13" s="48" customFormat="1" outlineLevel="2">
      <c r="A765" s="39" t="s">
        <v>293</v>
      </c>
      <c r="B765" s="40" t="s">
        <v>139</v>
      </c>
      <c r="C765" s="41" t="s">
        <v>339</v>
      </c>
      <c r="D765" s="40" t="s">
        <v>338</v>
      </c>
      <c r="E765" s="24">
        <v>500000</v>
      </c>
      <c r="F765" s="39">
        <v>44293</v>
      </c>
      <c r="G765" s="24">
        <v>500000</v>
      </c>
      <c r="H765" s="23">
        <v>5.0000000000000001E-3</v>
      </c>
      <c r="I765" s="39">
        <v>44317</v>
      </c>
      <c r="J765" s="39">
        <v>44347</v>
      </c>
      <c r="K765" s="24">
        <v>31</v>
      </c>
      <c r="L765" s="24">
        <v>212</v>
      </c>
      <c r="M765" s="24">
        <v>500000</v>
      </c>
    </row>
    <row r="766" spans="1:13" s="48" customFormat="1" outlineLevel="2">
      <c r="A766" s="39" t="s">
        <v>293</v>
      </c>
      <c r="B766" s="40" t="s">
        <v>140</v>
      </c>
      <c r="C766" s="41" t="s">
        <v>294</v>
      </c>
      <c r="D766" s="40" t="s">
        <v>295</v>
      </c>
      <c r="E766" s="24">
        <v>83384000</v>
      </c>
      <c r="F766" s="39">
        <v>44333</v>
      </c>
      <c r="G766" s="24">
        <v>83384000</v>
      </c>
      <c r="H766" s="23">
        <v>5.0000000000000001E-3</v>
      </c>
      <c r="I766" s="39">
        <v>44333</v>
      </c>
      <c r="J766" s="39">
        <v>44347</v>
      </c>
      <c r="K766" s="24">
        <v>15</v>
      </c>
      <c r="L766" s="24">
        <v>17134</v>
      </c>
      <c r="M766" s="24">
        <v>83384000</v>
      </c>
    </row>
    <row r="767" spans="1:13" s="48" customFormat="1" outlineLevel="2">
      <c r="A767" s="39" t="s">
        <v>293</v>
      </c>
      <c r="B767" s="40" t="s">
        <v>169</v>
      </c>
      <c r="C767" s="41" t="s">
        <v>294</v>
      </c>
      <c r="D767" s="40" t="s">
        <v>295</v>
      </c>
      <c r="E767" s="24">
        <v>11904000</v>
      </c>
      <c r="F767" s="39">
        <v>44347</v>
      </c>
      <c r="G767" s="24">
        <v>11904000</v>
      </c>
      <c r="H767" s="23">
        <v>5.0000000000000001E-3</v>
      </c>
      <c r="I767" s="39">
        <v>44347</v>
      </c>
      <c r="J767" s="39">
        <v>44347</v>
      </c>
      <c r="K767" s="24">
        <v>1</v>
      </c>
      <c r="L767" s="24">
        <v>163</v>
      </c>
      <c r="M767" s="24">
        <v>11904000</v>
      </c>
    </row>
    <row r="768" spans="1:13" s="48" customFormat="1" outlineLevel="2">
      <c r="A768" s="39" t="s">
        <v>293</v>
      </c>
      <c r="B768" s="40" t="s">
        <v>170</v>
      </c>
      <c r="C768" s="41" t="s">
        <v>132</v>
      </c>
      <c r="D768" s="40" t="s">
        <v>133</v>
      </c>
      <c r="E768" s="24">
        <v>1470000</v>
      </c>
      <c r="F768" s="39">
        <v>44319</v>
      </c>
      <c r="G768" s="24">
        <v>1470000</v>
      </c>
      <c r="H768" s="23">
        <v>5.0000000000000001E-3</v>
      </c>
      <c r="I768" s="39">
        <v>44319</v>
      </c>
      <c r="J768" s="39">
        <v>44347</v>
      </c>
      <c r="K768" s="24">
        <v>29</v>
      </c>
      <c r="L768" s="24">
        <v>584</v>
      </c>
      <c r="M768" s="24">
        <v>1470000</v>
      </c>
    </row>
    <row r="769" spans="1:16" s="48" customFormat="1" outlineLevel="2">
      <c r="A769" s="39" t="s">
        <v>293</v>
      </c>
      <c r="B769" s="40" t="s">
        <v>171</v>
      </c>
      <c r="C769" s="41" t="s">
        <v>132</v>
      </c>
      <c r="D769" s="40" t="s">
        <v>133</v>
      </c>
      <c r="E769" s="24">
        <v>1480000</v>
      </c>
      <c r="F769" s="39">
        <v>44341</v>
      </c>
      <c r="G769" s="24">
        <v>1480000</v>
      </c>
      <c r="H769" s="23">
        <v>5.0000000000000001E-3</v>
      </c>
      <c r="I769" s="39">
        <v>44341</v>
      </c>
      <c r="J769" s="39">
        <v>44347</v>
      </c>
      <c r="K769" s="24">
        <v>7</v>
      </c>
      <c r="L769" s="24">
        <v>142</v>
      </c>
      <c r="M769" s="24">
        <v>1480000</v>
      </c>
    </row>
    <row r="770" spans="1:16" s="48" customFormat="1" outlineLevel="2">
      <c r="A770" s="39" t="s">
        <v>293</v>
      </c>
      <c r="B770" s="40" t="s">
        <v>172</v>
      </c>
      <c r="C770" s="41" t="s">
        <v>132</v>
      </c>
      <c r="D770" s="40" t="s">
        <v>133</v>
      </c>
      <c r="E770" s="24">
        <v>6090000</v>
      </c>
      <c r="F770" s="39">
        <v>44326</v>
      </c>
      <c r="G770" s="24">
        <v>6090000</v>
      </c>
      <c r="H770" s="23">
        <v>5.0000000000000001E-3</v>
      </c>
      <c r="I770" s="39">
        <v>44326</v>
      </c>
      <c r="J770" s="39">
        <v>44347</v>
      </c>
      <c r="K770" s="24">
        <v>22</v>
      </c>
      <c r="L770" s="24">
        <v>1835</v>
      </c>
      <c r="M770" s="24">
        <v>6090000</v>
      </c>
    </row>
    <row r="771" spans="1:16" s="48" customFormat="1" outlineLevel="2">
      <c r="A771" s="39" t="s">
        <v>293</v>
      </c>
      <c r="B771" s="40" t="s">
        <v>173</v>
      </c>
      <c r="C771" s="41" t="s">
        <v>132</v>
      </c>
      <c r="D771" s="40" t="s">
        <v>133</v>
      </c>
      <c r="E771" s="24">
        <v>9220000</v>
      </c>
      <c r="F771" s="39">
        <v>44341</v>
      </c>
      <c r="G771" s="24">
        <v>9220000</v>
      </c>
      <c r="H771" s="23">
        <v>5.0000000000000001E-3</v>
      </c>
      <c r="I771" s="39">
        <v>44341</v>
      </c>
      <c r="J771" s="39">
        <v>44347</v>
      </c>
      <c r="K771" s="24">
        <v>7</v>
      </c>
      <c r="L771" s="24">
        <v>884</v>
      </c>
      <c r="M771" s="24">
        <v>9220000</v>
      </c>
    </row>
    <row r="772" spans="1:16" s="48" customFormat="1" outlineLevel="2">
      <c r="A772" s="39" t="s">
        <v>293</v>
      </c>
      <c r="B772" s="40" t="s">
        <v>62</v>
      </c>
      <c r="C772" s="41" t="s">
        <v>55</v>
      </c>
      <c r="D772" s="40" t="s">
        <v>56</v>
      </c>
      <c r="E772" s="24">
        <v>19997321</v>
      </c>
      <c r="F772" s="39">
        <v>43948</v>
      </c>
      <c r="G772" s="24">
        <v>19997321</v>
      </c>
      <c r="H772" s="23">
        <v>5.0000000000000001E-3</v>
      </c>
      <c r="I772" s="39">
        <v>44317</v>
      </c>
      <c r="J772" s="39">
        <v>44347</v>
      </c>
      <c r="K772" s="24">
        <v>31</v>
      </c>
      <c r="L772" s="24">
        <v>8492</v>
      </c>
      <c r="M772" s="24">
        <v>19997321</v>
      </c>
    </row>
    <row r="773" spans="1:16" s="48" customFormat="1" outlineLevel="2">
      <c r="A773" s="39" t="s">
        <v>293</v>
      </c>
      <c r="B773" s="40" t="s">
        <v>63</v>
      </c>
      <c r="C773" s="41" t="s">
        <v>20</v>
      </c>
      <c r="D773" s="40" t="s">
        <v>21</v>
      </c>
      <c r="E773" s="24">
        <v>242400000</v>
      </c>
      <c r="F773" s="39">
        <v>43930</v>
      </c>
      <c r="G773" s="24">
        <v>242400000</v>
      </c>
      <c r="H773" s="23">
        <v>3.0000000000000001E-3</v>
      </c>
      <c r="I773" s="39">
        <v>44317</v>
      </c>
      <c r="J773" s="39">
        <v>44347</v>
      </c>
      <c r="K773" s="24">
        <v>31</v>
      </c>
      <c r="L773" s="24">
        <v>61762</v>
      </c>
      <c r="M773" s="24">
        <v>242400000</v>
      </c>
    </row>
    <row r="774" spans="1:16" s="48" customFormat="1" outlineLevel="2">
      <c r="A774" s="39" t="s">
        <v>293</v>
      </c>
      <c r="B774" s="40" t="s">
        <v>64</v>
      </c>
      <c r="C774" s="41" t="s">
        <v>20</v>
      </c>
      <c r="D774" s="40" t="s">
        <v>21</v>
      </c>
      <c r="E774" s="24">
        <v>156000000</v>
      </c>
      <c r="F774" s="39">
        <v>43958</v>
      </c>
      <c r="G774" s="24">
        <v>156000000</v>
      </c>
      <c r="H774" s="23">
        <v>3.0000000000000001E-3</v>
      </c>
      <c r="I774" s="39">
        <v>44317</v>
      </c>
      <c r="J774" s="39">
        <v>44347</v>
      </c>
      <c r="K774" s="24">
        <v>31</v>
      </c>
      <c r="L774" s="24">
        <v>39748</v>
      </c>
      <c r="M774" s="24">
        <v>156000000</v>
      </c>
    </row>
    <row r="775" spans="1:16" s="48" customFormat="1" outlineLevel="2">
      <c r="A775" s="39" t="s">
        <v>293</v>
      </c>
      <c r="B775" s="40" t="s">
        <v>65</v>
      </c>
      <c r="C775" s="41" t="s">
        <v>294</v>
      </c>
      <c r="D775" s="40" t="s">
        <v>295</v>
      </c>
      <c r="E775" s="24">
        <v>33840000</v>
      </c>
      <c r="F775" s="39">
        <v>43986</v>
      </c>
      <c r="G775" s="24">
        <v>33840000</v>
      </c>
      <c r="H775" s="23">
        <v>5.0000000000000001E-3</v>
      </c>
      <c r="I775" s="39">
        <v>44317</v>
      </c>
      <c r="J775" s="39">
        <v>44347</v>
      </c>
      <c r="K775" s="24">
        <v>31</v>
      </c>
      <c r="L775" s="24">
        <v>14370</v>
      </c>
      <c r="M775" s="24">
        <v>33840000</v>
      </c>
    </row>
    <row r="776" spans="1:16" s="48" customFormat="1" outlineLevel="2">
      <c r="A776" s="39" t="s">
        <v>293</v>
      </c>
      <c r="B776" s="40" t="s">
        <v>68</v>
      </c>
      <c r="C776" s="41" t="s">
        <v>294</v>
      </c>
      <c r="D776" s="40" t="s">
        <v>295</v>
      </c>
      <c r="E776" s="24">
        <v>134396612</v>
      </c>
      <c r="F776" s="39">
        <v>43986</v>
      </c>
      <c r="G776" s="24">
        <v>134396612</v>
      </c>
      <c r="H776" s="23">
        <v>5.0000000000000001E-3</v>
      </c>
      <c r="I776" s="39">
        <v>44317</v>
      </c>
      <c r="J776" s="39">
        <v>44347</v>
      </c>
      <c r="K776" s="24">
        <v>31</v>
      </c>
      <c r="L776" s="24">
        <v>57073</v>
      </c>
      <c r="M776" s="24">
        <v>134396612</v>
      </c>
    </row>
    <row r="777" spans="1:16" s="48" customFormat="1" outlineLevel="1">
      <c r="A777" s="42" t="s">
        <v>296</v>
      </c>
      <c r="B777" s="43"/>
      <c r="C777" s="44"/>
      <c r="D777" s="43"/>
      <c r="E777" s="45">
        <v>2255191343</v>
      </c>
      <c r="F777" s="46"/>
      <c r="G777" s="45"/>
      <c r="H777" s="47"/>
      <c r="I777" s="46"/>
      <c r="J777" s="46"/>
      <c r="K777" s="45"/>
      <c r="L777" s="45">
        <v>792524</v>
      </c>
      <c r="M777" s="45">
        <v>2250476460</v>
      </c>
    </row>
    <row r="778" spans="1:16" s="55" customFormat="1" outlineLevel="1">
      <c r="A778" s="49"/>
      <c r="B778" s="50"/>
      <c r="C778" s="51"/>
      <c r="D778" s="50"/>
      <c r="E778" s="52"/>
      <c r="F778" s="53"/>
      <c r="G778" s="52"/>
      <c r="H778" s="54"/>
      <c r="I778" s="53"/>
      <c r="J778" s="53"/>
      <c r="K778" s="52"/>
      <c r="L778" s="52"/>
      <c r="M778" s="52"/>
    </row>
    <row r="779" spans="1:16" s="48" customFormat="1">
      <c r="A779" s="46" t="s">
        <v>297</v>
      </c>
      <c r="B779" s="43"/>
      <c r="C779" s="44"/>
      <c r="D779" s="43"/>
      <c r="E779" s="45">
        <v>28623448405</v>
      </c>
      <c r="F779" s="46"/>
      <c r="G779" s="45"/>
      <c r="H779" s="47"/>
      <c r="I779" s="46"/>
      <c r="J779" s="46"/>
      <c r="K779" s="45"/>
      <c r="L779" s="45">
        <v>11019872</v>
      </c>
      <c r="M779" s="45">
        <v>28366322843</v>
      </c>
    </row>
    <row r="780" spans="1:16" s="48" customForma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</row>
    <row r="781" spans="1:16">
      <c r="A781" s="56" t="s">
        <v>298</v>
      </c>
      <c r="B781" s="56"/>
      <c r="E781" s="57" t="s">
        <v>374</v>
      </c>
      <c r="G781" s="27"/>
      <c r="H781" s="58" t="s">
        <v>300</v>
      </c>
      <c r="I781" s="59"/>
    </row>
    <row r="782" spans="1:16" s="48" customForma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</row>
    <row r="783" spans="1:16" s="48" customForma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</row>
    <row r="784" spans="1:16" s="48" customForma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</row>
    <row r="785" spans="1:16" s="48" customForma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</row>
    <row r="786" spans="1:16" s="48" customForma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</row>
    <row r="787" spans="1:16" s="48" customForma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</row>
    <row r="788" spans="1:16" s="48" customForma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</row>
    <row r="789" spans="1:16" s="48" customForma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</row>
    <row r="790" spans="1:16" s="48" customForma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</row>
    <row r="791" spans="1:16" s="48" customForma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</row>
    <row r="792" spans="1:16" s="48" customForma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</row>
    <row r="793" spans="1:16" s="48" customForma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</row>
    <row r="794" spans="1:16" s="48" customForma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</row>
    <row r="795" spans="1:16" s="48" customForma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</row>
    <row r="796" spans="1:16" s="48" customForma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</row>
    <row r="797" spans="1:16" s="48" customForma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</row>
    <row r="798" spans="1:16" s="48" customForma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</row>
    <row r="799" spans="1:16" s="48" customForma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</row>
    <row r="800" spans="1:16" s="48" customForma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</row>
    <row r="801" spans="1:16" s="48" customForma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</row>
    <row r="802" spans="1:16" s="48" customForma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</row>
    <row r="803" spans="1:16" s="48" customForma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</row>
    <row r="804" spans="1:16" s="48" customForma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</row>
    <row r="805" spans="1:16" s="48" customForma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</row>
    <row r="806" spans="1:16" s="48" customForma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</row>
    <row r="807" spans="1:16" s="48" customForma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</row>
    <row r="808" spans="1:16" s="48" customForma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</row>
    <row r="809" spans="1:16" s="48" customForma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</row>
    <row r="810" spans="1:16" s="48" customForma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</row>
    <row r="811" spans="1:16" s="48" customForma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</row>
    <row r="812" spans="1:16" s="48" customForma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</row>
    <row r="813" spans="1:16" s="48" customForma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</row>
    <row r="814" spans="1:16" s="48" customForma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</row>
    <row r="815" spans="1:16" s="48" customForma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</row>
    <row r="816" spans="1:16" s="48" customForma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</row>
    <row r="817" spans="1:16" s="48" customForma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</row>
    <row r="818" spans="1:16" s="48" customForma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</row>
    <row r="819" spans="1:16" s="48" customForma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</row>
    <row r="820" spans="1:16" s="48" customForma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</row>
    <row r="821" spans="1:16" s="48" customForma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</row>
    <row r="822" spans="1:16" s="48" customForma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</row>
    <row r="823" spans="1:16" s="48" customForma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</row>
    <row r="824" spans="1:16" s="48" customForma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</row>
    <row r="825" spans="1:16" s="48" customForma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</row>
    <row r="826" spans="1:16" s="48" customForma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</row>
    <row r="827" spans="1:16" s="48" customForma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</row>
    <row r="828" spans="1:16" s="48" customForma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</row>
    <row r="829" spans="1:16" s="48" customForma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</row>
    <row r="830" spans="1:16" s="48" customForma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</row>
    <row r="831" spans="1:16" s="48" customForma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</row>
    <row r="832" spans="1:16" s="48" customForma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</row>
    <row r="833" spans="1:16" s="48" customForma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</row>
    <row r="834" spans="1:16" s="48" customForma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</row>
    <row r="835" spans="1:16" s="48" customForma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</row>
    <row r="836" spans="1:16" s="48" customForma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</row>
    <row r="837" spans="1:16" s="48" customForma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</row>
    <row r="838" spans="1:16" s="48" customForma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</row>
    <row r="839" spans="1:16" s="48" customForma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</row>
    <row r="840" spans="1:16" s="48" customForma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</row>
    <row r="841" spans="1:16" s="48" customForma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</row>
    <row r="842" spans="1:16" s="48" customForma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</row>
    <row r="843" spans="1:16" s="48" customForma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</row>
    <row r="844" spans="1:16" s="48" customForma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</row>
    <row r="845" spans="1:16" s="48" customForma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</row>
    <row r="846" spans="1:16" s="48" customForma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</row>
  </sheetData>
  <autoFilter ref="A3:M777" xr:uid="{00000000-0009-0000-0000-000000000000}"/>
  <phoneticPr fontId="2" type="noConversion"/>
  <printOptions horizontalCentered="1"/>
  <pageMargins left="0.15748031496062992" right="0.15748031496062992" top="0.59055118110236227" bottom="0.39370078740157483" header="0.59055118110236227" footer="0.31496062992125984"/>
  <pageSetup paperSize="9" scale="90" orientation="landscape" r:id="rId1"/>
  <headerFooter alignWithMargins="0">
    <oddHeader>&amp;R附件2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7BFB-3C4D-45E1-AC0E-1007B495FE7B}">
  <dimension ref="A1:P846"/>
  <sheetViews>
    <sheetView zoomScaleNormal="100" workbookViewId="0">
      <selection activeCell="F25" sqref="F25"/>
    </sheetView>
  </sheetViews>
  <sheetFormatPr defaultColWidth="5.375" defaultRowHeight="13.5" outlineLevelRow="2"/>
  <cols>
    <col min="1" max="1" width="17.75" style="27" bestFit="1" customWidth="1"/>
    <col min="2" max="2" width="8.375" style="27" bestFit="1" customWidth="1"/>
    <col min="3" max="3" width="21.5" style="27" bestFit="1" customWidth="1"/>
    <col min="4" max="4" width="12" style="27" bestFit="1" customWidth="1"/>
    <col min="5" max="5" width="14.75" style="31" bestFit="1" customWidth="1"/>
    <col min="6" max="6" width="12" style="32" bestFit="1" customWidth="1"/>
    <col min="7" max="7" width="13.5" style="31" bestFit="1" customWidth="1"/>
    <col min="8" max="8" width="10.375" style="33" bestFit="1" customWidth="1"/>
    <col min="9" max="10" width="8.75" style="27" bestFit="1" customWidth="1"/>
    <col min="11" max="11" width="10.375" style="27" bestFit="1" customWidth="1"/>
    <col min="12" max="12" width="11" style="31" bestFit="1" customWidth="1"/>
    <col min="13" max="13" width="14.75" style="27" bestFit="1" customWidth="1"/>
    <col min="14" max="16384" width="5.375" style="27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B2" s="28" t="s">
        <v>0</v>
      </c>
      <c r="C2" s="29">
        <v>44377</v>
      </c>
      <c r="D2" s="30"/>
      <c r="L2" s="31" t="s">
        <v>1</v>
      </c>
    </row>
    <row r="3" spans="1:13" s="48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48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44348</v>
      </c>
      <c r="J4" s="39">
        <v>44377</v>
      </c>
      <c r="K4" s="24">
        <v>30</v>
      </c>
      <c r="L4" s="24">
        <v>66781</v>
      </c>
      <c r="M4" s="24">
        <v>162500000</v>
      </c>
    </row>
    <row r="5" spans="1:13" s="48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44348</v>
      </c>
      <c r="J5" s="39">
        <v>44377</v>
      </c>
      <c r="K5" s="24">
        <v>30</v>
      </c>
      <c r="L5" s="24">
        <v>592</v>
      </c>
      <c r="M5" s="24">
        <v>2400000</v>
      </c>
    </row>
    <row r="6" spans="1:13" s="48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44348</v>
      </c>
      <c r="J6" s="39">
        <v>44377</v>
      </c>
      <c r="K6" s="24">
        <v>30</v>
      </c>
      <c r="L6" s="24">
        <v>3029</v>
      </c>
      <c r="M6" s="24">
        <v>7370000</v>
      </c>
    </row>
    <row r="7" spans="1:13" s="48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44348</v>
      </c>
      <c r="J7" s="39">
        <v>44377</v>
      </c>
      <c r="K7" s="24">
        <v>30</v>
      </c>
      <c r="L7" s="24">
        <v>2421</v>
      </c>
      <c r="M7" s="24">
        <v>5890000</v>
      </c>
    </row>
    <row r="8" spans="1:13" s="48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44348</v>
      </c>
      <c r="J8" s="39">
        <v>44377</v>
      </c>
      <c r="K8" s="24">
        <v>30</v>
      </c>
      <c r="L8" s="24">
        <v>1241</v>
      </c>
      <c r="M8" s="24">
        <v>3020000</v>
      </c>
    </row>
    <row r="9" spans="1:13" s="48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44348</v>
      </c>
      <c r="J9" s="39">
        <v>44377</v>
      </c>
      <c r="K9" s="24">
        <v>30</v>
      </c>
      <c r="L9" s="24">
        <v>34767</v>
      </c>
      <c r="M9" s="24">
        <v>84600000</v>
      </c>
    </row>
    <row r="10" spans="1:13" s="48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44348</v>
      </c>
      <c r="J10" s="39">
        <v>44377</v>
      </c>
      <c r="K10" s="24">
        <v>30</v>
      </c>
      <c r="L10" s="24">
        <v>24658</v>
      </c>
      <c r="M10" s="24">
        <v>60000000</v>
      </c>
    </row>
    <row r="11" spans="1:13" s="48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44348</v>
      </c>
      <c r="J11" s="39">
        <v>44377</v>
      </c>
      <c r="K11" s="24">
        <v>30</v>
      </c>
      <c r="L11" s="24">
        <v>39945</v>
      </c>
      <c r="M11" s="24">
        <v>162000000</v>
      </c>
    </row>
    <row r="12" spans="1:13" s="48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44348</v>
      </c>
      <c r="J12" s="39">
        <v>44377</v>
      </c>
      <c r="K12" s="24">
        <v>30</v>
      </c>
      <c r="L12" s="24">
        <v>1704</v>
      </c>
      <c r="M12" s="24">
        <v>4147000</v>
      </c>
    </row>
    <row r="13" spans="1:13" s="48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44348</v>
      </c>
      <c r="J13" s="39">
        <v>44377</v>
      </c>
      <c r="K13" s="24">
        <v>30</v>
      </c>
      <c r="L13" s="24">
        <v>304</v>
      </c>
      <c r="M13" s="24">
        <v>740000</v>
      </c>
    </row>
    <row r="14" spans="1:13" s="48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44348</v>
      </c>
      <c r="J14" s="39">
        <v>44377</v>
      </c>
      <c r="K14" s="24">
        <v>30</v>
      </c>
      <c r="L14" s="24">
        <v>72424</v>
      </c>
      <c r="M14" s="24">
        <v>176232000</v>
      </c>
    </row>
    <row r="15" spans="1:13" s="48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44348</v>
      </c>
      <c r="J15" s="39">
        <v>44377</v>
      </c>
      <c r="K15" s="24">
        <v>30</v>
      </c>
      <c r="L15" s="24">
        <v>2642</v>
      </c>
      <c r="M15" s="24">
        <v>6430000</v>
      </c>
    </row>
    <row r="16" spans="1:13" s="48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44348</v>
      </c>
      <c r="J16" s="39">
        <v>44377</v>
      </c>
      <c r="K16" s="24">
        <v>30</v>
      </c>
      <c r="L16" s="24">
        <v>2219</v>
      </c>
      <c r="M16" s="24">
        <v>5400000</v>
      </c>
    </row>
    <row r="17" spans="1:13" s="48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44348</v>
      </c>
      <c r="J17" s="39">
        <v>44377</v>
      </c>
      <c r="K17" s="24">
        <v>30</v>
      </c>
      <c r="L17" s="24">
        <v>156</v>
      </c>
      <c r="M17" s="24">
        <v>380000</v>
      </c>
    </row>
    <row r="18" spans="1:13" s="48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44348</v>
      </c>
      <c r="J18" s="39">
        <v>44377</v>
      </c>
      <c r="K18" s="24">
        <v>30</v>
      </c>
      <c r="L18" s="24">
        <v>986</v>
      </c>
      <c r="M18" s="24">
        <v>2400000</v>
      </c>
    </row>
    <row r="19" spans="1:13" s="48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44348</v>
      </c>
      <c r="J19" s="39">
        <v>44377</v>
      </c>
      <c r="K19" s="24">
        <v>30</v>
      </c>
      <c r="L19" s="24">
        <v>411</v>
      </c>
      <c r="M19" s="24">
        <v>1000000</v>
      </c>
    </row>
    <row r="20" spans="1:13" s="48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44348</v>
      </c>
      <c r="J20" s="39">
        <v>44377</v>
      </c>
      <c r="K20" s="24">
        <v>30</v>
      </c>
      <c r="L20" s="24">
        <v>4110</v>
      </c>
      <c r="M20" s="24">
        <v>10000000</v>
      </c>
    </row>
    <row r="21" spans="1:13" s="48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44348</v>
      </c>
      <c r="J21" s="39">
        <v>44377</v>
      </c>
      <c r="K21" s="24">
        <v>30</v>
      </c>
      <c r="L21" s="24">
        <v>102740</v>
      </c>
      <c r="M21" s="24">
        <v>250000000</v>
      </c>
    </row>
    <row r="22" spans="1:13" s="48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44348</v>
      </c>
      <c r="J22" s="39">
        <v>44377</v>
      </c>
      <c r="K22" s="24">
        <v>30</v>
      </c>
      <c r="L22" s="24">
        <v>82192</v>
      </c>
      <c r="M22" s="24">
        <v>200000000</v>
      </c>
    </row>
    <row r="23" spans="1:13" s="48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44348</v>
      </c>
      <c r="J23" s="39">
        <v>44377</v>
      </c>
      <c r="K23" s="24">
        <v>30</v>
      </c>
      <c r="L23" s="24">
        <v>3534</v>
      </c>
      <c r="M23" s="24">
        <v>8600000</v>
      </c>
    </row>
    <row r="24" spans="1:13" s="48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44348</v>
      </c>
      <c r="J24" s="39">
        <v>44377</v>
      </c>
      <c r="K24" s="24">
        <v>30</v>
      </c>
      <c r="L24" s="24">
        <v>681</v>
      </c>
      <c r="M24" s="24">
        <v>1657000</v>
      </c>
    </row>
    <row r="25" spans="1:13" s="48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44348</v>
      </c>
      <c r="J25" s="39">
        <v>44377</v>
      </c>
      <c r="K25" s="24">
        <v>30</v>
      </c>
      <c r="L25" s="24">
        <v>822</v>
      </c>
      <c r="M25" s="24">
        <v>2000000</v>
      </c>
    </row>
    <row r="26" spans="1:13" s="48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44348</v>
      </c>
      <c r="J26" s="39">
        <v>44377</v>
      </c>
      <c r="K26" s="24">
        <v>30</v>
      </c>
      <c r="L26" s="24">
        <v>11753</v>
      </c>
      <c r="M26" s="24">
        <v>28600000</v>
      </c>
    </row>
    <row r="27" spans="1:13" s="48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44348</v>
      </c>
      <c r="J27" s="39">
        <v>44377</v>
      </c>
      <c r="K27" s="24">
        <v>30</v>
      </c>
      <c r="L27" s="24">
        <v>247</v>
      </c>
      <c r="M27" s="24">
        <v>600000</v>
      </c>
    </row>
    <row r="28" spans="1:13" s="48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44348</v>
      </c>
      <c r="J28" s="39">
        <v>44377</v>
      </c>
      <c r="K28" s="24">
        <v>30</v>
      </c>
      <c r="L28" s="24">
        <v>14795</v>
      </c>
      <c r="M28" s="24">
        <v>60000000</v>
      </c>
    </row>
    <row r="29" spans="1:13" s="48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44348</v>
      </c>
      <c r="J29" s="39">
        <v>44377</v>
      </c>
      <c r="K29" s="24">
        <v>30</v>
      </c>
      <c r="L29" s="24">
        <v>32877</v>
      </c>
      <c r="M29" s="24">
        <v>80000000</v>
      </c>
    </row>
    <row r="30" spans="1:13" s="48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44348</v>
      </c>
      <c r="J30" s="39">
        <v>44377</v>
      </c>
      <c r="K30" s="24">
        <v>30</v>
      </c>
      <c r="L30" s="24">
        <v>53425</v>
      </c>
      <c r="M30" s="24">
        <v>130000000</v>
      </c>
    </row>
    <row r="31" spans="1:13" s="48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44348</v>
      </c>
      <c r="J31" s="39">
        <v>44377</v>
      </c>
      <c r="K31" s="24">
        <v>30</v>
      </c>
      <c r="L31" s="24">
        <v>34484</v>
      </c>
      <c r="M31" s="24">
        <v>83911000</v>
      </c>
    </row>
    <row r="32" spans="1:13" s="48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14254237</v>
      </c>
      <c r="H32" s="23">
        <v>5.0000000000000001E-3</v>
      </c>
      <c r="I32" s="39">
        <v>44348</v>
      </c>
      <c r="J32" s="39">
        <v>44361</v>
      </c>
      <c r="K32" s="24">
        <v>14</v>
      </c>
      <c r="L32" s="24">
        <v>2734</v>
      </c>
      <c r="M32" s="24">
        <v>14008474</v>
      </c>
    </row>
    <row r="33" spans="1:13" s="48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14008474</v>
      </c>
      <c r="H33" s="23">
        <v>5.0000000000000001E-3</v>
      </c>
      <c r="I33" s="39">
        <v>44362</v>
      </c>
      <c r="J33" s="39">
        <v>44377</v>
      </c>
      <c r="K33" s="24">
        <v>16</v>
      </c>
      <c r="L33" s="24">
        <v>3070</v>
      </c>
      <c r="M33" s="24"/>
    </row>
    <row r="34" spans="1:13" s="48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44348</v>
      </c>
      <c r="J34" s="39">
        <v>44377</v>
      </c>
      <c r="K34" s="24">
        <v>30</v>
      </c>
      <c r="L34" s="24">
        <v>50893</v>
      </c>
      <c r="M34" s="24">
        <v>206400000</v>
      </c>
    </row>
    <row r="35" spans="1:13" s="48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44348</v>
      </c>
      <c r="J35" s="39">
        <v>44377</v>
      </c>
      <c r="K35" s="24">
        <v>30</v>
      </c>
      <c r="L35" s="24">
        <v>8051</v>
      </c>
      <c r="M35" s="24">
        <v>19590000</v>
      </c>
    </row>
    <row r="36" spans="1:13" s="48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44348</v>
      </c>
      <c r="J36" s="39">
        <v>44377</v>
      </c>
      <c r="K36" s="24">
        <v>30</v>
      </c>
      <c r="L36" s="24">
        <v>6986</v>
      </c>
      <c r="M36" s="24">
        <v>17000000</v>
      </c>
    </row>
    <row r="37" spans="1:13" s="48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44377</v>
      </c>
      <c r="J37" s="39">
        <v>44377</v>
      </c>
      <c r="K37" s="24">
        <v>1</v>
      </c>
      <c r="L37" s="24">
        <v>437</v>
      </c>
      <c r="M37" s="24">
        <v>31900000</v>
      </c>
    </row>
    <row r="38" spans="1:13" s="48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44348</v>
      </c>
      <c r="J38" s="39">
        <v>44377</v>
      </c>
      <c r="K38" s="24">
        <v>30</v>
      </c>
      <c r="L38" s="24">
        <v>8219</v>
      </c>
      <c r="M38" s="24">
        <v>20000000</v>
      </c>
    </row>
    <row r="39" spans="1:13" s="48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44371</v>
      </c>
      <c r="J39" s="39">
        <v>44377</v>
      </c>
      <c r="K39" s="24">
        <v>7</v>
      </c>
      <c r="L39" s="24">
        <v>418</v>
      </c>
      <c r="M39" s="24">
        <v>4359000</v>
      </c>
    </row>
    <row r="40" spans="1:13" s="48" customFormat="1" outlineLevel="2">
      <c r="A40" s="39" t="s">
        <v>15</v>
      </c>
      <c r="B40" s="40" t="s">
        <v>62</v>
      </c>
      <c r="C40" s="41" t="s">
        <v>55</v>
      </c>
      <c r="D40" s="40" t="s">
        <v>56</v>
      </c>
      <c r="E40" s="24">
        <v>10000000</v>
      </c>
      <c r="F40" s="39">
        <v>43934</v>
      </c>
      <c r="G40" s="24">
        <v>10000000</v>
      </c>
      <c r="H40" s="23">
        <v>5.0000000000000001E-3</v>
      </c>
      <c r="I40" s="39">
        <v>44348</v>
      </c>
      <c r="J40" s="39">
        <v>44377</v>
      </c>
      <c r="K40" s="24">
        <v>30</v>
      </c>
      <c r="L40" s="24">
        <v>4110</v>
      </c>
      <c r="M40" s="24">
        <v>10000000</v>
      </c>
    </row>
    <row r="41" spans="1:13" s="48" customFormat="1" outlineLevel="2">
      <c r="A41" s="39" t="s">
        <v>15</v>
      </c>
      <c r="B41" s="40" t="s">
        <v>63</v>
      </c>
      <c r="C41" s="41" t="s">
        <v>55</v>
      </c>
      <c r="D41" s="40" t="s">
        <v>56</v>
      </c>
      <c r="E41" s="24">
        <v>30000000</v>
      </c>
      <c r="F41" s="39">
        <v>43937</v>
      </c>
      <c r="G41" s="24">
        <v>30000000</v>
      </c>
      <c r="H41" s="23">
        <v>5.0000000000000001E-3</v>
      </c>
      <c r="I41" s="39">
        <v>44348</v>
      </c>
      <c r="J41" s="39">
        <v>44377</v>
      </c>
      <c r="K41" s="24">
        <v>30</v>
      </c>
      <c r="L41" s="24">
        <v>12329</v>
      </c>
      <c r="M41" s="24">
        <v>30000000</v>
      </c>
    </row>
    <row r="42" spans="1:13" s="48" customFormat="1" outlineLevel="2">
      <c r="A42" s="39" t="s">
        <v>15</v>
      </c>
      <c r="B42" s="40" t="s">
        <v>64</v>
      </c>
      <c r="C42" s="41" t="s">
        <v>55</v>
      </c>
      <c r="D42" s="40" t="s">
        <v>56</v>
      </c>
      <c r="E42" s="24">
        <v>58360000</v>
      </c>
      <c r="F42" s="39">
        <v>43929</v>
      </c>
      <c r="G42" s="24">
        <v>58360000</v>
      </c>
      <c r="H42" s="23">
        <v>5.0000000000000001E-3</v>
      </c>
      <c r="I42" s="39">
        <v>44348</v>
      </c>
      <c r="J42" s="39">
        <v>44377</v>
      </c>
      <c r="K42" s="24">
        <v>30</v>
      </c>
      <c r="L42" s="24">
        <v>23984</v>
      </c>
      <c r="M42" s="24">
        <v>58360000</v>
      </c>
    </row>
    <row r="43" spans="1:13" s="48" customFormat="1" outlineLevel="2">
      <c r="A43" s="39" t="s">
        <v>15</v>
      </c>
      <c r="B43" s="40" t="s">
        <v>65</v>
      </c>
      <c r="C43" s="41" t="s">
        <v>66</v>
      </c>
      <c r="D43" s="40" t="s">
        <v>67</v>
      </c>
      <c r="E43" s="24">
        <v>64000000</v>
      </c>
      <c r="F43" s="39">
        <v>43966</v>
      </c>
      <c r="G43" s="24">
        <v>64000000</v>
      </c>
      <c r="H43" s="23">
        <v>5.0000000000000001E-3</v>
      </c>
      <c r="I43" s="39">
        <v>44348</v>
      </c>
      <c r="J43" s="39">
        <v>44377</v>
      </c>
      <c r="K43" s="24">
        <v>30</v>
      </c>
      <c r="L43" s="24">
        <v>26301</v>
      </c>
      <c r="M43" s="24">
        <v>64000000</v>
      </c>
    </row>
    <row r="44" spans="1:13" s="48" customFormat="1" outlineLevel="2">
      <c r="A44" s="39" t="s">
        <v>15</v>
      </c>
      <c r="B44" s="40" t="s">
        <v>68</v>
      </c>
      <c r="C44" s="41" t="s">
        <v>55</v>
      </c>
      <c r="D44" s="40" t="s">
        <v>56</v>
      </c>
      <c r="E44" s="24">
        <v>11400000</v>
      </c>
      <c r="F44" s="39">
        <v>43962</v>
      </c>
      <c r="G44" s="24">
        <v>11400000</v>
      </c>
      <c r="H44" s="23">
        <v>5.0000000000000001E-3</v>
      </c>
      <c r="I44" s="39">
        <v>44348</v>
      </c>
      <c r="J44" s="39">
        <v>44377</v>
      </c>
      <c r="K44" s="24">
        <v>30</v>
      </c>
      <c r="L44" s="24">
        <v>4685</v>
      </c>
      <c r="M44" s="24">
        <v>11400000</v>
      </c>
    </row>
    <row r="45" spans="1:13" s="48" customFormat="1" outlineLevel="1">
      <c r="A45" s="42" t="s">
        <v>69</v>
      </c>
      <c r="B45" s="43"/>
      <c r="C45" s="44"/>
      <c r="D45" s="43"/>
      <c r="E45" s="45">
        <v>2027386000</v>
      </c>
      <c r="F45" s="46"/>
      <c r="G45" s="45"/>
      <c r="H45" s="47"/>
      <c r="I45" s="46"/>
      <c r="J45" s="46"/>
      <c r="K45" s="45"/>
      <c r="L45" s="45">
        <v>748157</v>
      </c>
      <c r="M45" s="45">
        <v>2026894474</v>
      </c>
    </row>
    <row r="46" spans="1:13" s="48" customFormat="1" outlineLevel="2">
      <c r="A46" s="39" t="s">
        <v>70</v>
      </c>
      <c r="B46" s="40" t="s">
        <v>16</v>
      </c>
      <c r="C46" s="41" t="s">
        <v>27</v>
      </c>
      <c r="D46" s="40" t="s">
        <v>28</v>
      </c>
      <c r="E46" s="24">
        <v>21330000</v>
      </c>
      <c r="F46" s="39">
        <v>44046</v>
      </c>
      <c r="G46" s="24">
        <v>21330000</v>
      </c>
      <c r="H46" s="23">
        <v>5.0000000000000001E-3</v>
      </c>
      <c r="I46" s="39">
        <v>44348</v>
      </c>
      <c r="J46" s="39">
        <v>44377</v>
      </c>
      <c r="K46" s="24">
        <v>30</v>
      </c>
      <c r="L46" s="24">
        <v>8766</v>
      </c>
      <c r="M46" s="24">
        <v>21330000</v>
      </c>
    </row>
    <row r="47" spans="1:13" s="48" customFormat="1" outlineLevel="2">
      <c r="A47" s="39" t="s">
        <v>70</v>
      </c>
      <c r="B47" s="40" t="s">
        <v>39</v>
      </c>
      <c r="C47" s="41" t="s">
        <v>27</v>
      </c>
      <c r="D47" s="40" t="s">
        <v>28</v>
      </c>
      <c r="E47" s="24">
        <v>8670000</v>
      </c>
      <c r="F47" s="39">
        <v>44060</v>
      </c>
      <c r="G47" s="24">
        <v>8670000</v>
      </c>
      <c r="H47" s="23">
        <v>5.0000000000000001E-3</v>
      </c>
      <c r="I47" s="39">
        <v>44348</v>
      </c>
      <c r="J47" s="39">
        <v>44377</v>
      </c>
      <c r="K47" s="24">
        <v>30</v>
      </c>
      <c r="L47" s="24">
        <v>3563</v>
      </c>
      <c r="M47" s="24">
        <v>8670000</v>
      </c>
    </row>
    <row r="48" spans="1:13" s="48" customFormat="1" outlineLevel="2">
      <c r="A48" s="39" t="s">
        <v>70</v>
      </c>
      <c r="B48" s="40" t="s">
        <v>54</v>
      </c>
      <c r="C48" s="41" t="s">
        <v>71</v>
      </c>
      <c r="D48" s="40" t="s">
        <v>72</v>
      </c>
      <c r="E48" s="24">
        <v>10600000</v>
      </c>
      <c r="F48" s="39">
        <v>44085</v>
      </c>
      <c r="G48" s="24">
        <v>10600000</v>
      </c>
      <c r="H48" s="23">
        <v>5.0000000000000001E-3</v>
      </c>
      <c r="I48" s="39">
        <v>44348</v>
      </c>
      <c r="J48" s="39">
        <v>44377</v>
      </c>
      <c r="K48" s="24">
        <v>30</v>
      </c>
      <c r="L48" s="24">
        <v>4356</v>
      </c>
      <c r="M48" s="24">
        <v>10600000</v>
      </c>
    </row>
    <row r="49" spans="1:13" s="48" customFormat="1" outlineLevel="2">
      <c r="A49" s="39" t="s">
        <v>70</v>
      </c>
      <c r="B49" s="40" t="s">
        <v>59</v>
      </c>
      <c r="C49" s="41" t="s">
        <v>73</v>
      </c>
      <c r="D49" s="40" t="s">
        <v>74</v>
      </c>
      <c r="E49" s="24">
        <v>40170000</v>
      </c>
      <c r="F49" s="39">
        <v>44172</v>
      </c>
      <c r="G49" s="24">
        <v>40170000</v>
      </c>
      <c r="H49" s="23">
        <v>5.0000000000000001E-3</v>
      </c>
      <c r="I49" s="39">
        <v>44348</v>
      </c>
      <c r="J49" s="39">
        <v>44377</v>
      </c>
      <c r="K49" s="24">
        <v>30</v>
      </c>
      <c r="L49" s="24">
        <v>16508</v>
      </c>
      <c r="M49" s="24">
        <v>40170000</v>
      </c>
    </row>
    <row r="50" spans="1:13" s="48" customFormat="1" outlineLevel="2">
      <c r="A50" s="39" t="s">
        <v>70</v>
      </c>
      <c r="B50" s="40" t="s">
        <v>62</v>
      </c>
      <c r="C50" s="41" t="s">
        <v>75</v>
      </c>
      <c r="D50" s="40" t="s">
        <v>76</v>
      </c>
      <c r="E50" s="24">
        <v>5170000</v>
      </c>
      <c r="F50" s="39">
        <v>44166</v>
      </c>
      <c r="G50" s="24">
        <v>5170000</v>
      </c>
      <c r="H50" s="23">
        <v>5.0000000000000001E-3</v>
      </c>
      <c r="I50" s="39">
        <v>44348</v>
      </c>
      <c r="J50" s="39">
        <v>44377</v>
      </c>
      <c r="K50" s="24">
        <v>30</v>
      </c>
      <c r="L50" s="24">
        <v>2125</v>
      </c>
      <c r="M50" s="24">
        <v>5170000</v>
      </c>
    </row>
    <row r="51" spans="1:13" s="48" customFormat="1" outlineLevel="1">
      <c r="A51" s="42" t="s">
        <v>77</v>
      </c>
      <c r="B51" s="43"/>
      <c r="C51" s="44"/>
      <c r="D51" s="43"/>
      <c r="E51" s="45">
        <v>85940000</v>
      </c>
      <c r="F51" s="46"/>
      <c r="G51" s="45"/>
      <c r="H51" s="47"/>
      <c r="I51" s="46"/>
      <c r="J51" s="46"/>
      <c r="K51" s="45"/>
      <c r="L51" s="45">
        <v>35318</v>
      </c>
      <c r="M51" s="45">
        <v>85940000</v>
      </c>
    </row>
    <row r="52" spans="1:13" s="48" customFormat="1" outlineLevel="2">
      <c r="A52" s="39" t="s">
        <v>78</v>
      </c>
      <c r="B52" s="40" t="s">
        <v>16</v>
      </c>
      <c r="C52" s="41" t="s">
        <v>55</v>
      </c>
      <c r="D52" s="40" t="s">
        <v>56</v>
      </c>
      <c r="E52" s="24">
        <v>26500000</v>
      </c>
      <c r="F52" s="39">
        <v>43907</v>
      </c>
      <c r="G52" s="24">
        <v>22083336</v>
      </c>
      <c r="H52" s="23">
        <v>5.0000000000000001E-3</v>
      </c>
      <c r="I52" s="39">
        <v>44348</v>
      </c>
      <c r="J52" s="39">
        <v>44361</v>
      </c>
      <c r="K52" s="24">
        <v>14</v>
      </c>
      <c r="L52" s="24">
        <v>4235</v>
      </c>
      <c r="M52" s="24">
        <v>21767860</v>
      </c>
    </row>
    <row r="53" spans="1:13" s="48" customFormat="1" outlineLevel="2">
      <c r="A53" s="39" t="s">
        <v>78</v>
      </c>
      <c r="B53" s="40" t="s">
        <v>16</v>
      </c>
      <c r="C53" s="41" t="s">
        <v>55</v>
      </c>
      <c r="D53" s="40"/>
      <c r="E53" s="24"/>
      <c r="F53" s="39"/>
      <c r="G53" s="24">
        <v>21767860</v>
      </c>
      <c r="H53" s="23">
        <v>5.0000000000000001E-3</v>
      </c>
      <c r="I53" s="39">
        <v>44362</v>
      </c>
      <c r="J53" s="39">
        <v>44377</v>
      </c>
      <c r="K53" s="24">
        <v>16</v>
      </c>
      <c r="L53" s="24">
        <v>4771</v>
      </c>
      <c r="M53" s="24"/>
    </row>
    <row r="54" spans="1:13" s="48" customFormat="1" outlineLevel="2">
      <c r="A54" s="39" t="s">
        <v>78</v>
      </c>
      <c r="B54" s="40" t="s">
        <v>19</v>
      </c>
      <c r="C54" s="41" t="s">
        <v>79</v>
      </c>
      <c r="D54" s="40" t="s">
        <v>80</v>
      </c>
      <c r="E54" s="24">
        <v>130000000</v>
      </c>
      <c r="F54" s="39">
        <v>44013</v>
      </c>
      <c r="G54" s="24">
        <v>130000000</v>
      </c>
      <c r="H54" s="23">
        <v>5.0000000000000001E-3</v>
      </c>
      <c r="I54" s="39">
        <v>44348</v>
      </c>
      <c r="J54" s="39">
        <v>44377</v>
      </c>
      <c r="K54" s="24">
        <v>30</v>
      </c>
      <c r="L54" s="24">
        <v>53425</v>
      </c>
      <c r="M54" s="24">
        <v>130000000</v>
      </c>
    </row>
    <row r="55" spans="1:13" s="48" customFormat="1" outlineLevel="2">
      <c r="A55" s="39" t="s">
        <v>78</v>
      </c>
      <c r="B55" s="40" t="s">
        <v>22</v>
      </c>
      <c r="C55" s="41" t="s">
        <v>81</v>
      </c>
      <c r="D55" s="40" t="s">
        <v>82</v>
      </c>
      <c r="E55" s="24">
        <v>3400000</v>
      </c>
      <c r="F55" s="39">
        <v>44063</v>
      </c>
      <c r="G55" s="24">
        <v>2872420</v>
      </c>
      <c r="H55" s="23">
        <v>5.0000000000000001E-3</v>
      </c>
      <c r="I55" s="39">
        <v>44348</v>
      </c>
      <c r="J55" s="39">
        <v>44361</v>
      </c>
      <c r="K55" s="24">
        <v>14</v>
      </c>
      <c r="L55" s="24">
        <v>551</v>
      </c>
      <c r="M55" s="24">
        <v>2813800</v>
      </c>
    </row>
    <row r="56" spans="1:13" s="48" customFormat="1" outlineLevel="2">
      <c r="A56" s="39" t="s">
        <v>78</v>
      </c>
      <c r="B56" s="40" t="s">
        <v>22</v>
      </c>
      <c r="C56" s="41" t="s">
        <v>81</v>
      </c>
      <c r="D56" s="40"/>
      <c r="E56" s="24"/>
      <c r="F56" s="39"/>
      <c r="G56" s="24">
        <v>2813800</v>
      </c>
      <c r="H56" s="23">
        <v>5.0000000000000001E-3</v>
      </c>
      <c r="I56" s="39">
        <v>44362</v>
      </c>
      <c r="J56" s="39">
        <v>44377</v>
      </c>
      <c r="K56" s="24">
        <v>16</v>
      </c>
      <c r="L56" s="24">
        <v>617</v>
      </c>
      <c r="M56" s="24"/>
    </row>
    <row r="57" spans="1:13" s="48" customFormat="1" outlineLevel="2">
      <c r="A57" s="39" t="s">
        <v>78</v>
      </c>
      <c r="B57" s="40" t="s">
        <v>25</v>
      </c>
      <c r="C57" s="41" t="s">
        <v>81</v>
      </c>
      <c r="D57" s="40" t="s">
        <v>82</v>
      </c>
      <c r="E57" s="24">
        <v>9800000</v>
      </c>
      <c r="F57" s="39">
        <v>44071</v>
      </c>
      <c r="G57" s="24">
        <v>8279297</v>
      </c>
      <c r="H57" s="23">
        <v>5.0000000000000001E-3</v>
      </c>
      <c r="I57" s="39">
        <v>44348</v>
      </c>
      <c r="J57" s="39">
        <v>44361</v>
      </c>
      <c r="K57" s="24">
        <v>14</v>
      </c>
      <c r="L57" s="24">
        <v>1588</v>
      </c>
      <c r="M57" s="24">
        <v>8110330</v>
      </c>
    </row>
    <row r="58" spans="1:13" s="48" customFormat="1" outlineLevel="2">
      <c r="A58" s="39" t="s">
        <v>78</v>
      </c>
      <c r="B58" s="40" t="s">
        <v>25</v>
      </c>
      <c r="C58" s="41" t="s">
        <v>81</v>
      </c>
      <c r="D58" s="40"/>
      <c r="E58" s="24"/>
      <c r="F58" s="39"/>
      <c r="G58" s="24">
        <v>8110330</v>
      </c>
      <c r="H58" s="23">
        <v>5.0000000000000001E-3</v>
      </c>
      <c r="I58" s="39">
        <v>44362</v>
      </c>
      <c r="J58" s="39">
        <v>44377</v>
      </c>
      <c r="K58" s="24">
        <v>16</v>
      </c>
      <c r="L58" s="24">
        <v>1778</v>
      </c>
      <c r="M58" s="24"/>
    </row>
    <row r="59" spans="1:13" s="48" customFormat="1" outlineLevel="2">
      <c r="A59" s="39" t="s">
        <v>78</v>
      </c>
      <c r="B59" s="40" t="s">
        <v>26</v>
      </c>
      <c r="C59" s="41" t="s">
        <v>83</v>
      </c>
      <c r="D59" s="40" t="s">
        <v>84</v>
      </c>
      <c r="E59" s="24">
        <v>201000000</v>
      </c>
      <c r="F59" s="39">
        <v>44064</v>
      </c>
      <c r="G59" s="24">
        <v>201000000</v>
      </c>
      <c r="H59" s="23">
        <v>5.0000000000000001E-3</v>
      </c>
      <c r="I59" s="39">
        <v>44348</v>
      </c>
      <c r="J59" s="39">
        <v>44377</v>
      </c>
      <c r="K59" s="24">
        <v>30</v>
      </c>
      <c r="L59" s="24">
        <v>82603</v>
      </c>
      <c r="M59" s="24">
        <v>201000000</v>
      </c>
    </row>
    <row r="60" spans="1:13" s="48" customFormat="1" outlineLevel="2">
      <c r="A60" s="39" t="s">
        <v>78</v>
      </c>
      <c r="B60" s="40" t="s">
        <v>29</v>
      </c>
      <c r="C60" s="41" t="s">
        <v>85</v>
      </c>
      <c r="D60" s="40" t="s">
        <v>86</v>
      </c>
      <c r="E60" s="24">
        <v>211550000</v>
      </c>
      <c r="F60" s="39">
        <v>44078</v>
      </c>
      <c r="G60" s="24">
        <v>211550000</v>
      </c>
      <c r="H60" s="23">
        <v>5.0000000000000001E-3</v>
      </c>
      <c r="I60" s="39">
        <v>44348</v>
      </c>
      <c r="J60" s="39">
        <v>44377</v>
      </c>
      <c r="K60" s="24">
        <v>30</v>
      </c>
      <c r="L60" s="24">
        <v>86938</v>
      </c>
      <c r="M60" s="24">
        <v>211550000</v>
      </c>
    </row>
    <row r="61" spans="1:13" s="48" customFormat="1" outlineLevel="2">
      <c r="A61" s="39" t="s">
        <v>78</v>
      </c>
      <c r="B61" s="40" t="s">
        <v>32</v>
      </c>
      <c r="C61" s="41" t="s">
        <v>85</v>
      </c>
      <c r="D61" s="40" t="s">
        <v>86</v>
      </c>
      <c r="E61" s="24">
        <v>91330000</v>
      </c>
      <c r="F61" s="39">
        <v>44120</v>
      </c>
      <c r="G61" s="24">
        <v>91330000</v>
      </c>
      <c r="H61" s="23">
        <v>5.0000000000000001E-3</v>
      </c>
      <c r="I61" s="39">
        <v>44348</v>
      </c>
      <c r="J61" s="39">
        <v>44377</v>
      </c>
      <c r="K61" s="24">
        <v>30</v>
      </c>
      <c r="L61" s="24">
        <v>37533</v>
      </c>
      <c r="M61" s="24">
        <v>91330000</v>
      </c>
    </row>
    <row r="62" spans="1:13" s="48" customFormat="1" outlineLevel="2">
      <c r="A62" s="39" t="s">
        <v>78</v>
      </c>
      <c r="B62" s="40" t="s">
        <v>33</v>
      </c>
      <c r="C62" s="41" t="s">
        <v>45</v>
      </c>
      <c r="D62" s="40" t="s">
        <v>46</v>
      </c>
      <c r="E62" s="24">
        <v>10000000</v>
      </c>
      <c r="F62" s="39">
        <v>44120</v>
      </c>
      <c r="G62" s="24">
        <v>10000000</v>
      </c>
      <c r="H62" s="23">
        <v>5.0000000000000001E-3</v>
      </c>
      <c r="I62" s="39">
        <v>44348</v>
      </c>
      <c r="J62" s="39">
        <v>44377</v>
      </c>
      <c r="K62" s="24">
        <v>30</v>
      </c>
      <c r="L62" s="24">
        <v>4110</v>
      </c>
      <c r="M62" s="24">
        <v>10000000</v>
      </c>
    </row>
    <row r="63" spans="1:13" s="48" customFormat="1" outlineLevel="2">
      <c r="A63" s="39" t="s">
        <v>78</v>
      </c>
      <c r="B63" s="40" t="s">
        <v>34</v>
      </c>
      <c r="C63" s="41" t="s">
        <v>87</v>
      </c>
      <c r="D63" s="40" t="s">
        <v>88</v>
      </c>
      <c r="E63" s="24">
        <v>40000000</v>
      </c>
      <c r="F63" s="39">
        <v>44131</v>
      </c>
      <c r="G63" s="24">
        <v>40000000</v>
      </c>
      <c r="H63" s="23">
        <v>5.0000000000000001E-3</v>
      </c>
      <c r="I63" s="39">
        <v>44348</v>
      </c>
      <c r="J63" s="39">
        <v>44377</v>
      </c>
      <c r="K63" s="24">
        <v>30</v>
      </c>
      <c r="L63" s="24">
        <v>16438</v>
      </c>
      <c r="M63" s="24">
        <v>40000000</v>
      </c>
    </row>
    <row r="64" spans="1:13" s="48" customFormat="1" outlineLevel="2">
      <c r="A64" s="39" t="s">
        <v>78</v>
      </c>
      <c r="B64" s="40" t="s">
        <v>35</v>
      </c>
      <c r="C64" s="41" t="s">
        <v>89</v>
      </c>
      <c r="D64" s="40" t="s">
        <v>90</v>
      </c>
      <c r="E64" s="24">
        <v>88000000</v>
      </c>
      <c r="F64" s="39">
        <v>44119</v>
      </c>
      <c r="G64" s="24">
        <v>88000000</v>
      </c>
      <c r="H64" s="23">
        <v>5.0000000000000001E-3</v>
      </c>
      <c r="I64" s="39">
        <v>44348</v>
      </c>
      <c r="J64" s="39">
        <v>44377</v>
      </c>
      <c r="K64" s="24">
        <v>30</v>
      </c>
      <c r="L64" s="24">
        <v>36164</v>
      </c>
      <c r="M64" s="24">
        <v>88000000</v>
      </c>
    </row>
    <row r="65" spans="1:13" s="48" customFormat="1" outlineLevel="2">
      <c r="A65" s="39" t="s">
        <v>78</v>
      </c>
      <c r="B65" s="40" t="s">
        <v>36</v>
      </c>
      <c r="C65" s="41" t="s">
        <v>91</v>
      </c>
      <c r="D65" s="40" t="s">
        <v>92</v>
      </c>
      <c r="E65" s="24">
        <v>65800000</v>
      </c>
      <c r="F65" s="39">
        <v>44119</v>
      </c>
      <c r="G65" s="24">
        <v>65800000</v>
      </c>
      <c r="H65" s="23">
        <v>5.0000000000000001E-3</v>
      </c>
      <c r="I65" s="39">
        <v>44348</v>
      </c>
      <c r="J65" s="39">
        <v>44377</v>
      </c>
      <c r="K65" s="24">
        <v>30</v>
      </c>
      <c r="L65" s="24">
        <v>27041</v>
      </c>
      <c r="M65" s="24">
        <v>65800000</v>
      </c>
    </row>
    <row r="66" spans="1:13" s="48" customFormat="1" outlineLevel="2">
      <c r="A66" s="39" t="s">
        <v>78</v>
      </c>
      <c r="B66" s="40" t="s">
        <v>39</v>
      </c>
      <c r="C66" s="41" t="s">
        <v>60</v>
      </c>
      <c r="D66" s="40" t="s">
        <v>61</v>
      </c>
      <c r="E66" s="24">
        <v>90000000</v>
      </c>
      <c r="F66" s="39">
        <v>43913</v>
      </c>
      <c r="G66" s="24">
        <v>86250000</v>
      </c>
      <c r="H66" s="23">
        <v>5.0000000000000001E-3</v>
      </c>
      <c r="I66" s="39">
        <v>44348</v>
      </c>
      <c r="J66" s="39">
        <v>44361</v>
      </c>
      <c r="K66" s="24">
        <v>14</v>
      </c>
      <c r="L66" s="24">
        <v>16541</v>
      </c>
      <c r="M66" s="24">
        <v>84375000</v>
      </c>
    </row>
    <row r="67" spans="1:13" s="48" customFormat="1" outlineLevel="2">
      <c r="A67" s="39" t="s">
        <v>78</v>
      </c>
      <c r="B67" s="40" t="s">
        <v>39</v>
      </c>
      <c r="C67" s="41" t="s">
        <v>60</v>
      </c>
      <c r="D67" s="40"/>
      <c r="E67" s="24"/>
      <c r="F67" s="39"/>
      <c r="G67" s="24">
        <v>84375000</v>
      </c>
      <c r="H67" s="23">
        <v>5.0000000000000001E-3</v>
      </c>
      <c r="I67" s="39">
        <v>44362</v>
      </c>
      <c r="J67" s="39">
        <v>44377</v>
      </c>
      <c r="K67" s="24">
        <v>16</v>
      </c>
      <c r="L67" s="24">
        <v>18493</v>
      </c>
      <c r="M67" s="24"/>
    </row>
    <row r="68" spans="1:13" s="48" customFormat="1" outlineLevel="2">
      <c r="A68" s="39" t="s">
        <v>78</v>
      </c>
      <c r="B68" s="40" t="s">
        <v>40</v>
      </c>
      <c r="C68" s="41" t="s">
        <v>93</v>
      </c>
      <c r="D68" s="40" t="s">
        <v>94</v>
      </c>
      <c r="E68" s="24">
        <v>7611996</v>
      </c>
      <c r="F68" s="39">
        <v>44151</v>
      </c>
      <c r="G68" s="24">
        <v>7611996</v>
      </c>
      <c r="H68" s="23">
        <v>5.0000000000000001E-3</v>
      </c>
      <c r="I68" s="39">
        <v>44348</v>
      </c>
      <c r="J68" s="39">
        <v>44377</v>
      </c>
      <c r="K68" s="24">
        <v>30</v>
      </c>
      <c r="L68" s="24">
        <v>3128</v>
      </c>
      <c r="M68" s="24">
        <v>7611996</v>
      </c>
    </row>
    <row r="69" spans="1:13" s="48" customFormat="1" outlineLevel="2">
      <c r="A69" s="39" t="s">
        <v>78</v>
      </c>
      <c r="B69" s="40" t="s">
        <v>41</v>
      </c>
      <c r="C69" s="41" t="s">
        <v>93</v>
      </c>
      <c r="D69" s="40" t="s">
        <v>94</v>
      </c>
      <c r="E69" s="24">
        <v>4900000</v>
      </c>
      <c r="F69" s="39">
        <v>44151</v>
      </c>
      <c r="G69" s="24">
        <v>4900000</v>
      </c>
      <c r="H69" s="23">
        <v>5.0000000000000001E-3</v>
      </c>
      <c r="I69" s="39">
        <v>44348</v>
      </c>
      <c r="J69" s="39">
        <v>44377</v>
      </c>
      <c r="K69" s="24">
        <v>30</v>
      </c>
      <c r="L69" s="24">
        <v>2014</v>
      </c>
      <c r="M69" s="24">
        <v>4900000</v>
      </c>
    </row>
    <row r="70" spans="1:13" s="48" customFormat="1" outlineLevel="2">
      <c r="A70" s="39" t="s">
        <v>78</v>
      </c>
      <c r="B70" s="40" t="s">
        <v>42</v>
      </c>
      <c r="C70" s="41" t="s">
        <v>93</v>
      </c>
      <c r="D70" s="40" t="s">
        <v>94</v>
      </c>
      <c r="E70" s="24">
        <v>21838392</v>
      </c>
      <c r="F70" s="39">
        <v>44151</v>
      </c>
      <c r="G70" s="24">
        <v>21838392</v>
      </c>
      <c r="H70" s="23">
        <v>5.0000000000000001E-3</v>
      </c>
      <c r="I70" s="39">
        <v>44348</v>
      </c>
      <c r="J70" s="39">
        <v>44377</v>
      </c>
      <c r="K70" s="24">
        <v>30</v>
      </c>
      <c r="L70" s="24">
        <v>8975</v>
      </c>
      <c r="M70" s="24">
        <v>21838392</v>
      </c>
    </row>
    <row r="71" spans="1:13" s="48" customFormat="1" outlineLevel="2">
      <c r="A71" s="39" t="s">
        <v>78</v>
      </c>
      <c r="B71" s="40" t="s">
        <v>43</v>
      </c>
      <c r="C71" s="41" t="s">
        <v>95</v>
      </c>
      <c r="D71" s="40" t="s">
        <v>96</v>
      </c>
      <c r="E71" s="24">
        <v>41950000</v>
      </c>
      <c r="F71" s="39">
        <v>44154</v>
      </c>
      <c r="G71" s="24">
        <v>41950000</v>
      </c>
      <c r="H71" s="23">
        <v>5.0000000000000001E-3</v>
      </c>
      <c r="I71" s="39">
        <v>44348</v>
      </c>
      <c r="J71" s="39">
        <v>44377</v>
      </c>
      <c r="K71" s="24">
        <v>30</v>
      </c>
      <c r="L71" s="24">
        <v>17240</v>
      </c>
      <c r="M71" s="24">
        <v>41950000</v>
      </c>
    </row>
    <row r="72" spans="1:13" s="48" customFormat="1" outlineLevel="2">
      <c r="A72" s="39" t="s">
        <v>78</v>
      </c>
      <c r="B72" s="40" t="s">
        <v>44</v>
      </c>
      <c r="C72" s="41" t="s">
        <v>95</v>
      </c>
      <c r="D72" s="40" t="s">
        <v>96</v>
      </c>
      <c r="E72" s="24">
        <v>30000000</v>
      </c>
      <c r="F72" s="39">
        <v>44154</v>
      </c>
      <c r="G72" s="24">
        <v>27857142</v>
      </c>
      <c r="H72" s="23">
        <v>5.0000000000000001E-3</v>
      </c>
      <c r="I72" s="39">
        <v>44348</v>
      </c>
      <c r="J72" s="39">
        <v>44361</v>
      </c>
      <c r="K72" s="24">
        <v>14</v>
      </c>
      <c r="L72" s="24">
        <v>5342</v>
      </c>
      <c r="M72" s="24">
        <v>27499999</v>
      </c>
    </row>
    <row r="73" spans="1:13" s="48" customFormat="1" outlineLevel="2">
      <c r="A73" s="39" t="s">
        <v>78</v>
      </c>
      <c r="B73" s="40" t="s">
        <v>44</v>
      </c>
      <c r="C73" s="41" t="s">
        <v>95</v>
      </c>
      <c r="D73" s="40"/>
      <c r="E73" s="24"/>
      <c r="F73" s="39"/>
      <c r="G73" s="24">
        <v>27499999</v>
      </c>
      <c r="H73" s="23">
        <v>5.0000000000000001E-3</v>
      </c>
      <c r="I73" s="39">
        <v>44362</v>
      </c>
      <c r="J73" s="39">
        <v>44377</v>
      </c>
      <c r="K73" s="24">
        <v>16</v>
      </c>
      <c r="L73" s="24">
        <v>6027</v>
      </c>
      <c r="M73" s="24"/>
    </row>
    <row r="74" spans="1:13" s="48" customFormat="1" outlineLevel="2">
      <c r="A74" s="39" t="s">
        <v>78</v>
      </c>
      <c r="B74" s="40" t="s">
        <v>47</v>
      </c>
      <c r="C74" s="41" t="s">
        <v>81</v>
      </c>
      <c r="D74" s="40" t="s">
        <v>82</v>
      </c>
      <c r="E74" s="24">
        <v>3490000</v>
      </c>
      <c r="F74" s="39">
        <v>44138</v>
      </c>
      <c r="G74" s="24">
        <v>3109270</v>
      </c>
      <c r="H74" s="23">
        <v>5.0000000000000001E-3</v>
      </c>
      <c r="I74" s="39">
        <v>44348</v>
      </c>
      <c r="J74" s="39">
        <v>44361</v>
      </c>
      <c r="K74" s="24">
        <v>14</v>
      </c>
      <c r="L74" s="24">
        <v>596</v>
      </c>
      <c r="M74" s="24">
        <v>3045815</v>
      </c>
    </row>
    <row r="75" spans="1:13" s="48" customFormat="1" outlineLevel="2">
      <c r="A75" s="39" t="s">
        <v>78</v>
      </c>
      <c r="B75" s="40" t="s">
        <v>47</v>
      </c>
      <c r="C75" s="41" t="s">
        <v>81</v>
      </c>
      <c r="D75" s="40"/>
      <c r="E75" s="24"/>
      <c r="F75" s="39"/>
      <c r="G75" s="24">
        <v>3045815</v>
      </c>
      <c r="H75" s="23">
        <v>5.0000000000000001E-3</v>
      </c>
      <c r="I75" s="39">
        <v>44362</v>
      </c>
      <c r="J75" s="39">
        <v>44377</v>
      </c>
      <c r="K75" s="24">
        <v>16</v>
      </c>
      <c r="L75" s="24">
        <v>668</v>
      </c>
      <c r="M75" s="24"/>
    </row>
    <row r="76" spans="1:13" s="48" customFormat="1" outlineLevel="2">
      <c r="A76" s="39" t="s">
        <v>78</v>
      </c>
      <c r="B76" s="40" t="s">
        <v>50</v>
      </c>
      <c r="C76" s="41" t="s">
        <v>81</v>
      </c>
      <c r="D76" s="40" t="s">
        <v>82</v>
      </c>
      <c r="E76" s="24">
        <v>1970000</v>
      </c>
      <c r="F76" s="39">
        <v>44147</v>
      </c>
      <c r="G76" s="24">
        <v>1755086</v>
      </c>
      <c r="H76" s="23">
        <v>5.0000000000000001E-3</v>
      </c>
      <c r="I76" s="39">
        <v>44348</v>
      </c>
      <c r="J76" s="39">
        <v>44361</v>
      </c>
      <c r="K76" s="24">
        <v>14</v>
      </c>
      <c r="L76" s="24">
        <v>337</v>
      </c>
      <c r="M76" s="24">
        <v>1719267</v>
      </c>
    </row>
    <row r="77" spans="1:13" s="48" customFormat="1" outlineLevel="2">
      <c r="A77" s="39" t="s">
        <v>78</v>
      </c>
      <c r="B77" s="40" t="s">
        <v>50</v>
      </c>
      <c r="C77" s="41" t="s">
        <v>81</v>
      </c>
      <c r="D77" s="40"/>
      <c r="E77" s="24"/>
      <c r="F77" s="39"/>
      <c r="G77" s="24">
        <v>1719267</v>
      </c>
      <c r="H77" s="23">
        <v>5.0000000000000001E-3</v>
      </c>
      <c r="I77" s="39">
        <v>44362</v>
      </c>
      <c r="J77" s="39">
        <v>44377</v>
      </c>
      <c r="K77" s="24">
        <v>16</v>
      </c>
      <c r="L77" s="24">
        <v>377</v>
      </c>
      <c r="M77" s="24"/>
    </row>
    <row r="78" spans="1:13" s="48" customFormat="1" outlineLevel="2">
      <c r="A78" s="39" t="s">
        <v>78</v>
      </c>
      <c r="B78" s="40" t="s">
        <v>51</v>
      </c>
      <c r="C78" s="41" t="s">
        <v>93</v>
      </c>
      <c r="D78" s="40" t="s">
        <v>94</v>
      </c>
      <c r="E78" s="24">
        <v>20979731</v>
      </c>
      <c r="F78" s="39">
        <v>44167</v>
      </c>
      <c r="G78" s="24">
        <v>20979731</v>
      </c>
      <c r="H78" s="23">
        <v>5.0000000000000001E-3</v>
      </c>
      <c r="I78" s="39">
        <v>44348</v>
      </c>
      <c r="J78" s="39">
        <v>44377</v>
      </c>
      <c r="K78" s="24">
        <v>30</v>
      </c>
      <c r="L78" s="24">
        <v>8622</v>
      </c>
      <c r="M78" s="24">
        <v>20979731</v>
      </c>
    </row>
    <row r="79" spans="1:13" s="48" customFormat="1" outlineLevel="2">
      <c r="A79" s="39" t="s">
        <v>78</v>
      </c>
      <c r="B79" s="40" t="s">
        <v>52</v>
      </c>
      <c r="C79" s="41" t="s">
        <v>93</v>
      </c>
      <c r="D79" s="40" t="s">
        <v>94</v>
      </c>
      <c r="E79" s="24">
        <v>15036832</v>
      </c>
      <c r="F79" s="39">
        <v>44181</v>
      </c>
      <c r="G79" s="24">
        <v>15036832</v>
      </c>
      <c r="H79" s="23">
        <v>5.0000000000000001E-3</v>
      </c>
      <c r="I79" s="39">
        <v>44348</v>
      </c>
      <c r="J79" s="39">
        <v>44377</v>
      </c>
      <c r="K79" s="24">
        <v>30</v>
      </c>
      <c r="L79" s="24">
        <v>6180</v>
      </c>
      <c r="M79" s="24">
        <v>15036832</v>
      </c>
    </row>
    <row r="80" spans="1:13" s="48" customFormat="1" outlineLevel="2">
      <c r="A80" s="39" t="s">
        <v>78</v>
      </c>
      <c r="B80" s="40" t="s">
        <v>53</v>
      </c>
      <c r="C80" s="41" t="s">
        <v>93</v>
      </c>
      <c r="D80" s="40" t="s">
        <v>94</v>
      </c>
      <c r="E80" s="24">
        <v>2070415</v>
      </c>
      <c r="F80" s="39">
        <v>44193</v>
      </c>
      <c r="G80" s="24">
        <v>2070415</v>
      </c>
      <c r="H80" s="23">
        <v>5.0000000000000001E-3</v>
      </c>
      <c r="I80" s="39">
        <v>44348</v>
      </c>
      <c r="J80" s="39">
        <v>44377</v>
      </c>
      <c r="K80" s="24">
        <v>30</v>
      </c>
      <c r="L80" s="24">
        <v>851</v>
      </c>
      <c r="M80" s="24">
        <v>2070415</v>
      </c>
    </row>
    <row r="81" spans="1:13" s="48" customFormat="1" outlineLevel="2">
      <c r="A81" s="39" t="s">
        <v>78</v>
      </c>
      <c r="B81" s="40" t="s">
        <v>54</v>
      </c>
      <c r="C81" s="41" t="s">
        <v>55</v>
      </c>
      <c r="D81" s="40" t="s">
        <v>56</v>
      </c>
      <c r="E81" s="24">
        <v>23500000</v>
      </c>
      <c r="F81" s="39">
        <v>43928</v>
      </c>
      <c r="G81" s="24">
        <v>19583318</v>
      </c>
      <c r="H81" s="23">
        <v>5.0000000000000001E-3</v>
      </c>
      <c r="I81" s="39">
        <v>44348</v>
      </c>
      <c r="J81" s="39">
        <v>44361</v>
      </c>
      <c r="K81" s="24">
        <v>14</v>
      </c>
      <c r="L81" s="24">
        <v>3756</v>
      </c>
      <c r="M81" s="24">
        <v>19303555</v>
      </c>
    </row>
    <row r="82" spans="1:13" s="48" customFormat="1" outlineLevel="2">
      <c r="A82" s="39" t="s">
        <v>78</v>
      </c>
      <c r="B82" s="40" t="s">
        <v>54</v>
      </c>
      <c r="C82" s="41" t="s">
        <v>55</v>
      </c>
      <c r="D82" s="40"/>
      <c r="E82" s="24"/>
      <c r="F82" s="39"/>
      <c r="G82" s="24">
        <v>19303555</v>
      </c>
      <c r="H82" s="23">
        <v>5.0000000000000001E-3</v>
      </c>
      <c r="I82" s="39">
        <v>44362</v>
      </c>
      <c r="J82" s="39">
        <v>44377</v>
      </c>
      <c r="K82" s="24">
        <v>16</v>
      </c>
      <c r="L82" s="24">
        <v>4231</v>
      </c>
      <c r="M82" s="24"/>
    </row>
    <row r="83" spans="1:13" s="48" customFormat="1" outlineLevel="2">
      <c r="A83" s="39" t="s">
        <v>78</v>
      </c>
      <c r="B83" s="40" t="s">
        <v>57</v>
      </c>
      <c r="C83" s="41" t="s">
        <v>83</v>
      </c>
      <c r="D83" s="40" t="s">
        <v>84</v>
      </c>
      <c r="E83" s="24">
        <v>125000000</v>
      </c>
      <c r="F83" s="39">
        <v>44189</v>
      </c>
      <c r="G83" s="24">
        <v>125000000</v>
      </c>
      <c r="H83" s="23">
        <v>5.0000000000000001E-3</v>
      </c>
      <c r="I83" s="39">
        <v>44348</v>
      </c>
      <c r="J83" s="39">
        <v>44377</v>
      </c>
      <c r="K83" s="24">
        <v>30</v>
      </c>
      <c r="L83" s="24">
        <v>51370</v>
      </c>
      <c r="M83" s="24">
        <v>125000000</v>
      </c>
    </row>
    <row r="84" spans="1:13" s="48" customFormat="1" outlineLevel="2">
      <c r="A84" s="39" t="s">
        <v>78</v>
      </c>
      <c r="B84" s="40" t="s">
        <v>58</v>
      </c>
      <c r="C84" s="41" t="s">
        <v>97</v>
      </c>
      <c r="D84" s="40" t="s">
        <v>98</v>
      </c>
      <c r="E84" s="24">
        <v>51800000</v>
      </c>
      <c r="F84" s="39">
        <v>44180</v>
      </c>
      <c r="G84" s="24">
        <v>51800000</v>
      </c>
      <c r="H84" s="23">
        <v>5.0000000000000001E-3</v>
      </c>
      <c r="I84" s="39">
        <v>44348</v>
      </c>
      <c r="J84" s="39">
        <v>44377</v>
      </c>
      <c r="K84" s="24">
        <v>30</v>
      </c>
      <c r="L84" s="24">
        <v>21288</v>
      </c>
      <c r="M84" s="24">
        <v>51800000</v>
      </c>
    </row>
    <row r="85" spans="1:13" s="48" customFormat="1" outlineLevel="2">
      <c r="A85" s="39" t="s">
        <v>78</v>
      </c>
      <c r="B85" s="40" t="s">
        <v>99</v>
      </c>
      <c r="C85" s="41" t="s">
        <v>91</v>
      </c>
      <c r="D85" s="40" t="s">
        <v>92</v>
      </c>
      <c r="E85" s="24">
        <v>25000000</v>
      </c>
      <c r="F85" s="39">
        <v>44180</v>
      </c>
      <c r="G85" s="24">
        <v>25000000</v>
      </c>
      <c r="H85" s="23">
        <v>5.0000000000000001E-3</v>
      </c>
      <c r="I85" s="39">
        <v>44348</v>
      </c>
      <c r="J85" s="39">
        <v>44377</v>
      </c>
      <c r="K85" s="24">
        <v>30</v>
      </c>
      <c r="L85" s="24">
        <v>10274</v>
      </c>
      <c r="M85" s="24">
        <v>25000000</v>
      </c>
    </row>
    <row r="86" spans="1:13" s="48" customFormat="1" outlineLevel="2">
      <c r="A86" s="39" t="s">
        <v>78</v>
      </c>
      <c r="B86" s="40" t="s">
        <v>100</v>
      </c>
      <c r="C86" s="41" t="s">
        <v>91</v>
      </c>
      <c r="D86" s="40" t="s">
        <v>92</v>
      </c>
      <c r="E86" s="24">
        <v>44000000</v>
      </c>
      <c r="F86" s="39">
        <v>44180</v>
      </c>
      <c r="G86" s="24">
        <v>44000000</v>
      </c>
      <c r="H86" s="23">
        <v>5.0000000000000001E-3</v>
      </c>
      <c r="I86" s="39">
        <v>44348</v>
      </c>
      <c r="J86" s="39">
        <v>44377</v>
      </c>
      <c r="K86" s="24">
        <v>30</v>
      </c>
      <c r="L86" s="24">
        <v>18082</v>
      </c>
      <c r="M86" s="24">
        <v>44000000</v>
      </c>
    </row>
    <row r="87" spans="1:13" s="48" customFormat="1" outlineLevel="2">
      <c r="A87" s="39" t="s">
        <v>78</v>
      </c>
      <c r="B87" s="40" t="s">
        <v>101</v>
      </c>
      <c r="C87" s="41" t="s">
        <v>95</v>
      </c>
      <c r="D87" s="40" t="s">
        <v>96</v>
      </c>
      <c r="E87" s="24">
        <v>129650000</v>
      </c>
      <c r="F87" s="39">
        <v>44195</v>
      </c>
      <c r="G87" s="24">
        <v>129650000</v>
      </c>
      <c r="H87" s="23">
        <v>5.0000000000000001E-3</v>
      </c>
      <c r="I87" s="39">
        <v>44348</v>
      </c>
      <c r="J87" s="39">
        <v>44377</v>
      </c>
      <c r="K87" s="24">
        <v>30</v>
      </c>
      <c r="L87" s="24">
        <v>53281</v>
      </c>
      <c r="M87" s="24">
        <v>129650000</v>
      </c>
    </row>
    <row r="88" spans="1:13" s="48" customFormat="1" outlineLevel="2">
      <c r="A88" s="39" t="s">
        <v>78</v>
      </c>
      <c r="B88" s="40" t="s">
        <v>102</v>
      </c>
      <c r="C88" s="41" t="s">
        <v>95</v>
      </c>
      <c r="D88" s="40" t="s">
        <v>96</v>
      </c>
      <c r="E88" s="24">
        <v>12000000</v>
      </c>
      <c r="F88" s="39">
        <v>44195</v>
      </c>
      <c r="G88" s="24">
        <v>11277105</v>
      </c>
      <c r="H88" s="23">
        <v>5.0000000000000001E-3</v>
      </c>
      <c r="I88" s="39">
        <v>44348</v>
      </c>
      <c r="J88" s="39">
        <v>44361</v>
      </c>
      <c r="K88" s="24">
        <v>14</v>
      </c>
      <c r="L88" s="24">
        <v>2163</v>
      </c>
      <c r="M88" s="24">
        <v>11132526</v>
      </c>
    </row>
    <row r="89" spans="1:13" s="48" customFormat="1" outlineLevel="2">
      <c r="A89" s="39" t="s">
        <v>78</v>
      </c>
      <c r="B89" s="40" t="s">
        <v>102</v>
      </c>
      <c r="C89" s="41" t="s">
        <v>95</v>
      </c>
      <c r="D89" s="40"/>
      <c r="E89" s="24"/>
      <c r="F89" s="39"/>
      <c r="G89" s="24">
        <v>11132526</v>
      </c>
      <c r="H89" s="23">
        <v>5.0000000000000001E-3</v>
      </c>
      <c r="I89" s="39">
        <v>44362</v>
      </c>
      <c r="J89" s="39">
        <v>44377</v>
      </c>
      <c r="K89" s="24">
        <v>16</v>
      </c>
      <c r="L89" s="24">
        <v>2440</v>
      </c>
      <c r="M89" s="24"/>
    </row>
    <row r="90" spans="1:13" s="48" customFormat="1" outlineLevel="2">
      <c r="A90" s="39" t="s">
        <v>78</v>
      </c>
      <c r="B90" s="40" t="s">
        <v>103</v>
      </c>
      <c r="C90" s="41" t="s">
        <v>66</v>
      </c>
      <c r="D90" s="40" t="s">
        <v>67</v>
      </c>
      <c r="E90" s="24">
        <v>144000000</v>
      </c>
      <c r="F90" s="39">
        <v>44196</v>
      </c>
      <c r="G90" s="24">
        <v>144000000</v>
      </c>
      <c r="H90" s="23">
        <v>5.0000000000000001E-3</v>
      </c>
      <c r="I90" s="39">
        <v>44348</v>
      </c>
      <c r="J90" s="39">
        <v>44377</v>
      </c>
      <c r="K90" s="24">
        <v>30</v>
      </c>
      <c r="L90" s="24">
        <v>59178</v>
      </c>
      <c r="M90" s="24">
        <v>144000000</v>
      </c>
    </row>
    <row r="91" spans="1:13" s="48" customFormat="1" outlineLevel="2">
      <c r="A91" s="39" t="s">
        <v>78</v>
      </c>
      <c r="B91" s="40" t="s">
        <v>104</v>
      </c>
      <c r="C91" s="41" t="s">
        <v>91</v>
      </c>
      <c r="D91" s="40" t="s">
        <v>92</v>
      </c>
      <c r="E91" s="24">
        <v>45000000</v>
      </c>
      <c r="F91" s="39">
        <v>44211</v>
      </c>
      <c r="G91" s="24">
        <v>45000000</v>
      </c>
      <c r="H91" s="23">
        <v>5.0000000000000001E-3</v>
      </c>
      <c r="I91" s="39">
        <v>44348</v>
      </c>
      <c r="J91" s="39">
        <v>44377</v>
      </c>
      <c r="K91" s="24">
        <v>30</v>
      </c>
      <c r="L91" s="24">
        <v>18493</v>
      </c>
      <c r="M91" s="24">
        <v>45000000</v>
      </c>
    </row>
    <row r="92" spans="1:13" s="48" customFormat="1" outlineLevel="2">
      <c r="A92" s="39" t="s">
        <v>78</v>
      </c>
      <c r="B92" s="40" t="s">
        <v>105</v>
      </c>
      <c r="C92" s="41" t="s">
        <v>91</v>
      </c>
      <c r="D92" s="40" t="s">
        <v>92</v>
      </c>
      <c r="E92" s="24">
        <v>31000000</v>
      </c>
      <c r="F92" s="39">
        <v>44211</v>
      </c>
      <c r="G92" s="24">
        <v>31000000</v>
      </c>
      <c r="H92" s="23">
        <v>5.0000000000000001E-3</v>
      </c>
      <c r="I92" s="39">
        <v>44348</v>
      </c>
      <c r="J92" s="39">
        <v>44377</v>
      </c>
      <c r="K92" s="24">
        <v>30</v>
      </c>
      <c r="L92" s="24">
        <v>12740</v>
      </c>
      <c r="M92" s="24">
        <v>31000000</v>
      </c>
    </row>
    <row r="93" spans="1:13" s="48" customFormat="1" outlineLevel="2">
      <c r="A93" s="39" t="s">
        <v>78</v>
      </c>
      <c r="B93" s="40" t="s">
        <v>106</v>
      </c>
      <c r="C93" s="41" t="s">
        <v>93</v>
      </c>
      <c r="D93" s="40" t="s">
        <v>94</v>
      </c>
      <c r="E93" s="24">
        <v>7174630</v>
      </c>
      <c r="F93" s="39">
        <v>44203</v>
      </c>
      <c r="G93" s="24">
        <v>7174630</v>
      </c>
      <c r="H93" s="23">
        <v>5.0000000000000001E-3</v>
      </c>
      <c r="I93" s="39">
        <v>44348</v>
      </c>
      <c r="J93" s="39">
        <v>44377</v>
      </c>
      <c r="K93" s="24">
        <v>30</v>
      </c>
      <c r="L93" s="24">
        <v>2948</v>
      </c>
      <c r="M93" s="24">
        <v>7174630</v>
      </c>
    </row>
    <row r="94" spans="1:13" s="48" customFormat="1" outlineLevel="2">
      <c r="A94" s="39" t="s">
        <v>78</v>
      </c>
      <c r="B94" s="40" t="s">
        <v>59</v>
      </c>
      <c r="C94" s="41" t="s">
        <v>81</v>
      </c>
      <c r="D94" s="40" t="s">
        <v>82</v>
      </c>
      <c r="E94" s="24">
        <v>7000000</v>
      </c>
      <c r="F94" s="39">
        <v>44004</v>
      </c>
      <c r="G94" s="24">
        <v>5716663</v>
      </c>
      <c r="H94" s="23">
        <v>5.0000000000000001E-3</v>
      </c>
      <c r="I94" s="39">
        <v>44348</v>
      </c>
      <c r="J94" s="39">
        <v>44361</v>
      </c>
      <c r="K94" s="24">
        <v>14</v>
      </c>
      <c r="L94" s="24">
        <v>1096</v>
      </c>
      <c r="M94" s="24">
        <v>5599996</v>
      </c>
    </row>
    <row r="95" spans="1:13" s="48" customFormat="1" outlineLevel="2">
      <c r="A95" s="39" t="s">
        <v>78</v>
      </c>
      <c r="B95" s="40" t="s">
        <v>59</v>
      </c>
      <c r="C95" s="41" t="s">
        <v>81</v>
      </c>
      <c r="D95" s="40"/>
      <c r="E95" s="24"/>
      <c r="F95" s="39"/>
      <c r="G95" s="24">
        <v>5599996</v>
      </c>
      <c r="H95" s="23">
        <v>5.0000000000000001E-3</v>
      </c>
      <c r="I95" s="39">
        <v>44362</v>
      </c>
      <c r="J95" s="39">
        <v>44377</v>
      </c>
      <c r="K95" s="24">
        <v>16</v>
      </c>
      <c r="L95" s="24">
        <v>1227</v>
      </c>
      <c r="M95" s="24"/>
    </row>
    <row r="96" spans="1:13" s="48" customFormat="1" outlineLevel="2">
      <c r="A96" s="39" t="s">
        <v>78</v>
      </c>
      <c r="B96" s="40" t="s">
        <v>136</v>
      </c>
      <c r="C96" s="41" t="s">
        <v>95</v>
      </c>
      <c r="D96" s="40" t="s">
        <v>96</v>
      </c>
      <c r="E96" s="24">
        <v>3650000</v>
      </c>
      <c r="F96" s="39">
        <v>44246</v>
      </c>
      <c r="G96" s="24">
        <v>3650000</v>
      </c>
      <c r="H96" s="23">
        <v>5.0000000000000001E-3</v>
      </c>
      <c r="I96" s="39">
        <v>44348</v>
      </c>
      <c r="J96" s="39">
        <v>44377</v>
      </c>
      <c r="K96" s="24">
        <v>30</v>
      </c>
      <c r="L96" s="24">
        <v>1500</v>
      </c>
      <c r="M96" s="24">
        <v>3650000</v>
      </c>
    </row>
    <row r="97" spans="1:13" s="48" customFormat="1" outlineLevel="2">
      <c r="A97" s="39" t="s">
        <v>78</v>
      </c>
      <c r="B97" s="40" t="s">
        <v>137</v>
      </c>
      <c r="C97" s="41" t="s">
        <v>93</v>
      </c>
      <c r="D97" s="40" t="s">
        <v>94</v>
      </c>
      <c r="E97" s="24">
        <v>1028354</v>
      </c>
      <c r="F97" s="39">
        <v>44236</v>
      </c>
      <c r="G97" s="24">
        <v>1028354</v>
      </c>
      <c r="H97" s="23">
        <v>5.0000000000000001E-3</v>
      </c>
      <c r="I97" s="39">
        <v>44348</v>
      </c>
      <c r="J97" s="39">
        <v>44377</v>
      </c>
      <c r="K97" s="24">
        <v>30</v>
      </c>
      <c r="L97" s="24">
        <v>423</v>
      </c>
      <c r="M97" s="24">
        <v>1028354</v>
      </c>
    </row>
    <row r="98" spans="1:13" s="48" customFormat="1" outlineLevel="2">
      <c r="A98" s="39" t="s">
        <v>78</v>
      </c>
      <c r="B98" s="40" t="s">
        <v>138</v>
      </c>
      <c r="C98" s="41" t="s">
        <v>93</v>
      </c>
      <c r="D98" s="40" t="s">
        <v>94</v>
      </c>
      <c r="E98" s="24">
        <v>1983370</v>
      </c>
      <c r="F98" s="39">
        <v>44246</v>
      </c>
      <c r="G98" s="24">
        <v>1983370</v>
      </c>
      <c r="H98" s="23">
        <v>5.0000000000000001E-3</v>
      </c>
      <c r="I98" s="39">
        <v>44348</v>
      </c>
      <c r="J98" s="39">
        <v>44377</v>
      </c>
      <c r="K98" s="24">
        <v>30</v>
      </c>
      <c r="L98" s="24">
        <v>815</v>
      </c>
      <c r="M98" s="24">
        <v>1983370</v>
      </c>
    </row>
    <row r="99" spans="1:13" s="48" customFormat="1" outlineLevel="2">
      <c r="A99" s="39" t="s">
        <v>78</v>
      </c>
      <c r="B99" s="40" t="s">
        <v>139</v>
      </c>
      <c r="C99" s="41" t="s">
        <v>306</v>
      </c>
      <c r="D99" s="40" t="s">
        <v>305</v>
      </c>
      <c r="E99" s="24">
        <v>10000000</v>
      </c>
      <c r="F99" s="39">
        <v>44252</v>
      </c>
      <c r="G99" s="24">
        <v>10000000</v>
      </c>
      <c r="H99" s="23">
        <v>5.0000000000000001E-3</v>
      </c>
      <c r="I99" s="39">
        <v>44348</v>
      </c>
      <c r="J99" s="39">
        <v>44377</v>
      </c>
      <c r="K99" s="24">
        <v>30</v>
      </c>
      <c r="L99" s="24">
        <v>4110</v>
      </c>
      <c r="M99" s="24">
        <v>10000000</v>
      </c>
    </row>
    <row r="100" spans="1:13" s="48" customFormat="1" outlineLevel="2">
      <c r="A100" s="39" t="s">
        <v>78</v>
      </c>
      <c r="B100" s="40" t="s">
        <v>140</v>
      </c>
      <c r="C100" s="41" t="s">
        <v>85</v>
      </c>
      <c r="D100" s="40" t="s">
        <v>86</v>
      </c>
      <c r="E100" s="24">
        <v>67620000</v>
      </c>
      <c r="F100" s="39">
        <v>44253</v>
      </c>
      <c r="G100" s="24">
        <v>67620000</v>
      </c>
      <c r="H100" s="23">
        <v>5.0000000000000001E-3</v>
      </c>
      <c r="I100" s="39">
        <v>44348</v>
      </c>
      <c r="J100" s="39">
        <v>44377</v>
      </c>
      <c r="K100" s="24">
        <v>30</v>
      </c>
      <c r="L100" s="24">
        <v>27789</v>
      </c>
      <c r="M100" s="24">
        <v>67620000</v>
      </c>
    </row>
    <row r="101" spans="1:13" s="48" customFormat="1" outlineLevel="2">
      <c r="A101" s="39" t="s">
        <v>78</v>
      </c>
      <c r="B101" s="40" t="s">
        <v>169</v>
      </c>
      <c r="C101" s="41" t="s">
        <v>91</v>
      </c>
      <c r="D101" s="40" t="s">
        <v>92</v>
      </c>
      <c r="E101" s="24">
        <v>33000000</v>
      </c>
      <c r="F101" s="39">
        <v>44270</v>
      </c>
      <c r="G101" s="24">
        <v>33000000</v>
      </c>
      <c r="H101" s="23">
        <v>5.0000000000000001E-3</v>
      </c>
      <c r="I101" s="39">
        <v>44348</v>
      </c>
      <c r="J101" s="39">
        <v>44377</v>
      </c>
      <c r="K101" s="24">
        <v>30</v>
      </c>
      <c r="L101" s="24">
        <v>13562</v>
      </c>
      <c r="M101" s="24">
        <v>33000000</v>
      </c>
    </row>
    <row r="102" spans="1:13" s="48" customFormat="1" outlineLevel="2">
      <c r="A102" s="39" t="s">
        <v>78</v>
      </c>
      <c r="B102" s="40" t="s">
        <v>170</v>
      </c>
      <c r="C102" s="41" t="s">
        <v>91</v>
      </c>
      <c r="D102" s="40" t="s">
        <v>92</v>
      </c>
      <c r="E102" s="24">
        <v>38900000</v>
      </c>
      <c r="F102" s="39">
        <v>44270</v>
      </c>
      <c r="G102" s="24">
        <v>38900000</v>
      </c>
      <c r="H102" s="23">
        <v>5.0000000000000001E-3</v>
      </c>
      <c r="I102" s="39">
        <v>44348</v>
      </c>
      <c r="J102" s="39">
        <v>44377</v>
      </c>
      <c r="K102" s="24">
        <v>30</v>
      </c>
      <c r="L102" s="24">
        <v>15986</v>
      </c>
      <c r="M102" s="24">
        <v>38900000</v>
      </c>
    </row>
    <row r="103" spans="1:13" s="48" customFormat="1" outlineLevel="2">
      <c r="A103" s="39" t="s">
        <v>78</v>
      </c>
      <c r="B103" s="40" t="s">
        <v>171</v>
      </c>
      <c r="C103" s="41" t="s">
        <v>81</v>
      </c>
      <c r="D103" s="40" t="s">
        <v>82</v>
      </c>
      <c r="E103" s="24">
        <v>6800000</v>
      </c>
      <c r="F103" s="39">
        <v>44272</v>
      </c>
      <c r="G103" s="24">
        <v>6533332</v>
      </c>
      <c r="H103" s="23">
        <v>5.0000000000000001E-3</v>
      </c>
      <c r="I103" s="39">
        <v>44348</v>
      </c>
      <c r="J103" s="39">
        <v>44361</v>
      </c>
      <c r="K103" s="24">
        <v>14</v>
      </c>
      <c r="L103" s="24">
        <v>1253</v>
      </c>
      <c r="M103" s="24">
        <v>6399998</v>
      </c>
    </row>
    <row r="104" spans="1:13" s="48" customFormat="1" outlineLevel="2">
      <c r="A104" s="39" t="s">
        <v>78</v>
      </c>
      <c r="B104" s="40" t="s">
        <v>171</v>
      </c>
      <c r="C104" s="41" t="s">
        <v>81</v>
      </c>
      <c r="D104" s="40"/>
      <c r="E104" s="24"/>
      <c r="F104" s="39"/>
      <c r="G104" s="24">
        <v>6399998</v>
      </c>
      <c r="H104" s="23">
        <v>5.0000000000000001E-3</v>
      </c>
      <c r="I104" s="39">
        <v>44362</v>
      </c>
      <c r="J104" s="39">
        <v>44377</v>
      </c>
      <c r="K104" s="24">
        <v>16</v>
      </c>
      <c r="L104" s="24">
        <v>1403</v>
      </c>
      <c r="M104" s="24"/>
    </row>
    <row r="105" spans="1:13" s="48" customFormat="1" outlineLevel="2">
      <c r="A105" s="39" t="s">
        <v>78</v>
      </c>
      <c r="B105" s="40" t="s">
        <v>172</v>
      </c>
      <c r="C105" s="41" t="s">
        <v>81</v>
      </c>
      <c r="D105" s="40" t="s">
        <v>82</v>
      </c>
      <c r="E105" s="24">
        <v>5540000</v>
      </c>
      <c r="F105" s="39">
        <v>44285</v>
      </c>
      <c r="G105" s="24">
        <v>5322744</v>
      </c>
      <c r="H105" s="23">
        <v>5.0000000000000001E-3</v>
      </c>
      <c r="I105" s="39">
        <v>44348</v>
      </c>
      <c r="J105" s="39">
        <v>44361</v>
      </c>
      <c r="K105" s="24">
        <v>14</v>
      </c>
      <c r="L105" s="24">
        <v>1021</v>
      </c>
      <c r="M105" s="24">
        <v>5214116</v>
      </c>
    </row>
    <row r="106" spans="1:13" s="48" customFormat="1" outlineLevel="2">
      <c r="A106" s="39" t="s">
        <v>78</v>
      </c>
      <c r="B106" s="40" t="s">
        <v>172</v>
      </c>
      <c r="C106" s="41" t="s">
        <v>81</v>
      </c>
      <c r="D106" s="40"/>
      <c r="E106" s="24"/>
      <c r="F106" s="39"/>
      <c r="G106" s="24">
        <v>5214116</v>
      </c>
      <c r="H106" s="23">
        <v>5.0000000000000001E-3</v>
      </c>
      <c r="I106" s="39">
        <v>44362</v>
      </c>
      <c r="J106" s="39">
        <v>44377</v>
      </c>
      <c r="K106" s="24">
        <v>16</v>
      </c>
      <c r="L106" s="24">
        <v>1143</v>
      </c>
      <c r="M106" s="24"/>
    </row>
    <row r="107" spans="1:13" s="48" customFormat="1" outlineLevel="2">
      <c r="A107" s="39" t="s">
        <v>78</v>
      </c>
      <c r="B107" s="40" t="s">
        <v>173</v>
      </c>
      <c r="C107" s="41" t="s">
        <v>337</v>
      </c>
      <c r="D107" s="40" t="s">
        <v>336</v>
      </c>
      <c r="E107" s="24">
        <v>30000000</v>
      </c>
      <c r="F107" s="39">
        <v>44286</v>
      </c>
      <c r="G107" s="24">
        <v>29000000</v>
      </c>
      <c r="H107" s="23">
        <v>5.0000000000000001E-3</v>
      </c>
      <c r="I107" s="39">
        <v>44348</v>
      </c>
      <c r="J107" s="39">
        <v>44361</v>
      </c>
      <c r="K107" s="24">
        <v>14</v>
      </c>
      <c r="L107" s="24">
        <v>5562</v>
      </c>
      <c r="M107" s="24">
        <v>28500000</v>
      </c>
    </row>
    <row r="108" spans="1:13" s="48" customFormat="1" outlineLevel="2">
      <c r="A108" s="39" t="s">
        <v>78</v>
      </c>
      <c r="B108" s="40" t="s">
        <v>173</v>
      </c>
      <c r="C108" s="41" t="s">
        <v>337</v>
      </c>
      <c r="D108" s="40"/>
      <c r="E108" s="24"/>
      <c r="F108" s="39"/>
      <c r="G108" s="24">
        <v>28500000</v>
      </c>
      <c r="H108" s="23">
        <v>5.0000000000000001E-3</v>
      </c>
      <c r="I108" s="39">
        <v>44362</v>
      </c>
      <c r="J108" s="39">
        <v>44377</v>
      </c>
      <c r="K108" s="24">
        <v>16</v>
      </c>
      <c r="L108" s="24">
        <v>6247</v>
      </c>
      <c r="M108" s="24"/>
    </row>
    <row r="109" spans="1:13" s="48" customFormat="1" outlineLevel="2">
      <c r="A109" s="39" t="s">
        <v>78</v>
      </c>
      <c r="B109" s="40" t="s">
        <v>62</v>
      </c>
      <c r="C109" s="41" t="s">
        <v>83</v>
      </c>
      <c r="D109" s="40" t="s">
        <v>84</v>
      </c>
      <c r="E109" s="24">
        <v>298410000</v>
      </c>
      <c r="F109" s="39">
        <v>44006</v>
      </c>
      <c r="G109" s="24">
        <v>298410000</v>
      </c>
      <c r="H109" s="23">
        <v>5.0000000000000001E-3</v>
      </c>
      <c r="I109" s="39">
        <v>44348</v>
      </c>
      <c r="J109" s="39">
        <v>44377</v>
      </c>
      <c r="K109" s="24">
        <v>30</v>
      </c>
      <c r="L109" s="24">
        <v>122634</v>
      </c>
      <c r="M109" s="24">
        <v>298410000</v>
      </c>
    </row>
    <row r="110" spans="1:13" s="48" customFormat="1" outlineLevel="2">
      <c r="A110" s="39" t="s">
        <v>78</v>
      </c>
      <c r="B110" s="40" t="s">
        <v>174</v>
      </c>
      <c r="C110" s="41" t="s">
        <v>155</v>
      </c>
      <c r="D110" s="40" t="s">
        <v>156</v>
      </c>
      <c r="E110" s="24">
        <v>120000000</v>
      </c>
      <c r="F110" s="39">
        <v>44270</v>
      </c>
      <c r="G110" s="24">
        <v>120000000</v>
      </c>
      <c r="H110" s="23">
        <v>5.0000000000000001E-3</v>
      </c>
      <c r="I110" s="39">
        <v>44348</v>
      </c>
      <c r="J110" s="39">
        <v>44377</v>
      </c>
      <c r="K110" s="24">
        <v>30</v>
      </c>
      <c r="L110" s="24">
        <v>49315</v>
      </c>
      <c r="M110" s="24">
        <v>120000000</v>
      </c>
    </row>
    <row r="111" spans="1:13" s="48" customFormat="1" outlineLevel="2">
      <c r="A111" s="39" t="s">
        <v>78</v>
      </c>
      <c r="B111" s="40" t="s">
        <v>175</v>
      </c>
      <c r="C111" s="41" t="s">
        <v>91</v>
      </c>
      <c r="D111" s="40" t="s">
        <v>92</v>
      </c>
      <c r="E111" s="24">
        <v>30400000</v>
      </c>
      <c r="F111" s="39">
        <v>44301</v>
      </c>
      <c r="G111" s="24">
        <v>30400000</v>
      </c>
      <c r="H111" s="23">
        <v>5.0000000000000001E-3</v>
      </c>
      <c r="I111" s="39">
        <v>44348</v>
      </c>
      <c r="J111" s="39">
        <v>44377</v>
      </c>
      <c r="K111" s="24">
        <v>30</v>
      </c>
      <c r="L111" s="24">
        <v>12493</v>
      </c>
      <c r="M111" s="24">
        <v>30400000</v>
      </c>
    </row>
    <row r="112" spans="1:13" s="48" customFormat="1" outlineLevel="2">
      <c r="A112" s="39" t="s">
        <v>78</v>
      </c>
      <c r="B112" s="40" t="s">
        <v>176</v>
      </c>
      <c r="C112" s="41" t="s">
        <v>337</v>
      </c>
      <c r="D112" s="40" t="s">
        <v>336</v>
      </c>
      <c r="E112" s="24">
        <v>20000000</v>
      </c>
      <c r="F112" s="39">
        <v>44315</v>
      </c>
      <c r="G112" s="24">
        <v>19661017</v>
      </c>
      <c r="H112" s="23">
        <v>5.0000000000000001E-3</v>
      </c>
      <c r="I112" s="39">
        <v>44348</v>
      </c>
      <c r="J112" s="39">
        <v>44361</v>
      </c>
      <c r="K112" s="24">
        <v>14</v>
      </c>
      <c r="L112" s="24">
        <v>3771</v>
      </c>
      <c r="M112" s="24">
        <v>19322034</v>
      </c>
    </row>
    <row r="113" spans="1:13" s="48" customFormat="1" outlineLevel="2">
      <c r="A113" s="39" t="s">
        <v>78</v>
      </c>
      <c r="B113" s="40" t="s">
        <v>176</v>
      </c>
      <c r="C113" s="41" t="s">
        <v>337</v>
      </c>
      <c r="D113" s="40"/>
      <c r="E113" s="24"/>
      <c r="F113" s="39"/>
      <c r="G113" s="24">
        <v>19322034</v>
      </c>
      <c r="H113" s="23">
        <v>5.0000000000000001E-3</v>
      </c>
      <c r="I113" s="39">
        <v>44362</v>
      </c>
      <c r="J113" s="39">
        <v>44377</v>
      </c>
      <c r="K113" s="24">
        <v>16</v>
      </c>
      <c r="L113" s="24">
        <v>4235</v>
      </c>
      <c r="M113" s="24"/>
    </row>
    <row r="114" spans="1:13" s="48" customFormat="1" outlineLevel="2">
      <c r="A114" s="39" t="s">
        <v>78</v>
      </c>
      <c r="B114" s="40" t="s">
        <v>177</v>
      </c>
      <c r="C114" s="41" t="s">
        <v>85</v>
      </c>
      <c r="D114" s="40" t="s">
        <v>86</v>
      </c>
      <c r="E114" s="24">
        <v>50000000</v>
      </c>
      <c r="F114" s="39">
        <v>44315</v>
      </c>
      <c r="G114" s="24">
        <v>50000000</v>
      </c>
      <c r="H114" s="23">
        <v>5.0000000000000001E-3</v>
      </c>
      <c r="I114" s="39">
        <v>44348</v>
      </c>
      <c r="J114" s="39">
        <v>44377</v>
      </c>
      <c r="K114" s="24">
        <v>30</v>
      </c>
      <c r="L114" s="24">
        <v>20548</v>
      </c>
      <c r="M114" s="24">
        <v>50000000</v>
      </c>
    </row>
    <row r="115" spans="1:13" s="48" customFormat="1" outlineLevel="2">
      <c r="A115" s="39" t="s">
        <v>78</v>
      </c>
      <c r="B115" s="40" t="s">
        <v>178</v>
      </c>
      <c r="C115" s="41" t="s">
        <v>351</v>
      </c>
      <c r="D115" s="40" t="s">
        <v>350</v>
      </c>
      <c r="E115" s="24">
        <v>8600000</v>
      </c>
      <c r="F115" s="39">
        <v>44312</v>
      </c>
      <c r="G115" s="24">
        <v>8600000</v>
      </c>
      <c r="H115" s="23">
        <v>5.0000000000000001E-3</v>
      </c>
      <c r="I115" s="39">
        <v>44348</v>
      </c>
      <c r="J115" s="39">
        <v>44377</v>
      </c>
      <c r="K115" s="24">
        <v>30</v>
      </c>
      <c r="L115" s="24">
        <v>3534</v>
      </c>
      <c r="M115" s="24">
        <v>8600000</v>
      </c>
    </row>
    <row r="116" spans="1:13" s="48" customFormat="1" outlineLevel="2">
      <c r="A116" s="39" t="s">
        <v>78</v>
      </c>
      <c r="B116" s="40" t="s">
        <v>179</v>
      </c>
      <c r="C116" s="41" t="s">
        <v>93</v>
      </c>
      <c r="D116" s="40" t="s">
        <v>94</v>
      </c>
      <c r="E116" s="24">
        <v>6174000</v>
      </c>
      <c r="F116" s="39">
        <v>44326</v>
      </c>
      <c r="G116" s="24">
        <v>6174000</v>
      </c>
      <c r="H116" s="23">
        <v>5.0000000000000001E-3</v>
      </c>
      <c r="I116" s="39">
        <v>44348</v>
      </c>
      <c r="J116" s="39">
        <v>44377</v>
      </c>
      <c r="K116" s="24">
        <v>30</v>
      </c>
      <c r="L116" s="24">
        <v>2537</v>
      </c>
      <c r="M116" s="24">
        <v>6174000</v>
      </c>
    </row>
    <row r="117" spans="1:13" s="48" customFormat="1" outlineLevel="2">
      <c r="A117" s="39" t="s">
        <v>78</v>
      </c>
      <c r="B117" s="40" t="s">
        <v>180</v>
      </c>
      <c r="C117" s="41" t="s">
        <v>91</v>
      </c>
      <c r="D117" s="40" t="s">
        <v>92</v>
      </c>
      <c r="E117" s="24">
        <v>50700000</v>
      </c>
      <c r="F117" s="39">
        <v>44333</v>
      </c>
      <c r="G117" s="24">
        <v>50700000</v>
      </c>
      <c r="H117" s="23">
        <v>5.0000000000000001E-3</v>
      </c>
      <c r="I117" s="39">
        <v>44348</v>
      </c>
      <c r="J117" s="39">
        <v>44377</v>
      </c>
      <c r="K117" s="24">
        <v>30</v>
      </c>
      <c r="L117" s="24">
        <v>20836</v>
      </c>
      <c r="M117" s="24">
        <v>50700000</v>
      </c>
    </row>
    <row r="118" spans="1:13" s="48" customFormat="1" outlineLevel="2">
      <c r="A118" s="39" t="s">
        <v>78</v>
      </c>
      <c r="B118" s="40" t="s">
        <v>181</v>
      </c>
      <c r="C118" s="41" t="s">
        <v>91</v>
      </c>
      <c r="D118" s="40" t="s">
        <v>92</v>
      </c>
      <c r="E118" s="24">
        <v>1700000</v>
      </c>
      <c r="F118" s="39">
        <v>44333</v>
      </c>
      <c r="G118" s="24">
        <v>1700000</v>
      </c>
      <c r="H118" s="23">
        <v>5.0000000000000001E-3</v>
      </c>
      <c r="I118" s="39">
        <v>44348</v>
      </c>
      <c r="J118" s="39">
        <v>44377</v>
      </c>
      <c r="K118" s="24">
        <v>30</v>
      </c>
      <c r="L118" s="24">
        <v>699</v>
      </c>
      <c r="M118" s="24">
        <v>1700000</v>
      </c>
    </row>
    <row r="119" spans="1:13" s="48" customFormat="1" outlineLevel="2">
      <c r="A119" s="39" t="s">
        <v>78</v>
      </c>
      <c r="B119" s="40" t="s">
        <v>182</v>
      </c>
      <c r="C119" s="41" t="s">
        <v>351</v>
      </c>
      <c r="D119" s="40" t="s">
        <v>350</v>
      </c>
      <c r="E119" s="24">
        <v>6000000</v>
      </c>
      <c r="F119" s="39">
        <v>44335</v>
      </c>
      <c r="G119" s="24">
        <v>6000000</v>
      </c>
      <c r="H119" s="23">
        <v>5.0000000000000001E-3</v>
      </c>
      <c r="I119" s="39">
        <v>44348</v>
      </c>
      <c r="J119" s="39">
        <v>44377</v>
      </c>
      <c r="K119" s="24">
        <v>30</v>
      </c>
      <c r="L119" s="24">
        <v>2466</v>
      </c>
      <c r="M119" s="24">
        <v>6000000</v>
      </c>
    </row>
    <row r="120" spans="1:13" s="48" customFormat="1" outlineLevel="2">
      <c r="A120" s="39" t="s">
        <v>78</v>
      </c>
      <c r="B120" s="40" t="s">
        <v>183</v>
      </c>
      <c r="C120" s="41" t="s">
        <v>89</v>
      </c>
      <c r="D120" s="40" t="s">
        <v>90</v>
      </c>
      <c r="E120" s="24">
        <v>30200000</v>
      </c>
      <c r="F120" s="39">
        <v>44323</v>
      </c>
      <c r="G120" s="24">
        <v>30200000</v>
      </c>
      <c r="H120" s="23">
        <v>5.0000000000000001E-3</v>
      </c>
      <c r="I120" s="39">
        <v>44348</v>
      </c>
      <c r="J120" s="39">
        <v>44377</v>
      </c>
      <c r="K120" s="24">
        <v>30</v>
      </c>
      <c r="L120" s="24">
        <v>12411</v>
      </c>
      <c r="M120" s="24">
        <v>30200000</v>
      </c>
    </row>
    <row r="121" spans="1:13" s="48" customFormat="1" outlineLevel="2">
      <c r="A121" s="39" t="s">
        <v>78</v>
      </c>
      <c r="B121" s="40" t="s">
        <v>63</v>
      </c>
      <c r="C121" s="41" t="s">
        <v>83</v>
      </c>
      <c r="D121" s="40" t="s">
        <v>84</v>
      </c>
      <c r="E121" s="24">
        <v>95370000</v>
      </c>
      <c r="F121" s="39">
        <v>44006</v>
      </c>
      <c r="G121" s="24">
        <v>95370000</v>
      </c>
      <c r="H121" s="23">
        <v>5.0000000000000001E-3</v>
      </c>
      <c r="I121" s="39">
        <v>44348</v>
      </c>
      <c r="J121" s="39">
        <v>44377</v>
      </c>
      <c r="K121" s="24">
        <v>30</v>
      </c>
      <c r="L121" s="24">
        <v>39193</v>
      </c>
      <c r="M121" s="24">
        <v>95370000</v>
      </c>
    </row>
    <row r="122" spans="1:13" s="48" customFormat="1" outlineLevel="2">
      <c r="A122" s="39" t="s">
        <v>78</v>
      </c>
      <c r="B122" s="40" t="s">
        <v>184</v>
      </c>
      <c r="C122" s="41" t="s">
        <v>337</v>
      </c>
      <c r="D122" s="40" t="s">
        <v>336</v>
      </c>
      <c r="E122" s="24">
        <v>15000000</v>
      </c>
      <c r="F122" s="39">
        <v>44347</v>
      </c>
      <c r="G122" s="24">
        <v>15000000</v>
      </c>
      <c r="H122" s="23">
        <v>5.0000000000000001E-3</v>
      </c>
      <c r="I122" s="39">
        <v>44348</v>
      </c>
      <c r="J122" s="39">
        <v>44361</v>
      </c>
      <c r="K122" s="24">
        <v>14</v>
      </c>
      <c r="L122" s="24">
        <v>2877</v>
      </c>
      <c r="M122" s="24">
        <v>14741379</v>
      </c>
    </row>
    <row r="123" spans="1:13" s="48" customFormat="1" outlineLevel="2">
      <c r="A123" s="39" t="s">
        <v>78</v>
      </c>
      <c r="B123" s="40" t="s">
        <v>184</v>
      </c>
      <c r="C123" s="41" t="s">
        <v>337</v>
      </c>
      <c r="D123" s="40"/>
      <c r="E123" s="24"/>
      <c r="F123" s="39"/>
      <c r="G123" s="24">
        <v>14741379</v>
      </c>
      <c r="H123" s="23">
        <v>5.0000000000000001E-3</v>
      </c>
      <c r="I123" s="39">
        <v>44362</v>
      </c>
      <c r="J123" s="39">
        <v>44377</v>
      </c>
      <c r="K123" s="24">
        <v>16</v>
      </c>
      <c r="L123" s="24">
        <v>3231</v>
      </c>
      <c r="M123" s="24"/>
    </row>
    <row r="124" spans="1:13" s="48" customFormat="1" outlineLevel="2">
      <c r="A124" s="39" t="s">
        <v>78</v>
      </c>
      <c r="B124" s="40" t="s">
        <v>185</v>
      </c>
      <c r="C124" s="41" t="s">
        <v>83</v>
      </c>
      <c r="D124" s="40" t="s">
        <v>84</v>
      </c>
      <c r="E124" s="24">
        <v>388000000</v>
      </c>
      <c r="F124" s="39">
        <v>44344</v>
      </c>
      <c r="G124" s="24">
        <v>388000000</v>
      </c>
      <c r="H124" s="23">
        <v>3.0000000000000001E-3</v>
      </c>
      <c r="I124" s="39">
        <v>44348</v>
      </c>
      <c r="J124" s="39">
        <v>44377</v>
      </c>
      <c r="K124" s="24">
        <v>30</v>
      </c>
      <c r="L124" s="24">
        <v>95671</v>
      </c>
      <c r="M124" s="24">
        <v>388000000</v>
      </c>
    </row>
    <row r="125" spans="1:13" s="48" customFormat="1" outlineLevel="2">
      <c r="A125" s="39" t="s">
        <v>78</v>
      </c>
      <c r="B125" s="40" t="s">
        <v>186</v>
      </c>
      <c r="C125" s="41" t="s">
        <v>85</v>
      </c>
      <c r="D125" s="40" t="s">
        <v>86</v>
      </c>
      <c r="E125" s="24">
        <v>50000000</v>
      </c>
      <c r="F125" s="39">
        <v>44330</v>
      </c>
      <c r="G125" s="24">
        <v>50000000</v>
      </c>
      <c r="H125" s="23">
        <v>5.0000000000000001E-3</v>
      </c>
      <c r="I125" s="39">
        <v>44348</v>
      </c>
      <c r="J125" s="39">
        <v>44377</v>
      </c>
      <c r="K125" s="24">
        <v>30</v>
      </c>
      <c r="L125" s="24">
        <v>20548</v>
      </c>
      <c r="M125" s="24">
        <v>50000000</v>
      </c>
    </row>
    <row r="126" spans="1:13" s="48" customFormat="1" outlineLevel="2">
      <c r="A126" s="39" t="s">
        <v>78</v>
      </c>
      <c r="B126" s="40" t="s">
        <v>189</v>
      </c>
      <c r="C126" s="41" t="s">
        <v>85</v>
      </c>
      <c r="D126" s="40" t="s">
        <v>86</v>
      </c>
      <c r="E126" s="24">
        <v>50000000</v>
      </c>
      <c r="F126" s="39">
        <v>44344</v>
      </c>
      <c r="G126" s="24">
        <v>50000000</v>
      </c>
      <c r="H126" s="23">
        <v>5.0000000000000001E-3</v>
      </c>
      <c r="I126" s="39">
        <v>44348</v>
      </c>
      <c r="J126" s="39">
        <v>44377</v>
      </c>
      <c r="K126" s="24">
        <v>30</v>
      </c>
      <c r="L126" s="24">
        <v>20548</v>
      </c>
      <c r="M126" s="24">
        <v>50000000</v>
      </c>
    </row>
    <row r="127" spans="1:13" s="48" customFormat="1" outlineLevel="2">
      <c r="A127" s="39" t="s">
        <v>78</v>
      </c>
      <c r="B127" s="40" t="s">
        <v>190</v>
      </c>
      <c r="C127" s="41" t="s">
        <v>93</v>
      </c>
      <c r="D127" s="40" t="s">
        <v>94</v>
      </c>
      <c r="E127" s="24">
        <v>1351689</v>
      </c>
      <c r="F127" s="39">
        <v>44358</v>
      </c>
      <c r="G127" s="24">
        <v>1351689</v>
      </c>
      <c r="H127" s="23">
        <v>5.0000000000000001E-3</v>
      </c>
      <c r="I127" s="39">
        <v>44358</v>
      </c>
      <c r="J127" s="39">
        <v>44377</v>
      </c>
      <c r="K127" s="24">
        <v>20</v>
      </c>
      <c r="L127" s="24">
        <v>370</v>
      </c>
      <c r="M127" s="24">
        <v>1351689</v>
      </c>
    </row>
    <row r="128" spans="1:13" s="48" customFormat="1" outlineLevel="2">
      <c r="A128" s="39" t="s">
        <v>78</v>
      </c>
      <c r="B128" s="40" t="s">
        <v>191</v>
      </c>
      <c r="C128" s="41" t="s">
        <v>93</v>
      </c>
      <c r="D128" s="40" t="s">
        <v>94</v>
      </c>
      <c r="E128" s="24">
        <v>20000000</v>
      </c>
      <c r="F128" s="39">
        <v>44370</v>
      </c>
      <c r="G128" s="24">
        <v>20000000</v>
      </c>
      <c r="H128" s="23">
        <v>5.0000000000000001E-3</v>
      </c>
      <c r="I128" s="39">
        <v>44370</v>
      </c>
      <c r="J128" s="39">
        <v>44377</v>
      </c>
      <c r="K128" s="24">
        <v>8</v>
      </c>
      <c r="L128" s="24">
        <v>2192</v>
      </c>
      <c r="M128" s="24">
        <v>20000000</v>
      </c>
    </row>
    <row r="129" spans="1:13" s="48" customFormat="1" outlineLevel="2">
      <c r="A129" s="39" t="s">
        <v>78</v>
      </c>
      <c r="B129" s="40" t="s">
        <v>192</v>
      </c>
      <c r="C129" s="41" t="s">
        <v>93</v>
      </c>
      <c r="D129" s="40" t="s">
        <v>94</v>
      </c>
      <c r="E129" s="24">
        <v>8000000</v>
      </c>
      <c r="F129" s="39">
        <v>44370</v>
      </c>
      <c r="G129" s="24">
        <v>8000000</v>
      </c>
      <c r="H129" s="23">
        <v>5.0000000000000001E-3</v>
      </c>
      <c r="I129" s="39">
        <v>44370</v>
      </c>
      <c r="J129" s="39">
        <v>44377</v>
      </c>
      <c r="K129" s="24">
        <v>8</v>
      </c>
      <c r="L129" s="24">
        <v>877</v>
      </c>
      <c r="M129" s="24">
        <v>8000000</v>
      </c>
    </row>
    <row r="130" spans="1:13" s="48" customFormat="1" outlineLevel="2">
      <c r="A130" s="39" t="s">
        <v>78</v>
      </c>
      <c r="B130" s="40" t="s">
        <v>193</v>
      </c>
      <c r="C130" s="41" t="s">
        <v>337</v>
      </c>
      <c r="D130" s="40" t="s">
        <v>336</v>
      </c>
      <c r="E130" s="24">
        <v>5000000</v>
      </c>
      <c r="F130" s="39">
        <v>44368</v>
      </c>
      <c r="G130" s="24">
        <v>5000000</v>
      </c>
      <c r="H130" s="23">
        <v>5.0000000000000001E-3</v>
      </c>
      <c r="I130" s="39">
        <v>44368</v>
      </c>
      <c r="J130" s="39">
        <v>44377</v>
      </c>
      <c r="K130" s="24">
        <v>10</v>
      </c>
      <c r="L130" s="24">
        <v>685</v>
      </c>
      <c r="M130" s="24">
        <v>5000000</v>
      </c>
    </row>
    <row r="131" spans="1:13" s="48" customFormat="1" outlineLevel="2">
      <c r="A131" s="39" t="s">
        <v>78</v>
      </c>
      <c r="B131" s="40" t="s">
        <v>194</v>
      </c>
      <c r="C131" s="41" t="s">
        <v>337</v>
      </c>
      <c r="D131" s="40" t="s">
        <v>336</v>
      </c>
      <c r="E131" s="24">
        <v>38000000</v>
      </c>
      <c r="F131" s="39">
        <v>44377</v>
      </c>
      <c r="G131" s="24">
        <v>38000000</v>
      </c>
      <c r="H131" s="23">
        <v>5.0000000000000001E-3</v>
      </c>
      <c r="I131" s="39">
        <v>44377</v>
      </c>
      <c r="J131" s="39">
        <v>44377</v>
      </c>
      <c r="K131" s="24">
        <v>1</v>
      </c>
      <c r="L131" s="24">
        <v>521</v>
      </c>
      <c r="M131" s="24">
        <v>38000000</v>
      </c>
    </row>
    <row r="132" spans="1:13" s="48" customFormat="1" outlineLevel="2">
      <c r="A132" s="39" t="s">
        <v>78</v>
      </c>
      <c r="B132" s="40" t="s">
        <v>195</v>
      </c>
      <c r="C132" s="41" t="s">
        <v>85</v>
      </c>
      <c r="D132" s="40" t="s">
        <v>86</v>
      </c>
      <c r="E132" s="24">
        <v>50000000</v>
      </c>
      <c r="F132" s="39">
        <v>44349</v>
      </c>
      <c r="G132" s="24">
        <v>50000000</v>
      </c>
      <c r="H132" s="23">
        <v>5.0000000000000001E-3</v>
      </c>
      <c r="I132" s="39">
        <v>44349</v>
      </c>
      <c r="J132" s="39">
        <v>44377</v>
      </c>
      <c r="K132" s="24">
        <v>29</v>
      </c>
      <c r="L132" s="24">
        <v>19863</v>
      </c>
      <c r="M132" s="24">
        <v>50000000</v>
      </c>
    </row>
    <row r="133" spans="1:13" s="48" customFormat="1" outlineLevel="2">
      <c r="A133" s="39" t="s">
        <v>78</v>
      </c>
      <c r="B133" s="40" t="s">
        <v>64</v>
      </c>
      <c r="C133" s="41" t="s">
        <v>83</v>
      </c>
      <c r="D133" s="40" t="s">
        <v>84</v>
      </c>
      <c r="E133" s="24">
        <v>73910000</v>
      </c>
      <c r="F133" s="39">
        <v>44032</v>
      </c>
      <c r="G133" s="24">
        <v>73910000</v>
      </c>
      <c r="H133" s="23">
        <v>5.0000000000000001E-3</v>
      </c>
      <c r="I133" s="39">
        <v>44348</v>
      </c>
      <c r="J133" s="39">
        <v>44377</v>
      </c>
      <c r="K133" s="24">
        <v>30</v>
      </c>
      <c r="L133" s="24">
        <v>30374</v>
      </c>
      <c r="M133" s="24">
        <v>73910000</v>
      </c>
    </row>
    <row r="134" spans="1:13" s="48" customFormat="1" outlineLevel="2">
      <c r="A134" s="39" t="s">
        <v>78</v>
      </c>
      <c r="B134" s="40" t="s">
        <v>196</v>
      </c>
      <c r="C134" s="41" t="s">
        <v>91</v>
      </c>
      <c r="D134" s="40" t="s">
        <v>92</v>
      </c>
      <c r="E134" s="24">
        <v>23000000</v>
      </c>
      <c r="F134" s="39">
        <v>44365</v>
      </c>
      <c r="G134" s="24">
        <v>23000000</v>
      </c>
      <c r="H134" s="23">
        <v>5.0000000000000001E-3</v>
      </c>
      <c r="I134" s="39">
        <v>44365</v>
      </c>
      <c r="J134" s="39">
        <v>44377</v>
      </c>
      <c r="K134" s="24">
        <v>13</v>
      </c>
      <c r="L134" s="24">
        <v>4096</v>
      </c>
      <c r="M134" s="24">
        <v>23000000</v>
      </c>
    </row>
    <row r="135" spans="1:13" s="48" customFormat="1" outlineLevel="2">
      <c r="A135" s="39" t="s">
        <v>78</v>
      </c>
      <c r="B135" s="40" t="s">
        <v>65</v>
      </c>
      <c r="C135" s="41" t="s">
        <v>83</v>
      </c>
      <c r="D135" s="40" t="s">
        <v>84</v>
      </c>
      <c r="E135" s="24">
        <v>291200000</v>
      </c>
      <c r="F135" s="39">
        <v>44032</v>
      </c>
      <c r="G135" s="24">
        <v>291200000</v>
      </c>
      <c r="H135" s="23">
        <v>3.0000000000000001E-3</v>
      </c>
      <c r="I135" s="39">
        <v>44348</v>
      </c>
      <c r="J135" s="39">
        <v>44377</v>
      </c>
      <c r="K135" s="24">
        <v>30</v>
      </c>
      <c r="L135" s="24">
        <v>71803</v>
      </c>
      <c r="M135" s="24">
        <v>291200000</v>
      </c>
    </row>
    <row r="136" spans="1:13" s="48" customFormat="1" outlineLevel="2">
      <c r="A136" s="39" t="s">
        <v>78</v>
      </c>
      <c r="B136" s="40" t="s">
        <v>68</v>
      </c>
      <c r="C136" s="41" t="s">
        <v>81</v>
      </c>
      <c r="D136" s="40" t="s">
        <v>82</v>
      </c>
      <c r="E136" s="24">
        <v>10000000</v>
      </c>
      <c r="F136" s="39">
        <v>44025</v>
      </c>
      <c r="G136" s="24">
        <v>8305080</v>
      </c>
      <c r="H136" s="23">
        <v>5.0000000000000001E-3</v>
      </c>
      <c r="I136" s="39">
        <v>44348</v>
      </c>
      <c r="J136" s="39">
        <v>44361</v>
      </c>
      <c r="K136" s="24">
        <v>14</v>
      </c>
      <c r="L136" s="24">
        <v>1593</v>
      </c>
      <c r="M136" s="24">
        <v>8135588</v>
      </c>
    </row>
    <row r="137" spans="1:13" s="48" customFormat="1" outlineLevel="2">
      <c r="A137" s="39" t="s">
        <v>78</v>
      </c>
      <c r="B137" s="40" t="s">
        <v>68</v>
      </c>
      <c r="C137" s="41" t="s">
        <v>81</v>
      </c>
      <c r="D137" s="40"/>
      <c r="E137" s="24"/>
      <c r="F137" s="39"/>
      <c r="G137" s="24">
        <v>8135588</v>
      </c>
      <c r="H137" s="23">
        <v>5.0000000000000001E-3</v>
      </c>
      <c r="I137" s="39">
        <v>44362</v>
      </c>
      <c r="J137" s="39">
        <v>44377</v>
      </c>
      <c r="K137" s="24">
        <v>16</v>
      </c>
      <c r="L137" s="24">
        <v>1783</v>
      </c>
      <c r="M137" s="24"/>
    </row>
    <row r="138" spans="1:13" s="48" customFormat="1" outlineLevel="1">
      <c r="A138" s="42" t="s">
        <v>107</v>
      </c>
      <c r="B138" s="43"/>
      <c r="C138" s="44"/>
      <c r="D138" s="43"/>
      <c r="E138" s="45">
        <v>3701889409</v>
      </c>
      <c r="F138" s="46"/>
      <c r="G138" s="45"/>
      <c r="H138" s="47"/>
      <c r="I138" s="46"/>
      <c r="J138" s="46"/>
      <c r="K138" s="45"/>
      <c r="L138" s="45">
        <v>1368268</v>
      </c>
      <c r="M138" s="45">
        <v>3674570672</v>
      </c>
    </row>
    <row r="139" spans="1:13" s="48" customFormat="1" outlineLevel="2">
      <c r="A139" s="39" t="s">
        <v>108</v>
      </c>
      <c r="B139" s="40" t="s">
        <v>16</v>
      </c>
      <c r="C139" s="41" t="s">
        <v>109</v>
      </c>
      <c r="D139" s="40" t="s">
        <v>110</v>
      </c>
      <c r="E139" s="24">
        <v>81465386</v>
      </c>
      <c r="F139" s="39">
        <v>43900</v>
      </c>
      <c r="G139" s="24">
        <v>81465386</v>
      </c>
      <c r="H139" s="23">
        <v>5.0000000000000001E-3</v>
      </c>
      <c r="I139" s="39">
        <v>44348</v>
      </c>
      <c r="J139" s="39">
        <v>44377</v>
      </c>
      <c r="K139" s="24">
        <v>30</v>
      </c>
      <c r="L139" s="24">
        <v>33479</v>
      </c>
      <c r="M139" s="24">
        <v>81465386</v>
      </c>
    </row>
    <row r="140" spans="1:13" s="48" customFormat="1" outlineLevel="2">
      <c r="A140" s="39" t="s">
        <v>108</v>
      </c>
      <c r="B140" s="40" t="s">
        <v>19</v>
      </c>
      <c r="C140" s="41" t="s">
        <v>111</v>
      </c>
      <c r="D140" s="40" t="s">
        <v>112</v>
      </c>
      <c r="E140" s="24">
        <v>8860000</v>
      </c>
      <c r="F140" s="39">
        <v>43997</v>
      </c>
      <c r="G140" s="24">
        <v>8860000</v>
      </c>
      <c r="H140" s="23">
        <v>5.0000000000000001E-3</v>
      </c>
      <c r="I140" s="39">
        <v>44348</v>
      </c>
      <c r="J140" s="39">
        <v>44377</v>
      </c>
      <c r="K140" s="24">
        <v>30</v>
      </c>
      <c r="L140" s="24">
        <v>3641</v>
      </c>
      <c r="M140" s="24">
        <v>8860000</v>
      </c>
    </row>
    <row r="141" spans="1:13" s="48" customFormat="1" outlineLevel="2">
      <c r="A141" s="39" t="s">
        <v>108</v>
      </c>
      <c r="B141" s="40" t="s">
        <v>22</v>
      </c>
      <c r="C141" s="41" t="s">
        <v>113</v>
      </c>
      <c r="D141" s="40" t="s">
        <v>114</v>
      </c>
      <c r="E141" s="24">
        <v>20390000</v>
      </c>
      <c r="F141" s="39">
        <v>43997</v>
      </c>
      <c r="G141" s="24">
        <v>17654762</v>
      </c>
      <c r="H141" s="23">
        <v>5.0000000000000001E-3</v>
      </c>
      <c r="I141" s="39">
        <v>44348</v>
      </c>
      <c r="J141" s="39">
        <v>44361</v>
      </c>
      <c r="K141" s="24">
        <v>14</v>
      </c>
      <c r="L141" s="24">
        <v>3386</v>
      </c>
      <c r="M141" s="24">
        <v>17406104</v>
      </c>
    </row>
    <row r="142" spans="1:13" s="48" customFormat="1" outlineLevel="2">
      <c r="A142" s="39" t="s">
        <v>108</v>
      </c>
      <c r="B142" s="40" t="s">
        <v>22</v>
      </c>
      <c r="C142" s="41" t="s">
        <v>113</v>
      </c>
      <c r="D142" s="40"/>
      <c r="E142" s="24"/>
      <c r="F142" s="39"/>
      <c r="G142" s="24">
        <v>17406104</v>
      </c>
      <c r="H142" s="23">
        <v>5.0000000000000001E-3</v>
      </c>
      <c r="I142" s="39">
        <v>44362</v>
      </c>
      <c r="J142" s="39">
        <v>44377</v>
      </c>
      <c r="K142" s="24">
        <v>16</v>
      </c>
      <c r="L142" s="24">
        <v>3815</v>
      </c>
      <c r="M142" s="24"/>
    </row>
    <row r="143" spans="1:13" s="48" customFormat="1" outlineLevel="2">
      <c r="A143" s="39" t="s">
        <v>108</v>
      </c>
      <c r="B143" s="40" t="s">
        <v>25</v>
      </c>
      <c r="C143" s="41" t="s">
        <v>113</v>
      </c>
      <c r="D143" s="40" t="s">
        <v>114</v>
      </c>
      <c r="E143" s="24">
        <v>69600000</v>
      </c>
      <c r="F143" s="39">
        <v>43997</v>
      </c>
      <c r="G143" s="24">
        <v>63220000</v>
      </c>
      <c r="H143" s="23">
        <v>5.0000000000000001E-3</v>
      </c>
      <c r="I143" s="39">
        <v>44348</v>
      </c>
      <c r="J143" s="39">
        <v>44361</v>
      </c>
      <c r="K143" s="24">
        <v>14</v>
      </c>
      <c r="L143" s="24">
        <v>12124</v>
      </c>
      <c r="M143" s="24">
        <v>62640000</v>
      </c>
    </row>
    <row r="144" spans="1:13" s="48" customFormat="1" outlineLevel="2">
      <c r="A144" s="39" t="s">
        <v>108</v>
      </c>
      <c r="B144" s="40" t="s">
        <v>25</v>
      </c>
      <c r="C144" s="41" t="s">
        <v>113</v>
      </c>
      <c r="D144" s="40"/>
      <c r="E144" s="24"/>
      <c r="F144" s="39"/>
      <c r="G144" s="24">
        <v>62640000</v>
      </c>
      <c r="H144" s="23">
        <v>5.0000000000000001E-3</v>
      </c>
      <c r="I144" s="39">
        <v>44362</v>
      </c>
      <c r="J144" s="39">
        <v>44377</v>
      </c>
      <c r="K144" s="24">
        <v>16</v>
      </c>
      <c r="L144" s="24">
        <v>13729</v>
      </c>
      <c r="M144" s="24"/>
    </row>
    <row r="145" spans="1:13" s="48" customFormat="1" outlineLevel="2">
      <c r="A145" s="39" t="s">
        <v>108</v>
      </c>
      <c r="B145" s="40" t="s">
        <v>26</v>
      </c>
      <c r="C145" s="41" t="s">
        <v>109</v>
      </c>
      <c r="D145" s="40" t="s">
        <v>110</v>
      </c>
      <c r="E145" s="24">
        <v>16630000</v>
      </c>
      <c r="F145" s="39">
        <v>44011</v>
      </c>
      <c r="G145" s="24">
        <v>16630000</v>
      </c>
      <c r="H145" s="23">
        <v>5.0000000000000001E-3</v>
      </c>
      <c r="I145" s="39">
        <v>44348</v>
      </c>
      <c r="J145" s="39">
        <v>44377</v>
      </c>
      <c r="K145" s="24">
        <v>30</v>
      </c>
      <c r="L145" s="24">
        <v>6834</v>
      </c>
      <c r="M145" s="24">
        <v>16630000</v>
      </c>
    </row>
    <row r="146" spans="1:13" s="48" customFormat="1" outlineLevel="2">
      <c r="A146" s="39" t="s">
        <v>108</v>
      </c>
      <c r="B146" s="40" t="s">
        <v>29</v>
      </c>
      <c r="C146" s="41" t="s">
        <v>111</v>
      </c>
      <c r="D146" s="40" t="s">
        <v>112</v>
      </c>
      <c r="E146" s="24">
        <v>4650000</v>
      </c>
      <c r="F146" s="39">
        <v>44027</v>
      </c>
      <c r="G146" s="24">
        <v>4650000</v>
      </c>
      <c r="H146" s="23">
        <v>5.0000000000000001E-3</v>
      </c>
      <c r="I146" s="39">
        <v>44348</v>
      </c>
      <c r="J146" s="39">
        <v>44377</v>
      </c>
      <c r="K146" s="24">
        <v>30</v>
      </c>
      <c r="L146" s="24">
        <v>1911</v>
      </c>
      <c r="M146" s="24">
        <v>4650000</v>
      </c>
    </row>
    <row r="147" spans="1:13" s="48" customFormat="1" outlineLevel="2">
      <c r="A147" s="39" t="s">
        <v>108</v>
      </c>
      <c r="B147" s="40" t="s">
        <v>32</v>
      </c>
      <c r="C147" s="41" t="s">
        <v>113</v>
      </c>
      <c r="D147" s="40" t="s">
        <v>114</v>
      </c>
      <c r="E147" s="24">
        <v>10860000</v>
      </c>
      <c r="F147" s="39">
        <v>44027</v>
      </c>
      <c r="G147" s="24">
        <v>9519260</v>
      </c>
      <c r="H147" s="23">
        <v>5.0000000000000001E-3</v>
      </c>
      <c r="I147" s="39">
        <v>44348</v>
      </c>
      <c r="J147" s="39">
        <v>44361</v>
      </c>
      <c r="K147" s="24">
        <v>14</v>
      </c>
      <c r="L147" s="24">
        <v>1826</v>
      </c>
      <c r="M147" s="24">
        <v>9385186</v>
      </c>
    </row>
    <row r="148" spans="1:13" s="48" customFormat="1" outlineLevel="2">
      <c r="A148" s="39" t="s">
        <v>108</v>
      </c>
      <c r="B148" s="40" t="s">
        <v>32</v>
      </c>
      <c r="C148" s="41" t="s">
        <v>113</v>
      </c>
      <c r="D148" s="40"/>
      <c r="E148" s="24"/>
      <c r="F148" s="39"/>
      <c r="G148" s="24">
        <v>9385186</v>
      </c>
      <c r="H148" s="23">
        <v>5.0000000000000001E-3</v>
      </c>
      <c r="I148" s="39">
        <v>44362</v>
      </c>
      <c r="J148" s="39">
        <v>44377</v>
      </c>
      <c r="K148" s="24">
        <v>16</v>
      </c>
      <c r="L148" s="24">
        <v>2057</v>
      </c>
      <c r="M148" s="24"/>
    </row>
    <row r="149" spans="1:13" s="48" customFormat="1" outlineLevel="2">
      <c r="A149" s="39" t="s">
        <v>108</v>
      </c>
      <c r="B149" s="40" t="s">
        <v>33</v>
      </c>
      <c r="C149" s="41" t="s">
        <v>113</v>
      </c>
      <c r="D149" s="40" t="s">
        <v>114</v>
      </c>
      <c r="E149" s="24">
        <v>11600000</v>
      </c>
      <c r="F149" s="39">
        <v>44027</v>
      </c>
      <c r="G149" s="24">
        <v>10625220</v>
      </c>
      <c r="H149" s="23">
        <v>5.0000000000000001E-3</v>
      </c>
      <c r="I149" s="39">
        <v>44348</v>
      </c>
      <c r="J149" s="39">
        <v>44361</v>
      </c>
      <c r="K149" s="24">
        <v>14</v>
      </c>
      <c r="L149" s="24">
        <v>2038</v>
      </c>
      <c r="M149" s="24">
        <v>10527742</v>
      </c>
    </row>
    <row r="150" spans="1:13" s="48" customFormat="1" outlineLevel="2">
      <c r="A150" s="39" t="s">
        <v>108</v>
      </c>
      <c r="B150" s="40" t="s">
        <v>33</v>
      </c>
      <c r="C150" s="41" t="s">
        <v>113</v>
      </c>
      <c r="D150" s="40"/>
      <c r="E150" s="24"/>
      <c r="F150" s="39"/>
      <c r="G150" s="24">
        <v>10527742</v>
      </c>
      <c r="H150" s="23">
        <v>5.0000000000000001E-3</v>
      </c>
      <c r="I150" s="39">
        <v>44362</v>
      </c>
      <c r="J150" s="39">
        <v>44377</v>
      </c>
      <c r="K150" s="24">
        <v>16</v>
      </c>
      <c r="L150" s="24">
        <v>2307</v>
      </c>
      <c r="M150" s="24"/>
    </row>
    <row r="151" spans="1:13" s="48" customFormat="1" outlineLevel="2">
      <c r="A151" s="39" t="s">
        <v>108</v>
      </c>
      <c r="B151" s="40" t="s">
        <v>34</v>
      </c>
      <c r="C151" s="41" t="s">
        <v>23</v>
      </c>
      <c r="D151" s="40" t="s">
        <v>24</v>
      </c>
      <c r="E151" s="24">
        <v>18700000</v>
      </c>
      <c r="F151" s="39">
        <v>44032</v>
      </c>
      <c r="G151" s="24">
        <v>18700000</v>
      </c>
      <c r="H151" s="23">
        <v>5.0000000000000001E-3</v>
      </c>
      <c r="I151" s="39">
        <v>44348</v>
      </c>
      <c r="J151" s="39">
        <v>44377</v>
      </c>
      <c r="K151" s="24">
        <v>30</v>
      </c>
      <c r="L151" s="24">
        <v>7685</v>
      </c>
      <c r="M151" s="24">
        <v>18700000</v>
      </c>
    </row>
    <row r="152" spans="1:13" s="48" customFormat="1" outlineLevel="2">
      <c r="A152" s="39" t="s">
        <v>108</v>
      </c>
      <c r="B152" s="40" t="s">
        <v>35</v>
      </c>
      <c r="C152" s="41" t="s">
        <v>111</v>
      </c>
      <c r="D152" s="40" t="s">
        <v>112</v>
      </c>
      <c r="E152" s="24">
        <v>2950000</v>
      </c>
      <c r="F152" s="39">
        <v>44060</v>
      </c>
      <c r="G152" s="24">
        <v>2950000</v>
      </c>
      <c r="H152" s="23">
        <v>5.0000000000000001E-3</v>
      </c>
      <c r="I152" s="39">
        <v>44348</v>
      </c>
      <c r="J152" s="39">
        <v>44377</v>
      </c>
      <c r="K152" s="24">
        <v>30</v>
      </c>
      <c r="L152" s="24">
        <v>1212</v>
      </c>
      <c r="M152" s="24">
        <v>2950000</v>
      </c>
    </row>
    <row r="153" spans="1:13" s="48" customFormat="1" outlineLevel="2">
      <c r="A153" s="39" t="s">
        <v>108</v>
      </c>
      <c r="B153" s="40" t="s">
        <v>36</v>
      </c>
      <c r="C153" s="41" t="s">
        <v>109</v>
      </c>
      <c r="D153" s="40" t="s">
        <v>110</v>
      </c>
      <c r="E153" s="24">
        <v>15120000</v>
      </c>
      <c r="F153" s="39">
        <v>44091</v>
      </c>
      <c r="G153" s="24">
        <v>15120000</v>
      </c>
      <c r="H153" s="23">
        <v>5.0000000000000001E-3</v>
      </c>
      <c r="I153" s="39">
        <v>44348</v>
      </c>
      <c r="J153" s="39">
        <v>44377</v>
      </c>
      <c r="K153" s="24">
        <v>30</v>
      </c>
      <c r="L153" s="24">
        <v>6214</v>
      </c>
      <c r="M153" s="24">
        <v>15120000</v>
      </c>
    </row>
    <row r="154" spans="1:13" s="48" customFormat="1" outlineLevel="2">
      <c r="A154" s="39" t="s">
        <v>108</v>
      </c>
      <c r="B154" s="40" t="s">
        <v>39</v>
      </c>
      <c r="C154" s="41" t="s">
        <v>111</v>
      </c>
      <c r="D154" s="40" t="s">
        <v>112</v>
      </c>
      <c r="E154" s="24">
        <v>6200000</v>
      </c>
      <c r="F154" s="39">
        <v>43929</v>
      </c>
      <c r="G154" s="24">
        <v>6200000</v>
      </c>
      <c r="H154" s="23">
        <v>5.0000000000000001E-3</v>
      </c>
      <c r="I154" s="39">
        <v>44348</v>
      </c>
      <c r="J154" s="39">
        <v>44377</v>
      </c>
      <c r="K154" s="24">
        <v>30</v>
      </c>
      <c r="L154" s="24">
        <v>2548</v>
      </c>
      <c r="M154" s="24">
        <v>6200000</v>
      </c>
    </row>
    <row r="155" spans="1:13" s="48" customFormat="1" outlineLevel="2">
      <c r="A155" s="39" t="s">
        <v>108</v>
      </c>
      <c r="B155" s="40" t="s">
        <v>40</v>
      </c>
      <c r="C155" s="41" t="s">
        <v>27</v>
      </c>
      <c r="D155" s="40" t="s">
        <v>28</v>
      </c>
      <c r="E155" s="24">
        <v>10000000</v>
      </c>
      <c r="F155" s="39">
        <v>44111</v>
      </c>
      <c r="G155" s="24">
        <v>8666672</v>
      </c>
      <c r="H155" s="23">
        <v>5.0000000000000001E-3</v>
      </c>
      <c r="I155" s="39">
        <v>44348</v>
      </c>
      <c r="J155" s="39">
        <v>44361</v>
      </c>
      <c r="K155" s="24">
        <v>14</v>
      </c>
      <c r="L155" s="24">
        <v>1662</v>
      </c>
      <c r="M155" s="24">
        <v>8500006</v>
      </c>
    </row>
    <row r="156" spans="1:13" s="48" customFormat="1" outlineLevel="2">
      <c r="A156" s="39" t="s">
        <v>108</v>
      </c>
      <c r="B156" s="40" t="s">
        <v>40</v>
      </c>
      <c r="C156" s="41" t="s">
        <v>27</v>
      </c>
      <c r="D156" s="40"/>
      <c r="E156" s="24"/>
      <c r="F156" s="39"/>
      <c r="G156" s="24">
        <v>8500006</v>
      </c>
      <c r="H156" s="23">
        <v>5.0000000000000001E-3</v>
      </c>
      <c r="I156" s="39">
        <v>44362</v>
      </c>
      <c r="J156" s="39">
        <v>44377</v>
      </c>
      <c r="K156" s="24">
        <v>16</v>
      </c>
      <c r="L156" s="24">
        <v>1863</v>
      </c>
      <c r="M156" s="24"/>
    </row>
    <row r="157" spans="1:13" s="48" customFormat="1" outlineLevel="2">
      <c r="A157" s="39" t="s">
        <v>108</v>
      </c>
      <c r="B157" s="40" t="s">
        <v>41</v>
      </c>
      <c r="C157" s="41" t="s">
        <v>27</v>
      </c>
      <c r="D157" s="40" t="s">
        <v>28</v>
      </c>
      <c r="E157" s="24">
        <v>24450000</v>
      </c>
      <c r="F157" s="39">
        <v>44120</v>
      </c>
      <c r="G157" s="24">
        <v>21549158</v>
      </c>
      <c r="H157" s="23">
        <v>5.0000000000000001E-3</v>
      </c>
      <c r="I157" s="39">
        <v>44348</v>
      </c>
      <c r="J157" s="39">
        <v>44361</v>
      </c>
      <c r="K157" s="24">
        <v>14</v>
      </c>
      <c r="L157" s="24">
        <v>4133</v>
      </c>
      <c r="M157" s="24">
        <v>21134752</v>
      </c>
    </row>
    <row r="158" spans="1:13" s="48" customFormat="1" outlineLevel="2">
      <c r="A158" s="39" t="s">
        <v>108</v>
      </c>
      <c r="B158" s="40" t="s">
        <v>41</v>
      </c>
      <c r="C158" s="41" t="s">
        <v>27</v>
      </c>
      <c r="D158" s="40"/>
      <c r="E158" s="24"/>
      <c r="F158" s="39"/>
      <c r="G158" s="24">
        <v>21134752</v>
      </c>
      <c r="H158" s="23">
        <v>5.0000000000000001E-3</v>
      </c>
      <c r="I158" s="39">
        <v>44362</v>
      </c>
      <c r="J158" s="39">
        <v>44377</v>
      </c>
      <c r="K158" s="24">
        <v>16</v>
      </c>
      <c r="L158" s="24">
        <v>4632</v>
      </c>
      <c r="M158" s="24"/>
    </row>
    <row r="159" spans="1:13" s="48" customFormat="1" outlineLevel="2">
      <c r="A159" s="39" t="s">
        <v>108</v>
      </c>
      <c r="B159" s="40" t="s">
        <v>42</v>
      </c>
      <c r="C159" s="41" t="s">
        <v>23</v>
      </c>
      <c r="D159" s="40" t="s">
        <v>24</v>
      </c>
      <c r="E159" s="24">
        <v>26100000</v>
      </c>
      <c r="F159" s="39">
        <v>44124</v>
      </c>
      <c r="G159" s="24">
        <v>26100000</v>
      </c>
      <c r="H159" s="23">
        <v>5.0000000000000001E-3</v>
      </c>
      <c r="I159" s="39">
        <v>44348</v>
      </c>
      <c r="J159" s="39">
        <v>44377</v>
      </c>
      <c r="K159" s="24">
        <v>30</v>
      </c>
      <c r="L159" s="24">
        <v>10726</v>
      </c>
      <c r="M159" s="24">
        <v>26100000</v>
      </c>
    </row>
    <row r="160" spans="1:13" s="48" customFormat="1" outlineLevel="2">
      <c r="A160" s="39" t="s">
        <v>108</v>
      </c>
      <c r="B160" s="40" t="s">
        <v>43</v>
      </c>
      <c r="C160" s="41" t="s">
        <v>27</v>
      </c>
      <c r="D160" s="40" t="s">
        <v>28</v>
      </c>
      <c r="E160" s="24">
        <v>25800000</v>
      </c>
      <c r="F160" s="39">
        <v>44137</v>
      </c>
      <c r="G160" s="24">
        <v>22738984</v>
      </c>
      <c r="H160" s="23">
        <v>5.0000000000000001E-3</v>
      </c>
      <c r="I160" s="39">
        <v>44348</v>
      </c>
      <c r="J160" s="39">
        <v>44361</v>
      </c>
      <c r="K160" s="24">
        <v>14</v>
      </c>
      <c r="L160" s="24">
        <v>4361</v>
      </c>
      <c r="M160" s="24">
        <v>22301696</v>
      </c>
    </row>
    <row r="161" spans="1:13" s="48" customFormat="1" outlineLevel="2">
      <c r="A161" s="39" t="s">
        <v>108</v>
      </c>
      <c r="B161" s="40" t="s">
        <v>43</v>
      </c>
      <c r="C161" s="41" t="s">
        <v>27</v>
      </c>
      <c r="D161" s="40"/>
      <c r="E161" s="24"/>
      <c r="F161" s="39"/>
      <c r="G161" s="24">
        <v>22301696</v>
      </c>
      <c r="H161" s="23">
        <v>5.0000000000000001E-3</v>
      </c>
      <c r="I161" s="39">
        <v>44362</v>
      </c>
      <c r="J161" s="39">
        <v>44377</v>
      </c>
      <c r="K161" s="24">
        <v>16</v>
      </c>
      <c r="L161" s="24">
        <v>4888</v>
      </c>
      <c r="M161" s="24"/>
    </row>
    <row r="162" spans="1:13" s="48" customFormat="1" outlineLevel="2">
      <c r="A162" s="39" t="s">
        <v>108</v>
      </c>
      <c r="B162" s="40" t="s">
        <v>44</v>
      </c>
      <c r="C162" s="41" t="s">
        <v>115</v>
      </c>
      <c r="D162" s="40" t="s">
        <v>116</v>
      </c>
      <c r="E162" s="24">
        <v>1200000</v>
      </c>
      <c r="F162" s="39">
        <v>44138</v>
      </c>
      <c r="G162" s="24">
        <v>1200000</v>
      </c>
      <c r="H162" s="23">
        <v>5.0000000000000001E-3</v>
      </c>
      <c r="I162" s="39">
        <v>44348</v>
      </c>
      <c r="J162" s="39">
        <v>44377</v>
      </c>
      <c r="K162" s="24">
        <v>30</v>
      </c>
      <c r="L162" s="24">
        <v>493</v>
      </c>
      <c r="M162" s="24">
        <v>1200000</v>
      </c>
    </row>
    <row r="163" spans="1:13" s="48" customFormat="1" outlineLevel="2">
      <c r="A163" s="39" t="s">
        <v>108</v>
      </c>
      <c r="B163" s="40" t="s">
        <v>47</v>
      </c>
      <c r="C163" s="41" t="s">
        <v>115</v>
      </c>
      <c r="D163" s="40" t="s">
        <v>116</v>
      </c>
      <c r="E163" s="24">
        <v>2350000</v>
      </c>
      <c r="F163" s="39">
        <v>44138</v>
      </c>
      <c r="G163" s="24">
        <v>2350000</v>
      </c>
      <c r="H163" s="23">
        <v>5.0000000000000001E-3</v>
      </c>
      <c r="I163" s="39">
        <v>44348</v>
      </c>
      <c r="J163" s="39">
        <v>44377</v>
      </c>
      <c r="K163" s="24">
        <v>30</v>
      </c>
      <c r="L163" s="24">
        <v>966</v>
      </c>
      <c r="M163" s="24">
        <v>2350000</v>
      </c>
    </row>
    <row r="164" spans="1:13" s="48" customFormat="1" outlineLevel="2">
      <c r="A164" s="39" t="s">
        <v>108</v>
      </c>
      <c r="B164" s="40" t="s">
        <v>50</v>
      </c>
      <c r="C164" s="41" t="s">
        <v>113</v>
      </c>
      <c r="D164" s="40" t="s">
        <v>114</v>
      </c>
      <c r="E164" s="24">
        <v>23200000</v>
      </c>
      <c r="F164" s="39">
        <v>44151</v>
      </c>
      <c r="G164" s="24">
        <v>21989566</v>
      </c>
      <c r="H164" s="23">
        <v>5.0000000000000001E-3</v>
      </c>
      <c r="I164" s="39">
        <v>44348</v>
      </c>
      <c r="J164" s="39">
        <v>44361</v>
      </c>
      <c r="K164" s="24">
        <v>14</v>
      </c>
      <c r="L164" s="24">
        <v>4217</v>
      </c>
      <c r="M164" s="24">
        <v>21787827</v>
      </c>
    </row>
    <row r="165" spans="1:13" s="48" customFormat="1" outlineLevel="2">
      <c r="A165" s="39" t="s">
        <v>108</v>
      </c>
      <c r="B165" s="40" t="s">
        <v>50</v>
      </c>
      <c r="C165" s="41" t="s">
        <v>113</v>
      </c>
      <c r="D165" s="40"/>
      <c r="E165" s="24"/>
      <c r="F165" s="39"/>
      <c r="G165" s="24">
        <v>21787827</v>
      </c>
      <c r="H165" s="23">
        <v>5.0000000000000001E-3</v>
      </c>
      <c r="I165" s="39">
        <v>44362</v>
      </c>
      <c r="J165" s="39">
        <v>44377</v>
      </c>
      <c r="K165" s="24">
        <v>16</v>
      </c>
      <c r="L165" s="24">
        <v>4775</v>
      </c>
      <c r="M165" s="24"/>
    </row>
    <row r="166" spans="1:13" s="48" customFormat="1" outlineLevel="2">
      <c r="A166" s="39" t="s">
        <v>108</v>
      </c>
      <c r="B166" s="40" t="s">
        <v>51</v>
      </c>
      <c r="C166" s="41" t="s">
        <v>111</v>
      </c>
      <c r="D166" s="40" t="s">
        <v>112</v>
      </c>
      <c r="E166" s="24">
        <v>5910000</v>
      </c>
      <c r="F166" s="39">
        <v>44151</v>
      </c>
      <c r="G166" s="24">
        <v>5910000</v>
      </c>
      <c r="H166" s="23">
        <v>5.0000000000000001E-3</v>
      </c>
      <c r="I166" s="39">
        <v>44348</v>
      </c>
      <c r="J166" s="39">
        <v>44377</v>
      </c>
      <c r="K166" s="24">
        <v>30</v>
      </c>
      <c r="L166" s="24">
        <v>2429</v>
      </c>
      <c r="M166" s="24">
        <v>5910000</v>
      </c>
    </row>
    <row r="167" spans="1:13" s="48" customFormat="1" outlineLevel="2">
      <c r="A167" s="39" t="s">
        <v>108</v>
      </c>
      <c r="B167" s="40" t="s">
        <v>52</v>
      </c>
      <c r="C167" s="41" t="s">
        <v>117</v>
      </c>
      <c r="D167" s="40" t="s">
        <v>118</v>
      </c>
      <c r="E167" s="24">
        <v>26000000</v>
      </c>
      <c r="F167" s="39">
        <v>44162</v>
      </c>
      <c r="G167" s="24">
        <v>24619472</v>
      </c>
      <c r="H167" s="23">
        <v>5.0000000000000001E-3</v>
      </c>
      <c r="I167" s="39">
        <v>44348</v>
      </c>
      <c r="J167" s="39">
        <v>44361</v>
      </c>
      <c r="K167" s="24">
        <v>14</v>
      </c>
      <c r="L167" s="24">
        <v>4722</v>
      </c>
      <c r="M167" s="24">
        <v>24389384</v>
      </c>
    </row>
    <row r="168" spans="1:13" s="48" customFormat="1" outlineLevel="2">
      <c r="A168" s="39" t="s">
        <v>108</v>
      </c>
      <c r="B168" s="40" t="s">
        <v>52</v>
      </c>
      <c r="C168" s="41" t="s">
        <v>117</v>
      </c>
      <c r="D168" s="40"/>
      <c r="E168" s="24"/>
      <c r="F168" s="39"/>
      <c r="G168" s="24">
        <v>24389384</v>
      </c>
      <c r="H168" s="23">
        <v>5.0000000000000001E-3</v>
      </c>
      <c r="I168" s="39">
        <v>44362</v>
      </c>
      <c r="J168" s="39">
        <v>44377</v>
      </c>
      <c r="K168" s="24">
        <v>16</v>
      </c>
      <c r="L168" s="24">
        <v>5346</v>
      </c>
      <c r="M168" s="24"/>
    </row>
    <row r="169" spans="1:13" s="48" customFormat="1" outlineLevel="2">
      <c r="A169" s="39" t="s">
        <v>108</v>
      </c>
      <c r="B169" s="40" t="s">
        <v>53</v>
      </c>
      <c r="C169" s="41" t="s">
        <v>27</v>
      </c>
      <c r="D169" s="40" t="s">
        <v>28</v>
      </c>
      <c r="E169" s="24">
        <v>9280000</v>
      </c>
      <c r="F169" s="39">
        <v>44167</v>
      </c>
      <c r="G169" s="24">
        <v>8320000</v>
      </c>
      <c r="H169" s="23">
        <v>5.0000000000000001E-3</v>
      </c>
      <c r="I169" s="39">
        <v>44348</v>
      </c>
      <c r="J169" s="39">
        <v>44361</v>
      </c>
      <c r="K169" s="24">
        <v>14</v>
      </c>
      <c r="L169" s="24">
        <v>1596</v>
      </c>
      <c r="M169" s="24">
        <v>8160000</v>
      </c>
    </row>
    <row r="170" spans="1:13" s="48" customFormat="1" outlineLevel="2">
      <c r="A170" s="39" t="s">
        <v>108</v>
      </c>
      <c r="B170" s="40" t="s">
        <v>53</v>
      </c>
      <c r="C170" s="41" t="s">
        <v>27</v>
      </c>
      <c r="D170" s="40"/>
      <c r="E170" s="24"/>
      <c r="F170" s="39"/>
      <c r="G170" s="24">
        <v>8160000</v>
      </c>
      <c r="H170" s="23">
        <v>5.0000000000000001E-3</v>
      </c>
      <c r="I170" s="39">
        <v>44362</v>
      </c>
      <c r="J170" s="39">
        <v>44377</v>
      </c>
      <c r="K170" s="24">
        <v>16</v>
      </c>
      <c r="L170" s="24">
        <v>1788</v>
      </c>
      <c r="M170" s="24"/>
    </row>
    <row r="171" spans="1:13" s="48" customFormat="1" outlineLevel="2">
      <c r="A171" s="39" t="s">
        <v>108</v>
      </c>
      <c r="B171" s="40" t="s">
        <v>54</v>
      </c>
      <c r="C171" s="41" t="s">
        <v>111</v>
      </c>
      <c r="D171" s="40" t="s">
        <v>112</v>
      </c>
      <c r="E171" s="24">
        <v>23630000</v>
      </c>
      <c r="F171" s="39">
        <v>43936</v>
      </c>
      <c r="G171" s="24">
        <v>23630000</v>
      </c>
      <c r="H171" s="23">
        <v>5.0000000000000001E-3</v>
      </c>
      <c r="I171" s="39">
        <v>44348</v>
      </c>
      <c r="J171" s="39">
        <v>44377</v>
      </c>
      <c r="K171" s="24">
        <v>30</v>
      </c>
      <c r="L171" s="24">
        <v>9711</v>
      </c>
      <c r="M171" s="24">
        <v>23630000</v>
      </c>
    </row>
    <row r="172" spans="1:13" s="48" customFormat="1" outlineLevel="2">
      <c r="A172" s="39" t="s">
        <v>108</v>
      </c>
      <c r="B172" s="40" t="s">
        <v>57</v>
      </c>
      <c r="C172" s="41" t="s">
        <v>27</v>
      </c>
      <c r="D172" s="40" t="s">
        <v>28</v>
      </c>
      <c r="E172" s="24">
        <v>10470000</v>
      </c>
      <c r="F172" s="39">
        <v>44181</v>
      </c>
      <c r="G172" s="24">
        <v>9551580</v>
      </c>
      <c r="H172" s="23">
        <v>5.0000000000000001E-3</v>
      </c>
      <c r="I172" s="39">
        <v>44348</v>
      </c>
      <c r="J172" s="39">
        <v>44361</v>
      </c>
      <c r="K172" s="24">
        <v>14</v>
      </c>
      <c r="L172" s="24">
        <v>1832</v>
      </c>
      <c r="M172" s="24">
        <v>9367896</v>
      </c>
    </row>
    <row r="173" spans="1:13" s="48" customFormat="1" outlineLevel="2">
      <c r="A173" s="39" t="s">
        <v>108</v>
      </c>
      <c r="B173" s="40" t="s">
        <v>57</v>
      </c>
      <c r="C173" s="41" t="s">
        <v>27</v>
      </c>
      <c r="D173" s="40"/>
      <c r="E173" s="24"/>
      <c r="F173" s="39"/>
      <c r="G173" s="24">
        <v>9367896</v>
      </c>
      <c r="H173" s="23">
        <v>5.0000000000000001E-3</v>
      </c>
      <c r="I173" s="39">
        <v>44362</v>
      </c>
      <c r="J173" s="39">
        <v>44377</v>
      </c>
      <c r="K173" s="24">
        <v>16</v>
      </c>
      <c r="L173" s="24">
        <v>2053</v>
      </c>
      <c r="M173" s="24"/>
    </row>
    <row r="174" spans="1:13" s="48" customFormat="1" outlineLevel="2">
      <c r="A174" s="39" t="s">
        <v>108</v>
      </c>
      <c r="B174" s="40" t="s">
        <v>58</v>
      </c>
      <c r="C174" s="41" t="s">
        <v>111</v>
      </c>
      <c r="D174" s="40" t="s">
        <v>112</v>
      </c>
      <c r="E174" s="24">
        <v>2950000</v>
      </c>
      <c r="F174" s="39">
        <v>44180</v>
      </c>
      <c r="G174" s="24">
        <v>2950000</v>
      </c>
      <c r="H174" s="23">
        <v>5.0000000000000001E-3</v>
      </c>
      <c r="I174" s="39">
        <v>44348</v>
      </c>
      <c r="J174" s="39">
        <v>44377</v>
      </c>
      <c r="K174" s="24">
        <v>30</v>
      </c>
      <c r="L174" s="24">
        <v>1212</v>
      </c>
      <c r="M174" s="24">
        <v>2950000</v>
      </c>
    </row>
    <row r="175" spans="1:13" s="48" customFormat="1" outlineLevel="2">
      <c r="A175" s="39" t="s">
        <v>108</v>
      </c>
      <c r="B175" s="40" t="s">
        <v>99</v>
      </c>
      <c r="C175" s="41" t="s">
        <v>115</v>
      </c>
      <c r="D175" s="40" t="s">
        <v>116</v>
      </c>
      <c r="E175" s="24">
        <v>24400000</v>
      </c>
      <c r="F175" s="39">
        <v>44193</v>
      </c>
      <c r="G175" s="24">
        <v>24400000</v>
      </c>
      <c r="H175" s="23">
        <v>5.0000000000000001E-3</v>
      </c>
      <c r="I175" s="39">
        <v>44348</v>
      </c>
      <c r="J175" s="39">
        <v>44377</v>
      </c>
      <c r="K175" s="24">
        <v>30</v>
      </c>
      <c r="L175" s="24">
        <v>10027</v>
      </c>
      <c r="M175" s="24">
        <v>24400000</v>
      </c>
    </row>
    <row r="176" spans="1:13" s="48" customFormat="1" outlineLevel="2">
      <c r="A176" s="39" t="s">
        <v>108</v>
      </c>
      <c r="B176" s="40" t="s">
        <v>100</v>
      </c>
      <c r="C176" s="41" t="s">
        <v>115</v>
      </c>
      <c r="D176" s="40" t="s">
        <v>116</v>
      </c>
      <c r="E176" s="24">
        <v>5500000</v>
      </c>
      <c r="F176" s="39">
        <v>44193</v>
      </c>
      <c r="G176" s="24">
        <v>5500000</v>
      </c>
      <c r="H176" s="23">
        <v>5.0000000000000001E-3</v>
      </c>
      <c r="I176" s="39">
        <v>44348</v>
      </c>
      <c r="J176" s="39">
        <v>44377</v>
      </c>
      <c r="K176" s="24">
        <v>30</v>
      </c>
      <c r="L176" s="24">
        <v>2260</v>
      </c>
      <c r="M176" s="24">
        <v>5500000</v>
      </c>
    </row>
    <row r="177" spans="1:13" s="48" customFormat="1" outlineLevel="2">
      <c r="A177" s="39" t="s">
        <v>108</v>
      </c>
      <c r="B177" s="40" t="s">
        <v>101</v>
      </c>
      <c r="C177" s="41" t="s">
        <v>115</v>
      </c>
      <c r="D177" s="40" t="s">
        <v>116</v>
      </c>
      <c r="E177" s="24">
        <v>28050000</v>
      </c>
      <c r="F177" s="39">
        <v>44193</v>
      </c>
      <c r="G177" s="24">
        <v>28050000</v>
      </c>
      <c r="H177" s="23">
        <v>5.0000000000000001E-3</v>
      </c>
      <c r="I177" s="39">
        <v>44348</v>
      </c>
      <c r="J177" s="39">
        <v>44377</v>
      </c>
      <c r="K177" s="24">
        <v>30</v>
      </c>
      <c r="L177" s="24">
        <v>11527</v>
      </c>
      <c r="M177" s="24">
        <v>28050000</v>
      </c>
    </row>
    <row r="178" spans="1:13" s="48" customFormat="1" outlineLevel="2">
      <c r="A178" s="39" t="s">
        <v>108</v>
      </c>
      <c r="B178" s="40" t="s">
        <v>102</v>
      </c>
      <c r="C178" s="41" t="s">
        <v>115</v>
      </c>
      <c r="D178" s="40" t="s">
        <v>116</v>
      </c>
      <c r="E178" s="24">
        <v>5000000</v>
      </c>
      <c r="F178" s="39">
        <v>44193</v>
      </c>
      <c r="G178" s="24">
        <v>5000000</v>
      </c>
      <c r="H178" s="23">
        <v>5.0000000000000001E-3</v>
      </c>
      <c r="I178" s="39">
        <v>44348</v>
      </c>
      <c r="J178" s="39">
        <v>44377</v>
      </c>
      <c r="K178" s="24">
        <v>30</v>
      </c>
      <c r="L178" s="24">
        <v>2055</v>
      </c>
      <c r="M178" s="24">
        <v>5000000</v>
      </c>
    </row>
    <row r="179" spans="1:13" s="48" customFormat="1" outlineLevel="2">
      <c r="A179" s="39" t="s">
        <v>108</v>
      </c>
      <c r="B179" s="40" t="s">
        <v>103</v>
      </c>
      <c r="C179" s="41" t="s">
        <v>111</v>
      </c>
      <c r="D179" s="40" t="s">
        <v>112</v>
      </c>
      <c r="E179" s="24">
        <v>4920000</v>
      </c>
      <c r="F179" s="39">
        <v>44211</v>
      </c>
      <c r="G179" s="24">
        <v>4920000</v>
      </c>
      <c r="H179" s="23">
        <v>5.0000000000000001E-3</v>
      </c>
      <c r="I179" s="39">
        <v>44348</v>
      </c>
      <c r="J179" s="39">
        <v>44377</v>
      </c>
      <c r="K179" s="24">
        <v>30</v>
      </c>
      <c r="L179" s="24">
        <v>2022</v>
      </c>
      <c r="M179" s="24">
        <v>4920000</v>
      </c>
    </row>
    <row r="180" spans="1:13" s="48" customFormat="1" outlineLevel="2">
      <c r="A180" s="39" t="s">
        <v>108</v>
      </c>
      <c r="B180" s="40" t="s">
        <v>104</v>
      </c>
      <c r="C180" s="41" t="s">
        <v>115</v>
      </c>
      <c r="D180" s="40" t="s">
        <v>116</v>
      </c>
      <c r="E180" s="24">
        <v>7300000</v>
      </c>
      <c r="F180" s="39">
        <v>44224</v>
      </c>
      <c r="G180" s="24">
        <v>7300000</v>
      </c>
      <c r="H180" s="23">
        <v>5.0000000000000001E-3</v>
      </c>
      <c r="I180" s="39">
        <v>44348</v>
      </c>
      <c r="J180" s="39">
        <v>44377</v>
      </c>
      <c r="K180" s="24">
        <v>30</v>
      </c>
      <c r="L180" s="24">
        <v>3000</v>
      </c>
      <c r="M180" s="24">
        <v>7300000</v>
      </c>
    </row>
    <row r="181" spans="1:13" s="48" customFormat="1" outlineLevel="2">
      <c r="A181" s="39" t="s">
        <v>108</v>
      </c>
      <c r="B181" s="40" t="s">
        <v>105</v>
      </c>
      <c r="C181" s="41" t="s">
        <v>115</v>
      </c>
      <c r="D181" s="40" t="s">
        <v>116</v>
      </c>
      <c r="E181" s="24">
        <v>15000000</v>
      </c>
      <c r="F181" s="39">
        <v>44224</v>
      </c>
      <c r="G181" s="24">
        <v>15000000</v>
      </c>
      <c r="H181" s="23">
        <v>5.0000000000000001E-3</v>
      </c>
      <c r="I181" s="39">
        <v>44348</v>
      </c>
      <c r="J181" s="39">
        <v>44377</v>
      </c>
      <c r="K181" s="24">
        <v>30</v>
      </c>
      <c r="L181" s="24">
        <v>6164</v>
      </c>
      <c r="M181" s="24">
        <v>15000000</v>
      </c>
    </row>
    <row r="182" spans="1:13" s="48" customFormat="1" outlineLevel="2">
      <c r="A182" s="39" t="s">
        <v>108</v>
      </c>
      <c r="B182" s="40" t="s">
        <v>106</v>
      </c>
      <c r="C182" s="41" t="s">
        <v>113</v>
      </c>
      <c r="D182" s="40" t="s">
        <v>114</v>
      </c>
      <c r="E182" s="24">
        <v>23200000</v>
      </c>
      <c r="F182" s="39">
        <v>44229</v>
      </c>
      <c r="G182" s="24">
        <v>22378764</v>
      </c>
      <c r="H182" s="23">
        <v>5.0000000000000001E-3</v>
      </c>
      <c r="I182" s="39">
        <v>44348</v>
      </c>
      <c r="J182" s="39">
        <v>44361</v>
      </c>
      <c r="K182" s="24">
        <v>14</v>
      </c>
      <c r="L182" s="24">
        <v>4292</v>
      </c>
      <c r="M182" s="24">
        <v>22173455</v>
      </c>
    </row>
    <row r="183" spans="1:13" s="48" customFormat="1" outlineLevel="2">
      <c r="A183" s="39" t="s">
        <v>108</v>
      </c>
      <c r="B183" s="40" t="s">
        <v>106</v>
      </c>
      <c r="C183" s="41" t="s">
        <v>113</v>
      </c>
      <c r="D183" s="40"/>
      <c r="E183" s="24"/>
      <c r="F183" s="39"/>
      <c r="G183" s="24">
        <v>22173455</v>
      </c>
      <c r="H183" s="23">
        <v>5.0000000000000001E-3</v>
      </c>
      <c r="I183" s="39">
        <v>44362</v>
      </c>
      <c r="J183" s="39">
        <v>44377</v>
      </c>
      <c r="K183" s="24">
        <v>16</v>
      </c>
      <c r="L183" s="24">
        <v>4860</v>
      </c>
      <c r="M183" s="24"/>
    </row>
    <row r="184" spans="1:13" s="48" customFormat="1" outlineLevel="2">
      <c r="A184" s="39" t="s">
        <v>108</v>
      </c>
      <c r="B184" s="40" t="s">
        <v>59</v>
      </c>
      <c r="C184" s="41" t="s">
        <v>117</v>
      </c>
      <c r="D184" s="40" t="s">
        <v>118</v>
      </c>
      <c r="E184" s="24">
        <v>24000000</v>
      </c>
      <c r="F184" s="39">
        <v>43937</v>
      </c>
      <c r="G184" s="24">
        <v>21400000</v>
      </c>
      <c r="H184" s="23">
        <v>5.0000000000000001E-3</v>
      </c>
      <c r="I184" s="39">
        <v>44348</v>
      </c>
      <c r="J184" s="39">
        <v>44361</v>
      </c>
      <c r="K184" s="24">
        <v>14</v>
      </c>
      <c r="L184" s="24">
        <v>4104</v>
      </c>
      <c r="M184" s="24">
        <v>21200000</v>
      </c>
    </row>
    <row r="185" spans="1:13" s="48" customFormat="1" outlineLevel="2">
      <c r="A185" s="39" t="s">
        <v>108</v>
      </c>
      <c r="B185" s="40" t="s">
        <v>59</v>
      </c>
      <c r="C185" s="41" t="s">
        <v>117</v>
      </c>
      <c r="D185" s="40"/>
      <c r="E185" s="24"/>
      <c r="F185" s="39"/>
      <c r="G185" s="24">
        <v>21200000</v>
      </c>
      <c r="H185" s="23">
        <v>5.0000000000000001E-3</v>
      </c>
      <c r="I185" s="39">
        <v>44362</v>
      </c>
      <c r="J185" s="39">
        <v>44377</v>
      </c>
      <c r="K185" s="24">
        <v>16</v>
      </c>
      <c r="L185" s="24">
        <v>4647</v>
      </c>
      <c r="M185" s="24"/>
    </row>
    <row r="186" spans="1:13" s="48" customFormat="1" outlineLevel="2">
      <c r="A186" s="39" t="s">
        <v>108</v>
      </c>
      <c r="B186" s="40" t="s">
        <v>136</v>
      </c>
      <c r="C186" s="41" t="s">
        <v>111</v>
      </c>
      <c r="D186" s="40" t="s">
        <v>112</v>
      </c>
      <c r="E186" s="24">
        <v>3410000</v>
      </c>
      <c r="F186" s="39">
        <v>44270</v>
      </c>
      <c r="G186" s="24">
        <v>3410000</v>
      </c>
      <c r="H186" s="23">
        <v>5.0000000000000001E-3</v>
      </c>
      <c r="I186" s="39">
        <v>44348</v>
      </c>
      <c r="J186" s="39">
        <v>44377</v>
      </c>
      <c r="K186" s="24">
        <v>30</v>
      </c>
      <c r="L186" s="24">
        <v>1401</v>
      </c>
      <c r="M186" s="24">
        <v>3410000</v>
      </c>
    </row>
    <row r="187" spans="1:13" s="48" customFormat="1" outlineLevel="2">
      <c r="A187" s="39" t="s">
        <v>108</v>
      </c>
      <c r="B187" s="40" t="s">
        <v>137</v>
      </c>
      <c r="C187" s="41" t="s">
        <v>117</v>
      </c>
      <c r="D187" s="40" t="s">
        <v>118</v>
      </c>
      <c r="E187" s="24">
        <v>10000000</v>
      </c>
      <c r="F187" s="39">
        <v>44277</v>
      </c>
      <c r="G187" s="24">
        <v>9816514</v>
      </c>
      <c r="H187" s="23">
        <v>5.0000000000000001E-3</v>
      </c>
      <c r="I187" s="39">
        <v>44348</v>
      </c>
      <c r="J187" s="39">
        <v>44361</v>
      </c>
      <c r="K187" s="24">
        <v>14</v>
      </c>
      <c r="L187" s="24">
        <v>1883</v>
      </c>
      <c r="M187" s="24">
        <v>9724771</v>
      </c>
    </row>
    <row r="188" spans="1:13" s="48" customFormat="1" outlineLevel="2">
      <c r="A188" s="39" t="s">
        <v>108</v>
      </c>
      <c r="B188" s="40" t="s">
        <v>137</v>
      </c>
      <c r="C188" s="41" t="s">
        <v>117</v>
      </c>
      <c r="D188" s="40"/>
      <c r="E188" s="24"/>
      <c r="F188" s="39"/>
      <c r="G188" s="24">
        <v>9724771</v>
      </c>
      <c r="H188" s="23">
        <v>5.0000000000000001E-3</v>
      </c>
      <c r="I188" s="39">
        <v>44362</v>
      </c>
      <c r="J188" s="39">
        <v>44377</v>
      </c>
      <c r="K188" s="24">
        <v>16</v>
      </c>
      <c r="L188" s="24">
        <v>2131</v>
      </c>
      <c r="M188" s="24"/>
    </row>
    <row r="189" spans="1:13" s="48" customFormat="1" outlineLevel="2">
      <c r="A189" s="39" t="s">
        <v>108</v>
      </c>
      <c r="B189" s="40" t="s">
        <v>138</v>
      </c>
      <c r="C189" s="41" t="s">
        <v>123</v>
      </c>
      <c r="D189" s="40" t="s">
        <v>124</v>
      </c>
      <c r="E189" s="24">
        <v>51000000</v>
      </c>
      <c r="F189" s="39">
        <v>44294</v>
      </c>
      <c r="G189" s="24">
        <v>51000000</v>
      </c>
      <c r="H189" s="23">
        <v>5.0000000000000001E-3</v>
      </c>
      <c r="I189" s="39">
        <v>44348</v>
      </c>
      <c r="J189" s="39">
        <v>44377</v>
      </c>
      <c r="K189" s="24">
        <v>30</v>
      </c>
      <c r="L189" s="24">
        <v>20959</v>
      </c>
      <c r="M189" s="24">
        <v>51000000</v>
      </c>
    </row>
    <row r="190" spans="1:13" s="48" customFormat="1" outlineLevel="2">
      <c r="A190" s="39" t="s">
        <v>108</v>
      </c>
      <c r="B190" s="40" t="s">
        <v>139</v>
      </c>
      <c r="C190" s="41" t="s">
        <v>115</v>
      </c>
      <c r="D190" s="40" t="s">
        <v>116</v>
      </c>
      <c r="E190" s="24">
        <v>12000000</v>
      </c>
      <c r="F190" s="39">
        <v>44321</v>
      </c>
      <c r="G190" s="24">
        <v>12000000</v>
      </c>
      <c r="H190" s="23">
        <v>5.0000000000000001E-3</v>
      </c>
      <c r="I190" s="39">
        <v>44348</v>
      </c>
      <c r="J190" s="39">
        <v>44377</v>
      </c>
      <c r="K190" s="24">
        <v>30</v>
      </c>
      <c r="L190" s="24">
        <v>4932</v>
      </c>
      <c r="M190" s="24">
        <v>12000000</v>
      </c>
    </row>
    <row r="191" spans="1:13" s="48" customFormat="1" outlineLevel="2">
      <c r="A191" s="39" t="s">
        <v>108</v>
      </c>
      <c r="B191" s="40" t="s">
        <v>140</v>
      </c>
      <c r="C191" s="41" t="s">
        <v>115</v>
      </c>
      <c r="D191" s="40" t="s">
        <v>116</v>
      </c>
      <c r="E191" s="24">
        <v>21000000</v>
      </c>
      <c r="F191" s="39">
        <v>44330</v>
      </c>
      <c r="G191" s="24">
        <v>21000000</v>
      </c>
      <c r="H191" s="23">
        <v>5.0000000000000001E-3</v>
      </c>
      <c r="I191" s="39">
        <v>44348</v>
      </c>
      <c r="J191" s="39">
        <v>44377</v>
      </c>
      <c r="K191" s="24">
        <v>30</v>
      </c>
      <c r="L191" s="24">
        <v>8630</v>
      </c>
      <c r="M191" s="24">
        <v>21000000</v>
      </c>
    </row>
    <row r="192" spans="1:13" s="48" customFormat="1" outlineLevel="2">
      <c r="A192" s="39" t="s">
        <v>108</v>
      </c>
      <c r="B192" s="40" t="s">
        <v>169</v>
      </c>
      <c r="C192" s="41" t="s">
        <v>79</v>
      </c>
      <c r="D192" s="40" t="s">
        <v>80</v>
      </c>
      <c r="E192" s="24">
        <v>39150000</v>
      </c>
      <c r="F192" s="39">
        <v>44336</v>
      </c>
      <c r="G192" s="24">
        <v>39150000</v>
      </c>
      <c r="H192" s="23">
        <v>5.0000000000000001E-3</v>
      </c>
      <c r="I192" s="39">
        <v>44348</v>
      </c>
      <c r="J192" s="39">
        <v>44377</v>
      </c>
      <c r="K192" s="24">
        <v>30</v>
      </c>
      <c r="L192" s="24">
        <v>16089</v>
      </c>
      <c r="M192" s="24">
        <v>39150000</v>
      </c>
    </row>
    <row r="193" spans="1:13" s="48" customFormat="1" outlineLevel="2">
      <c r="A193" s="39" t="s">
        <v>108</v>
      </c>
      <c r="B193" s="40" t="s">
        <v>170</v>
      </c>
      <c r="C193" s="41" t="s">
        <v>123</v>
      </c>
      <c r="D193" s="40" t="s">
        <v>124</v>
      </c>
      <c r="E193" s="24">
        <v>92500000</v>
      </c>
      <c r="F193" s="39">
        <v>44341</v>
      </c>
      <c r="G193" s="24">
        <v>92500000</v>
      </c>
      <c r="H193" s="23">
        <v>5.0000000000000001E-3</v>
      </c>
      <c r="I193" s="39">
        <v>44348</v>
      </c>
      <c r="J193" s="39">
        <v>44377</v>
      </c>
      <c r="K193" s="24">
        <v>30</v>
      </c>
      <c r="L193" s="24">
        <v>38014</v>
      </c>
      <c r="M193" s="24">
        <v>92500000</v>
      </c>
    </row>
    <row r="194" spans="1:13" s="48" customFormat="1" outlineLevel="2">
      <c r="A194" s="39" t="s">
        <v>108</v>
      </c>
      <c r="B194" s="40" t="s">
        <v>171</v>
      </c>
      <c r="C194" s="41" t="s">
        <v>123</v>
      </c>
      <c r="D194" s="40" t="s">
        <v>124</v>
      </c>
      <c r="E194" s="24">
        <v>33500000</v>
      </c>
      <c r="F194" s="39">
        <v>44354</v>
      </c>
      <c r="G194" s="24">
        <v>33500000</v>
      </c>
      <c r="H194" s="23">
        <v>5.0000000000000001E-3</v>
      </c>
      <c r="I194" s="39">
        <v>44354</v>
      </c>
      <c r="J194" s="39">
        <v>44377</v>
      </c>
      <c r="K194" s="24">
        <v>24</v>
      </c>
      <c r="L194" s="24">
        <v>11014</v>
      </c>
      <c r="M194" s="24">
        <v>33500000</v>
      </c>
    </row>
    <row r="195" spans="1:13" s="48" customFormat="1" outlineLevel="2">
      <c r="A195" s="39" t="s">
        <v>108</v>
      </c>
      <c r="B195" s="40" t="s">
        <v>172</v>
      </c>
      <c r="C195" s="41" t="s">
        <v>111</v>
      </c>
      <c r="D195" s="40" t="s">
        <v>112</v>
      </c>
      <c r="E195" s="24">
        <v>810000</v>
      </c>
      <c r="F195" s="39">
        <v>44362</v>
      </c>
      <c r="G195" s="24">
        <v>810000</v>
      </c>
      <c r="H195" s="23">
        <v>5.0000000000000001E-3</v>
      </c>
      <c r="I195" s="39">
        <v>44362</v>
      </c>
      <c r="J195" s="39">
        <v>44377</v>
      </c>
      <c r="K195" s="24">
        <v>16</v>
      </c>
      <c r="L195" s="24">
        <v>178</v>
      </c>
      <c r="M195" s="24">
        <v>810000</v>
      </c>
    </row>
    <row r="196" spans="1:13" s="48" customFormat="1" outlineLevel="2">
      <c r="A196" s="39" t="s">
        <v>108</v>
      </c>
      <c r="B196" s="40" t="s">
        <v>173</v>
      </c>
      <c r="C196" s="41" t="s">
        <v>111</v>
      </c>
      <c r="D196" s="40" t="s">
        <v>112</v>
      </c>
      <c r="E196" s="24">
        <v>3800000</v>
      </c>
      <c r="F196" s="39">
        <v>44362</v>
      </c>
      <c r="G196" s="24">
        <v>3800000</v>
      </c>
      <c r="H196" s="23">
        <v>5.0000000000000001E-3</v>
      </c>
      <c r="I196" s="39">
        <v>44362</v>
      </c>
      <c r="J196" s="39">
        <v>44377</v>
      </c>
      <c r="K196" s="24">
        <v>16</v>
      </c>
      <c r="L196" s="24">
        <v>833</v>
      </c>
      <c r="M196" s="24">
        <v>3800000</v>
      </c>
    </row>
    <row r="197" spans="1:13" s="48" customFormat="1" outlineLevel="2">
      <c r="A197" s="39" t="s">
        <v>108</v>
      </c>
      <c r="B197" s="40" t="s">
        <v>62</v>
      </c>
      <c r="C197" s="41" t="s">
        <v>113</v>
      </c>
      <c r="D197" s="40" t="s">
        <v>114</v>
      </c>
      <c r="E197" s="24">
        <v>28240000</v>
      </c>
      <c r="F197" s="39">
        <v>43951</v>
      </c>
      <c r="G197" s="24">
        <v>23869530</v>
      </c>
      <c r="H197" s="23">
        <v>5.0000000000000001E-3</v>
      </c>
      <c r="I197" s="39">
        <v>44348</v>
      </c>
      <c r="J197" s="39">
        <v>44361</v>
      </c>
      <c r="K197" s="24">
        <v>14</v>
      </c>
      <c r="L197" s="24">
        <v>4578</v>
      </c>
      <c r="M197" s="24">
        <v>23533340</v>
      </c>
    </row>
    <row r="198" spans="1:13" s="48" customFormat="1" outlineLevel="2">
      <c r="A198" s="39" t="s">
        <v>108</v>
      </c>
      <c r="B198" s="40" t="s">
        <v>62</v>
      </c>
      <c r="C198" s="41" t="s">
        <v>113</v>
      </c>
      <c r="D198" s="40"/>
      <c r="E198" s="24"/>
      <c r="F198" s="39"/>
      <c r="G198" s="24">
        <v>23533340</v>
      </c>
      <c r="H198" s="23">
        <v>5.0000000000000001E-3</v>
      </c>
      <c r="I198" s="39">
        <v>44362</v>
      </c>
      <c r="J198" s="39">
        <v>44377</v>
      </c>
      <c r="K198" s="24">
        <v>16</v>
      </c>
      <c r="L198" s="24">
        <v>5158</v>
      </c>
      <c r="M198" s="24"/>
    </row>
    <row r="199" spans="1:13" s="48" customFormat="1" outlineLevel="2">
      <c r="A199" s="39" t="s">
        <v>108</v>
      </c>
      <c r="B199" s="40" t="s">
        <v>174</v>
      </c>
      <c r="C199" s="41" t="s">
        <v>117</v>
      </c>
      <c r="D199" s="40" t="s">
        <v>118</v>
      </c>
      <c r="E199" s="24">
        <v>10000000</v>
      </c>
      <c r="F199" s="39">
        <v>44372</v>
      </c>
      <c r="G199" s="24">
        <v>10000000</v>
      </c>
      <c r="H199" s="23">
        <v>5.0000000000000001E-3</v>
      </c>
      <c r="I199" s="39">
        <v>44372</v>
      </c>
      <c r="J199" s="39">
        <v>44377</v>
      </c>
      <c r="K199" s="24">
        <v>6</v>
      </c>
      <c r="L199" s="24">
        <v>822</v>
      </c>
      <c r="M199" s="24">
        <v>10000000</v>
      </c>
    </row>
    <row r="200" spans="1:13" s="48" customFormat="1" outlineLevel="2">
      <c r="A200" s="39" t="s">
        <v>108</v>
      </c>
      <c r="B200" s="40" t="s">
        <v>63</v>
      </c>
      <c r="C200" s="41" t="s">
        <v>111</v>
      </c>
      <c r="D200" s="40" t="s">
        <v>112</v>
      </c>
      <c r="E200" s="24">
        <v>8000000</v>
      </c>
      <c r="F200" s="39">
        <v>43957</v>
      </c>
      <c r="G200" s="24">
        <v>6266671</v>
      </c>
      <c r="H200" s="23">
        <v>5.0000000000000001E-3</v>
      </c>
      <c r="I200" s="39">
        <v>44348</v>
      </c>
      <c r="J200" s="39">
        <v>44361</v>
      </c>
      <c r="K200" s="24">
        <v>14</v>
      </c>
      <c r="L200" s="24">
        <v>1202</v>
      </c>
      <c r="M200" s="24">
        <v>6133338</v>
      </c>
    </row>
    <row r="201" spans="1:13" s="48" customFormat="1" outlineLevel="2">
      <c r="A201" s="39" t="s">
        <v>108</v>
      </c>
      <c r="B201" s="40" t="s">
        <v>63</v>
      </c>
      <c r="C201" s="41" t="s">
        <v>111</v>
      </c>
      <c r="D201" s="40"/>
      <c r="E201" s="24"/>
      <c r="F201" s="39"/>
      <c r="G201" s="24">
        <v>6133338</v>
      </c>
      <c r="H201" s="23">
        <v>5.0000000000000001E-3</v>
      </c>
      <c r="I201" s="39">
        <v>44362</v>
      </c>
      <c r="J201" s="39">
        <v>44377</v>
      </c>
      <c r="K201" s="24">
        <v>16</v>
      </c>
      <c r="L201" s="24">
        <v>1344</v>
      </c>
      <c r="M201" s="24"/>
    </row>
    <row r="202" spans="1:13" s="48" customFormat="1" outlineLevel="2">
      <c r="A202" s="39" t="s">
        <v>108</v>
      </c>
      <c r="B202" s="40" t="s">
        <v>64</v>
      </c>
      <c r="C202" s="41" t="s">
        <v>111</v>
      </c>
      <c r="D202" s="40" t="s">
        <v>112</v>
      </c>
      <c r="E202" s="24">
        <v>5910000</v>
      </c>
      <c r="F202" s="39">
        <v>43966</v>
      </c>
      <c r="G202" s="24">
        <v>5910000</v>
      </c>
      <c r="H202" s="23">
        <v>5.0000000000000001E-3</v>
      </c>
      <c r="I202" s="39">
        <v>44348</v>
      </c>
      <c r="J202" s="39">
        <v>44377</v>
      </c>
      <c r="K202" s="24">
        <v>30</v>
      </c>
      <c r="L202" s="24">
        <v>2429</v>
      </c>
      <c r="M202" s="24">
        <v>5910000</v>
      </c>
    </row>
    <row r="203" spans="1:13" s="48" customFormat="1" outlineLevel="2">
      <c r="A203" s="39" t="s">
        <v>108</v>
      </c>
      <c r="B203" s="40" t="s">
        <v>65</v>
      </c>
      <c r="C203" s="41" t="s">
        <v>113</v>
      </c>
      <c r="D203" s="40" t="s">
        <v>114</v>
      </c>
      <c r="E203" s="24">
        <v>20510000</v>
      </c>
      <c r="F203" s="39">
        <v>43966</v>
      </c>
      <c r="G203" s="24">
        <v>17544704</v>
      </c>
      <c r="H203" s="23">
        <v>5.0000000000000001E-3</v>
      </c>
      <c r="I203" s="39">
        <v>44348</v>
      </c>
      <c r="J203" s="39">
        <v>44361</v>
      </c>
      <c r="K203" s="24">
        <v>14</v>
      </c>
      <c r="L203" s="24">
        <v>3365</v>
      </c>
      <c r="M203" s="24">
        <v>17297596</v>
      </c>
    </row>
    <row r="204" spans="1:13" s="48" customFormat="1" outlineLevel="2">
      <c r="A204" s="39" t="s">
        <v>108</v>
      </c>
      <c r="B204" s="40" t="s">
        <v>65</v>
      </c>
      <c r="C204" s="41" t="s">
        <v>113</v>
      </c>
      <c r="D204" s="40"/>
      <c r="E204" s="24"/>
      <c r="F204" s="39"/>
      <c r="G204" s="24">
        <v>17297596</v>
      </c>
      <c r="H204" s="23">
        <v>5.0000000000000001E-3</v>
      </c>
      <c r="I204" s="39">
        <v>44362</v>
      </c>
      <c r="J204" s="39">
        <v>44377</v>
      </c>
      <c r="K204" s="24">
        <v>16</v>
      </c>
      <c r="L204" s="24">
        <v>3791</v>
      </c>
      <c r="M204" s="24"/>
    </row>
    <row r="205" spans="1:13" s="48" customFormat="1" outlineLevel="2">
      <c r="A205" s="39" t="s">
        <v>108</v>
      </c>
      <c r="B205" s="40" t="s">
        <v>68</v>
      </c>
      <c r="C205" s="41" t="s">
        <v>109</v>
      </c>
      <c r="D205" s="40" t="s">
        <v>110</v>
      </c>
      <c r="E205" s="24">
        <v>33960000</v>
      </c>
      <c r="F205" s="39">
        <v>43978</v>
      </c>
      <c r="G205" s="24">
        <v>33960000</v>
      </c>
      <c r="H205" s="23">
        <v>5.0000000000000001E-3</v>
      </c>
      <c r="I205" s="39">
        <v>44348</v>
      </c>
      <c r="J205" s="39">
        <v>44377</v>
      </c>
      <c r="K205" s="24">
        <v>30</v>
      </c>
      <c r="L205" s="24">
        <v>13956</v>
      </c>
      <c r="M205" s="24">
        <v>33960000</v>
      </c>
    </row>
    <row r="206" spans="1:13" s="48" customFormat="1" outlineLevel="1">
      <c r="A206" s="42" t="s">
        <v>119</v>
      </c>
      <c r="B206" s="43"/>
      <c r="C206" s="44"/>
      <c r="D206" s="43"/>
      <c r="E206" s="45">
        <v>969525386</v>
      </c>
      <c r="F206" s="46"/>
      <c r="G206" s="45"/>
      <c r="H206" s="47"/>
      <c r="I206" s="46"/>
      <c r="J206" s="46"/>
      <c r="K206" s="45"/>
      <c r="L206" s="45">
        <v>375878</v>
      </c>
      <c r="M206" s="45">
        <v>929588479</v>
      </c>
    </row>
    <row r="207" spans="1:13" s="48" customFormat="1" outlineLevel="2">
      <c r="A207" s="39" t="s">
        <v>120</v>
      </c>
      <c r="B207" s="40" t="s">
        <v>16</v>
      </c>
      <c r="C207" s="41" t="s">
        <v>121</v>
      </c>
      <c r="D207" s="40" t="s">
        <v>122</v>
      </c>
      <c r="E207" s="24">
        <v>69000000</v>
      </c>
      <c r="F207" s="39">
        <v>43822</v>
      </c>
      <c r="G207" s="24">
        <v>69000000</v>
      </c>
      <c r="H207" s="23">
        <v>5.0000000000000001E-3</v>
      </c>
      <c r="I207" s="39">
        <v>44348</v>
      </c>
      <c r="J207" s="39">
        <v>44377</v>
      </c>
      <c r="K207" s="24">
        <v>30</v>
      </c>
      <c r="L207" s="24">
        <v>28356</v>
      </c>
      <c r="M207" s="24">
        <v>69000000</v>
      </c>
    </row>
    <row r="208" spans="1:13" s="48" customFormat="1" outlineLevel="2">
      <c r="A208" s="39" t="s">
        <v>120</v>
      </c>
      <c r="B208" s="40" t="s">
        <v>19</v>
      </c>
      <c r="C208" s="41" t="s">
        <v>37</v>
      </c>
      <c r="D208" s="40" t="s">
        <v>38</v>
      </c>
      <c r="E208" s="24">
        <v>247700000</v>
      </c>
      <c r="F208" s="39">
        <v>43985</v>
      </c>
      <c r="G208" s="24">
        <v>247700000</v>
      </c>
      <c r="H208" s="23">
        <v>5.0000000000000001E-3</v>
      </c>
      <c r="I208" s="39">
        <v>44348</v>
      </c>
      <c r="J208" s="39">
        <v>44377</v>
      </c>
      <c r="K208" s="24">
        <v>30</v>
      </c>
      <c r="L208" s="24">
        <v>101795</v>
      </c>
      <c r="M208" s="24">
        <v>247700000</v>
      </c>
    </row>
    <row r="209" spans="1:13" s="48" customFormat="1" outlineLevel="2">
      <c r="A209" s="39" t="s">
        <v>120</v>
      </c>
      <c r="B209" s="40" t="s">
        <v>22</v>
      </c>
      <c r="C209" s="41" t="s">
        <v>123</v>
      </c>
      <c r="D209" s="40" t="s">
        <v>124</v>
      </c>
      <c r="E209" s="24">
        <v>18612000</v>
      </c>
      <c r="F209" s="39">
        <v>43997</v>
      </c>
      <c r="G209" s="24">
        <v>3722400</v>
      </c>
      <c r="H209" s="23">
        <v>5.0000000000000001E-3</v>
      </c>
      <c r="I209" s="39">
        <v>44348</v>
      </c>
      <c r="J209" s="39">
        <v>44377</v>
      </c>
      <c r="K209" s="24">
        <v>30</v>
      </c>
      <c r="L209" s="24">
        <v>1530</v>
      </c>
      <c r="M209" s="24">
        <v>3722400</v>
      </c>
    </row>
    <row r="210" spans="1:13" s="48" customFormat="1" outlineLevel="2">
      <c r="A210" s="39" t="s">
        <v>120</v>
      </c>
      <c r="B210" s="40" t="s">
        <v>25</v>
      </c>
      <c r="C210" s="41" t="s">
        <v>20</v>
      </c>
      <c r="D210" s="40" t="s">
        <v>21</v>
      </c>
      <c r="E210" s="24">
        <v>624000000</v>
      </c>
      <c r="F210" s="39">
        <v>44014</v>
      </c>
      <c r="G210" s="24">
        <v>624000000</v>
      </c>
      <c r="H210" s="23">
        <v>5.0000000000000001E-3</v>
      </c>
      <c r="I210" s="39">
        <v>44348</v>
      </c>
      <c r="J210" s="39">
        <v>44377</v>
      </c>
      <c r="K210" s="24">
        <v>30</v>
      </c>
      <c r="L210" s="24">
        <v>256438</v>
      </c>
      <c r="M210" s="24">
        <v>624000000</v>
      </c>
    </row>
    <row r="211" spans="1:13" s="48" customFormat="1" outlineLevel="2">
      <c r="A211" s="39" t="s">
        <v>120</v>
      </c>
      <c r="B211" s="40" t="s">
        <v>26</v>
      </c>
      <c r="C211" s="41" t="s">
        <v>20</v>
      </c>
      <c r="D211" s="40" t="s">
        <v>21</v>
      </c>
      <c r="E211" s="24">
        <v>82000000</v>
      </c>
      <c r="F211" s="39">
        <v>44042</v>
      </c>
      <c r="G211" s="24">
        <v>82000000</v>
      </c>
      <c r="H211" s="23">
        <v>5.0000000000000001E-3</v>
      </c>
      <c r="I211" s="39">
        <v>44348</v>
      </c>
      <c r="J211" s="39">
        <v>44377</v>
      </c>
      <c r="K211" s="24">
        <v>30</v>
      </c>
      <c r="L211" s="24">
        <v>33699</v>
      </c>
      <c r="M211" s="24">
        <v>82000000</v>
      </c>
    </row>
    <row r="212" spans="1:13" s="48" customFormat="1" outlineLevel="2">
      <c r="A212" s="39" t="s">
        <v>120</v>
      </c>
      <c r="B212" s="40" t="s">
        <v>29</v>
      </c>
      <c r="C212" s="41" t="s">
        <v>20</v>
      </c>
      <c r="D212" s="40" t="s">
        <v>21</v>
      </c>
      <c r="E212" s="24">
        <v>406400000</v>
      </c>
      <c r="F212" s="39">
        <v>44042</v>
      </c>
      <c r="G212" s="24">
        <v>406400000</v>
      </c>
      <c r="H212" s="23">
        <v>3.0000000000000001E-3</v>
      </c>
      <c r="I212" s="39">
        <v>44348</v>
      </c>
      <c r="J212" s="39">
        <v>44377</v>
      </c>
      <c r="K212" s="24">
        <v>30</v>
      </c>
      <c r="L212" s="24">
        <v>100208</v>
      </c>
      <c r="M212" s="24">
        <v>406400000</v>
      </c>
    </row>
    <row r="213" spans="1:13" s="48" customFormat="1" outlineLevel="2">
      <c r="A213" s="39" t="s">
        <v>120</v>
      </c>
      <c r="B213" s="40" t="s">
        <v>32</v>
      </c>
      <c r="C213" s="41" t="s">
        <v>20</v>
      </c>
      <c r="D213" s="40" t="s">
        <v>21</v>
      </c>
      <c r="E213" s="24">
        <v>51600000</v>
      </c>
      <c r="F213" s="39">
        <v>44042</v>
      </c>
      <c r="G213" s="24">
        <v>51600000</v>
      </c>
      <c r="H213" s="23">
        <v>3.0000000000000001E-3</v>
      </c>
      <c r="I213" s="39">
        <v>44348</v>
      </c>
      <c r="J213" s="39">
        <v>44377</v>
      </c>
      <c r="K213" s="24">
        <v>30</v>
      </c>
      <c r="L213" s="24">
        <v>12723</v>
      </c>
      <c r="M213" s="24">
        <v>51600000</v>
      </c>
    </row>
    <row r="214" spans="1:13" s="48" customFormat="1" outlineLevel="2">
      <c r="A214" s="39" t="s">
        <v>120</v>
      </c>
      <c r="B214" s="40" t="s">
        <v>33</v>
      </c>
      <c r="C214" s="41" t="s">
        <v>125</v>
      </c>
      <c r="D214" s="40" t="s">
        <v>126</v>
      </c>
      <c r="E214" s="24">
        <v>1850000</v>
      </c>
      <c r="F214" s="39">
        <v>44018</v>
      </c>
      <c r="G214" s="24">
        <v>1850000</v>
      </c>
      <c r="H214" s="23">
        <v>5.0000000000000001E-3</v>
      </c>
      <c r="I214" s="39">
        <v>44348</v>
      </c>
      <c r="J214" s="39">
        <v>44377</v>
      </c>
      <c r="K214" s="24">
        <v>30</v>
      </c>
      <c r="L214" s="24">
        <v>760</v>
      </c>
      <c r="M214" s="24">
        <v>1850000</v>
      </c>
    </row>
    <row r="215" spans="1:13" s="48" customFormat="1" outlineLevel="2">
      <c r="A215" s="39" t="s">
        <v>120</v>
      </c>
      <c r="B215" s="40" t="s">
        <v>34</v>
      </c>
      <c r="C215" s="41" t="s">
        <v>125</v>
      </c>
      <c r="D215" s="40" t="s">
        <v>126</v>
      </c>
      <c r="E215" s="24">
        <v>5400000</v>
      </c>
      <c r="F215" s="39">
        <v>44019</v>
      </c>
      <c r="G215" s="24">
        <v>5400000</v>
      </c>
      <c r="H215" s="23">
        <v>5.0000000000000001E-3</v>
      </c>
      <c r="I215" s="39">
        <v>44348</v>
      </c>
      <c r="J215" s="39">
        <v>44377</v>
      </c>
      <c r="K215" s="24">
        <v>30</v>
      </c>
      <c r="L215" s="24">
        <v>2219</v>
      </c>
      <c r="M215" s="24">
        <v>5400000</v>
      </c>
    </row>
    <row r="216" spans="1:13" s="48" customFormat="1" outlineLevel="2">
      <c r="A216" s="39" t="s">
        <v>120</v>
      </c>
      <c r="B216" s="40" t="s">
        <v>35</v>
      </c>
      <c r="C216" s="41" t="s">
        <v>125</v>
      </c>
      <c r="D216" s="40" t="s">
        <v>126</v>
      </c>
      <c r="E216" s="24">
        <v>2300000</v>
      </c>
      <c r="F216" s="39">
        <v>44027</v>
      </c>
      <c r="G216" s="24">
        <v>2300000</v>
      </c>
      <c r="H216" s="23">
        <v>5.0000000000000001E-3</v>
      </c>
      <c r="I216" s="39">
        <v>44348</v>
      </c>
      <c r="J216" s="39">
        <v>44377</v>
      </c>
      <c r="K216" s="24">
        <v>30</v>
      </c>
      <c r="L216" s="24">
        <v>945</v>
      </c>
      <c r="M216" s="24">
        <v>2300000</v>
      </c>
    </row>
    <row r="217" spans="1:13" s="48" customFormat="1" outlineLevel="2">
      <c r="A217" s="39" t="s">
        <v>120</v>
      </c>
      <c r="B217" s="40" t="s">
        <v>36</v>
      </c>
      <c r="C217" s="41" t="s">
        <v>125</v>
      </c>
      <c r="D217" s="40" t="s">
        <v>126</v>
      </c>
      <c r="E217" s="24">
        <v>16280000</v>
      </c>
      <c r="F217" s="39">
        <v>44041</v>
      </c>
      <c r="G217" s="24">
        <v>16280000</v>
      </c>
      <c r="H217" s="23">
        <v>5.0000000000000001E-3</v>
      </c>
      <c r="I217" s="39">
        <v>44348</v>
      </c>
      <c r="J217" s="39">
        <v>44377</v>
      </c>
      <c r="K217" s="24">
        <v>30</v>
      </c>
      <c r="L217" s="24">
        <v>6690</v>
      </c>
      <c r="M217" s="24">
        <v>16280000</v>
      </c>
    </row>
    <row r="218" spans="1:13" s="48" customFormat="1" outlineLevel="2">
      <c r="A218" s="39" t="s">
        <v>120</v>
      </c>
      <c r="B218" s="40" t="s">
        <v>39</v>
      </c>
      <c r="C218" s="41" t="s">
        <v>127</v>
      </c>
      <c r="D218" s="40" t="s">
        <v>18</v>
      </c>
      <c r="E218" s="24">
        <v>162300000</v>
      </c>
      <c r="F218" s="39">
        <v>43829</v>
      </c>
      <c r="G218" s="24">
        <v>116315000</v>
      </c>
      <c r="H218" s="23">
        <v>5.0000000000000001E-3</v>
      </c>
      <c r="I218" s="39">
        <v>44348</v>
      </c>
      <c r="J218" s="39">
        <v>44361</v>
      </c>
      <c r="K218" s="24">
        <v>14</v>
      </c>
      <c r="L218" s="24">
        <v>22307</v>
      </c>
      <c r="M218" s="24">
        <v>113610000</v>
      </c>
    </row>
    <row r="219" spans="1:13" s="48" customFormat="1" outlineLevel="2">
      <c r="A219" s="39" t="s">
        <v>120</v>
      </c>
      <c r="B219" s="40" t="s">
        <v>39</v>
      </c>
      <c r="C219" s="41" t="s">
        <v>127</v>
      </c>
      <c r="D219" s="40"/>
      <c r="E219" s="24"/>
      <c r="F219" s="39"/>
      <c r="G219" s="24">
        <v>113610000</v>
      </c>
      <c r="H219" s="23">
        <v>5.0000000000000001E-3</v>
      </c>
      <c r="I219" s="39">
        <v>44362</v>
      </c>
      <c r="J219" s="39">
        <v>44377</v>
      </c>
      <c r="K219" s="24">
        <v>16</v>
      </c>
      <c r="L219" s="24">
        <v>24901</v>
      </c>
      <c r="M219" s="24"/>
    </row>
    <row r="220" spans="1:13" s="48" customFormat="1" outlineLevel="2">
      <c r="A220" s="39" t="s">
        <v>120</v>
      </c>
      <c r="B220" s="40" t="s">
        <v>40</v>
      </c>
      <c r="C220" s="41" t="s">
        <v>71</v>
      </c>
      <c r="D220" s="40" t="s">
        <v>72</v>
      </c>
      <c r="E220" s="24">
        <v>30000000</v>
      </c>
      <c r="F220" s="39">
        <v>44020</v>
      </c>
      <c r="G220" s="24">
        <v>30000000</v>
      </c>
      <c r="H220" s="23">
        <v>5.0000000000000001E-3</v>
      </c>
      <c r="I220" s="39">
        <v>44348</v>
      </c>
      <c r="J220" s="39">
        <v>44377</v>
      </c>
      <c r="K220" s="24">
        <v>30</v>
      </c>
      <c r="L220" s="24">
        <v>12329</v>
      </c>
      <c r="M220" s="24">
        <v>30000000</v>
      </c>
    </row>
    <row r="221" spans="1:13" s="48" customFormat="1" outlineLevel="2">
      <c r="A221" s="39" t="s">
        <v>120</v>
      </c>
      <c r="B221" s="40" t="s">
        <v>41</v>
      </c>
      <c r="C221" s="41" t="s">
        <v>27</v>
      </c>
      <c r="D221" s="40" t="s">
        <v>28</v>
      </c>
      <c r="E221" s="24">
        <v>35100000</v>
      </c>
      <c r="F221" s="39">
        <v>44013</v>
      </c>
      <c r="G221" s="24">
        <v>35100000</v>
      </c>
      <c r="H221" s="23">
        <v>5.0000000000000001E-3</v>
      </c>
      <c r="I221" s="39">
        <v>44348</v>
      </c>
      <c r="J221" s="39">
        <v>44377</v>
      </c>
      <c r="K221" s="24">
        <v>30</v>
      </c>
      <c r="L221" s="24">
        <v>14425</v>
      </c>
      <c r="M221" s="24">
        <v>35100000</v>
      </c>
    </row>
    <row r="222" spans="1:13" s="48" customFormat="1" outlineLevel="2">
      <c r="A222" s="39" t="s">
        <v>120</v>
      </c>
      <c r="B222" s="40" t="s">
        <v>42</v>
      </c>
      <c r="C222" s="41" t="s">
        <v>27</v>
      </c>
      <c r="D222" s="40" t="s">
        <v>28</v>
      </c>
      <c r="E222" s="24">
        <v>14900000</v>
      </c>
      <c r="F222" s="39">
        <v>44021</v>
      </c>
      <c r="G222" s="24">
        <v>14900000</v>
      </c>
      <c r="H222" s="23">
        <v>5.0000000000000001E-3</v>
      </c>
      <c r="I222" s="39">
        <v>44348</v>
      </c>
      <c r="J222" s="39">
        <v>44377</v>
      </c>
      <c r="K222" s="24">
        <v>30</v>
      </c>
      <c r="L222" s="24">
        <v>6123</v>
      </c>
      <c r="M222" s="24">
        <v>14900000</v>
      </c>
    </row>
    <row r="223" spans="1:13" s="48" customFormat="1" outlineLevel="2">
      <c r="A223" s="39" t="s">
        <v>120</v>
      </c>
      <c r="B223" s="40" t="s">
        <v>43</v>
      </c>
      <c r="C223" s="41" t="s">
        <v>71</v>
      </c>
      <c r="D223" s="40" t="s">
        <v>72</v>
      </c>
      <c r="E223" s="24">
        <v>30000000</v>
      </c>
      <c r="F223" s="39">
        <v>44050</v>
      </c>
      <c r="G223" s="24">
        <v>30000000</v>
      </c>
      <c r="H223" s="23">
        <v>5.0000000000000001E-3</v>
      </c>
      <c r="I223" s="39">
        <v>44348</v>
      </c>
      <c r="J223" s="39">
        <v>44377</v>
      </c>
      <c r="K223" s="24">
        <v>30</v>
      </c>
      <c r="L223" s="24">
        <v>12329</v>
      </c>
      <c r="M223" s="24">
        <v>30000000</v>
      </c>
    </row>
    <row r="224" spans="1:13" s="48" customFormat="1" outlineLevel="2">
      <c r="A224" s="39" t="s">
        <v>120</v>
      </c>
      <c r="B224" s="40" t="s">
        <v>44</v>
      </c>
      <c r="C224" s="41" t="s">
        <v>83</v>
      </c>
      <c r="D224" s="40" t="s">
        <v>84</v>
      </c>
      <c r="E224" s="24">
        <v>72450000</v>
      </c>
      <c r="F224" s="39">
        <v>44064</v>
      </c>
      <c r="G224" s="24">
        <v>72450000</v>
      </c>
      <c r="H224" s="23">
        <v>5.0000000000000001E-3</v>
      </c>
      <c r="I224" s="39">
        <v>44348</v>
      </c>
      <c r="J224" s="39">
        <v>44377</v>
      </c>
      <c r="K224" s="24">
        <v>30</v>
      </c>
      <c r="L224" s="24">
        <v>29774</v>
      </c>
      <c r="M224" s="24">
        <v>72450000</v>
      </c>
    </row>
    <row r="225" spans="1:13" s="48" customFormat="1" outlineLevel="2">
      <c r="A225" s="39" t="s">
        <v>120</v>
      </c>
      <c r="B225" s="40" t="s">
        <v>47</v>
      </c>
      <c r="C225" s="41" t="s">
        <v>97</v>
      </c>
      <c r="D225" s="40" t="s">
        <v>98</v>
      </c>
      <c r="E225" s="24">
        <v>77500000</v>
      </c>
      <c r="F225" s="39">
        <v>44060</v>
      </c>
      <c r="G225" s="24">
        <v>77500000</v>
      </c>
      <c r="H225" s="23">
        <v>5.0000000000000001E-3</v>
      </c>
      <c r="I225" s="39">
        <v>44348</v>
      </c>
      <c r="J225" s="39">
        <v>44377</v>
      </c>
      <c r="K225" s="24">
        <v>30</v>
      </c>
      <c r="L225" s="24">
        <v>31849</v>
      </c>
      <c r="M225" s="24">
        <v>77500000</v>
      </c>
    </row>
    <row r="226" spans="1:13" s="48" customFormat="1" outlineLevel="2">
      <c r="A226" s="39" t="s">
        <v>120</v>
      </c>
      <c r="B226" s="40" t="s">
        <v>50</v>
      </c>
      <c r="C226" s="41" t="s">
        <v>83</v>
      </c>
      <c r="D226" s="40" t="s">
        <v>84</v>
      </c>
      <c r="E226" s="24">
        <v>160000000</v>
      </c>
      <c r="F226" s="39">
        <v>44098</v>
      </c>
      <c r="G226" s="24">
        <v>160000000</v>
      </c>
      <c r="H226" s="23">
        <v>5.0000000000000001E-3</v>
      </c>
      <c r="I226" s="39">
        <v>44348</v>
      </c>
      <c r="J226" s="39">
        <v>44377</v>
      </c>
      <c r="K226" s="24">
        <v>30</v>
      </c>
      <c r="L226" s="24">
        <v>65753</v>
      </c>
      <c r="M226" s="24">
        <v>160000000</v>
      </c>
    </row>
    <row r="227" spans="1:13" s="48" customFormat="1" outlineLevel="2">
      <c r="A227" s="39" t="s">
        <v>120</v>
      </c>
      <c r="B227" s="40" t="s">
        <v>51</v>
      </c>
      <c r="C227" s="41" t="s">
        <v>128</v>
      </c>
      <c r="D227" s="40" t="s">
        <v>129</v>
      </c>
      <c r="E227" s="24">
        <v>73100000</v>
      </c>
      <c r="F227" s="39">
        <v>44095</v>
      </c>
      <c r="G227" s="24">
        <v>73100000</v>
      </c>
      <c r="H227" s="23">
        <v>5.0000000000000001E-3</v>
      </c>
      <c r="I227" s="39">
        <v>44348</v>
      </c>
      <c r="J227" s="39">
        <v>44377</v>
      </c>
      <c r="K227" s="24">
        <v>30</v>
      </c>
      <c r="L227" s="24">
        <v>30041</v>
      </c>
      <c r="M227" s="24">
        <v>73100000</v>
      </c>
    </row>
    <row r="228" spans="1:13" s="48" customFormat="1" outlineLevel="2">
      <c r="A228" s="39" t="s">
        <v>120</v>
      </c>
      <c r="B228" s="40" t="s">
        <v>52</v>
      </c>
      <c r="C228" s="41" t="s">
        <v>125</v>
      </c>
      <c r="D228" s="40" t="s">
        <v>126</v>
      </c>
      <c r="E228" s="24">
        <v>3000000</v>
      </c>
      <c r="F228" s="39">
        <v>44132</v>
      </c>
      <c r="G228" s="24">
        <v>3000000</v>
      </c>
      <c r="H228" s="23">
        <v>5.0000000000000001E-3</v>
      </c>
      <c r="I228" s="39">
        <v>44348</v>
      </c>
      <c r="J228" s="39">
        <v>44377</v>
      </c>
      <c r="K228" s="24">
        <v>30</v>
      </c>
      <c r="L228" s="24">
        <v>1233</v>
      </c>
      <c r="M228" s="24">
        <v>3000000</v>
      </c>
    </row>
    <row r="229" spans="1:13" s="48" customFormat="1" outlineLevel="2">
      <c r="A229" s="39" t="s">
        <v>120</v>
      </c>
      <c r="B229" s="40" t="s">
        <v>53</v>
      </c>
      <c r="C229" s="41" t="s">
        <v>97</v>
      </c>
      <c r="D229" s="40" t="s">
        <v>98</v>
      </c>
      <c r="E229" s="24">
        <v>141000000</v>
      </c>
      <c r="F229" s="39">
        <v>44119</v>
      </c>
      <c r="G229" s="24">
        <v>141000000</v>
      </c>
      <c r="H229" s="23">
        <v>5.0000000000000001E-3</v>
      </c>
      <c r="I229" s="39">
        <v>44348</v>
      </c>
      <c r="J229" s="39">
        <v>44377</v>
      </c>
      <c r="K229" s="24">
        <v>30</v>
      </c>
      <c r="L229" s="24">
        <v>57945</v>
      </c>
      <c r="M229" s="24">
        <v>141000000</v>
      </c>
    </row>
    <row r="230" spans="1:13" s="48" customFormat="1" outlineLevel="2">
      <c r="A230" s="39" t="s">
        <v>120</v>
      </c>
      <c r="B230" s="40" t="s">
        <v>54</v>
      </c>
      <c r="C230" s="41" t="s">
        <v>20</v>
      </c>
      <c r="D230" s="40" t="s">
        <v>21</v>
      </c>
      <c r="E230" s="24">
        <v>60000000</v>
      </c>
      <c r="F230" s="39">
        <v>43922</v>
      </c>
      <c r="G230" s="24">
        <v>60000000</v>
      </c>
      <c r="H230" s="23">
        <v>3.0000000000000001E-3</v>
      </c>
      <c r="I230" s="39">
        <v>44348</v>
      </c>
      <c r="J230" s="39">
        <v>44377</v>
      </c>
      <c r="K230" s="24">
        <v>30</v>
      </c>
      <c r="L230" s="24">
        <v>14795</v>
      </c>
      <c r="M230" s="24">
        <v>60000000</v>
      </c>
    </row>
    <row r="231" spans="1:13" s="48" customFormat="1" outlineLevel="2">
      <c r="A231" s="39" t="s">
        <v>120</v>
      </c>
      <c r="B231" s="40" t="s">
        <v>57</v>
      </c>
      <c r="C231" s="41" t="s">
        <v>125</v>
      </c>
      <c r="D231" s="40" t="s">
        <v>126</v>
      </c>
      <c r="E231" s="24">
        <v>2500000</v>
      </c>
      <c r="F231" s="39">
        <v>44146</v>
      </c>
      <c r="G231" s="24">
        <v>2500000</v>
      </c>
      <c r="H231" s="23">
        <v>5.0000000000000001E-3</v>
      </c>
      <c r="I231" s="39">
        <v>44348</v>
      </c>
      <c r="J231" s="39">
        <v>44377</v>
      </c>
      <c r="K231" s="24">
        <v>30</v>
      </c>
      <c r="L231" s="24">
        <v>1027</v>
      </c>
      <c r="M231" s="24">
        <v>2500000</v>
      </c>
    </row>
    <row r="232" spans="1:13" s="48" customFormat="1" outlineLevel="2">
      <c r="A232" s="39" t="s">
        <v>120</v>
      </c>
      <c r="B232" s="40" t="s">
        <v>58</v>
      </c>
      <c r="C232" s="41" t="s">
        <v>71</v>
      </c>
      <c r="D232" s="40" t="s">
        <v>72</v>
      </c>
      <c r="E232" s="24">
        <v>11610900</v>
      </c>
      <c r="F232" s="39">
        <v>44137</v>
      </c>
      <c r="G232" s="24">
        <v>11610900</v>
      </c>
      <c r="H232" s="23">
        <v>5.0000000000000001E-3</v>
      </c>
      <c r="I232" s="39">
        <v>44348</v>
      </c>
      <c r="J232" s="39">
        <v>44377</v>
      </c>
      <c r="K232" s="24">
        <v>30</v>
      </c>
      <c r="L232" s="24">
        <v>4772</v>
      </c>
      <c r="M232" s="24">
        <v>11610900</v>
      </c>
    </row>
    <row r="233" spans="1:13" s="48" customFormat="1" outlineLevel="2">
      <c r="A233" s="39" t="s">
        <v>120</v>
      </c>
      <c r="B233" s="40" t="s">
        <v>99</v>
      </c>
      <c r="C233" s="41" t="s">
        <v>130</v>
      </c>
      <c r="D233" s="40" t="s">
        <v>131</v>
      </c>
      <c r="E233" s="24">
        <v>12000000</v>
      </c>
      <c r="F233" s="39">
        <v>44145</v>
      </c>
      <c r="G233" s="24">
        <v>7000000</v>
      </c>
      <c r="H233" s="23">
        <v>5.0000000000000001E-3</v>
      </c>
      <c r="I233" s="39">
        <v>44348</v>
      </c>
      <c r="J233" s="39">
        <v>44377</v>
      </c>
      <c r="K233" s="24">
        <v>30</v>
      </c>
      <c r="L233" s="24">
        <v>2877</v>
      </c>
      <c r="M233" s="24">
        <v>7000000</v>
      </c>
    </row>
    <row r="234" spans="1:13" s="48" customFormat="1" outlineLevel="2">
      <c r="A234" s="39" t="s">
        <v>120</v>
      </c>
      <c r="B234" s="40" t="s">
        <v>100</v>
      </c>
      <c r="C234" s="41" t="s">
        <v>132</v>
      </c>
      <c r="D234" s="40" t="s">
        <v>133</v>
      </c>
      <c r="E234" s="24">
        <v>23000000</v>
      </c>
      <c r="F234" s="39">
        <v>44137</v>
      </c>
      <c r="G234" s="24">
        <v>20316669</v>
      </c>
      <c r="H234" s="23">
        <v>5.0000000000000001E-3</v>
      </c>
      <c r="I234" s="39">
        <v>44348</v>
      </c>
      <c r="J234" s="39">
        <v>44361</v>
      </c>
      <c r="K234" s="24">
        <v>14</v>
      </c>
      <c r="L234" s="24">
        <v>3896</v>
      </c>
      <c r="M234" s="24">
        <v>19933336</v>
      </c>
    </row>
    <row r="235" spans="1:13" s="48" customFormat="1" outlineLevel="2">
      <c r="A235" s="39" t="s">
        <v>120</v>
      </c>
      <c r="B235" s="40" t="s">
        <v>100</v>
      </c>
      <c r="C235" s="41" t="s">
        <v>132</v>
      </c>
      <c r="D235" s="40"/>
      <c r="E235" s="24"/>
      <c r="F235" s="39"/>
      <c r="G235" s="24">
        <v>19933336</v>
      </c>
      <c r="H235" s="23">
        <v>5.0000000000000001E-3</v>
      </c>
      <c r="I235" s="39">
        <v>44362</v>
      </c>
      <c r="J235" s="39">
        <v>44377</v>
      </c>
      <c r="K235" s="24">
        <v>16</v>
      </c>
      <c r="L235" s="24">
        <v>4369</v>
      </c>
      <c r="M235" s="24"/>
    </row>
    <row r="236" spans="1:13" s="48" customFormat="1" outlineLevel="2">
      <c r="A236" s="39" t="s">
        <v>120</v>
      </c>
      <c r="B236" s="40" t="s">
        <v>101</v>
      </c>
      <c r="C236" s="41" t="s">
        <v>132</v>
      </c>
      <c r="D236" s="40" t="s">
        <v>133</v>
      </c>
      <c r="E236" s="24">
        <v>17000000</v>
      </c>
      <c r="F236" s="39">
        <v>44145</v>
      </c>
      <c r="G236" s="24">
        <v>15016669</v>
      </c>
      <c r="H236" s="23">
        <v>5.0000000000000001E-3</v>
      </c>
      <c r="I236" s="39">
        <v>44348</v>
      </c>
      <c r="J236" s="39">
        <v>44361</v>
      </c>
      <c r="K236" s="24">
        <v>14</v>
      </c>
      <c r="L236" s="24">
        <v>2880</v>
      </c>
      <c r="M236" s="24">
        <v>14733336</v>
      </c>
    </row>
    <row r="237" spans="1:13" s="48" customFormat="1" outlineLevel="2">
      <c r="A237" s="39" t="s">
        <v>120</v>
      </c>
      <c r="B237" s="40" t="s">
        <v>101</v>
      </c>
      <c r="C237" s="41" t="s">
        <v>132</v>
      </c>
      <c r="D237" s="40"/>
      <c r="E237" s="24"/>
      <c r="F237" s="39"/>
      <c r="G237" s="24">
        <v>14733336</v>
      </c>
      <c r="H237" s="23">
        <v>5.0000000000000001E-3</v>
      </c>
      <c r="I237" s="39">
        <v>44362</v>
      </c>
      <c r="J237" s="39">
        <v>44377</v>
      </c>
      <c r="K237" s="24">
        <v>16</v>
      </c>
      <c r="L237" s="24">
        <v>3229</v>
      </c>
      <c r="M237" s="24"/>
    </row>
    <row r="238" spans="1:13" s="48" customFormat="1" outlineLevel="2">
      <c r="A238" s="39" t="s">
        <v>120</v>
      </c>
      <c r="B238" s="40" t="s">
        <v>102</v>
      </c>
      <c r="C238" s="41" t="s">
        <v>17</v>
      </c>
      <c r="D238" s="40" t="s">
        <v>18</v>
      </c>
      <c r="E238" s="24">
        <v>4591000</v>
      </c>
      <c r="F238" s="39">
        <v>44160</v>
      </c>
      <c r="G238" s="24">
        <v>4131898</v>
      </c>
      <c r="H238" s="23">
        <v>5.0000000000000001E-3</v>
      </c>
      <c r="I238" s="39">
        <v>44348</v>
      </c>
      <c r="J238" s="39">
        <v>44361</v>
      </c>
      <c r="K238" s="24">
        <v>14</v>
      </c>
      <c r="L238" s="24">
        <v>792</v>
      </c>
      <c r="M238" s="24">
        <v>4055381</v>
      </c>
    </row>
    <row r="239" spans="1:13" s="48" customFormat="1" outlineLevel="2">
      <c r="A239" s="39" t="s">
        <v>120</v>
      </c>
      <c r="B239" s="40" t="s">
        <v>102</v>
      </c>
      <c r="C239" s="41" t="s">
        <v>17</v>
      </c>
      <c r="D239" s="40"/>
      <c r="E239" s="24"/>
      <c r="F239" s="39"/>
      <c r="G239" s="24">
        <v>4055381</v>
      </c>
      <c r="H239" s="23">
        <v>5.0000000000000001E-3</v>
      </c>
      <c r="I239" s="39">
        <v>44362</v>
      </c>
      <c r="J239" s="39">
        <v>44377</v>
      </c>
      <c r="K239" s="24">
        <v>16</v>
      </c>
      <c r="L239" s="24">
        <v>889</v>
      </c>
      <c r="M239" s="24"/>
    </row>
    <row r="240" spans="1:13" s="48" customFormat="1" outlineLevel="2">
      <c r="A240" s="39" t="s">
        <v>120</v>
      </c>
      <c r="B240" s="40" t="s">
        <v>103</v>
      </c>
      <c r="C240" s="41" t="s">
        <v>83</v>
      </c>
      <c r="D240" s="40" t="s">
        <v>84</v>
      </c>
      <c r="E240" s="24">
        <v>238000000</v>
      </c>
      <c r="F240" s="39">
        <v>44189</v>
      </c>
      <c r="G240" s="24">
        <v>238000000</v>
      </c>
      <c r="H240" s="23">
        <v>5.0000000000000001E-3</v>
      </c>
      <c r="I240" s="39">
        <v>44348</v>
      </c>
      <c r="J240" s="39">
        <v>44377</v>
      </c>
      <c r="K240" s="24">
        <v>30</v>
      </c>
      <c r="L240" s="24">
        <v>97808</v>
      </c>
      <c r="M240" s="24">
        <v>238000000</v>
      </c>
    </row>
    <row r="241" spans="1:13" s="48" customFormat="1" outlineLevel="2">
      <c r="A241" s="39" t="s">
        <v>120</v>
      </c>
      <c r="B241" s="40" t="s">
        <v>104</v>
      </c>
      <c r="C241" s="41" t="s">
        <v>97</v>
      </c>
      <c r="D241" s="40" t="s">
        <v>98</v>
      </c>
      <c r="E241" s="24">
        <v>17000000</v>
      </c>
      <c r="F241" s="39">
        <v>44180</v>
      </c>
      <c r="G241" s="24">
        <v>17000000</v>
      </c>
      <c r="H241" s="23">
        <v>5.0000000000000001E-3</v>
      </c>
      <c r="I241" s="39">
        <v>44348</v>
      </c>
      <c r="J241" s="39">
        <v>44377</v>
      </c>
      <c r="K241" s="24">
        <v>30</v>
      </c>
      <c r="L241" s="24">
        <v>6986</v>
      </c>
      <c r="M241" s="24">
        <v>17000000</v>
      </c>
    </row>
    <row r="242" spans="1:13" s="48" customFormat="1" outlineLevel="2">
      <c r="A242" s="39" t="s">
        <v>120</v>
      </c>
      <c r="B242" s="40" t="s">
        <v>105</v>
      </c>
      <c r="C242" s="41" t="s">
        <v>134</v>
      </c>
      <c r="D242" s="40" t="s">
        <v>135</v>
      </c>
      <c r="E242" s="24">
        <v>8000000</v>
      </c>
      <c r="F242" s="39">
        <v>44169</v>
      </c>
      <c r="G242" s="24">
        <v>8000000</v>
      </c>
      <c r="H242" s="23">
        <v>5.0000000000000001E-3</v>
      </c>
      <c r="I242" s="39">
        <v>44348</v>
      </c>
      <c r="J242" s="39">
        <v>44377</v>
      </c>
      <c r="K242" s="24">
        <v>30</v>
      </c>
      <c r="L242" s="24">
        <v>3288</v>
      </c>
      <c r="M242" s="24">
        <v>8000000</v>
      </c>
    </row>
    <row r="243" spans="1:13" s="48" customFormat="1" outlineLevel="2">
      <c r="A243" s="39" t="s">
        <v>120</v>
      </c>
      <c r="B243" s="40" t="s">
        <v>106</v>
      </c>
      <c r="C243" s="41" t="s">
        <v>134</v>
      </c>
      <c r="D243" s="40" t="s">
        <v>135</v>
      </c>
      <c r="E243" s="24">
        <v>15000000</v>
      </c>
      <c r="F243" s="39">
        <v>44169</v>
      </c>
      <c r="G243" s="24">
        <v>15000000</v>
      </c>
      <c r="H243" s="23">
        <v>5.0000000000000001E-3</v>
      </c>
      <c r="I243" s="39">
        <v>44348</v>
      </c>
      <c r="J243" s="39">
        <v>44377</v>
      </c>
      <c r="K243" s="24">
        <v>30</v>
      </c>
      <c r="L243" s="24">
        <v>6164</v>
      </c>
      <c r="M243" s="24">
        <v>15000000</v>
      </c>
    </row>
    <row r="244" spans="1:13" s="48" customFormat="1" outlineLevel="2">
      <c r="A244" s="39" t="s">
        <v>120</v>
      </c>
      <c r="B244" s="40" t="s">
        <v>59</v>
      </c>
      <c r="C244" s="41" t="s">
        <v>20</v>
      </c>
      <c r="D244" s="40" t="s">
        <v>21</v>
      </c>
      <c r="E244" s="24">
        <v>144000000</v>
      </c>
      <c r="F244" s="39">
        <v>43922</v>
      </c>
      <c r="G244" s="24">
        <v>144000000</v>
      </c>
      <c r="H244" s="23">
        <v>5.0000000000000001E-3</v>
      </c>
      <c r="I244" s="39">
        <v>44348</v>
      </c>
      <c r="J244" s="39">
        <v>44377</v>
      </c>
      <c r="K244" s="24">
        <v>30</v>
      </c>
      <c r="L244" s="24">
        <v>59178</v>
      </c>
      <c r="M244" s="24">
        <v>144000000</v>
      </c>
    </row>
    <row r="245" spans="1:13" s="48" customFormat="1" outlineLevel="2">
      <c r="A245" s="39" t="s">
        <v>120</v>
      </c>
      <c r="B245" s="40" t="s">
        <v>136</v>
      </c>
      <c r="C245" s="41" t="s">
        <v>125</v>
      </c>
      <c r="D245" s="40" t="s">
        <v>126</v>
      </c>
      <c r="E245" s="24">
        <v>7000000</v>
      </c>
      <c r="F245" s="39">
        <v>44202</v>
      </c>
      <c r="G245" s="24">
        <v>7000000</v>
      </c>
      <c r="H245" s="23">
        <v>5.0000000000000001E-3</v>
      </c>
      <c r="I245" s="39">
        <v>44348</v>
      </c>
      <c r="J245" s="39">
        <v>44377</v>
      </c>
      <c r="K245" s="24">
        <v>30</v>
      </c>
      <c r="L245" s="24">
        <v>2877</v>
      </c>
      <c r="M245" s="24">
        <v>7000000</v>
      </c>
    </row>
    <row r="246" spans="1:13" s="48" customFormat="1" outlineLevel="2">
      <c r="A246" s="39" t="s">
        <v>120</v>
      </c>
      <c r="B246" s="40" t="s">
        <v>137</v>
      </c>
      <c r="C246" s="41" t="s">
        <v>125</v>
      </c>
      <c r="D246" s="40" t="s">
        <v>126</v>
      </c>
      <c r="E246" s="24">
        <v>26000000</v>
      </c>
      <c r="F246" s="39">
        <v>44218</v>
      </c>
      <c r="G246" s="24">
        <v>26000000</v>
      </c>
      <c r="H246" s="23">
        <v>5.0000000000000001E-3</v>
      </c>
      <c r="I246" s="39">
        <v>44348</v>
      </c>
      <c r="J246" s="39">
        <v>44377</v>
      </c>
      <c r="K246" s="24">
        <v>30</v>
      </c>
      <c r="L246" s="24">
        <v>10685</v>
      </c>
      <c r="M246" s="24">
        <v>26000000</v>
      </c>
    </row>
    <row r="247" spans="1:13" s="48" customFormat="1" outlineLevel="2">
      <c r="A247" s="39" t="s">
        <v>120</v>
      </c>
      <c r="B247" s="40" t="s">
        <v>138</v>
      </c>
      <c r="C247" s="41" t="s">
        <v>134</v>
      </c>
      <c r="D247" s="40" t="s">
        <v>135</v>
      </c>
      <c r="E247" s="24">
        <v>15000000</v>
      </c>
      <c r="F247" s="39">
        <v>44200</v>
      </c>
      <c r="G247" s="24">
        <v>15000000</v>
      </c>
      <c r="H247" s="23">
        <v>5.0000000000000001E-3</v>
      </c>
      <c r="I247" s="39">
        <v>44348</v>
      </c>
      <c r="J247" s="39">
        <v>44377</v>
      </c>
      <c r="K247" s="24">
        <v>30</v>
      </c>
      <c r="L247" s="24">
        <v>6164</v>
      </c>
      <c r="M247" s="24">
        <v>15000000</v>
      </c>
    </row>
    <row r="248" spans="1:13" s="48" customFormat="1" outlineLevel="2">
      <c r="A248" s="39" t="s">
        <v>120</v>
      </c>
      <c r="B248" s="40" t="s">
        <v>139</v>
      </c>
      <c r="C248" s="41" t="s">
        <v>134</v>
      </c>
      <c r="D248" s="40" t="s">
        <v>135</v>
      </c>
      <c r="E248" s="24">
        <v>6000000</v>
      </c>
      <c r="F248" s="39">
        <v>44203</v>
      </c>
      <c r="G248" s="24">
        <v>6000000</v>
      </c>
      <c r="H248" s="23">
        <v>5.0000000000000001E-3</v>
      </c>
      <c r="I248" s="39">
        <v>44348</v>
      </c>
      <c r="J248" s="39">
        <v>44377</v>
      </c>
      <c r="K248" s="24">
        <v>30</v>
      </c>
      <c r="L248" s="24">
        <v>2466</v>
      </c>
      <c r="M248" s="24">
        <v>6000000</v>
      </c>
    </row>
    <row r="249" spans="1:13" s="48" customFormat="1" outlineLevel="2">
      <c r="A249" s="39" t="s">
        <v>120</v>
      </c>
      <c r="B249" s="40" t="s">
        <v>140</v>
      </c>
      <c r="C249" s="41" t="s">
        <v>134</v>
      </c>
      <c r="D249" s="40" t="s">
        <v>135</v>
      </c>
      <c r="E249" s="24">
        <v>9000000</v>
      </c>
      <c r="F249" s="39">
        <v>44216</v>
      </c>
      <c r="G249" s="24">
        <v>9000000</v>
      </c>
      <c r="H249" s="23">
        <v>5.0000000000000001E-3</v>
      </c>
      <c r="I249" s="39">
        <v>44348</v>
      </c>
      <c r="J249" s="39">
        <v>44377</v>
      </c>
      <c r="K249" s="24">
        <v>30</v>
      </c>
      <c r="L249" s="24">
        <v>3699</v>
      </c>
      <c r="M249" s="24">
        <v>9000000</v>
      </c>
    </row>
    <row r="250" spans="1:13" s="48" customFormat="1" outlineLevel="2">
      <c r="A250" s="39" t="s">
        <v>120</v>
      </c>
      <c r="B250" s="40" t="s">
        <v>169</v>
      </c>
      <c r="C250" s="41" t="s">
        <v>20</v>
      </c>
      <c r="D250" s="40" t="s">
        <v>21</v>
      </c>
      <c r="E250" s="24">
        <v>150000000</v>
      </c>
      <c r="F250" s="39">
        <v>44231</v>
      </c>
      <c r="G250" s="24">
        <v>150000000</v>
      </c>
      <c r="H250" s="23">
        <v>3.0000000000000001E-3</v>
      </c>
      <c r="I250" s="39">
        <v>44348</v>
      </c>
      <c r="J250" s="39">
        <v>44377</v>
      </c>
      <c r="K250" s="24">
        <v>30</v>
      </c>
      <c r="L250" s="24">
        <v>36986</v>
      </c>
      <c r="M250" s="24">
        <v>150000000</v>
      </c>
    </row>
    <row r="251" spans="1:13" s="48" customFormat="1" outlineLevel="2">
      <c r="A251" s="39" t="s">
        <v>120</v>
      </c>
      <c r="B251" s="40" t="s">
        <v>170</v>
      </c>
      <c r="C251" s="41" t="s">
        <v>134</v>
      </c>
      <c r="D251" s="40" t="s">
        <v>135</v>
      </c>
      <c r="E251" s="24">
        <v>2000000</v>
      </c>
      <c r="F251" s="39">
        <v>44228</v>
      </c>
      <c r="G251" s="24">
        <v>2000000</v>
      </c>
      <c r="H251" s="23">
        <v>5.0000000000000001E-3</v>
      </c>
      <c r="I251" s="39">
        <v>44348</v>
      </c>
      <c r="J251" s="39">
        <v>44377</v>
      </c>
      <c r="K251" s="24">
        <v>30</v>
      </c>
      <c r="L251" s="24">
        <v>822</v>
      </c>
      <c r="M251" s="24">
        <v>2000000</v>
      </c>
    </row>
    <row r="252" spans="1:13" s="48" customFormat="1" outlineLevel="2">
      <c r="A252" s="39" t="s">
        <v>120</v>
      </c>
      <c r="B252" s="40" t="s">
        <v>171</v>
      </c>
      <c r="C252" s="41" t="s">
        <v>134</v>
      </c>
      <c r="D252" s="40" t="s">
        <v>135</v>
      </c>
      <c r="E252" s="24">
        <v>13000000</v>
      </c>
      <c r="F252" s="39">
        <v>44231</v>
      </c>
      <c r="G252" s="24">
        <v>13000000</v>
      </c>
      <c r="H252" s="23">
        <v>5.0000000000000001E-3</v>
      </c>
      <c r="I252" s="39">
        <v>44348</v>
      </c>
      <c r="J252" s="39">
        <v>44377</v>
      </c>
      <c r="K252" s="24">
        <v>30</v>
      </c>
      <c r="L252" s="24">
        <v>5342</v>
      </c>
      <c r="M252" s="24">
        <v>13000000</v>
      </c>
    </row>
    <row r="253" spans="1:13" s="48" customFormat="1" outlineLevel="2">
      <c r="A253" s="39" t="s">
        <v>120</v>
      </c>
      <c r="B253" s="40" t="s">
        <v>172</v>
      </c>
      <c r="C253" s="41" t="s">
        <v>134</v>
      </c>
      <c r="D253" s="40" t="s">
        <v>135</v>
      </c>
      <c r="E253" s="24">
        <v>8000000</v>
      </c>
      <c r="F253" s="39">
        <v>44235</v>
      </c>
      <c r="G253" s="24">
        <v>8000000</v>
      </c>
      <c r="H253" s="23">
        <v>5.0000000000000001E-3</v>
      </c>
      <c r="I253" s="39">
        <v>44348</v>
      </c>
      <c r="J253" s="39">
        <v>44377</v>
      </c>
      <c r="K253" s="24">
        <v>30</v>
      </c>
      <c r="L253" s="24">
        <v>3288</v>
      </c>
      <c r="M253" s="24">
        <v>8000000</v>
      </c>
    </row>
    <row r="254" spans="1:13" s="48" customFormat="1" outlineLevel="2">
      <c r="A254" s="39" t="s">
        <v>120</v>
      </c>
      <c r="B254" s="40" t="s">
        <v>173</v>
      </c>
      <c r="C254" s="41" t="s">
        <v>134</v>
      </c>
      <c r="D254" s="40" t="s">
        <v>135</v>
      </c>
      <c r="E254" s="24">
        <v>6000000</v>
      </c>
      <c r="F254" s="39">
        <v>44231</v>
      </c>
      <c r="G254" s="24">
        <v>6000000</v>
      </c>
      <c r="H254" s="23">
        <v>5.0000000000000001E-3</v>
      </c>
      <c r="I254" s="39">
        <v>44348</v>
      </c>
      <c r="J254" s="39">
        <v>44377</v>
      </c>
      <c r="K254" s="24">
        <v>30</v>
      </c>
      <c r="L254" s="24">
        <v>2466</v>
      </c>
      <c r="M254" s="24">
        <v>6000000</v>
      </c>
    </row>
    <row r="255" spans="1:13" s="48" customFormat="1" outlineLevel="2">
      <c r="A255" s="39" t="s">
        <v>120</v>
      </c>
      <c r="B255" s="40" t="s">
        <v>62</v>
      </c>
      <c r="C255" s="41" t="s">
        <v>125</v>
      </c>
      <c r="D255" s="40" t="s">
        <v>126</v>
      </c>
      <c r="E255" s="24">
        <v>34480000</v>
      </c>
      <c r="F255" s="39">
        <v>43980</v>
      </c>
      <c r="G255" s="24">
        <v>34480000</v>
      </c>
      <c r="H255" s="23">
        <v>5.0000000000000001E-3</v>
      </c>
      <c r="I255" s="39">
        <v>44348</v>
      </c>
      <c r="J255" s="39">
        <v>44377</v>
      </c>
      <c r="K255" s="24">
        <v>30</v>
      </c>
      <c r="L255" s="24">
        <v>14170</v>
      </c>
      <c r="M255" s="24">
        <v>34480000</v>
      </c>
    </row>
    <row r="256" spans="1:13" s="48" customFormat="1" outlineLevel="2">
      <c r="A256" s="39" t="s">
        <v>120</v>
      </c>
      <c r="B256" s="40" t="s">
        <v>174</v>
      </c>
      <c r="C256" s="41" t="s">
        <v>246</v>
      </c>
      <c r="D256" s="40" t="s">
        <v>247</v>
      </c>
      <c r="E256" s="24">
        <v>11000000</v>
      </c>
      <c r="F256" s="39">
        <v>44235</v>
      </c>
      <c r="G256" s="24">
        <v>11000000</v>
      </c>
      <c r="H256" s="23">
        <v>5.0000000000000001E-3</v>
      </c>
      <c r="I256" s="39">
        <v>44348</v>
      </c>
      <c r="J256" s="39">
        <v>44377</v>
      </c>
      <c r="K256" s="24">
        <v>30</v>
      </c>
      <c r="L256" s="24">
        <v>4521</v>
      </c>
      <c r="M256" s="24">
        <v>11000000</v>
      </c>
    </row>
    <row r="257" spans="1:13" s="48" customFormat="1" outlineLevel="2">
      <c r="A257" s="39" t="s">
        <v>120</v>
      </c>
      <c r="B257" s="40" t="s">
        <v>175</v>
      </c>
      <c r="C257" s="41" t="s">
        <v>246</v>
      </c>
      <c r="D257" s="40" t="s">
        <v>247</v>
      </c>
      <c r="E257" s="24">
        <v>67000000</v>
      </c>
      <c r="F257" s="39">
        <v>44251</v>
      </c>
      <c r="G257" s="24">
        <v>67000000</v>
      </c>
      <c r="H257" s="23">
        <v>5.0000000000000001E-3</v>
      </c>
      <c r="I257" s="39">
        <v>44348</v>
      </c>
      <c r="J257" s="39">
        <v>44377</v>
      </c>
      <c r="K257" s="24">
        <v>30</v>
      </c>
      <c r="L257" s="24">
        <v>27534</v>
      </c>
      <c r="M257" s="24">
        <v>67000000</v>
      </c>
    </row>
    <row r="258" spans="1:13" s="48" customFormat="1" outlineLevel="2">
      <c r="A258" s="39" t="s">
        <v>120</v>
      </c>
      <c r="B258" s="40" t="s">
        <v>176</v>
      </c>
      <c r="C258" s="41" t="s">
        <v>306</v>
      </c>
      <c r="D258" s="40" t="s">
        <v>305</v>
      </c>
      <c r="E258" s="24">
        <v>320000000</v>
      </c>
      <c r="F258" s="39">
        <v>44228</v>
      </c>
      <c r="G258" s="24">
        <v>320000000</v>
      </c>
      <c r="H258" s="23">
        <v>5.0000000000000001E-3</v>
      </c>
      <c r="I258" s="39">
        <v>44348</v>
      </c>
      <c r="J258" s="39">
        <v>44377</v>
      </c>
      <c r="K258" s="24">
        <v>30</v>
      </c>
      <c r="L258" s="24">
        <v>131507</v>
      </c>
      <c r="M258" s="24">
        <v>320000000</v>
      </c>
    </row>
    <row r="259" spans="1:13" s="48" customFormat="1" outlineLevel="2">
      <c r="A259" s="39" t="s">
        <v>120</v>
      </c>
      <c r="B259" s="40" t="s">
        <v>177</v>
      </c>
      <c r="C259" s="41" t="s">
        <v>306</v>
      </c>
      <c r="D259" s="40" t="s">
        <v>305</v>
      </c>
      <c r="E259" s="24">
        <v>17000000</v>
      </c>
      <c r="F259" s="39">
        <v>44246</v>
      </c>
      <c r="G259" s="24">
        <v>17000000</v>
      </c>
      <c r="H259" s="23">
        <v>5.0000000000000001E-3</v>
      </c>
      <c r="I259" s="39">
        <v>44348</v>
      </c>
      <c r="J259" s="39">
        <v>44377</v>
      </c>
      <c r="K259" s="24">
        <v>30</v>
      </c>
      <c r="L259" s="24">
        <v>6986</v>
      </c>
      <c r="M259" s="24">
        <v>17000000</v>
      </c>
    </row>
    <row r="260" spans="1:13" s="48" customFormat="1" outlineLevel="2">
      <c r="A260" s="39" t="s">
        <v>120</v>
      </c>
      <c r="B260" s="40" t="s">
        <v>178</v>
      </c>
      <c r="C260" s="41" t="s">
        <v>71</v>
      </c>
      <c r="D260" s="40" t="s">
        <v>72</v>
      </c>
      <c r="E260" s="24">
        <v>19980000</v>
      </c>
      <c r="F260" s="39">
        <v>44252</v>
      </c>
      <c r="G260" s="24">
        <v>19980000</v>
      </c>
      <c r="H260" s="23">
        <v>5.0000000000000001E-3</v>
      </c>
      <c r="I260" s="39">
        <v>44348</v>
      </c>
      <c r="J260" s="39">
        <v>44377</v>
      </c>
      <c r="K260" s="24">
        <v>30</v>
      </c>
      <c r="L260" s="24">
        <v>8211</v>
      </c>
      <c r="M260" s="24">
        <v>19980000</v>
      </c>
    </row>
    <row r="261" spans="1:13" s="48" customFormat="1" outlineLevel="2">
      <c r="A261" s="39" t="s">
        <v>120</v>
      </c>
      <c r="B261" s="40" t="s">
        <v>179</v>
      </c>
      <c r="C261" s="41" t="s">
        <v>219</v>
      </c>
      <c r="D261" s="40" t="s">
        <v>220</v>
      </c>
      <c r="E261" s="24">
        <v>9000000</v>
      </c>
      <c r="F261" s="39">
        <v>44253</v>
      </c>
      <c r="G261" s="24">
        <v>9000000</v>
      </c>
      <c r="H261" s="23">
        <v>5.0000000000000001E-3</v>
      </c>
      <c r="I261" s="39">
        <v>44348</v>
      </c>
      <c r="J261" s="39">
        <v>44377</v>
      </c>
      <c r="K261" s="24">
        <v>30</v>
      </c>
      <c r="L261" s="24">
        <v>3699</v>
      </c>
      <c r="M261" s="24">
        <v>9000000</v>
      </c>
    </row>
    <row r="262" spans="1:13" s="48" customFormat="1" outlineLevel="2">
      <c r="A262" s="39" t="s">
        <v>120</v>
      </c>
      <c r="B262" s="40" t="s">
        <v>180</v>
      </c>
      <c r="C262" s="41" t="s">
        <v>219</v>
      </c>
      <c r="D262" s="40" t="s">
        <v>220</v>
      </c>
      <c r="E262" s="24">
        <v>17000000</v>
      </c>
      <c r="F262" s="39">
        <v>44253</v>
      </c>
      <c r="G262" s="24">
        <v>17000000</v>
      </c>
      <c r="H262" s="23">
        <v>5.0000000000000001E-3</v>
      </c>
      <c r="I262" s="39">
        <v>44348</v>
      </c>
      <c r="J262" s="39">
        <v>44377</v>
      </c>
      <c r="K262" s="24">
        <v>30</v>
      </c>
      <c r="L262" s="24">
        <v>6986</v>
      </c>
      <c r="M262" s="24">
        <v>17000000</v>
      </c>
    </row>
    <row r="263" spans="1:13" s="48" customFormat="1" outlineLevel="2">
      <c r="A263" s="39" t="s">
        <v>120</v>
      </c>
      <c r="B263" s="40" t="s">
        <v>181</v>
      </c>
      <c r="C263" s="41" t="s">
        <v>37</v>
      </c>
      <c r="D263" s="40" t="s">
        <v>38</v>
      </c>
      <c r="E263" s="24">
        <v>90862000</v>
      </c>
      <c r="F263" s="39">
        <v>44285</v>
      </c>
      <c r="G263" s="24">
        <v>90862000</v>
      </c>
      <c r="H263" s="23">
        <v>5.0000000000000001E-3</v>
      </c>
      <c r="I263" s="39">
        <v>44348</v>
      </c>
      <c r="J263" s="39">
        <v>44377</v>
      </c>
      <c r="K263" s="24">
        <v>30</v>
      </c>
      <c r="L263" s="24">
        <v>37341</v>
      </c>
      <c r="M263" s="24">
        <v>90862000</v>
      </c>
    </row>
    <row r="264" spans="1:13" s="48" customFormat="1" outlineLevel="2">
      <c r="A264" s="39" t="s">
        <v>120</v>
      </c>
      <c r="B264" s="40" t="s">
        <v>182</v>
      </c>
      <c r="C264" s="41" t="s">
        <v>37</v>
      </c>
      <c r="D264" s="40" t="s">
        <v>38</v>
      </c>
      <c r="E264" s="24">
        <v>49390000</v>
      </c>
      <c r="F264" s="39">
        <v>44285</v>
      </c>
      <c r="G264" s="24">
        <v>49390000</v>
      </c>
      <c r="H264" s="23">
        <v>5.0000000000000001E-3</v>
      </c>
      <c r="I264" s="39">
        <v>44348</v>
      </c>
      <c r="J264" s="39">
        <v>44377</v>
      </c>
      <c r="K264" s="24">
        <v>30</v>
      </c>
      <c r="L264" s="24">
        <v>20297</v>
      </c>
      <c r="M264" s="24">
        <v>49390000</v>
      </c>
    </row>
    <row r="265" spans="1:13" s="48" customFormat="1" outlineLevel="2">
      <c r="A265" s="39" t="s">
        <v>120</v>
      </c>
      <c r="B265" s="40" t="s">
        <v>183</v>
      </c>
      <c r="C265" s="41" t="s">
        <v>134</v>
      </c>
      <c r="D265" s="40" t="s">
        <v>135</v>
      </c>
      <c r="E265" s="24">
        <v>9000000</v>
      </c>
      <c r="F265" s="39">
        <v>44285</v>
      </c>
      <c r="G265" s="24">
        <v>9000000</v>
      </c>
      <c r="H265" s="23">
        <v>5.0000000000000001E-3</v>
      </c>
      <c r="I265" s="39">
        <v>44348</v>
      </c>
      <c r="J265" s="39">
        <v>44377</v>
      </c>
      <c r="K265" s="24">
        <v>30</v>
      </c>
      <c r="L265" s="24">
        <v>3699</v>
      </c>
      <c r="M265" s="24">
        <v>9000000</v>
      </c>
    </row>
    <row r="266" spans="1:13" s="48" customFormat="1" outlineLevel="2">
      <c r="A266" s="39" t="s">
        <v>120</v>
      </c>
      <c r="B266" s="40" t="s">
        <v>63</v>
      </c>
      <c r="C266" s="41" t="s">
        <v>66</v>
      </c>
      <c r="D266" s="40" t="s">
        <v>67</v>
      </c>
      <c r="E266" s="24">
        <v>56000000</v>
      </c>
      <c r="F266" s="39">
        <v>43966</v>
      </c>
      <c r="G266" s="24">
        <v>56000000</v>
      </c>
      <c r="H266" s="23">
        <v>5.0000000000000001E-3</v>
      </c>
      <c r="I266" s="39">
        <v>44348</v>
      </c>
      <c r="J266" s="39">
        <v>44377</v>
      </c>
      <c r="K266" s="24">
        <v>30</v>
      </c>
      <c r="L266" s="24">
        <v>23014</v>
      </c>
      <c r="M266" s="24">
        <v>56000000</v>
      </c>
    </row>
    <row r="267" spans="1:13" s="48" customFormat="1" outlineLevel="2">
      <c r="A267" s="39" t="s">
        <v>120</v>
      </c>
      <c r="B267" s="40" t="s">
        <v>184</v>
      </c>
      <c r="C267" s="41" t="s">
        <v>125</v>
      </c>
      <c r="D267" s="40" t="s">
        <v>126</v>
      </c>
      <c r="E267" s="24">
        <v>28000000</v>
      </c>
      <c r="F267" s="39">
        <v>44264</v>
      </c>
      <c r="G267" s="24">
        <v>28000000</v>
      </c>
      <c r="H267" s="23">
        <v>5.0000000000000001E-3</v>
      </c>
      <c r="I267" s="39">
        <v>44348</v>
      </c>
      <c r="J267" s="39">
        <v>44377</v>
      </c>
      <c r="K267" s="24">
        <v>30</v>
      </c>
      <c r="L267" s="24">
        <v>11507</v>
      </c>
      <c r="M267" s="24">
        <v>28000000</v>
      </c>
    </row>
    <row r="268" spans="1:13" s="48" customFormat="1" outlineLevel="2">
      <c r="A268" s="39" t="s">
        <v>120</v>
      </c>
      <c r="B268" s="40" t="s">
        <v>185</v>
      </c>
      <c r="C268" s="41" t="s">
        <v>125</v>
      </c>
      <c r="D268" s="40" t="s">
        <v>126</v>
      </c>
      <c r="E268" s="24">
        <v>26000000</v>
      </c>
      <c r="F268" s="39">
        <v>44264</v>
      </c>
      <c r="G268" s="24">
        <v>26000000</v>
      </c>
      <c r="H268" s="23">
        <v>5.0000000000000001E-3</v>
      </c>
      <c r="I268" s="39">
        <v>44348</v>
      </c>
      <c r="J268" s="39">
        <v>44377</v>
      </c>
      <c r="K268" s="24">
        <v>30</v>
      </c>
      <c r="L268" s="24">
        <v>10685</v>
      </c>
      <c r="M268" s="24">
        <v>26000000</v>
      </c>
    </row>
    <row r="269" spans="1:13" s="48" customFormat="1" outlineLevel="2">
      <c r="A269" s="39" t="s">
        <v>120</v>
      </c>
      <c r="B269" s="40" t="s">
        <v>186</v>
      </c>
      <c r="C269" s="41" t="s">
        <v>30</v>
      </c>
      <c r="D269" s="40" t="s">
        <v>31</v>
      </c>
      <c r="E269" s="24">
        <v>60000000</v>
      </c>
      <c r="F269" s="39">
        <v>44272</v>
      </c>
      <c r="G269" s="24">
        <v>60000000</v>
      </c>
      <c r="H269" s="23">
        <v>5.0000000000000001E-3</v>
      </c>
      <c r="I269" s="39">
        <v>44348</v>
      </c>
      <c r="J269" s="39">
        <v>44377</v>
      </c>
      <c r="K269" s="24">
        <v>30</v>
      </c>
      <c r="L269" s="24">
        <v>24658</v>
      </c>
      <c r="M269" s="24">
        <v>60000000</v>
      </c>
    </row>
    <row r="270" spans="1:13" s="48" customFormat="1" outlineLevel="2">
      <c r="A270" s="39" t="s">
        <v>120</v>
      </c>
      <c r="B270" s="40" t="s">
        <v>189</v>
      </c>
      <c r="C270" s="41" t="s">
        <v>324</v>
      </c>
      <c r="D270" s="40" t="s">
        <v>323</v>
      </c>
      <c r="E270" s="24">
        <v>37000000</v>
      </c>
      <c r="F270" s="39">
        <v>44270</v>
      </c>
      <c r="G270" s="24">
        <v>36383332</v>
      </c>
      <c r="H270" s="23">
        <v>5.0000000000000001E-3</v>
      </c>
      <c r="I270" s="39">
        <v>44348</v>
      </c>
      <c r="J270" s="39">
        <v>44361</v>
      </c>
      <c r="K270" s="24">
        <v>14</v>
      </c>
      <c r="L270" s="24">
        <v>6978</v>
      </c>
      <c r="M270" s="24">
        <v>36074998</v>
      </c>
    </row>
    <row r="271" spans="1:13" s="48" customFormat="1" outlineLevel="2">
      <c r="A271" s="39" t="s">
        <v>120</v>
      </c>
      <c r="B271" s="40" t="s">
        <v>189</v>
      </c>
      <c r="C271" s="41" t="s">
        <v>324</v>
      </c>
      <c r="D271" s="40"/>
      <c r="E271" s="24"/>
      <c r="F271" s="39"/>
      <c r="G271" s="24">
        <v>36074998</v>
      </c>
      <c r="H271" s="23">
        <v>5.0000000000000001E-3</v>
      </c>
      <c r="I271" s="39">
        <v>44362</v>
      </c>
      <c r="J271" s="39">
        <v>44377</v>
      </c>
      <c r="K271" s="24">
        <v>16</v>
      </c>
      <c r="L271" s="24">
        <v>7907</v>
      </c>
      <c r="M271" s="24"/>
    </row>
    <row r="272" spans="1:13" s="48" customFormat="1" outlineLevel="2">
      <c r="A272" s="39" t="s">
        <v>120</v>
      </c>
      <c r="B272" s="40" t="s">
        <v>190</v>
      </c>
      <c r="C272" s="41" t="s">
        <v>324</v>
      </c>
      <c r="D272" s="40" t="s">
        <v>323</v>
      </c>
      <c r="E272" s="24">
        <v>23000000</v>
      </c>
      <c r="F272" s="39">
        <v>44270</v>
      </c>
      <c r="G272" s="24">
        <v>22452380</v>
      </c>
      <c r="H272" s="23">
        <v>5.0000000000000001E-3</v>
      </c>
      <c r="I272" s="39">
        <v>44348</v>
      </c>
      <c r="J272" s="39">
        <v>44361</v>
      </c>
      <c r="K272" s="24">
        <v>14</v>
      </c>
      <c r="L272" s="24">
        <v>4306</v>
      </c>
      <c r="M272" s="24">
        <v>22178570</v>
      </c>
    </row>
    <row r="273" spans="1:13" s="48" customFormat="1" outlineLevel="2">
      <c r="A273" s="39" t="s">
        <v>120</v>
      </c>
      <c r="B273" s="40" t="s">
        <v>190</v>
      </c>
      <c r="C273" s="41" t="s">
        <v>324</v>
      </c>
      <c r="D273" s="40"/>
      <c r="E273" s="24"/>
      <c r="F273" s="39"/>
      <c r="G273" s="24">
        <v>22178570</v>
      </c>
      <c r="H273" s="23">
        <v>5.0000000000000001E-3</v>
      </c>
      <c r="I273" s="39">
        <v>44362</v>
      </c>
      <c r="J273" s="39">
        <v>44377</v>
      </c>
      <c r="K273" s="24">
        <v>16</v>
      </c>
      <c r="L273" s="24">
        <v>4861</v>
      </c>
      <c r="M273" s="24"/>
    </row>
    <row r="274" spans="1:13" s="48" customFormat="1" outlineLevel="2">
      <c r="A274" s="39" t="s">
        <v>120</v>
      </c>
      <c r="B274" s="40" t="s">
        <v>191</v>
      </c>
      <c r="C274" s="41" t="s">
        <v>324</v>
      </c>
      <c r="D274" s="40" t="s">
        <v>323</v>
      </c>
      <c r="E274" s="24">
        <v>30000000</v>
      </c>
      <c r="F274" s="39">
        <v>44270</v>
      </c>
      <c r="G274" s="24">
        <v>29285714</v>
      </c>
      <c r="H274" s="23">
        <v>5.0000000000000001E-3</v>
      </c>
      <c r="I274" s="39">
        <v>44348</v>
      </c>
      <c r="J274" s="39">
        <v>44361</v>
      </c>
      <c r="K274" s="24">
        <v>14</v>
      </c>
      <c r="L274" s="24">
        <v>5616</v>
      </c>
      <c r="M274" s="24">
        <v>28928571</v>
      </c>
    </row>
    <row r="275" spans="1:13" s="48" customFormat="1" outlineLevel="2">
      <c r="A275" s="39" t="s">
        <v>120</v>
      </c>
      <c r="B275" s="40" t="s">
        <v>191</v>
      </c>
      <c r="C275" s="41" t="s">
        <v>324</v>
      </c>
      <c r="D275" s="40"/>
      <c r="E275" s="24"/>
      <c r="F275" s="39"/>
      <c r="G275" s="24">
        <v>28928571</v>
      </c>
      <c r="H275" s="23">
        <v>5.0000000000000001E-3</v>
      </c>
      <c r="I275" s="39">
        <v>44362</v>
      </c>
      <c r="J275" s="39">
        <v>44377</v>
      </c>
      <c r="K275" s="24">
        <v>16</v>
      </c>
      <c r="L275" s="24">
        <v>6341</v>
      </c>
      <c r="M275" s="24"/>
    </row>
    <row r="276" spans="1:13" s="48" customFormat="1" outlineLevel="2">
      <c r="A276" s="39" t="s">
        <v>120</v>
      </c>
      <c r="B276" s="40" t="s">
        <v>192</v>
      </c>
      <c r="C276" s="41" t="s">
        <v>341</v>
      </c>
      <c r="D276" s="40" t="s">
        <v>340</v>
      </c>
      <c r="E276" s="24">
        <v>33600000</v>
      </c>
      <c r="F276" s="39">
        <v>44314</v>
      </c>
      <c r="G276" s="24">
        <v>33600000</v>
      </c>
      <c r="H276" s="23">
        <v>5.0000000000000001E-3</v>
      </c>
      <c r="I276" s="39">
        <v>44348</v>
      </c>
      <c r="J276" s="39">
        <v>44377</v>
      </c>
      <c r="K276" s="24">
        <v>30</v>
      </c>
      <c r="L276" s="24">
        <v>13808</v>
      </c>
      <c r="M276" s="24">
        <v>33600000</v>
      </c>
    </row>
    <row r="277" spans="1:13" s="48" customFormat="1" outlineLevel="2">
      <c r="A277" s="39" t="s">
        <v>120</v>
      </c>
      <c r="B277" s="40" t="s">
        <v>193</v>
      </c>
      <c r="C277" s="41" t="s">
        <v>219</v>
      </c>
      <c r="D277" s="40" t="s">
        <v>220</v>
      </c>
      <c r="E277" s="24">
        <v>22000000</v>
      </c>
      <c r="F277" s="39">
        <v>44314</v>
      </c>
      <c r="G277" s="24">
        <v>22000000</v>
      </c>
      <c r="H277" s="23">
        <v>5.0000000000000001E-3</v>
      </c>
      <c r="I277" s="39">
        <v>44348</v>
      </c>
      <c r="J277" s="39">
        <v>44377</v>
      </c>
      <c r="K277" s="24">
        <v>30</v>
      </c>
      <c r="L277" s="24">
        <v>9041</v>
      </c>
      <c r="M277" s="24">
        <v>22000000</v>
      </c>
    </row>
    <row r="278" spans="1:13" s="48" customFormat="1" outlineLevel="2">
      <c r="A278" s="39" t="s">
        <v>120</v>
      </c>
      <c r="B278" s="40" t="s">
        <v>194</v>
      </c>
      <c r="C278" s="41" t="s">
        <v>345</v>
      </c>
      <c r="D278" s="40" t="s">
        <v>344</v>
      </c>
      <c r="E278" s="24">
        <v>16000000</v>
      </c>
      <c r="F278" s="39">
        <v>44315</v>
      </c>
      <c r="G278" s="24">
        <v>16000000</v>
      </c>
      <c r="H278" s="23">
        <v>3.0000000000000001E-3</v>
      </c>
      <c r="I278" s="39">
        <v>44348</v>
      </c>
      <c r="J278" s="39">
        <v>44377</v>
      </c>
      <c r="K278" s="24">
        <v>30</v>
      </c>
      <c r="L278" s="24">
        <v>3945</v>
      </c>
      <c r="M278" s="24">
        <v>16000000</v>
      </c>
    </row>
    <row r="279" spans="1:13" s="48" customFormat="1" outlineLevel="2">
      <c r="A279" s="39" t="s">
        <v>120</v>
      </c>
      <c r="B279" s="40" t="s">
        <v>195</v>
      </c>
      <c r="C279" s="41" t="s">
        <v>363</v>
      </c>
      <c r="D279" s="40" t="s">
        <v>362</v>
      </c>
      <c r="E279" s="24">
        <v>3800000</v>
      </c>
      <c r="F279" s="39">
        <v>44309</v>
      </c>
      <c r="G279" s="24">
        <v>3800000</v>
      </c>
      <c r="H279" s="23">
        <v>5.0000000000000001E-3</v>
      </c>
      <c r="I279" s="39">
        <v>44348</v>
      </c>
      <c r="J279" s="39">
        <v>44377</v>
      </c>
      <c r="K279" s="24">
        <v>30</v>
      </c>
      <c r="L279" s="24">
        <v>1562</v>
      </c>
      <c r="M279" s="24">
        <v>3800000</v>
      </c>
    </row>
    <row r="280" spans="1:13" s="48" customFormat="1" outlineLevel="2">
      <c r="A280" s="39" t="s">
        <v>120</v>
      </c>
      <c r="B280" s="40" t="s">
        <v>64</v>
      </c>
      <c r="C280" s="41" t="s">
        <v>20</v>
      </c>
      <c r="D280" s="40" t="s">
        <v>21</v>
      </c>
      <c r="E280" s="24">
        <v>150000000</v>
      </c>
      <c r="F280" s="39">
        <v>43958</v>
      </c>
      <c r="G280" s="24">
        <v>150000000</v>
      </c>
      <c r="H280" s="23">
        <v>5.0000000000000001E-3</v>
      </c>
      <c r="I280" s="39">
        <v>44348</v>
      </c>
      <c r="J280" s="39">
        <v>44377</v>
      </c>
      <c r="K280" s="24">
        <v>30</v>
      </c>
      <c r="L280" s="24">
        <v>61644</v>
      </c>
      <c r="M280" s="24">
        <v>150000000</v>
      </c>
    </row>
    <row r="281" spans="1:13" s="48" customFormat="1" outlineLevel="2">
      <c r="A281" s="39" t="s">
        <v>120</v>
      </c>
      <c r="B281" s="40" t="s">
        <v>196</v>
      </c>
      <c r="C281" s="41" t="s">
        <v>17</v>
      </c>
      <c r="D281" s="40" t="s">
        <v>18</v>
      </c>
      <c r="E281" s="24">
        <v>2245530</v>
      </c>
      <c r="F281" s="39">
        <v>44334</v>
      </c>
      <c r="G281" s="24">
        <v>2245530</v>
      </c>
      <c r="H281" s="23">
        <v>5.0000000000000001E-3</v>
      </c>
      <c r="I281" s="39">
        <v>44348</v>
      </c>
      <c r="J281" s="39">
        <v>44361</v>
      </c>
      <c r="K281" s="24">
        <v>14</v>
      </c>
      <c r="L281" s="24">
        <v>431</v>
      </c>
      <c r="M281" s="24">
        <v>2203946</v>
      </c>
    </row>
    <row r="282" spans="1:13" s="48" customFormat="1" outlineLevel="2">
      <c r="A282" s="39" t="s">
        <v>120</v>
      </c>
      <c r="B282" s="40" t="s">
        <v>196</v>
      </c>
      <c r="C282" s="41" t="s">
        <v>17</v>
      </c>
      <c r="D282" s="40"/>
      <c r="E282" s="24"/>
      <c r="F282" s="39"/>
      <c r="G282" s="24">
        <v>2203946</v>
      </c>
      <c r="H282" s="23">
        <v>5.0000000000000001E-3</v>
      </c>
      <c r="I282" s="39">
        <v>44362</v>
      </c>
      <c r="J282" s="39">
        <v>44377</v>
      </c>
      <c r="K282" s="24">
        <v>16</v>
      </c>
      <c r="L282" s="24">
        <v>483</v>
      </c>
      <c r="M282" s="24"/>
    </row>
    <row r="283" spans="1:13" s="48" customFormat="1" outlineLevel="2">
      <c r="A283" s="39" t="s">
        <v>120</v>
      </c>
      <c r="B283" s="40" t="s">
        <v>197</v>
      </c>
      <c r="C283" s="41" t="s">
        <v>134</v>
      </c>
      <c r="D283" s="40" t="s">
        <v>135</v>
      </c>
      <c r="E283" s="24">
        <v>1000000</v>
      </c>
      <c r="F283" s="39">
        <v>44376</v>
      </c>
      <c r="G283" s="24">
        <v>1000000</v>
      </c>
      <c r="H283" s="23">
        <v>5.0000000000000001E-3</v>
      </c>
      <c r="I283" s="39">
        <v>44376</v>
      </c>
      <c r="J283" s="39">
        <v>44377</v>
      </c>
      <c r="K283" s="24">
        <v>2</v>
      </c>
      <c r="L283" s="24">
        <v>27</v>
      </c>
      <c r="M283" s="24">
        <v>1000000</v>
      </c>
    </row>
    <row r="284" spans="1:13" s="48" customFormat="1" outlineLevel="2">
      <c r="A284" s="39" t="s">
        <v>120</v>
      </c>
      <c r="B284" s="40" t="s">
        <v>198</v>
      </c>
      <c r="C284" s="41" t="s">
        <v>134</v>
      </c>
      <c r="D284" s="40" t="s">
        <v>135</v>
      </c>
      <c r="E284" s="24">
        <v>3000000</v>
      </c>
      <c r="F284" s="39">
        <v>44376</v>
      </c>
      <c r="G284" s="24">
        <v>3000000</v>
      </c>
      <c r="H284" s="23">
        <v>5.0000000000000001E-3</v>
      </c>
      <c r="I284" s="39">
        <v>44376</v>
      </c>
      <c r="J284" s="39">
        <v>44377</v>
      </c>
      <c r="K284" s="24">
        <v>2</v>
      </c>
      <c r="L284" s="24">
        <v>82</v>
      </c>
      <c r="M284" s="24">
        <v>3000000</v>
      </c>
    </row>
    <row r="285" spans="1:13" s="48" customFormat="1" outlineLevel="2">
      <c r="A285" s="39" t="s">
        <v>120</v>
      </c>
      <c r="B285" s="40" t="s">
        <v>199</v>
      </c>
      <c r="C285" s="41" t="s">
        <v>219</v>
      </c>
      <c r="D285" s="40" t="s">
        <v>220</v>
      </c>
      <c r="E285" s="24">
        <v>28000000</v>
      </c>
      <c r="F285" s="39">
        <v>44375</v>
      </c>
      <c r="G285" s="24">
        <v>28000000</v>
      </c>
      <c r="H285" s="23">
        <v>5.0000000000000001E-3</v>
      </c>
      <c r="I285" s="39">
        <v>44375</v>
      </c>
      <c r="J285" s="39">
        <v>44377</v>
      </c>
      <c r="K285" s="24">
        <v>3</v>
      </c>
      <c r="L285" s="24">
        <v>1151</v>
      </c>
      <c r="M285" s="24">
        <v>28000000</v>
      </c>
    </row>
    <row r="286" spans="1:13" s="48" customFormat="1" outlineLevel="2">
      <c r="A286" s="39" t="s">
        <v>120</v>
      </c>
      <c r="B286" s="40" t="s">
        <v>65</v>
      </c>
      <c r="C286" s="41" t="s">
        <v>125</v>
      </c>
      <c r="D286" s="40" t="s">
        <v>126</v>
      </c>
      <c r="E286" s="24">
        <v>5000000</v>
      </c>
      <c r="F286" s="39">
        <v>43998</v>
      </c>
      <c r="G286" s="24">
        <v>5000000</v>
      </c>
      <c r="H286" s="23">
        <v>5.0000000000000001E-3</v>
      </c>
      <c r="I286" s="39">
        <v>44348</v>
      </c>
      <c r="J286" s="39">
        <v>44377</v>
      </c>
      <c r="K286" s="24">
        <v>30</v>
      </c>
      <c r="L286" s="24">
        <v>2055</v>
      </c>
      <c r="M286" s="24">
        <v>5000000</v>
      </c>
    </row>
    <row r="287" spans="1:13" s="48" customFormat="1" outlineLevel="2">
      <c r="A287" s="39" t="s">
        <v>120</v>
      </c>
      <c r="B287" s="40" t="s">
        <v>68</v>
      </c>
      <c r="C287" s="41" t="s">
        <v>125</v>
      </c>
      <c r="D287" s="40" t="s">
        <v>126</v>
      </c>
      <c r="E287" s="24">
        <v>17292000</v>
      </c>
      <c r="F287" s="39">
        <v>44002</v>
      </c>
      <c r="G287" s="24">
        <v>17292000</v>
      </c>
      <c r="H287" s="23">
        <v>5.0000000000000001E-3</v>
      </c>
      <c r="I287" s="39">
        <v>44348</v>
      </c>
      <c r="J287" s="39">
        <v>44377</v>
      </c>
      <c r="K287" s="24">
        <v>30</v>
      </c>
      <c r="L287" s="24">
        <v>7106</v>
      </c>
      <c r="M287" s="24">
        <v>17292000</v>
      </c>
    </row>
    <row r="288" spans="1:13" s="48" customFormat="1" outlineLevel="1">
      <c r="A288" s="42" t="s">
        <v>141</v>
      </c>
      <c r="B288" s="43"/>
      <c r="C288" s="44"/>
      <c r="D288" s="43"/>
      <c r="E288" s="45">
        <v>4305843430</v>
      </c>
      <c r="F288" s="46"/>
      <c r="G288" s="45"/>
      <c r="H288" s="47"/>
      <c r="I288" s="46"/>
      <c r="J288" s="46"/>
      <c r="K288" s="45"/>
      <c r="L288" s="45">
        <v>1614276</v>
      </c>
      <c r="M288" s="45">
        <v>4228535438</v>
      </c>
    </row>
    <row r="289" spans="1:13" s="48" customFormat="1" outlineLevel="2">
      <c r="A289" s="39" t="s">
        <v>142</v>
      </c>
      <c r="B289" s="40" t="s">
        <v>16</v>
      </c>
      <c r="C289" s="41" t="s">
        <v>143</v>
      </c>
      <c r="D289" s="40" t="s">
        <v>144</v>
      </c>
      <c r="E289" s="24">
        <v>38000000</v>
      </c>
      <c r="F289" s="39">
        <v>43762</v>
      </c>
      <c r="G289" s="24">
        <v>38000000</v>
      </c>
      <c r="H289" s="23">
        <v>5.0000000000000001E-3</v>
      </c>
      <c r="I289" s="39">
        <v>44348</v>
      </c>
      <c r="J289" s="39">
        <v>44377</v>
      </c>
      <c r="K289" s="24">
        <v>30</v>
      </c>
      <c r="L289" s="24">
        <v>15616</v>
      </c>
      <c r="M289" s="24">
        <v>38000000</v>
      </c>
    </row>
    <row r="290" spans="1:13" s="48" customFormat="1" outlineLevel="2">
      <c r="A290" s="39" t="s">
        <v>142</v>
      </c>
      <c r="B290" s="40" t="s">
        <v>19</v>
      </c>
      <c r="C290" s="41" t="s">
        <v>60</v>
      </c>
      <c r="D290" s="40" t="s">
        <v>61</v>
      </c>
      <c r="E290" s="24">
        <v>110000000</v>
      </c>
      <c r="F290" s="39">
        <v>43913</v>
      </c>
      <c r="G290" s="24">
        <v>110000000</v>
      </c>
      <c r="H290" s="23">
        <v>5.0000000000000001E-3</v>
      </c>
      <c r="I290" s="39">
        <v>44348</v>
      </c>
      <c r="J290" s="39">
        <v>44377</v>
      </c>
      <c r="K290" s="24">
        <v>30</v>
      </c>
      <c r="L290" s="24">
        <v>45205</v>
      </c>
      <c r="M290" s="24">
        <v>110000000</v>
      </c>
    </row>
    <row r="291" spans="1:13" s="48" customFormat="1" outlineLevel="2">
      <c r="A291" s="39" t="s">
        <v>142</v>
      </c>
      <c r="B291" s="40" t="s">
        <v>145</v>
      </c>
      <c r="C291" s="41" t="s">
        <v>146</v>
      </c>
      <c r="D291" s="40" t="s">
        <v>147</v>
      </c>
      <c r="E291" s="24">
        <v>5000000</v>
      </c>
      <c r="F291" s="39">
        <v>44204</v>
      </c>
      <c r="G291" s="24">
        <v>5000000</v>
      </c>
      <c r="H291" s="23">
        <v>5.0000000000000001E-3</v>
      </c>
      <c r="I291" s="39">
        <v>44348</v>
      </c>
      <c r="J291" s="39">
        <v>44377</v>
      </c>
      <c r="K291" s="24">
        <v>30</v>
      </c>
      <c r="L291" s="24">
        <v>2055</v>
      </c>
      <c r="M291" s="24">
        <v>5000000</v>
      </c>
    </row>
    <row r="292" spans="1:13" s="48" customFormat="1" outlineLevel="2">
      <c r="A292" s="39" t="s">
        <v>142</v>
      </c>
      <c r="B292" s="40" t="s">
        <v>148</v>
      </c>
      <c r="C292" s="41" t="s">
        <v>149</v>
      </c>
      <c r="D292" s="40" t="s">
        <v>150</v>
      </c>
      <c r="E292" s="24">
        <v>3528000</v>
      </c>
      <c r="F292" s="39">
        <v>44207</v>
      </c>
      <c r="G292" s="24">
        <v>3528000</v>
      </c>
      <c r="H292" s="23">
        <v>5.0000000000000001E-3</v>
      </c>
      <c r="I292" s="39">
        <v>44348</v>
      </c>
      <c r="J292" s="39">
        <v>44377</v>
      </c>
      <c r="K292" s="24">
        <v>30</v>
      </c>
      <c r="L292" s="24">
        <v>1450</v>
      </c>
      <c r="M292" s="24">
        <v>3528000</v>
      </c>
    </row>
    <row r="293" spans="1:13" s="48" customFormat="1" outlineLevel="2">
      <c r="A293" s="39" t="s">
        <v>142</v>
      </c>
      <c r="B293" s="40" t="s">
        <v>151</v>
      </c>
      <c r="C293" s="41" t="s">
        <v>149</v>
      </c>
      <c r="D293" s="40" t="s">
        <v>150</v>
      </c>
      <c r="E293" s="24">
        <v>2520000</v>
      </c>
      <c r="F293" s="39">
        <v>44207</v>
      </c>
      <c r="G293" s="24">
        <v>2520000</v>
      </c>
      <c r="H293" s="23">
        <v>5.0000000000000001E-3</v>
      </c>
      <c r="I293" s="39">
        <v>44348</v>
      </c>
      <c r="J293" s="39">
        <v>44377</v>
      </c>
      <c r="K293" s="24">
        <v>30</v>
      </c>
      <c r="L293" s="24">
        <v>1036</v>
      </c>
      <c r="M293" s="24">
        <v>2520000</v>
      </c>
    </row>
    <row r="294" spans="1:13" s="48" customFormat="1" outlineLevel="2">
      <c r="A294" s="39" t="s">
        <v>142</v>
      </c>
      <c r="B294" s="40" t="s">
        <v>152</v>
      </c>
      <c r="C294" s="41" t="s">
        <v>149</v>
      </c>
      <c r="D294" s="40" t="s">
        <v>150</v>
      </c>
      <c r="E294" s="24">
        <v>4368000</v>
      </c>
      <c r="F294" s="39">
        <v>44210</v>
      </c>
      <c r="G294" s="24">
        <v>4368000</v>
      </c>
      <c r="H294" s="23">
        <v>5.0000000000000001E-3</v>
      </c>
      <c r="I294" s="39">
        <v>44348</v>
      </c>
      <c r="J294" s="39">
        <v>44377</v>
      </c>
      <c r="K294" s="24">
        <v>30</v>
      </c>
      <c r="L294" s="24">
        <v>1795</v>
      </c>
      <c r="M294" s="24">
        <v>4368000</v>
      </c>
    </row>
    <row r="295" spans="1:13" s="48" customFormat="1" outlineLevel="2">
      <c r="A295" s="39" t="s">
        <v>142</v>
      </c>
      <c r="B295" s="40" t="s">
        <v>153</v>
      </c>
      <c r="C295" s="41" t="s">
        <v>149</v>
      </c>
      <c r="D295" s="40" t="s">
        <v>150</v>
      </c>
      <c r="E295" s="24">
        <v>95583736</v>
      </c>
      <c r="F295" s="39">
        <v>44225</v>
      </c>
      <c r="G295" s="24">
        <v>95583736</v>
      </c>
      <c r="H295" s="23">
        <v>5.0000000000000001E-3</v>
      </c>
      <c r="I295" s="39">
        <v>44348</v>
      </c>
      <c r="J295" s="39">
        <v>44377</v>
      </c>
      <c r="K295" s="24">
        <v>30</v>
      </c>
      <c r="L295" s="24">
        <v>39281</v>
      </c>
      <c r="M295" s="24">
        <v>95583736</v>
      </c>
    </row>
    <row r="296" spans="1:13" s="48" customFormat="1" outlineLevel="2">
      <c r="A296" s="39" t="s">
        <v>142</v>
      </c>
      <c r="B296" s="40" t="s">
        <v>154</v>
      </c>
      <c r="C296" s="41" t="s">
        <v>155</v>
      </c>
      <c r="D296" s="40" t="s">
        <v>156</v>
      </c>
      <c r="E296" s="24">
        <v>200000000</v>
      </c>
      <c r="F296" s="39">
        <v>44211</v>
      </c>
      <c r="G296" s="24">
        <v>200000000</v>
      </c>
      <c r="H296" s="23">
        <v>5.0000000000000001E-3</v>
      </c>
      <c r="I296" s="39">
        <v>44348</v>
      </c>
      <c r="J296" s="39">
        <v>44377</v>
      </c>
      <c r="K296" s="24">
        <v>30</v>
      </c>
      <c r="L296" s="24">
        <v>82192</v>
      </c>
      <c r="M296" s="24">
        <v>200000000</v>
      </c>
    </row>
    <row r="297" spans="1:13" s="48" customFormat="1" outlineLevel="2">
      <c r="A297" s="39" t="s">
        <v>142</v>
      </c>
      <c r="B297" s="40" t="s">
        <v>157</v>
      </c>
      <c r="C297" s="41" t="s">
        <v>125</v>
      </c>
      <c r="D297" s="40" t="s">
        <v>126</v>
      </c>
      <c r="E297" s="24">
        <v>3000000</v>
      </c>
      <c r="F297" s="39">
        <v>44216</v>
      </c>
      <c r="G297" s="24">
        <v>3000000</v>
      </c>
      <c r="H297" s="23">
        <v>5.0000000000000001E-3</v>
      </c>
      <c r="I297" s="39">
        <v>44348</v>
      </c>
      <c r="J297" s="39">
        <v>44377</v>
      </c>
      <c r="K297" s="24">
        <v>30</v>
      </c>
      <c r="L297" s="24">
        <v>1233</v>
      </c>
      <c r="M297" s="24">
        <v>3000000</v>
      </c>
    </row>
    <row r="298" spans="1:13" s="48" customFormat="1" outlineLevel="2">
      <c r="A298" s="39" t="s">
        <v>142</v>
      </c>
      <c r="B298" s="40" t="s">
        <v>158</v>
      </c>
      <c r="C298" s="41" t="s">
        <v>125</v>
      </c>
      <c r="D298" s="40" t="s">
        <v>126</v>
      </c>
      <c r="E298" s="24">
        <v>10000000</v>
      </c>
      <c r="F298" s="39">
        <v>44216</v>
      </c>
      <c r="G298" s="24">
        <v>10000000</v>
      </c>
      <c r="H298" s="23">
        <v>5.0000000000000001E-3</v>
      </c>
      <c r="I298" s="39">
        <v>44348</v>
      </c>
      <c r="J298" s="39">
        <v>44377</v>
      </c>
      <c r="K298" s="24">
        <v>30</v>
      </c>
      <c r="L298" s="24">
        <v>4110</v>
      </c>
      <c r="M298" s="24">
        <v>10000000</v>
      </c>
    </row>
    <row r="299" spans="1:13" s="48" customFormat="1" outlineLevel="2">
      <c r="A299" s="39" t="s">
        <v>142</v>
      </c>
      <c r="B299" s="40" t="s">
        <v>159</v>
      </c>
      <c r="C299" s="41" t="s">
        <v>87</v>
      </c>
      <c r="D299" s="40" t="s">
        <v>88</v>
      </c>
      <c r="E299" s="24">
        <v>14776161</v>
      </c>
      <c r="F299" s="39">
        <v>44221</v>
      </c>
      <c r="G299" s="24">
        <v>14776161</v>
      </c>
      <c r="H299" s="23">
        <v>5.0000000000000001E-3</v>
      </c>
      <c r="I299" s="39">
        <v>44348</v>
      </c>
      <c r="J299" s="39">
        <v>44377</v>
      </c>
      <c r="K299" s="24">
        <v>30</v>
      </c>
      <c r="L299" s="24">
        <v>6072</v>
      </c>
      <c r="M299" s="24">
        <v>14776161</v>
      </c>
    </row>
    <row r="300" spans="1:13" s="48" customFormat="1" outlineLevel="2">
      <c r="A300" s="39" t="s">
        <v>142</v>
      </c>
      <c r="B300" s="40" t="s">
        <v>320</v>
      </c>
      <c r="C300" s="41" t="s">
        <v>143</v>
      </c>
      <c r="D300" s="40" t="s">
        <v>144</v>
      </c>
      <c r="E300" s="24">
        <v>4100000</v>
      </c>
      <c r="F300" s="39">
        <v>44228</v>
      </c>
      <c r="G300" s="24">
        <v>4100000</v>
      </c>
      <c r="H300" s="23">
        <v>5.0000000000000001E-3</v>
      </c>
      <c r="I300" s="39">
        <v>44348</v>
      </c>
      <c r="J300" s="39">
        <v>44377</v>
      </c>
      <c r="K300" s="24">
        <v>30</v>
      </c>
      <c r="L300" s="24">
        <v>1685</v>
      </c>
      <c r="M300" s="24">
        <v>4100000</v>
      </c>
    </row>
    <row r="301" spans="1:13" s="48" customFormat="1" outlineLevel="2">
      <c r="A301" s="39" t="s">
        <v>142</v>
      </c>
      <c r="B301" s="40" t="s">
        <v>22</v>
      </c>
      <c r="C301" s="41" t="s">
        <v>149</v>
      </c>
      <c r="D301" s="40" t="s">
        <v>150</v>
      </c>
      <c r="E301" s="24">
        <v>95655336</v>
      </c>
      <c r="F301" s="39">
        <v>43951</v>
      </c>
      <c r="G301" s="24">
        <v>95655336</v>
      </c>
      <c r="H301" s="23">
        <v>5.0000000000000001E-3</v>
      </c>
      <c r="I301" s="39">
        <v>44348</v>
      </c>
      <c r="J301" s="39">
        <v>44377</v>
      </c>
      <c r="K301" s="24">
        <v>30</v>
      </c>
      <c r="L301" s="24">
        <v>39310</v>
      </c>
      <c r="M301" s="24">
        <v>95655336</v>
      </c>
    </row>
    <row r="302" spans="1:13" s="48" customFormat="1" outlineLevel="2">
      <c r="A302" s="39" t="s">
        <v>142</v>
      </c>
      <c r="B302" s="40" t="s">
        <v>319</v>
      </c>
      <c r="C302" s="41" t="s">
        <v>149</v>
      </c>
      <c r="D302" s="40" t="s">
        <v>150</v>
      </c>
      <c r="E302" s="24">
        <v>13843200</v>
      </c>
      <c r="F302" s="39">
        <v>44232</v>
      </c>
      <c r="G302" s="24">
        <v>13843200</v>
      </c>
      <c r="H302" s="23">
        <v>5.0000000000000001E-3</v>
      </c>
      <c r="I302" s="39">
        <v>44348</v>
      </c>
      <c r="J302" s="39">
        <v>44377</v>
      </c>
      <c r="K302" s="24">
        <v>30</v>
      </c>
      <c r="L302" s="24">
        <v>5689</v>
      </c>
      <c r="M302" s="24">
        <v>13843200</v>
      </c>
    </row>
    <row r="303" spans="1:13" s="48" customFormat="1" outlineLevel="2">
      <c r="A303" s="39" t="s">
        <v>142</v>
      </c>
      <c r="B303" s="40" t="s">
        <v>318</v>
      </c>
      <c r="C303" s="41" t="s">
        <v>149</v>
      </c>
      <c r="D303" s="40" t="s">
        <v>150</v>
      </c>
      <c r="E303" s="24">
        <v>7056000</v>
      </c>
      <c r="F303" s="39">
        <v>44235</v>
      </c>
      <c r="G303" s="24">
        <v>7056000</v>
      </c>
      <c r="H303" s="23">
        <v>5.0000000000000001E-3</v>
      </c>
      <c r="I303" s="39">
        <v>44348</v>
      </c>
      <c r="J303" s="39">
        <v>44377</v>
      </c>
      <c r="K303" s="24">
        <v>30</v>
      </c>
      <c r="L303" s="24">
        <v>2900</v>
      </c>
      <c r="M303" s="24">
        <v>7056000</v>
      </c>
    </row>
    <row r="304" spans="1:13" s="48" customFormat="1" outlineLevel="2">
      <c r="A304" s="39" t="s">
        <v>142</v>
      </c>
      <c r="B304" s="40" t="s">
        <v>317</v>
      </c>
      <c r="C304" s="41" t="s">
        <v>149</v>
      </c>
      <c r="D304" s="40" t="s">
        <v>150</v>
      </c>
      <c r="E304" s="24">
        <v>2184000</v>
      </c>
      <c r="F304" s="39">
        <v>44235</v>
      </c>
      <c r="G304" s="24">
        <v>2184000</v>
      </c>
      <c r="H304" s="23">
        <v>5.0000000000000001E-3</v>
      </c>
      <c r="I304" s="39">
        <v>44348</v>
      </c>
      <c r="J304" s="39">
        <v>44377</v>
      </c>
      <c r="K304" s="24">
        <v>30</v>
      </c>
      <c r="L304" s="24">
        <v>898</v>
      </c>
      <c r="M304" s="24">
        <v>2184000</v>
      </c>
    </row>
    <row r="305" spans="1:13" s="48" customFormat="1" outlineLevel="2">
      <c r="A305" s="39" t="s">
        <v>142</v>
      </c>
      <c r="B305" s="40" t="s">
        <v>316</v>
      </c>
      <c r="C305" s="41" t="s">
        <v>149</v>
      </c>
      <c r="D305" s="40" t="s">
        <v>150</v>
      </c>
      <c r="E305" s="24">
        <v>5040000</v>
      </c>
      <c r="F305" s="39">
        <v>44235</v>
      </c>
      <c r="G305" s="24">
        <v>5040000</v>
      </c>
      <c r="H305" s="23">
        <v>5.0000000000000001E-3</v>
      </c>
      <c r="I305" s="39">
        <v>44348</v>
      </c>
      <c r="J305" s="39">
        <v>44377</v>
      </c>
      <c r="K305" s="24">
        <v>30</v>
      </c>
      <c r="L305" s="24">
        <v>2071</v>
      </c>
      <c r="M305" s="24">
        <v>5040000</v>
      </c>
    </row>
    <row r="306" spans="1:13" s="48" customFormat="1" outlineLevel="2">
      <c r="A306" s="39" t="s">
        <v>142</v>
      </c>
      <c r="B306" s="40" t="s">
        <v>315</v>
      </c>
      <c r="C306" s="41" t="s">
        <v>149</v>
      </c>
      <c r="D306" s="40" t="s">
        <v>150</v>
      </c>
      <c r="E306" s="24">
        <v>8316000</v>
      </c>
      <c r="F306" s="39">
        <v>44244</v>
      </c>
      <c r="G306" s="24">
        <v>8316000</v>
      </c>
      <c r="H306" s="23">
        <v>5.0000000000000001E-3</v>
      </c>
      <c r="I306" s="39">
        <v>44348</v>
      </c>
      <c r="J306" s="39">
        <v>44377</v>
      </c>
      <c r="K306" s="24">
        <v>30</v>
      </c>
      <c r="L306" s="24">
        <v>3418</v>
      </c>
      <c r="M306" s="24">
        <v>8316000</v>
      </c>
    </row>
    <row r="307" spans="1:13" s="48" customFormat="1" outlineLevel="2">
      <c r="A307" s="39" t="s">
        <v>142</v>
      </c>
      <c r="B307" s="40" t="s">
        <v>314</v>
      </c>
      <c r="C307" s="41" t="s">
        <v>149</v>
      </c>
      <c r="D307" s="40" t="s">
        <v>150</v>
      </c>
      <c r="E307" s="24">
        <v>8547840</v>
      </c>
      <c r="F307" s="39">
        <v>44244</v>
      </c>
      <c r="G307" s="24">
        <v>8547840</v>
      </c>
      <c r="H307" s="23">
        <v>5.0000000000000001E-3</v>
      </c>
      <c r="I307" s="39">
        <v>44348</v>
      </c>
      <c r="J307" s="39">
        <v>44377</v>
      </c>
      <c r="K307" s="24">
        <v>30</v>
      </c>
      <c r="L307" s="24">
        <v>3513</v>
      </c>
      <c r="M307" s="24">
        <v>8547840</v>
      </c>
    </row>
    <row r="308" spans="1:13" s="48" customFormat="1" outlineLevel="2">
      <c r="A308" s="39" t="s">
        <v>142</v>
      </c>
      <c r="B308" s="40" t="s">
        <v>313</v>
      </c>
      <c r="C308" s="41" t="s">
        <v>149</v>
      </c>
      <c r="D308" s="40" t="s">
        <v>150</v>
      </c>
      <c r="E308" s="24">
        <v>6384000</v>
      </c>
      <c r="F308" s="39">
        <v>44244</v>
      </c>
      <c r="G308" s="24">
        <v>6384000</v>
      </c>
      <c r="H308" s="23">
        <v>5.0000000000000001E-3</v>
      </c>
      <c r="I308" s="39">
        <v>44348</v>
      </c>
      <c r="J308" s="39">
        <v>44377</v>
      </c>
      <c r="K308" s="24">
        <v>30</v>
      </c>
      <c r="L308" s="24">
        <v>2624</v>
      </c>
      <c r="M308" s="24">
        <v>6384000</v>
      </c>
    </row>
    <row r="309" spans="1:13" s="48" customFormat="1" outlineLevel="2">
      <c r="A309" s="39" t="s">
        <v>142</v>
      </c>
      <c r="B309" s="40" t="s">
        <v>312</v>
      </c>
      <c r="C309" s="41" t="s">
        <v>149</v>
      </c>
      <c r="D309" s="40" t="s">
        <v>150</v>
      </c>
      <c r="E309" s="24">
        <v>226800</v>
      </c>
      <c r="F309" s="39">
        <v>44244</v>
      </c>
      <c r="G309" s="24">
        <v>226800</v>
      </c>
      <c r="H309" s="23">
        <v>5.0000000000000001E-3</v>
      </c>
      <c r="I309" s="39">
        <v>44348</v>
      </c>
      <c r="J309" s="39">
        <v>44377</v>
      </c>
      <c r="K309" s="24">
        <v>30</v>
      </c>
      <c r="L309" s="24">
        <v>93</v>
      </c>
      <c r="M309" s="24">
        <v>226800</v>
      </c>
    </row>
    <row r="310" spans="1:13" s="48" customFormat="1" outlineLevel="2">
      <c r="A310" s="39" t="s">
        <v>142</v>
      </c>
      <c r="B310" s="40" t="s">
        <v>311</v>
      </c>
      <c r="C310" s="41" t="s">
        <v>155</v>
      </c>
      <c r="D310" s="40" t="s">
        <v>156</v>
      </c>
      <c r="E310" s="24">
        <v>100000000</v>
      </c>
      <c r="F310" s="39">
        <v>44236</v>
      </c>
      <c r="G310" s="24">
        <v>100000000</v>
      </c>
      <c r="H310" s="23">
        <v>5.0000000000000001E-3</v>
      </c>
      <c r="I310" s="39">
        <v>44348</v>
      </c>
      <c r="J310" s="39">
        <v>44377</v>
      </c>
      <c r="K310" s="24">
        <v>30</v>
      </c>
      <c r="L310" s="24">
        <v>41096</v>
      </c>
      <c r="M310" s="24">
        <v>100000000</v>
      </c>
    </row>
    <row r="311" spans="1:13" s="48" customFormat="1" outlineLevel="2">
      <c r="A311" s="39" t="s">
        <v>142</v>
      </c>
      <c r="B311" s="40" t="s">
        <v>310</v>
      </c>
      <c r="C311" s="41" t="s">
        <v>155</v>
      </c>
      <c r="D311" s="40" t="s">
        <v>156</v>
      </c>
      <c r="E311" s="24">
        <v>200000000</v>
      </c>
      <c r="F311" s="39">
        <v>44244</v>
      </c>
      <c r="G311" s="24">
        <v>200000000</v>
      </c>
      <c r="H311" s="23">
        <v>5.0000000000000001E-3</v>
      </c>
      <c r="I311" s="39">
        <v>44348</v>
      </c>
      <c r="J311" s="39">
        <v>44377</v>
      </c>
      <c r="K311" s="24">
        <v>30</v>
      </c>
      <c r="L311" s="24">
        <v>82192</v>
      </c>
      <c r="M311" s="24">
        <v>200000000</v>
      </c>
    </row>
    <row r="312" spans="1:13" s="48" customFormat="1" outlineLevel="2">
      <c r="A312" s="39" t="s">
        <v>142</v>
      </c>
      <c r="B312" s="40" t="s">
        <v>25</v>
      </c>
      <c r="C312" s="41" t="s">
        <v>143</v>
      </c>
      <c r="D312" s="40" t="s">
        <v>144</v>
      </c>
      <c r="E312" s="24">
        <v>38000000</v>
      </c>
      <c r="F312" s="39">
        <v>43962</v>
      </c>
      <c r="G312" s="24">
        <v>38000000</v>
      </c>
      <c r="H312" s="23">
        <v>5.0000000000000001E-3</v>
      </c>
      <c r="I312" s="39">
        <v>44348</v>
      </c>
      <c r="J312" s="39">
        <v>44377</v>
      </c>
      <c r="K312" s="24">
        <v>30</v>
      </c>
      <c r="L312" s="24">
        <v>15616</v>
      </c>
      <c r="M312" s="24">
        <v>38000000</v>
      </c>
    </row>
    <row r="313" spans="1:13" s="48" customFormat="1" outlineLevel="2">
      <c r="A313" s="39" t="s">
        <v>142</v>
      </c>
      <c r="B313" s="40" t="s">
        <v>309</v>
      </c>
      <c r="C313" s="41" t="s">
        <v>219</v>
      </c>
      <c r="D313" s="40" t="s">
        <v>220</v>
      </c>
      <c r="E313" s="24">
        <v>20000000</v>
      </c>
      <c r="F313" s="39">
        <v>44251</v>
      </c>
      <c r="G313" s="24">
        <v>20000000</v>
      </c>
      <c r="H313" s="23">
        <v>5.0000000000000001E-3</v>
      </c>
      <c r="I313" s="39">
        <v>44348</v>
      </c>
      <c r="J313" s="39">
        <v>44377</v>
      </c>
      <c r="K313" s="24">
        <v>30</v>
      </c>
      <c r="L313" s="24">
        <v>8219</v>
      </c>
      <c r="M313" s="24">
        <v>20000000</v>
      </c>
    </row>
    <row r="314" spans="1:13" s="48" customFormat="1" outlineLevel="2">
      <c r="A314" s="39" t="s">
        <v>142</v>
      </c>
      <c r="B314" s="40" t="s">
        <v>308</v>
      </c>
      <c r="C314" s="41" t="s">
        <v>125</v>
      </c>
      <c r="D314" s="40" t="s">
        <v>126</v>
      </c>
      <c r="E314" s="24">
        <v>5000000</v>
      </c>
      <c r="F314" s="39">
        <v>44251</v>
      </c>
      <c r="G314" s="24">
        <v>5000000</v>
      </c>
      <c r="H314" s="23">
        <v>5.0000000000000001E-3</v>
      </c>
      <c r="I314" s="39">
        <v>44348</v>
      </c>
      <c r="J314" s="39">
        <v>44377</v>
      </c>
      <c r="K314" s="24">
        <v>30</v>
      </c>
      <c r="L314" s="24">
        <v>2055</v>
      </c>
      <c r="M314" s="24">
        <v>5000000</v>
      </c>
    </row>
    <row r="315" spans="1:13" s="48" customFormat="1" outlineLevel="2">
      <c r="A315" s="39" t="s">
        <v>142</v>
      </c>
      <c r="B315" s="40" t="s">
        <v>307</v>
      </c>
      <c r="C315" s="41" t="s">
        <v>89</v>
      </c>
      <c r="D315" s="40" t="s">
        <v>90</v>
      </c>
      <c r="E315" s="24">
        <v>80000000</v>
      </c>
      <c r="F315" s="39">
        <v>44253</v>
      </c>
      <c r="G315" s="24">
        <v>80000000</v>
      </c>
      <c r="H315" s="23">
        <v>5.0000000000000001E-3</v>
      </c>
      <c r="I315" s="39">
        <v>44348</v>
      </c>
      <c r="J315" s="39">
        <v>44377</v>
      </c>
      <c r="K315" s="24">
        <v>30</v>
      </c>
      <c r="L315" s="24">
        <v>32877</v>
      </c>
      <c r="M315" s="24">
        <v>80000000</v>
      </c>
    </row>
    <row r="316" spans="1:13" s="48" customFormat="1" outlineLevel="2">
      <c r="A316" s="39" t="s">
        <v>142</v>
      </c>
      <c r="B316" s="40" t="s">
        <v>335</v>
      </c>
      <c r="C316" s="41" t="s">
        <v>143</v>
      </c>
      <c r="D316" s="40" t="s">
        <v>144</v>
      </c>
      <c r="E316" s="24">
        <v>1350000</v>
      </c>
      <c r="F316" s="39">
        <v>44257</v>
      </c>
      <c r="G316" s="24">
        <v>1350000</v>
      </c>
      <c r="H316" s="23">
        <v>5.0000000000000001E-3</v>
      </c>
      <c r="I316" s="39">
        <v>44348</v>
      </c>
      <c r="J316" s="39">
        <v>44377</v>
      </c>
      <c r="K316" s="24">
        <v>30</v>
      </c>
      <c r="L316" s="24">
        <v>555</v>
      </c>
      <c r="M316" s="24">
        <v>1350000</v>
      </c>
    </row>
    <row r="317" spans="1:13" s="48" customFormat="1" outlineLevel="2">
      <c r="A317" s="39" t="s">
        <v>142</v>
      </c>
      <c r="B317" s="40" t="s">
        <v>334</v>
      </c>
      <c r="C317" s="41" t="s">
        <v>143</v>
      </c>
      <c r="D317" s="40" t="s">
        <v>144</v>
      </c>
      <c r="E317" s="24">
        <v>3000000</v>
      </c>
      <c r="F317" s="39">
        <v>44286</v>
      </c>
      <c r="G317" s="24">
        <v>3000000</v>
      </c>
      <c r="H317" s="23">
        <v>5.0000000000000001E-3</v>
      </c>
      <c r="I317" s="39">
        <v>44348</v>
      </c>
      <c r="J317" s="39">
        <v>44377</v>
      </c>
      <c r="K317" s="24">
        <v>30</v>
      </c>
      <c r="L317" s="24">
        <v>1233</v>
      </c>
      <c r="M317" s="24">
        <v>3000000</v>
      </c>
    </row>
    <row r="318" spans="1:13" s="48" customFormat="1" outlineLevel="2">
      <c r="A318" s="39" t="s">
        <v>142</v>
      </c>
      <c r="B318" s="40" t="s">
        <v>333</v>
      </c>
      <c r="C318" s="41" t="s">
        <v>143</v>
      </c>
      <c r="D318" s="40" t="s">
        <v>144</v>
      </c>
      <c r="E318" s="24">
        <v>12800000</v>
      </c>
      <c r="F318" s="39">
        <v>44286</v>
      </c>
      <c r="G318" s="24">
        <v>12800000</v>
      </c>
      <c r="H318" s="23">
        <v>5.0000000000000001E-3</v>
      </c>
      <c r="I318" s="39">
        <v>44348</v>
      </c>
      <c r="J318" s="39">
        <v>44377</v>
      </c>
      <c r="K318" s="24">
        <v>30</v>
      </c>
      <c r="L318" s="24">
        <v>5260</v>
      </c>
      <c r="M318" s="24">
        <v>12800000</v>
      </c>
    </row>
    <row r="319" spans="1:13" s="48" customFormat="1" outlineLevel="2">
      <c r="A319" s="39" t="s">
        <v>142</v>
      </c>
      <c r="B319" s="40" t="s">
        <v>332</v>
      </c>
      <c r="C319" s="41" t="s">
        <v>125</v>
      </c>
      <c r="D319" s="40" t="s">
        <v>126</v>
      </c>
      <c r="E319" s="24">
        <v>29000000</v>
      </c>
      <c r="F319" s="39">
        <v>44257</v>
      </c>
      <c r="G319" s="24">
        <v>29000000</v>
      </c>
      <c r="H319" s="23">
        <v>5.0000000000000001E-3</v>
      </c>
      <c r="I319" s="39">
        <v>44348</v>
      </c>
      <c r="J319" s="39">
        <v>44377</v>
      </c>
      <c r="K319" s="24">
        <v>30</v>
      </c>
      <c r="L319" s="24">
        <v>11918</v>
      </c>
      <c r="M319" s="24">
        <v>29000000</v>
      </c>
    </row>
    <row r="320" spans="1:13" s="48" customFormat="1" outlineLevel="2">
      <c r="A320" s="39" t="s">
        <v>142</v>
      </c>
      <c r="B320" s="40" t="s">
        <v>331</v>
      </c>
      <c r="C320" s="41" t="s">
        <v>125</v>
      </c>
      <c r="D320" s="40" t="s">
        <v>126</v>
      </c>
      <c r="E320" s="24">
        <v>5000000</v>
      </c>
      <c r="F320" s="39">
        <v>44279</v>
      </c>
      <c r="G320" s="24">
        <v>5000000</v>
      </c>
      <c r="H320" s="23">
        <v>5.0000000000000001E-3</v>
      </c>
      <c r="I320" s="39">
        <v>44348</v>
      </c>
      <c r="J320" s="39">
        <v>44377</v>
      </c>
      <c r="K320" s="24">
        <v>30</v>
      </c>
      <c r="L320" s="24">
        <v>2055</v>
      </c>
      <c r="M320" s="24">
        <v>5000000</v>
      </c>
    </row>
    <row r="321" spans="1:13" s="48" customFormat="1" outlineLevel="2">
      <c r="A321" s="39" t="s">
        <v>142</v>
      </c>
      <c r="B321" s="40" t="s">
        <v>330</v>
      </c>
      <c r="C321" s="41" t="s">
        <v>125</v>
      </c>
      <c r="D321" s="40" t="s">
        <v>126</v>
      </c>
      <c r="E321" s="24">
        <v>5000000</v>
      </c>
      <c r="F321" s="39">
        <v>44286</v>
      </c>
      <c r="G321" s="24">
        <v>5000000</v>
      </c>
      <c r="H321" s="23">
        <v>5.0000000000000001E-3</v>
      </c>
      <c r="I321" s="39">
        <v>44348</v>
      </c>
      <c r="J321" s="39">
        <v>44377</v>
      </c>
      <c r="K321" s="24">
        <v>30</v>
      </c>
      <c r="L321" s="24">
        <v>2055</v>
      </c>
      <c r="M321" s="24">
        <v>5000000</v>
      </c>
    </row>
    <row r="322" spans="1:13" s="48" customFormat="1" outlineLevel="2">
      <c r="A322" s="39" t="s">
        <v>142</v>
      </c>
      <c r="B322" s="40" t="s">
        <v>329</v>
      </c>
      <c r="C322" s="41" t="s">
        <v>149</v>
      </c>
      <c r="D322" s="40" t="s">
        <v>150</v>
      </c>
      <c r="E322" s="24">
        <v>1176000</v>
      </c>
      <c r="F322" s="39">
        <v>44270</v>
      </c>
      <c r="G322" s="24">
        <v>1176000</v>
      </c>
      <c r="H322" s="23">
        <v>5.0000000000000001E-3</v>
      </c>
      <c r="I322" s="39">
        <v>44348</v>
      </c>
      <c r="J322" s="39">
        <v>44377</v>
      </c>
      <c r="K322" s="24">
        <v>30</v>
      </c>
      <c r="L322" s="24">
        <v>483</v>
      </c>
      <c r="M322" s="24">
        <v>1176000</v>
      </c>
    </row>
    <row r="323" spans="1:13" s="48" customFormat="1" outlineLevel="2">
      <c r="A323" s="39" t="s">
        <v>142</v>
      </c>
      <c r="B323" s="40" t="s">
        <v>26</v>
      </c>
      <c r="C323" s="41" t="s">
        <v>143</v>
      </c>
      <c r="D323" s="40" t="s">
        <v>144</v>
      </c>
      <c r="E323" s="24">
        <v>10500000</v>
      </c>
      <c r="F323" s="39">
        <v>43962</v>
      </c>
      <c r="G323" s="24">
        <v>10500000</v>
      </c>
      <c r="H323" s="23">
        <v>5.0000000000000001E-3</v>
      </c>
      <c r="I323" s="39">
        <v>44348</v>
      </c>
      <c r="J323" s="39">
        <v>44377</v>
      </c>
      <c r="K323" s="24">
        <v>30</v>
      </c>
      <c r="L323" s="24">
        <v>4315</v>
      </c>
      <c r="M323" s="24">
        <v>10500000</v>
      </c>
    </row>
    <row r="324" spans="1:13" s="48" customFormat="1" outlineLevel="2">
      <c r="A324" s="39" t="s">
        <v>142</v>
      </c>
      <c r="B324" s="40" t="s">
        <v>328</v>
      </c>
      <c r="C324" s="41" t="s">
        <v>149</v>
      </c>
      <c r="D324" s="40" t="s">
        <v>150</v>
      </c>
      <c r="E324" s="24">
        <v>840000</v>
      </c>
      <c r="F324" s="39">
        <v>44270</v>
      </c>
      <c r="G324" s="24">
        <v>840000</v>
      </c>
      <c r="H324" s="23">
        <v>5.0000000000000001E-3</v>
      </c>
      <c r="I324" s="39">
        <v>44348</v>
      </c>
      <c r="J324" s="39">
        <v>44377</v>
      </c>
      <c r="K324" s="24">
        <v>30</v>
      </c>
      <c r="L324" s="24">
        <v>345</v>
      </c>
      <c r="M324" s="24">
        <v>840000</v>
      </c>
    </row>
    <row r="325" spans="1:13" s="48" customFormat="1" outlineLevel="2">
      <c r="A325" s="39" t="s">
        <v>142</v>
      </c>
      <c r="B325" s="40" t="s">
        <v>327</v>
      </c>
      <c r="C325" s="41" t="s">
        <v>187</v>
      </c>
      <c r="D325" s="40" t="s">
        <v>188</v>
      </c>
      <c r="E325" s="24">
        <v>190400000</v>
      </c>
      <c r="F325" s="39">
        <v>44273</v>
      </c>
      <c r="G325" s="24">
        <v>190400000</v>
      </c>
      <c r="H325" s="23">
        <v>5.0000000000000001E-3</v>
      </c>
      <c r="I325" s="39">
        <v>44348</v>
      </c>
      <c r="J325" s="39">
        <v>44377</v>
      </c>
      <c r="K325" s="24">
        <v>30</v>
      </c>
      <c r="L325" s="24">
        <v>78247</v>
      </c>
      <c r="M325" s="24">
        <v>190400000</v>
      </c>
    </row>
    <row r="326" spans="1:13" s="48" customFormat="1" outlineLevel="2">
      <c r="A326" s="39" t="s">
        <v>142</v>
      </c>
      <c r="B326" s="40" t="s">
        <v>326</v>
      </c>
      <c r="C326" s="41" t="s">
        <v>121</v>
      </c>
      <c r="D326" s="40" t="s">
        <v>122</v>
      </c>
      <c r="E326" s="24">
        <v>54000000</v>
      </c>
      <c r="F326" s="39">
        <v>44278</v>
      </c>
      <c r="G326" s="24">
        <v>54000000</v>
      </c>
      <c r="H326" s="23">
        <v>5.0000000000000001E-3</v>
      </c>
      <c r="I326" s="39">
        <v>44348</v>
      </c>
      <c r="J326" s="39">
        <v>44377</v>
      </c>
      <c r="K326" s="24">
        <v>30</v>
      </c>
      <c r="L326" s="24">
        <v>22192</v>
      </c>
      <c r="M326" s="24">
        <v>54000000</v>
      </c>
    </row>
    <row r="327" spans="1:13" s="48" customFormat="1" outlineLevel="2">
      <c r="A327" s="39" t="s">
        <v>142</v>
      </c>
      <c r="B327" s="40" t="s">
        <v>325</v>
      </c>
      <c r="C327" s="41" t="s">
        <v>165</v>
      </c>
      <c r="D327" s="40" t="s">
        <v>166</v>
      </c>
      <c r="E327" s="24">
        <v>24800000</v>
      </c>
      <c r="F327" s="39">
        <v>44284</v>
      </c>
      <c r="G327" s="24">
        <v>24800000</v>
      </c>
      <c r="H327" s="23">
        <v>5.0000000000000001E-3</v>
      </c>
      <c r="I327" s="39">
        <v>44348</v>
      </c>
      <c r="J327" s="39">
        <v>44377</v>
      </c>
      <c r="K327" s="24">
        <v>30</v>
      </c>
      <c r="L327" s="24">
        <v>10192</v>
      </c>
      <c r="M327" s="24">
        <v>24800000</v>
      </c>
    </row>
    <row r="328" spans="1:13" s="48" customFormat="1" outlineLevel="2">
      <c r="A328" s="39" t="s">
        <v>142</v>
      </c>
      <c r="B328" s="40" t="s">
        <v>361</v>
      </c>
      <c r="C328" s="41" t="s">
        <v>85</v>
      </c>
      <c r="D328" s="40" t="s">
        <v>86</v>
      </c>
      <c r="E328" s="24">
        <v>2500000</v>
      </c>
      <c r="F328" s="39">
        <v>44287</v>
      </c>
      <c r="G328" s="24">
        <v>2500000</v>
      </c>
      <c r="H328" s="23">
        <v>5.0000000000000001E-3</v>
      </c>
      <c r="I328" s="39">
        <v>44348</v>
      </c>
      <c r="J328" s="39">
        <v>44377</v>
      </c>
      <c r="K328" s="24">
        <v>30</v>
      </c>
      <c r="L328" s="24">
        <v>1027</v>
      </c>
      <c r="M328" s="24">
        <v>2500000</v>
      </c>
    </row>
    <row r="329" spans="1:13" s="48" customFormat="1" outlineLevel="2">
      <c r="A329" s="39" t="s">
        <v>142</v>
      </c>
      <c r="B329" s="40" t="s">
        <v>360</v>
      </c>
      <c r="C329" s="41" t="s">
        <v>85</v>
      </c>
      <c r="D329" s="40" t="s">
        <v>86</v>
      </c>
      <c r="E329" s="24">
        <v>7500000</v>
      </c>
      <c r="F329" s="39">
        <v>44287</v>
      </c>
      <c r="G329" s="24">
        <v>7500000</v>
      </c>
      <c r="H329" s="23">
        <v>5.0000000000000001E-3</v>
      </c>
      <c r="I329" s="39">
        <v>44348</v>
      </c>
      <c r="J329" s="39">
        <v>44377</v>
      </c>
      <c r="K329" s="24">
        <v>30</v>
      </c>
      <c r="L329" s="24">
        <v>3082</v>
      </c>
      <c r="M329" s="24">
        <v>7500000</v>
      </c>
    </row>
    <row r="330" spans="1:13" s="48" customFormat="1" outlineLevel="2">
      <c r="A330" s="39" t="s">
        <v>142</v>
      </c>
      <c r="B330" s="40" t="s">
        <v>359</v>
      </c>
      <c r="C330" s="41" t="s">
        <v>85</v>
      </c>
      <c r="D330" s="40" t="s">
        <v>86</v>
      </c>
      <c r="E330" s="24">
        <v>4975000</v>
      </c>
      <c r="F330" s="39">
        <v>44306</v>
      </c>
      <c r="G330" s="24">
        <v>4975000</v>
      </c>
      <c r="H330" s="23">
        <v>5.0000000000000001E-3</v>
      </c>
      <c r="I330" s="39">
        <v>44348</v>
      </c>
      <c r="J330" s="39">
        <v>44377</v>
      </c>
      <c r="K330" s="24">
        <v>30</v>
      </c>
      <c r="L330" s="24">
        <v>2045</v>
      </c>
      <c r="M330" s="24">
        <v>4975000</v>
      </c>
    </row>
    <row r="331" spans="1:13" s="48" customFormat="1" outlineLevel="2">
      <c r="A331" s="39" t="s">
        <v>142</v>
      </c>
      <c r="B331" s="40" t="s">
        <v>358</v>
      </c>
      <c r="C331" s="41" t="s">
        <v>85</v>
      </c>
      <c r="D331" s="40" t="s">
        <v>86</v>
      </c>
      <c r="E331" s="24">
        <v>14925000</v>
      </c>
      <c r="F331" s="39">
        <v>44306</v>
      </c>
      <c r="G331" s="24">
        <v>14925000</v>
      </c>
      <c r="H331" s="23">
        <v>5.0000000000000001E-3</v>
      </c>
      <c r="I331" s="39">
        <v>44348</v>
      </c>
      <c r="J331" s="39">
        <v>44377</v>
      </c>
      <c r="K331" s="24">
        <v>30</v>
      </c>
      <c r="L331" s="24">
        <v>6134</v>
      </c>
      <c r="M331" s="24">
        <v>14925000</v>
      </c>
    </row>
    <row r="332" spans="1:13" s="48" customFormat="1" outlineLevel="2">
      <c r="A332" s="39" t="s">
        <v>142</v>
      </c>
      <c r="B332" s="40" t="s">
        <v>357</v>
      </c>
      <c r="C332" s="41" t="s">
        <v>149</v>
      </c>
      <c r="D332" s="40" t="s">
        <v>150</v>
      </c>
      <c r="E332" s="24">
        <v>1663200</v>
      </c>
      <c r="F332" s="39">
        <v>44294</v>
      </c>
      <c r="G332" s="24">
        <v>1663200</v>
      </c>
      <c r="H332" s="23">
        <v>5.0000000000000001E-3</v>
      </c>
      <c r="I332" s="39">
        <v>44348</v>
      </c>
      <c r="J332" s="39">
        <v>44377</v>
      </c>
      <c r="K332" s="24">
        <v>30</v>
      </c>
      <c r="L332" s="24">
        <v>684</v>
      </c>
      <c r="M332" s="24">
        <v>1663200</v>
      </c>
    </row>
    <row r="333" spans="1:13" s="48" customFormat="1" outlineLevel="2">
      <c r="A333" s="39" t="s">
        <v>142</v>
      </c>
      <c r="B333" s="40" t="s">
        <v>356</v>
      </c>
      <c r="C333" s="41" t="s">
        <v>149</v>
      </c>
      <c r="D333" s="40" t="s">
        <v>150</v>
      </c>
      <c r="E333" s="24">
        <v>3528000</v>
      </c>
      <c r="F333" s="39">
        <v>44300</v>
      </c>
      <c r="G333" s="24">
        <v>3528000</v>
      </c>
      <c r="H333" s="23">
        <v>5.0000000000000001E-3</v>
      </c>
      <c r="I333" s="39">
        <v>44348</v>
      </c>
      <c r="J333" s="39">
        <v>44377</v>
      </c>
      <c r="K333" s="24">
        <v>30</v>
      </c>
      <c r="L333" s="24">
        <v>1450</v>
      </c>
      <c r="M333" s="24">
        <v>3528000</v>
      </c>
    </row>
    <row r="334" spans="1:13" s="48" customFormat="1" outlineLevel="2">
      <c r="A334" s="39" t="s">
        <v>142</v>
      </c>
      <c r="B334" s="40" t="s">
        <v>29</v>
      </c>
      <c r="C334" s="41" t="s">
        <v>123</v>
      </c>
      <c r="D334" s="40" t="s">
        <v>124</v>
      </c>
      <c r="E334" s="24">
        <v>160000000</v>
      </c>
      <c r="F334" s="39">
        <v>43970</v>
      </c>
      <c r="G334" s="24">
        <v>160000000</v>
      </c>
      <c r="H334" s="23">
        <v>5.0000000000000001E-3</v>
      </c>
      <c r="I334" s="39">
        <v>44348</v>
      </c>
      <c r="J334" s="39">
        <v>44377</v>
      </c>
      <c r="K334" s="24">
        <v>30</v>
      </c>
      <c r="L334" s="24">
        <v>65753</v>
      </c>
      <c r="M334" s="24">
        <v>160000000</v>
      </c>
    </row>
    <row r="335" spans="1:13" s="48" customFormat="1" outlineLevel="2">
      <c r="A335" s="39" t="s">
        <v>142</v>
      </c>
      <c r="B335" s="40" t="s">
        <v>355</v>
      </c>
      <c r="C335" s="41" t="s">
        <v>149</v>
      </c>
      <c r="D335" s="40" t="s">
        <v>150</v>
      </c>
      <c r="E335" s="24">
        <v>12213027</v>
      </c>
      <c r="F335" s="39">
        <v>44307</v>
      </c>
      <c r="G335" s="24">
        <v>12213027</v>
      </c>
      <c r="H335" s="23">
        <v>5.0000000000000001E-3</v>
      </c>
      <c r="I335" s="39">
        <v>44348</v>
      </c>
      <c r="J335" s="39">
        <v>44377</v>
      </c>
      <c r="K335" s="24">
        <v>30</v>
      </c>
      <c r="L335" s="24">
        <v>5019</v>
      </c>
      <c r="M335" s="24">
        <v>12213027</v>
      </c>
    </row>
    <row r="336" spans="1:13" s="48" customFormat="1" outlineLevel="2">
      <c r="A336" s="39" t="s">
        <v>142</v>
      </c>
      <c r="B336" s="40" t="s">
        <v>354</v>
      </c>
      <c r="C336" s="41" t="s">
        <v>149</v>
      </c>
      <c r="D336" s="40" t="s">
        <v>150</v>
      </c>
      <c r="E336" s="24">
        <v>11337919</v>
      </c>
      <c r="F336" s="39">
        <v>44314</v>
      </c>
      <c r="G336" s="24">
        <v>11337919</v>
      </c>
      <c r="H336" s="23">
        <v>5.0000000000000001E-3</v>
      </c>
      <c r="I336" s="39">
        <v>44348</v>
      </c>
      <c r="J336" s="39">
        <v>44377</v>
      </c>
      <c r="K336" s="24">
        <v>30</v>
      </c>
      <c r="L336" s="24">
        <v>4659</v>
      </c>
      <c r="M336" s="24">
        <v>11337919</v>
      </c>
    </row>
    <row r="337" spans="1:13" s="48" customFormat="1" outlineLevel="2">
      <c r="A337" s="39" t="s">
        <v>142</v>
      </c>
      <c r="B337" s="40" t="s">
        <v>353</v>
      </c>
      <c r="C337" s="41" t="s">
        <v>219</v>
      </c>
      <c r="D337" s="40" t="s">
        <v>220</v>
      </c>
      <c r="E337" s="24">
        <v>20000000</v>
      </c>
      <c r="F337" s="39">
        <v>44308</v>
      </c>
      <c r="G337" s="24">
        <v>20000000</v>
      </c>
      <c r="H337" s="23">
        <v>5.0000000000000001E-3</v>
      </c>
      <c r="I337" s="39">
        <v>44348</v>
      </c>
      <c r="J337" s="39">
        <v>44377</v>
      </c>
      <c r="K337" s="24">
        <v>30</v>
      </c>
      <c r="L337" s="24">
        <v>8219</v>
      </c>
      <c r="M337" s="24">
        <v>20000000</v>
      </c>
    </row>
    <row r="338" spans="1:13" s="48" customFormat="1" outlineLevel="2">
      <c r="A338" s="39" t="s">
        <v>142</v>
      </c>
      <c r="B338" s="40" t="s">
        <v>352</v>
      </c>
      <c r="C338" s="41" t="s">
        <v>351</v>
      </c>
      <c r="D338" s="40" t="s">
        <v>350</v>
      </c>
      <c r="E338" s="24">
        <v>9800000</v>
      </c>
      <c r="F338" s="39">
        <v>44313</v>
      </c>
      <c r="G338" s="24">
        <v>9800000</v>
      </c>
      <c r="H338" s="23">
        <v>5.0000000000000001E-3</v>
      </c>
      <c r="I338" s="39">
        <v>44348</v>
      </c>
      <c r="J338" s="39">
        <v>44377</v>
      </c>
      <c r="K338" s="24">
        <v>30</v>
      </c>
      <c r="L338" s="24">
        <v>4027</v>
      </c>
      <c r="M338" s="24">
        <v>9800000</v>
      </c>
    </row>
    <row r="339" spans="1:13" s="48" customFormat="1" outlineLevel="2">
      <c r="A339" s="39" t="s">
        <v>142</v>
      </c>
      <c r="B339" s="40" t="s">
        <v>349</v>
      </c>
      <c r="C339" s="41" t="s">
        <v>345</v>
      </c>
      <c r="D339" s="40" t="s">
        <v>344</v>
      </c>
      <c r="E339" s="24">
        <v>37000000</v>
      </c>
      <c r="F339" s="39">
        <v>44314</v>
      </c>
      <c r="G339" s="24">
        <v>37000000</v>
      </c>
      <c r="H339" s="23">
        <v>5.0000000000000001E-3</v>
      </c>
      <c r="I339" s="39">
        <v>44348</v>
      </c>
      <c r="J339" s="39">
        <v>44377</v>
      </c>
      <c r="K339" s="24">
        <v>30</v>
      </c>
      <c r="L339" s="24">
        <v>15205</v>
      </c>
      <c r="M339" s="24">
        <v>37000000</v>
      </c>
    </row>
    <row r="340" spans="1:13" s="48" customFormat="1" outlineLevel="2">
      <c r="A340" s="39" t="s">
        <v>142</v>
      </c>
      <c r="B340" s="40" t="s">
        <v>348</v>
      </c>
      <c r="C340" s="41" t="s">
        <v>163</v>
      </c>
      <c r="D340" s="40" t="s">
        <v>164</v>
      </c>
      <c r="E340" s="24">
        <v>70000000</v>
      </c>
      <c r="F340" s="39">
        <v>44315</v>
      </c>
      <c r="G340" s="24">
        <v>69363636</v>
      </c>
      <c r="H340" s="23">
        <v>5.0000000000000001E-3</v>
      </c>
      <c r="I340" s="39">
        <v>44348</v>
      </c>
      <c r="J340" s="39">
        <v>44361</v>
      </c>
      <c r="K340" s="24">
        <v>14</v>
      </c>
      <c r="L340" s="24">
        <v>13303</v>
      </c>
      <c r="M340" s="24">
        <v>68727272</v>
      </c>
    </row>
    <row r="341" spans="1:13" s="48" customFormat="1" outlineLevel="2">
      <c r="A341" s="39" t="s">
        <v>142</v>
      </c>
      <c r="B341" s="40" t="s">
        <v>348</v>
      </c>
      <c r="C341" s="41" t="s">
        <v>163</v>
      </c>
      <c r="D341" s="40"/>
      <c r="E341" s="24"/>
      <c r="F341" s="39"/>
      <c r="G341" s="24">
        <v>68727272</v>
      </c>
      <c r="H341" s="23">
        <v>5.0000000000000001E-3</v>
      </c>
      <c r="I341" s="39">
        <v>44362</v>
      </c>
      <c r="J341" s="39">
        <v>44377</v>
      </c>
      <c r="K341" s="24">
        <v>16</v>
      </c>
      <c r="L341" s="24">
        <v>15064</v>
      </c>
      <c r="M341" s="24"/>
    </row>
    <row r="342" spans="1:13" s="48" customFormat="1" outlineLevel="2">
      <c r="A342" s="39" t="s">
        <v>142</v>
      </c>
      <c r="B342" s="40" t="s">
        <v>347</v>
      </c>
      <c r="C342" s="41" t="s">
        <v>163</v>
      </c>
      <c r="D342" s="40" t="s">
        <v>164</v>
      </c>
      <c r="E342" s="24">
        <v>10000000</v>
      </c>
      <c r="F342" s="39">
        <v>44315</v>
      </c>
      <c r="G342" s="24">
        <v>9880952</v>
      </c>
      <c r="H342" s="23">
        <v>5.0000000000000001E-3</v>
      </c>
      <c r="I342" s="39">
        <v>44348</v>
      </c>
      <c r="J342" s="39">
        <v>44361</v>
      </c>
      <c r="K342" s="24">
        <v>14</v>
      </c>
      <c r="L342" s="24">
        <v>1895</v>
      </c>
      <c r="M342" s="24">
        <v>9761904</v>
      </c>
    </row>
    <row r="343" spans="1:13" s="48" customFormat="1" outlineLevel="2">
      <c r="A343" s="39" t="s">
        <v>142</v>
      </c>
      <c r="B343" s="40" t="s">
        <v>347</v>
      </c>
      <c r="C343" s="41" t="s">
        <v>163</v>
      </c>
      <c r="D343" s="40"/>
      <c r="E343" s="24"/>
      <c r="F343" s="39"/>
      <c r="G343" s="24">
        <v>9761904</v>
      </c>
      <c r="H343" s="23">
        <v>5.0000000000000001E-3</v>
      </c>
      <c r="I343" s="39">
        <v>44362</v>
      </c>
      <c r="J343" s="39">
        <v>44377</v>
      </c>
      <c r="K343" s="24">
        <v>16</v>
      </c>
      <c r="L343" s="24">
        <v>2140</v>
      </c>
      <c r="M343" s="24"/>
    </row>
    <row r="344" spans="1:13" s="48" customFormat="1" outlineLevel="2">
      <c r="A344" s="39" t="s">
        <v>142</v>
      </c>
      <c r="B344" s="40" t="s">
        <v>346</v>
      </c>
      <c r="C344" s="41" t="s">
        <v>163</v>
      </c>
      <c r="D344" s="40" t="s">
        <v>164</v>
      </c>
      <c r="E344" s="24">
        <v>40000000</v>
      </c>
      <c r="F344" s="39">
        <v>44315</v>
      </c>
      <c r="G344" s="24">
        <v>39523810</v>
      </c>
      <c r="H344" s="23">
        <v>5.0000000000000001E-3</v>
      </c>
      <c r="I344" s="39">
        <v>44348</v>
      </c>
      <c r="J344" s="39">
        <v>44361</v>
      </c>
      <c r="K344" s="24">
        <v>14</v>
      </c>
      <c r="L344" s="24">
        <v>7580</v>
      </c>
      <c r="M344" s="24">
        <v>39047620</v>
      </c>
    </row>
    <row r="345" spans="1:13" s="48" customFormat="1" outlineLevel="2">
      <c r="A345" s="39" t="s">
        <v>142</v>
      </c>
      <c r="B345" s="40" t="s">
        <v>346</v>
      </c>
      <c r="C345" s="41" t="s">
        <v>163</v>
      </c>
      <c r="D345" s="40"/>
      <c r="E345" s="24"/>
      <c r="F345" s="39"/>
      <c r="G345" s="24">
        <v>39047620</v>
      </c>
      <c r="H345" s="23">
        <v>5.0000000000000001E-3</v>
      </c>
      <c r="I345" s="39">
        <v>44362</v>
      </c>
      <c r="J345" s="39">
        <v>44377</v>
      </c>
      <c r="K345" s="24">
        <v>16</v>
      </c>
      <c r="L345" s="24">
        <v>8558</v>
      </c>
      <c r="M345" s="24"/>
    </row>
    <row r="346" spans="1:13" s="48" customFormat="1" outlineLevel="2">
      <c r="A346" s="39" t="s">
        <v>142</v>
      </c>
      <c r="B346" s="40" t="s">
        <v>373</v>
      </c>
      <c r="C346" s="41" t="s">
        <v>149</v>
      </c>
      <c r="D346" s="40" t="s">
        <v>150</v>
      </c>
      <c r="E346" s="24">
        <v>10752000</v>
      </c>
      <c r="F346" s="39">
        <v>44320</v>
      </c>
      <c r="G346" s="24">
        <v>10752000</v>
      </c>
      <c r="H346" s="23">
        <v>5.0000000000000001E-3</v>
      </c>
      <c r="I346" s="39">
        <v>44348</v>
      </c>
      <c r="J346" s="39">
        <v>44377</v>
      </c>
      <c r="K346" s="24">
        <v>30</v>
      </c>
      <c r="L346" s="24">
        <v>4419</v>
      </c>
      <c r="M346" s="24">
        <v>10752000</v>
      </c>
    </row>
    <row r="347" spans="1:13" s="48" customFormat="1" outlineLevel="2">
      <c r="A347" s="39" t="s">
        <v>142</v>
      </c>
      <c r="B347" s="40" t="s">
        <v>372</v>
      </c>
      <c r="C347" s="41" t="s">
        <v>149</v>
      </c>
      <c r="D347" s="40" t="s">
        <v>150</v>
      </c>
      <c r="E347" s="24">
        <v>4200000</v>
      </c>
      <c r="F347" s="39">
        <v>44320</v>
      </c>
      <c r="G347" s="24">
        <v>4200000</v>
      </c>
      <c r="H347" s="23">
        <v>5.0000000000000001E-3</v>
      </c>
      <c r="I347" s="39">
        <v>44348</v>
      </c>
      <c r="J347" s="39">
        <v>44377</v>
      </c>
      <c r="K347" s="24">
        <v>30</v>
      </c>
      <c r="L347" s="24">
        <v>1726</v>
      </c>
      <c r="M347" s="24">
        <v>4200000</v>
      </c>
    </row>
    <row r="348" spans="1:13" s="48" customFormat="1" outlineLevel="2">
      <c r="A348" s="39" t="s">
        <v>142</v>
      </c>
      <c r="B348" s="40" t="s">
        <v>32</v>
      </c>
      <c r="C348" s="41" t="s">
        <v>160</v>
      </c>
      <c r="D348" s="40" t="s">
        <v>150</v>
      </c>
      <c r="E348" s="24">
        <v>13104000</v>
      </c>
      <c r="F348" s="39">
        <v>43979</v>
      </c>
      <c r="G348" s="24">
        <v>13104000</v>
      </c>
      <c r="H348" s="23">
        <v>5.0000000000000001E-3</v>
      </c>
      <c r="I348" s="39">
        <v>44348</v>
      </c>
      <c r="J348" s="39">
        <v>44377</v>
      </c>
      <c r="K348" s="24">
        <v>30</v>
      </c>
      <c r="L348" s="24">
        <v>5385</v>
      </c>
      <c r="M348" s="24">
        <v>13104000</v>
      </c>
    </row>
    <row r="349" spans="1:13" s="48" customFormat="1" outlineLevel="2">
      <c r="A349" s="39" t="s">
        <v>142</v>
      </c>
      <c r="B349" s="40" t="s">
        <v>371</v>
      </c>
      <c r="C349" s="41" t="s">
        <v>149</v>
      </c>
      <c r="D349" s="40" t="s">
        <v>150</v>
      </c>
      <c r="E349" s="24">
        <v>4200000</v>
      </c>
      <c r="F349" s="39">
        <v>44320</v>
      </c>
      <c r="G349" s="24">
        <v>4200000</v>
      </c>
      <c r="H349" s="23">
        <v>5.0000000000000001E-3</v>
      </c>
      <c r="I349" s="39">
        <v>44348</v>
      </c>
      <c r="J349" s="39">
        <v>44377</v>
      </c>
      <c r="K349" s="24">
        <v>30</v>
      </c>
      <c r="L349" s="24">
        <v>1726</v>
      </c>
      <c r="M349" s="24">
        <v>4200000</v>
      </c>
    </row>
    <row r="350" spans="1:13" s="48" customFormat="1" outlineLevel="2">
      <c r="A350" s="39" t="s">
        <v>142</v>
      </c>
      <c r="B350" s="40" t="s">
        <v>370</v>
      </c>
      <c r="C350" s="41" t="s">
        <v>351</v>
      </c>
      <c r="D350" s="40" t="s">
        <v>350</v>
      </c>
      <c r="E350" s="24">
        <v>5100000</v>
      </c>
      <c r="F350" s="39">
        <v>44330</v>
      </c>
      <c r="G350" s="24">
        <v>5100000</v>
      </c>
      <c r="H350" s="23">
        <v>5.0000000000000001E-3</v>
      </c>
      <c r="I350" s="39">
        <v>44348</v>
      </c>
      <c r="J350" s="39">
        <v>44377</v>
      </c>
      <c r="K350" s="24">
        <v>30</v>
      </c>
      <c r="L350" s="24">
        <v>2096</v>
      </c>
      <c r="M350" s="24">
        <v>5100000</v>
      </c>
    </row>
    <row r="351" spans="1:13" s="48" customFormat="1" outlineLevel="2">
      <c r="A351" s="39" t="s">
        <v>142</v>
      </c>
      <c r="B351" s="40" t="s">
        <v>369</v>
      </c>
      <c r="C351" s="41" t="s">
        <v>149</v>
      </c>
      <c r="D351" s="40" t="s">
        <v>150</v>
      </c>
      <c r="E351" s="24">
        <v>100000000</v>
      </c>
      <c r="F351" s="39">
        <v>44335</v>
      </c>
      <c r="G351" s="24">
        <v>100000000</v>
      </c>
      <c r="H351" s="23">
        <v>5.0000000000000001E-3</v>
      </c>
      <c r="I351" s="39">
        <v>44348</v>
      </c>
      <c r="J351" s="39">
        <v>44377</v>
      </c>
      <c r="K351" s="24">
        <v>30</v>
      </c>
      <c r="L351" s="24">
        <v>41096</v>
      </c>
      <c r="M351" s="24">
        <v>100000000</v>
      </c>
    </row>
    <row r="352" spans="1:13" s="48" customFormat="1" outlineLevel="2">
      <c r="A352" s="39" t="s">
        <v>142</v>
      </c>
      <c r="B352" s="40" t="s">
        <v>368</v>
      </c>
      <c r="C352" s="41" t="s">
        <v>87</v>
      </c>
      <c r="D352" s="40" t="s">
        <v>88</v>
      </c>
      <c r="E352" s="24">
        <v>9464321</v>
      </c>
      <c r="F352" s="39">
        <v>44337</v>
      </c>
      <c r="G352" s="24">
        <v>9464321</v>
      </c>
      <c r="H352" s="23">
        <v>5.0000000000000001E-3</v>
      </c>
      <c r="I352" s="39">
        <v>44348</v>
      </c>
      <c r="J352" s="39">
        <v>44377</v>
      </c>
      <c r="K352" s="24">
        <v>30</v>
      </c>
      <c r="L352" s="24">
        <v>3889</v>
      </c>
      <c r="M352" s="24">
        <v>9464321</v>
      </c>
    </row>
    <row r="353" spans="1:13" s="48" customFormat="1" outlineLevel="2">
      <c r="A353" s="39" t="s">
        <v>142</v>
      </c>
      <c r="B353" s="40" t="s">
        <v>388</v>
      </c>
      <c r="C353" s="41" t="s">
        <v>149</v>
      </c>
      <c r="D353" s="40" t="s">
        <v>150</v>
      </c>
      <c r="E353" s="24">
        <v>3360000</v>
      </c>
      <c r="F353" s="39">
        <v>44350</v>
      </c>
      <c r="G353" s="24">
        <v>3360000</v>
      </c>
      <c r="H353" s="23">
        <v>5.0000000000000001E-3</v>
      </c>
      <c r="I353" s="39">
        <v>44350</v>
      </c>
      <c r="J353" s="39">
        <v>44377</v>
      </c>
      <c r="K353" s="24">
        <v>28</v>
      </c>
      <c r="L353" s="24">
        <v>1289</v>
      </c>
      <c r="M353" s="24">
        <v>3360000</v>
      </c>
    </row>
    <row r="354" spans="1:13" s="48" customFormat="1" outlineLevel="2">
      <c r="A354" s="39" t="s">
        <v>142</v>
      </c>
      <c r="B354" s="40" t="s">
        <v>387</v>
      </c>
      <c r="C354" s="41" t="s">
        <v>149</v>
      </c>
      <c r="D354" s="40" t="s">
        <v>150</v>
      </c>
      <c r="E354" s="24">
        <v>3360000</v>
      </c>
      <c r="F354" s="39">
        <v>44350</v>
      </c>
      <c r="G354" s="24">
        <v>3360000</v>
      </c>
      <c r="H354" s="23">
        <v>5.0000000000000001E-3</v>
      </c>
      <c r="I354" s="39">
        <v>44350</v>
      </c>
      <c r="J354" s="39">
        <v>44377</v>
      </c>
      <c r="K354" s="24">
        <v>28</v>
      </c>
      <c r="L354" s="24">
        <v>1289</v>
      </c>
      <c r="M354" s="24">
        <v>3360000</v>
      </c>
    </row>
    <row r="355" spans="1:13" s="48" customFormat="1" outlineLevel="2">
      <c r="A355" s="39" t="s">
        <v>142</v>
      </c>
      <c r="B355" s="40" t="s">
        <v>386</v>
      </c>
      <c r="C355" s="41" t="s">
        <v>149</v>
      </c>
      <c r="D355" s="40" t="s">
        <v>150</v>
      </c>
      <c r="E355" s="24">
        <v>3326400</v>
      </c>
      <c r="F355" s="39">
        <v>44351</v>
      </c>
      <c r="G355" s="24">
        <v>3326400</v>
      </c>
      <c r="H355" s="23">
        <v>5.0000000000000001E-3</v>
      </c>
      <c r="I355" s="39">
        <v>44351</v>
      </c>
      <c r="J355" s="39">
        <v>44377</v>
      </c>
      <c r="K355" s="24">
        <v>27</v>
      </c>
      <c r="L355" s="24">
        <v>1230</v>
      </c>
      <c r="M355" s="24">
        <v>3326400</v>
      </c>
    </row>
    <row r="356" spans="1:13" s="48" customFormat="1" outlineLevel="2">
      <c r="A356" s="39" t="s">
        <v>142</v>
      </c>
      <c r="B356" s="40" t="s">
        <v>385</v>
      </c>
      <c r="C356" s="41" t="s">
        <v>149</v>
      </c>
      <c r="D356" s="40" t="s">
        <v>150</v>
      </c>
      <c r="E356" s="24">
        <v>150000000</v>
      </c>
      <c r="F356" s="39">
        <v>44354</v>
      </c>
      <c r="G356" s="24">
        <v>150000000</v>
      </c>
      <c r="H356" s="23">
        <v>5.0000000000000001E-3</v>
      </c>
      <c r="I356" s="39">
        <v>44354</v>
      </c>
      <c r="J356" s="39">
        <v>44377</v>
      </c>
      <c r="K356" s="24">
        <v>24</v>
      </c>
      <c r="L356" s="24">
        <v>49315</v>
      </c>
      <c r="M356" s="24">
        <v>150000000</v>
      </c>
    </row>
    <row r="357" spans="1:13" s="48" customFormat="1" outlineLevel="2">
      <c r="A357" s="39" t="s">
        <v>142</v>
      </c>
      <c r="B357" s="40" t="s">
        <v>384</v>
      </c>
      <c r="C357" s="41" t="s">
        <v>149</v>
      </c>
      <c r="D357" s="40" t="s">
        <v>150</v>
      </c>
      <c r="E357" s="24">
        <v>1663200</v>
      </c>
      <c r="F357" s="39">
        <v>44356</v>
      </c>
      <c r="G357" s="24">
        <v>1663200</v>
      </c>
      <c r="H357" s="23">
        <v>5.0000000000000001E-3</v>
      </c>
      <c r="I357" s="39">
        <v>44356</v>
      </c>
      <c r="J357" s="39">
        <v>44377</v>
      </c>
      <c r="K357" s="24">
        <v>22</v>
      </c>
      <c r="L357" s="24">
        <v>501</v>
      </c>
      <c r="M357" s="24">
        <v>1663200</v>
      </c>
    </row>
    <row r="358" spans="1:13" s="48" customFormat="1" outlineLevel="2">
      <c r="A358" s="39" t="s">
        <v>142</v>
      </c>
      <c r="B358" s="40" t="s">
        <v>383</v>
      </c>
      <c r="C358" s="41" t="s">
        <v>149</v>
      </c>
      <c r="D358" s="40" t="s">
        <v>150</v>
      </c>
      <c r="E358" s="24">
        <v>312002</v>
      </c>
      <c r="F358" s="39">
        <v>44358</v>
      </c>
      <c r="G358" s="24">
        <v>312002</v>
      </c>
      <c r="H358" s="23">
        <v>5.0000000000000001E-3</v>
      </c>
      <c r="I358" s="39">
        <v>44358</v>
      </c>
      <c r="J358" s="39">
        <v>44377</v>
      </c>
      <c r="K358" s="24">
        <v>20</v>
      </c>
      <c r="L358" s="24">
        <v>85</v>
      </c>
      <c r="M358" s="24">
        <v>312002</v>
      </c>
    </row>
    <row r="359" spans="1:13" s="48" customFormat="1" outlineLevel="2">
      <c r="A359" s="39" t="s">
        <v>142</v>
      </c>
      <c r="B359" s="40" t="s">
        <v>33</v>
      </c>
      <c r="C359" s="41" t="s">
        <v>89</v>
      </c>
      <c r="D359" s="40" t="s">
        <v>90</v>
      </c>
      <c r="E359" s="24">
        <v>6550000</v>
      </c>
      <c r="F359" s="39">
        <v>43993</v>
      </c>
      <c r="G359" s="24">
        <v>6550000</v>
      </c>
      <c r="H359" s="23">
        <v>5.0000000000000001E-3</v>
      </c>
      <c r="I359" s="39">
        <v>44348</v>
      </c>
      <c r="J359" s="39">
        <v>44377</v>
      </c>
      <c r="K359" s="24">
        <v>30</v>
      </c>
      <c r="L359" s="24">
        <v>2692</v>
      </c>
      <c r="M359" s="24">
        <v>6550000</v>
      </c>
    </row>
    <row r="360" spans="1:13" s="48" customFormat="1" outlineLevel="2">
      <c r="A360" s="39" t="s">
        <v>142</v>
      </c>
      <c r="B360" s="40" t="s">
        <v>382</v>
      </c>
      <c r="C360" s="41" t="s">
        <v>149</v>
      </c>
      <c r="D360" s="40" t="s">
        <v>150</v>
      </c>
      <c r="E360" s="24">
        <v>478800</v>
      </c>
      <c r="F360" s="39">
        <v>44358</v>
      </c>
      <c r="G360" s="24">
        <v>478800</v>
      </c>
      <c r="H360" s="23">
        <v>5.0000000000000001E-3</v>
      </c>
      <c r="I360" s="39">
        <v>44358</v>
      </c>
      <c r="J360" s="39">
        <v>44377</v>
      </c>
      <c r="K360" s="24">
        <v>20</v>
      </c>
      <c r="L360" s="24">
        <v>131</v>
      </c>
      <c r="M360" s="24">
        <v>478800</v>
      </c>
    </row>
    <row r="361" spans="1:13" s="48" customFormat="1" outlineLevel="2">
      <c r="A361" s="39" t="s">
        <v>142</v>
      </c>
      <c r="B361" s="40" t="s">
        <v>381</v>
      </c>
      <c r="C361" s="41" t="s">
        <v>149</v>
      </c>
      <c r="D361" s="40" t="s">
        <v>150</v>
      </c>
      <c r="E361" s="24">
        <v>70000000</v>
      </c>
      <c r="F361" s="39">
        <v>44362</v>
      </c>
      <c r="G361" s="24">
        <v>70000000</v>
      </c>
      <c r="H361" s="23">
        <v>5.0000000000000001E-3</v>
      </c>
      <c r="I361" s="39">
        <v>44362</v>
      </c>
      <c r="J361" s="39">
        <v>44377</v>
      </c>
      <c r="K361" s="24">
        <v>16</v>
      </c>
      <c r="L361" s="24">
        <v>15342</v>
      </c>
      <c r="M361" s="24">
        <v>70000000</v>
      </c>
    </row>
    <row r="362" spans="1:13" s="48" customFormat="1" outlineLevel="2">
      <c r="A362" s="39" t="s">
        <v>142</v>
      </c>
      <c r="B362" s="40" t="s">
        <v>380</v>
      </c>
      <c r="C362" s="41" t="s">
        <v>149</v>
      </c>
      <c r="D362" s="40" t="s">
        <v>150</v>
      </c>
      <c r="E362" s="24">
        <v>806400</v>
      </c>
      <c r="F362" s="39">
        <v>44376</v>
      </c>
      <c r="G362" s="24">
        <v>806400</v>
      </c>
      <c r="H362" s="23">
        <v>5.0000000000000001E-3</v>
      </c>
      <c r="I362" s="39">
        <v>44376</v>
      </c>
      <c r="J362" s="39">
        <v>44377</v>
      </c>
      <c r="K362" s="24">
        <v>2</v>
      </c>
      <c r="L362" s="24">
        <v>22</v>
      </c>
      <c r="M362" s="24">
        <v>806400</v>
      </c>
    </row>
    <row r="363" spans="1:13" s="48" customFormat="1" outlineLevel="2">
      <c r="A363" s="39" t="s">
        <v>142</v>
      </c>
      <c r="B363" s="40" t="s">
        <v>379</v>
      </c>
      <c r="C363" s="41" t="s">
        <v>89</v>
      </c>
      <c r="D363" s="40" t="s">
        <v>90</v>
      </c>
      <c r="E363" s="24">
        <v>34000000</v>
      </c>
      <c r="F363" s="39">
        <v>44369</v>
      </c>
      <c r="G363" s="24">
        <v>34000000</v>
      </c>
      <c r="H363" s="23">
        <v>5.0000000000000001E-3</v>
      </c>
      <c r="I363" s="39">
        <v>44369</v>
      </c>
      <c r="J363" s="39">
        <v>44377</v>
      </c>
      <c r="K363" s="24">
        <v>9</v>
      </c>
      <c r="L363" s="24">
        <v>4192</v>
      </c>
      <c r="M363" s="24">
        <v>34000000</v>
      </c>
    </row>
    <row r="364" spans="1:13" s="48" customFormat="1" outlineLevel="2">
      <c r="A364" s="39" t="s">
        <v>142</v>
      </c>
      <c r="B364" s="40" t="s">
        <v>378</v>
      </c>
      <c r="C364" s="41" t="s">
        <v>89</v>
      </c>
      <c r="D364" s="40" t="s">
        <v>90</v>
      </c>
      <c r="E364" s="24">
        <v>34000000</v>
      </c>
      <c r="F364" s="39">
        <v>44369</v>
      </c>
      <c r="G364" s="24">
        <v>34000000</v>
      </c>
      <c r="H364" s="23">
        <v>5.0000000000000001E-3</v>
      </c>
      <c r="I364" s="39">
        <v>44369</v>
      </c>
      <c r="J364" s="39">
        <v>44377</v>
      </c>
      <c r="K364" s="24">
        <v>9</v>
      </c>
      <c r="L364" s="24">
        <v>4192</v>
      </c>
      <c r="M364" s="24">
        <v>34000000</v>
      </c>
    </row>
    <row r="365" spans="1:13" s="48" customFormat="1" outlineLevel="2">
      <c r="A365" s="39" t="s">
        <v>142</v>
      </c>
      <c r="B365" s="40" t="s">
        <v>377</v>
      </c>
      <c r="C365" s="41" t="s">
        <v>219</v>
      </c>
      <c r="D365" s="40" t="s">
        <v>220</v>
      </c>
      <c r="E365" s="24">
        <v>35000000</v>
      </c>
      <c r="F365" s="39">
        <v>44371</v>
      </c>
      <c r="G365" s="24">
        <v>35000000</v>
      </c>
      <c r="H365" s="23">
        <v>5.0000000000000001E-3</v>
      </c>
      <c r="I365" s="39">
        <v>44371</v>
      </c>
      <c r="J365" s="39">
        <v>44377</v>
      </c>
      <c r="K365" s="24">
        <v>7</v>
      </c>
      <c r="L365" s="24">
        <v>3356</v>
      </c>
      <c r="M365" s="24">
        <v>35000000</v>
      </c>
    </row>
    <row r="366" spans="1:13" s="48" customFormat="1" outlineLevel="2">
      <c r="A366" s="39" t="s">
        <v>142</v>
      </c>
      <c r="B366" s="40" t="s">
        <v>376</v>
      </c>
      <c r="C366" s="41" t="s">
        <v>87</v>
      </c>
      <c r="D366" s="40" t="s">
        <v>88</v>
      </c>
      <c r="E366" s="24">
        <v>13481921</v>
      </c>
      <c r="F366" s="39">
        <v>44372</v>
      </c>
      <c r="G366" s="24">
        <v>13481921</v>
      </c>
      <c r="H366" s="23">
        <v>5.0000000000000001E-3</v>
      </c>
      <c r="I366" s="39">
        <v>44372</v>
      </c>
      <c r="J366" s="39">
        <v>44377</v>
      </c>
      <c r="K366" s="24">
        <v>6</v>
      </c>
      <c r="L366" s="24">
        <v>1108</v>
      </c>
      <c r="M366" s="24">
        <v>13481921</v>
      </c>
    </row>
    <row r="367" spans="1:13" s="48" customFormat="1" outlineLevel="2">
      <c r="A367" s="39" t="s">
        <v>142</v>
      </c>
      <c r="B367" s="40" t="s">
        <v>375</v>
      </c>
      <c r="C367" s="41" t="s">
        <v>87</v>
      </c>
      <c r="D367" s="40" t="s">
        <v>88</v>
      </c>
      <c r="E367" s="24">
        <v>21053378</v>
      </c>
      <c r="F367" s="39">
        <v>44372</v>
      </c>
      <c r="G367" s="24">
        <v>21053378</v>
      </c>
      <c r="H367" s="23">
        <v>5.0000000000000001E-3</v>
      </c>
      <c r="I367" s="39">
        <v>44372</v>
      </c>
      <c r="J367" s="39">
        <v>44377</v>
      </c>
      <c r="K367" s="24">
        <v>6</v>
      </c>
      <c r="L367" s="24">
        <v>1730</v>
      </c>
      <c r="M367" s="24">
        <v>21053378</v>
      </c>
    </row>
    <row r="368" spans="1:13" s="48" customFormat="1" outlineLevel="2">
      <c r="A368" s="39" t="s">
        <v>142</v>
      </c>
      <c r="B368" s="40" t="s">
        <v>34</v>
      </c>
      <c r="C368" s="41" t="s">
        <v>89</v>
      </c>
      <c r="D368" s="40" t="s">
        <v>90</v>
      </c>
      <c r="E368" s="24">
        <v>19710000</v>
      </c>
      <c r="F368" s="39">
        <v>43993</v>
      </c>
      <c r="G368" s="24">
        <v>19710000</v>
      </c>
      <c r="H368" s="23">
        <v>5.0000000000000001E-3</v>
      </c>
      <c r="I368" s="39">
        <v>44348</v>
      </c>
      <c r="J368" s="39">
        <v>44377</v>
      </c>
      <c r="K368" s="24">
        <v>30</v>
      </c>
      <c r="L368" s="24">
        <v>8100</v>
      </c>
      <c r="M368" s="24">
        <v>19710000</v>
      </c>
    </row>
    <row r="369" spans="1:13" s="48" customFormat="1" outlineLevel="2">
      <c r="A369" s="39" t="s">
        <v>142</v>
      </c>
      <c r="B369" s="40" t="s">
        <v>35</v>
      </c>
      <c r="C369" s="41" t="s">
        <v>89</v>
      </c>
      <c r="D369" s="40" t="s">
        <v>90</v>
      </c>
      <c r="E369" s="24">
        <v>16860000</v>
      </c>
      <c r="F369" s="39">
        <v>43993</v>
      </c>
      <c r="G369" s="24">
        <v>16860000</v>
      </c>
      <c r="H369" s="23">
        <v>5.0000000000000001E-3</v>
      </c>
      <c r="I369" s="39">
        <v>44348</v>
      </c>
      <c r="J369" s="39">
        <v>44377</v>
      </c>
      <c r="K369" s="24">
        <v>30</v>
      </c>
      <c r="L369" s="24">
        <v>6929</v>
      </c>
      <c r="M369" s="24">
        <v>16860000</v>
      </c>
    </row>
    <row r="370" spans="1:13" s="48" customFormat="1" outlineLevel="2">
      <c r="A370" s="39" t="s">
        <v>142</v>
      </c>
      <c r="B370" s="40" t="s">
        <v>36</v>
      </c>
      <c r="C370" s="41" t="s">
        <v>161</v>
      </c>
      <c r="D370" s="40" t="s">
        <v>162</v>
      </c>
      <c r="E370" s="24">
        <v>240000000</v>
      </c>
      <c r="F370" s="39">
        <v>44000</v>
      </c>
      <c r="G370" s="24">
        <v>240000000</v>
      </c>
      <c r="H370" s="23">
        <v>5.0000000000000001E-3</v>
      </c>
      <c r="I370" s="39">
        <v>44348</v>
      </c>
      <c r="J370" s="39">
        <v>44377</v>
      </c>
      <c r="K370" s="24">
        <v>30</v>
      </c>
      <c r="L370" s="24">
        <v>98630</v>
      </c>
      <c r="M370" s="24">
        <v>240000000</v>
      </c>
    </row>
    <row r="371" spans="1:13" s="48" customFormat="1" outlineLevel="2">
      <c r="A371" s="39" t="s">
        <v>142</v>
      </c>
      <c r="B371" s="40" t="s">
        <v>39</v>
      </c>
      <c r="C371" s="41" t="s">
        <v>143</v>
      </c>
      <c r="D371" s="40" t="s">
        <v>144</v>
      </c>
      <c r="E371" s="24">
        <v>57000000</v>
      </c>
      <c r="F371" s="39">
        <v>43822</v>
      </c>
      <c r="G371" s="24">
        <v>57000000</v>
      </c>
      <c r="H371" s="23">
        <v>5.0000000000000001E-3</v>
      </c>
      <c r="I371" s="39">
        <v>44348</v>
      </c>
      <c r="J371" s="39">
        <v>44377</v>
      </c>
      <c r="K371" s="24">
        <v>30</v>
      </c>
      <c r="L371" s="24">
        <v>23425</v>
      </c>
      <c r="M371" s="24">
        <v>57000000</v>
      </c>
    </row>
    <row r="372" spans="1:13" s="48" customFormat="1" outlineLevel="2">
      <c r="A372" s="39" t="s">
        <v>142</v>
      </c>
      <c r="B372" s="40" t="s">
        <v>40</v>
      </c>
      <c r="C372" s="41" t="s">
        <v>123</v>
      </c>
      <c r="D372" s="40" t="s">
        <v>124</v>
      </c>
      <c r="E372" s="24">
        <v>55000000</v>
      </c>
      <c r="F372" s="39">
        <v>44001</v>
      </c>
      <c r="G372" s="24">
        <v>55000000</v>
      </c>
      <c r="H372" s="23">
        <v>5.0000000000000001E-3</v>
      </c>
      <c r="I372" s="39">
        <v>44348</v>
      </c>
      <c r="J372" s="39">
        <v>44377</v>
      </c>
      <c r="K372" s="24">
        <v>30</v>
      </c>
      <c r="L372" s="24">
        <v>22603</v>
      </c>
      <c r="M372" s="24">
        <v>55000000</v>
      </c>
    </row>
    <row r="373" spans="1:13" s="48" customFormat="1" outlineLevel="2">
      <c r="A373" s="39" t="s">
        <v>142</v>
      </c>
      <c r="B373" s="40" t="s">
        <v>41</v>
      </c>
      <c r="C373" s="41" t="s">
        <v>87</v>
      </c>
      <c r="D373" s="40" t="s">
        <v>88</v>
      </c>
      <c r="E373" s="24">
        <v>8907064</v>
      </c>
      <c r="F373" s="39">
        <v>44006</v>
      </c>
      <c r="G373" s="24">
        <v>8907064</v>
      </c>
      <c r="H373" s="23">
        <v>5.0000000000000001E-3</v>
      </c>
      <c r="I373" s="39">
        <v>44348</v>
      </c>
      <c r="J373" s="39">
        <v>44377</v>
      </c>
      <c r="K373" s="24">
        <v>30</v>
      </c>
      <c r="L373" s="24">
        <v>3660</v>
      </c>
      <c r="M373" s="24">
        <v>8907064</v>
      </c>
    </row>
    <row r="374" spans="1:13" s="48" customFormat="1" outlineLevel="2">
      <c r="A374" s="39" t="s">
        <v>142</v>
      </c>
      <c r="B374" s="40" t="s">
        <v>42</v>
      </c>
      <c r="C374" s="41" t="s">
        <v>149</v>
      </c>
      <c r="D374" s="40" t="s">
        <v>150</v>
      </c>
      <c r="E374" s="24">
        <v>7560000</v>
      </c>
      <c r="F374" s="39">
        <v>44018</v>
      </c>
      <c r="G374" s="24">
        <v>7560000</v>
      </c>
      <c r="H374" s="23">
        <v>5.0000000000000001E-3</v>
      </c>
      <c r="I374" s="39">
        <v>44348</v>
      </c>
      <c r="J374" s="39">
        <v>44377</v>
      </c>
      <c r="K374" s="24">
        <v>30</v>
      </c>
      <c r="L374" s="24">
        <v>3107</v>
      </c>
      <c r="M374" s="24">
        <v>7560000</v>
      </c>
    </row>
    <row r="375" spans="1:13" s="48" customFormat="1" outlineLevel="2">
      <c r="A375" s="39" t="s">
        <v>142</v>
      </c>
      <c r="B375" s="40" t="s">
        <v>43</v>
      </c>
      <c r="C375" s="41" t="s">
        <v>143</v>
      </c>
      <c r="D375" s="40" t="s">
        <v>144</v>
      </c>
      <c r="E375" s="24">
        <v>38000000</v>
      </c>
      <c r="F375" s="39">
        <v>44022</v>
      </c>
      <c r="G375" s="24">
        <v>38000000</v>
      </c>
      <c r="H375" s="23">
        <v>5.0000000000000001E-3</v>
      </c>
      <c r="I375" s="39">
        <v>44348</v>
      </c>
      <c r="J375" s="39">
        <v>44377</v>
      </c>
      <c r="K375" s="24">
        <v>30</v>
      </c>
      <c r="L375" s="24">
        <v>15616</v>
      </c>
      <c r="M375" s="24">
        <v>38000000</v>
      </c>
    </row>
    <row r="376" spans="1:13" s="48" customFormat="1" outlineLevel="2">
      <c r="A376" s="39" t="s">
        <v>142</v>
      </c>
      <c r="B376" s="40" t="s">
        <v>44</v>
      </c>
      <c r="C376" s="41" t="s">
        <v>143</v>
      </c>
      <c r="D376" s="40" t="s">
        <v>144</v>
      </c>
      <c r="E376" s="24">
        <v>10500000</v>
      </c>
      <c r="F376" s="39">
        <v>44022</v>
      </c>
      <c r="G376" s="24">
        <v>10500000</v>
      </c>
      <c r="H376" s="23">
        <v>5.0000000000000001E-3</v>
      </c>
      <c r="I376" s="39">
        <v>44348</v>
      </c>
      <c r="J376" s="39">
        <v>44377</v>
      </c>
      <c r="K376" s="24">
        <v>30</v>
      </c>
      <c r="L376" s="24">
        <v>4315</v>
      </c>
      <c r="M376" s="24">
        <v>10500000</v>
      </c>
    </row>
    <row r="377" spans="1:13" s="48" customFormat="1" outlineLevel="2">
      <c r="A377" s="39" t="s">
        <v>142</v>
      </c>
      <c r="B377" s="40" t="s">
        <v>47</v>
      </c>
      <c r="C377" s="41" t="s">
        <v>163</v>
      </c>
      <c r="D377" s="40" t="s">
        <v>164</v>
      </c>
      <c r="E377" s="24">
        <v>72000000</v>
      </c>
      <c r="F377" s="39">
        <v>44025</v>
      </c>
      <c r="G377" s="24">
        <v>65949580</v>
      </c>
      <c r="H377" s="23">
        <v>5.0000000000000001E-3</v>
      </c>
      <c r="I377" s="39">
        <v>44348</v>
      </c>
      <c r="J377" s="39">
        <v>44361</v>
      </c>
      <c r="K377" s="24">
        <v>14</v>
      </c>
      <c r="L377" s="24">
        <v>12648</v>
      </c>
      <c r="M377" s="24">
        <v>65344538</v>
      </c>
    </row>
    <row r="378" spans="1:13" s="48" customFormat="1" outlineLevel="2">
      <c r="A378" s="39" t="s">
        <v>142</v>
      </c>
      <c r="B378" s="40" t="s">
        <v>47</v>
      </c>
      <c r="C378" s="41" t="s">
        <v>163</v>
      </c>
      <c r="D378" s="40"/>
      <c r="E378" s="24"/>
      <c r="F378" s="39"/>
      <c r="G378" s="24">
        <v>65344538</v>
      </c>
      <c r="H378" s="23">
        <v>5.0000000000000001E-3</v>
      </c>
      <c r="I378" s="39">
        <v>44362</v>
      </c>
      <c r="J378" s="39">
        <v>44377</v>
      </c>
      <c r="K378" s="24">
        <v>16</v>
      </c>
      <c r="L378" s="24">
        <v>14322</v>
      </c>
      <c r="M378" s="24"/>
    </row>
    <row r="379" spans="1:13" s="48" customFormat="1" outlineLevel="2">
      <c r="A379" s="39" t="s">
        <v>142</v>
      </c>
      <c r="B379" s="40" t="s">
        <v>50</v>
      </c>
      <c r="C379" s="41" t="s">
        <v>97</v>
      </c>
      <c r="D379" s="40" t="s">
        <v>98</v>
      </c>
      <c r="E379" s="24">
        <v>87500000</v>
      </c>
      <c r="F379" s="39">
        <v>44027</v>
      </c>
      <c r="G379" s="24">
        <v>87500000</v>
      </c>
      <c r="H379" s="23">
        <v>5.0000000000000001E-3</v>
      </c>
      <c r="I379" s="39">
        <v>44348</v>
      </c>
      <c r="J379" s="39">
        <v>44377</v>
      </c>
      <c r="K379" s="24">
        <v>30</v>
      </c>
      <c r="L379" s="24">
        <v>35959</v>
      </c>
      <c r="M379" s="24">
        <v>87500000</v>
      </c>
    </row>
    <row r="380" spans="1:13" s="48" customFormat="1" outlineLevel="2">
      <c r="A380" s="39" t="s">
        <v>142</v>
      </c>
      <c r="B380" s="40" t="s">
        <v>51</v>
      </c>
      <c r="C380" s="41" t="s">
        <v>165</v>
      </c>
      <c r="D380" s="40" t="s">
        <v>166</v>
      </c>
      <c r="E380" s="24">
        <v>84000000</v>
      </c>
      <c r="F380" s="39">
        <v>44027</v>
      </c>
      <c r="G380" s="24">
        <v>84000000</v>
      </c>
      <c r="H380" s="23">
        <v>5.0000000000000001E-3</v>
      </c>
      <c r="I380" s="39">
        <v>44348</v>
      </c>
      <c r="J380" s="39">
        <v>44377</v>
      </c>
      <c r="K380" s="24">
        <v>30</v>
      </c>
      <c r="L380" s="24">
        <v>34521</v>
      </c>
      <c r="M380" s="24">
        <v>84000000</v>
      </c>
    </row>
    <row r="381" spans="1:13" s="48" customFormat="1" outlineLevel="2">
      <c r="A381" s="39" t="s">
        <v>142</v>
      </c>
      <c r="B381" s="40" t="s">
        <v>52</v>
      </c>
      <c r="C381" s="41" t="s">
        <v>30</v>
      </c>
      <c r="D381" s="40" t="s">
        <v>31</v>
      </c>
      <c r="E381" s="24">
        <v>12230000</v>
      </c>
      <c r="F381" s="39">
        <v>44034</v>
      </c>
      <c r="G381" s="24">
        <v>12230000</v>
      </c>
      <c r="H381" s="23">
        <v>5.0000000000000001E-3</v>
      </c>
      <c r="I381" s="39">
        <v>44348</v>
      </c>
      <c r="J381" s="39">
        <v>44377</v>
      </c>
      <c r="K381" s="24">
        <v>30</v>
      </c>
      <c r="L381" s="24">
        <v>5026</v>
      </c>
      <c r="M381" s="24">
        <v>12230000</v>
      </c>
    </row>
    <row r="382" spans="1:13" s="48" customFormat="1" outlineLevel="2">
      <c r="A382" s="39" t="s">
        <v>142</v>
      </c>
      <c r="B382" s="40" t="s">
        <v>53</v>
      </c>
      <c r="C382" s="41" t="s">
        <v>123</v>
      </c>
      <c r="D382" s="40" t="s">
        <v>124</v>
      </c>
      <c r="E382" s="24">
        <v>40000000</v>
      </c>
      <c r="F382" s="39">
        <v>44040</v>
      </c>
      <c r="G382" s="24">
        <v>40000000</v>
      </c>
      <c r="H382" s="23">
        <v>5.0000000000000001E-3</v>
      </c>
      <c r="I382" s="39">
        <v>44348</v>
      </c>
      <c r="J382" s="39">
        <v>44377</v>
      </c>
      <c r="K382" s="24">
        <v>30</v>
      </c>
      <c r="L382" s="24">
        <v>16438</v>
      </c>
      <c r="M382" s="24">
        <v>40000000</v>
      </c>
    </row>
    <row r="383" spans="1:13" s="48" customFormat="1" outlineLevel="2">
      <c r="A383" s="39" t="s">
        <v>142</v>
      </c>
      <c r="B383" s="40" t="s">
        <v>54</v>
      </c>
      <c r="C383" s="41" t="s">
        <v>121</v>
      </c>
      <c r="D383" s="40" t="s">
        <v>122</v>
      </c>
      <c r="E383" s="24">
        <v>171000000</v>
      </c>
      <c r="F383" s="39">
        <v>43822</v>
      </c>
      <c r="G383" s="24">
        <v>171000000</v>
      </c>
      <c r="H383" s="23">
        <v>5.0000000000000001E-3</v>
      </c>
      <c r="I383" s="39">
        <v>44348</v>
      </c>
      <c r="J383" s="39">
        <v>44377</v>
      </c>
      <c r="K383" s="24">
        <v>30</v>
      </c>
      <c r="L383" s="24">
        <v>70274</v>
      </c>
      <c r="M383" s="24">
        <v>171000000</v>
      </c>
    </row>
    <row r="384" spans="1:13" s="48" customFormat="1" outlineLevel="2">
      <c r="A384" s="39" t="s">
        <v>142</v>
      </c>
      <c r="B384" s="40" t="s">
        <v>57</v>
      </c>
      <c r="C384" s="41" t="s">
        <v>167</v>
      </c>
      <c r="D384" s="40" t="s">
        <v>168</v>
      </c>
      <c r="E384" s="24">
        <v>18000000</v>
      </c>
      <c r="F384" s="39">
        <v>44043</v>
      </c>
      <c r="G384" s="24">
        <v>18000000</v>
      </c>
      <c r="H384" s="23">
        <v>5.0000000000000001E-3</v>
      </c>
      <c r="I384" s="39">
        <v>44348</v>
      </c>
      <c r="J384" s="39">
        <v>44377</v>
      </c>
      <c r="K384" s="24">
        <v>30</v>
      </c>
      <c r="L384" s="24">
        <v>7397</v>
      </c>
      <c r="M384" s="24">
        <v>18000000</v>
      </c>
    </row>
    <row r="385" spans="1:13" s="48" customFormat="1" outlineLevel="2">
      <c r="A385" s="39" t="s">
        <v>142</v>
      </c>
      <c r="B385" s="40" t="s">
        <v>58</v>
      </c>
      <c r="C385" s="41" t="s">
        <v>167</v>
      </c>
      <c r="D385" s="40" t="s">
        <v>168</v>
      </c>
      <c r="E385" s="24">
        <v>21000000</v>
      </c>
      <c r="F385" s="39">
        <v>44043</v>
      </c>
      <c r="G385" s="24">
        <v>21000000</v>
      </c>
      <c r="H385" s="23">
        <v>5.0000000000000001E-3</v>
      </c>
      <c r="I385" s="39">
        <v>44348</v>
      </c>
      <c r="J385" s="39">
        <v>44377</v>
      </c>
      <c r="K385" s="24">
        <v>30</v>
      </c>
      <c r="L385" s="24">
        <v>8630</v>
      </c>
      <c r="M385" s="24">
        <v>21000000</v>
      </c>
    </row>
    <row r="386" spans="1:13" s="48" customFormat="1" outlineLevel="2">
      <c r="A386" s="39" t="s">
        <v>142</v>
      </c>
      <c r="B386" s="40" t="s">
        <v>99</v>
      </c>
      <c r="C386" s="41" t="s">
        <v>167</v>
      </c>
      <c r="D386" s="40" t="s">
        <v>168</v>
      </c>
      <c r="E386" s="24">
        <v>13600000</v>
      </c>
      <c r="F386" s="39">
        <v>44043</v>
      </c>
      <c r="G386" s="24">
        <v>13600000</v>
      </c>
      <c r="H386" s="23">
        <v>5.0000000000000001E-3</v>
      </c>
      <c r="I386" s="39">
        <v>44348</v>
      </c>
      <c r="J386" s="39">
        <v>44377</v>
      </c>
      <c r="K386" s="24">
        <v>30</v>
      </c>
      <c r="L386" s="24">
        <v>5589</v>
      </c>
      <c r="M386" s="24">
        <v>13600000</v>
      </c>
    </row>
    <row r="387" spans="1:13" s="48" customFormat="1" outlineLevel="2">
      <c r="A387" s="39" t="s">
        <v>142</v>
      </c>
      <c r="B387" s="40" t="s">
        <v>100</v>
      </c>
      <c r="C387" s="41" t="s">
        <v>143</v>
      </c>
      <c r="D387" s="40" t="s">
        <v>144</v>
      </c>
      <c r="E387" s="24">
        <v>28000000</v>
      </c>
      <c r="F387" s="39">
        <v>44046</v>
      </c>
      <c r="G387" s="24">
        <v>28000000</v>
      </c>
      <c r="H387" s="23">
        <v>5.0000000000000001E-3</v>
      </c>
      <c r="I387" s="39">
        <v>44348</v>
      </c>
      <c r="J387" s="39">
        <v>44377</v>
      </c>
      <c r="K387" s="24">
        <v>30</v>
      </c>
      <c r="L387" s="24">
        <v>11507</v>
      </c>
      <c r="M387" s="24">
        <v>28000000</v>
      </c>
    </row>
    <row r="388" spans="1:13" s="48" customFormat="1" outlineLevel="2">
      <c r="A388" s="39" t="s">
        <v>142</v>
      </c>
      <c r="B388" s="40" t="s">
        <v>101</v>
      </c>
      <c r="C388" s="41" t="s">
        <v>143</v>
      </c>
      <c r="D388" s="40" t="s">
        <v>144</v>
      </c>
      <c r="E388" s="24">
        <v>2700000</v>
      </c>
      <c r="F388" s="39">
        <v>44056</v>
      </c>
      <c r="G388" s="24">
        <v>2700000</v>
      </c>
      <c r="H388" s="23">
        <v>5.0000000000000001E-3</v>
      </c>
      <c r="I388" s="39">
        <v>44348</v>
      </c>
      <c r="J388" s="39">
        <v>44377</v>
      </c>
      <c r="K388" s="24">
        <v>30</v>
      </c>
      <c r="L388" s="24">
        <v>1110</v>
      </c>
      <c r="M388" s="24">
        <v>2700000</v>
      </c>
    </row>
    <row r="389" spans="1:13" s="48" customFormat="1" outlineLevel="2">
      <c r="A389" s="39" t="s">
        <v>142</v>
      </c>
      <c r="B389" s="40" t="s">
        <v>102</v>
      </c>
      <c r="C389" s="41" t="s">
        <v>143</v>
      </c>
      <c r="D389" s="40" t="s">
        <v>144</v>
      </c>
      <c r="E389" s="24">
        <v>29500000</v>
      </c>
      <c r="F389" s="39">
        <v>44074</v>
      </c>
      <c r="G389" s="24">
        <v>29500000</v>
      </c>
      <c r="H389" s="23">
        <v>5.0000000000000001E-3</v>
      </c>
      <c r="I389" s="39">
        <v>44348</v>
      </c>
      <c r="J389" s="39">
        <v>44377</v>
      </c>
      <c r="K389" s="24">
        <v>30</v>
      </c>
      <c r="L389" s="24">
        <v>12123</v>
      </c>
      <c r="M389" s="24">
        <v>29500000</v>
      </c>
    </row>
    <row r="390" spans="1:13" s="48" customFormat="1" outlineLevel="2">
      <c r="A390" s="39" t="s">
        <v>142</v>
      </c>
      <c r="B390" s="40" t="s">
        <v>103</v>
      </c>
      <c r="C390" s="41" t="s">
        <v>79</v>
      </c>
      <c r="D390" s="40" t="s">
        <v>80</v>
      </c>
      <c r="E390" s="24">
        <v>120000000</v>
      </c>
      <c r="F390" s="39">
        <v>44046</v>
      </c>
      <c r="G390" s="24">
        <v>120000000</v>
      </c>
      <c r="H390" s="23">
        <v>5.0000000000000001E-3</v>
      </c>
      <c r="I390" s="39">
        <v>44348</v>
      </c>
      <c r="J390" s="39">
        <v>44377</v>
      </c>
      <c r="K390" s="24">
        <v>30</v>
      </c>
      <c r="L390" s="24">
        <v>49315</v>
      </c>
      <c r="M390" s="24">
        <v>120000000</v>
      </c>
    </row>
    <row r="391" spans="1:13" s="48" customFormat="1" outlineLevel="2">
      <c r="A391" s="39" t="s">
        <v>142</v>
      </c>
      <c r="B391" s="40" t="s">
        <v>104</v>
      </c>
      <c r="C391" s="41" t="s">
        <v>149</v>
      </c>
      <c r="D391" s="40" t="s">
        <v>150</v>
      </c>
      <c r="E391" s="24">
        <v>8736000</v>
      </c>
      <c r="F391" s="39">
        <v>44047</v>
      </c>
      <c r="G391" s="24">
        <v>8736000</v>
      </c>
      <c r="H391" s="23">
        <v>5.0000000000000001E-3</v>
      </c>
      <c r="I391" s="39">
        <v>44348</v>
      </c>
      <c r="J391" s="39">
        <v>44377</v>
      </c>
      <c r="K391" s="24">
        <v>30</v>
      </c>
      <c r="L391" s="24">
        <v>3590</v>
      </c>
      <c r="M391" s="24">
        <v>8736000</v>
      </c>
    </row>
    <row r="392" spans="1:13" s="48" customFormat="1" outlineLevel="2">
      <c r="A392" s="39" t="s">
        <v>142</v>
      </c>
      <c r="B392" s="40" t="s">
        <v>105</v>
      </c>
      <c r="C392" s="41" t="s">
        <v>149</v>
      </c>
      <c r="D392" s="40" t="s">
        <v>150</v>
      </c>
      <c r="E392" s="24">
        <v>8988000</v>
      </c>
      <c r="F392" s="39">
        <v>44067</v>
      </c>
      <c r="G392" s="24">
        <v>8988000</v>
      </c>
      <c r="H392" s="23">
        <v>5.0000000000000001E-3</v>
      </c>
      <c r="I392" s="39">
        <v>44348</v>
      </c>
      <c r="J392" s="39">
        <v>44377</v>
      </c>
      <c r="K392" s="24">
        <v>30</v>
      </c>
      <c r="L392" s="24">
        <v>3694</v>
      </c>
      <c r="M392" s="24">
        <v>8988000</v>
      </c>
    </row>
    <row r="393" spans="1:13" s="48" customFormat="1" outlineLevel="2">
      <c r="A393" s="39" t="s">
        <v>142</v>
      </c>
      <c r="B393" s="40" t="s">
        <v>106</v>
      </c>
      <c r="C393" s="41" t="s">
        <v>149</v>
      </c>
      <c r="D393" s="40" t="s">
        <v>150</v>
      </c>
      <c r="E393" s="24">
        <v>34608000</v>
      </c>
      <c r="F393" s="39">
        <v>44070</v>
      </c>
      <c r="G393" s="24">
        <v>34608000</v>
      </c>
      <c r="H393" s="23">
        <v>5.0000000000000001E-3</v>
      </c>
      <c r="I393" s="39">
        <v>44348</v>
      </c>
      <c r="J393" s="39">
        <v>44377</v>
      </c>
      <c r="K393" s="24">
        <v>30</v>
      </c>
      <c r="L393" s="24">
        <v>14222</v>
      </c>
      <c r="M393" s="24">
        <v>34608000</v>
      </c>
    </row>
    <row r="394" spans="1:13" s="48" customFormat="1" outlineLevel="2">
      <c r="A394" s="39" t="s">
        <v>142</v>
      </c>
      <c r="B394" s="40" t="s">
        <v>59</v>
      </c>
      <c r="C394" s="41" t="s">
        <v>143</v>
      </c>
      <c r="D394" s="40" t="s">
        <v>144</v>
      </c>
      <c r="E394" s="24">
        <v>38000000</v>
      </c>
      <c r="F394" s="39">
        <v>43850</v>
      </c>
      <c r="G394" s="24">
        <v>38000000</v>
      </c>
      <c r="H394" s="23">
        <v>5.0000000000000001E-3</v>
      </c>
      <c r="I394" s="39">
        <v>44348</v>
      </c>
      <c r="J394" s="39">
        <v>44377</v>
      </c>
      <c r="K394" s="24">
        <v>30</v>
      </c>
      <c r="L394" s="24">
        <v>15616</v>
      </c>
      <c r="M394" s="24">
        <v>38000000</v>
      </c>
    </row>
    <row r="395" spans="1:13" s="48" customFormat="1" outlineLevel="2">
      <c r="A395" s="39" t="s">
        <v>142</v>
      </c>
      <c r="B395" s="40" t="s">
        <v>136</v>
      </c>
      <c r="C395" s="41" t="s">
        <v>146</v>
      </c>
      <c r="D395" s="40" t="s">
        <v>147</v>
      </c>
      <c r="E395" s="24">
        <v>13000000</v>
      </c>
      <c r="F395" s="39">
        <v>44047</v>
      </c>
      <c r="G395" s="24">
        <v>13000000</v>
      </c>
      <c r="H395" s="23">
        <v>5.0000000000000001E-3</v>
      </c>
      <c r="I395" s="39">
        <v>44348</v>
      </c>
      <c r="J395" s="39">
        <v>44377</v>
      </c>
      <c r="K395" s="24">
        <v>30</v>
      </c>
      <c r="L395" s="24">
        <v>5342</v>
      </c>
      <c r="M395" s="24">
        <v>13000000</v>
      </c>
    </row>
    <row r="396" spans="1:13" s="48" customFormat="1" outlineLevel="2">
      <c r="A396" s="39" t="s">
        <v>142</v>
      </c>
      <c r="B396" s="40" t="s">
        <v>137</v>
      </c>
      <c r="C396" s="41" t="s">
        <v>146</v>
      </c>
      <c r="D396" s="40" t="s">
        <v>147</v>
      </c>
      <c r="E396" s="24">
        <v>5000000</v>
      </c>
      <c r="F396" s="39">
        <v>44053</v>
      </c>
      <c r="G396" s="24">
        <v>5000000</v>
      </c>
      <c r="H396" s="23">
        <v>5.0000000000000001E-3</v>
      </c>
      <c r="I396" s="39">
        <v>44348</v>
      </c>
      <c r="J396" s="39">
        <v>44377</v>
      </c>
      <c r="K396" s="24">
        <v>30</v>
      </c>
      <c r="L396" s="24">
        <v>2055</v>
      </c>
      <c r="M396" s="24">
        <v>5000000</v>
      </c>
    </row>
    <row r="397" spans="1:13" s="48" customFormat="1" outlineLevel="2">
      <c r="A397" s="39" t="s">
        <v>142</v>
      </c>
      <c r="B397" s="40" t="s">
        <v>138</v>
      </c>
      <c r="C397" s="41" t="s">
        <v>163</v>
      </c>
      <c r="D397" s="40" t="s">
        <v>164</v>
      </c>
      <c r="E397" s="24">
        <v>5300000</v>
      </c>
      <c r="F397" s="39">
        <v>44050</v>
      </c>
      <c r="G397" s="24">
        <v>4895765</v>
      </c>
      <c r="H397" s="23">
        <v>5.0000000000000001E-3</v>
      </c>
      <c r="I397" s="39">
        <v>44348</v>
      </c>
      <c r="J397" s="39">
        <v>44361</v>
      </c>
      <c r="K397" s="24">
        <v>14</v>
      </c>
      <c r="L397" s="24">
        <v>939</v>
      </c>
      <c r="M397" s="24">
        <v>4850850</v>
      </c>
    </row>
    <row r="398" spans="1:13" s="48" customFormat="1" outlineLevel="2">
      <c r="A398" s="39" t="s">
        <v>142</v>
      </c>
      <c r="B398" s="40" t="s">
        <v>138</v>
      </c>
      <c r="C398" s="41" t="s">
        <v>163</v>
      </c>
      <c r="D398" s="40"/>
      <c r="E398" s="24"/>
      <c r="F398" s="39"/>
      <c r="G398" s="24">
        <v>4850850</v>
      </c>
      <c r="H398" s="23">
        <v>5.0000000000000001E-3</v>
      </c>
      <c r="I398" s="39">
        <v>44362</v>
      </c>
      <c r="J398" s="39">
        <v>44377</v>
      </c>
      <c r="K398" s="24">
        <v>16</v>
      </c>
      <c r="L398" s="24">
        <v>1063</v>
      </c>
      <c r="M398" s="24"/>
    </row>
    <row r="399" spans="1:13" s="48" customFormat="1" outlineLevel="2">
      <c r="A399" s="39" t="s">
        <v>142</v>
      </c>
      <c r="B399" s="40" t="s">
        <v>139</v>
      </c>
      <c r="C399" s="41" t="s">
        <v>117</v>
      </c>
      <c r="D399" s="40" t="s">
        <v>118</v>
      </c>
      <c r="E399" s="24">
        <v>40000000</v>
      </c>
      <c r="F399" s="39">
        <v>44060</v>
      </c>
      <c r="G399" s="24">
        <v>40000000</v>
      </c>
      <c r="H399" s="23">
        <v>5.0000000000000001E-3</v>
      </c>
      <c r="I399" s="39">
        <v>44348</v>
      </c>
      <c r="J399" s="39">
        <v>44377</v>
      </c>
      <c r="K399" s="24">
        <v>30</v>
      </c>
      <c r="L399" s="24">
        <v>16438</v>
      </c>
      <c r="M399" s="24">
        <v>40000000</v>
      </c>
    </row>
    <row r="400" spans="1:13" s="48" customFormat="1" outlineLevel="2">
      <c r="A400" s="39" t="s">
        <v>142</v>
      </c>
      <c r="B400" s="40" t="s">
        <v>140</v>
      </c>
      <c r="C400" s="41" t="s">
        <v>45</v>
      </c>
      <c r="D400" s="40" t="s">
        <v>46</v>
      </c>
      <c r="E400" s="24">
        <v>10000000</v>
      </c>
      <c r="F400" s="39">
        <v>44067</v>
      </c>
      <c r="G400" s="24">
        <v>10000000</v>
      </c>
      <c r="H400" s="23">
        <v>5.0000000000000001E-3</v>
      </c>
      <c r="I400" s="39">
        <v>44348</v>
      </c>
      <c r="J400" s="39">
        <v>44377</v>
      </c>
      <c r="K400" s="24">
        <v>30</v>
      </c>
      <c r="L400" s="24">
        <v>4110</v>
      </c>
      <c r="M400" s="24">
        <v>10000000</v>
      </c>
    </row>
    <row r="401" spans="1:13" s="48" customFormat="1" outlineLevel="2">
      <c r="A401" s="39" t="s">
        <v>142</v>
      </c>
      <c r="B401" s="40" t="s">
        <v>169</v>
      </c>
      <c r="C401" s="41" t="s">
        <v>79</v>
      </c>
      <c r="D401" s="40" t="s">
        <v>80</v>
      </c>
      <c r="E401" s="24">
        <v>125000000</v>
      </c>
      <c r="F401" s="39">
        <v>44075</v>
      </c>
      <c r="G401" s="24">
        <v>125000000</v>
      </c>
      <c r="H401" s="23">
        <v>5.0000000000000001E-3</v>
      </c>
      <c r="I401" s="39">
        <v>44348</v>
      </c>
      <c r="J401" s="39">
        <v>44377</v>
      </c>
      <c r="K401" s="24">
        <v>30</v>
      </c>
      <c r="L401" s="24">
        <v>51370</v>
      </c>
      <c r="M401" s="24">
        <v>125000000</v>
      </c>
    </row>
    <row r="402" spans="1:13" s="48" customFormat="1" outlineLevel="2">
      <c r="A402" s="39" t="s">
        <v>142</v>
      </c>
      <c r="B402" s="40" t="s">
        <v>170</v>
      </c>
      <c r="C402" s="41" t="s">
        <v>79</v>
      </c>
      <c r="D402" s="40" t="s">
        <v>80</v>
      </c>
      <c r="E402" s="24">
        <v>105000000</v>
      </c>
      <c r="F402" s="39">
        <v>44104</v>
      </c>
      <c r="G402" s="24">
        <v>105000000</v>
      </c>
      <c r="H402" s="23">
        <v>5.0000000000000001E-3</v>
      </c>
      <c r="I402" s="39">
        <v>44348</v>
      </c>
      <c r="J402" s="39">
        <v>44377</v>
      </c>
      <c r="K402" s="24">
        <v>30</v>
      </c>
      <c r="L402" s="24">
        <v>43151</v>
      </c>
      <c r="M402" s="24">
        <v>105000000</v>
      </c>
    </row>
    <row r="403" spans="1:13" s="48" customFormat="1" outlineLevel="2">
      <c r="A403" s="39" t="s">
        <v>142</v>
      </c>
      <c r="B403" s="40" t="s">
        <v>171</v>
      </c>
      <c r="C403" s="41" t="s">
        <v>146</v>
      </c>
      <c r="D403" s="40" t="s">
        <v>147</v>
      </c>
      <c r="E403" s="24">
        <v>13000000</v>
      </c>
      <c r="F403" s="39">
        <v>44077</v>
      </c>
      <c r="G403" s="24">
        <v>13000000</v>
      </c>
      <c r="H403" s="23">
        <v>5.0000000000000001E-3</v>
      </c>
      <c r="I403" s="39">
        <v>44348</v>
      </c>
      <c r="J403" s="39">
        <v>44377</v>
      </c>
      <c r="K403" s="24">
        <v>30</v>
      </c>
      <c r="L403" s="24">
        <v>5342</v>
      </c>
      <c r="M403" s="24">
        <v>13000000</v>
      </c>
    </row>
    <row r="404" spans="1:13" s="48" customFormat="1" outlineLevel="2">
      <c r="A404" s="39" t="s">
        <v>142</v>
      </c>
      <c r="B404" s="40" t="s">
        <v>172</v>
      </c>
      <c r="C404" s="41" t="s">
        <v>146</v>
      </c>
      <c r="D404" s="40" t="s">
        <v>147</v>
      </c>
      <c r="E404" s="24">
        <v>5800000</v>
      </c>
      <c r="F404" s="39">
        <v>44083</v>
      </c>
      <c r="G404" s="24">
        <v>5800000</v>
      </c>
      <c r="H404" s="23">
        <v>5.0000000000000001E-3</v>
      </c>
      <c r="I404" s="39">
        <v>44348</v>
      </c>
      <c r="J404" s="39">
        <v>44377</v>
      </c>
      <c r="K404" s="24">
        <v>30</v>
      </c>
      <c r="L404" s="24">
        <v>2384</v>
      </c>
      <c r="M404" s="24">
        <v>5800000</v>
      </c>
    </row>
    <row r="405" spans="1:13" s="48" customFormat="1" outlineLevel="2">
      <c r="A405" s="39" t="s">
        <v>142</v>
      </c>
      <c r="B405" s="40" t="s">
        <v>173</v>
      </c>
      <c r="C405" s="41" t="s">
        <v>149</v>
      </c>
      <c r="D405" s="40" t="s">
        <v>150</v>
      </c>
      <c r="E405" s="24">
        <v>4989600</v>
      </c>
      <c r="F405" s="39">
        <v>44088</v>
      </c>
      <c r="G405" s="24">
        <v>4989600</v>
      </c>
      <c r="H405" s="23">
        <v>5.0000000000000001E-3</v>
      </c>
      <c r="I405" s="39">
        <v>44348</v>
      </c>
      <c r="J405" s="39">
        <v>44377</v>
      </c>
      <c r="K405" s="24">
        <v>30</v>
      </c>
      <c r="L405" s="24">
        <v>2051</v>
      </c>
      <c r="M405" s="24">
        <v>4989600</v>
      </c>
    </row>
    <row r="406" spans="1:13" s="48" customFormat="1" outlineLevel="2">
      <c r="A406" s="39" t="s">
        <v>142</v>
      </c>
      <c r="B406" s="40" t="s">
        <v>62</v>
      </c>
      <c r="C406" s="41" t="s">
        <v>143</v>
      </c>
      <c r="D406" s="40" t="s">
        <v>144</v>
      </c>
      <c r="E406" s="24">
        <v>10000000</v>
      </c>
      <c r="F406" s="39">
        <v>43850</v>
      </c>
      <c r="G406" s="24">
        <v>10000000</v>
      </c>
      <c r="H406" s="23">
        <v>5.0000000000000001E-3</v>
      </c>
      <c r="I406" s="39">
        <v>44348</v>
      </c>
      <c r="J406" s="39">
        <v>44377</v>
      </c>
      <c r="K406" s="24">
        <v>30</v>
      </c>
      <c r="L406" s="24">
        <v>4110</v>
      </c>
      <c r="M406" s="24">
        <v>10000000</v>
      </c>
    </row>
    <row r="407" spans="1:13" s="48" customFormat="1" outlineLevel="2">
      <c r="A407" s="39" t="s">
        <v>142</v>
      </c>
      <c r="B407" s="40" t="s">
        <v>174</v>
      </c>
      <c r="C407" s="41" t="s">
        <v>66</v>
      </c>
      <c r="D407" s="40" t="s">
        <v>67</v>
      </c>
      <c r="E407" s="24">
        <v>96000000</v>
      </c>
      <c r="F407" s="39">
        <v>44089</v>
      </c>
      <c r="G407" s="24">
        <v>96000000</v>
      </c>
      <c r="H407" s="23">
        <v>5.0000000000000001E-3</v>
      </c>
      <c r="I407" s="39">
        <v>44348</v>
      </c>
      <c r="J407" s="39">
        <v>44377</v>
      </c>
      <c r="K407" s="24">
        <v>30</v>
      </c>
      <c r="L407" s="24">
        <v>39452</v>
      </c>
      <c r="M407" s="24">
        <v>96000000</v>
      </c>
    </row>
    <row r="408" spans="1:13" s="48" customFormat="1" outlineLevel="2">
      <c r="A408" s="39" t="s">
        <v>142</v>
      </c>
      <c r="B408" s="40" t="s">
        <v>175</v>
      </c>
      <c r="C408" s="41" t="s">
        <v>66</v>
      </c>
      <c r="D408" s="40" t="s">
        <v>67</v>
      </c>
      <c r="E408" s="24">
        <v>16000000</v>
      </c>
      <c r="F408" s="39">
        <v>44089</v>
      </c>
      <c r="G408" s="24">
        <v>16000000</v>
      </c>
      <c r="H408" s="23">
        <v>5.0000000000000001E-3</v>
      </c>
      <c r="I408" s="39">
        <v>44348</v>
      </c>
      <c r="J408" s="39">
        <v>44377</v>
      </c>
      <c r="K408" s="24">
        <v>30</v>
      </c>
      <c r="L408" s="24">
        <v>6575</v>
      </c>
      <c r="M408" s="24">
        <v>16000000</v>
      </c>
    </row>
    <row r="409" spans="1:13" s="48" customFormat="1" outlineLevel="2">
      <c r="A409" s="39" t="s">
        <v>142</v>
      </c>
      <c r="B409" s="40" t="s">
        <v>176</v>
      </c>
      <c r="C409" s="41" t="s">
        <v>143</v>
      </c>
      <c r="D409" s="40" t="s">
        <v>144</v>
      </c>
      <c r="E409" s="24">
        <v>21600000</v>
      </c>
      <c r="F409" s="39">
        <v>44095</v>
      </c>
      <c r="G409" s="24">
        <v>21600000</v>
      </c>
      <c r="H409" s="23">
        <v>5.0000000000000001E-3</v>
      </c>
      <c r="I409" s="39">
        <v>44348</v>
      </c>
      <c r="J409" s="39">
        <v>44377</v>
      </c>
      <c r="K409" s="24">
        <v>30</v>
      </c>
      <c r="L409" s="24">
        <v>8877</v>
      </c>
      <c r="M409" s="24">
        <v>21600000</v>
      </c>
    </row>
    <row r="410" spans="1:13" s="48" customFormat="1" outlineLevel="2">
      <c r="A410" s="39" t="s">
        <v>142</v>
      </c>
      <c r="B410" s="40" t="s">
        <v>177</v>
      </c>
      <c r="C410" s="41" t="s">
        <v>123</v>
      </c>
      <c r="D410" s="40" t="s">
        <v>124</v>
      </c>
      <c r="E410" s="24">
        <v>40000000</v>
      </c>
      <c r="F410" s="39">
        <v>44100</v>
      </c>
      <c r="G410" s="24">
        <v>40000000</v>
      </c>
      <c r="H410" s="23">
        <v>5.0000000000000001E-3</v>
      </c>
      <c r="I410" s="39">
        <v>44348</v>
      </c>
      <c r="J410" s="39">
        <v>44377</v>
      </c>
      <c r="K410" s="24">
        <v>30</v>
      </c>
      <c r="L410" s="24">
        <v>16438</v>
      </c>
      <c r="M410" s="24">
        <v>40000000</v>
      </c>
    </row>
    <row r="411" spans="1:13" s="48" customFormat="1" outlineLevel="2">
      <c r="A411" s="39" t="s">
        <v>142</v>
      </c>
      <c r="B411" s="40" t="s">
        <v>178</v>
      </c>
      <c r="C411" s="41" t="s">
        <v>125</v>
      </c>
      <c r="D411" s="40" t="s">
        <v>126</v>
      </c>
      <c r="E411" s="24">
        <v>2000000</v>
      </c>
      <c r="F411" s="39">
        <v>44103</v>
      </c>
      <c r="G411" s="24">
        <v>2000000</v>
      </c>
      <c r="H411" s="23">
        <v>5.0000000000000001E-3</v>
      </c>
      <c r="I411" s="39">
        <v>44348</v>
      </c>
      <c r="J411" s="39">
        <v>44377</v>
      </c>
      <c r="K411" s="24">
        <v>30</v>
      </c>
      <c r="L411" s="24">
        <v>822</v>
      </c>
      <c r="M411" s="24">
        <v>2000000</v>
      </c>
    </row>
    <row r="412" spans="1:13" s="48" customFormat="1" outlineLevel="2">
      <c r="A412" s="39" t="s">
        <v>142</v>
      </c>
      <c r="B412" s="40" t="s">
        <v>179</v>
      </c>
      <c r="C412" s="41" t="s">
        <v>146</v>
      </c>
      <c r="D412" s="40" t="s">
        <v>147</v>
      </c>
      <c r="E412" s="24">
        <v>13200000</v>
      </c>
      <c r="F412" s="39">
        <v>44109</v>
      </c>
      <c r="G412" s="24">
        <v>13200000</v>
      </c>
      <c r="H412" s="23">
        <v>5.0000000000000001E-3</v>
      </c>
      <c r="I412" s="39">
        <v>44348</v>
      </c>
      <c r="J412" s="39">
        <v>44377</v>
      </c>
      <c r="K412" s="24">
        <v>30</v>
      </c>
      <c r="L412" s="24">
        <v>5425</v>
      </c>
      <c r="M412" s="24">
        <v>13200000</v>
      </c>
    </row>
    <row r="413" spans="1:13" s="48" customFormat="1" outlineLevel="2">
      <c r="A413" s="39" t="s">
        <v>142</v>
      </c>
      <c r="B413" s="40" t="s">
        <v>180</v>
      </c>
      <c r="C413" s="41" t="s">
        <v>146</v>
      </c>
      <c r="D413" s="40" t="s">
        <v>147</v>
      </c>
      <c r="E413" s="24">
        <v>3000000</v>
      </c>
      <c r="F413" s="39">
        <v>44116</v>
      </c>
      <c r="G413" s="24">
        <v>3000000</v>
      </c>
      <c r="H413" s="23">
        <v>5.0000000000000001E-3</v>
      </c>
      <c r="I413" s="39">
        <v>44348</v>
      </c>
      <c r="J413" s="39">
        <v>44377</v>
      </c>
      <c r="K413" s="24">
        <v>30</v>
      </c>
      <c r="L413" s="24">
        <v>1233</v>
      </c>
      <c r="M413" s="24">
        <v>3000000</v>
      </c>
    </row>
    <row r="414" spans="1:13" s="48" customFormat="1" outlineLevel="2">
      <c r="A414" s="39" t="s">
        <v>142</v>
      </c>
      <c r="B414" s="40" t="s">
        <v>181</v>
      </c>
      <c r="C414" s="41" t="s">
        <v>149</v>
      </c>
      <c r="D414" s="40" t="s">
        <v>150</v>
      </c>
      <c r="E414" s="24">
        <v>8736000</v>
      </c>
      <c r="F414" s="39">
        <v>44109</v>
      </c>
      <c r="G414" s="24">
        <v>8736000</v>
      </c>
      <c r="H414" s="23">
        <v>5.0000000000000001E-3</v>
      </c>
      <c r="I414" s="39">
        <v>44348</v>
      </c>
      <c r="J414" s="39">
        <v>44377</v>
      </c>
      <c r="K414" s="24">
        <v>30</v>
      </c>
      <c r="L414" s="24">
        <v>3590</v>
      </c>
      <c r="M414" s="24">
        <v>8736000</v>
      </c>
    </row>
    <row r="415" spans="1:13" s="48" customFormat="1" outlineLevel="2">
      <c r="A415" s="39" t="s">
        <v>142</v>
      </c>
      <c r="B415" s="40" t="s">
        <v>182</v>
      </c>
      <c r="C415" s="41" t="s">
        <v>149</v>
      </c>
      <c r="D415" s="40" t="s">
        <v>150</v>
      </c>
      <c r="E415" s="24">
        <v>4273920</v>
      </c>
      <c r="F415" s="39">
        <v>44111</v>
      </c>
      <c r="G415" s="24">
        <v>4273920</v>
      </c>
      <c r="H415" s="23">
        <v>5.0000000000000001E-3</v>
      </c>
      <c r="I415" s="39">
        <v>44348</v>
      </c>
      <c r="J415" s="39">
        <v>44377</v>
      </c>
      <c r="K415" s="24">
        <v>30</v>
      </c>
      <c r="L415" s="24">
        <v>1756</v>
      </c>
      <c r="M415" s="24">
        <v>4273920</v>
      </c>
    </row>
    <row r="416" spans="1:13" s="48" customFormat="1" outlineLevel="2">
      <c r="A416" s="39" t="s">
        <v>142</v>
      </c>
      <c r="B416" s="40" t="s">
        <v>183</v>
      </c>
      <c r="C416" s="41" t="s">
        <v>149</v>
      </c>
      <c r="D416" s="40" t="s">
        <v>150</v>
      </c>
      <c r="E416" s="24">
        <v>4368000</v>
      </c>
      <c r="F416" s="39">
        <v>44132</v>
      </c>
      <c r="G416" s="24">
        <v>4368000</v>
      </c>
      <c r="H416" s="23">
        <v>5.0000000000000001E-3</v>
      </c>
      <c r="I416" s="39">
        <v>44348</v>
      </c>
      <c r="J416" s="39">
        <v>44377</v>
      </c>
      <c r="K416" s="24">
        <v>30</v>
      </c>
      <c r="L416" s="24">
        <v>1795</v>
      </c>
      <c r="M416" s="24">
        <v>4368000</v>
      </c>
    </row>
    <row r="417" spans="1:13" s="48" customFormat="1" outlineLevel="2">
      <c r="A417" s="39" t="s">
        <v>142</v>
      </c>
      <c r="B417" s="40" t="s">
        <v>63</v>
      </c>
      <c r="C417" s="41" t="s">
        <v>149</v>
      </c>
      <c r="D417" s="40" t="s">
        <v>150</v>
      </c>
      <c r="E417" s="24">
        <v>96176976</v>
      </c>
      <c r="F417" s="39">
        <v>43861</v>
      </c>
      <c r="G417" s="24">
        <v>96176976</v>
      </c>
      <c r="H417" s="23">
        <v>5.0000000000000001E-3</v>
      </c>
      <c r="I417" s="39">
        <v>44348</v>
      </c>
      <c r="J417" s="39">
        <v>44377</v>
      </c>
      <c r="K417" s="24">
        <v>30</v>
      </c>
      <c r="L417" s="24">
        <v>39525</v>
      </c>
      <c r="M417" s="24">
        <v>96176976</v>
      </c>
    </row>
    <row r="418" spans="1:13" s="48" customFormat="1" outlineLevel="2">
      <c r="A418" s="39" t="s">
        <v>142</v>
      </c>
      <c r="B418" s="40" t="s">
        <v>184</v>
      </c>
      <c r="C418" s="41" t="s">
        <v>149</v>
      </c>
      <c r="D418" s="40" t="s">
        <v>150</v>
      </c>
      <c r="E418" s="24">
        <v>8064000</v>
      </c>
      <c r="F418" s="39">
        <v>44133</v>
      </c>
      <c r="G418" s="24">
        <v>8064000</v>
      </c>
      <c r="H418" s="23">
        <v>5.0000000000000001E-3</v>
      </c>
      <c r="I418" s="39">
        <v>44348</v>
      </c>
      <c r="J418" s="39">
        <v>44377</v>
      </c>
      <c r="K418" s="24">
        <v>30</v>
      </c>
      <c r="L418" s="24">
        <v>3314</v>
      </c>
      <c r="M418" s="24">
        <v>8064000</v>
      </c>
    </row>
    <row r="419" spans="1:13" s="48" customFormat="1" outlineLevel="2">
      <c r="A419" s="39" t="s">
        <v>142</v>
      </c>
      <c r="B419" s="40" t="s">
        <v>185</v>
      </c>
      <c r="C419" s="41" t="s">
        <v>149</v>
      </c>
      <c r="D419" s="40" t="s">
        <v>150</v>
      </c>
      <c r="E419" s="24">
        <v>113400</v>
      </c>
      <c r="F419" s="39">
        <v>44133</v>
      </c>
      <c r="G419" s="24">
        <v>113400</v>
      </c>
      <c r="H419" s="23">
        <v>5.0000000000000001E-3</v>
      </c>
      <c r="I419" s="39">
        <v>44348</v>
      </c>
      <c r="J419" s="39">
        <v>44377</v>
      </c>
      <c r="K419" s="24">
        <v>30</v>
      </c>
      <c r="L419" s="24">
        <v>47</v>
      </c>
      <c r="M419" s="24">
        <v>113400</v>
      </c>
    </row>
    <row r="420" spans="1:13" s="48" customFormat="1" outlineLevel="2">
      <c r="A420" s="39" t="s">
        <v>142</v>
      </c>
      <c r="B420" s="40" t="s">
        <v>186</v>
      </c>
      <c r="C420" s="41" t="s">
        <v>187</v>
      </c>
      <c r="D420" s="40" t="s">
        <v>188</v>
      </c>
      <c r="E420" s="24">
        <v>93700000</v>
      </c>
      <c r="F420" s="39">
        <v>44109</v>
      </c>
      <c r="G420" s="24">
        <v>93700000</v>
      </c>
      <c r="H420" s="23">
        <v>5.0000000000000001E-3</v>
      </c>
      <c r="I420" s="39">
        <v>44348</v>
      </c>
      <c r="J420" s="39">
        <v>44377</v>
      </c>
      <c r="K420" s="24">
        <v>30</v>
      </c>
      <c r="L420" s="24">
        <v>38507</v>
      </c>
      <c r="M420" s="24">
        <v>93700000</v>
      </c>
    </row>
    <row r="421" spans="1:13" s="48" customFormat="1" outlineLevel="2">
      <c r="A421" s="39" t="s">
        <v>142</v>
      </c>
      <c r="B421" s="40" t="s">
        <v>189</v>
      </c>
      <c r="C421" s="41" t="s">
        <v>187</v>
      </c>
      <c r="D421" s="40" t="s">
        <v>188</v>
      </c>
      <c r="E421" s="24">
        <v>21400000</v>
      </c>
      <c r="F421" s="39">
        <v>44109</v>
      </c>
      <c r="G421" s="24">
        <v>21400000</v>
      </c>
      <c r="H421" s="23">
        <v>5.0000000000000001E-3</v>
      </c>
      <c r="I421" s="39">
        <v>44348</v>
      </c>
      <c r="J421" s="39">
        <v>44377</v>
      </c>
      <c r="K421" s="24">
        <v>30</v>
      </c>
      <c r="L421" s="24">
        <v>8795</v>
      </c>
      <c r="M421" s="24">
        <v>21400000</v>
      </c>
    </row>
    <row r="422" spans="1:13" s="48" customFormat="1" outlineLevel="2">
      <c r="A422" s="39" t="s">
        <v>142</v>
      </c>
      <c r="B422" s="40" t="s">
        <v>190</v>
      </c>
      <c r="C422" s="41" t="s">
        <v>143</v>
      </c>
      <c r="D422" s="40" t="s">
        <v>144</v>
      </c>
      <c r="E422" s="24">
        <v>7150000</v>
      </c>
      <c r="F422" s="39">
        <v>44119</v>
      </c>
      <c r="G422" s="24">
        <v>7150000</v>
      </c>
      <c r="H422" s="23">
        <v>5.0000000000000001E-3</v>
      </c>
      <c r="I422" s="39">
        <v>44348</v>
      </c>
      <c r="J422" s="39">
        <v>44377</v>
      </c>
      <c r="K422" s="24">
        <v>30</v>
      </c>
      <c r="L422" s="24">
        <v>2938</v>
      </c>
      <c r="M422" s="24">
        <v>7150000</v>
      </c>
    </row>
    <row r="423" spans="1:13" s="48" customFormat="1" outlineLevel="2">
      <c r="A423" s="39" t="s">
        <v>142</v>
      </c>
      <c r="B423" s="40" t="s">
        <v>191</v>
      </c>
      <c r="C423" s="41" t="s">
        <v>143</v>
      </c>
      <c r="D423" s="40" t="s">
        <v>144</v>
      </c>
      <c r="E423" s="24">
        <v>14400000</v>
      </c>
      <c r="F423" s="39">
        <v>44124</v>
      </c>
      <c r="G423" s="24">
        <v>14400000</v>
      </c>
      <c r="H423" s="23">
        <v>5.0000000000000001E-3</v>
      </c>
      <c r="I423" s="39">
        <v>44348</v>
      </c>
      <c r="J423" s="39">
        <v>44377</v>
      </c>
      <c r="K423" s="24">
        <v>30</v>
      </c>
      <c r="L423" s="24">
        <v>5918</v>
      </c>
      <c r="M423" s="24">
        <v>14400000</v>
      </c>
    </row>
    <row r="424" spans="1:13" s="48" customFormat="1" outlineLevel="2">
      <c r="A424" s="39" t="s">
        <v>142</v>
      </c>
      <c r="B424" s="40" t="s">
        <v>192</v>
      </c>
      <c r="C424" s="41" t="s">
        <v>125</v>
      </c>
      <c r="D424" s="40" t="s">
        <v>126</v>
      </c>
      <c r="E424" s="24">
        <v>24000000</v>
      </c>
      <c r="F424" s="39">
        <v>44120</v>
      </c>
      <c r="G424" s="24">
        <v>24000000</v>
      </c>
      <c r="H424" s="23">
        <v>5.0000000000000001E-3</v>
      </c>
      <c r="I424" s="39">
        <v>44348</v>
      </c>
      <c r="J424" s="39">
        <v>44377</v>
      </c>
      <c r="K424" s="24">
        <v>30</v>
      </c>
      <c r="L424" s="24">
        <v>9863</v>
      </c>
      <c r="M424" s="24">
        <v>24000000</v>
      </c>
    </row>
    <row r="425" spans="1:13" s="48" customFormat="1" outlineLevel="2">
      <c r="A425" s="39" t="s">
        <v>142</v>
      </c>
      <c r="B425" s="40" t="s">
        <v>193</v>
      </c>
      <c r="C425" s="41" t="s">
        <v>125</v>
      </c>
      <c r="D425" s="40" t="s">
        <v>126</v>
      </c>
      <c r="E425" s="24">
        <v>24000000</v>
      </c>
      <c r="F425" s="39">
        <v>44127</v>
      </c>
      <c r="G425" s="24">
        <v>24000000</v>
      </c>
      <c r="H425" s="23">
        <v>5.0000000000000001E-3</v>
      </c>
      <c r="I425" s="39">
        <v>44348</v>
      </c>
      <c r="J425" s="39">
        <v>44377</v>
      </c>
      <c r="K425" s="24">
        <v>30</v>
      </c>
      <c r="L425" s="24">
        <v>9863</v>
      </c>
      <c r="M425" s="24">
        <v>24000000</v>
      </c>
    </row>
    <row r="426" spans="1:13" s="48" customFormat="1" outlineLevel="2">
      <c r="A426" s="39" t="s">
        <v>142</v>
      </c>
      <c r="B426" s="40" t="s">
        <v>194</v>
      </c>
      <c r="C426" s="41" t="s">
        <v>123</v>
      </c>
      <c r="D426" s="40" t="s">
        <v>124</v>
      </c>
      <c r="E426" s="24">
        <v>5000000</v>
      </c>
      <c r="F426" s="39">
        <v>44134</v>
      </c>
      <c r="G426" s="24">
        <v>5000000</v>
      </c>
      <c r="H426" s="23">
        <v>5.0000000000000001E-3</v>
      </c>
      <c r="I426" s="39">
        <v>44348</v>
      </c>
      <c r="J426" s="39">
        <v>44377</v>
      </c>
      <c r="K426" s="24">
        <v>30</v>
      </c>
      <c r="L426" s="24">
        <v>2055</v>
      </c>
      <c r="M426" s="24">
        <v>5000000</v>
      </c>
    </row>
    <row r="427" spans="1:13" s="48" customFormat="1" outlineLevel="2">
      <c r="A427" s="39" t="s">
        <v>142</v>
      </c>
      <c r="B427" s="40" t="s">
        <v>195</v>
      </c>
      <c r="C427" s="41" t="s">
        <v>146</v>
      </c>
      <c r="D427" s="40" t="s">
        <v>147</v>
      </c>
      <c r="E427" s="24">
        <v>16000000</v>
      </c>
      <c r="F427" s="39">
        <v>44139</v>
      </c>
      <c r="G427" s="24">
        <v>16000000</v>
      </c>
      <c r="H427" s="23">
        <v>5.0000000000000001E-3</v>
      </c>
      <c r="I427" s="39">
        <v>44348</v>
      </c>
      <c r="J427" s="39">
        <v>44377</v>
      </c>
      <c r="K427" s="24">
        <v>30</v>
      </c>
      <c r="L427" s="24">
        <v>6575</v>
      </c>
      <c r="M427" s="24">
        <v>16000000</v>
      </c>
    </row>
    <row r="428" spans="1:13" s="48" customFormat="1" outlineLevel="2">
      <c r="A428" s="39" t="s">
        <v>142</v>
      </c>
      <c r="B428" s="40" t="s">
        <v>64</v>
      </c>
      <c r="C428" s="41" t="s">
        <v>143</v>
      </c>
      <c r="D428" s="40" t="s">
        <v>144</v>
      </c>
      <c r="E428" s="24">
        <v>1800000</v>
      </c>
      <c r="F428" s="39">
        <v>43876</v>
      </c>
      <c r="G428" s="24">
        <v>1800000</v>
      </c>
      <c r="H428" s="23">
        <v>5.0000000000000001E-3</v>
      </c>
      <c r="I428" s="39">
        <v>44348</v>
      </c>
      <c r="J428" s="39">
        <v>44377</v>
      </c>
      <c r="K428" s="24">
        <v>30</v>
      </c>
      <c r="L428" s="24">
        <v>740</v>
      </c>
      <c r="M428" s="24">
        <v>1800000</v>
      </c>
    </row>
    <row r="429" spans="1:13" s="48" customFormat="1" outlineLevel="2">
      <c r="A429" s="39" t="s">
        <v>142</v>
      </c>
      <c r="B429" s="40" t="s">
        <v>196</v>
      </c>
      <c r="C429" s="41" t="s">
        <v>146</v>
      </c>
      <c r="D429" s="40" t="s">
        <v>147</v>
      </c>
      <c r="E429" s="24">
        <v>6000000</v>
      </c>
      <c r="F429" s="39">
        <v>44145</v>
      </c>
      <c r="G429" s="24">
        <v>6000000</v>
      </c>
      <c r="H429" s="23">
        <v>5.0000000000000001E-3</v>
      </c>
      <c r="I429" s="39">
        <v>44348</v>
      </c>
      <c r="J429" s="39">
        <v>44377</v>
      </c>
      <c r="K429" s="24">
        <v>30</v>
      </c>
      <c r="L429" s="24">
        <v>2466</v>
      </c>
      <c r="M429" s="24">
        <v>6000000</v>
      </c>
    </row>
    <row r="430" spans="1:13" s="48" customFormat="1" outlineLevel="2">
      <c r="A430" s="39" t="s">
        <v>142</v>
      </c>
      <c r="B430" s="40" t="s">
        <v>197</v>
      </c>
      <c r="C430" s="41" t="s">
        <v>143</v>
      </c>
      <c r="D430" s="40" t="s">
        <v>144</v>
      </c>
      <c r="E430" s="24">
        <v>19000000</v>
      </c>
      <c r="F430" s="39">
        <v>44140</v>
      </c>
      <c r="G430" s="24">
        <v>19000000</v>
      </c>
      <c r="H430" s="23">
        <v>5.0000000000000001E-3</v>
      </c>
      <c r="I430" s="39">
        <v>44348</v>
      </c>
      <c r="J430" s="39">
        <v>44377</v>
      </c>
      <c r="K430" s="24">
        <v>30</v>
      </c>
      <c r="L430" s="24">
        <v>7808</v>
      </c>
      <c r="M430" s="24">
        <v>19000000</v>
      </c>
    </row>
    <row r="431" spans="1:13" s="48" customFormat="1" outlineLevel="2">
      <c r="A431" s="39" t="s">
        <v>142</v>
      </c>
      <c r="B431" s="40" t="s">
        <v>198</v>
      </c>
      <c r="C431" s="41" t="s">
        <v>143</v>
      </c>
      <c r="D431" s="40" t="s">
        <v>144</v>
      </c>
      <c r="E431" s="24">
        <v>1800000</v>
      </c>
      <c r="F431" s="39">
        <v>44165</v>
      </c>
      <c r="G431" s="24">
        <v>1800000</v>
      </c>
      <c r="H431" s="23">
        <v>5.0000000000000001E-3</v>
      </c>
      <c r="I431" s="39">
        <v>44348</v>
      </c>
      <c r="J431" s="39">
        <v>44377</v>
      </c>
      <c r="K431" s="24">
        <v>30</v>
      </c>
      <c r="L431" s="24">
        <v>740</v>
      </c>
      <c r="M431" s="24">
        <v>1800000</v>
      </c>
    </row>
    <row r="432" spans="1:13" s="48" customFormat="1" outlineLevel="2">
      <c r="A432" s="39" t="s">
        <v>142</v>
      </c>
      <c r="B432" s="40" t="s">
        <v>199</v>
      </c>
      <c r="C432" s="41" t="s">
        <v>143</v>
      </c>
      <c r="D432" s="40" t="s">
        <v>144</v>
      </c>
      <c r="E432" s="24">
        <v>5500000</v>
      </c>
      <c r="F432" s="39">
        <v>44165</v>
      </c>
      <c r="G432" s="24">
        <v>5500000</v>
      </c>
      <c r="H432" s="23">
        <v>5.0000000000000001E-3</v>
      </c>
      <c r="I432" s="39">
        <v>44348</v>
      </c>
      <c r="J432" s="39">
        <v>44377</v>
      </c>
      <c r="K432" s="24">
        <v>30</v>
      </c>
      <c r="L432" s="24">
        <v>2260</v>
      </c>
      <c r="M432" s="24">
        <v>5500000</v>
      </c>
    </row>
    <row r="433" spans="1:13" s="48" customFormat="1" outlineLevel="2">
      <c r="A433" s="39" t="s">
        <v>142</v>
      </c>
      <c r="B433" s="40" t="s">
        <v>200</v>
      </c>
      <c r="C433" s="41" t="s">
        <v>143</v>
      </c>
      <c r="D433" s="40" t="s">
        <v>144</v>
      </c>
      <c r="E433" s="24">
        <v>8600000</v>
      </c>
      <c r="F433" s="39">
        <v>44165</v>
      </c>
      <c r="G433" s="24">
        <v>8600000</v>
      </c>
      <c r="H433" s="23">
        <v>5.0000000000000001E-3</v>
      </c>
      <c r="I433" s="39">
        <v>44348</v>
      </c>
      <c r="J433" s="39">
        <v>44377</v>
      </c>
      <c r="K433" s="24">
        <v>30</v>
      </c>
      <c r="L433" s="24">
        <v>3534</v>
      </c>
      <c r="M433" s="24">
        <v>8600000</v>
      </c>
    </row>
    <row r="434" spans="1:13" s="48" customFormat="1" outlineLevel="2">
      <c r="A434" s="39" t="s">
        <v>142</v>
      </c>
      <c r="B434" s="40" t="s">
        <v>201</v>
      </c>
      <c r="C434" s="41" t="s">
        <v>161</v>
      </c>
      <c r="D434" s="40" t="s">
        <v>162</v>
      </c>
      <c r="E434" s="24">
        <v>150000000</v>
      </c>
      <c r="F434" s="39">
        <v>44144</v>
      </c>
      <c r="G434" s="24">
        <v>150000000</v>
      </c>
      <c r="H434" s="23">
        <v>5.0000000000000001E-3</v>
      </c>
      <c r="I434" s="39">
        <v>44348</v>
      </c>
      <c r="J434" s="39">
        <v>44377</v>
      </c>
      <c r="K434" s="24">
        <v>30</v>
      </c>
      <c r="L434" s="24">
        <v>61644</v>
      </c>
      <c r="M434" s="24">
        <v>150000000</v>
      </c>
    </row>
    <row r="435" spans="1:13" s="48" customFormat="1" outlineLevel="2">
      <c r="A435" s="39" t="s">
        <v>142</v>
      </c>
      <c r="B435" s="40" t="s">
        <v>202</v>
      </c>
      <c r="C435" s="41" t="s">
        <v>125</v>
      </c>
      <c r="D435" s="40" t="s">
        <v>126</v>
      </c>
      <c r="E435" s="24">
        <v>2500000</v>
      </c>
      <c r="F435" s="39">
        <v>44147</v>
      </c>
      <c r="G435" s="24">
        <v>2500000</v>
      </c>
      <c r="H435" s="23">
        <v>5.0000000000000001E-3</v>
      </c>
      <c r="I435" s="39">
        <v>44348</v>
      </c>
      <c r="J435" s="39">
        <v>44377</v>
      </c>
      <c r="K435" s="24">
        <v>30</v>
      </c>
      <c r="L435" s="24">
        <v>1027</v>
      </c>
      <c r="M435" s="24">
        <v>2500000</v>
      </c>
    </row>
    <row r="436" spans="1:13" s="48" customFormat="1" outlineLevel="2">
      <c r="A436" s="39" t="s">
        <v>142</v>
      </c>
      <c r="B436" s="40" t="s">
        <v>203</v>
      </c>
      <c r="C436" s="41" t="s">
        <v>125</v>
      </c>
      <c r="D436" s="40" t="s">
        <v>126</v>
      </c>
      <c r="E436" s="24">
        <v>18000000</v>
      </c>
      <c r="F436" s="39">
        <v>44158</v>
      </c>
      <c r="G436" s="24">
        <v>18000000</v>
      </c>
      <c r="H436" s="23">
        <v>5.0000000000000001E-3</v>
      </c>
      <c r="I436" s="39">
        <v>44348</v>
      </c>
      <c r="J436" s="39">
        <v>44377</v>
      </c>
      <c r="K436" s="24">
        <v>30</v>
      </c>
      <c r="L436" s="24">
        <v>7397</v>
      </c>
      <c r="M436" s="24">
        <v>18000000</v>
      </c>
    </row>
    <row r="437" spans="1:13" s="48" customFormat="1" outlineLevel="2">
      <c r="A437" s="39" t="s">
        <v>142</v>
      </c>
      <c r="B437" s="40" t="s">
        <v>204</v>
      </c>
      <c r="C437" s="41" t="s">
        <v>149</v>
      </c>
      <c r="D437" s="40" t="s">
        <v>150</v>
      </c>
      <c r="E437" s="24">
        <v>1764000</v>
      </c>
      <c r="F437" s="39">
        <v>44147</v>
      </c>
      <c r="G437" s="24">
        <v>1764000</v>
      </c>
      <c r="H437" s="23">
        <v>5.0000000000000001E-3</v>
      </c>
      <c r="I437" s="39">
        <v>44348</v>
      </c>
      <c r="J437" s="39">
        <v>44377</v>
      </c>
      <c r="K437" s="24">
        <v>30</v>
      </c>
      <c r="L437" s="24">
        <v>725</v>
      </c>
      <c r="M437" s="24">
        <v>1764000</v>
      </c>
    </row>
    <row r="438" spans="1:13" s="48" customFormat="1" outlineLevel="2">
      <c r="A438" s="39" t="s">
        <v>142</v>
      </c>
      <c r="B438" s="40" t="s">
        <v>205</v>
      </c>
      <c r="C438" s="41" t="s">
        <v>163</v>
      </c>
      <c r="D438" s="40" t="s">
        <v>164</v>
      </c>
      <c r="E438" s="24">
        <v>15000000</v>
      </c>
      <c r="F438" s="39">
        <v>44153</v>
      </c>
      <c r="G438" s="24">
        <v>14217390</v>
      </c>
      <c r="H438" s="23">
        <v>5.0000000000000001E-3</v>
      </c>
      <c r="I438" s="39">
        <v>44348</v>
      </c>
      <c r="J438" s="39">
        <v>44361</v>
      </c>
      <c r="K438" s="24">
        <v>14</v>
      </c>
      <c r="L438" s="24">
        <v>2727</v>
      </c>
      <c r="M438" s="24">
        <v>14086955</v>
      </c>
    </row>
    <row r="439" spans="1:13" s="48" customFormat="1" outlineLevel="2">
      <c r="A439" s="39" t="s">
        <v>142</v>
      </c>
      <c r="B439" s="40" t="s">
        <v>205</v>
      </c>
      <c r="C439" s="41" t="s">
        <v>163</v>
      </c>
      <c r="D439" s="40"/>
      <c r="E439" s="24"/>
      <c r="F439" s="39"/>
      <c r="G439" s="24">
        <v>14086955</v>
      </c>
      <c r="H439" s="23">
        <v>5.0000000000000001E-3</v>
      </c>
      <c r="I439" s="39">
        <v>44362</v>
      </c>
      <c r="J439" s="39">
        <v>44377</v>
      </c>
      <c r="K439" s="24">
        <v>16</v>
      </c>
      <c r="L439" s="24">
        <v>3088</v>
      </c>
      <c r="M439" s="24"/>
    </row>
    <row r="440" spans="1:13" s="48" customFormat="1" outlineLevel="2">
      <c r="A440" s="39" t="s">
        <v>142</v>
      </c>
      <c r="B440" s="40" t="s">
        <v>65</v>
      </c>
      <c r="C440" s="41" t="s">
        <v>117</v>
      </c>
      <c r="D440" s="40" t="s">
        <v>118</v>
      </c>
      <c r="E440" s="24">
        <v>30000000</v>
      </c>
      <c r="F440" s="39">
        <v>43906</v>
      </c>
      <c r="G440" s="24">
        <v>30000000</v>
      </c>
      <c r="H440" s="23">
        <v>5.0000000000000001E-3</v>
      </c>
      <c r="I440" s="39">
        <v>44348</v>
      </c>
      <c r="J440" s="39">
        <v>44377</v>
      </c>
      <c r="K440" s="24">
        <v>30</v>
      </c>
      <c r="L440" s="24">
        <v>12329</v>
      </c>
      <c r="M440" s="24">
        <v>30000000</v>
      </c>
    </row>
    <row r="441" spans="1:13" s="48" customFormat="1" outlineLevel="2">
      <c r="A441" s="39" t="s">
        <v>142</v>
      </c>
      <c r="B441" s="40" t="s">
        <v>206</v>
      </c>
      <c r="C441" s="41" t="s">
        <v>87</v>
      </c>
      <c r="D441" s="40" t="s">
        <v>88</v>
      </c>
      <c r="E441" s="24">
        <v>13481921</v>
      </c>
      <c r="F441" s="39">
        <v>44158</v>
      </c>
      <c r="G441" s="24">
        <v>13481921</v>
      </c>
      <c r="H441" s="23">
        <v>5.0000000000000001E-3</v>
      </c>
      <c r="I441" s="39">
        <v>44348</v>
      </c>
      <c r="J441" s="39">
        <v>44377</v>
      </c>
      <c r="K441" s="24">
        <v>30</v>
      </c>
      <c r="L441" s="24">
        <v>5541</v>
      </c>
      <c r="M441" s="24">
        <v>13481921</v>
      </c>
    </row>
    <row r="442" spans="1:13" s="48" customFormat="1" outlineLevel="2">
      <c r="A442" s="39" t="s">
        <v>142</v>
      </c>
      <c r="B442" s="40" t="s">
        <v>207</v>
      </c>
      <c r="C442" s="41" t="s">
        <v>85</v>
      </c>
      <c r="D442" s="40" t="s">
        <v>86</v>
      </c>
      <c r="E442" s="24">
        <v>2682500</v>
      </c>
      <c r="F442" s="39">
        <v>44165</v>
      </c>
      <c r="G442" s="24">
        <v>2682500</v>
      </c>
      <c r="H442" s="23">
        <v>5.0000000000000001E-3</v>
      </c>
      <c r="I442" s="39">
        <v>44348</v>
      </c>
      <c r="J442" s="39">
        <v>44377</v>
      </c>
      <c r="K442" s="24">
        <v>30</v>
      </c>
      <c r="L442" s="24">
        <v>1102</v>
      </c>
      <c r="M442" s="24">
        <v>2682500</v>
      </c>
    </row>
    <row r="443" spans="1:13" s="48" customFormat="1" outlineLevel="2">
      <c r="A443" s="39" t="s">
        <v>142</v>
      </c>
      <c r="B443" s="40" t="s">
        <v>208</v>
      </c>
      <c r="C443" s="41" t="s">
        <v>85</v>
      </c>
      <c r="D443" s="40" t="s">
        <v>86</v>
      </c>
      <c r="E443" s="24">
        <v>8047500</v>
      </c>
      <c r="F443" s="39">
        <v>44165</v>
      </c>
      <c r="G443" s="24">
        <v>8047500</v>
      </c>
      <c r="H443" s="23">
        <v>5.0000000000000001E-3</v>
      </c>
      <c r="I443" s="39">
        <v>44348</v>
      </c>
      <c r="J443" s="39">
        <v>44377</v>
      </c>
      <c r="K443" s="24">
        <v>30</v>
      </c>
      <c r="L443" s="24">
        <v>3307</v>
      </c>
      <c r="M443" s="24">
        <v>8047500</v>
      </c>
    </row>
    <row r="444" spans="1:13" s="48" customFormat="1" outlineLevel="2">
      <c r="A444" s="39" t="s">
        <v>142</v>
      </c>
      <c r="B444" s="40" t="s">
        <v>209</v>
      </c>
      <c r="C444" s="41" t="s">
        <v>146</v>
      </c>
      <c r="D444" s="40" t="s">
        <v>147</v>
      </c>
      <c r="E444" s="24">
        <v>15600000</v>
      </c>
      <c r="F444" s="39">
        <v>44168</v>
      </c>
      <c r="G444" s="24">
        <v>15600000</v>
      </c>
      <c r="H444" s="23">
        <v>5.0000000000000001E-3</v>
      </c>
      <c r="I444" s="39">
        <v>44348</v>
      </c>
      <c r="J444" s="39">
        <v>44377</v>
      </c>
      <c r="K444" s="24">
        <v>30</v>
      </c>
      <c r="L444" s="24">
        <v>6411</v>
      </c>
      <c r="M444" s="24">
        <v>15600000</v>
      </c>
    </row>
    <row r="445" spans="1:13" s="48" customFormat="1" outlineLevel="2">
      <c r="A445" s="39" t="s">
        <v>142</v>
      </c>
      <c r="B445" s="40" t="s">
        <v>210</v>
      </c>
      <c r="C445" s="41" t="s">
        <v>146</v>
      </c>
      <c r="D445" s="40" t="s">
        <v>147</v>
      </c>
      <c r="E445" s="24">
        <v>4400000</v>
      </c>
      <c r="F445" s="39">
        <v>44173</v>
      </c>
      <c r="G445" s="24">
        <v>4400000</v>
      </c>
      <c r="H445" s="23">
        <v>5.0000000000000001E-3</v>
      </c>
      <c r="I445" s="39">
        <v>44348</v>
      </c>
      <c r="J445" s="39">
        <v>44377</v>
      </c>
      <c r="K445" s="24">
        <v>30</v>
      </c>
      <c r="L445" s="24">
        <v>1808</v>
      </c>
      <c r="M445" s="24">
        <v>4400000</v>
      </c>
    </row>
    <row r="446" spans="1:13" s="48" customFormat="1" outlineLevel="2">
      <c r="A446" s="39" t="s">
        <v>142</v>
      </c>
      <c r="B446" s="40" t="s">
        <v>211</v>
      </c>
      <c r="C446" s="41" t="s">
        <v>187</v>
      </c>
      <c r="D446" s="40" t="s">
        <v>188</v>
      </c>
      <c r="E446" s="24">
        <v>88900000</v>
      </c>
      <c r="F446" s="39">
        <v>44169</v>
      </c>
      <c r="G446" s="24">
        <v>88900000</v>
      </c>
      <c r="H446" s="23">
        <v>5.0000000000000001E-3</v>
      </c>
      <c r="I446" s="39">
        <v>44348</v>
      </c>
      <c r="J446" s="39">
        <v>44377</v>
      </c>
      <c r="K446" s="24">
        <v>30</v>
      </c>
      <c r="L446" s="24">
        <v>36534</v>
      </c>
      <c r="M446" s="24">
        <v>88900000</v>
      </c>
    </row>
    <row r="447" spans="1:13" s="48" customFormat="1" outlineLevel="2">
      <c r="A447" s="39" t="s">
        <v>142</v>
      </c>
      <c r="B447" s="40" t="s">
        <v>212</v>
      </c>
      <c r="C447" s="41" t="s">
        <v>163</v>
      </c>
      <c r="D447" s="40" t="s">
        <v>164</v>
      </c>
      <c r="E447" s="24">
        <v>7300000</v>
      </c>
      <c r="F447" s="39">
        <v>44173</v>
      </c>
      <c r="G447" s="24">
        <v>6979825</v>
      </c>
      <c r="H447" s="23">
        <v>5.0000000000000001E-3</v>
      </c>
      <c r="I447" s="39">
        <v>44348</v>
      </c>
      <c r="J447" s="39">
        <v>44361</v>
      </c>
      <c r="K447" s="24">
        <v>14</v>
      </c>
      <c r="L447" s="24">
        <v>1339</v>
      </c>
      <c r="M447" s="24">
        <v>6915790</v>
      </c>
    </row>
    <row r="448" spans="1:13" s="48" customFormat="1" outlineLevel="2">
      <c r="A448" s="39" t="s">
        <v>142</v>
      </c>
      <c r="B448" s="40" t="s">
        <v>212</v>
      </c>
      <c r="C448" s="41" t="s">
        <v>163</v>
      </c>
      <c r="D448" s="40"/>
      <c r="E448" s="24"/>
      <c r="F448" s="39"/>
      <c r="G448" s="24">
        <v>6915790</v>
      </c>
      <c r="H448" s="23">
        <v>5.0000000000000001E-3</v>
      </c>
      <c r="I448" s="39">
        <v>44362</v>
      </c>
      <c r="J448" s="39">
        <v>44377</v>
      </c>
      <c r="K448" s="24">
        <v>16</v>
      </c>
      <c r="L448" s="24">
        <v>1516</v>
      </c>
      <c r="M448" s="24"/>
    </row>
    <row r="449" spans="1:13" s="48" customFormat="1" outlineLevel="2">
      <c r="A449" s="39" t="s">
        <v>142</v>
      </c>
      <c r="B449" s="40" t="s">
        <v>213</v>
      </c>
      <c r="C449" s="41" t="s">
        <v>149</v>
      </c>
      <c r="D449" s="40" t="s">
        <v>150</v>
      </c>
      <c r="E449" s="24">
        <v>2184000</v>
      </c>
      <c r="F449" s="39">
        <v>44174</v>
      </c>
      <c r="G449" s="24">
        <v>2184000</v>
      </c>
      <c r="H449" s="23">
        <v>5.0000000000000001E-3</v>
      </c>
      <c r="I449" s="39">
        <v>44348</v>
      </c>
      <c r="J449" s="39">
        <v>44377</v>
      </c>
      <c r="K449" s="24">
        <v>30</v>
      </c>
      <c r="L449" s="24">
        <v>898</v>
      </c>
      <c r="M449" s="24">
        <v>2184000</v>
      </c>
    </row>
    <row r="450" spans="1:13" s="48" customFormat="1" outlineLevel="2">
      <c r="A450" s="39" t="s">
        <v>142</v>
      </c>
      <c r="B450" s="40" t="s">
        <v>214</v>
      </c>
      <c r="C450" s="41" t="s">
        <v>149</v>
      </c>
      <c r="D450" s="40" t="s">
        <v>150</v>
      </c>
      <c r="E450" s="24">
        <v>20764000</v>
      </c>
      <c r="F450" s="39">
        <v>44176</v>
      </c>
      <c r="G450" s="24">
        <v>20764000</v>
      </c>
      <c r="H450" s="23">
        <v>5.0000000000000001E-3</v>
      </c>
      <c r="I450" s="39">
        <v>44348</v>
      </c>
      <c r="J450" s="39">
        <v>44377</v>
      </c>
      <c r="K450" s="24">
        <v>30</v>
      </c>
      <c r="L450" s="24">
        <v>8533</v>
      </c>
      <c r="M450" s="24">
        <v>20764000</v>
      </c>
    </row>
    <row r="451" spans="1:13" s="48" customFormat="1" outlineLevel="2">
      <c r="A451" s="39" t="s">
        <v>142</v>
      </c>
      <c r="B451" s="40" t="s">
        <v>215</v>
      </c>
      <c r="C451" s="41" t="s">
        <v>149</v>
      </c>
      <c r="D451" s="40" t="s">
        <v>150</v>
      </c>
      <c r="E451" s="24">
        <v>2423030</v>
      </c>
      <c r="F451" s="39">
        <v>44190</v>
      </c>
      <c r="G451" s="24">
        <v>2423030</v>
      </c>
      <c r="H451" s="23">
        <v>5.0000000000000001E-3</v>
      </c>
      <c r="I451" s="39">
        <v>44348</v>
      </c>
      <c r="J451" s="39">
        <v>44377</v>
      </c>
      <c r="K451" s="24">
        <v>30</v>
      </c>
      <c r="L451" s="24">
        <v>996</v>
      </c>
      <c r="M451" s="24">
        <v>2423030</v>
      </c>
    </row>
    <row r="452" spans="1:13" s="48" customFormat="1" outlineLevel="2">
      <c r="A452" s="39" t="s">
        <v>142</v>
      </c>
      <c r="B452" s="40" t="s">
        <v>68</v>
      </c>
      <c r="C452" s="41" t="s">
        <v>117</v>
      </c>
      <c r="D452" s="40" t="s">
        <v>118</v>
      </c>
      <c r="E452" s="24">
        <v>50000000</v>
      </c>
      <c r="F452" s="39">
        <v>43908</v>
      </c>
      <c r="G452" s="24">
        <v>50000000</v>
      </c>
      <c r="H452" s="23">
        <v>5.0000000000000001E-3</v>
      </c>
      <c r="I452" s="39">
        <v>44348</v>
      </c>
      <c r="J452" s="39">
        <v>44377</v>
      </c>
      <c r="K452" s="24">
        <v>30</v>
      </c>
      <c r="L452" s="24">
        <v>20548</v>
      </c>
      <c r="M452" s="24">
        <v>50000000</v>
      </c>
    </row>
    <row r="453" spans="1:13" s="48" customFormat="1" outlineLevel="2">
      <c r="A453" s="39" t="s">
        <v>142</v>
      </c>
      <c r="B453" s="40" t="s">
        <v>216</v>
      </c>
      <c r="C453" s="41" t="s">
        <v>149</v>
      </c>
      <c r="D453" s="40" t="s">
        <v>150</v>
      </c>
      <c r="E453" s="24">
        <v>5653738</v>
      </c>
      <c r="F453" s="39">
        <v>44196</v>
      </c>
      <c r="G453" s="24">
        <v>5653738</v>
      </c>
      <c r="H453" s="23">
        <v>5.0000000000000001E-3</v>
      </c>
      <c r="I453" s="39">
        <v>44348</v>
      </c>
      <c r="J453" s="39">
        <v>44377</v>
      </c>
      <c r="K453" s="24">
        <v>30</v>
      </c>
      <c r="L453" s="24">
        <v>2323</v>
      </c>
      <c r="M453" s="24">
        <v>5653738</v>
      </c>
    </row>
    <row r="454" spans="1:13" s="48" customFormat="1" outlineLevel="2">
      <c r="A454" s="39" t="s">
        <v>142</v>
      </c>
      <c r="B454" s="40" t="s">
        <v>217</v>
      </c>
      <c r="C454" s="41" t="s">
        <v>155</v>
      </c>
      <c r="D454" s="40" t="s">
        <v>156</v>
      </c>
      <c r="E454" s="24">
        <v>200000000</v>
      </c>
      <c r="F454" s="39">
        <v>44190</v>
      </c>
      <c r="G454" s="24">
        <v>200000000</v>
      </c>
      <c r="H454" s="23">
        <v>5.0000000000000001E-3</v>
      </c>
      <c r="I454" s="39">
        <v>44348</v>
      </c>
      <c r="J454" s="39">
        <v>44377</v>
      </c>
      <c r="K454" s="24">
        <v>30</v>
      </c>
      <c r="L454" s="24">
        <v>82192</v>
      </c>
      <c r="M454" s="24">
        <v>200000000</v>
      </c>
    </row>
    <row r="455" spans="1:13" s="48" customFormat="1" outlineLevel="2">
      <c r="A455" s="39" t="s">
        <v>142</v>
      </c>
      <c r="B455" s="40" t="s">
        <v>218</v>
      </c>
      <c r="C455" s="41" t="s">
        <v>219</v>
      </c>
      <c r="D455" s="40" t="s">
        <v>220</v>
      </c>
      <c r="E455" s="24">
        <v>14160000</v>
      </c>
      <c r="F455" s="39">
        <v>44190</v>
      </c>
      <c r="G455" s="24">
        <v>14160000</v>
      </c>
      <c r="H455" s="23">
        <v>5.0000000000000001E-3</v>
      </c>
      <c r="I455" s="39">
        <v>44348</v>
      </c>
      <c r="J455" s="39">
        <v>44377</v>
      </c>
      <c r="K455" s="24">
        <v>30</v>
      </c>
      <c r="L455" s="24">
        <v>5819</v>
      </c>
      <c r="M455" s="24">
        <v>14160000</v>
      </c>
    </row>
    <row r="456" spans="1:13" s="48" customFormat="1" outlineLevel="2">
      <c r="A456" s="39" t="s">
        <v>142</v>
      </c>
      <c r="B456" s="40" t="s">
        <v>221</v>
      </c>
      <c r="C456" s="41" t="s">
        <v>87</v>
      </c>
      <c r="D456" s="40" t="s">
        <v>88</v>
      </c>
      <c r="E456" s="24">
        <v>13481921</v>
      </c>
      <c r="F456" s="39">
        <v>44190</v>
      </c>
      <c r="G456" s="24">
        <v>13481921</v>
      </c>
      <c r="H456" s="23">
        <v>5.0000000000000001E-3</v>
      </c>
      <c r="I456" s="39">
        <v>44348</v>
      </c>
      <c r="J456" s="39">
        <v>44377</v>
      </c>
      <c r="K456" s="24">
        <v>30</v>
      </c>
      <c r="L456" s="24">
        <v>5541</v>
      </c>
      <c r="M456" s="24">
        <v>13481921</v>
      </c>
    </row>
    <row r="457" spans="1:13" s="48" customFormat="1" outlineLevel="2">
      <c r="A457" s="39" t="s">
        <v>142</v>
      </c>
      <c r="B457" s="40" t="s">
        <v>222</v>
      </c>
      <c r="C457" s="41" t="s">
        <v>143</v>
      </c>
      <c r="D457" s="40" t="s">
        <v>144</v>
      </c>
      <c r="E457" s="24">
        <v>1800000</v>
      </c>
      <c r="F457" s="39">
        <v>44190</v>
      </c>
      <c r="G457" s="24">
        <v>1800000</v>
      </c>
      <c r="H457" s="23">
        <v>5.0000000000000001E-3</v>
      </c>
      <c r="I457" s="39">
        <v>44348</v>
      </c>
      <c r="J457" s="39">
        <v>44377</v>
      </c>
      <c r="K457" s="24">
        <v>30</v>
      </c>
      <c r="L457" s="24">
        <v>740</v>
      </c>
      <c r="M457" s="24">
        <v>1800000</v>
      </c>
    </row>
    <row r="458" spans="1:13" s="48" customFormat="1" outlineLevel="2">
      <c r="A458" s="39" t="s">
        <v>142</v>
      </c>
      <c r="B458" s="40" t="s">
        <v>223</v>
      </c>
      <c r="C458" s="41" t="s">
        <v>143</v>
      </c>
      <c r="D458" s="40" t="s">
        <v>144</v>
      </c>
      <c r="E458" s="24">
        <v>8300000</v>
      </c>
      <c r="F458" s="39">
        <v>44196</v>
      </c>
      <c r="G458" s="24">
        <v>8300000</v>
      </c>
      <c r="H458" s="23">
        <v>5.0000000000000001E-3</v>
      </c>
      <c r="I458" s="39">
        <v>44348</v>
      </c>
      <c r="J458" s="39">
        <v>44377</v>
      </c>
      <c r="K458" s="24">
        <v>30</v>
      </c>
      <c r="L458" s="24">
        <v>3411</v>
      </c>
      <c r="M458" s="24">
        <v>8300000</v>
      </c>
    </row>
    <row r="459" spans="1:13" s="48" customFormat="1" outlineLevel="2">
      <c r="A459" s="39" t="s">
        <v>142</v>
      </c>
      <c r="B459" s="40" t="s">
        <v>224</v>
      </c>
      <c r="C459" s="41" t="s">
        <v>165</v>
      </c>
      <c r="D459" s="40" t="s">
        <v>166</v>
      </c>
      <c r="E459" s="24">
        <v>39740000</v>
      </c>
      <c r="F459" s="39">
        <v>44195</v>
      </c>
      <c r="G459" s="24">
        <v>39740000</v>
      </c>
      <c r="H459" s="23">
        <v>5.0000000000000001E-3</v>
      </c>
      <c r="I459" s="39">
        <v>44348</v>
      </c>
      <c r="J459" s="39">
        <v>44377</v>
      </c>
      <c r="K459" s="24">
        <v>30</v>
      </c>
      <c r="L459" s="24">
        <v>16332</v>
      </c>
      <c r="M459" s="24">
        <v>39740000</v>
      </c>
    </row>
    <row r="460" spans="1:13" s="48" customFormat="1" outlineLevel="2">
      <c r="A460" s="39" t="s">
        <v>142</v>
      </c>
      <c r="B460" s="40" t="s">
        <v>225</v>
      </c>
      <c r="C460" s="41" t="s">
        <v>85</v>
      </c>
      <c r="D460" s="40" t="s">
        <v>86</v>
      </c>
      <c r="E460" s="24">
        <v>4842500</v>
      </c>
      <c r="F460" s="39">
        <v>44202</v>
      </c>
      <c r="G460" s="24">
        <v>4842500</v>
      </c>
      <c r="H460" s="23">
        <v>5.0000000000000001E-3</v>
      </c>
      <c r="I460" s="39">
        <v>44348</v>
      </c>
      <c r="J460" s="39">
        <v>44377</v>
      </c>
      <c r="K460" s="24">
        <v>30</v>
      </c>
      <c r="L460" s="24">
        <v>1990</v>
      </c>
      <c r="M460" s="24">
        <v>4842500</v>
      </c>
    </row>
    <row r="461" spans="1:13" s="48" customFormat="1" outlineLevel="2">
      <c r="A461" s="39" t="s">
        <v>142</v>
      </c>
      <c r="B461" s="40" t="s">
        <v>226</v>
      </c>
      <c r="C461" s="41" t="s">
        <v>85</v>
      </c>
      <c r="D461" s="40" t="s">
        <v>86</v>
      </c>
      <c r="E461" s="24">
        <v>14527500</v>
      </c>
      <c r="F461" s="39">
        <v>44202</v>
      </c>
      <c r="G461" s="24">
        <v>14527500</v>
      </c>
      <c r="H461" s="23">
        <v>5.0000000000000001E-3</v>
      </c>
      <c r="I461" s="39">
        <v>44348</v>
      </c>
      <c r="J461" s="39">
        <v>44377</v>
      </c>
      <c r="K461" s="24">
        <v>30</v>
      </c>
      <c r="L461" s="24">
        <v>5970</v>
      </c>
      <c r="M461" s="24">
        <v>14527500</v>
      </c>
    </row>
    <row r="462" spans="1:13" s="48" customFormat="1" outlineLevel="2">
      <c r="A462" s="39" t="s">
        <v>142</v>
      </c>
      <c r="B462" s="40" t="s">
        <v>227</v>
      </c>
      <c r="C462" s="41" t="s">
        <v>143</v>
      </c>
      <c r="D462" s="40" t="s">
        <v>144</v>
      </c>
      <c r="E462" s="24">
        <v>4600000</v>
      </c>
      <c r="F462" s="39">
        <v>44204</v>
      </c>
      <c r="G462" s="24">
        <v>4600000</v>
      </c>
      <c r="H462" s="23">
        <v>5.0000000000000001E-3</v>
      </c>
      <c r="I462" s="39">
        <v>44348</v>
      </c>
      <c r="J462" s="39">
        <v>44377</v>
      </c>
      <c r="K462" s="24">
        <v>30</v>
      </c>
      <c r="L462" s="24">
        <v>1890</v>
      </c>
      <c r="M462" s="24">
        <v>4600000</v>
      </c>
    </row>
    <row r="463" spans="1:13" s="48" customFormat="1" outlineLevel="1">
      <c r="A463" s="42" t="s">
        <v>228</v>
      </c>
      <c r="B463" s="43"/>
      <c r="C463" s="44"/>
      <c r="D463" s="43"/>
      <c r="E463" s="45">
        <v>5231173211</v>
      </c>
      <c r="F463" s="46"/>
      <c r="G463" s="45"/>
      <c r="H463" s="47"/>
      <c r="I463" s="46"/>
      <c r="J463" s="46"/>
      <c r="K463" s="45"/>
      <c r="L463" s="45">
        <v>2077116</v>
      </c>
      <c r="M463" s="45">
        <v>5220308140</v>
      </c>
    </row>
    <row r="464" spans="1:13" s="48" customFormat="1" outlineLevel="2">
      <c r="A464" s="39" t="s">
        <v>229</v>
      </c>
      <c r="B464" s="40" t="s">
        <v>16</v>
      </c>
      <c r="C464" s="41" t="s">
        <v>117</v>
      </c>
      <c r="D464" s="40" t="s">
        <v>118</v>
      </c>
      <c r="E464" s="24">
        <v>1210000</v>
      </c>
      <c r="F464" s="39">
        <v>44061</v>
      </c>
      <c r="G464" s="24">
        <v>1210000</v>
      </c>
      <c r="H464" s="23">
        <v>5.0000000000000001E-3</v>
      </c>
      <c r="I464" s="39">
        <v>44348</v>
      </c>
      <c r="J464" s="39">
        <v>44377</v>
      </c>
      <c r="K464" s="24">
        <v>30</v>
      </c>
      <c r="L464" s="24">
        <v>497</v>
      </c>
      <c r="M464" s="24">
        <v>1210000</v>
      </c>
    </row>
    <row r="465" spans="1:13" s="48" customFormat="1" outlineLevel="1">
      <c r="A465" s="42" t="s">
        <v>230</v>
      </c>
      <c r="B465" s="43"/>
      <c r="C465" s="44"/>
      <c r="D465" s="43"/>
      <c r="E465" s="45">
        <v>1210000</v>
      </c>
      <c r="F465" s="46"/>
      <c r="G465" s="45"/>
      <c r="H465" s="47"/>
      <c r="I465" s="46"/>
      <c r="J465" s="46"/>
      <c r="K465" s="45"/>
      <c r="L465" s="45">
        <v>497</v>
      </c>
      <c r="M465" s="45">
        <v>1210000</v>
      </c>
    </row>
    <row r="466" spans="1:13" s="48" customFormat="1" outlineLevel="2">
      <c r="A466" s="39" t="s">
        <v>231</v>
      </c>
      <c r="B466" s="40" t="s">
        <v>16</v>
      </c>
      <c r="C466" s="41" t="s">
        <v>17</v>
      </c>
      <c r="D466" s="40" t="s">
        <v>18</v>
      </c>
      <c r="E466" s="24">
        <v>150000000</v>
      </c>
      <c r="F466" s="39">
        <v>43829</v>
      </c>
      <c r="G466" s="24">
        <v>107500000</v>
      </c>
      <c r="H466" s="23">
        <v>5.0000000000000001E-3</v>
      </c>
      <c r="I466" s="39">
        <v>44348</v>
      </c>
      <c r="J466" s="39">
        <v>44361</v>
      </c>
      <c r="K466" s="24">
        <v>14</v>
      </c>
      <c r="L466" s="24">
        <v>20616</v>
      </c>
      <c r="M466" s="24">
        <v>105000000</v>
      </c>
    </row>
    <row r="467" spans="1:13" s="48" customFormat="1" outlineLevel="2">
      <c r="A467" s="39" t="s">
        <v>231</v>
      </c>
      <c r="B467" s="40" t="s">
        <v>16</v>
      </c>
      <c r="C467" s="41" t="s">
        <v>17</v>
      </c>
      <c r="D467" s="40"/>
      <c r="E467" s="24"/>
      <c r="F467" s="39"/>
      <c r="G467" s="24">
        <v>105000000</v>
      </c>
      <c r="H467" s="23">
        <v>5.0000000000000001E-3</v>
      </c>
      <c r="I467" s="39">
        <v>44362</v>
      </c>
      <c r="J467" s="39">
        <v>44377</v>
      </c>
      <c r="K467" s="24">
        <v>16</v>
      </c>
      <c r="L467" s="24">
        <v>23014</v>
      </c>
      <c r="M467" s="24"/>
    </row>
    <row r="468" spans="1:13" s="48" customFormat="1" outlineLevel="2">
      <c r="A468" s="39" t="s">
        <v>231</v>
      </c>
      <c r="B468" s="40" t="s">
        <v>19</v>
      </c>
      <c r="C468" s="41" t="s">
        <v>17</v>
      </c>
      <c r="D468" s="40" t="s">
        <v>18</v>
      </c>
      <c r="E468" s="24">
        <v>9460000</v>
      </c>
      <c r="F468" s="39">
        <v>43990</v>
      </c>
      <c r="G468" s="24">
        <v>7396000</v>
      </c>
      <c r="H468" s="23">
        <v>5.0000000000000001E-3</v>
      </c>
      <c r="I468" s="39">
        <v>44348</v>
      </c>
      <c r="J468" s="39">
        <v>44361</v>
      </c>
      <c r="K468" s="24">
        <v>14</v>
      </c>
      <c r="L468" s="24">
        <v>1418</v>
      </c>
      <c r="M468" s="24">
        <v>7224000</v>
      </c>
    </row>
    <row r="469" spans="1:13" s="48" customFormat="1" outlineLevel="2">
      <c r="A469" s="39" t="s">
        <v>231</v>
      </c>
      <c r="B469" s="40" t="s">
        <v>19</v>
      </c>
      <c r="C469" s="41" t="s">
        <v>17</v>
      </c>
      <c r="D469" s="40"/>
      <c r="E469" s="24"/>
      <c r="F469" s="39"/>
      <c r="G469" s="24">
        <v>7224000</v>
      </c>
      <c r="H469" s="23">
        <v>5.0000000000000001E-3</v>
      </c>
      <c r="I469" s="39">
        <v>44362</v>
      </c>
      <c r="J469" s="39">
        <v>44377</v>
      </c>
      <c r="K469" s="24">
        <v>16</v>
      </c>
      <c r="L469" s="24">
        <v>1583</v>
      </c>
      <c r="M469" s="24"/>
    </row>
    <row r="470" spans="1:13" s="48" customFormat="1" outlineLevel="2">
      <c r="A470" s="39" t="s">
        <v>231</v>
      </c>
      <c r="B470" s="40" t="s">
        <v>22</v>
      </c>
      <c r="C470" s="41" t="s">
        <v>45</v>
      </c>
      <c r="D470" s="40" t="s">
        <v>46</v>
      </c>
      <c r="E470" s="24">
        <v>5000000</v>
      </c>
      <c r="F470" s="39">
        <v>44046</v>
      </c>
      <c r="G470" s="24">
        <v>5000000</v>
      </c>
      <c r="H470" s="23">
        <v>5.0000000000000001E-3</v>
      </c>
      <c r="I470" s="39">
        <v>44348</v>
      </c>
      <c r="J470" s="39">
        <v>44377</v>
      </c>
      <c r="K470" s="24">
        <v>30</v>
      </c>
      <c r="L470" s="24">
        <v>2055</v>
      </c>
      <c r="M470" s="24">
        <v>5000000</v>
      </c>
    </row>
    <row r="471" spans="1:13" s="48" customFormat="1" outlineLevel="2">
      <c r="A471" s="39" t="s">
        <v>231</v>
      </c>
      <c r="B471" s="40" t="s">
        <v>25</v>
      </c>
      <c r="C471" s="41" t="s">
        <v>143</v>
      </c>
      <c r="D471" s="40" t="s">
        <v>144</v>
      </c>
      <c r="E471" s="24">
        <v>20000000</v>
      </c>
      <c r="F471" s="39">
        <v>44155</v>
      </c>
      <c r="G471" s="24">
        <v>20000000</v>
      </c>
      <c r="H471" s="23">
        <v>5.0000000000000001E-3</v>
      </c>
      <c r="I471" s="39">
        <v>44348</v>
      </c>
      <c r="J471" s="39">
        <v>44377</v>
      </c>
      <c r="K471" s="24">
        <v>30</v>
      </c>
      <c r="L471" s="24">
        <v>8219</v>
      </c>
      <c r="M471" s="24">
        <v>20000000</v>
      </c>
    </row>
    <row r="472" spans="1:13" s="48" customFormat="1" outlineLevel="2">
      <c r="A472" s="39" t="s">
        <v>231</v>
      </c>
      <c r="B472" s="40" t="s">
        <v>26</v>
      </c>
      <c r="C472" s="41" t="s">
        <v>232</v>
      </c>
      <c r="D472" s="40" t="s">
        <v>233</v>
      </c>
      <c r="E472" s="24">
        <v>125000000</v>
      </c>
      <c r="F472" s="39">
        <v>44193</v>
      </c>
      <c r="G472" s="24">
        <v>125000000</v>
      </c>
      <c r="H472" s="23">
        <v>5.0000000000000001E-3</v>
      </c>
      <c r="I472" s="39">
        <v>44348</v>
      </c>
      <c r="J472" s="39">
        <v>44377</v>
      </c>
      <c r="K472" s="24">
        <v>30</v>
      </c>
      <c r="L472" s="24">
        <v>51370</v>
      </c>
      <c r="M472" s="24">
        <v>125000000</v>
      </c>
    </row>
    <row r="473" spans="1:13" s="48" customFormat="1" outlineLevel="2">
      <c r="A473" s="39" t="s">
        <v>231</v>
      </c>
      <c r="B473" s="40" t="s">
        <v>29</v>
      </c>
      <c r="C473" s="41" t="s">
        <v>143</v>
      </c>
      <c r="D473" s="40" t="s">
        <v>144</v>
      </c>
      <c r="E473" s="24">
        <v>20000000</v>
      </c>
      <c r="F473" s="39">
        <v>44194</v>
      </c>
      <c r="G473" s="24">
        <v>20000000</v>
      </c>
      <c r="H473" s="23">
        <v>5.0000000000000001E-3</v>
      </c>
      <c r="I473" s="39">
        <v>44348</v>
      </c>
      <c r="J473" s="39">
        <v>44377</v>
      </c>
      <c r="K473" s="24">
        <v>30</v>
      </c>
      <c r="L473" s="24">
        <v>8219</v>
      </c>
      <c r="M473" s="24">
        <v>20000000</v>
      </c>
    </row>
    <row r="474" spans="1:13" s="48" customFormat="1" outlineLevel="2">
      <c r="A474" s="39" t="s">
        <v>231</v>
      </c>
      <c r="B474" s="40" t="s">
        <v>32</v>
      </c>
      <c r="C474" s="41" t="s">
        <v>30</v>
      </c>
      <c r="D474" s="40" t="s">
        <v>31</v>
      </c>
      <c r="E474" s="24">
        <v>120000000</v>
      </c>
      <c r="F474" s="39">
        <v>44214</v>
      </c>
      <c r="G474" s="24">
        <v>120000000</v>
      </c>
      <c r="H474" s="23">
        <v>5.0000000000000001E-3</v>
      </c>
      <c r="I474" s="39">
        <v>44348</v>
      </c>
      <c r="J474" s="39">
        <v>44377</v>
      </c>
      <c r="K474" s="24">
        <v>30</v>
      </c>
      <c r="L474" s="24">
        <v>49315</v>
      </c>
      <c r="M474" s="24">
        <v>120000000</v>
      </c>
    </row>
    <row r="475" spans="1:13" s="48" customFormat="1" outlineLevel="2">
      <c r="A475" s="39" t="s">
        <v>231</v>
      </c>
      <c r="B475" s="40" t="s">
        <v>33</v>
      </c>
      <c r="C475" s="41" t="s">
        <v>143</v>
      </c>
      <c r="D475" s="40" t="s">
        <v>144</v>
      </c>
      <c r="E475" s="24">
        <v>20000000</v>
      </c>
      <c r="F475" s="39">
        <v>44225</v>
      </c>
      <c r="G475" s="24">
        <v>20000000</v>
      </c>
      <c r="H475" s="23">
        <v>5.0000000000000001E-3</v>
      </c>
      <c r="I475" s="39">
        <v>44348</v>
      </c>
      <c r="J475" s="39">
        <v>44377</v>
      </c>
      <c r="K475" s="24">
        <v>30</v>
      </c>
      <c r="L475" s="24">
        <v>8219</v>
      </c>
      <c r="M475" s="24">
        <v>20000000</v>
      </c>
    </row>
    <row r="476" spans="1:13" s="48" customFormat="1" outlineLevel="2">
      <c r="A476" s="39" t="s">
        <v>231</v>
      </c>
      <c r="B476" s="40" t="s">
        <v>34</v>
      </c>
      <c r="C476" s="41" t="s">
        <v>280</v>
      </c>
      <c r="D476" s="40" t="s">
        <v>281</v>
      </c>
      <c r="E476" s="24">
        <v>250000000</v>
      </c>
      <c r="F476" s="39">
        <v>44228</v>
      </c>
      <c r="G476" s="24">
        <v>250000000</v>
      </c>
      <c r="H476" s="23">
        <v>3.0000000000000001E-3</v>
      </c>
      <c r="I476" s="39">
        <v>44348</v>
      </c>
      <c r="J476" s="39">
        <v>44377</v>
      </c>
      <c r="K476" s="24">
        <v>30</v>
      </c>
      <c r="L476" s="24">
        <v>61644</v>
      </c>
      <c r="M476" s="24">
        <v>250000000</v>
      </c>
    </row>
    <row r="477" spans="1:13" s="48" customFormat="1" outlineLevel="2">
      <c r="A477" s="39" t="s">
        <v>231</v>
      </c>
      <c r="B477" s="40" t="s">
        <v>35</v>
      </c>
      <c r="C477" s="41" t="s">
        <v>143</v>
      </c>
      <c r="D477" s="40" t="s">
        <v>144</v>
      </c>
      <c r="E477" s="24">
        <v>20000000</v>
      </c>
      <c r="F477" s="39">
        <v>44253</v>
      </c>
      <c r="G477" s="24">
        <v>20000000</v>
      </c>
      <c r="H477" s="23">
        <v>5.0000000000000001E-3</v>
      </c>
      <c r="I477" s="39">
        <v>44348</v>
      </c>
      <c r="J477" s="39">
        <v>44377</v>
      </c>
      <c r="K477" s="24">
        <v>30</v>
      </c>
      <c r="L477" s="24">
        <v>8219</v>
      </c>
      <c r="M477" s="24">
        <v>20000000</v>
      </c>
    </row>
    <row r="478" spans="1:13" s="48" customFormat="1" outlineLevel="2">
      <c r="A478" s="39" t="s">
        <v>231</v>
      </c>
      <c r="B478" s="40" t="s">
        <v>36</v>
      </c>
      <c r="C478" s="41" t="s">
        <v>280</v>
      </c>
      <c r="D478" s="40" t="s">
        <v>281</v>
      </c>
      <c r="E478" s="24">
        <v>160000000</v>
      </c>
      <c r="F478" s="39">
        <v>44286</v>
      </c>
      <c r="G478" s="24">
        <v>160000000</v>
      </c>
      <c r="H478" s="23">
        <v>3.0000000000000001E-3</v>
      </c>
      <c r="I478" s="39">
        <v>44348</v>
      </c>
      <c r="J478" s="39">
        <v>44377</v>
      </c>
      <c r="K478" s="24">
        <v>30</v>
      </c>
      <c r="L478" s="24">
        <v>39452</v>
      </c>
      <c r="M478" s="24">
        <v>160000000</v>
      </c>
    </row>
    <row r="479" spans="1:13" s="48" customFormat="1" outlineLevel="2">
      <c r="A479" s="39" t="s">
        <v>231</v>
      </c>
      <c r="B479" s="40" t="s">
        <v>39</v>
      </c>
      <c r="C479" s="41" t="s">
        <v>17</v>
      </c>
      <c r="D479" s="40" t="s">
        <v>18</v>
      </c>
      <c r="E479" s="24">
        <v>32900000</v>
      </c>
      <c r="F479" s="39">
        <v>43829</v>
      </c>
      <c r="G479" s="24">
        <v>23578339</v>
      </c>
      <c r="H479" s="23">
        <v>5.0000000000000001E-3</v>
      </c>
      <c r="I479" s="39">
        <v>44348</v>
      </c>
      <c r="J479" s="39">
        <v>44361</v>
      </c>
      <c r="K479" s="24">
        <v>14</v>
      </c>
      <c r="L479" s="24">
        <v>4522</v>
      </c>
      <c r="M479" s="24">
        <v>23030006</v>
      </c>
    </row>
    <row r="480" spans="1:13" s="48" customFormat="1" outlineLevel="2">
      <c r="A480" s="39" t="s">
        <v>231</v>
      </c>
      <c r="B480" s="40" t="s">
        <v>39</v>
      </c>
      <c r="C480" s="41" t="s">
        <v>17</v>
      </c>
      <c r="D480" s="40"/>
      <c r="E480" s="24"/>
      <c r="F480" s="39"/>
      <c r="G480" s="24">
        <v>23030006</v>
      </c>
      <c r="H480" s="23">
        <v>5.0000000000000001E-3</v>
      </c>
      <c r="I480" s="39">
        <v>44362</v>
      </c>
      <c r="J480" s="39">
        <v>44377</v>
      </c>
      <c r="K480" s="24">
        <v>16</v>
      </c>
      <c r="L480" s="24">
        <v>5048</v>
      </c>
      <c r="M480" s="24"/>
    </row>
    <row r="481" spans="1:13" s="48" customFormat="1" outlineLevel="2">
      <c r="A481" s="39" t="s">
        <v>231</v>
      </c>
      <c r="B481" s="40" t="s">
        <v>40</v>
      </c>
      <c r="C481" s="41" t="s">
        <v>246</v>
      </c>
      <c r="D481" s="40" t="s">
        <v>247</v>
      </c>
      <c r="E481" s="24">
        <v>3400000</v>
      </c>
      <c r="F481" s="39">
        <v>44294</v>
      </c>
      <c r="G481" s="24">
        <v>3400000</v>
      </c>
      <c r="H481" s="23">
        <v>5.0000000000000001E-3</v>
      </c>
      <c r="I481" s="39">
        <v>44348</v>
      </c>
      <c r="J481" s="39">
        <v>44377</v>
      </c>
      <c r="K481" s="24">
        <v>30</v>
      </c>
      <c r="L481" s="24">
        <v>1397</v>
      </c>
      <c r="M481" s="24">
        <v>3400000</v>
      </c>
    </row>
    <row r="482" spans="1:13" s="48" customFormat="1" outlineLevel="2">
      <c r="A482" s="39" t="s">
        <v>231</v>
      </c>
      <c r="B482" s="40" t="s">
        <v>41</v>
      </c>
      <c r="C482" s="41" t="s">
        <v>280</v>
      </c>
      <c r="D482" s="40" t="s">
        <v>281</v>
      </c>
      <c r="E482" s="24">
        <v>500000000</v>
      </c>
      <c r="F482" s="39">
        <v>44376</v>
      </c>
      <c r="G482" s="24">
        <v>500000000</v>
      </c>
      <c r="H482" s="23">
        <v>3.0000000000000001E-3</v>
      </c>
      <c r="I482" s="39">
        <v>44376</v>
      </c>
      <c r="J482" s="39">
        <v>44377</v>
      </c>
      <c r="K482" s="24">
        <v>2</v>
      </c>
      <c r="L482" s="24">
        <v>8219</v>
      </c>
      <c r="M482" s="24">
        <v>500000000</v>
      </c>
    </row>
    <row r="483" spans="1:13" s="48" customFormat="1" outlineLevel="2">
      <c r="A483" s="39" t="s">
        <v>231</v>
      </c>
      <c r="B483" s="40" t="s">
        <v>54</v>
      </c>
      <c r="C483" s="41" t="s">
        <v>17</v>
      </c>
      <c r="D483" s="40" t="s">
        <v>18</v>
      </c>
      <c r="E483" s="24">
        <v>2790000</v>
      </c>
      <c r="F483" s="39">
        <v>43921</v>
      </c>
      <c r="G483" s="24">
        <v>2104742</v>
      </c>
      <c r="H483" s="23">
        <v>5.0000000000000001E-3</v>
      </c>
      <c r="I483" s="39">
        <v>44348</v>
      </c>
      <c r="J483" s="39">
        <v>44361</v>
      </c>
      <c r="K483" s="24">
        <v>14</v>
      </c>
      <c r="L483" s="24">
        <v>404</v>
      </c>
      <c r="M483" s="24">
        <v>2055795</v>
      </c>
    </row>
    <row r="484" spans="1:13" s="48" customFormat="1" outlineLevel="2">
      <c r="A484" s="39" t="s">
        <v>231</v>
      </c>
      <c r="B484" s="40" t="s">
        <v>54</v>
      </c>
      <c r="C484" s="41" t="s">
        <v>17</v>
      </c>
      <c r="D484" s="40"/>
      <c r="E484" s="24"/>
      <c r="F484" s="39"/>
      <c r="G484" s="24">
        <v>2055795</v>
      </c>
      <c r="H484" s="23">
        <v>5.0000000000000001E-3</v>
      </c>
      <c r="I484" s="39">
        <v>44362</v>
      </c>
      <c r="J484" s="39">
        <v>44377</v>
      </c>
      <c r="K484" s="24">
        <v>16</v>
      </c>
      <c r="L484" s="24">
        <v>451</v>
      </c>
      <c r="M484" s="24"/>
    </row>
    <row r="485" spans="1:13" s="48" customFormat="1" outlineLevel="2">
      <c r="A485" s="39" t="s">
        <v>231</v>
      </c>
      <c r="B485" s="40" t="s">
        <v>59</v>
      </c>
      <c r="C485" s="41" t="s">
        <v>55</v>
      </c>
      <c r="D485" s="40" t="s">
        <v>56</v>
      </c>
      <c r="E485" s="24">
        <v>12000000</v>
      </c>
      <c r="F485" s="39">
        <v>43948</v>
      </c>
      <c r="G485" s="24">
        <v>9400000</v>
      </c>
      <c r="H485" s="23">
        <v>5.0000000000000001E-3</v>
      </c>
      <c r="I485" s="39">
        <v>44348</v>
      </c>
      <c r="J485" s="39">
        <v>44361</v>
      </c>
      <c r="K485" s="24">
        <v>14</v>
      </c>
      <c r="L485" s="24">
        <v>1803</v>
      </c>
      <c r="M485" s="24">
        <v>9200000</v>
      </c>
    </row>
    <row r="486" spans="1:13" s="48" customFormat="1" outlineLevel="2">
      <c r="A486" s="39" t="s">
        <v>231</v>
      </c>
      <c r="B486" s="40" t="s">
        <v>59</v>
      </c>
      <c r="C486" s="41" t="s">
        <v>55</v>
      </c>
      <c r="D486" s="40"/>
      <c r="E486" s="24"/>
      <c r="F486" s="39"/>
      <c r="G486" s="24">
        <v>9200000</v>
      </c>
      <c r="H486" s="23">
        <v>5.0000000000000001E-3</v>
      </c>
      <c r="I486" s="39">
        <v>44362</v>
      </c>
      <c r="J486" s="39">
        <v>44377</v>
      </c>
      <c r="K486" s="24">
        <v>16</v>
      </c>
      <c r="L486" s="24">
        <v>2016</v>
      </c>
      <c r="M486" s="24"/>
    </row>
    <row r="487" spans="1:13" s="48" customFormat="1" outlineLevel="2">
      <c r="A487" s="39" t="s">
        <v>231</v>
      </c>
      <c r="B487" s="40" t="s">
        <v>62</v>
      </c>
      <c r="C487" s="41" t="s">
        <v>30</v>
      </c>
      <c r="D487" s="40" t="s">
        <v>31</v>
      </c>
      <c r="E487" s="24">
        <v>71750000</v>
      </c>
      <c r="F487" s="39">
        <v>43955</v>
      </c>
      <c r="G487" s="24">
        <v>71750000</v>
      </c>
      <c r="H487" s="23">
        <v>5.0000000000000001E-3</v>
      </c>
      <c r="I487" s="39">
        <v>44348</v>
      </c>
      <c r="J487" s="39">
        <v>44377</v>
      </c>
      <c r="K487" s="24">
        <v>30</v>
      </c>
      <c r="L487" s="24">
        <v>29486</v>
      </c>
      <c r="M487" s="24">
        <v>71750000</v>
      </c>
    </row>
    <row r="488" spans="1:13" s="48" customFormat="1" outlineLevel="2">
      <c r="A488" s="39" t="s">
        <v>231</v>
      </c>
      <c r="B488" s="40" t="s">
        <v>63</v>
      </c>
      <c r="C488" s="41" t="s">
        <v>55</v>
      </c>
      <c r="D488" s="40" t="s">
        <v>56</v>
      </c>
      <c r="E488" s="24">
        <v>10000000</v>
      </c>
      <c r="F488" s="39">
        <v>43963</v>
      </c>
      <c r="G488" s="24">
        <v>7833341</v>
      </c>
      <c r="H488" s="23">
        <v>5.0000000000000001E-3</v>
      </c>
      <c r="I488" s="39">
        <v>44348</v>
      </c>
      <c r="J488" s="39">
        <v>44361</v>
      </c>
      <c r="K488" s="24">
        <v>14</v>
      </c>
      <c r="L488" s="24">
        <v>1502</v>
      </c>
      <c r="M488" s="24">
        <v>7666675</v>
      </c>
    </row>
    <row r="489" spans="1:13" s="48" customFormat="1" outlineLevel="2">
      <c r="A489" s="39" t="s">
        <v>231</v>
      </c>
      <c r="B489" s="40" t="s">
        <v>63</v>
      </c>
      <c r="C489" s="41" t="s">
        <v>55</v>
      </c>
      <c r="D489" s="40"/>
      <c r="E489" s="24"/>
      <c r="F489" s="39"/>
      <c r="G489" s="24">
        <v>7666675</v>
      </c>
      <c r="H489" s="23">
        <v>5.0000000000000001E-3</v>
      </c>
      <c r="I489" s="39">
        <v>44362</v>
      </c>
      <c r="J489" s="39">
        <v>44377</v>
      </c>
      <c r="K489" s="24">
        <v>16</v>
      </c>
      <c r="L489" s="24">
        <v>1680</v>
      </c>
      <c r="M489" s="24"/>
    </row>
    <row r="490" spans="1:13" s="48" customFormat="1" outlineLevel="2">
      <c r="A490" s="39" t="s">
        <v>231</v>
      </c>
      <c r="B490" s="40" t="s">
        <v>64</v>
      </c>
      <c r="C490" s="41" t="s">
        <v>55</v>
      </c>
      <c r="D490" s="40" t="s">
        <v>56</v>
      </c>
      <c r="E490" s="24">
        <v>4000000</v>
      </c>
      <c r="F490" s="39">
        <v>43970</v>
      </c>
      <c r="G490" s="24">
        <v>3186448</v>
      </c>
      <c r="H490" s="23">
        <v>5.0000000000000001E-3</v>
      </c>
      <c r="I490" s="39">
        <v>44348</v>
      </c>
      <c r="J490" s="39">
        <v>44361</v>
      </c>
      <c r="K490" s="24">
        <v>14</v>
      </c>
      <c r="L490" s="24">
        <v>611</v>
      </c>
      <c r="M490" s="24">
        <v>3118652</v>
      </c>
    </row>
    <row r="491" spans="1:13" s="48" customFormat="1" outlineLevel="2">
      <c r="A491" s="39" t="s">
        <v>231</v>
      </c>
      <c r="B491" s="40" t="s">
        <v>64</v>
      </c>
      <c r="C491" s="41" t="s">
        <v>55</v>
      </c>
      <c r="D491" s="40"/>
      <c r="E491" s="24"/>
      <c r="F491" s="39"/>
      <c r="G491" s="24">
        <v>3118652</v>
      </c>
      <c r="H491" s="23">
        <v>5.0000000000000001E-3</v>
      </c>
      <c r="I491" s="39">
        <v>44362</v>
      </c>
      <c r="J491" s="39">
        <v>44377</v>
      </c>
      <c r="K491" s="24">
        <v>16</v>
      </c>
      <c r="L491" s="24">
        <v>684</v>
      </c>
      <c r="M491" s="24"/>
    </row>
    <row r="492" spans="1:13" s="48" customFormat="1" outlineLevel="2">
      <c r="A492" s="39" t="s">
        <v>231</v>
      </c>
      <c r="B492" s="40" t="s">
        <v>65</v>
      </c>
      <c r="C492" s="41" t="s">
        <v>55</v>
      </c>
      <c r="D492" s="40" t="s">
        <v>56</v>
      </c>
      <c r="E492" s="24">
        <v>18000000</v>
      </c>
      <c r="F492" s="39">
        <v>43977</v>
      </c>
      <c r="G492" s="24">
        <v>14338992</v>
      </c>
      <c r="H492" s="23">
        <v>5.0000000000000001E-3</v>
      </c>
      <c r="I492" s="39">
        <v>44348</v>
      </c>
      <c r="J492" s="39">
        <v>44361</v>
      </c>
      <c r="K492" s="24">
        <v>14</v>
      </c>
      <c r="L492" s="24">
        <v>2750</v>
      </c>
      <c r="M492" s="24">
        <v>14033908</v>
      </c>
    </row>
    <row r="493" spans="1:13" s="48" customFormat="1" outlineLevel="2">
      <c r="A493" s="39" t="s">
        <v>231</v>
      </c>
      <c r="B493" s="40" t="s">
        <v>65</v>
      </c>
      <c r="C493" s="41" t="s">
        <v>55</v>
      </c>
      <c r="D493" s="40"/>
      <c r="E493" s="24"/>
      <c r="F493" s="39"/>
      <c r="G493" s="24">
        <v>14033908</v>
      </c>
      <c r="H493" s="23">
        <v>5.0000000000000001E-3</v>
      </c>
      <c r="I493" s="39">
        <v>44362</v>
      </c>
      <c r="J493" s="39">
        <v>44377</v>
      </c>
      <c r="K493" s="24">
        <v>16</v>
      </c>
      <c r="L493" s="24">
        <v>3076</v>
      </c>
      <c r="M493" s="24"/>
    </row>
    <row r="494" spans="1:13" s="48" customFormat="1" outlineLevel="2">
      <c r="A494" s="39" t="s">
        <v>231</v>
      </c>
      <c r="B494" s="40" t="s">
        <v>68</v>
      </c>
      <c r="C494" s="41" t="s">
        <v>55</v>
      </c>
      <c r="D494" s="40" t="s">
        <v>56</v>
      </c>
      <c r="E494" s="24">
        <v>6000000</v>
      </c>
      <c r="F494" s="39">
        <v>43984</v>
      </c>
      <c r="G494" s="24">
        <v>4779672</v>
      </c>
      <c r="H494" s="23">
        <v>5.0000000000000001E-3</v>
      </c>
      <c r="I494" s="39">
        <v>44348</v>
      </c>
      <c r="J494" s="39">
        <v>44361</v>
      </c>
      <c r="K494" s="24">
        <v>14</v>
      </c>
      <c r="L494" s="24">
        <v>917</v>
      </c>
      <c r="M494" s="24">
        <v>4677978</v>
      </c>
    </row>
    <row r="495" spans="1:13" s="48" customFormat="1" outlineLevel="2">
      <c r="A495" s="39" t="s">
        <v>231</v>
      </c>
      <c r="B495" s="40" t="s">
        <v>68</v>
      </c>
      <c r="C495" s="41" t="s">
        <v>55</v>
      </c>
      <c r="D495" s="40"/>
      <c r="E495" s="24"/>
      <c r="F495" s="39"/>
      <c r="G495" s="24">
        <v>4677978</v>
      </c>
      <c r="H495" s="23">
        <v>5.0000000000000001E-3</v>
      </c>
      <c r="I495" s="39">
        <v>44362</v>
      </c>
      <c r="J495" s="39">
        <v>44377</v>
      </c>
      <c r="K495" s="24">
        <v>16</v>
      </c>
      <c r="L495" s="24">
        <v>1025</v>
      </c>
      <c r="M495" s="24"/>
    </row>
    <row r="496" spans="1:13" s="48" customFormat="1" outlineLevel="1">
      <c r="A496" s="42" t="s">
        <v>234</v>
      </c>
      <c r="B496" s="43"/>
      <c r="C496" s="44"/>
      <c r="D496" s="43"/>
      <c r="E496" s="45">
        <v>1560300000</v>
      </c>
      <c r="F496" s="46"/>
      <c r="G496" s="45"/>
      <c r="H496" s="47"/>
      <c r="I496" s="46"/>
      <c r="J496" s="46"/>
      <c r="K496" s="45"/>
      <c r="L496" s="45">
        <v>348934</v>
      </c>
      <c r="M496" s="45">
        <v>1491157014</v>
      </c>
    </row>
    <row r="497" spans="1:13" s="48" customFormat="1" outlineLevel="2">
      <c r="A497" s="39" t="s">
        <v>235</v>
      </c>
      <c r="B497" s="40" t="s">
        <v>16</v>
      </c>
      <c r="C497" s="41" t="s">
        <v>17</v>
      </c>
      <c r="D497" s="40" t="s">
        <v>18</v>
      </c>
      <c r="E497" s="24">
        <v>50000000</v>
      </c>
      <c r="F497" s="39">
        <v>43829</v>
      </c>
      <c r="G497" s="24">
        <v>35833322</v>
      </c>
      <c r="H497" s="23">
        <v>5.0000000000000001E-3</v>
      </c>
      <c r="I497" s="39">
        <v>44348</v>
      </c>
      <c r="J497" s="39">
        <v>44361</v>
      </c>
      <c r="K497" s="24">
        <v>14</v>
      </c>
      <c r="L497" s="24">
        <v>6872</v>
      </c>
      <c r="M497" s="24">
        <v>34999988</v>
      </c>
    </row>
    <row r="498" spans="1:13" s="48" customFormat="1" outlineLevel="2">
      <c r="A498" s="39" t="s">
        <v>235</v>
      </c>
      <c r="B498" s="40" t="s">
        <v>16</v>
      </c>
      <c r="C498" s="41" t="s">
        <v>17</v>
      </c>
      <c r="D498" s="40"/>
      <c r="E498" s="24"/>
      <c r="F498" s="39"/>
      <c r="G498" s="24">
        <v>34999988</v>
      </c>
      <c r="H498" s="23">
        <v>5.0000000000000001E-3</v>
      </c>
      <c r="I498" s="39">
        <v>44362</v>
      </c>
      <c r="J498" s="39">
        <v>44377</v>
      </c>
      <c r="K498" s="24">
        <v>16</v>
      </c>
      <c r="L498" s="24">
        <v>7671</v>
      </c>
      <c r="M498" s="24"/>
    </row>
    <row r="499" spans="1:13" s="48" customFormat="1" outlineLevel="2">
      <c r="A499" s="39" t="s">
        <v>235</v>
      </c>
      <c r="B499" s="40" t="s">
        <v>39</v>
      </c>
      <c r="C499" s="41" t="s">
        <v>17</v>
      </c>
      <c r="D499" s="40" t="s">
        <v>18</v>
      </c>
      <c r="E499" s="24">
        <v>25200000</v>
      </c>
      <c r="F499" s="39">
        <v>43829</v>
      </c>
      <c r="G499" s="24">
        <v>18060000</v>
      </c>
      <c r="H499" s="23">
        <v>5.0000000000000001E-3</v>
      </c>
      <c r="I499" s="39">
        <v>44348</v>
      </c>
      <c r="J499" s="39">
        <v>44361</v>
      </c>
      <c r="K499" s="24">
        <v>14</v>
      </c>
      <c r="L499" s="24">
        <v>3464</v>
      </c>
      <c r="M499" s="24">
        <v>17640000</v>
      </c>
    </row>
    <row r="500" spans="1:13" s="48" customFormat="1" outlineLevel="2">
      <c r="A500" s="39" t="s">
        <v>235</v>
      </c>
      <c r="B500" s="40" t="s">
        <v>39</v>
      </c>
      <c r="C500" s="41" t="s">
        <v>17</v>
      </c>
      <c r="D500" s="40"/>
      <c r="E500" s="24"/>
      <c r="F500" s="39"/>
      <c r="G500" s="24">
        <v>17640000</v>
      </c>
      <c r="H500" s="23">
        <v>5.0000000000000001E-3</v>
      </c>
      <c r="I500" s="39">
        <v>44362</v>
      </c>
      <c r="J500" s="39">
        <v>44377</v>
      </c>
      <c r="K500" s="24">
        <v>16</v>
      </c>
      <c r="L500" s="24">
        <v>3866</v>
      </c>
      <c r="M500" s="24"/>
    </row>
    <row r="501" spans="1:13" s="48" customFormat="1" outlineLevel="2">
      <c r="A501" s="39" t="s">
        <v>235</v>
      </c>
      <c r="B501" s="40" t="s">
        <v>54</v>
      </c>
      <c r="C501" s="41" t="s">
        <v>17</v>
      </c>
      <c r="D501" s="40" t="s">
        <v>18</v>
      </c>
      <c r="E501" s="24">
        <v>11310000</v>
      </c>
      <c r="F501" s="39">
        <v>43920</v>
      </c>
      <c r="G501" s="24">
        <v>8532106</v>
      </c>
      <c r="H501" s="23">
        <v>5.0000000000000001E-3</v>
      </c>
      <c r="I501" s="39">
        <v>44348</v>
      </c>
      <c r="J501" s="39">
        <v>44361</v>
      </c>
      <c r="K501" s="24">
        <v>14</v>
      </c>
      <c r="L501" s="24">
        <v>1636</v>
      </c>
      <c r="M501" s="24">
        <v>8333685</v>
      </c>
    </row>
    <row r="502" spans="1:13" s="48" customFormat="1" outlineLevel="2">
      <c r="A502" s="39" t="s">
        <v>235</v>
      </c>
      <c r="B502" s="40" t="s">
        <v>54</v>
      </c>
      <c r="C502" s="41" t="s">
        <v>17</v>
      </c>
      <c r="D502" s="40"/>
      <c r="E502" s="24"/>
      <c r="F502" s="39"/>
      <c r="G502" s="24">
        <v>8333685</v>
      </c>
      <c r="H502" s="23">
        <v>5.0000000000000001E-3</v>
      </c>
      <c r="I502" s="39">
        <v>44362</v>
      </c>
      <c r="J502" s="39">
        <v>44377</v>
      </c>
      <c r="K502" s="24">
        <v>16</v>
      </c>
      <c r="L502" s="24">
        <v>1827</v>
      </c>
      <c r="M502" s="24"/>
    </row>
    <row r="503" spans="1:13" s="48" customFormat="1" outlineLevel="2">
      <c r="A503" s="39" t="s">
        <v>235</v>
      </c>
      <c r="B503" s="40" t="s">
        <v>59</v>
      </c>
      <c r="C503" s="41" t="s">
        <v>17</v>
      </c>
      <c r="D503" s="40" t="s">
        <v>18</v>
      </c>
      <c r="E503" s="24">
        <v>6050000</v>
      </c>
      <c r="F503" s="39">
        <v>43990</v>
      </c>
      <c r="G503" s="24">
        <v>4730000</v>
      </c>
      <c r="H503" s="23">
        <v>5.0000000000000001E-3</v>
      </c>
      <c r="I503" s="39">
        <v>44348</v>
      </c>
      <c r="J503" s="39">
        <v>44361</v>
      </c>
      <c r="K503" s="24">
        <v>14</v>
      </c>
      <c r="L503" s="24">
        <v>907</v>
      </c>
      <c r="M503" s="24">
        <v>4620000</v>
      </c>
    </row>
    <row r="504" spans="1:13" s="48" customFormat="1" outlineLevel="2">
      <c r="A504" s="39" t="s">
        <v>235</v>
      </c>
      <c r="B504" s="40" t="s">
        <v>59</v>
      </c>
      <c r="C504" s="41" t="s">
        <v>17</v>
      </c>
      <c r="D504" s="40"/>
      <c r="E504" s="24"/>
      <c r="F504" s="39"/>
      <c r="G504" s="24">
        <v>4620000</v>
      </c>
      <c r="H504" s="23">
        <v>5.0000000000000001E-3</v>
      </c>
      <c r="I504" s="39">
        <v>44362</v>
      </c>
      <c r="J504" s="39">
        <v>44377</v>
      </c>
      <c r="K504" s="24">
        <v>16</v>
      </c>
      <c r="L504" s="24">
        <v>1013</v>
      </c>
      <c r="M504" s="24"/>
    </row>
    <row r="505" spans="1:13" s="48" customFormat="1" outlineLevel="2">
      <c r="A505" s="39" t="s">
        <v>235</v>
      </c>
      <c r="B505" s="40" t="s">
        <v>62</v>
      </c>
      <c r="C505" s="41" t="s">
        <v>17</v>
      </c>
      <c r="D505" s="40" t="s">
        <v>18</v>
      </c>
      <c r="E505" s="24">
        <v>7541000</v>
      </c>
      <c r="F505" s="39">
        <v>44074</v>
      </c>
      <c r="G505" s="24">
        <v>6235829</v>
      </c>
      <c r="H505" s="23">
        <v>5.0000000000000001E-3</v>
      </c>
      <c r="I505" s="39">
        <v>44348</v>
      </c>
      <c r="J505" s="39">
        <v>44361</v>
      </c>
      <c r="K505" s="24">
        <v>14</v>
      </c>
      <c r="L505" s="24">
        <v>1196</v>
      </c>
      <c r="M505" s="24">
        <v>6090810</v>
      </c>
    </row>
    <row r="506" spans="1:13" s="48" customFormat="1" outlineLevel="2">
      <c r="A506" s="39" t="s">
        <v>235</v>
      </c>
      <c r="B506" s="40" t="s">
        <v>62</v>
      </c>
      <c r="C506" s="41" t="s">
        <v>17</v>
      </c>
      <c r="D506" s="40"/>
      <c r="E506" s="24"/>
      <c r="F506" s="39"/>
      <c r="G506" s="24">
        <v>6090810</v>
      </c>
      <c r="H506" s="23">
        <v>5.0000000000000001E-3</v>
      </c>
      <c r="I506" s="39">
        <v>44362</v>
      </c>
      <c r="J506" s="39">
        <v>44377</v>
      </c>
      <c r="K506" s="24">
        <v>16</v>
      </c>
      <c r="L506" s="24">
        <v>1335</v>
      </c>
      <c r="M506" s="24"/>
    </row>
    <row r="507" spans="1:13" s="48" customFormat="1" outlineLevel="2">
      <c r="A507" s="39" t="s">
        <v>235</v>
      </c>
      <c r="B507" s="40" t="s">
        <v>63</v>
      </c>
      <c r="C507" s="41" t="s">
        <v>17</v>
      </c>
      <c r="D507" s="40" t="s">
        <v>18</v>
      </c>
      <c r="E507" s="24">
        <v>8986000</v>
      </c>
      <c r="F507" s="39">
        <v>44160</v>
      </c>
      <c r="G507" s="24">
        <v>7885672</v>
      </c>
      <c r="H507" s="23">
        <v>5.0000000000000001E-3</v>
      </c>
      <c r="I507" s="39">
        <v>44348</v>
      </c>
      <c r="J507" s="39">
        <v>44361</v>
      </c>
      <c r="K507" s="24">
        <v>14</v>
      </c>
      <c r="L507" s="24">
        <v>1512</v>
      </c>
      <c r="M507" s="24">
        <v>7702284</v>
      </c>
    </row>
    <row r="508" spans="1:13" s="48" customFormat="1" outlineLevel="2">
      <c r="A508" s="39" t="s">
        <v>235</v>
      </c>
      <c r="B508" s="40" t="s">
        <v>63</v>
      </c>
      <c r="C508" s="41" t="s">
        <v>17</v>
      </c>
      <c r="D508" s="40"/>
      <c r="E508" s="24"/>
      <c r="F508" s="39"/>
      <c r="G508" s="24">
        <v>7702284</v>
      </c>
      <c r="H508" s="23">
        <v>5.0000000000000001E-3</v>
      </c>
      <c r="I508" s="39">
        <v>44362</v>
      </c>
      <c r="J508" s="39">
        <v>44377</v>
      </c>
      <c r="K508" s="24">
        <v>16</v>
      </c>
      <c r="L508" s="24">
        <v>1688</v>
      </c>
      <c r="M508" s="24"/>
    </row>
    <row r="509" spans="1:13" s="48" customFormat="1" outlineLevel="2">
      <c r="A509" s="39" t="s">
        <v>235</v>
      </c>
      <c r="B509" s="40" t="s">
        <v>64</v>
      </c>
      <c r="C509" s="41" t="s">
        <v>17</v>
      </c>
      <c r="D509" s="40" t="s">
        <v>18</v>
      </c>
      <c r="E509" s="24">
        <v>2534784</v>
      </c>
      <c r="F509" s="39">
        <v>44334</v>
      </c>
      <c r="G509" s="24">
        <v>2534784</v>
      </c>
      <c r="H509" s="23">
        <v>5.0000000000000001E-3</v>
      </c>
      <c r="I509" s="39">
        <v>44348</v>
      </c>
      <c r="J509" s="39">
        <v>44361</v>
      </c>
      <c r="K509" s="24">
        <v>14</v>
      </c>
      <c r="L509" s="24">
        <v>486</v>
      </c>
      <c r="M509" s="24">
        <v>2475835</v>
      </c>
    </row>
    <row r="510" spans="1:13" s="48" customFormat="1" outlineLevel="2">
      <c r="A510" s="39" t="s">
        <v>235</v>
      </c>
      <c r="B510" s="40" t="s">
        <v>64</v>
      </c>
      <c r="C510" s="41" t="s">
        <v>17</v>
      </c>
      <c r="D510" s="40"/>
      <c r="E510" s="24"/>
      <c r="F510" s="39"/>
      <c r="G510" s="24">
        <v>2475835</v>
      </c>
      <c r="H510" s="23">
        <v>5.0000000000000001E-3</v>
      </c>
      <c r="I510" s="39">
        <v>44362</v>
      </c>
      <c r="J510" s="39">
        <v>44377</v>
      </c>
      <c r="K510" s="24">
        <v>16</v>
      </c>
      <c r="L510" s="24">
        <v>543</v>
      </c>
      <c r="M510" s="24"/>
    </row>
    <row r="511" spans="1:13" s="48" customFormat="1" outlineLevel="1">
      <c r="A511" s="42" t="s">
        <v>236</v>
      </c>
      <c r="B511" s="43"/>
      <c r="C511" s="44"/>
      <c r="D511" s="43"/>
      <c r="E511" s="45">
        <v>111621784</v>
      </c>
      <c r="F511" s="46"/>
      <c r="G511" s="45"/>
      <c r="H511" s="47"/>
      <c r="I511" s="46"/>
      <c r="J511" s="46"/>
      <c r="K511" s="45"/>
      <c r="L511" s="45">
        <v>34016</v>
      </c>
      <c r="M511" s="45">
        <v>81862602</v>
      </c>
    </row>
    <row r="512" spans="1:13" s="48" customFormat="1" outlineLevel="2">
      <c r="A512" s="39" t="s">
        <v>237</v>
      </c>
      <c r="B512" s="40" t="s">
        <v>16</v>
      </c>
      <c r="C512" s="41" t="s">
        <v>45</v>
      </c>
      <c r="D512" s="40" t="s">
        <v>46</v>
      </c>
      <c r="E512" s="24">
        <v>4300000</v>
      </c>
      <c r="F512" s="39">
        <v>43966</v>
      </c>
      <c r="G512" s="24">
        <v>4300000</v>
      </c>
      <c r="H512" s="23">
        <v>5.0000000000000001E-3</v>
      </c>
      <c r="I512" s="39">
        <v>44348</v>
      </c>
      <c r="J512" s="39">
        <v>44377</v>
      </c>
      <c r="K512" s="24">
        <v>30</v>
      </c>
      <c r="L512" s="24">
        <v>1767</v>
      </c>
      <c r="M512" s="24">
        <v>4300000</v>
      </c>
    </row>
    <row r="513" spans="1:13" s="48" customFormat="1" outlineLevel="2">
      <c r="A513" s="39" t="s">
        <v>237</v>
      </c>
      <c r="B513" s="40" t="s">
        <v>39</v>
      </c>
      <c r="C513" s="41" t="s">
        <v>66</v>
      </c>
      <c r="D513" s="40" t="s">
        <v>67</v>
      </c>
      <c r="E513" s="24">
        <v>120000000</v>
      </c>
      <c r="F513" s="39">
        <v>44060</v>
      </c>
      <c r="G513" s="24">
        <v>120000000</v>
      </c>
      <c r="H513" s="23">
        <v>5.0000000000000001E-3</v>
      </c>
      <c r="I513" s="39">
        <v>44348</v>
      </c>
      <c r="J513" s="39">
        <v>44377</v>
      </c>
      <c r="K513" s="24">
        <v>30</v>
      </c>
      <c r="L513" s="24">
        <v>49315</v>
      </c>
      <c r="M513" s="24">
        <v>120000000</v>
      </c>
    </row>
    <row r="514" spans="1:13" s="48" customFormat="1" outlineLevel="1">
      <c r="A514" s="42" t="s">
        <v>238</v>
      </c>
      <c r="B514" s="43"/>
      <c r="C514" s="44"/>
      <c r="D514" s="43"/>
      <c r="E514" s="45">
        <v>124300000</v>
      </c>
      <c r="F514" s="46"/>
      <c r="G514" s="45"/>
      <c r="H514" s="47"/>
      <c r="I514" s="46"/>
      <c r="J514" s="46"/>
      <c r="K514" s="45"/>
      <c r="L514" s="45">
        <v>51082</v>
      </c>
      <c r="M514" s="45">
        <v>124300000</v>
      </c>
    </row>
    <row r="515" spans="1:13" s="48" customFormat="1" outlineLevel="2">
      <c r="A515" s="39" t="s">
        <v>239</v>
      </c>
      <c r="B515" s="40" t="s">
        <v>16</v>
      </c>
      <c r="C515" s="41" t="s">
        <v>109</v>
      </c>
      <c r="D515" s="40" t="s">
        <v>110</v>
      </c>
      <c r="E515" s="24">
        <v>38650000</v>
      </c>
      <c r="F515" s="39">
        <v>43986</v>
      </c>
      <c r="G515" s="24">
        <v>38650000</v>
      </c>
      <c r="H515" s="23">
        <v>5.0000000000000001E-3</v>
      </c>
      <c r="I515" s="39">
        <v>44348</v>
      </c>
      <c r="J515" s="39">
        <v>44377</v>
      </c>
      <c r="K515" s="24">
        <v>30</v>
      </c>
      <c r="L515" s="24">
        <v>15884</v>
      </c>
      <c r="M515" s="24">
        <v>38650000</v>
      </c>
    </row>
    <row r="516" spans="1:13" s="48" customFormat="1" outlineLevel="2">
      <c r="A516" s="39" t="s">
        <v>239</v>
      </c>
      <c r="B516" s="40" t="s">
        <v>19</v>
      </c>
      <c r="C516" s="41" t="s">
        <v>125</v>
      </c>
      <c r="D516" s="40" t="s">
        <v>126</v>
      </c>
      <c r="E516" s="24">
        <v>23000000</v>
      </c>
      <c r="F516" s="39">
        <v>44155</v>
      </c>
      <c r="G516" s="24">
        <v>23000000</v>
      </c>
      <c r="H516" s="23">
        <v>5.0000000000000001E-3</v>
      </c>
      <c r="I516" s="39">
        <v>44348</v>
      </c>
      <c r="J516" s="39">
        <v>44377</v>
      </c>
      <c r="K516" s="24">
        <v>30</v>
      </c>
      <c r="L516" s="24">
        <v>9452</v>
      </c>
      <c r="M516" s="24">
        <v>23000000</v>
      </c>
    </row>
    <row r="517" spans="1:13" s="48" customFormat="1" outlineLevel="2">
      <c r="A517" s="39" t="s">
        <v>239</v>
      </c>
      <c r="B517" s="40" t="s">
        <v>22</v>
      </c>
      <c r="C517" s="41" t="s">
        <v>125</v>
      </c>
      <c r="D517" s="40" t="s">
        <v>126</v>
      </c>
      <c r="E517" s="24">
        <v>1000000</v>
      </c>
      <c r="F517" s="39">
        <v>44160</v>
      </c>
      <c r="G517" s="24">
        <v>1000000</v>
      </c>
      <c r="H517" s="23">
        <v>5.0000000000000001E-3</v>
      </c>
      <c r="I517" s="39">
        <v>44348</v>
      </c>
      <c r="J517" s="39">
        <v>44377</v>
      </c>
      <c r="K517" s="24">
        <v>30</v>
      </c>
      <c r="L517" s="24">
        <v>411</v>
      </c>
      <c r="M517" s="24">
        <v>1000000</v>
      </c>
    </row>
    <row r="518" spans="1:13" s="48" customFormat="1" outlineLevel="2">
      <c r="A518" s="39" t="s">
        <v>239</v>
      </c>
      <c r="B518" s="40" t="s">
        <v>25</v>
      </c>
      <c r="C518" s="41" t="s">
        <v>95</v>
      </c>
      <c r="D518" s="40" t="s">
        <v>96</v>
      </c>
      <c r="E518" s="24">
        <v>6030000</v>
      </c>
      <c r="F518" s="39">
        <v>44145</v>
      </c>
      <c r="G518" s="24">
        <v>6030000</v>
      </c>
      <c r="H518" s="23">
        <v>5.0000000000000001E-3</v>
      </c>
      <c r="I518" s="39">
        <v>44348</v>
      </c>
      <c r="J518" s="39">
        <v>44377</v>
      </c>
      <c r="K518" s="24">
        <v>30</v>
      </c>
      <c r="L518" s="24">
        <v>2478</v>
      </c>
      <c r="M518" s="24">
        <v>6030000</v>
      </c>
    </row>
    <row r="519" spans="1:13" s="48" customFormat="1" outlineLevel="2">
      <c r="A519" s="39" t="s">
        <v>239</v>
      </c>
      <c r="B519" s="40" t="s">
        <v>26</v>
      </c>
      <c r="C519" s="41" t="s">
        <v>240</v>
      </c>
      <c r="D519" s="40" t="s">
        <v>241</v>
      </c>
      <c r="E519" s="24">
        <v>16018839</v>
      </c>
      <c r="F519" s="39">
        <v>44188</v>
      </c>
      <c r="G519" s="24">
        <v>16018839</v>
      </c>
      <c r="H519" s="23">
        <v>5.0000000000000001E-3</v>
      </c>
      <c r="I519" s="39">
        <v>44348</v>
      </c>
      <c r="J519" s="39">
        <v>44377</v>
      </c>
      <c r="K519" s="24">
        <v>30</v>
      </c>
      <c r="L519" s="24">
        <v>6583</v>
      </c>
      <c r="M519" s="24">
        <v>16018839</v>
      </c>
    </row>
    <row r="520" spans="1:13" s="48" customFormat="1" outlineLevel="2">
      <c r="A520" s="39" t="s">
        <v>239</v>
      </c>
      <c r="B520" s="40" t="s">
        <v>29</v>
      </c>
      <c r="C520" s="41" t="s">
        <v>240</v>
      </c>
      <c r="D520" s="40" t="s">
        <v>241</v>
      </c>
      <c r="E520" s="24">
        <v>31481161</v>
      </c>
      <c r="F520" s="39">
        <v>44188</v>
      </c>
      <c r="G520" s="24">
        <v>31481161</v>
      </c>
      <c r="H520" s="23">
        <v>5.0000000000000001E-3</v>
      </c>
      <c r="I520" s="39">
        <v>44348</v>
      </c>
      <c r="J520" s="39">
        <v>44377</v>
      </c>
      <c r="K520" s="24">
        <v>30</v>
      </c>
      <c r="L520" s="24">
        <v>12937</v>
      </c>
      <c r="M520" s="24">
        <v>31481161</v>
      </c>
    </row>
    <row r="521" spans="1:13" s="48" customFormat="1" outlineLevel="2">
      <c r="A521" s="39" t="s">
        <v>239</v>
      </c>
      <c r="B521" s="40" t="s">
        <v>32</v>
      </c>
      <c r="C521" s="41" t="s">
        <v>242</v>
      </c>
      <c r="D521" s="40" t="s">
        <v>243</v>
      </c>
      <c r="E521" s="24">
        <v>10000000</v>
      </c>
      <c r="F521" s="39">
        <v>44172</v>
      </c>
      <c r="G521" s="24">
        <v>10000000</v>
      </c>
      <c r="H521" s="23">
        <v>5.0000000000000001E-3</v>
      </c>
      <c r="I521" s="39">
        <v>44348</v>
      </c>
      <c r="J521" s="39">
        <v>44377</v>
      </c>
      <c r="K521" s="24">
        <v>30</v>
      </c>
      <c r="L521" s="24">
        <v>4110</v>
      </c>
      <c r="M521" s="24">
        <v>10000000</v>
      </c>
    </row>
    <row r="522" spans="1:13" s="48" customFormat="1" outlineLevel="2">
      <c r="A522" s="39" t="s">
        <v>239</v>
      </c>
      <c r="B522" s="40" t="s">
        <v>33</v>
      </c>
      <c r="C522" s="41" t="s">
        <v>242</v>
      </c>
      <c r="D522" s="40" t="s">
        <v>243</v>
      </c>
      <c r="E522" s="24">
        <v>10000000</v>
      </c>
      <c r="F522" s="39">
        <v>44181</v>
      </c>
      <c r="G522" s="24">
        <v>10000000</v>
      </c>
      <c r="H522" s="23">
        <v>5.0000000000000001E-3</v>
      </c>
      <c r="I522" s="39">
        <v>44348</v>
      </c>
      <c r="J522" s="39">
        <v>44377</v>
      </c>
      <c r="K522" s="24">
        <v>30</v>
      </c>
      <c r="L522" s="24">
        <v>4110</v>
      </c>
      <c r="M522" s="24">
        <v>10000000</v>
      </c>
    </row>
    <row r="523" spans="1:13" s="48" customFormat="1" outlineLevel="2">
      <c r="A523" s="39" t="s">
        <v>239</v>
      </c>
      <c r="B523" s="40" t="s">
        <v>34</v>
      </c>
      <c r="C523" s="41" t="s">
        <v>244</v>
      </c>
      <c r="D523" s="40" t="s">
        <v>245</v>
      </c>
      <c r="E523" s="24">
        <v>210000000</v>
      </c>
      <c r="F523" s="39">
        <v>44172</v>
      </c>
      <c r="G523" s="24">
        <v>210000000</v>
      </c>
      <c r="H523" s="23">
        <v>5.0000000000000001E-3</v>
      </c>
      <c r="I523" s="39">
        <v>44348</v>
      </c>
      <c r="J523" s="39">
        <v>44377</v>
      </c>
      <c r="K523" s="24">
        <v>30</v>
      </c>
      <c r="L523" s="24">
        <v>86301</v>
      </c>
      <c r="M523" s="24">
        <v>210000000</v>
      </c>
    </row>
    <row r="524" spans="1:13" s="48" customFormat="1" outlineLevel="2">
      <c r="A524" s="39" t="s">
        <v>239</v>
      </c>
      <c r="B524" s="40" t="s">
        <v>35</v>
      </c>
      <c r="C524" s="41" t="s">
        <v>246</v>
      </c>
      <c r="D524" s="40" t="s">
        <v>247</v>
      </c>
      <c r="E524" s="24">
        <v>3000000</v>
      </c>
      <c r="F524" s="39">
        <v>44167</v>
      </c>
      <c r="G524" s="24">
        <v>3000000</v>
      </c>
      <c r="H524" s="23">
        <v>5.0000000000000001E-3</v>
      </c>
      <c r="I524" s="39">
        <v>44348</v>
      </c>
      <c r="J524" s="39">
        <v>44377</v>
      </c>
      <c r="K524" s="24">
        <v>30</v>
      </c>
      <c r="L524" s="24">
        <v>1233</v>
      </c>
      <c r="M524" s="24">
        <v>3000000</v>
      </c>
    </row>
    <row r="525" spans="1:13" s="48" customFormat="1" outlineLevel="2">
      <c r="A525" s="39" t="s">
        <v>239</v>
      </c>
      <c r="B525" s="40" t="s">
        <v>36</v>
      </c>
      <c r="C525" s="41" t="s">
        <v>95</v>
      </c>
      <c r="D525" s="40" t="s">
        <v>96</v>
      </c>
      <c r="E525" s="24">
        <v>5530000</v>
      </c>
      <c r="F525" s="39">
        <v>44168</v>
      </c>
      <c r="G525" s="24">
        <v>5530000</v>
      </c>
      <c r="H525" s="23">
        <v>5.0000000000000001E-3</v>
      </c>
      <c r="I525" s="39">
        <v>44348</v>
      </c>
      <c r="J525" s="39">
        <v>44377</v>
      </c>
      <c r="K525" s="24">
        <v>30</v>
      </c>
      <c r="L525" s="24">
        <v>2273</v>
      </c>
      <c r="M525" s="24">
        <v>5530000</v>
      </c>
    </row>
    <row r="526" spans="1:13" s="48" customFormat="1" outlineLevel="2">
      <c r="A526" s="39" t="s">
        <v>239</v>
      </c>
      <c r="B526" s="40" t="s">
        <v>39</v>
      </c>
      <c r="C526" s="41" t="s">
        <v>248</v>
      </c>
      <c r="D526" s="40" t="s">
        <v>249</v>
      </c>
      <c r="E526" s="24">
        <v>23530000</v>
      </c>
      <c r="F526" s="39">
        <v>44013</v>
      </c>
      <c r="G526" s="24">
        <v>23530000</v>
      </c>
      <c r="H526" s="23">
        <v>5.0000000000000001E-3</v>
      </c>
      <c r="I526" s="39">
        <v>44348</v>
      </c>
      <c r="J526" s="39">
        <v>44377</v>
      </c>
      <c r="K526" s="24">
        <v>30</v>
      </c>
      <c r="L526" s="24">
        <v>9670</v>
      </c>
      <c r="M526" s="24">
        <v>23530000</v>
      </c>
    </row>
    <row r="527" spans="1:13" s="48" customFormat="1" outlineLevel="2">
      <c r="A527" s="39" t="s">
        <v>239</v>
      </c>
      <c r="B527" s="40" t="s">
        <v>40</v>
      </c>
      <c r="C527" s="41" t="s">
        <v>242</v>
      </c>
      <c r="D527" s="40" t="s">
        <v>243</v>
      </c>
      <c r="E527" s="24">
        <v>10000000</v>
      </c>
      <c r="F527" s="39">
        <v>44208</v>
      </c>
      <c r="G527" s="24">
        <v>10000000</v>
      </c>
      <c r="H527" s="23">
        <v>5.0000000000000001E-3</v>
      </c>
      <c r="I527" s="39">
        <v>44348</v>
      </c>
      <c r="J527" s="39">
        <v>44377</v>
      </c>
      <c r="K527" s="24">
        <v>30</v>
      </c>
      <c r="L527" s="24">
        <v>4110</v>
      </c>
      <c r="M527" s="24">
        <v>10000000</v>
      </c>
    </row>
    <row r="528" spans="1:13" s="48" customFormat="1" outlineLevel="2">
      <c r="A528" s="39" t="s">
        <v>239</v>
      </c>
      <c r="B528" s="40" t="s">
        <v>41</v>
      </c>
      <c r="C528" s="41" t="s">
        <v>125</v>
      </c>
      <c r="D528" s="40" t="s">
        <v>126</v>
      </c>
      <c r="E528" s="24">
        <v>28000000</v>
      </c>
      <c r="F528" s="39">
        <v>44217</v>
      </c>
      <c r="G528" s="24">
        <v>28000000</v>
      </c>
      <c r="H528" s="23">
        <v>5.0000000000000001E-3</v>
      </c>
      <c r="I528" s="39">
        <v>44348</v>
      </c>
      <c r="J528" s="39">
        <v>44377</v>
      </c>
      <c r="K528" s="24">
        <v>30</v>
      </c>
      <c r="L528" s="24">
        <v>11507</v>
      </c>
      <c r="M528" s="24">
        <v>28000000</v>
      </c>
    </row>
    <row r="529" spans="1:13" s="48" customFormat="1" outlineLevel="2">
      <c r="A529" s="39" t="s">
        <v>239</v>
      </c>
      <c r="B529" s="40" t="s">
        <v>42</v>
      </c>
      <c r="C529" s="41" t="s">
        <v>250</v>
      </c>
      <c r="D529" s="40" t="s">
        <v>251</v>
      </c>
      <c r="E529" s="24">
        <v>22500000</v>
      </c>
      <c r="F529" s="39">
        <v>44215</v>
      </c>
      <c r="G529" s="24">
        <v>21000000</v>
      </c>
      <c r="H529" s="23">
        <v>5.0000000000000001E-3</v>
      </c>
      <c r="I529" s="39">
        <v>44348</v>
      </c>
      <c r="J529" s="39">
        <v>44361</v>
      </c>
      <c r="K529" s="24">
        <v>14</v>
      </c>
      <c r="L529" s="24">
        <v>4027</v>
      </c>
      <c r="M529" s="24">
        <v>20625000</v>
      </c>
    </row>
    <row r="530" spans="1:13" s="48" customFormat="1" outlineLevel="2">
      <c r="A530" s="39" t="s">
        <v>239</v>
      </c>
      <c r="B530" s="40" t="s">
        <v>42</v>
      </c>
      <c r="C530" s="41" t="s">
        <v>250</v>
      </c>
      <c r="D530" s="40"/>
      <c r="E530" s="24"/>
      <c r="F530" s="39"/>
      <c r="G530" s="24">
        <v>20625000</v>
      </c>
      <c r="H530" s="23">
        <v>5.0000000000000001E-3</v>
      </c>
      <c r="I530" s="39">
        <v>44362</v>
      </c>
      <c r="J530" s="39">
        <v>44377</v>
      </c>
      <c r="K530" s="24">
        <v>16</v>
      </c>
      <c r="L530" s="24">
        <v>4521</v>
      </c>
      <c r="M530" s="24"/>
    </row>
    <row r="531" spans="1:13" s="48" customFormat="1" outlineLevel="2">
      <c r="A531" s="39" t="s">
        <v>239</v>
      </c>
      <c r="B531" s="40" t="s">
        <v>43</v>
      </c>
      <c r="C531" s="41" t="s">
        <v>250</v>
      </c>
      <c r="D531" s="40" t="s">
        <v>251</v>
      </c>
      <c r="E531" s="24">
        <v>4950000</v>
      </c>
      <c r="F531" s="39">
        <v>44215</v>
      </c>
      <c r="G531" s="24">
        <v>4620000</v>
      </c>
      <c r="H531" s="23">
        <v>5.0000000000000001E-3</v>
      </c>
      <c r="I531" s="39">
        <v>44348</v>
      </c>
      <c r="J531" s="39">
        <v>44361</v>
      </c>
      <c r="K531" s="24">
        <v>14</v>
      </c>
      <c r="L531" s="24">
        <v>886</v>
      </c>
      <c r="M531" s="24">
        <v>4537500</v>
      </c>
    </row>
    <row r="532" spans="1:13" s="48" customFormat="1" outlineLevel="2">
      <c r="A532" s="39" t="s">
        <v>239</v>
      </c>
      <c r="B532" s="40" t="s">
        <v>43</v>
      </c>
      <c r="C532" s="41" t="s">
        <v>250</v>
      </c>
      <c r="D532" s="40"/>
      <c r="E532" s="24"/>
      <c r="F532" s="39"/>
      <c r="G532" s="24">
        <v>4537500</v>
      </c>
      <c r="H532" s="23">
        <v>5.0000000000000001E-3</v>
      </c>
      <c r="I532" s="39">
        <v>44362</v>
      </c>
      <c r="J532" s="39">
        <v>44377</v>
      </c>
      <c r="K532" s="24">
        <v>16</v>
      </c>
      <c r="L532" s="24">
        <v>995</v>
      </c>
      <c r="M532" s="24"/>
    </row>
    <row r="533" spans="1:13" s="48" customFormat="1" outlineLevel="2">
      <c r="A533" s="39" t="s">
        <v>239</v>
      </c>
      <c r="B533" s="40" t="s">
        <v>44</v>
      </c>
      <c r="C533" s="41" t="s">
        <v>242</v>
      </c>
      <c r="D533" s="40" t="s">
        <v>243</v>
      </c>
      <c r="E533" s="24">
        <v>10000000</v>
      </c>
      <c r="F533" s="39">
        <v>44244</v>
      </c>
      <c r="G533" s="24">
        <v>10000000</v>
      </c>
      <c r="H533" s="23">
        <v>5.0000000000000001E-3</v>
      </c>
      <c r="I533" s="39">
        <v>44348</v>
      </c>
      <c r="J533" s="39">
        <v>44377</v>
      </c>
      <c r="K533" s="24">
        <v>30</v>
      </c>
      <c r="L533" s="24">
        <v>4110</v>
      </c>
      <c r="M533" s="24">
        <v>10000000</v>
      </c>
    </row>
    <row r="534" spans="1:13" s="48" customFormat="1" outlineLevel="2">
      <c r="A534" s="39" t="s">
        <v>239</v>
      </c>
      <c r="B534" s="40" t="s">
        <v>47</v>
      </c>
      <c r="C534" s="41" t="s">
        <v>242</v>
      </c>
      <c r="D534" s="40" t="s">
        <v>243</v>
      </c>
      <c r="E534" s="24">
        <v>4000000</v>
      </c>
      <c r="F534" s="39">
        <v>44249</v>
      </c>
      <c r="G534" s="24">
        <v>4000000</v>
      </c>
      <c r="H534" s="23">
        <v>5.0000000000000001E-3</v>
      </c>
      <c r="I534" s="39">
        <v>44348</v>
      </c>
      <c r="J534" s="39">
        <v>44377</v>
      </c>
      <c r="K534" s="24">
        <v>30</v>
      </c>
      <c r="L534" s="24">
        <v>1644</v>
      </c>
      <c r="M534" s="24">
        <v>4000000</v>
      </c>
    </row>
    <row r="535" spans="1:13" s="48" customFormat="1" outlineLevel="2">
      <c r="A535" s="39" t="s">
        <v>239</v>
      </c>
      <c r="B535" s="40" t="s">
        <v>50</v>
      </c>
      <c r="C535" s="41" t="s">
        <v>306</v>
      </c>
      <c r="D535" s="40" t="s">
        <v>305</v>
      </c>
      <c r="E535" s="24">
        <v>23949000</v>
      </c>
      <c r="F535" s="39">
        <v>44251</v>
      </c>
      <c r="G535" s="24">
        <v>23949000</v>
      </c>
      <c r="H535" s="23">
        <v>5.0000000000000001E-3</v>
      </c>
      <c r="I535" s="39">
        <v>44348</v>
      </c>
      <c r="J535" s="39">
        <v>44377</v>
      </c>
      <c r="K535" s="24">
        <v>30</v>
      </c>
      <c r="L535" s="24">
        <v>9842</v>
      </c>
      <c r="M535" s="24">
        <v>23949000</v>
      </c>
    </row>
    <row r="536" spans="1:13" s="48" customFormat="1" outlineLevel="2">
      <c r="A536" s="39" t="s">
        <v>239</v>
      </c>
      <c r="B536" s="40" t="s">
        <v>51</v>
      </c>
      <c r="C536" s="41" t="s">
        <v>66</v>
      </c>
      <c r="D536" s="40" t="s">
        <v>67</v>
      </c>
      <c r="E536" s="24">
        <v>40000000</v>
      </c>
      <c r="F536" s="39">
        <v>44235</v>
      </c>
      <c r="G536" s="24">
        <v>40000000</v>
      </c>
      <c r="H536" s="23">
        <v>5.0000000000000001E-3</v>
      </c>
      <c r="I536" s="39">
        <v>44348</v>
      </c>
      <c r="J536" s="39">
        <v>44377</v>
      </c>
      <c r="K536" s="24">
        <v>30</v>
      </c>
      <c r="L536" s="24">
        <v>16438</v>
      </c>
      <c r="M536" s="24">
        <v>40000000</v>
      </c>
    </row>
    <row r="537" spans="1:13" s="48" customFormat="1" outlineLevel="2">
      <c r="A537" s="39" t="s">
        <v>239</v>
      </c>
      <c r="B537" s="40" t="s">
        <v>52</v>
      </c>
      <c r="C537" s="41" t="s">
        <v>244</v>
      </c>
      <c r="D537" s="40" t="s">
        <v>245</v>
      </c>
      <c r="E537" s="24">
        <v>64000000</v>
      </c>
      <c r="F537" s="39">
        <v>44228</v>
      </c>
      <c r="G537" s="24">
        <v>64000000</v>
      </c>
      <c r="H537" s="23">
        <v>5.0000000000000001E-3</v>
      </c>
      <c r="I537" s="39">
        <v>44348</v>
      </c>
      <c r="J537" s="39">
        <v>44377</v>
      </c>
      <c r="K537" s="24">
        <v>30</v>
      </c>
      <c r="L537" s="24">
        <v>26301</v>
      </c>
      <c r="M537" s="24">
        <v>64000000</v>
      </c>
    </row>
    <row r="538" spans="1:13" s="48" customFormat="1" outlineLevel="2">
      <c r="A538" s="39" t="s">
        <v>239</v>
      </c>
      <c r="B538" s="40" t="s">
        <v>53</v>
      </c>
      <c r="C538" s="41" t="s">
        <v>246</v>
      </c>
      <c r="D538" s="40" t="s">
        <v>247</v>
      </c>
      <c r="E538" s="24">
        <v>100000000</v>
      </c>
      <c r="F538" s="39">
        <v>44251</v>
      </c>
      <c r="G538" s="24">
        <v>100000000</v>
      </c>
      <c r="H538" s="23">
        <v>5.0000000000000001E-3</v>
      </c>
      <c r="I538" s="39">
        <v>44348</v>
      </c>
      <c r="J538" s="39">
        <v>44377</v>
      </c>
      <c r="K538" s="24">
        <v>30</v>
      </c>
      <c r="L538" s="24">
        <v>41096</v>
      </c>
      <c r="M538" s="24">
        <v>100000000</v>
      </c>
    </row>
    <row r="539" spans="1:13" s="48" customFormat="1" outlineLevel="2">
      <c r="A539" s="39" t="s">
        <v>239</v>
      </c>
      <c r="B539" s="40" t="s">
        <v>54</v>
      </c>
      <c r="C539" s="41" t="s">
        <v>248</v>
      </c>
      <c r="D539" s="40" t="s">
        <v>249</v>
      </c>
      <c r="E539" s="24">
        <v>47470000</v>
      </c>
      <c r="F539" s="39">
        <v>44013</v>
      </c>
      <c r="G539" s="24">
        <v>47470000</v>
      </c>
      <c r="H539" s="23">
        <v>5.0000000000000001E-3</v>
      </c>
      <c r="I539" s="39">
        <v>44348</v>
      </c>
      <c r="J539" s="39">
        <v>44377</v>
      </c>
      <c r="K539" s="24">
        <v>30</v>
      </c>
      <c r="L539" s="24">
        <v>19508</v>
      </c>
      <c r="M539" s="24">
        <v>47470000</v>
      </c>
    </row>
    <row r="540" spans="1:13" s="48" customFormat="1" outlineLevel="2">
      <c r="A540" s="39" t="s">
        <v>239</v>
      </c>
      <c r="B540" s="40" t="s">
        <v>57</v>
      </c>
      <c r="C540" s="41" t="s">
        <v>246</v>
      </c>
      <c r="D540" s="40" t="s">
        <v>247</v>
      </c>
      <c r="E540" s="24">
        <v>93000000</v>
      </c>
      <c r="F540" s="39">
        <v>44251</v>
      </c>
      <c r="G540" s="24">
        <v>93000000</v>
      </c>
      <c r="H540" s="23">
        <v>5.0000000000000001E-3</v>
      </c>
      <c r="I540" s="39">
        <v>44348</v>
      </c>
      <c r="J540" s="39">
        <v>44377</v>
      </c>
      <c r="K540" s="24">
        <v>30</v>
      </c>
      <c r="L540" s="24">
        <v>38219</v>
      </c>
      <c r="M540" s="24">
        <v>93000000</v>
      </c>
    </row>
    <row r="541" spans="1:13" s="48" customFormat="1" outlineLevel="2">
      <c r="A541" s="39" t="s">
        <v>239</v>
      </c>
      <c r="B541" s="40" t="s">
        <v>99</v>
      </c>
      <c r="C541" s="41" t="s">
        <v>95</v>
      </c>
      <c r="D541" s="40" t="s">
        <v>96</v>
      </c>
      <c r="E541" s="24">
        <v>4840000</v>
      </c>
      <c r="F541" s="39">
        <v>44235</v>
      </c>
      <c r="G541" s="24">
        <v>4840000</v>
      </c>
      <c r="H541" s="23">
        <v>5.0000000000000001E-3</v>
      </c>
      <c r="I541" s="39">
        <v>44348</v>
      </c>
      <c r="J541" s="39">
        <v>44377</v>
      </c>
      <c r="K541" s="24">
        <v>30</v>
      </c>
      <c r="L541" s="24">
        <v>1989</v>
      </c>
      <c r="M541" s="24">
        <v>4840000</v>
      </c>
    </row>
    <row r="542" spans="1:13" s="48" customFormat="1" outlineLevel="2">
      <c r="A542" s="39" t="s">
        <v>239</v>
      </c>
      <c r="B542" s="40" t="s">
        <v>100</v>
      </c>
      <c r="C542" s="41" t="s">
        <v>130</v>
      </c>
      <c r="D542" s="40" t="s">
        <v>131</v>
      </c>
      <c r="E542" s="24">
        <v>10000000</v>
      </c>
      <c r="F542" s="39">
        <v>44284</v>
      </c>
      <c r="G542" s="24">
        <v>5000000</v>
      </c>
      <c r="H542" s="23">
        <v>5.0000000000000001E-3</v>
      </c>
      <c r="I542" s="39">
        <v>44348</v>
      </c>
      <c r="J542" s="39">
        <v>44377</v>
      </c>
      <c r="K542" s="24">
        <v>30</v>
      </c>
      <c r="L542" s="24">
        <v>2055</v>
      </c>
      <c r="M542" s="24">
        <v>5000000</v>
      </c>
    </row>
    <row r="543" spans="1:13" s="48" customFormat="1" outlineLevel="2">
      <c r="A543" s="39" t="s">
        <v>239</v>
      </c>
      <c r="B543" s="40" t="s">
        <v>101</v>
      </c>
      <c r="C543" s="41" t="s">
        <v>244</v>
      </c>
      <c r="D543" s="40" t="s">
        <v>245</v>
      </c>
      <c r="E543" s="24">
        <v>70000000</v>
      </c>
      <c r="F543" s="39">
        <v>44260</v>
      </c>
      <c r="G543" s="24">
        <v>70000000</v>
      </c>
      <c r="H543" s="23">
        <v>5.0000000000000001E-3</v>
      </c>
      <c r="I543" s="39">
        <v>44348</v>
      </c>
      <c r="J543" s="39">
        <v>44377</v>
      </c>
      <c r="K543" s="24">
        <v>30</v>
      </c>
      <c r="L543" s="24">
        <v>28767</v>
      </c>
      <c r="M543" s="24">
        <v>70000000</v>
      </c>
    </row>
    <row r="544" spans="1:13" s="48" customFormat="1" outlineLevel="2">
      <c r="A544" s="39" t="s">
        <v>239</v>
      </c>
      <c r="B544" s="40" t="s">
        <v>102</v>
      </c>
      <c r="C544" s="41" t="s">
        <v>125</v>
      </c>
      <c r="D544" s="40" t="s">
        <v>126</v>
      </c>
      <c r="E544" s="24">
        <v>5000000</v>
      </c>
      <c r="F544" s="39">
        <v>44259</v>
      </c>
      <c r="G544" s="24">
        <v>5000000</v>
      </c>
      <c r="H544" s="23">
        <v>5.0000000000000001E-3</v>
      </c>
      <c r="I544" s="39">
        <v>44348</v>
      </c>
      <c r="J544" s="39">
        <v>44377</v>
      </c>
      <c r="K544" s="24">
        <v>30</v>
      </c>
      <c r="L544" s="24">
        <v>2055</v>
      </c>
      <c r="M544" s="24">
        <v>5000000</v>
      </c>
    </row>
    <row r="545" spans="1:13" s="48" customFormat="1" outlineLevel="2">
      <c r="A545" s="39" t="s">
        <v>239</v>
      </c>
      <c r="B545" s="40" t="s">
        <v>103</v>
      </c>
      <c r="C545" s="41" t="s">
        <v>66</v>
      </c>
      <c r="D545" s="40" t="s">
        <v>67</v>
      </c>
      <c r="E545" s="24">
        <v>49780000</v>
      </c>
      <c r="F545" s="39">
        <v>44306</v>
      </c>
      <c r="G545" s="24">
        <v>49780000</v>
      </c>
      <c r="H545" s="23">
        <v>5.0000000000000001E-3</v>
      </c>
      <c r="I545" s="39">
        <v>44348</v>
      </c>
      <c r="J545" s="39">
        <v>44377</v>
      </c>
      <c r="K545" s="24">
        <v>30</v>
      </c>
      <c r="L545" s="24">
        <v>20458</v>
      </c>
      <c r="M545" s="24">
        <v>49780000</v>
      </c>
    </row>
    <row r="546" spans="1:13" s="48" customFormat="1" outlineLevel="2">
      <c r="A546" s="39" t="s">
        <v>239</v>
      </c>
      <c r="B546" s="40" t="s">
        <v>104</v>
      </c>
      <c r="C546" s="41" t="s">
        <v>244</v>
      </c>
      <c r="D546" s="40" t="s">
        <v>245</v>
      </c>
      <c r="E546" s="24">
        <v>39000000</v>
      </c>
      <c r="F546" s="39">
        <v>44295</v>
      </c>
      <c r="G546" s="24">
        <v>39000000</v>
      </c>
      <c r="H546" s="23">
        <v>5.0000000000000001E-3</v>
      </c>
      <c r="I546" s="39">
        <v>44348</v>
      </c>
      <c r="J546" s="39">
        <v>44377</v>
      </c>
      <c r="K546" s="24">
        <v>30</v>
      </c>
      <c r="L546" s="24">
        <v>16027</v>
      </c>
      <c r="M546" s="24">
        <v>39000000</v>
      </c>
    </row>
    <row r="547" spans="1:13" s="48" customFormat="1" outlineLevel="2">
      <c r="A547" s="39" t="s">
        <v>239</v>
      </c>
      <c r="B547" s="40" t="s">
        <v>105</v>
      </c>
      <c r="C547" s="41" t="s">
        <v>95</v>
      </c>
      <c r="D547" s="40" t="s">
        <v>96</v>
      </c>
      <c r="E547" s="24">
        <v>2600000</v>
      </c>
      <c r="F547" s="39">
        <v>44314</v>
      </c>
      <c r="G547" s="24">
        <v>2600000</v>
      </c>
      <c r="H547" s="23">
        <v>5.0000000000000001E-3</v>
      </c>
      <c r="I547" s="39">
        <v>44348</v>
      </c>
      <c r="J547" s="39">
        <v>44377</v>
      </c>
      <c r="K547" s="24">
        <v>30</v>
      </c>
      <c r="L547" s="24">
        <v>1068</v>
      </c>
      <c r="M547" s="24">
        <v>2600000</v>
      </c>
    </row>
    <row r="548" spans="1:13" s="48" customFormat="1" outlineLevel="2">
      <c r="A548" s="39" t="s">
        <v>239</v>
      </c>
      <c r="B548" s="40" t="s">
        <v>106</v>
      </c>
      <c r="C548" s="41" t="s">
        <v>339</v>
      </c>
      <c r="D548" s="40" t="s">
        <v>338</v>
      </c>
      <c r="E548" s="24">
        <v>1000000</v>
      </c>
      <c r="F548" s="39">
        <v>44292</v>
      </c>
      <c r="G548" s="24">
        <v>1000000</v>
      </c>
      <c r="H548" s="23">
        <v>5.0000000000000001E-3</v>
      </c>
      <c r="I548" s="39">
        <v>44348</v>
      </c>
      <c r="J548" s="39">
        <v>44377</v>
      </c>
      <c r="K548" s="24">
        <v>30</v>
      </c>
      <c r="L548" s="24">
        <v>411</v>
      </c>
      <c r="M548" s="24">
        <v>1000000</v>
      </c>
    </row>
    <row r="549" spans="1:13" s="48" customFormat="1" outlineLevel="2">
      <c r="A549" s="39" t="s">
        <v>239</v>
      </c>
      <c r="B549" s="40" t="s">
        <v>59</v>
      </c>
      <c r="C549" s="41" t="s">
        <v>240</v>
      </c>
      <c r="D549" s="40" t="s">
        <v>241</v>
      </c>
      <c r="E549" s="24">
        <v>6665394</v>
      </c>
      <c r="F549" s="39">
        <v>44029</v>
      </c>
      <c r="G549" s="24">
        <v>6665394</v>
      </c>
      <c r="H549" s="23">
        <v>5.0000000000000001E-3</v>
      </c>
      <c r="I549" s="39">
        <v>44348</v>
      </c>
      <c r="J549" s="39">
        <v>44377</v>
      </c>
      <c r="K549" s="24">
        <v>30</v>
      </c>
      <c r="L549" s="24">
        <v>2739</v>
      </c>
      <c r="M549" s="24">
        <v>6665394</v>
      </c>
    </row>
    <row r="550" spans="1:13" s="48" customFormat="1" outlineLevel="2">
      <c r="A550" s="39" t="s">
        <v>239</v>
      </c>
      <c r="B550" s="40" t="s">
        <v>136</v>
      </c>
      <c r="C550" s="41" t="s">
        <v>345</v>
      </c>
      <c r="D550" s="40" t="s">
        <v>344</v>
      </c>
      <c r="E550" s="24">
        <v>10000000</v>
      </c>
      <c r="F550" s="39">
        <v>44315</v>
      </c>
      <c r="G550" s="24">
        <v>10000000</v>
      </c>
      <c r="H550" s="23">
        <v>3.0000000000000001E-3</v>
      </c>
      <c r="I550" s="39">
        <v>44348</v>
      </c>
      <c r="J550" s="39">
        <v>44377</v>
      </c>
      <c r="K550" s="24">
        <v>30</v>
      </c>
      <c r="L550" s="24">
        <v>2466</v>
      </c>
      <c r="M550" s="24">
        <v>10000000</v>
      </c>
    </row>
    <row r="551" spans="1:13" s="48" customFormat="1" outlineLevel="2">
      <c r="A551" s="39" t="s">
        <v>239</v>
      </c>
      <c r="B551" s="40" t="s">
        <v>137</v>
      </c>
      <c r="C551" s="41" t="s">
        <v>244</v>
      </c>
      <c r="D551" s="40" t="s">
        <v>245</v>
      </c>
      <c r="E551" s="24">
        <v>67000000</v>
      </c>
      <c r="F551" s="39">
        <v>44321</v>
      </c>
      <c r="G551" s="24">
        <v>67000000</v>
      </c>
      <c r="H551" s="23">
        <v>5.0000000000000001E-3</v>
      </c>
      <c r="I551" s="39">
        <v>44348</v>
      </c>
      <c r="J551" s="39">
        <v>44377</v>
      </c>
      <c r="K551" s="24">
        <v>30</v>
      </c>
      <c r="L551" s="24">
        <v>27534</v>
      </c>
      <c r="M551" s="24">
        <v>67000000</v>
      </c>
    </row>
    <row r="552" spans="1:13" s="48" customFormat="1" outlineLevel="2">
      <c r="A552" s="39" t="s">
        <v>239</v>
      </c>
      <c r="B552" s="40" t="s">
        <v>138</v>
      </c>
      <c r="C552" s="41" t="s">
        <v>232</v>
      </c>
      <c r="D552" s="40" t="s">
        <v>233</v>
      </c>
      <c r="E552" s="24">
        <v>287705120</v>
      </c>
      <c r="F552" s="39">
        <v>44327</v>
      </c>
      <c r="G552" s="24">
        <v>287705120</v>
      </c>
      <c r="H552" s="23">
        <v>5.0000000000000001E-3</v>
      </c>
      <c r="I552" s="39">
        <v>44348</v>
      </c>
      <c r="J552" s="39">
        <v>44377</v>
      </c>
      <c r="K552" s="24">
        <v>30</v>
      </c>
      <c r="L552" s="24">
        <v>118235</v>
      </c>
      <c r="M552" s="24">
        <v>287705120</v>
      </c>
    </row>
    <row r="553" spans="1:13" s="48" customFormat="1" outlineLevel="2">
      <c r="A553" s="39" t="s">
        <v>239</v>
      </c>
      <c r="B553" s="40" t="s">
        <v>139</v>
      </c>
      <c r="C553" s="41" t="s">
        <v>367</v>
      </c>
      <c r="D553" s="40" t="s">
        <v>366</v>
      </c>
      <c r="E553" s="24">
        <v>14000000</v>
      </c>
      <c r="F553" s="39">
        <v>44336</v>
      </c>
      <c r="G553" s="24">
        <v>14000000</v>
      </c>
      <c r="H553" s="23">
        <v>5.0000000000000001E-3</v>
      </c>
      <c r="I553" s="39">
        <v>44348</v>
      </c>
      <c r="J553" s="39">
        <v>44377</v>
      </c>
      <c r="K553" s="24">
        <v>30</v>
      </c>
      <c r="L553" s="24">
        <v>5753</v>
      </c>
      <c r="M553" s="24">
        <v>14000000</v>
      </c>
    </row>
    <row r="554" spans="1:13" s="48" customFormat="1" outlineLevel="2">
      <c r="A554" s="39" t="s">
        <v>239</v>
      </c>
      <c r="B554" s="40" t="s">
        <v>140</v>
      </c>
      <c r="C554" s="41" t="s">
        <v>244</v>
      </c>
      <c r="D554" s="40" t="s">
        <v>245</v>
      </c>
      <c r="E554" s="24">
        <v>64000000</v>
      </c>
      <c r="F554" s="39">
        <v>44354</v>
      </c>
      <c r="G554" s="24">
        <v>64000000</v>
      </c>
      <c r="H554" s="23">
        <v>5.0000000000000001E-3</v>
      </c>
      <c r="I554" s="39">
        <v>44354</v>
      </c>
      <c r="J554" s="39">
        <v>44377</v>
      </c>
      <c r="K554" s="24">
        <v>24</v>
      </c>
      <c r="L554" s="24">
        <v>21041</v>
      </c>
      <c r="M554" s="24">
        <v>64000000</v>
      </c>
    </row>
    <row r="555" spans="1:13" s="48" customFormat="1" outlineLevel="2">
      <c r="A555" s="39" t="s">
        <v>239</v>
      </c>
      <c r="B555" s="40" t="s">
        <v>169</v>
      </c>
      <c r="C555" s="41" t="s">
        <v>250</v>
      </c>
      <c r="D555" s="40" t="s">
        <v>251</v>
      </c>
      <c r="E555" s="24">
        <v>33500000</v>
      </c>
      <c r="F555" s="39">
        <v>44362</v>
      </c>
      <c r="G555" s="24">
        <v>33500000</v>
      </c>
      <c r="H555" s="23">
        <v>5.0000000000000001E-3</v>
      </c>
      <c r="I555" s="39">
        <v>44362</v>
      </c>
      <c r="J555" s="39">
        <v>44377</v>
      </c>
      <c r="K555" s="24">
        <v>16</v>
      </c>
      <c r="L555" s="24">
        <v>7342</v>
      </c>
      <c r="M555" s="24">
        <v>33500000</v>
      </c>
    </row>
    <row r="556" spans="1:13" s="48" customFormat="1" outlineLevel="2">
      <c r="A556" s="39" t="s">
        <v>239</v>
      </c>
      <c r="B556" s="40" t="s">
        <v>170</v>
      </c>
      <c r="C556" s="41" t="s">
        <v>250</v>
      </c>
      <c r="D556" s="40" t="s">
        <v>251</v>
      </c>
      <c r="E556" s="24">
        <v>7400000</v>
      </c>
      <c r="F556" s="39">
        <v>44362</v>
      </c>
      <c r="G556" s="24">
        <v>7400000</v>
      </c>
      <c r="H556" s="23">
        <v>5.0000000000000001E-3</v>
      </c>
      <c r="I556" s="39">
        <v>44362</v>
      </c>
      <c r="J556" s="39">
        <v>44377</v>
      </c>
      <c r="K556" s="24">
        <v>16</v>
      </c>
      <c r="L556" s="24">
        <v>1622</v>
      </c>
      <c r="M556" s="24">
        <v>7400000</v>
      </c>
    </row>
    <row r="557" spans="1:13" s="48" customFormat="1" outlineLevel="2">
      <c r="A557" s="39" t="s">
        <v>239</v>
      </c>
      <c r="B557" s="40" t="s">
        <v>62</v>
      </c>
      <c r="C557" s="41" t="s">
        <v>240</v>
      </c>
      <c r="D557" s="40" t="s">
        <v>241</v>
      </c>
      <c r="E557" s="24">
        <v>12334606</v>
      </c>
      <c r="F557" s="39">
        <v>44029</v>
      </c>
      <c r="G557" s="24">
        <v>12334606</v>
      </c>
      <c r="H557" s="23">
        <v>5.0000000000000001E-3</v>
      </c>
      <c r="I557" s="39">
        <v>44348</v>
      </c>
      <c r="J557" s="39">
        <v>44377</v>
      </c>
      <c r="K557" s="24">
        <v>30</v>
      </c>
      <c r="L557" s="24">
        <v>5069</v>
      </c>
      <c r="M557" s="24">
        <v>12334606</v>
      </c>
    </row>
    <row r="558" spans="1:13" s="48" customFormat="1" outlineLevel="2">
      <c r="A558" s="39" t="s">
        <v>239</v>
      </c>
      <c r="B558" s="40" t="s">
        <v>63</v>
      </c>
      <c r="C558" s="41" t="s">
        <v>252</v>
      </c>
      <c r="D558" s="40" t="s">
        <v>253</v>
      </c>
      <c r="E558" s="24">
        <v>131500000</v>
      </c>
      <c r="F558" s="39">
        <v>44089</v>
      </c>
      <c r="G558" s="24">
        <v>131500000</v>
      </c>
      <c r="H558" s="23">
        <v>5.0000000000000001E-3</v>
      </c>
      <c r="I558" s="39">
        <v>44348</v>
      </c>
      <c r="J558" s="39">
        <v>44377</v>
      </c>
      <c r="K558" s="24">
        <v>30</v>
      </c>
      <c r="L558" s="24">
        <v>54041</v>
      </c>
      <c r="M558" s="24">
        <v>131500000</v>
      </c>
    </row>
    <row r="559" spans="1:13" s="48" customFormat="1" outlineLevel="2">
      <c r="A559" s="39" t="s">
        <v>239</v>
      </c>
      <c r="B559" s="40" t="s">
        <v>64</v>
      </c>
      <c r="C559" s="41" t="s">
        <v>109</v>
      </c>
      <c r="D559" s="40" t="s">
        <v>110</v>
      </c>
      <c r="E559" s="24">
        <v>10400000</v>
      </c>
      <c r="F559" s="39">
        <v>44096</v>
      </c>
      <c r="G559" s="24">
        <v>10400000</v>
      </c>
      <c r="H559" s="23">
        <v>5.0000000000000001E-3</v>
      </c>
      <c r="I559" s="39">
        <v>44348</v>
      </c>
      <c r="J559" s="39">
        <v>44377</v>
      </c>
      <c r="K559" s="24">
        <v>30</v>
      </c>
      <c r="L559" s="24">
        <v>4274</v>
      </c>
      <c r="M559" s="24">
        <v>10400000</v>
      </c>
    </row>
    <row r="560" spans="1:13" s="48" customFormat="1" outlineLevel="2">
      <c r="A560" s="39" t="s">
        <v>239</v>
      </c>
      <c r="B560" s="40" t="s">
        <v>65</v>
      </c>
      <c r="C560" s="41" t="s">
        <v>242</v>
      </c>
      <c r="D560" s="40" t="s">
        <v>243</v>
      </c>
      <c r="E560" s="24">
        <v>10000000</v>
      </c>
      <c r="F560" s="39">
        <v>44139</v>
      </c>
      <c r="G560" s="24">
        <v>10000000</v>
      </c>
      <c r="H560" s="23">
        <v>5.0000000000000001E-3</v>
      </c>
      <c r="I560" s="39">
        <v>44348</v>
      </c>
      <c r="J560" s="39">
        <v>44377</v>
      </c>
      <c r="K560" s="24">
        <v>30</v>
      </c>
      <c r="L560" s="24">
        <v>4110</v>
      </c>
      <c r="M560" s="24">
        <v>10000000</v>
      </c>
    </row>
    <row r="561" spans="1:13" s="48" customFormat="1" outlineLevel="2">
      <c r="A561" s="39" t="s">
        <v>239</v>
      </c>
      <c r="B561" s="40" t="s">
        <v>68</v>
      </c>
      <c r="C561" s="41" t="s">
        <v>242</v>
      </c>
      <c r="D561" s="40" t="s">
        <v>243</v>
      </c>
      <c r="E561" s="24">
        <v>10000000</v>
      </c>
      <c r="F561" s="39">
        <v>44152</v>
      </c>
      <c r="G561" s="24">
        <v>10000000</v>
      </c>
      <c r="H561" s="23">
        <v>5.0000000000000001E-3</v>
      </c>
      <c r="I561" s="39">
        <v>44348</v>
      </c>
      <c r="J561" s="39">
        <v>44377</v>
      </c>
      <c r="K561" s="24">
        <v>30</v>
      </c>
      <c r="L561" s="24">
        <v>4110</v>
      </c>
      <c r="M561" s="24">
        <v>10000000</v>
      </c>
    </row>
    <row r="562" spans="1:13" s="48" customFormat="1" outlineLevel="1">
      <c r="A562" s="42" t="s">
        <v>254</v>
      </c>
      <c r="B562" s="43"/>
      <c r="C562" s="44"/>
      <c r="D562" s="43"/>
      <c r="E562" s="45">
        <v>1672834120</v>
      </c>
      <c r="F562" s="46"/>
      <c r="G562" s="45"/>
      <c r="H562" s="47"/>
      <c r="I562" s="46"/>
      <c r="J562" s="46"/>
      <c r="K562" s="45"/>
      <c r="L562" s="45">
        <v>669812</v>
      </c>
      <c r="M562" s="45">
        <v>1665546620</v>
      </c>
    </row>
    <row r="563" spans="1:13" s="48" customFormat="1" outlineLevel="2">
      <c r="A563" s="39" t="s">
        <v>255</v>
      </c>
      <c r="B563" s="40" t="s">
        <v>16</v>
      </c>
      <c r="C563" s="41" t="s">
        <v>20</v>
      </c>
      <c r="D563" s="40" t="s">
        <v>21</v>
      </c>
      <c r="E563" s="24">
        <v>330000000</v>
      </c>
      <c r="F563" s="39">
        <v>43915</v>
      </c>
      <c r="G563" s="24">
        <v>330000000</v>
      </c>
      <c r="H563" s="23">
        <v>5.0000000000000001E-3</v>
      </c>
      <c r="I563" s="39">
        <v>44348</v>
      </c>
      <c r="J563" s="39">
        <v>44377</v>
      </c>
      <c r="K563" s="24">
        <v>30</v>
      </c>
      <c r="L563" s="24">
        <v>135616</v>
      </c>
      <c r="M563" s="24">
        <v>330000000</v>
      </c>
    </row>
    <row r="564" spans="1:13" s="48" customFormat="1" outlineLevel="2">
      <c r="A564" s="39" t="s">
        <v>255</v>
      </c>
      <c r="B564" s="40" t="s">
        <v>39</v>
      </c>
      <c r="C564" s="41" t="s">
        <v>20</v>
      </c>
      <c r="D564" s="40" t="s">
        <v>21</v>
      </c>
      <c r="E564" s="24">
        <v>93600000</v>
      </c>
      <c r="F564" s="39">
        <v>43955</v>
      </c>
      <c r="G564" s="24">
        <v>93600000</v>
      </c>
      <c r="H564" s="23">
        <v>5.0000000000000001E-3</v>
      </c>
      <c r="I564" s="39">
        <v>44348</v>
      </c>
      <c r="J564" s="39">
        <v>44377</v>
      </c>
      <c r="K564" s="24">
        <v>30</v>
      </c>
      <c r="L564" s="24">
        <v>38466</v>
      </c>
      <c r="M564" s="24">
        <v>93600000</v>
      </c>
    </row>
    <row r="565" spans="1:13" s="48" customFormat="1" outlineLevel="2">
      <c r="A565" s="39" t="s">
        <v>255</v>
      </c>
      <c r="B565" s="40" t="s">
        <v>54</v>
      </c>
      <c r="C565" s="41" t="s">
        <v>20</v>
      </c>
      <c r="D565" s="40" t="s">
        <v>21</v>
      </c>
      <c r="E565" s="24">
        <v>576400000</v>
      </c>
      <c r="F565" s="39">
        <v>44013</v>
      </c>
      <c r="G565" s="24">
        <v>576400000</v>
      </c>
      <c r="H565" s="23">
        <v>5.0000000000000001E-3</v>
      </c>
      <c r="I565" s="39">
        <v>44348</v>
      </c>
      <c r="J565" s="39">
        <v>44377</v>
      </c>
      <c r="K565" s="24">
        <v>30</v>
      </c>
      <c r="L565" s="24">
        <v>236877</v>
      </c>
      <c r="M565" s="24">
        <v>576400000</v>
      </c>
    </row>
    <row r="566" spans="1:13" s="48" customFormat="1" outlineLevel="1">
      <c r="A566" s="42" t="s">
        <v>256</v>
      </c>
      <c r="B566" s="43"/>
      <c r="C566" s="44"/>
      <c r="D566" s="43"/>
      <c r="E566" s="45">
        <v>1000000000</v>
      </c>
      <c r="F566" s="46"/>
      <c r="G566" s="45"/>
      <c r="H566" s="47"/>
      <c r="I566" s="46"/>
      <c r="J566" s="46"/>
      <c r="K566" s="45"/>
      <c r="L566" s="45">
        <v>410959</v>
      </c>
      <c r="M566" s="45">
        <v>1000000000</v>
      </c>
    </row>
    <row r="567" spans="1:13" s="48" customFormat="1" outlineLevel="2">
      <c r="A567" s="39" t="s">
        <v>257</v>
      </c>
      <c r="B567" s="40" t="s">
        <v>16</v>
      </c>
      <c r="C567" s="41" t="s">
        <v>262</v>
      </c>
      <c r="D567" s="40" t="s">
        <v>259</v>
      </c>
      <c r="E567" s="24">
        <v>3400000</v>
      </c>
      <c r="F567" s="39">
        <v>43927</v>
      </c>
      <c r="G567" s="24">
        <v>3400000</v>
      </c>
      <c r="H567" s="23">
        <v>5.0000000000000001E-3</v>
      </c>
      <c r="I567" s="39">
        <v>44348</v>
      </c>
      <c r="J567" s="39">
        <v>44377</v>
      </c>
      <c r="K567" s="24">
        <v>30</v>
      </c>
      <c r="L567" s="24">
        <v>1397</v>
      </c>
      <c r="M567" s="24">
        <v>3400000</v>
      </c>
    </row>
    <row r="568" spans="1:13" s="48" customFormat="1" outlineLevel="2">
      <c r="A568" s="39" t="s">
        <v>257</v>
      </c>
      <c r="B568" s="40" t="s">
        <v>19</v>
      </c>
      <c r="C568" s="41" t="s">
        <v>260</v>
      </c>
      <c r="D568" s="40" t="s">
        <v>261</v>
      </c>
      <c r="E568" s="24">
        <v>620000</v>
      </c>
      <c r="F568" s="39">
        <v>44148</v>
      </c>
      <c r="G568" s="24">
        <v>510000</v>
      </c>
      <c r="H568" s="23">
        <v>5.0000000000000001E-3</v>
      </c>
      <c r="I568" s="39">
        <v>44348</v>
      </c>
      <c r="J568" s="39">
        <v>44361</v>
      </c>
      <c r="K568" s="24">
        <v>14</v>
      </c>
      <c r="L568" s="24">
        <v>98</v>
      </c>
      <c r="M568" s="24">
        <v>500000</v>
      </c>
    </row>
    <row r="569" spans="1:13" s="48" customFormat="1" outlineLevel="2">
      <c r="A569" s="39" t="s">
        <v>257</v>
      </c>
      <c r="B569" s="40" t="s">
        <v>19</v>
      </c>
      <c r="C569" s="41" t="s">
        <v>260</v>
      </c>
      <c r="D569" s="40"/>
      <c r="E569" s="24"/>
      <c r="F569" s="39"/>
      <c r="G569" s="24">
        <v>500000</v>
      </c>
      <c r="H569" s="23">
        <v>5.0000000000000001E-3</v>
      </c>
      <c r="I569" s="39">
        <v>44362</v>
      </c>
      <c r="J569" s="39">
        <v>44377</v>
      </c>
      <c r="K569" s="24">
        <v>16</v>
      </c>
      <c r="L569" s="24">
        <v>110</v>
      </c>
      <c r="M569" s="24"/>
    </row>
    <row r="570" spans="1:13" s="48" customFormat="1" outlineLevel="2">
      <c r="A570" s="39" t="s">
        <v>257</v>
      </c>
      <c r="B570" s="40" t="s">
        <v>22</v>
      </c>
      <c r="C570" s="41" t="s">
        <v>260</v>
      </c>
      <c r="D570" s="40" t="s">
        <v>261</v>
      </c>
      <c r="E570" s="24">
        <v>3910000</v>
      </c>
      <c r="F570" s="39">
        <v>44165</v>
      </c>
      <c r="G570" s="24">
        <v>3468000</v>
      </c>
      <c r="H570" s="23">
        <v>5.0000000000000001E-3</v>
      </c>
      <c r="I570" s="39">
        <v>44348</v>
      </c>
      <c r="J570" s="39">
        <v>44361</v>
      </c>
      <c r="K570" s="24">
        <v>14</v>
      </c>
      <c r="L570" s="24">
        <v>665</v>
      </c>
      <c r="M570" s="24">
        <v>3400000</v>
      </c>
    </row>
    <row r="571" spans="1:13" s="48" customFormat="1" outlineLevel="2">
      <c r="A571" s="39" t="s">
        <v>257</v>
      </c>
      <c r="B571" s="40" t="s">
        <v>22</v>
      </c>
      <c r="C571" s="41" t="s">
        <v>260</v>
      </c>
      <c r="D571" s="40"/>
      <c r="E571" s="24"/>
      <c r="F571" s="39"/>
      <c r="G571" s="24">
        <v>3400000</v>
      </c>
      <c r="H571" s="23">
        <v>5.0000000000000001E-3</v>
      </c>
      <c r="I571" s="39">
        <v>44362</v>
      </c>
      <c r="J571" s="39">
        <v>44377</v>
      </c>
      <c r="K571" s="24">
        <v>16</v>
      </c>
      <c r="L571" s="24">
        <v>745</v>
      </c>
      <c r="M571" s="24"/>
    </row>
    <row r="572" spans="1:13" s="48" customFormat="1" outlineLevel="2">
      <c r="A572" s="39" t="s">
        <v>257</v>
      </c>
      <c r="B572" s="40" t="s">
        <v>25</v>
      </c>
      <c r="C572" s="41" t="s">
        <v>260</v>
      </c>
      <c r="D572" s="40" t="s">
        <v>261</v>
      </c>
      <c r="E572" s="24">
        <v>4030000</v>
      </c>
      <c r="F572" s="39">
        <v>44165</v>
      </c>
      <c r="G572" s="24">
        <v>3570000</v>
      </c>
      <c r="H572" s="23">
        <v>5.0000000000000001E-3</v>
      </c>
      <c r="I572" s="39">
        <v>44348</v>
      </c>
      <c r="J572" s="39">
        <v>44361</v>
      </c>
      <c r="K572" s="24">
        <v>14</v>
      </c>
      <c r="L572" s="24">
        <v>685</v>
      </c>
      <c r="M572" s="24">
        <v>3500000</v>
      </c>
    </row>
    <row r="573" spans="1:13" s="48" customFormat="1" outlineLevel="2">
      <c r="A573" s="39" t="s">
        <v>257</v>
      </c>
      <c r="B573" s="40" t="s">
        <v>25</v>
      </c>
      <c r="C573" s="41" t="s">
        <v>260</v>
      </c>
      <c r="D573" s="40"/>
      <c r="E573" s="24"/>
      <c r="F573" s="39"/>
      <c r="G573" s="24">
        <v>3500000</v>
      </c>
      <c r="H573" s="23">
        <v>5.0000000000000001E-3</v>
      </c>
      <c r="I573" s="39">
        <v>44362</v>
      </c>
      <c r="J573" s="39">
        <v>44377</v>
      </c>
      <c r="K573" s="24">
        <v>16</v>
      </c>
      <c r="L573" s="24">
        <v>767</v>
      </c>
      <c r="M573" s="24"/>
    </row>
    <row r="574" spans="1:13" s="48" customFormat="1" outlineLevel="2">
      <c r="A574" s="39" t="s">
        <v>257</v>
      </c>
      <c r="B574" s="40" t="s">
        <v>26</v>
      </c>
      <c r="C574" s="41" t="s">
        <v>260</v>
      </c>
      <c r="D574" s="40" t="s">
        <v>261</v>
      </c>
      <c r="E574" s="24">
        <v>570000</v>
      </c>
      <c r="F574" s="39">
        <v>44155</v>
      </c>
      <c r="G574" s="24">
        <v>570000</v>
      </c>
      <c r="H574" s="23">
        <v>5.0000000000000001E-3</v>
      </c>
      <c r="I574" s="39">
        <v>44348</v>
      </c>
      <c r="J574" s="39">
        <v>44377</v>
      </c>
      <c r="K574" s="24">
        <v>30</v>
      </c>
      <c r="L574" s="24">
        <v>234</v>
      </c>
      <c r="M574" s="24">
        <v>570000</v>
      </c>
    </row>
    <row r="575" spans="1:13" s="48" customFormat="1" outlineLevel="2">
      <c r="A575" s="39" t="s">
        <v>257</v>
      </c>
      <c r="B575" s="40" t="s">
        <v>29</v>
      </c>
      <c r="C575" s="41" t="s">
        <v>260</v>
      </c>
      <c r="D575" s="40" t="s">
        <v>261</v>
      </c>
      <c r="E575" s="24">
        <v>6000000</v>
      </c>
      <c r="F575" s="39">
        <v>44155</v>
      </c>
      <c r="G575" s="24">
        <v>6000000</v>
      </c>
      <c r="H575" s="23">
        <v>5.0000000000000001E-3</v>
      </c>
      <c r="I575" s="39">
        <v>44348</v>
      </c>
      <c r="J575" s="39">
        <v>44377</v>
      </c>
      <c r="K575" s="24">
        <v>30</v>
      </c>
      <c r="L575" s="24">
        <v>2466</v>
      </c>
      <c r="M575" s="24">
        <v>6000000</v>
      </c>
    </row>
    <row r="576" spans="1:13" s="48" customFormat="1" outlineLevel="2">
      <c r="A576" s="39" t="s">
        <v>257</v>
      </c>
      <c r="B576" s="40" t="s">
        <v>32</v>
      </c>
      <c r="C576" s="41" t="s">
        <v>260</v>
      </c>
      <c r="D576" s="40" t="s">
        <v>261</v>
      </c>
      <c r="E576" s="24">
        <v>270000</v>
      </c>
      <c r="F576" s="39">
        <v>44181</v>
      </c>
      <c r="G576" s="24">
        <v>204000</v>
      </c>
      <c r="H576" s="23">
        <v>5.0000000000000001E-3</v>
      </c>
      <c r="I576" s="39">
        <v>44348</v>
      </c>
      <c r="J576" s="39">
        <v>44361</v>
      </c>
      <c r="K576" s="24">
        <v>14</v>
      </c>
      <c r="L576" s="24">
        <v>39</v>
      </c>
      <c r="M576" s="24">
        <v>200000</v>
      </c>
    </row>
    <row r="577" spans="1:13" s="48" customFormat="1" outlineLevel="2">
      <c r="A577" s="39" t="s">
        <v>257</v>
      </c>
      <c r="B577" s="40" t="s">
        <v>32</v>
      </c>
      <c r="C577" s="41" t="s">
        <v>260</v>
      </c>
      <c r="D577" s="40"/>
      <c r="E577" s="24"/>
      <c r="F577" s="39"/>
      <c r="G577" s="24">
        <v>200000</v>
      </c>
      <c r="H577" s="23">
        <v>5.0000000000000001E-3</v>
      </c>
      <c r="I577" s="39">
        <v>44362</v>
      </c>
      <c r="J577" s="39">
        <v>44377</v>
      </c>
      <c r="K577" s="24">
        <v>16</v>
      </c>
      <c r="L577" s="24">
        <v>44</v>
      </c>
      <c r="M577" s="24"/>
    </row>
    <row r="578" spans="1:13" s="48" customFormat="1" outlineLevel="2">
      <c r="A578" s="39" t="s">
        <v>257</v>
      </c>
      <c r="B578" s="40" t="s">
        <v>33</v>
      </c>
      <c r="C578" s="41" t="s">
        <v>260</v>
      </c>
      <c r="D578" s="40" t="s">
        <v>261</v>
      </c>
      <c r="E578" s="24">
        <v>2400000</v>
      </c>
      <c r="F578" s="39">
        <v>44181</v>
      </c>
      <c r="G578" s="24">
        <v>2400000</v>
      </c>
      <c r="H578" s="23">
        <v>5.0000000000000001E-3</v>
      </c>
      <c r="I578" s="39">
        <v>44348</v>
      </c>
      <c r="J578" s="39">
        <v>44377</v>
      </c>
      <c r="K578" s="24">
        <v>30</v>
      </c>
      <c r="L578" s="24">
        <v>986</v>
      </c>
      <c r="M578" s="24">
        <v>2400000</v>
      </c>
    </row>
    <row r="579" spans="1:13" s="48" customFormat="1" outlineLevel="2">
      <c r="A579" s="39" t="s">
        <v>257</v>
      </c>
      <c r="B579" s="40" t="s">
        <v>34</v>
      </c>
      <c r="C579" s="41" t="s">
        <v>260</v>
      </c>
      <c r="D579" s="40" t="s">
        <v>261</v>
      </c>
      <c r="E579" s="24">
        <v>11000000</v>
      </c>
      <c r="F579" s="39">
        <v>44181</v>
      </c>
      <c r="G579" s="24">
        <v>11000000</v>
      </c>
      <c r="H579" s="23">
        <v>5.0000000000000001E-3</v>
      </c>
      <c r="I579" s="39">
        <v>44348</v>
      </c>
      <c r="J579" s="39">
        <v>44377</v>
      </c>
      <c r="K579" s="24">
        <v>30</v>
      </c>
      <c r="L579" s="24">
        <v>4521</v>
      </c>
      <c r="M579" s="24">
        <v>11000000</v>
      </c>
    </row>
    <row r="580" spans="1:13" s="48" customFormat="1" outlineLevel="2">
      <c r="A580" s="39" t="s">
        <v>257</v>
      </c>
      <c r="B580" s="40" t="s">
        <v>35</v>
      </c>
      <c r="C580" s="41" t="s">
        <v>260</v>
      </c>
      <c r="D580" s="40" t="s">
        <v>261</v>
      </c>
      <c r="E580" s="24">
        <v>220000</v>
      </c>
      <c r="F580" s="39">
        <v>44215</v>
      </c>
      <c r="G580" s="24">
        <v>204000</v>
      </c>
      <c r="H580" s="23">
        <v>5.0000000000000001E-3</v>
      </c>
      <c r="I580" s="39">
        <v>44348</v>
      </c>
      <c r="J580" s="39">
        <v>44361</v>
      </c>
      <c r="K580" s="24">
        <v>14</v>
      </c>
      <c r="L580" s="24">
        <v>39</v>
      </c>
      <c r="M580" s="24">
        <v>200000</v>
      </c>
    </row>
    <row r="581" spans="1:13" s="48" customFormat="1" outlineLevel="2">
      <c r="A581" s="39" t="s">
        <v>257</v>
      </c>
      <c r="B581" s="40" t="s">
        <v>35</v>
      </c>
      <c r="C581" s="41" t="s">
        <v>260</v>
      </c>
      <c r="D581" s="40"/>
      <c r="E581" s="24"/>
      <c r="F581" s="39"/>
      <c r="G581" s="24">
        <v>200000</v>
      </c>
      <c r="H581" s="23">
        <v>5.0000000000000001E-3</v>
      </c>
      <c r="I581" s="39">
        <v>44362</v>
      </c>
      <c r="J581" s="39">
        <v>44377</v>
      </c>
      <c r="K581" s="24">
        <v>16</v>
      </c>
      <c r="L581" s="24">
        <v>44</v>
      </c>
      <c r="M581" s="24"/>
    </row>
    <row r="582" spans="1:13" s="48" customFormat="1" outlineLevel="2">
      <c r="A582" s="39" t="s">
        <v>257</v>
      </c>
      <c r="B582" s="40" t="s">
        <v>36</v>
      </c>
      <c r="C582" s="41" t="s">
        <v>260</v>
      </c>
      <c r="D582" s="40" t="s">
        <v>261</v>
      </c>
      <c r="E582" s="24">
        <v>1000000</v>
      </c>
      <c r="F582" s="39">
        <v>44215</v>
      </c>
      <c r="G582" s="24">
        <v>918000</v>
      </c>
      <c r="H582" s="23">
        <v>5.0000000000000001E-3</v>
      </c>
      <c r="I582" s="39">
        <v>44348</v>
      </c>
      <c r="J582" s="39">
        <v>44361</v>
      </c>
      <c r="K582" s="24">
        <v>14</v>
      </c>
      <c r="L582" s="24">
        <v>176</v>
      </c>
      <c r="M582" s="24">
        <v>900000</v>
      </c>
    </row>
    <row r="583" spans="1:13" s="48" customFormat="1" outlineLevel="2">
      <c r="A583" s="39" t="s">
        <v>257</v>
      </c>
      <c r="B583" s="40" t="s">
        <v>36</v>
      </c>
      <c r="C583" s="41" t="s">
        <v>260</v>
      </c>
      <c r="D583" s="40"/>
      <c r="E583" s="24"/>
      <c r="F583" s="39"/>
      <c r="G583" s="24">
        <v>900000</v>
      </c>
      <c r="H583" s="23">
        <v>5.0000000000000001E-3</v>
      </c>
      <c r="I583" s="39">
        <v>44362</v>
      </c>
      <c r="J583" s="39">
        <v>44377</v>
      </c>
      <c r="K583" s="24">
        <v>16</v>
      </c>
      <c r="L583" s="24">
        <v>197</v>
      </c>
      <c r="M583" s="24"/>
    </row>
    <row r="584" spans="1:13" s="48" customFormat="1" outlineLevel="2">
      <c r="A584" s="39" t="s">
        <v>257</v>
      </c>
      <c r="B584" s="40" t="s">
        <v>39</v>
      </c>
      <c r="C584" s="41" t="s">
        <v>262</v>
      </c>
      <c r="D584" s="40" t="s">
        <v>259</v>
      </c>
      <c r="E584" s="24">
        <v>70440000</v>
      </c>
      <c r="F584" s="39">
        <v>43951</v>
      </c>
      <c r="G584" s="24">
        <v>70440000</v>
      </c>
      <c r="H584" s="23">
        <v>5.0000000000000001E-3</v>
      </c>
      <c r="I584" s="39">
        <v>44348</v>
      </c>
      <c r="J584" s="39">
        <v>44377</v>
      </c>
      <c r="K584" s="24">
        <v>30</v>
      </c>
      <c r="L584" s="24">
        <v>28948</v>
      </c>
      <c r="M584" s="24">
        <v>70440000</v>
      </c>
    </row>
    <row r="585" spans="1:13" s="48" customFormat="1" outlineLevel="2">
      <c r="A585" s="39" t="s">
        <v>257</v>
      </c>
      <c r="B585" s="40" t="s">
        <v>40</v>
      </c>
      <c r="C585" s="41" t="s">
        <v>262</v>
      </c>
      <c r="D585" s="40" t="s">
        <v>259</v>
      </c>
      <c r="E585" s="24">
        <v>54250000</v>
      </c>
      <c r="F585" s="39">
        <v>44228</v>
      </c>
      <c r="G585" s="24">
        <v>54250000</v>
      </c>
      <c r="H585" s="23">
        <v>5.0000000000000001E-3</v>
      </c>
      <c r="I585" s="39">
        <v>44348</v>
      </c>
      <c r="J585" s="39">
        <v>44377</v>
      </c>
      <c r="K585" s="24">
        <v>30</v>
      </c>
      <c r="L585" s="24">
        <v>22295</v>
      </c>
      <c r="M585" s="24">
        <v>54250000</v>
      </c>
    </row>
    <row r="586" spans="1:13" s="48" customFormat="1" outlineLevel="2">
      <c r="A586" s="39" t="s">
        <v>257</v>
      </c>
      <c r="B586" s="40" t="s">
        <v>41</v>
      </c>
      <c r="C586" s="41" t="s">
        <v>304</v>
      </c>
      <c r="D586" s="40" t="s">
        <v>303</v>
      </c>
      <c r="E586" s="24">
        <v>40000000</v>
      </c>
      <c r="F586" s="39">
        <v>44229</v>
      </c>
      <c r="G586" s="24">
        <v>40000000</v>
      </c>
      <c r="H586" s="23">
        <v>5.0000000000000001E-3</v>
      </c>
      <c r="I586" s="39">
        <v>44348</v>
      </c>
      <c r="J586" s="39">
        <v>44377</v>
      </c>
      <c r="K586" s="24">
        <v>30</v>
      </c>
      <c r="L586" s="24">
        <v>16438</v>
      </c>
      <c r="M586" s="24">
        <v>40000000</v>
      </c>
    </row>
    <row r="587" spans="1:13" s="48" customFormat="1" outlineLevel="2">
      <c r="A587" s="39" t="s">
        <v>257</v>
      </c>
      <c r="B587" s="40" t="s">
        <v>42</v>
      </c>
      <c r="C587" s="41" t="s">
        <v>304</v>
      </c>
      <c r="D587" s="40" t="s">
        <v>303</v>
      </c>
      <c r="E587" s="24">
        <v>38000000</v>
      </c>
      <c r="F587" s="39">
        <v>44245</v>
      </c>
      <c r="G587" s="24">
        <v>38000000</v>
      </c>
      <c r="H587" s="23">
        <v>5.0000000000000001E-3</v>
      </c>
      <c r="I587" s="39">
        <v>44348</v>
      </c>
      <c r="J587" s="39">
        <v>44377</v>
      </c>
      <c r="K587" s="24">
        <v>30</v>
      </c>
      <c r="L587" s="24">
        <v>15616</v>
      </c>
      <c r="M587" s="24">
        <v>38000000</v>
      </c>
    </row>
    <row r="588" spans="1:13" s="48" customFormat="1" outlineLevel="2">
      <c r="A588" s="39" t="s">
        <v>257</v>
      </c>
      <c r="B588" s="40" t="s">
        <v>43</v>
      </c>
      <c r="C588" s="41" t="s">
        <v>89</v>
      </c>
      <c r="D588" s="40" t="s">
        <v>90</v>
      </c>
      <c r="E588" s="24">
        <v>66000000</v>
      </c>
      <c r="F588" s="39">
        <v>44270</v>
      </c>
      <c r="G588" s="24">
        <v>66000000</v>
      </c>
      <c r="H588" s="23">
        <v>5.0000000000000001E-3</v>
      </c>
      <c r="I588" s="39">
        <v>44348</v>
      </c>
      <c r="J588" s="39">
        <v>44377</v>
      </c>
      <c r="K588" s="24">
        <v>30</v>
      </c>
      <c r="L588" s="24">
        <v>27123</v>
      </c>
      <c r="M588" s="24">
        <v>66000000</v>
      </c>
    </row>
    <row r="589" spans="1:13" s="48" customFormat="1" outlineLevel="2">
      <c r="A589" s="39" t="s">
        <v>257</v>
      </c>
      <c r="B589" s="40" t="s">
        <v>44</v>
      </c>
      <c r="C589" s="41" t="s">
        <v>260</v>
      </c>
      <c r="D589" s="40" t="s">
        <v>261</v>
      </c>
      <c r="E589" s="24">
        <v>10800000</v>
      </c>
      <c r="F589" s="39">
        <v>44273</v>
      </c>
      <c r="G589" s="24">
        <v>10800000</v>
      </c>
      <c r="H589" s="23">
        <v>5.0000000000000001E-3</v>
      </c>
      <c r="I589" s="39">
        <v>44348</v>
      </c>
      <c r="J589" s="39">
        <v>44377</v>
      </c>
      <c r="K589" s="24">
        <v>30</v>
      </c>
      <c r="L589" s="24">
        <v>4438</v>
      </c>
      <c r="M589" s="24">
        <v>10800000</v>
      </c>
    </row>
    <row r="590" spans="1:13" s="48" customFormat="1" outlineLevel="2">
      <c r="A590" s="39" t="s">
        <v>257</v>
      </c>
      <c r="B590" s="40" t="s">
        <v>47</v>
      </c>
      <c r="C590" s="41" t="s">
        <v>260</v>
      </c>
      <c r="D590" s="40" t="s">
        <v>261</v>
      </c>
      <c r="E590" s="24">
        <v>1720000</v>
      </c>
      <c r="F590" s="39">
        <v>44285</v>
      </c>
      <c r="G590" s="24">
        <v>1720000</v>
      </c>
      <c r="H590" s="23">
        <v>5.0000000000000001E-3</v>
      </c>
      <c r="I590" s="39">
        <v>44348</v>
      </c>
      <c r="J590" s="39">
        <v>44377</v>
      </c>
      <c r="K590" s="24">
        <v>30</v>
      </c>
      <c r="L590" s="24">
        <v>707</v>
      </c>
      <c r="M590" s="24">
        <v>1720000</v>
      </c>
    </row>
    <row r="591" spans="1:13" s="48" customFormat="1" outlineLevel="2">
      <c r="A591" s="39" t="s">
        <v>257</v>
      </c>
      <c r="B591" s="40" t="s">
        <v>50</v>
      </c>
      <c r="C591" s="41" t="s">
        <v>324</v>
      </c>
      <c r="D591" s="40" t="s">
        <v>323</v>
      </c>
      <c r="E591" s="24">
        <v>28800000</v>
      </c>
      <c r="F591" s="39">
        <v>44271</v>
      </c>
      <c r="G591" s="24">
        <v>28320000</v>
      </c>
      <c r="H591" s="23">
        <v>5.0000000000000001E-3</v>
      </c>
      <c r="I591" s="39">
        <v>44348</v>
      </c>
      <c r="J591" s="39">
        <v>44361</v>
      </c>
      <c r="K591" s="24">
        <v>14</v>
      </c>
      <c r="L591" s="24">
        <v>5431</v>
      </c>
      <c r="M591" s="24">
        <v>28080000</v>
      </c>
    </row>
    <row r="592" spans="1:13" s="48" customFormat="1" outlineLevel="2">
      <c r="A592" s="39" t="s">
        <v>257</v>
      </c>
      <c r="B592" s="40" t="s">
        <v>50</v>
      </c>
      <c r="C592" s="41" t="s">
        <v>324</v>
      </c>
      <c r="D592" s="40"/>
      <c r="E592" s="24"/>
      <c r="F592" s="39"/>
      <c r="G592" s="24">
        <v>28080000</v>
      </c>
      <c r="H592" s="23">
        <v>5.0000000000000001E-3</v>
      </c>
      <c r="I592" s="39">
        <v>44362</v>
      </c>
      <c r="J592" s="39">
        <v>44377</v>
      </c>
      <c r="K592" s="24">
        <v>16</v>
      </c>
      <c r="L592" s="24">
        <v>6155</v>
      </c>
      <c r="M592" s="24"/>
    </row>
    <row r="593" spans="1:13" s="48" customFormat="1" outlineLevel="2">
      <c r="A593" s="39" t="s">
        <v>257</v>
      </c>
      <c r="B593" s="40" t="s">
        <v>51</v>
      </c>
      <c r="C593" s="41" t="s">
        <v>324</v>
      </c>
      <c r="D593" s="40" t="s">
        <v>323</v>
      </c>
      <c r="E593" s="24">
        <v>45270000</v>
      </c>
      <c r="F593" s="39">
        <v>44271</v>
      </c>
      <c r="G593" s="24">
        <v>44515500</v>
      </c>
      <c r="H593" s="23">
        <v>5.0000000000000001E-3</v>
      </c>
      <c r="I593" s="39">
        <v>44348</v>
      </c>
      <c r="J593" s="39">
        <v>44361</v>
      </c>
      <c r="K593" s="24">
        <v>14</v>
      </c>
      <c r="L593" s="24">
        <v>8537</v>
      </c>
      <c r="M593" s="24">
        <v>44138250</v>
      </c>
    </row>
    <row r="594" spans="1:13" s="48" customFormat="1" outlineLevel="2">
      <c r="A594" s="39" t="s">
        <v>257</v>
      </c>
      <c r="B594" s="40" t="s">
        <v>51</v>
      </c>
      <c r="C594" s="41" t="s">
        <v>324</v>
      </c>
      <c r="D594" s="40"/>
      <c r="E594" s="24"/>
      <c r="F594" s="39"/>
      <c r="G594" s="24">
        <v>44138250</v>
      </c>
      <c r="H594" s="23">
        <v>5.0000000000000001E-3</v>
      </c>
      <c r="I594" s="39">
        <v>44362</v>
      </c>
      <c r="J594" s="39">
        <v>44377</v>
      </c>
      <c r="K594" s="24">
        <v>16</v>
      </c>
      <c r="L594" s="24">
        <v>9674</v>
      </c>
      <c r="M594" s="24"/>
    </row>
    <row r="595" spans="1:13" s="48" customFormat="1" outlineLevel="2">
      <c r="A595" s="39" t="s">
        <v>257</v>
      </c>
      <c r="B595" s="40" t="s">
        <v>52</v>
      </c>
      <c r="C595" s="41" t="s">
        <v>324</v>
      </c>
      <c r="D595" s="40" t="s">
        <v>323</v>
      </c>
      <c r="E595" s="24">
        <v>32000000</v>
      </c>
      <c r="F595" s="39">
        <v>44271</v>
      </c>
      <c r="G595" s="24">
        <v>31238096</v>
      </c>
      <c r="H595" s="23">
        <v>5.0000000000000001E-3</v>
      </c>
      <c r="I595" s="39">
        <v>44348</v>
      </c>
      <c r="J595" s="39">
        <v>44361</v>
      </c>
      <c r="K595" s="24">
        <v>14</v>
      </c>
      <c r="L595" s="24">
        <v>5991</v>
      </c>
      <c r="M595" s="24">
        <v>30857144</v>
      </c>
    </row>
    <row r="596" spans="1:13" s="48" customFormat="1" outlineLevel="2">
      <c r="A596" s="39" t="s">
        <v>257</v>
      </c>
      <c r="B596" s="40" t="s">
        <v>52</v>
      </c>
      <c r="C596" s="41" t="s">
        <v>324</v>
      </c>
      <c r="D596" s="40"/>
      <c r="E596" s="24"/>
      <c r="F596" s="39"/>
      <c r="G596" s="24">
        <v>30857144</v>
      </c>
      <c r="H596" s="23">
        <v>5.0000000000000001E-3</v>
      </c>
      <c r="I596" s="39">
        <v>44362</v>
      </c>
      <c r="J596" s="39">
        <v>44377</v>
      </c>
      <c r="K596" s="24">
        <v>16</v>
      </c>
      <c r="L596" s="24">
        <v>6763</v>
      </c>
      <c r="M596" s="24"/>
    </row>
    <row r="597" spans="1:13" s="48" customFormat="1" outlineLevel="2">
      <c r="A597" s="39" t="s">
        <v>257</v>
      </c>
      <c r="B597" s="40" t="s">
        <v>53</v>
      </c>
      <c r="C597" s="41" t="s">
        <v>262</v>
      </c>
      <c r="D597" s="40" t="s">
        <v>259</v>
      </c>
      <c r="E597" s="24">
        <v>21700000</v>
      </c>
      <c r="F597" s="39">
        <v>44287</v>
      </c>
      <c r="G597" s="24">
        <v>21700000</v>
      </c>
      <c r="H597" s="23">
        <v>5.0000000000000001E-3</v>
      </c>
      <c r="I597" s="39">
        <v>44348</v>
      </c>
      <c r="J597" s="39">
        <v>44377</v>
      </c>
      <c r="K597" s="24">
        <v>30</v>
      </c>
      <c r="L597" s="24">
        <v>8918</v>
      </c>
      <c r="M597" s="24">
        <v>21700000</v>
      </c>
    </row>
    <row r="598" spans="1:13" s="48" customFormat="1" outlineLevel="2">
      <c r="A598" s="39" t="s">
        <v>257</v>
      </c>
      <c r="B598" s="40" t="s">
        <v>54</v>
      </c>
      <c r="C598" s="41" t="s">
        <v>248</v>
      </c>
      <c r="D598" s="40" t="s">
        <v>249</v>
      </c>
      <c r="E598" s="24">
        <v>182300000</v>
      </c>
      <c r="F598" s="39">
        <v>43959</v>
      </c>
      <c r="G598" s="24">
        <v>179630000</v>
      </c>
      <c r="H598" s="23">
        <v>5.0000000000000001E-3</v>
      </c>
      <c r="I598" s="39">
        <v>44348</v>
      </c>
      <c r="J598" s="39">
        <v>44361</v>
      </c>
      <c r="K598" s="24">
        <v>14</v>
      </c>
      <c r="L598" s="24">
        <v>34450</v>
      </c>
      <c r="M598" s="24">
        <v>177100000</v>
      </c>
    </row>
    <row r="599" spans="1:13" s="48" customFormat="1" outlineLevel="2">
      <c r="A599" s="39" t="s">
        <v>257</v>
      </c>
      <c r="B599" s="40" t="s">
        <v>54</v>
      </c>
      <c r="C599" s="41" t="s">
        <v>248</v>
      </c>
      <c r="D599" s="40"/>
      <c r="E599" s="24"/>
      <c r="F599" s="39"/>
      <c r="G599" s="24">
        <v>177100000</v>
      </c>
      <c r="H599" s="23">
        <v>5.0000000000000001E-3</v>
      </c>
      <c r="I599" s="39">
        <v>44362</v>
      </c>
      <c r="J599" s="39">
        <v>44377</v>
      </c>
      <c r="K599" s="24">
        <v>16</v>
      </c>
      <c r="L599" s="24">
        <v>38816</v>
      </c>
      <c r="M599" s="24"/>
    </row>
    <row r="600" spans="1:13" s="48" customFormat="1" outlineLevel="2">
      <c r="A600" s="39" t="s">
        <v>257</v>
      </c>
      <c r="B600" s="40" t="s">
        <v>57</v>
      </c>
      <c r="C600" s="41" t="s">
        <v>260</v>
      </c>
      <c r="D600" s="40" t="s">
        <v>261</v>
      </c>
      <c r="E600" s="24">
        <v>20900000</v>
      </c>
      <c r="F600" s="39">
        <v>44300</v>
      </c>
      <c r="G600" s="24">
        <v>19890000</v>
      </c>
      <c r="H600" s="23">
        <v>5.0000000000000001E-3</v>
      </c>
      <c r="I600" s="39">
        <v>44348</v>
      </c>
      <c r="J600" s="39">
        <v>44361</v>
      </c>
      <c r="K600" s="24">
        <v>14</v>
      </c>
      <c r="L600" s="24">
        <v>3815</v>
      </c>
      <c r="M600" s="24">
        <v>19500000</v>
      </c>
    </row>
    <row r="601" spans="1:13" s="48" customFormat="1" outlineLevel="2">
      <c r="A601" s="39" t="s">
        <v>257</v>
      </c>
      <c r="B601" s="40" t="s">
        <v>57</v>
      </c>
      <c r="C601" s="41" t="s">
        <v>260</v>
      </c>
      <c r="D601" s="40"/>
      <c r="E601" s="24"/>
      <c r="F601" s="39"/>
      <c r="G601" s="24">
        <v>19500000</v>
      </c>
      <c r="H601" s="23">
        <v>5.0000000000000001E-3</v>
      </c>
      <c r="I601" s="39">
        <v>44362</v>
      </c>
      <c r="J601" s="39">
        <v>44377</v>
      </c>
      <c r="K601" s="24">
        <v>16</v>
      </c>
      <c r="L601" s="24">
        <v>4274</v>
      </c>
      <c r="M601" s="24"/>
    </row>
    <row r="602" spans="1:13" s="48" customFormat="1" outlineLevel="2">
      <c r="A602" s="39" t="s">
        <v>257</v>
      </c>
      <c r="B602" s="40" t="s">
        <v>58</v>
      </c>
      <c r="C602" s="41" t="s">
        <v>262</v>
      </c>
      <c r="D602" s="40" t="s">
        <v>259</v>
      </c>
      <c r="E602" s="24">
        <v>21700000</v>
      </c>
      <c r="F602" s="39">
        <v>44319</v>
      </c>
      <c r="G602" s="24">
        <v>21700000</v>
      </c>
      <c r="H602" s="23">
        <v>5.0000000000000001E-3</v>
      </c>
      <c r="I602" s="39">
        <v>44348</v>
      </c>
      <c r="J602" s="39">
        <v>44377</v>
      </c>
      <c r="K602" s="24">
        <v>30</v>
      </c>
      <c r="L602" s="24">
        <v>8918</v>
      </c>
      <c r="M602" s="24">
        <v>21700000</v>
      </c>
    </row>
    <row r="603" spans="1:13" s="48" customFormat="1" outlineLevel="2">
      <c r="A603" s="39" t="s">
        <v>257</v>
      </c>
      <c r="B603" s="40" t="s">
        <v>99</v>
      </c>
      <c r="C603" s="41" t="s">
        <v>262</v>
      </c>
      <c r="D603" s="40" t="s">
        <v>259</v>
      </c>
      <c r="E603" s="24">
        <v>21700000</v>
      </c>
      <c r="F603" s="39">
        <v>44333</v>
      </c>
      <c r="G603" s="24">
        <v>21700000</v>
      </c>
      <c r="H603" s="23">
        <v>5.0000000000000001E-3</v>
      </c>
      <c r="I603" s="39">
        <v>44348</v>
      </c>
      <c r="J603" s="39">
        <v>44377</v>
      </c>
      <c r="K603" s="24">
        <v>30</v>
      </c>
      <c r="L603" s="24">
        <v>8918</v>
      </c>
      <c r="M603" s="24">
        <v>21700000</v>
      </c>
    </row>
    <row r="604" spans="1:13" s="48" customFormat="1" outlineLevel="2">
      <c r="A604" s="39" t="s">
        <v>257</v>
      </c>
      <c r="B604" s="40" t="s">
        <v>100</v>
      </c>
      <c r="C604" s="41" t="s">
        <v>260</v>
      </c>
      <c r="D604" s="40" t="s">
        <v>261</v>
      </c>
      <c r="E604" s="24">
        <v>12860000</v>
      </c>
      <c r="F604" s="39">
        <v>44326</v>
      </c>
      <c r="G604" s="24">
        <v>12597000</v>
      </c>
      <c r="H604" s="23">
        <v>5.0000000000000001E-3</v>
      </c>
      <c r="I604" s="39">
        <v>44348</v>
      </c>
      <c r="J604" s="39">
        <v>44361</v>
      </c>
      <c r="K604" s="24">
        <v>14</v>
      </c>
      <c r="L604" s="24">
        <v>2416</v>
      </c>
      <c r="M604" s="24">
        <v>12350000</v>
      </c>
    </row>
    <row r="605" spans="1:13" s="48" customFormat="1" outlineLevel="2">
      <c r="A605" s="39" t="s">
        <v>257</v>
      </c>
      <c r="B605" s="40" t="s">
        <v>100</v>
      </c>
      <c r="C605" s="41" t="s">
        <v>260</v>
      </c>
      <c r="D605" s="40"/>
      <c r="E605" s="24"/>
      <c r="F605" s="39"/>
      <c r="G605" s="24">
        <v>12350000</v>
      </c>
      <c r="H605" s="23">
        <v>5.0000000000000001E-3</v>
      </c>
      <c r="I605" s="39">
        <v>44362</v>
      </c>
      <c r="J605" s="39">
        <v>44377</v>
      </c>
      <c r="K605" s="24">
        <v>16</v>
      </c>
      <c r="L605" s="24">
        <v>2707</v>
      </c>
      <c r="M605" s="24"/>
    </row>
    <row r="606" spans="1:13" s="48" customFormat="1" outlineLevel="2">
      <c r="A606" s="39" t="s">
        <v>257</v>
      </c>
      <c r="B606" s="40" t="s">
        <v>101</v>
      </c>
      <c r="C606" s="41" t="s">
        <v>304</v>
      </c>
      <c r="D606" s="40" t="s">
        <v>303</v>
      </c>
      <c r="E606" s="24">
        <v>37500000</v>
      </c>
      <c r="F606" s="39">
        <v>44377</v>
      </c>
      <c r="G606" s="24">
        <v>37500000</v>
      </c>
      <c r="H606" s="23">
        <v>5.0000000000000001E-3</v>
      </c>
      <c r="I606" s="39">
        <v>44377</v>
      </c>
      <c r="J606" s="39">
        <v>44377</v>
      </c>
      <c r="K606" s="24">
        <v>1</v>
      </c>
      <c r="L606" s="24">
        <v>514</v>
      </c>
      <c r="M606" s="24">
        <v>37500000</v>
      </c>
    </row>
    <row r="607" spans="1:13" s="48" customFormat="1" outlineLevel="2">
      <c r="A607" s="39" t="s">
        <v>257</v>
      </c>
      <c r="B607" s="40" t="s">
        <v>102</v>
      </c>
      <c r="C607" s="41" t="s">
        <v>260</v>
      </c>
      <c r="D607" s="40" t="s">
        <v>261</v>
      </c>
      <c r="E607" s="24">
        <v>3350000</v>
      </c>
      <c r="F607" s="39">
        <v>44355</v>
      </c>
      <c r="G607" s="24">
        <v>3350000</v>
      </c>
      <c r="H607" s="23">
        <v>5.0000000000000001E-3</v>
      </c>
      <c r="I607" s="39">
        <v>44355</v>
      </c>
      <c r="J607" s="39">
        <v>44361</v>
      </c>
      <c r="K607" s="24">
        <v>7</v>
      </c>
      <c r="L607" s="24">
        <v>321</v>
      </c>
      <c r="M607" s="24">
        <v>3250000</v>
      </c>
    </row>
    <row r="608" spans="1:13" s="48" customFormat="1" outlineLevel="2">
      <c r="A608" s="39" t="s">
        <v>257</v>
      </c>
      <c r="B608" s="40" t="s">
        <v>102</v>
      </c>
      <c r="C608" s="41" t="s">
        <v>260</v>
      </c>
      <c r="D608" s="40"/>
      <c r="E608" s="24"/>
      <c r="F608" s="39"/>
      <c r="G608" s="24">
        <v>3250000</v>
      </c>
      <c r="H608" s="23">
        <v>5.0000000000000001E-3</v>
      </c>
      <c r="I608" s="39">
        <v>44362</v>
      </c>
      <c r="J608" s="39">
        <v>44377</v>
      </c>
      <c r="K608" s="24">
        <v>16</v>
      </c>
      <c r="L608" s="24">
        <v>712</v>
      </c>
      <c r="M608" s="24"/>
    </row>
    <row r="609" spans="1:13" s="48" customFormat="1" outlineLevel="2">
      <c r="A609" s="39" t="s">
        <v>257</v>
      </c>
      <c r="B609" s="40" t="s">
        <v>103</v>
      </c>
      <c r="C609" s="41" t="s">
        <v>262</v>
      </c>
      <c r="D609" s="40" t="s">
        <v>259</v>
      </c>
      <c r="E609" s="24">
        <v>680000</v>
      </c>
      <c r="F609" s="39">
        <v>44364</v>
      </c>
      <c r="G609" s="24">
        <v>680000</v>
      </c>
      <c r="H609" s="23">
        <v>5.0000000000000001E-3</v>
      </c>
      <c r="I609" s="39">
        <v>44364</v>
      </c>
      <c r="J609" s="39">
        <v>44377</v>
      </c>
      <c r="K609" s="24">
        <v>14</v>
      </c>
      <c r="L609" s="24">
        <v>130</v>
      </c>
      <c r="M609" s="24">
        <v>680000</v>
      </c>
    </row>
    <row r="610" spans="1:13" s="48" customFormat="1" outlineLevel="2">
      <c r="A610" s="39" t="s">
        <v>257</v>
      </c>
      <c r="B610" s="40" t="s">
        <v>104</v>
      </c>
      <c r="C610" s="41" t="s">
        <v>262</v>
      </c>
      <c r="D610" s="40" t="s">
        <v>259</v>
      </c>
      <c r="E610" s="24">
        <v>18080000</v>
      </c>
      <c r="F610" s="39">
        <v>44364</v>
      </c>
      <c r="G610" s="24">
        <v>18080000</v>
      </c>
      <c r="H610" s="23">
        <v>5.0000000000000001E-3</v>
      </c>
      <c r="I610" s="39">
        <v>44364</v>
      </c>
      <c r="J610" s="39">
        <v>44377</v>
      </c>
      <c r="K610" s="24">
        <v>14</v>
      </c>
      <c r="L610" s="24">
        <v>3467</v>
      </c>
      <c r="M610" s="24">
        <v>18080000</v>
      </c>
    </row>
    <row r="611" spans="1:13" s="48" customFormat="1" outlineLevel="2">
      <c r="A611" s="39" t="s">
        <v>257</v>
      </c>
      <c r="B611" s="40" t="s">
        <v>105</v>
      </c>
      <c r="C611" s="41" t="s">
        <v>262</v>
      </c>
      <c r="D611" s="40" t="s">
        <v>259</v>
      </c>
      <c r="E611" s="24">
        <v>5790000</v>
      </c>
      <c r="F611" s="39">
        <v>44364</v>
      </c>
      <c r="G611" s="24">
        <v>5790000</v>
      </c>
      <c r="H611" s="23">
        <v>5.0000000000000001E-3</v>
      </c>
      <c r="I611" s="39">
        <v>44364</v>
      </c>
      <c r="J611" s="39">
        <v>44377</v>
      </c>
      <c r="K611" s="24">
        <v>14</v>
      </c>
      <c r="L611" s="24">
        <v>1110</v>
      </c>
      <c r="M611" s="24">
        <v>5790000</v>
      </c>
    </row>
    <row r="612" spans="1:13" s="48" customFormat="1" outlineLevel="2">
      <c r="A612" s="39" t="s">
        <v>257</v>
      </c>
      <c r="B612" s="40" t="s">
        <v>59</v>
      </c>
      <c r="C612" s="41" t="s">
        <v>260</v>
      </c>
      <c r="D612" s="40" t="s">
        <v>261</v>
      </c>
      <c r="E612" s="24">
        <v>610000</v>
      </c>
      <c r="F612" s="39">
        <v>44085</v>
      </c>
      <c r="G612" s="24">
        <v>510000</v>
      </c>
      <c r="H612" s="23">
        <v>5.0000000000000001E-3</v>
      </c>
      <c r="I612" s="39">
        <v>44348</v>
      </c>
      <c r="J612" s="39">
        <v>44361</v>
      </c>
      <c r="K612" s="24">
        <v>14</v>
      </c>
      <c r="L612" s="24">
        <v>98</v>
      </c>
      <c r="M612" s="24">
        <v>500000</v>
      </c>
    </row>
    <row r="613" spans="1:13" s="48" customFormat="1" outlineLevel="2">
      <c r="A613" s="39" t="s">
        <v>257</v>
      </c>
      <c r="B613" s="40" t="s">
        <v>59</v>
      </c>
      <c r="C613" s="41" t="s">
        <v>260</v>
      </c>
      <c r="D613" s="40"/>
      <c r="E613" s="24"/>
      <c r="F613" s="39"/>
      <c r="G613" s="24">
        <v>500000</v>
      </c>
      <c r="H613" s="23">
        <v>5.0000000000000001E-3</v>
      </c>
      <c r="I613" s="39">
        <v>44362</v>
      </c>
      <c r="J613" s="39">
        <v>44377</v>
      </c>
      <c r="K613" s="24">
        <v>16</v>
      </c>
      <c r="L613" s="24">
        <v>110</v>
      </c>
      <c r="M613" s="24"/>
    </row>
    <row r="614" spans="1:13" s="48" customFormat="1" outlineLevel="2">
      <c r="A614" s="39" t="s">
        <v>257</v>
      </c>
      <c r="B614" s="40" t="s">
        <v>62</v>
      </c>
      <c r="C614" s="41" t="s">
        <v>262</v>
      </c>
      <c r="D614" s="40" t="s">
        <v>259</v>
      </c>
      <c r="E614" s="24">
        <v>18080000</v>
      </c>
      <c r="F614" s="39">
        <v>44102</v>
      </c>
      <c r="G614" s="24">
        <v>18080000</v>
      </c>
      <c r="H614" s="23">
        <v>5.0000000000000001E-3</v>
      </c>
      <c r="I614" s="39">
        <v>44348</v>
      </c>
      <c r="J614" s="39">
        <v>44377</v>
      </c>
      <c r="K614" s="24">
        <v>30</v>
      </c>
      <c r="L614" s="24">
        <v>7430</v>
      </c>
      <c r="M614" s="24">
        <v>18080000</v>
      </c>
    </row>
    <row r="615" spans="1:13" s="48" customFormat="1" outlineLevel="2">
      <c r="A615" s="39" t="s">
        <v>257</v>
      </c>
      <c r="B615" s="40" t="s">
        <v>63</v>
      </c>
      <c r="C615" s="41" t="s">
        <v>262</v>
      </c>
      <c r="D615" s="40" t="s">
        <v>259</v>
      </c>
      <c r="E615" s="24">
        <v>50630000</v>
      </c>
      <c r="F615" s="39">
        <v>44131</v>
      </c>
      <c r="G615" s="24">
        <v>50630000</v>
      </c>
      <c r="H615" s="23">
        <v>5.0000000000000001E-3</v>
      </c>
      <c r="I615" s="39">
        <v>44348</v>
      </c>
      <c r="J615" s="39">
        <v>44377</v>
      </c>
      <c r="K615" s="24">
        <v>30</v>
      </c>
      <c r="L615" s="24">
        <v>20807</v>
      </c>
      <c r="M615" s="24">
        <v>50630000</v>
      </c>
    </row>
    <row r="616" spans="1:13" s="48" customFormat="1" outlineLevel="2">
      <c r="A616" s="39" t="s">
        <v>257</v>
      </c>
      <c r="B616" s="40" t="s">
        <v>64</v>
      </c>
      <c r="C616" s="41" t="s">
        <v>260</v>
      </c>
      <c r="D616" s="40" t="s">
        <v>261</v>
      </c>
      <c r="E616" s="24">
        <v>710000</v>
      </c>
      <c r="F616" s="39">
        <v>44110</v>
      </c>
      <c r="G616" s="24">
        <v>612000</v>
      </c>
      <c r="H616" s="23">
        <v>5.0000000000000001E-3</v>
      </c>
      <c r="I616" s="39">
        <v>44348</v>
      </c>
      <c r="J616" s="39">
        <v>44361</v>
      </c>
      <c r="K616" s="24">
        <v>14</v>
      </c>
      <c r="L616" s="24">
        <v>117</v>
      </c>
      <c r="M616" s="24">
        <v>600000</v>
      </c>
    </row>
    <row r="617" spans="1:13" s="48" customFormat="1" outlineLevel="2">
      <c r="A617" s="39" t="s">
        <v>257</v>
      </c>
      <c r="B617" s="40" t="s">
        <v>64</v>
      </c>
      <c r="C617" s="41" t="s">
        <v>260</v>
      </c>
      <c r="D617" s="40"/>
      <c r="E617" s="24"/>
      <c r="F617" s="39"/>
      <c r="G617" s="24">
        <v>600000</v>
      </c>
      <c r="H617" s="23">
        <v>5.0000000000000001E-3</v>
      </c>
      <c r="I617" s="39">
        <v>44362</v>
      </c>
      <c r="J617" s="39">
        <v>44377</v>
      </c>
      <c r="K617" s="24">
        <v>16</v>
      </c>
      <c r="L617" s="24">
        <v>132</v>
      </c>
      <c r="M617" s="24"/>
    </row>
    <row r="618" spans="1:13" s="48" customFormat="1" outlineLevel="2">
      <c r="A618" s="39" t="s">
        <v>257</v>
      </c>
      <c r="B618" s="40" t="s">
        <v>65</v>
      </c>
      <c r="C618" s="41" t="s">
        <v>260</v>
      </c>
      <c r="D618" s="40" t="s">
        <v>261</v>
      </c>
      <c r="E618" s="24">
        <v>830000</v>
      </c>
      <c r="F618" s="39">
        <v>44137</v>
      </c>
      <c r="G618" s="24">
        <v>714000</v>
      </c>
      <c r="H618" s="23">
        <v>5.0000000000000001E-3</v>
      </c>
      <c r="I618" s="39">
        <v>44348</v>
      </c>
      <c r="J618" s="39">
        <v>44361</v>
      </c>
      <c r="K618" s="24">
        <v>14</v>
      </c>
      <c r="L618" s="24">
        <v>137</v>
      </c>
      <c r="M618" s="24">
        <v>700000</v>
      </c>
    </row>
    <row r="619" spans="1:13" s="48" customFormat="1" outlineLevel="2">
      <c r="A619" s="39" t="s">
        <v>257</v>
      </c>
      <c r="B619" s="40" t="s">
        <v>65</v>
      </c>
      <c r="C619" s="41" t="s">
        <v>260</v>
      </c>
      <c r="D619" s="40"/>
      <c r="E619" s="24"/>
      <c r="F619" s="39"/>
      <c r="G619" s="24">
        <v>700000</v>
      </c>
      <c r="H619" s="23">
        <v>5.0000000000000001E-3</v>
      </c>
      <c r="I619" s="39">
        <v>44362</v>
      </c>
      <c r="J619" s="39">
        <v>44377</v>
      </c>
      <c r="K619" s="24">
        <v>16</v>
      </c>
      <c r="L619" s="24">
        <v>153</v>
      </c>
      <c r="M619" s="24"/>
    </row>
    <row r="620" spans="1:13" s="48" customFormat="1" outlineLevel="2">
      <c r="A620" s="39" t="s">
        <v>257</v>
      </c>
      <c r="B620" s="40" t="s">
        <v>68</v>
      </c>
      <c r="C620" s="41" t="s">
        <v>260</v>
      </c>
      <c r="D620" s="40" t="s">
        <v>261</v>
      </c>
      <c r="E620" s="24">
        <v>180000</v>
      </c>
      <c r="F620" s="39">
        <v>44141</v>
      </c>
      <c r="G620" s="24">
        <v>153000</v>
      </c>
      <c r="H620" s="23">
        <v>5.0000000000000001E-3</v>
      </c>
      <c r="I620" s="39">
        <v>44348</v>
      </c>
      <c r="J620" s="39">
        <v>44361</v>
      </c>
      <c r="K620" s="24">
        <v>14</v>
      </c>
      <c r="L620" s="24">
        <v>29</v>
      </c>
      <c r="M620" s="24">
        <v>150000</v>
      </c>
    </row>
    <row r="621" spans="1:13" s="48" customFormat="1" outlineLevel="2">
      <c r="A621" s="39" t="s">
        <v>257</v>
      </c>
      <c r="B621" s="40" t="s">
        <v>68</v>
      </c>
      <c r="C621" s="41" t="s">
        <v>260</v>
      </c>
      <c r="D621" s="40"/>
      <c r="E621" s="24"/>
      <c r="F621" s="39"/>
      <c r="G621" s="24">
        <v>150000</v>
      </c>
      <c r="H621" s="23">
        <v>5.0000000000000001E-3</v>
      </c>
      <c r="I621" s="39">
        <v>44362</v>
      </c>
      <c r="J621" s="39">
        <v>44377</v>
      </c>
      <c r="K621" s="24">
        <v>16</v>
      </c>
      <c r="L621" s="24">
        <v>33</v>
      </c>
      <c r="M621" s="24"/>
    </row>
    <row r="622" spans="1:13" s="48" customFormat="1" outlineLevel="1">
      <c r="A622" s="42" t="s">
        <v>263</v>
      </c>
      <c r="B622" s="43"/>
      <c r="C622" s="44"/>
      <c r="D622" s="43"/>
      <c r="E622" s="45">
        <v>838300000</v>
      </c>
      <c r="F622" s="46"/>
      <c r="G622" s="45"/>
      <c r="H622" s="47"/>
      <c r="I622" s="46"/>
      <c r="J622" s="46"/>
      <c r="K622" s="45"/>
      <c r="L622" s="45">
        <v>319861</v>
      </c>
      <c r="M622" s="45">
        <v>826365394</v>
      </c>
    </row>
    <row r="623" spans="1:13" s="48" customFormat="1" outlineLevel="2">
      <c r="A623" s="39" t="s">
        <v>264</v>
      </c>
      <c r="B623" s="40" t="s">
        <v>16</v>
      </c>
      <c r="C623" s="41" t="s">
        <v>27</v>
      </c>
      <c r="D623" s="40" t="s">
        <v>28</v>
      </c>
      <c r="E623" s="24">
        <v>26000000</v>
      </c>
      <c r="F623" s="39">
        <v>44140</v>
      </c>
      <c r="G623" s="24">
        <v>26000000</v>
      </c>
      <c r="H623" s="23">
        <v>5.0000000000000001E-3</v>
      </c>
      <c r="I623" s="39">
        <v>44348</v>
      </c>
      <c r="J623" s="39">
        <v>44377</v>
      </c>
      <c r="K623" s="24">
        <v>30</v>
      </c>
      <c r="L623" s="24">
        <v>10685</v>
      </c>
      <c r="M623" s="24">
        <v>26000000</v>
      </c>
    </row>
    <row r="624" spans="1:13" s="48" customFormat="1" outlineLevel="2">
      <c r="A624" s="39" t="s">
        <v>264</v>
      </c>
      <c r="B624" s="40" t="s">
        <v>39</v>
      </c>
      <c r="C624" s="41" t="s">
        <v>27</v>
      </c>
      <c r="D624" s="40" t="s">
        <v>28</v>
      </c>
      <c r="E624" s="24">
        <v>10250000</v>
      </c>
      <c r="F624" s="39">
        <v>44140</v>
      </c>
      <c r="G624" s="24">
        <v>10250000</v>
      </c>
      <c r="H624" s="23">
        <v>5.0000000000000001E-3</v>
      </c>
      <c r="I624" s="39">
        <v>44348</v>
      </c>
      <c r="J624" s="39">
        <v>44377</v>
      </c>
      <c r="K624" s="24">
        <v>30</v>
      </c>
      <c r="L624" s="24">
        <v>4212</v>
      </c>
      <c r="M624" s="24">
        <v>10250000</v>
      </c>
    </row>
    <row r="625" spans="1:13" s="48" customFormat="1" outlineLevel="2">
      <c r="A625" s="39" t="s">
        <v>264</v>
      </c>
      <c r="B625" s="40" t="s">
        <v>54</v>
      </c>
      <c r="C625" s="41" t="s">
        <v>27</v>
      </c>
      <c r="D625" s="40" t="s">
        <v>28</v>
      </c>
      <c r="E625" s="24">
        <v>3960000</v>
      </c>
      <c r="F625" s="39">
        <v>44148</v>
      </c>
      <c r="G625" s="24">
        <v>3960000</v>
      </c>
      <c r="H625" s="23">
        <v>5.0000000000000001E-3</v>
      </c>
      <c r="I625" s="39">
        <v>44348</v>
      </c>
      <c r="J625" s="39">
        <v>44377</v>
      </c>
      <c r="K625" s="24">
        <v>30</v>
      </c>
      <c r="L625" s="24">
        <v>1627</v>
      </c>
      <c r="M625" s="24">
        <v>3960000</v>
      </c>
    </row>
    <row r="626" spans="1:13" s="48" customFormat="1" outlineLevel="2">
      <c r="A626" s="39" t="s">
        <v>264</v>
      </c>
      <c r="B626" s="40" t="s">
        <v>59</v>
      </c>
      <c r="C626" s="41" t="s">
        <v>27</v>
      </c>
      <c r="D626" s="40" t="s">
        <v>28</v>
      </c>
      <c r="E626" s="24">
        <v>8000000</v>
      </c>
      <c r="F626" s="39">
        <v>44244</v>
      </c>
      <c r="G626" s="24">
        <v>8000000</v>
      </c>
      <c r="H626" s="23">
        <v>5.0000000000000001E-3</v>
      </c>
      <c r="I626" s="39">
        <v>44348</v>
      </c>
      <c r="J626" s="39">
        <v>44377</v>
      </c>
      <c r="K626" s="24">
        <v>30</v>
      </c>
      <c r="L626" s="24">
        <v>3288</v>
      </c>
      <c r="M626" s="24">
        <v>8000000</v>
      </c>
    </row>
    <row r="627" spans="1:13" s="48" customFormat="1" outlineLevel="1">
      <c r="A627" s="42" t="s">
        <v>265</v>
      </c>
      <c r="B627" s="43"/>
      <c r="C627" s="44"/>
      <c r="D627" s="43"/>
      <c r="E627" s="45">
        <v>48210000</v>
      </c>
      <c r="F627" s="46"/>
      <c r="G627" s="45"/>
      <c r="H627" s="47"/>
      <c r="I627" s="46"/>
      <c r="J627" s="46"/>
      <c r="K627" s="45"/>
      <c r="L627" s="45">
        <v>19812</v>
      </c>
      <c r="M627" s="45">
        <v>48210000</v>
      </c>
    </row>
    <row r="628" spans="1:13" s="48" customFormat="1" outlineLevel="2">
      <c r="A628" s="39" t="s">
        <v>266</v>
      </c>
      <c r="B628" s="40" t="s">
        <v>16</v>
      </c>
      <c r="C628" s="41" t="s">
        <v>128</v>
      </c>
      <c r="D628" s="40" t="s">
        <v>129</v>
      </c>
      <c r="E628" s="24">
        <v>50000000</v>
      </c>
      <c r="F628" s="39">
        <v>44099</v>
      </c>
      <c r="G628" s="24">
        <v>50000000</v>
      </c>
      <c r="H628" s="23">
        <v>5.0000000000000001E-3</v>
      </c>
      <c r="I628" s="39">
        <v>44348</v>
      </c>
      <c r="J628" s="39">
        <v>44377</v>
      </c>
      <c r="K628" s="24">
        <v>30</v>
      </c>
      <c r="L628" s="24">
        <v>20548</v>
      </c>
      <c r="M628" s="24">
        <v>50000000</v>
      </c>
    </row>
    <row r="629" spans="1:13" s="48" customFormat="1" outlineLevel="2">
      <c r="A629" s="39" t="s">
        <v>266</v>
      </c>
      <c r="B629" s="40" t="s">
        <v>39</v>
      </c>
      <c r="C629" s="41" t="s">
        <v>128</v>
      </c>
      <c r="D629" s="40" t="s">
        <v>129</v>
      </c>
      <c r="E629" s="24">
        <v>30000000</v>
      </c>
      <c r="F629" s="39">
        <v>44232</v>
      </c>
      <c r="G629" s="24">
        <v>30000000</v>
      </c>
      <c r="H629" s="23">
        <v>5.0000000000000001E-3</v>
      </c>
      <c r="I629" s="39">
        <v>44348</v>
      </c>
      <c r="J629" s="39">
        <v>44377</v>
      </c>
      <c r="K629" s="24">
        <v>30</v>
      </c>
      <c r="L629" s="24">
        <v>12329</v>
      </c>
      <c r="M629" s="24">
        <v>30000000</v>
      </c>
    </row>
    <row r="630" spans="1:13" s="48" customFormat="1" outlineLevel="1">
      <c r="A630" s="42" t="s">
        <v>267</v>
      </c>
      <c r="B630" s="43"/>
      <c r="C630" s="44"/>
      <c r="D630" s="43"/>
      <c r="E630" s="45">
        <v>80000000</v>
      </c>
      <c r="F630" s="46"/>
      <c r="G630" s="45"/>
      <c r="H630" s="47"/>
      <c r="I630" s="46"/>
      <c r="J630" s="46"/>
      <c r="K630" s="45"/>
      <c r="L630" s="45">
        <v>32877</v>
      </c>
      <c r="M630" s="45">
        <v>80000000</v>
      </c>
    </row>
    <row r="631" spans="1:13" s="48" customFormat="1" outlineLevel="2">
      <c r="A631" s="39" t="s">
        <v>268</v>
      </c>
      <c r="B631" s="40" t="s">
        <v>16</v>
      </c>
      <c r="C631" s="41" t="s">
        <v>20</v>
      </c>
      <c r="D631" s="40" t="s">
        <v>21</v>
      </c>
      <c r="E631" s="24">
        <v>43200000</v>
      </c>
      <c r="F631" s="39">
        <v>43937</v>
      </c>
      <c r="G631" s="24">
        <v>43200000</v>
      </c>
      <c r="H631" s="23">
        <v>3.0000000000000001E-3</v>
      </c>
      <c r="I631" s="39">
        <v>44348</v>
      </c>
      <c r="J631" s="39">
        <v>44377</v>
      </c>
      <c r="K631" s="24">
        <v>30</v>
      </c>
      <c r="L631" s="24">
        <v>10652</v>
      </c>
      <c r="M631" s="24">
        <v>43200000</v>
      </c>
    </row>
    <row r="632" spans="1:13" s="48" customFormat="1" outlineLevel="2">
      <c r="A632" s="39" t="s">
        <v>268</v>
      </c>
      <c r="B632" s="40" t="s">
        <v>39</v>
      </c>
      <c r="C632" s="41" t="s">
        <v>20</v>
      </c>
      <c r="D632" s="40" t="s">
        <v>21</v>
      </c>
      <c r="E632" s="24">
        <v>330000000</v>
      </c>
      <c r="F632" s="39">
        <v>44013</v>
      </c>
      <c r="G632" s="24">
        <v>330000000</v>
      </c>
      <c r="H632" s="23">
        <v>3.0000000000000001E-3</v>
      </c>
      <c r="I632" s="39">
        <v>44348</v>
      </c>
      <c r="J632" s="39">
        <v>44377</v>
      </c>
      <c r="K632" s="24">
        <v>30</v>
      </c>
      <c r="L632" s="24">
        <v>81370</v>
      </c>
      <c r="M632" s="24">
        <v>330000000</v>
      </c>
    </row>
    <row r="633" spans="1:13" s="48" customFormat="1" outlineLevel="2">
      <c r="A633" s="39" t="s">
        <v>268</v>
      </c>
      <c r="B633" s="40" t="s">
        <v>54</v>
      </c>
      <c r="C633" s="41" t="s">
        <v>20</v>
      </c>
      <c r="D633" s="40" t="s">
        <v>21</v>
      </c>
      <c r="E633" s="24">
        <v>120000000</v>
      </c>
      <c r="F633" s="39">
        <v>44049</v>
      </c>
      <c r="G633" s="24">
        <v>120000000</v>
      </c>
      <c r="H633" s="23">
        <v>3.0000000000000001E-3</v>
      </c>
      <c r="I633" s="39">
        <v>44348</v>
      </c>
      <c r="J633" s="39">
        <v>44377</v>
      </c>
      <c r="K633" s="24">
        <v>30</v>
      </c>
      <c r="L633" s="24">
        <v>29589</v>
      </c>
      <c r="M633" s="24">
        <v>120000000</v>
      </c>
    </row>
    <row r="634" spans="1:13" s="48" customFormat="1" outlineLevel="2">
      <c r="A634" s="39" t="s">
        <v>268</v>
      </c>
      <c r="B634" s="40" t="s">
        <v>59</v>
      </c>
      <c r="C634" s="41" t="s">
        <v>20</v>
      </c>
      <c r="D634" s="40" t="s">
        <v>21</v>
      </c>
      <c r="E634" s="24">
        <v>39840000</v>
      </c>
      <c r="F634" s="39">
        <v>44111</v>
      </c>
      <c r="G634" s="24">
        <v>39840000</v>
      </c>
      <c r="H634" s="23">
        <v>3.0000000000000001E-3</v>
      </c>
      <c r="I634" s="39">
        <v>44348</v>
      </c>
      <c r="J634" s="39">
        <v>44377</v>
      </c>
      <c r="K634" s="24">
        <v>30</v>
      </c>
      <c r="L634" s="24">
        <v>9824</v>
      </c>
      <c r="M634" s="24">
        <v>39840000</v>
      </c>
    </row>
    <row r="635" spans="1:13" s="48" customFormat="1" outlineLevel="2">
      <c r="A635" s="39" t="s">
        <v>268</v>
      </c>
      <c r="B635" s="40" t="s">
        <v>62</v>
      </c>
      <c r="C635" s="41" t="s">
        <v>20</v>
      </c>
      <c r="D635" s="40" t="s">
        <v>21</v>
      </c>
      <c r="E635" s="24">
        <v>252000000</v>
      </c>
      <c r="F635" s="39">
        <v>44231</v>
      </c>
      <c r="G635" s="24">
        <v>252000000</v>
      </c>
      <c r="H635" s="23">
        <v>3.0000000000000001E-3</v>
      </c>
      <c r="I635" s="39">
        <v>44348</v>
      </c>
      <c r="J635" s="39">
        <v>44377</v>
      </c>
      <c r="K635" s="24">
        <v>30</v>
      </c>
      <c r="L635" s="24">
        <v>62137</v>
      </c>
      <c r="M635" s="24">
        <v>252000000</v>
      </c>
    </row>
    <row r="636" spans="1:13" s="48" customFormat="1" outlineLevel="2">
      <c r="A636" s="39" t="s">
        <v>268</v>
      </c>
      <c r="B636" s="40" t="s">
        <v>63</v>
      </c>
      <c r="C636" s="41" t="s">
        <v>280</v>
      </c>
      <c r="D636" s="40" t="s">
        <v>281</v>
      </c>
      <c r="E636" s="24">
        <v>250000000</v>
      </c>
      <c r="F636" s="39">
        <v>44228</v>
      </c>
      <c r="G636" s="24">
        <v>250000000</v>
      </c>
      <c r="H636" s="23">
        <v>3.0000000000000001E-3</v>
      </c>
      <c r="I636" s="39">
        <v>44348</v>
      </c>
      <c r="J636" s="39">
        <v>44377</v>
      </c>
      <c r="K636" s="24">
        <v>30</v>
      </c>
      <c r="L636" s="24">
        <v>61644</v>
      </c>
      <c r="M636" s="24">
        <v>250000000</v>
      </c>
    </row>
    <row r="637" spans="1:13" s="48" customFormat="1" outlineLevel="2">
      <c r="A637" s="39" t="s">
        <v>268</v>
      </c>
      <c r="B637" s="40" t="s">
        <v>64</v>
      </c>
      <c r="C637" s="41" t="s">
        <v>280</v>
      </c>
      <c r="D637" s="40" t="s">
        <v>281</v>
      </c>
      <c r="E637" s="24">
        <v>50000000</v>
      </c>
      <c r="F637" s="39">
        <v>44347</v>
      </c>
      <c r="G637" s="24">
        <v>50000000</v>
      </c>
      <c r="H637" s="23">
        <v>3.0000000000000001E-3</v>
      </c>
      <c r="I637" s="39">
        <v>44348</v>
      </c>
      <c r="J637" s="39">
        <v>44377</v>
      </c>
      <c r="K637" s="24">
        <v>30</v>
      </c>
      <c r="L637" s="24">
        <v>12329</v>
      </c>
      <c r="M637" s="24">
        <v>50000000</v>
      </c>
    </row>
    <row r="638" spans="1:13" s="48" customFormat="1" outlineLevel="1">
      <c r="A638" s="42" t="s">
        <v>269</v>
      </c>
      <c r="B638" s="43"/>
      <c r="C638" s="44"/>
      <c r="D638" s="43"/>
      <c r="E638" s="45">
        <v>1085040000</v>
      </c>
      <c r="F638" s="46"/>
      <c r="G638" s="45"/>
      <c r="H638" s="47"/>
      <c r="I638" s="46"/>
      <c r="J638" s="46"/>
      <c r="K638" s="45"/>
      <c r="L638" s="45">
        <v>267545</v>
      </c>
      <c r="M638" s="45">
        <v>1085040000</v>
      </c>
    </row>
    <row r="639" spans="1:13" s="48" customFormat="1" outlineLevel="2">
      <c r="A639" s="39" t="s">
        <v>343</v>
      </c>
      <c r="B639" s="40" t="s">
        <v>16</v>
      </c>
      <c r="C639" s="41" t="s">
        <v>246</v>
      </c>
      <c r="D639" s="40" t="s">
        <v>247</v>
      </c>
      <c r="E639" s="24">
        <v>1230000</v>
      </c>
      <c r="F639" s="39">
        <v>44308</v>
      </c>
      <c r="G639" s="24">
        <v>1230000</v>
      </c>
      <c r="H639" s="23">
        <v>5.0000000000000001E-3</v>
      </c>
      <c r="I639" s="39">
        <v>44348</v>
      </c>
      <c r="J639" s="39">
        <v>44377</v>
      </c>
      <c r="K639" s="24">
        <v>30</v>
      </c>
      <c r="L639" s="24">
        <v>505</v>
      </c>
      <c r="M639" s="24">
        <v>1230000</v>
      </c>
    </row>
    <row r="640" spans="1:13" s="48" customFormat="1" outlineLevel="1">
      <c r="A640" s="42" t="s">
        <v>342</v>
      </c>
      <c r="B640" s="43"/>
      <c r="C640" s="44"/>
      <c r="D640" s="43"/>
      <c r="E640" s="45">
        <v>1230000</v>
      </c>
      <c r="F640" s="46"/>
      <c r="G640" s="45"/>
      <c r="H640" s="47"/>
      <c r="I640" s="46"/>
      <c r="J640" s="46"/>
      <c r="K640" s="45"/>
      <c r="L640" s="45">
        <v>505</v>
      </c>
      <c r="M640" s="45">
        <v>1230000</v>
      </c>
    </row>
    <row r="641" spans="1:13" s="48" customFormat="1" outlineLevel="2">
      <c r="A641" s="39" t="s">
        <v>270</v>
      </c>
      <c r="B641" s="40" t="s">
        <v>16</v>
      </c>
      <c r="C641" s="41" t="s">
        <v>271</v>
      </c>
      <c r="D641" s="40" t="s">
        <v>272</v>
      </c>
      <c r="E641" s="24">
        <v>126000000</v>
      </c>
      <c r="F641" s="39">
        <v>43804</v>
      </c>
      <c r="G641" s="24">
        <v>126000000</v>
      </c>
      <c r="H641" s="23">
        <v>5.0000000000000001E-3</v>
      </c>
      <c r="I641" s="39">
        <v>44348</v>
      </c>
      <c r="J641" s="39">
        <v>44377</v>
      </c>
      <c r="K641" s="24">
        <v>30</v>
      </c>
      <c r="L641" s="24">
        <v>51781</v>
      </c>
      <c r="M641" s="24">
        <v>126000000</v>
      </c>
    </row>
    <row r="642" spans="1:13" s="48" customFormat="1" outlineLevel="2">
      <c r="A642" s="39" t="s">
        <v>270</v>
      </c>
      <c r="B642" s="40" t="s">
        <v>19</v>
      </c>
      <c r="C642" s="41" t="s">
        <v>273</v>
      </c>
      <c r="D642" s="40" t="s">
        <v>272</v>
      </c>
      <c r="E642" s="24">
        <v>46600000</v>
      </c>
      <c r="F642" s="39">
        <v>43866</v>
      </c>
      <c r="G642" s="24">
        <v>46600000</v>
      </c>
      <c r="H642" s="23">
        <v>5.0000000000000001E-3</v>
      </c>
      <c r="I642" s="39">
        <v>44348</v>
      </c>
      <c r="J642" s="39">
        <v>44377</v>
      </c>
      <c r="K642" s="24">
        <v>30</v>
      </c>
      <c r="L642" s="24">
        <v>19151</v>
      </c>
      <c r="M642" s="24">
        <v>46600000</v>
      </c>
    </row>
    <row r="643" spans="1:13" s="48" customFormat="1" outlineLevel="2">
      <c r="A643" s="39" t="s">
        <v>270</v>
      </c>
      <c r="B643" s="40" t="s">
        <v>145</v>
      </c>
      <c r="C643" s="41" t="s">
        <v>115</v>
      </c>
      <c r="D643" s="40" t="s">
        <v>116</v>
      </c>
      <c r="E643" s="24">
        <v>41000000</v>
      </c>
      <c r="F643" s="39">
        <v>44337</v>
      </c>
      <c r="G643" s="24">
        <v>41000000</v>
      </c>
      <c r="H643" s="23">
        <v>5.0000000000000001E-3</v>
      </c>
      <c r="I643" s="39">
        <v>44348</v>
      </c>
      <c r="J643" s="39">
        <v>44377</v>
      </c>
      <c r="K643" s="24">
        <v>30</v>
      </c>
      <c r="L643" s="24">
        <v>16849</v>
      </c>
      <c r="M643" s="24">
        <v>41000000</v>
      </c>
    </row>
    <row r="644" spans="1:13" s="48" customFormat="1" outlineLevel="2">
      <c r="A644" s="39" t="s">
        <v>270</v>
      </c>
      <c r="B644" s="40" t="s">
        <v>148</v>
      </c>
      <c r="C644" s="41" t="s">
        <v>143</v>
      </c>
      <c r="D644" s="40" t="s">
        <v>144</v>
      </c>
      <c r="E644" s="24">
        <v>2900000</v>
      </c>
      <c r="F644" s="39">
        <v>44319</v>
      </c>
      <c r="G644" s="24">
        <v>2900000</v>
      </c>
      <c r="H644" s="23">
        <v>5.0000000000000001E-3</v>
      </c>
      <c r="I644" s="39">
        <v>44348</v>
      </c>
      <c r="J644" s="39">
        <v>44377</v>
      </c>
      <c r="K644" s="24">
        <v>30</v>
      </c>
      <c r="L644" s="24">
        <v>1192</v>
      </c>
      <c r="M644" s="24">
        <v>2900000</v>
      </c>
    </row>
    <row r="645" spans="1:13" s="48" customFormat="1" outlineLevel="2">
      <c r="A645" s="39" t="s">
        <v>270</v>
      </c>
      <c r="B645" s="40" t="s">
        <v>151</v>
      </c>
      <c r="C645" s="41" t="s">
        <v>143</v>
      </c>
      <c r="D645" s="40" t="s">
        <v>144</v>
      </c>
      <c r="E645" s="24">
        <v>6800000</v>
      </c>
      <c r="F645" s="39">
        <v>44327</v>
      </c>
      <c r="G645" s="24">
        <v>6800000</v>
      </c>
      <c r="H645" s="23">
        <v>5.0000000000000001E-3</v>
      </c>
      <c r="I645" s="39">
        <v>44348</v>
      </c>
      <c r="J645" s="39">
        <v>44377</v>
      </c>
      <c r="K645" s="24">
        <v>30</v>
      </c>
      <c r="L645" s="24">
        <v>2795</v>
      </c>
      <c r="M645" s="24">
        <v>6800000</v>
      </c>
    </row>
    <row r="646" spans="1:13" s="48" customFormat="1" outlineLevel="2">
      <c r="A646" s="39" t="s">
        <v>270</v>
      </c>
      <c r="B646" s="40" t="s">
        <v>152</v>
      </c>
      <c r="C646" s="41" t="s">
        <v>143</v>
      </c>
      <c r="D646" s="40" t="s">
        <v>144</v>
      </c>
      <c r="E646" s="24">
        <v>1620000</v>
      </c>
      <c r="F646" s="39">
        <v>44347</v>
      </c>
      <c r="G646" s="24">
        <v>1620000</v>
      </c>
      <c r="H646" s="23">
        <v>5.0000000000000001E-3</v>
      </c>
      <c r="I646" s="39">
        <v>44348</v>
      </c>
      <c r="J646" s="39">
        <v>44377</v>
      </c>
      <c r="K646" s="24">
        <v>30</v>
      </c>
      <c r="L646" s="24">
        <v>666</v>
      </c>
      <c r="M646" s="24">
        <v>1620000</v>
      </c>
    </row>
    <row r="647" spans="1:13" s="48" customFormat="1" outlineLevel="2">
      <c r="A647" s="39" t="s">
        <v>270</v>
      </c>
      <c r="B647" s="40" t="s">
        <v>153</v>
      </c>
      <c r="C647" s="41" t="s">
        <v>273</v>
      </c>
      <c r="D647" s="40" t="s">
        <v>272</v>
      </c>
      <c r="E647" s="24">
        <v>1500000</v>
      </c>
      <c r="F647" s="39">
        <v>44321</v>
      </c>
      <c r="G647" s="24">
        <v>1500000</v>
      </c>
      <c r="H647" s="23">
        <v>5.0000000000000001E-3</v>
      </c>
      <c r="I647" s="39">
        <v>44348</v>
      </c>
      <c r="J647" s="39">
        <v>44377</v>
      </c>
      <c r="K647" s="24">
        <v>30</v>
      </c>
      <c r="L647" s="24">
        <v>616</v>
      </c>
      <c r="M647" s="24">
        <v>1500000</v>
      </c>
    </row>
    <row r="648" spans="1:13" s="48" customFormat="1" outlineLevel="2">
      <c r="A648" s="39" t="s">
        <v>270</v>
      </c>
      <c r="B648" s="40" t="s">
        <v>154</v>
      </c>
      <c r="C648" s="41" t="s">
        <v>273</v>
      </c>
      <c r="D648" s="40" t="s">
        <v>272</v>
      </c>
      <c r="E648" s="24">
        <v>18000000</v>
      </c>
      <c r="F648" s="39">
        <v>44321</v>
      </c>
      <c r="G648" s="24">
        <v>18000000</v>
      </c>
      <c r="H648" s="23">
        <v>5.0000000000000001E-3</v>
      </c>
      <c r="I648" s="39">
        <v>44348</v>
      </c>
      <c r="J648" s="39">
        <v>44377</v>
      </c>
      <c r="K648" s="24">
        <v>30</v>
      </c>
      <c r="L648" s="24">
        <v>7397</v>
      </c>
      <c r="M648" s="24">
        <v>18000000</v>
      </c>
    </row>
    <row r="649" spans="1:13" s="48" customFormat="1" outlineLevel="2">
      <c r="A649" s="39" t="s">
        <v>270</v>
      </c>
      <c r="B649" s="40" t="s">
        <v>157</v>
      </c>
      <c r="C649" s="41" t="s">
        <v>75</v>
      </c>
      <c r="D649" s="40" t="s">
        <v>76</v>
      </c>
      <c r="E649" s="24">
        <v>38590000</v>
      </c>
      <c r="F649" s="39">
        <v>44321</v>
      </c>
      <c r="G649" s="24">
        <v>38590000</v>
      </c>
      <c r="H649" s="23">
        <v>5.0000000000000001E-3</v>
      </c>
      <c r="I649" s="39">
        <v>44348</v>
      </c>
      <c r="J649" s="39">
        <v>44377</v>
      </c>
      <c r="K649" s="24">
        <v>30</v>
      </c>
      <c r="L649" s="24">
        <v>15859</v>
      </c>
      <c r="M649" s="24">
        <v>38590000</v>
      </c>
    </row>
    <row r="650" spans="1:13" s="48" customFormat="1" outlineLevel="2">
      <c r="A650" s="39" t="s">
        <v>270</v>
      </c>
      <c r="B650" s="40" t="s">
        <v>158</v>
      </c>
      <c r="C650" s="41" t="s">
        <v>322</v>
      </c>
      <c r="D650" s="40" t="s">
        <v>321</v>
      </c>
      <c r="E650" s="24">
        <v>4163250</v>
      </c>
      <c r="F650" s="39">
        <v>44377</v>
      </c>
      <c r="G650" s="24">
        <v>4163250</v>
      </c>
      <c r="H650" s="23">
        <v>5.0000000000000001E-3</v>
      </c>
      <c r="I650" s="39">
        <v>44377</v>
      </c>
      <c r="J650" s="39">
        <v>44377</v>
      </c>
      <c r="K650" s="24">
        <v>1</v>
      </c>
      <c r="L650" s="24">
        <v>57</v>
      </c>
      <c r="M650" s="24">
        <v>4163250</v>
      </c>
    </row>
    <row r="651" spans="1:13" s="48" customFormat="1" outlineLevel="2">
      <c r="A651" s="39" t="s">
        <v>270</v>
      </c>
      <c r="B651" s="40" t="s">
        <v>159</v>
      </c>
      <c r="C651" s="41" t="s">
        <v>274</v>
      </c>
      <c r="D651" s="40" t="s">
        <v>275</v>
      </c>
      <c r="E651" s="24">
        <v>18388440</v>
      </c>
      <c r="F651" s="39">
        <v>44356</v>
      </c>
      <c r="G651" s="24">
        <v>18388440</v>
      </c>
      <c r="H651" s="23">
        <v>5.0000000000000001E-3</v>
      </c>
      <c r="I651" s="39">
        <v>44356</v>
      </c>
      <c r="J651" s="39">
        <v>44377</v>
      </c>
      <c r="K651" s="24">
        <v>22</v>
      </c>
      <c r="L651" s="24">
        <v>5542</v>
      </c>
      <c r="M651" s="24">
        <v>18388440</v>
      </c>
    </row>
    <row r="652" spans="1:13" s="48" customFormat="1" outlineLevel="2">
      <c r="A652" s="39" t="s">
        <v>270</v>
      </c>
      <c r="B652" s="40" t="s">
        <v>320</v>
      </c>
      <c r="C652" s="41" t="s">
        <v>274</v>
      </c>
      <c r="D652" s="40" t="s">
        <v>275</v>
      </c>
      <c r="E652" s="24">
        <v>21892380</v>
      </c>
      <c r="F652" s="39">
        <v>44356</v>
      </c>
      <c r="G652" s="24">
        <v>21892380</v>
      </c>
      <c r="H652" s="23">
        <v>5.0000000000000001E-3</v>
      </c>
      <c r="I652" s="39">
        <v>44356</v>
      </c>
      <c r="J652" s="39">
        <v>44377</v>
      </c>
      <c r="K652" s="24">
        <v>22</v>
      </c>
      <c r="L652" s="24">
        <v>6598</v>
      </c>
      <c r="M652" s="24">
        <v>21892380</v>
      </c>
    </row>
    <row r="653" spans="1:13" s="48" customFormat="1" outlineLevel="2">
      <c r="A653" s="39" t="s">
        <v>270</v>
      </c>
      <c r="B653" s="40" t="s">
        <v>22</v>
      </c>
      <c r="C653" s="41" t="s">
        <v>273</v>
      </c>
      <c r="D653" s="40" t="s">
        <v>272</v>
      </c>
      <c r="E653" s="24">
        <v>1300000</v>
      </c>
      <c r="F653" s="39">
        <v>43866</v>
      </c>
      <c r="G653" s="24">
        <v>1300000</v>
      </c>
      <c r="H653" s="23">
        <v>5.0000000000000001E-3</v>
      </c>
      <c r="I653" s="39">
        <v>44348</v>
      </c>
      <c r="J653" s="39">
        <v>44377</v>
      </c>
      <c r="K653" s="24">
        <v>30</v>
      </c>
      <c r="L653" s="24">
        <v>534</v>
      </c>
      <c r="M653" s="24">
        <v>1300000</v>
      </c>
    </row>
    <row r="654" spans="1:13" s="48" customFormat="1" outlineLevel="2">
      <c r="A654" s="39" t="s">
        <v>270</v>
      </c>
      <c r="B654" s="40" t="s">
        <v>319</v>
      </c>
      <c r="C654" s="41" t="s">
        <v>143</v>
      </c>
      <c r="D654" s="40" t="s">
        <v>144</v>
      </c>
      <c r="E654" s="24">
        <v>900000</v>
      </c>
      <c r="F654" s="39">
        <v>44368</v>
      </c>
      <c r="G654" s="24">
        <v>900000</v>
      </c>
      <c r="H654" s="23">
        <v>5.0000000000000001E-3</v>
      </c>
      <c r="I654" s="39">
        <v>44368</v>
      </c>
      <c r="J654" s="39">
        <v>44377</v>
      </c>
      <c r="K654" s="24">
        <v>10</v>
      </c>
      <c r="L654" s="24">
        <v>123</v>
      </c>
      <c r="M654" s="24">
        <v>900000</v>
      </c>
    </row>
    <row r="655" spans="1:13" s="48" customFormat="1" outlineLevel="2">
      <c r="A655" s="39" t="s">
        <v>270</v>
      </c>
      <c r="B655" s="40" t="s">
        <v>318</v>
      </c>
      <c r="C655" s="41" t="s">
        <v>273</v>
      </c>
      <c r="D655" s="40" t="s">
        <v>272</v>
      </c>
      <c r="E655" s="24">
        <v>13700000</v>
      </c>
      <c r="F655" s="39">
        <v>44351</v>
      </c>
      <c r="G655" s="24">
        <v>13700000</v>
      </c>
      <c r="H655" s="23">
        <v>5.0000000000000001E-3</v>
      </c>
      <c r="I655" s="39">
        <v>44351</v>
      </c>
      <c r="J655" s="39">
        <v>44377</v>
      </c>
      <c r="K655" s="24">
        <v>27</v>
      </c>
      <c r="L655" s="24">
        <v>5067</v>
      </c>
      <c r="M655" s="24">
        <v>13700000</v>
      </c>
    </row>
    <row r="656" spans="1:13" s="48" customFormat="1" outlineLevel="2">
      <c r="A656" s="39" t="s">
        <v>270</v>
      </c>
      <c r="B656" s="40" t="s">
        <v>25</v>
      </c>
      <c r="C656" s="41" t="s">
        <v>274</v>
      </c>
      <c r="D656" s="40" t="s">
        <v>275</v>
      </c>
      <c r="E656" s="24">
        <v>9087600</v>
      </c>
      <c r="F656" s="39">
        <v>43901</v>
      </c>
      <c r="G656" s="24">
        <v>9087600</v>
      </c>
      <c r="H656" s="23">
        <v>5.0000000000000001E-3</v>
      </c>
      <c r="I656" s="39">
        <v>44348</v>
      </c>
      <c r="J656" s="39">
        <v>44377</v>
      </c>
      <c r="K656" s="24">
        <v>30</v>
      </c>
      <c r="L656" s="24">
        <v>3735</v>
      </c>
      <c r="M656" s="24">
        <v>9087600</v>
      </c>
    </row>
    <row r="657" spans="1:13" s="48" customFormat="1" outlineLevel="2">
      <c r="A657" s="39" t="s">
        <v>270</v>
      </c>
      <c r="B657" s="40" t="s">
        <v>26</v>
      </c>
      <c r="C657" s="41" t="s">
        <v>274</v>
      </c>
      <c r="D657" s="40" t="s">
        <v>275</v>
      </c>
      <c r="E657" s="24">
        <v>7270080</v>
      </c>
      <c r="F657" s="39">
        <v>43901</v>
      </c>
      <c r="G657" s="24">
        <v>7270080</v>
      </c>
      <c r="H657" s="23">
        <v>5.0000000000000001E-3</v>
      </c>
      <c r="I657" s="39">
        <v>44348</v>
      </c>
      <c r="J657" s="39">
        <v>44377</v>
      </c>
      <c r="K657" s="24">
        <v>30</v>
      </c>
      <c r="L657" s="24">
        <v>2988</v>
      </c>
      <c r="M657" s="24">
        <v>7270080</v>
      </c>
    </row>
    <row r="658" spans="1:13" s="48" customFormat="1" outlineLevel="2">
      <c r="A658" s="39" t="s">
        <v>270</v>
      </c>
      <c r="B658" s="40" t="s">
        <v>29</v>
      </c>
      <c r="C658" s="41" t="s">
        <v>273</v>
      </c>
      <c r="D658" s="40" t="s">
        <v>272</v>
      </c>
      <c r="E658" s="24">
        <v>99400000</v>
      </c>
      <c r="F658" s="39">
        <v>43917</v>
      </c>
      <c r="G658" s="24">
        <v>99400000</v>
      </c>
      <c r="H658" s="23">
        <v>5.0000000000000001E-3</v>
      </c>
      <c r="I658" s="39">
        <v>44348</v>
      </c>
      <c r="J658" s="39">
        <v>44377</v>
      </c>
      <c r="K658" s="24">
        <v>30</v>
      </c>
      <c r="L658" s="24">
        <v>40849</v>
      </c>
      <c r="M658" s="24">
        <v>99400000</v>
      </c>
    </row>
    <row r="659" spans="1:13" s="48" customFormat="1" outlineLevel="2">
      <c r="A659" s="39" t="s">
        <v>270</v>
      </c>
      <c r="B659" s="40" t="s">
        <v>32</v>
      </c>
      <c r="C659" s="41" t="s">
        <v>274</v>
      </c>
      <c r="D659" s="40" t="s">
        <v>275</v>
      </c>
      <c r="E659" s="24">
        <v>9087600</v>
      </c>
      <c r="F659" s="39">
        <v>43929</v>
      </c>
      <c r="G659" s="24">
        <v>9087600</v>
      </c>
      <c r="H659" s="23">
        <v>5.0000000000000001E-3</v>
      </c>
      <c r="I659" s="39">
        <v>44348</v>
      </c>
      <c r="J659" s="39">
        <v>44377</v>
      </c>
      <c r="K659" s="24">
        <v>30</v>
      </c>
      <c r="L659" s="24">
        <v>3735</v>
      </c>
      <c r="M659" s="24">
        <v>9087600</v>
      </c>
    </row>
    <row r="660" spans="1:13" s="48" customFormat="1" outlineLevel="2">
      <c r="A660" s="39" t="s">
        <v>270</v>
      </c>
      <c r="B660" s="40" t="s">
        <v>33</v>
      </c>
      <c r="C660" s="41" t="s">
        <v>274</v>
      </c>
      <c r="D660" s="40" t="s">
        <v>275</v>
      </c>
      <c r="E660" s="24">
        <v>13007640</v>
      </c>
      <c r="F660" s="39">
        <v>43929</v>
      </c>
      <c r="G660" s="24">
        <v>13007640</v>
      </c>
      <c r="H660" s="23">
        <v>5.0000000000000001E-3</v>
      </c>
      <c r="I660" s="39">
        <v>44348</v>
      </c>
      <c r="J660" s="39">
        <v>44377</v>
      </c>
      <c r="K660" s="24">
        <v>30</v>
      </c>
      <c r="L660" s="24">
        <v>5346</v>
      </c>
      <c r="M660" s="24">
        <v>13007640</v>
      </c>
    </row>
    <row r="661" spans="1:13" s="48" customFormat="1" outlineLevel="2">
      <c r="A661" s="39" t="s">
        <v>270</v>
      </c>
      <c r="B661" s="40" t="s">
        <v>34</v>
      </c>
      <c r="C661" s="41" t="s">
        <v>276</v>
      </c>
      <c r="D661" s="40" t="s">
        <v>277</v>
      </c>
      <c r="E661" s="24">
        <v>61668037</v>
      </c>
      <c r="F661" s="39">
        <v>43949</v>
      </c>
      <c r="G661" s="24">
        <v>61668037</v>
      </c>
      <c r="H661" s="23">
        <v>5.0000000000000001E-3</v>
      </c>
      <c r="I661" s="39">
        <v>44348</v>
      </c>
      <c r="J661" s="39">
        <v>44377</v>
      </c>
      <c r="K661" s="24">
        <v>30</v>
      </c>
      <c r="L661" s="24">
        <v>25343</v>
      </c>
      <c r="M661" s="24">
        <v>61668037</v>
      </c>
    </row>
    <row r="662" spans="1:13" s="48" customFormat="1" outlineLevel="2">
      <c r="A662" s="39" t="s">
        <v>270</v>
      </c>
      <c r="B662" s="40" t="s">
        <v>35</v>
      </c>
      <c r="C662" s="41" t="s">
        <v>274</v>
      </c>
      <c r="D662" s="40" t="s">
        <v>275</v>
      </c>
      <c r="E662" s="24">
        <v>13007640</v>
      </c>
      <c r="F662" s="39">
        <v>43964</v>
      </c>
      <c r="G662" s="24">
        <v>13007640</v>
      </c>
      <c r="H662" s="23">
        <v>5.0000000000000001E-3</v>
      </c>
      <c r="I662" s="39">
        <v>44348</v>
      </c>
      <c r="J662" s="39">
        <v>44377</v>
      </c>
      <c r="K662" s="24">
        <v>30</v>
      </c>
      <c r="L662" s="24">
        <v>5346</v>
      </c>
      <c r="M662" s="24">
        <v>13007640</v>
      </c>
    </row>
    <row r="663" spans="1:13" s="48" customFormat="1" outlineLevel="2">
      <c r="A663" s="39" t="s">
        <v>270</v>
      </c>
      <c r="B663" s="40" t="s">
        <v>36</v>
      </c>
      <c r="C663" s="41" t="s">
        <v>274</v>
      </c>
      <c r="D663" s="40" t="s">
        <v>275</v>
      </c>
      <c r="E663" s="24">
        <v>6361320</v>
      </c>
      <c r="F663" s="39">
        <v>43964</v>
      </c>
      <c r="G663" s="24">
        <v>6361320</v>
      </c>
      <c r="H663" s="23">
        <v>5.0000000000000001E-3</v>
      </c>
      <c r="I663" s="39">
        <v>44348</v>
      </c>
      <c r="J663" s="39">
        <v>44377</v>
      </c>
      <c r="K663" s="24">
        <v>30</v>
      </c>
      <c r="L663" s="24">
        <v>2614</v>
      </c>
      <c r="M663" s="24">
        <v>6361320</v>
      </c>
    </row>
    <row r="664" spans="1:13" s="48" customFormat="1" outlineLevel="2">
      <c r="A664" s="39" t="s">
        <v>270</v>
      </c>
      <c r="B664" s="40" t="s">
        <v>39</v>
      </c>
      <c r="C664" s="41" t="s">
        <v>274</v>
      </c>
      <c r="D664" s="40" t="s">
        <v>275</v>
      </c>
      <c r="E664" s="24">
        <v>5452560</v>
      </c>
      <c r="F664" s="39">
        <v>43810</v>
      </c>
      <c r="G664" s="24">
        <v>5452560</v>
      </c>
      <c r="H664" s="23">
        <v>5.0000000000000001E-3</v>
      </c>
      <c r="I664" s="39">
        <v>44348</v>
      </c>
      <c r="J664" s="39">
        <v>44377</v>
      </c>
      <c r="K664" s="24">
        <v>30</v>
      </c>
      <c r="L664" s="24">
        <v>2241</v>
      </c>
      <c r="M664" s="24">
        <v>5452560</v>
      </c>
    </row>
    <row r="665" spans="1:13" s="48" customFormat="1" outlineLevel="2">
      <c r="A665" s="39" t="s">
        <v>270</v>
      </c>
      <c r="B665" s="40" t="s">
        <v>40</v>
      </c>
      <c r="C665" s="41" t="s">
        <v>273</v>
      </c>
      <c r="D665" s="40" t="s">
        <v>272</v>
      </c>
      <c r="E665" s="24">
        <v>69800000</v>
      </c>
      <c r="F665" s="39">
        <v>43956</v>
      </c>
      <c r="G665" s="24">
        <v>69800000</v>
      </c>
      <c r="H665" s="23">
        <v>5.0000000000000001E-3</v>
      </c>
      <c r="I665" s="39">
        <v>44348</v>
      </c>
      <c r="J665" s="39">
        <v>44377</v>
      </c>
      <c r="K665" s="24">
        <v>30</v>
      </c>
      <c r="L665" s="24">
        <v>28685</v>
      </c>
      <c r="M665" s="24">
        <v>69800000</v>
      </c>
    </row>
    <row r="666" spans="1:13" s="48" customFormat="1" outlineLevel="2">
      <c r="A666" s="39" t="s">
        <v>270</v>
      </c>
      <c r="B666" s="40" t="s">
        <v>41</v>
      </c>
      <c r="C666" s="41" t="s">
        <v>273</v>
      </c>
      <c r="D666" s="40" t="s">
        <v>272</v>
      </c>
      <c r="E666" s="24">
        <v>1500000</v>
      </c>
      <c r="F666" s="39">
        <v>43956</v>
      </c>
      <c r="G666" s="24">
        <v>1500000</v>
      </c>
      <c r="H666" s="23">
        <v>5.0000000000000001E-3</v>
      </c>
      <c r="I666" s="39">
        <v>44348</v>
      </c>
      <c r="J666" s="39">
        <v>44377</v>
      </c>
      <c r="K666" s="24">
        <v>30</v>
      </c>
      <c r="L666" s="24">
        <v>616</v>
      </c>
      <c r="M666" s="24">
        <v>1500000</v>
      </c>
    </row>
    <row r="667" spans="1:13" s="48" customFormat="1" outlineLevel="2">
      <c r="A667" s="39" t="s">
        <v>270</v>
      </c>
      <c r="B667" s="40" t="s">
        <v>42</v>
      </c>
      <c r="C667" s="41" t="s">
        <v>30</v>
      </c>
      <c r="D667" s="40" t="s">
        <v>31</v>
      </c>
      <c r="E667" s="24">
        <v>50000000</v>
      </c>
      <c r="F667" s="39">
        <v>43976</v>
      </c>
      <c r="G667" s="24">
        <v>50000000</v>
      </c>
      <c r="H667" s="23">
        <v>5.0000000000000001E-3</v>
      </c>
      <c r="I667" s="39">
        <v>44348</v>
      </c>
      <c r="J667" s="39">
        <v>44377</v>
      </c>
      <c r="K667" s="24">
        <v>30</v>
      </c>
      <c r="L667" s="24">
        <v>20548</v>
      </c>
      <c r="M667" s="24">
        <v>50000000</v>
      </c>
    </row>
    <row r="668" spans="1:13" s="48" customFormat="1" outlineLevel="2">
      <c r="A668" s="39" t="s">
        <v>270</v>
      </c>
      <c r="B668" s="40" t="s">
        <v>43</v>
      </c>
      <c r="C668" s="41" t="s">
        <v>274</v>
      </c>
      <c r="D668" s="40" t="s">
        <v>275</v>
      </c>
      <c r="E668" s="24">
        <v>6657720</v>
      </c>
      <c r="F668" s="39">
        <v>43992</v>
      </c>
      <c r="G668" s="24">
        <v>6657720</v>
      </c>
      <c r="H668" s="23">
        <v>5.0000000000000001E-3</v>
      </c>
      <c r="I668" s="39">
        <v>44348</v>
      </c>
      <c r="J668" s="39">
        <v>44377</v>
      </c>
      <c r="K668" s="24">
        <v>30</v>
      </c>
      <c r="L668" s="24">
        <v>2736</v>
      </c>
      <c r="M668" s="24">
        <v>6657720</v>
      </c>
    </row>
    <row r="669" spans="1:13" s="48" customFormat="1" outlineLevel="2">
      <c r="A669" s="39" t="s">
        <v>270</v>
      </c>
      <c r="B669" s="40" t="s">
        <v>44</v>
      </c>
      <c r="C669" s="41" t="s">
        <v>274</v>
      </c>
      <c r="D669" s="40" t="s">
        <v>275</v>
      </c>
      <c r="E669" s="24">
        <v>6361320</v>
      </c>
      <c r="F669" s="39">
        <v>43992</v>
      </c>
      <c r="G669" s="24">
        <v>6361320</v>
      </c>
      <c r="H669" s="23">
        <v>5.0000000000000001E-3</v>
      </c>
      <c r="I669" s="39">
        <v>44348</v>
      </c>
      <c r="J669" s="39">
        <v>44377</v>
      </c>
      <c r="K669" s="24">
        <v>30</v>
      </c>
      <c r="L669" s="24">
        <v>2614</v>
      </c>
      <c r="M669" s="24">
        <v>6361320</v>
      </c>
    </row>
    <row r="670" spans="1:13" s="48" customFormat="1" outlineLevel="2">
      <c r="A670" s="39" t="s">
        <v>270</v>
      </c>
      <c r="B670" s="40" t="s">
        <v>47</v>
      </c>
      <c r="C670" s="41" t="s">
        <v>273</v>
      </c>
      <c r="D670" s="40" t="s">
        <v>272</v>
      </c>
      <c r="E670" s="24">
        <v>41200000</v>
      </c>
      <c r="F670" s="39">
        <v>43987</v>
      </c>
      <c r="G670" s="24">
        <v>41200000</v>
      </c>
      <c r="H670" s="23">
        <v>5.0000000000000001E-3</v>
      </c>
      <c r="I670" s="39">
        <v>44348</v>
      </c>
      <c r="J670" s="39">
        <v>44377</v>
      </c>
      <c r="K670" s="24">
        <v>30</v>
      </c>
      <c r="L670" s="24">
        <v>16932</v>
      </c>
      <c r="M670" s="24">
        <v>41200000</v>
      </c>
    </row>
    <row r="671" spans="1:13" s="48" customFormat="1" outlineLevel="2">
      <c r="A671" s="39" t="s">
        <v>270</v>
      </c>
      <c r="B671" s="40" t="s">
        <v>50</v>
      </c>
      <c r="C671" s="41" t="s">
        <v>274</v>
      </c>
      <c r="D671" s="40" t="s">
        <v>275</v>
      </c>
      <c r="E671" s="24">
        <v>6657720</v>
      </c>
      <c r="F671" s="39">
        <v>44020</v>
      </c>
      <c r="G671" s="24">
        <v>6657720</v>
      </c>
      <c r="H671" s="23">
        <v>5.0000000000000001E-3</v>
      </c>
      <c r="I671" s="39">
        <v>44348</v>
      </c>
      <c r="J671" s="39">
        <v>44377</v>
      </c>
      <c r="K671" s="24">
        <v>30</v>
      </c>
      <c r="L671" s="24">
        <v>2736</v>
      </c>
      <c r="M671" s="24">
        <v>6657720</v>
      </c>
    </row>
    <row r="672" spans="1:13" s="48" customFormat="1" outlineLevel="2">
      <c r="A672" s="39" t="s">
        <v>270</v>
      </c>
      <c r="B672" s="40" t="s">
        <v>51</v>
      </c>
      <c r="C672" s="41" t="s">
        <v>274</v>
      </c>
      <c r="D672" s="40" t="s">
        <v>275</v>
      </c>
      <c r="E672" s="24">
        <v>6657720</v>
      </c>
      <c r="F672" s="39">
        <v>44020</v>
      </c>
      <c r="G672" s="24">
        <v>6657720</v>
      </c>
      <c r="H672" s="23">
        <v>5.0000000000000001E-3</v>
      </c>
      <c r="I672" s="39">
        <v>44348</v>
      </c>
      <c r="J672" s="39">
        <v>44377</v>
      </c>
      <c r="K672" s="24">
        <v>30</v>
      </c>
      <c r="L672" s="24">
        <v>2736</v>
      </c>
      <c r="M672" s="24">
        <v>6657720</v>
      </c>
    </row>
    <row r="673" spans="1:13" s="48" customFormat="1" outlineLevel="2">
      <c r="A673" s="39" t="s">
        <v>270</v>
      </c>
      <c r="B673" s="40" t="s">
        <v>52</v>
      </c>
      <c r="C673" s="41" t="s">
        <v>273</v>
      </c>
      <c r="D673" s="40" t="s">
        <v>272</v>
      </c>
      <c r="E673" s="24">
        <v>11800000</v>
      </c>
      <c r="F673" s="39">
        <v>44015</v>
      </c>
      <c r="G673" s="24">
        <v>11800000</v>
      </c>
      <c r="H673" s="23">
        <v>5.0000000000000001E-3</v>
      </c>
      <c r="I673" s="39">
        <v>44348</v>
      </c>
      <c r="J673" s="39">
        <v>44377</v>
      </c>
      <c r="K673" s="24">
        <v>30</v>
      </c>
      <c r="L673" s="24">
        <v>4849</v>
      </c>
      <c r="M673" s="24">
        <v>11800000</v>
      </c>
    </row>
    <row r="674" spans="1:13" s="48" customFormat="1" outlineLevel="2">
      <c r="A674" s="39" t="s">
        <v>270</v>
      </c>
      <c r="B674" s="40" t="s">
        <v>53</v>
      </c>
      <c r="C674" s="41" t="s">
        <v>273</v>
      </c>
      <c r="D674" s="40" t="s">
        <v>272</v>
      </c>
      <c r="E674" s="24">
        <v>2600000</v>
      </c>
      <c r="F674" s="39">
        <v>44015</v>
      </c>
      <c r="G674" s="24">
        <v>2600000</v>
      </c>
      <c r="H674" s="23">
        <v>5.0000000000000001E-3</v>
      </c>
      <c r="I674" s="39">
        <v>44348</v>
      </c>
      <c r="J674" s="39">
        <v>44377</v>
      </c>
      <c r="K674" s="24">
        <v>30</v>
      </c>
      <c r="L674" s="24">
        <v>1068</v>
      </c>
      <c r="M674" s="24">
        <v>2600000</v>
      </c>
    </row>
    <row r="675" spans="1:13" s="48" customFormat="1" outlineLevel="2">
      <c r="A675" s="39" t="s">
        <v>270</v>
      </c>
      <c r="B675" s="40" t="s">
        <v>54</v>
      </c>
      <c r="C675" s="41" t="s">
        <v>278</v>
      </c>
      <c r="D675" s="40" t="s">
        <v>279</v>
      </c>
      <c r="E675" s="24">
        <v>220000000</v>
      </c>
      <c r="F675" s="39">
        <v>43815</v>
      </c>
      <c r="G675" s="24">
        <v>220000000</v>
      </c>
      <c r="H675" s="23">
        <v>5.0000000000000001E-3</v>
      </c>
      <c r="I675" s="39">
        <v>44348</v>
      </c>
      <c r="J675" s="39">
        <v>44377</v>
      </c>
      <c r="K675" s="24">
        <v>30</v>
      </c>
      <c r="L675" s="24">
        <v>90411</v>
      </c>
      <c r="M675" s="24">
        <v>220000000</v>
      </c>
    </row>
    <row r="676" spans="1:13" s="48" customFormat="1" outlineLevel="2">
      <c r="A676" s="39" t="s">
        <v>270</v>
      </c>
      <c r="B676" s="40" t="s">
        <v>57</v>
      </c>
      <c r="C676" s="41" t="s">
        <v>143</v>
      </c>
      <c r="D676" s="40" t="s">
        <v>144</v>
      </c>
      <c r="E676" s="24">
        <v>10400000</v>
      </c>
      <c r="F676" s="39">
        <v>44033</v>
      </c>
      <c r="G676" s="24">
        <v>10400000</v>
      </c>
      <c r="H676" s="23">
        <v>5.0000000000000001E-3</v>
      </c>
      <c r="I676" s="39">
        <v>44348</v>
      </c>
      <c r="J676" s="39">
        <v>44377</v>
      </c>
      <c r="K676" s="24">
        <v>30</v>
      </c>
      <c r="L676" s="24">
        <v>4274</v>
      </c>
      <c r="M676" s="24">
        <v>10400000</v>
      </c>
    </row>
    <row r="677" spans="1:13" s="48" customFormat="1" outlineLevel="2">
      <c r="A677" s="39" t="s">
        <v>270</v>
      </c>
      <c r="B677" s="40" t="s">
        <v>58</v>
      </c>
      <c r="C677" s="41" t="s">
        <v>97</v>
      </c>
      <c r="D677" s="40" t="s">
        <v>98</v>
      </c>
      <c r="E677" s="24">
        <v>28200000</v>
      </c>
      <c r="F677" s="39">
        <v>44027</v>
      </c>
      <c r="G677" s="24">
        <v>28200000</v>
      </c>
      <c r="H677" s="23">
        <v>5.0000000000000001E-3</v>
      </c>
      <c r="I677" s="39">
        <v>44348</v>
      </c>
      <c r="J677" s="39">
        <v>44377</v>
      </c>
      <c r="K677" s="24">
        <v>30</v>
      </c>
      <c r="L677" s="24">
        <v>11589</v>
      </c>
      <c r="M677" s="24">
        <v>28200000</v>
      </c>
    </row>
    <row r="678" spans="1:13" s="48" customFormat="1" outlineLevel="2">
      <c r="A678" s="39" t="s">
        <v>270</v>
      </c>
      <c r="B678" s="40" t="s">
        <v>99</v>
      </c>
      <c r="C678" s="41" t="s">
        <v>274</v>
      </c>
      <c r="D678" s="40" t="s">
        <v>275</v>
      </c>
      <c r="E678" s="24">
        <v>6657720</v>
      </c>
      <c r="F678" s="39">
        <v>44055</v>
      </c>
      <c r="G678" s="24">
        <v>6657720</v>
      </c>
      <c r="H678" s="23">
        <v>5.0000000000000001E-3</v>
      </c>
      <c r="I678" s="39">
        <v>44348</v>
      </c>
      <c r="J678" s="39">
        <v>44377</v>
      </c>
      <c r="K678" s="24">
        <v>30</v>
      </c>
      <c r="L678" s="24">
        <v>2736</v>
      </c>
      <c r="M678" s="24">
        <v>6657720</v>
      </c>
    </row>
    <row r="679" spans="1:13" s="48" customFormat="1" outlineLevel="2">
      <c r="A679" s="39" t="s">
        <v>270</v>
      </c>
      <c r="B679" s="40" t="s">
        <v>100</v>
      </c>
      <c r="C679" s="41" t="s">
        <v>274</v>
      </c>
      <c r="D679" s="40" t="s">
        <v>275</v>
      </c>
      <c r="E679" s="24">
        <v>6714720</v>
      </c>
      <c r="F679" s="39">
        <v>44055</v>
      </c>
      <c r="G679" s="24">
        <v>6714720</v>
      </c>
      <c r="H679" s="23">
        <v>5.0000000000000001E-3</v>
      </c>
      <c r="I679" s="39">
        <v>44348</v>
      </c>
      <c r="J679" s="39">
        <v>44377</v>
      </c>
      <c r="K679" s="24">
        <v>30</v>
      </c>
      <c r="L679" s="24">
        <v>2759</v>
      </c>
      <c r="M679" s="24">
        <v>6714720</v>
      </c>
    </row>
    <row r="680" spans="1:13" s="48" customFormat="1" outlineLevel="2">
      <c r="A680" s="39" t="s">
        <v>270</v>
      </c>
      <c r="B680" s="40" t="s">
        <v>101</v>
      </c>
      <c r="C680" s="41" t="s">
        <v>273</v>
      </c>
      <c r="D680" s="40" t="s">
        <v>272</v>
      </c>
      <c r="E680" s="24">
        <v>47630000</v>
      </c>
      <c r="F680" s="39">
        <v>44048</v>
      </c>
      <c r="G680" s="24">
        <v>47630000</v>
      </c>
      <c r="H680" s="23">
        <v>5.0000000000000001E-3</v>
      </c>
      <c r="I680" s="39">
        <v>44348</v>
      </c>
      <c r="J680" s="39">
        <v>44377</v>
      </c>
      <c r="K680" s="24">
        <v>30</v>
      </c>
      <c r="L680" s="24">
        <v>19574</v>
      </c>
      <c r="M680" s="24">
        <v>47630000</v>
      </c>
    </row>
    <row r="681" spans="1:13" s="48" customFormat="1" outlineLevel="2">
      <c r="A681" s="39" t="s">
        <v>270</v>
      </c>
      <c r="B681" s="40" t="s">
        <v>102</v>
      </c>
      <c r="C681" s="41" t="s">
        <v>273</v>
      </c>
      <c r="D681" s="40" t="s">
        <v>272</v>
      </c>
      <c r="E681" s="24">
        <v>1970000</v>
      </c>
      <c r="F681" s="39">
        <v>44048</v>
      </c>
      <c r="G681" s="24">
        <v>1970000</v>
      </c>
      <c r="H681" s="23">
        <v>5.0000000000000001E-3</v>
      </c>
      <c r="I681" s="39">
        <v>44348</v>
      </c>
      <c r="J681" s="39">
        <v>44377</v>
      </c>
      <c r="K681" s="24">
        <v>30</v>
      </c>
      <c r="L681" s="24">
        <v>810</v>
      </c>
      <c r="M681" s="24">
        <v>1970000</v>
      </c>
    </row>
    <row r="682" spans="1:13" s="48" customFormat="1" outlineLevel="2">
      <c r="A682" s="39" t="s">
        <v>270</v>
      </c>
      <c r="B682" s="40" t="s">
        <v>103</v>
      </c>
      <c r="C682" s="41" t="s">
        <v>252</v>
      </c>
      <c r="D682" s="40" t="s">
        <v>253</v>
      </c>
      <c r="E682" s="24">
        <v>27700000</v>
      </c>
      <c r="F682" s="39">
        <v>44071</v>
      </c>
      <c r="G682" s="24">
        <v>27700000</v>
      </c>
      <c r="H682" s="23">
        <v>5.0000000000000001E-3</v>
      </c>
      <c r="I682" s="39">
        <v>44348</v>
      </c>
      <c r="J682" s="39">
        <v>44377</v>
      </c>
      <c r="K682" s="24">
        <v>30</v>
      </c>
      <c r="L682" s="24">
        <v>11384</v>
      </c>
      <c r="M682" s="24">
        <v>27700000</v>
      </c>
    </row>
    <row r="683" spans="1:13" s="48" customFormat="1" outlineLevel="2">
      <c r="A683" s="39" t="s">
        <v>270</v>
      </c>
      <c r="B683" s="40" t="s">
        <v>104</v>
      </c>
      <c r="C683" s="41" t="s">
        <v>274</v>
      </c>
      <c r="D683" s="40" t="s">
        <v>275</v>
      </c>
      <c r="E683" s="24">
        <v>6714720</v>
      </c>
      <c r="F683" s="39">
        <v>44083</v>
      </c>
      <c r="G683" s="24">
        <v>6714720</v>
      </c>
      <c r="H683" s="23">
        <v>5.0000000000000001E-3</v>
      </c>
      <c r="I683" s="39">
        <v>44348</v>
      </c>
      <c r="J683" s="39">
        <v>44377</v>
      </c>
      <c r="K683" s="24">
        <v>30</v>
      </c>
      <c r="L683" s="24">
        <v>2759</v>
      </c>
      <c r="M683" s="24">
        <v>6714720</v>
      </c>
    </row>
    <row r="684" spans="1:13" s="48" customFormat="1" outlineLevel="2">
      <c r="A684" s="39" t="s">
        <v>270</v>
      </c>
      <c r="B684" s="40" t="s">
        <v>105</v>
      </c>
      <c r="C684" s="41" t="s">
        <v>274</v>
      </c>
      <c r="D684" s="40" t="s">
        <v>275</v>
      </c>
      <c r="E684" s="24">
        <v>5805960</v>
      </c>
      <c r="F684" s="39">
        <v>44083</v>
      </c>
      <c r="G684" s="24">
        <v>5805960</v>
      </c>
      <c r="H684" s="23">
        <v>5.0000000000000001E-3</v>
      </c>
      <c r="I684" s="39">
        <v>44348</v>
      </c>
      <c r="J684" s="39">
        <v>44377</v>
      </c>
      <c r="K684" s="24">
        <v>30</v>
      </c>
      <c r="L684" s="24">
        <v>2386</v>
      </c>
      <c r="M684" s="24">
        <v>5805960</v>
      </c>
    </row>
    <row r="685" spans="1:13" s="48" customFormat="1" outlineLevel="2">
      <c r="A685" s="39" t="s">
        <v>270</v>
      </c>
      <c r="B685" s="40" t="s">
        <v>106</v>
      </c>
      <c r="C685" s="41" t="s">
        <v>273</v>
      </c>
      <c r="D685" s="40" t="s">
        <v>272</v>
      </c>
      <c r="E685" s="24">
        <v>19100000</v>
      </c>
      <c r="F685" s="39">
        <v>44078</v>
      </c>
      <c r="G685" s="24">
        <v>19100000</v>
      </c>
      <c r="H685" s="23">
        <v>5.0000000000000001E-3</v>
      </c>
      <c r="I685" s="39">
        <v>44348</v>
      </c>
      <c r="J685" s="39">
        <v>44377</v>
      </c>
      <c r="K685" s="24">
        <v>30</v>
      </c>
      <c r="L685" s="24">
        <v>7849</v>
      </c>
      <c r="M685" s="24">
        <v>19100000</v>
      </c>
    </row>
    <row r="686" spans="1:13" s="48" customFormat="1" outlineLevel="2">
      <c r="A686" s="39" t="s">
        <v>270</v>
      </c>
      <c r="B686" s="40" t="s">
        <v>59</v>
      </c>
      <c r="C686" s="41" t="s">
        <v>274</v>
      </c>
      <c r="D686" s="40" t="s">
        <v>275</v>
      </c>
      <c r="E686" s="24">
        <v>5452560</v>
      </c>
      <c r="F686" s="39">
        <v>43838</v>
      </c>
      <c r="G686" s="24">
        <v>5452560</v>
      </c>
      <c r="H686" s="23">
        <v>5.0000000000000001E-3</v>
      </c>
      <c r="I686" s="39">
        <v>44348</v>
      </c>
      <c r="J686" s="39">
        <v>44377</v>
      </c>
      <c r="K686" s="24">
        <v>30</v>
      </c>
      <c r="L686" s="24">
        <v>2241</v>
      </c>
      <c r="M686" s="24">
        <v>5452560</v>
      </c>
    </row>
    <row r="687" spans="1:13" s="48" customFormat="1" outlineLevel="2">
      <c r="A687" s="39" t="s">
        <v>270</v>
      </c>
      <c r="B687" s="40" t="s">
        <v>136</v>
      </c>
      <c r="C687" s="41" t="s">
        <v>30</v>
      </c>
      <c r="D687" s="40" t="s">
        <v>31</v>
      </c>
      <c r="E687" s="24">
        <v>31000000</v>
      </c>
      <c r="F687" s="39">
        <v>44102</v>
      </c>
      <c r="G687" s="24">
        <v>31000000</v>
      </c>
      <c r="H687" s="23">
        <v>5.0000000000000001E-3</v>
      </c>
      <c r="I687" s="39">
        <v>44348</v>
      </c>
      <c r="J687" s="39">
        <v>44377</v>
      </c>
      <c r="K687" s="24">
        <v>30</v>
      </c>
      <c r="L687" s="24">
        <v>12740</v>
      </c>
      <c r="M687" s="24">
        <v>31000000</v>
      </c>
    </row>
    <row r="688" spans="1:13" s="48" customFormat="1" outlineLevel="2">
      <c r="A688" s="39" t="s">
        <v>270</v>
      </c>
      <c r="B688" s="40" t="s">
        <v>137</v>
      </c>
      <c r="C688" s="41" t="s">
        <v>143</v>
      </c>
      <c r="D688" s="40" t="s">
        <v>144</v>
      </c>
      <c r="E688" s="24">
        <v>10700000</v>
      </c>
      <c r="F688" s="39">
        <v>44104</v>
      </c>
      <c r="G688" s="24">
        <v>10700000</v>
      </c>
      <c r="H688" s="23">
        <v>5.0000000000000001E-3</v>
      </c>
      <c r="I688" s="39">
        <v>44348</v>
      </c>
      <c r="J688" s="39">
        <v>44377</v>
      </c>
      <c r="K688" s="24">
        <v>30</v>
      </c>
      <c r="L688" s="24">
        <v>4397</v>
      </c>
      <c r="M688" s="24">
        <v>10700000</v>
      </c>
    </row>
    <row r="689" spans="1:13" s="48" customFormat="1" outlineLevel="2">
      <c r="A689" s="39" t="s">
        <v>270</v>
      </c>
      <c r="B689" s="40" t="s">
        <v>138</v>
      </c>
      <c r="C689" s="41" t="s">
        <v>280</v>
      </c>
      <c r="D689" s="40" t="s">
        <v>281</v>
      </c>
      <c r="E689" s="24">
        <v>1000000000</v>
      </c>
      <c r="F689" s="39">
        <v>44102</v>
      </c>
      <c r="G689" s="24">
        <v>1000000000</v>
      </c>
      <c r="H689" s="23">
        <v>5.0000000000000001E-3</v>
      </c>
      <c r="I689" s="39">
        <v>44348</v>
      </c>
      <c r="J689" s="39">
        <v>44377</v>
      </c>
      <c r="K689" s="24">
        <v>30</v>
      </c>
      <c r="L689" s="24">
        <v>410959</v>
      </c>
      <c r="M689" s="24">
        <v>1000000000</v>
      </c>
    </row>
    <row r="690" spans="1:13" s="48" customFormat="1" outlineLevel="2">
      <c r="A690" s="39" t="s">
        <v>270</v>
      </c>
      <c r="B690" s="40" t="s">
        <v>139</v>
      </c>
      <c r="C690" s="41" t="s">
        <v>274</v>
      </c>
      <c r="D690" s="40" t="s">
        <v>275</v>
      </c>
      <c r="E690" s="24">
        <v>5805960</v>
      </c>
      <c r="F690" s="39">
        <v>44111</v>
      </c>
      <c r="G690" s="24">
        <v>5805960</v>
      </c>
      <c r="H690" s="23">
        <v>5.0000000000000001E-3</v>
      </c>
      <c r="I690" s="39">
        <v>44348</v>
      </c>
      <c r="J690" s="39">
        <v>44377</v>
      </c>
      <c r="K690" s="24">
        <v>30</v>
      </c>
      <c r="L690" s="24">
        <v>2386</v>
      </c>
      <c r="M690" s="24">
        <v>5805960</v>
      </c>
    </row>
    <row r="691" spans="1:13" s="48" customFormat="1" outlineLevel="2">
      <c r="A691" s="39" t="s">
        <v>270</v>
      </c>
      <c r="B691" s="40" t="s">
        <v>140</v>
      </c>
      <c r="C691" s="41" t="s">
        <v>274</v>
      </c>
      <c r="D691" s="40" t="s">
        <v>275</v>
      </c>
      <c r="E691" s="24">
        <v>5805960</v>
      </c>
      <c r="F691" s="39">
        <v>44111</v>
      </c>
      <c r="G691" s="24">
        <v>5805960</v>
      </c>
      <c r="H691" s="23">
        <v>5.0000000000000001E-3</v>
      </c>
      <c r="I691" s="39">
        <v>44348</v>
      </c>
      <c r="J691" s="39">
        <v>44377</v>
      </c>
      <c r="K691" s="24">
        <v>30</v>
      </c>
      <c r="L691" s="24">
        <v>2386</v>
      </c>
      <c r="M691" s="24">
        <v>5805960</v>
      </c>
    </row>
    <row r="692" spans="1:13" s="48" customFormat="1" outlineLevel="2">
      <c r="A692" s="39" t="s">
        <v>270</v>
      </c>
      <c r="B692" s="40" t="s">
        <v>169</v>
      </c>
      <c r="C692" s="41" t="s">
        <v>273</v>
      </c>
      <c r="D692" s="40" t="s">
        <v>272</v>
      </c>
      <c r="E692" s="24">
        <v>18400000</v>
      </c>
      <c r="F692" s="39">
        <v>44109</v>
      </c>
      <c r="G692" s="24">
        <v>18400000</v>
      </c>
      <c r="H692" s="23">
        <v>5.0000000000000001E-3</v>
      </c>
      <c r="I692" s="39">
        <v>44348</v>
      </c>
      <c r="J692" s="39">
        <v>44377</v>
      </c>
      <c r="K692" s="24">
        <v>30</v>
      </c>
      <c r="L692" s="24">
        <v>7562</v>
      </c>
      <c r="M692" s="24">
        <v>18400000</v>
      </c>
    </row>
    <row r="693" spans="1:13" s="48" customFormat="1" outlineLevel="2">
      <c r="A693" s="39" t="s">
        <v>270</v>
      </c>
      <c r="B693" s="40" t="s">
        <v>170</v>
      </c>
      <c r="C693" s="41" t="s">
        <v>273</v>
      </c>
      <c r="D693" s="40" t="s">
        <v>272</v>
      </c>
      <c r="E693" s="24">
        <v>1500000</v>
      </c>
      <c r="F693" s="39">
        <v>44109</v>
      </c>
      <c r="G693" s="24">
        <v>1500000</v>
      </c>
      <c r="H693" s="23">
        <v>5.0000000000000001E-3</v>
      </c>
      <c r="I693" s="39">
        <v>44348</v>
      </c>
      <c r="J693" s="39">
        <v>44377</v>
      </c>
      <c r="K693" s="24">
        <v>30</v>
      </c>
      <c r="L693" s="24">
        <v>616</v>
      </c>
      <c r="M693" s="24">
        <v>1500000</v>
      </c>
    </row>
    <row r="694" spans="1:13" s="48" customFormat="1" outlineLevel="2">
      <c r="A694" s="39" t="s">
        <v>270</v>
      </c>
      <c r="B694" s="40" t="s">
        <v>171</v>
      </c>
      <c r="C694" s="41" t="s">
        <v>125</v>
      </c>
      <c r="D694" s="40" t="s">
        <v>126</v>
      </c>
      <c r="E694" s="24">
        <v>3480000</v>
      </c>
      <c r="F694" s="39">
        <v>44125</v>
      </c>
      <c r="G694" s="24">
        <v>3480000</v>
      </c>
      <c r="H694" s="23">
        <v>5.0000000000000001E-3</v>
      </c>
      <c r="I694" s="39">
        <v>44348</v>
      </c>
      <c r="J694" s="39">
        <v>44377</v>
      </c>
      <c r="K694" s="24">
        <v>30</v>
      </c>
      <c r="L694" s="24">
        <v>1430</v>
      </c>
      <c r="M694" s="24">
        <v>3480000</v>
      </c>
    </row>
    <row r="695" spans="1:13" s="48" customFormat="1" outlineLevel="2">
      <c r="A695" s="39" t="s">
        <v>270</v>
      </c>
      <c r="B695" s="40" t="s">
        <v>172</v>
      </c>
      <c r="C695" s="41" t="s">
        <v>276</v>
      </c>
      <c r="D695" s="40" t="s">
        <v>277</v>
      </c>
      <c r="E695" s="24">
        <v>32000000</v>
      </c>
      <c r="F695" s="39">
        <v>44133</v>
      </c>
      <c r="G695" s="24">
        <v>32000000</v>
      </c>
      <c r="H695" s="23">
        <v>5.0000000000000001E-3</v>
      </c>
      <c r="I695" s="39">
        <v>44348</v>
      </c>
      <c r="J695" s="39">
        <v>44377</v>
      </c>
      <c r="K695" s="24">
        <v>30</v>
      </c>
      <c r="L695" s="24">
        <v>13151</v>
      </c>
      <c r="M695" s="24">
        <v>32000000</v>
      </c>
    </row>
    <row r="696" spans="1:13" s="48" customFormat="1" outlineLevel="2">
      <c r="A696" s="39" t="s">
        <v>270</v>
      </c>
      <c r="B696" s="40" t="s">
        <v>173</v>
      </c>
      <c r="C696" s="41" t="s">
        <v>274</v>
      </c>
      <c r="D696" s="40" t="s">
        <v>275</v>
      </c>
      <c r="E696" s="24">
        <v>5805960</v>
      </c>
      <c r="F696" s="39">
        <v>44146</v>
      </c>
      <c r="G696" s="24">
        <v>5805960</v>
      </c>
      <c r="H696" s="23">
        <v>5.0000000000000001E-3</v>
      </c>
      <c r="I696" s="39">
        <v>44348</v>
      </c>
      <c r="J696" s="39">
        <v>44377</v>
      </c>
      <c r="K696" s="24">
        <v>30</v>
      </c>
      <c r="L696" s="24">
        <v>2386</v>
      </c>
      <c r="M696" s="24">
        <v>5805960</v>
      </c>
    </row>
    <row r="697" spans="1:13" s="48" customFormat="1" outlineLevel="2">
      <c r="A697" s="39" t="s">
        <v>270</v>
      </c>
      <c r="B697" s="40" t="s">
        <v>62</v>
      </c>
      <c r="C697" s="41" t="s">
        <v>274</v>
      </c>
      <c r="D697" s="40" t="s">
        <v>275</v>
      </c>
      <c r="E697" s="24">
        <v>5452560</v>
      </c>
      <c r="F697" s="39">
        <v>43838</v>
      </c>
      <c r="G697" s="24">
        <v>5452560</v>
      </c>
      <c r="H697" s="23">
        <v>5.0000000000000001E-3</v>
      </c>
      <c r="I697" s="39">
        <v>44348</v>
      </c>
      <c r="J697" s="39">
        <v>44377</v>
      </c>
      <c r="K697" s="24">
        <v>30</v>
      </c>
      <c r="L697" s="24">
        <v>2241</v>
      </c>
      <c r="M697" s="24">
        <v>5452560</v>
      </c>
    </row>
    <row r="698" spans="1:13" s="48" customFormat="1" outlineLevel="2">
      <c r="A698" s="39" t="s">
        <v>270</v>
      </c>
      <c r="B698" s="40" t="s">
        <v>174</v>
      </c>
      <c r="C698" s="41" t="s">
        <v>274</v>
      </c>
      <c r="D698" s="40" t="s">
        <v>275</v>
      </c>
      <c r="E698" s="24">
        <v>14338200</v>
      </c>
      <c r="F698" s="39">
        <v>44146</v>
      </c>
      <c r="G698" s="24">
        <v>14338200</v>
      </c>
      <c r="H698" s="23">
        <v>5.0000000000000001E-3</v>
      </c>
      <c r="I698" s="39">
        <v>44348</v>
      </c>
      <c r="J698" s="39">
        <v>44377</v>
      </c>
      <c r="K698" s="24">
        <v>30</v>
      </c>
      <c r="L698" s="24">
        <v>5892</v>
      </c>
      <c r="M698" s="24">
        <v>14338200</v>
      </c>
    </row>
    <row r="699" spans="1:13" s="48" customFormat="1" outlineLevel="2">
      <c r="A699" s="39" t="s">
        <v>270</v>
      </c>
      <c r="B699" s="40" t="s">
        <v>175</v>
      </c>
      <c r="C699" s="41" t="s">
        <v>273</v>
      </c>
      <c r="D699" s="40" t="s">
        <v>272</v>
      </c>
      <c r="E699" s="24">
        <v>31500000</v>
      </c>
      <c r="F699" s="39">
        <v>44140</v>
      </c>
      <c r="G699" s="24">
        <v>31500000</v>
      </c>
      <c r="H699" s="23">
        <v>5.0000000000000001E-3</v>
      </c>
      <c r="I699" s="39">
        <v>44348</v>
      </c>
      <c r="J699" s="39">
        <v>44377</v>
      </c>
      <c r="K699" s="24">
        <v>30</v>
      </c>
      <c r="L699" s="24">
        <v>12945</v>
      </c>
      <c r="M699" s="24">
        <v>31500000</v>
      </c>
    </row>
    <row r="700" spans="1:13" s="48" customFormat="1" outlineLevel="2">
      <c r="A700" s="39" t="s">
        <v>270</v>
      </c>
      <c r="B700" s="40" t="s">
        <v>176</v>
      </c>
      <c r="C700" s="41" t="s">
        <v>125</v>
      </c>
      <c r="D700" s="40" t="s">
        <v>126</v>
      </c>
      <c r="E700" s="24">
        <v>2500000</v>
      </c>
      <c r="F700" s="39">
        <v>44146</v>
      </c>
      <c r="G700" s="24">
        <v>2500000</v>
      </c>
      <c r="H700" s="23">
        <v>5.0000000000000001E-3</v>
      </c>
      <c r="I700" s="39">
        <v>44348</v>
      </c>
      <c r="J700" s="39">
        <v>44377</v>
      </c>
      <c r="K700" s="24">
        <v>30</v>
      </c>
      <c r="L700" s="24">
        <v>1027</v>
      </c>
      <c r="M700" s="24">
        <v>2500000</v>
      </c>
    </row>
    <row r="701" spans="1:13" s="48" customFormat="1" outlineLevel="2">
      <c r="A701" s="39" t="s">
        <v>270</v>
      </c>
      <c r="B701" s="40" t="s">
        <v>177</v>
      </c>
      <c r="C701" s="41" t="s">
        <v>276</v>
      </c>
      <c r="D701" s="40" t="s">
        <v>277</v>
      </c>
      <c r="E701" s="24">
        <v>30000000</v>
      </c>
      <c r="F701" s="39">
        <v>44140</v>
      </c>
      <c r="G701" s="24">
        <v>30000000</v>
      </c>
      <c r="H701" s="23">
        <v>5.0000000000000001E-3</v>
      </c>
      <c r="I701" s="39">
        <v>44348</v>
      </c>
      <c r="J701" s="39">
        <v>44377</v>
      </c>
      <c r="K701" s="24">
        <v>30</v>
      </c>
      <c r="L701" s="24">
        <v>12329</v>
      </c>
      <c r="M701" s="24">
        <v>30000000</v>
      </c>
    </row>
    <row r="702" spans="1:13" s="48" customFormat="1" outlineLevel="2">
      <c r="A702" s="39" t="s">
        <v>270</v>
      </c>
      <c r="B702" s="40" t="s">
        <v>178</v>
      </c>
      <c r="C702" s="41" t="s">
        <v>115</v>
      </c>
      <c r="D702" s="40" t="s">
        <v>116</v>
      </c>
      <c r="E702" s="24">
        <v>6100000</v>
      </c>
      <c r="F702" s="39">
        <v>44138</v>
      </c>
      <c r="G702" s="24">
        <v>6100000</v>
      </c>
      <c r="H702" s="23">
        <v>5.0000000000000001E-3</v>
      </c>
      <c r="I702" s="39">
        <v>44348</v>
      </c>
      <c r="J702" s="39">
        <v>44377</v>
      </c>
      <c r="K702" s="24">
        <v>30</v>
      </c>
      <c r="L702" s="24">
        <v>2507</v>
      </c>
      <c r="M702" s="24">
        <v>6100000</v>
      </c>
    </row>
    <row r="703" spans="1:13" s="48" customFormat="1" outlineLevel="2">
      <c r="A703" s="39" t="s">
        <v>270</v>
      </c>
      <c r="B703" s="40" t="s">
        <v>179</v>
      </c>
      <c r="C703" s="41" t="s">
        <v>278</v>
      </c>
      <c r="D703" s="40" t="s">
        <v>279</v>
      </c>
      <c r="E703" s="24">
        <v>82036355</v>
      </c>
      <c r="F703" s="39">
        <v>44137</v>
      </c>
      <c r="G703" s="24">
        <v>82036355</v>
      </c>
      <c r="H703" s="23">
        <v>5.0000000000000001E-3</v>
      </c>
      <c r="I703" s="39">
        <v>44348</v>
      </c>
      <c r="J703" s="39">
        <v>44377</v>
      </c>
      <c r="K703" s="24">
        <v>30</v>
      </c>
      <c r="L703" s="24">
        <v>33714</v>
      </c>
      <c r="M703" s="24">
        <v>82036355</v>
      </c>
    </row>
    <row r="704" spans="1:13" s="48" customFormat="1" outlineLevel="2">
      <c r="A704" s="39" t="s">
        <v>270</v>
      </c>
      <c r="B704" s="40" t="s">
        <v>180</v>
      </c>
      <c r="C704" s="41" t="s">
        <v>280</v>
      </c>
      <c r="D704" s="40" t="s">
        <v>281</v>
      </c>
      <c r="E704" s="24">
        <v>1000000000</v>
      </c>
      <c r="F704" s="39">
        <v>44162</v>
      </c>
      <c r="G704" s="24">
        <v>1000000000</v>
      </c>
      <c r="H704" s="23">
        <v>5.0000000000000001E-3</v>
      </c>
      <c r="I704" s="39">
        <v>44348</v>
      </c>
      <c r="J704" s="39">
        <v>44377</v>
      </c>
      <c r="K704" s="24">
        <v>30</v>
      </c>
      <c r="L704" s="24">
        <v>410959</v>
      </c>
      <c r="M704" s="24">
        <v>1000000000</v>
      </c>
    </row>
    <row r="705" spans="1:13" s="48" customFormat="1" outlineLevel="2">
      <c r="A705" s="39" t="s">
        <v>270</v>
      </c>
      <c r="B705" s="40" t="s">
        <v>181</v>
      </c>
      <c r="C705" s="41" t="s">
        <v>75</v>
      </c>
      <c r="D705" s="40" t="s">
        <v>76</v>
      </c>
      <c r="E705" s="24">
        <v>47490000</v>
      </c>
      <c r="F705" s="39">
        <v>44137</v>
      </c>
      <c r="G705" s="24">
        <v>47490000</v>
      </c>
      <c r="H705" s="23">
        <v>5.0000000000000001E-3</v>
      </c>
      <c r="I705" s="39">
        <v>44348</v>
      </c>
      <c r="J705" s="39">
        <v>44377</v>
      </c>
      <c r="K705" s="24">
        <v>30</v>
      </c>
      <c r="L705" s="24">
        <v>19516</v>
      </c>
      <c r="M705" s="24">
        <v>47490000</v>
      </c>
    </row>
    <row r="706" spans="1:13" s="48" customFormat="1" outlineLevel="2">
      <c r="A706" s="39" t="s">
        <v>270</v>
      </c>
      <c r="B706" s="40" t="s">
        <v>182</v>
      </c>
      <c r="C706" s="41" t="s">
        <v>143</v>
      </c>
      <c r="D706" s="40" t="s">
        <v>144</v>
      </c>
      <c r="E706" s="24">
        <v>5300000</v>
      </c>
      <c r="F706" s="39">
        <v>44145</v>
      </c>
      <c r="G706" s="24">
        <v>5300000</v>
      </c>
      <c r="H706" s="23">
        <v>5.0000000000000001E-3</v>
      </c>
      <c r="I706" s="39">
        <v>44348</v>
      </c>
      <c r="J706" s="39">
        <v>44377</v>
      </c>
      <c r="K706" s="24">
        <v>30</v>
      </c>
      <c r="L706" s="24">
        <v>2178</v>
      </c>
      <c r="M706" s="24">
        <v>5300000</v>
      </c>
    </row>
    <row r="707" spans="1:13" s="48" customFormat="1" outlineLevel="2">
      <c r="A707" s="39" t="s">
        <v>270</v>
      </c>
      <c r="B707" s="40" t="s">
        <v>183</v>
      </c>
      <c r="C707" s="41" t="s">
        <v>143</v>
      </c>
      <c r="D707" s="40" t="s">
        <v>144</v>
      </c>
      <c r="E707" s="24">
        <v>4130000</v>
      </c>
      <c r="F707" s="39">
        <v>44151</v>
      </c>
      <c r="G707" s="24">
        <v>4130000</v>
      </c>
      <c r="H707" s="23">
        <v>5.0000000000000001E-3</v>
      </c>
      <c r="I707" s="39">
        <v>44348</v>
      </c>
      <c r="J707" s="39">
        <v>44377</v>
      </c>
      <c r="K707" s="24">
        <v>30</v>
      </c>
      <c r="L707" s="24">
        <v>1697</v>
      </c>
      <c r="M707" s="24">
        <v>4130000</v>
      </c>
    </row>
    <row r="708" spans="1:13" s="48" customFormat="1" outlineLevel="2">
      <c r="A708" s="39" t="s">
        <v>270</v>
      </c>
      <c r="B708" s="40" t="s">
        <v>63</v>
      </c>
      <c r="C708" s="41" t="s">
        <v>273</v>
      </c>
      <c r="D708" s="40" t="s">
        <v>272</v>
      </c>
      <c r="E708" s="24">
        <v>55600000</v>
      </c>
      <c r="F708" s="39">
        <v>43833</v>
      </c>
      <c r="G708" s="24">
        <v>55600000</v>
      </c>
      <c r="H708" s="23">
        <v>5.0000000000000001E-3</v>
      </c>
      <c r="I708" s="39">
        <v>44348</v>
      </c>
      <c r="J708" s="39">
        <v>44377</v>
      </c>
      <c r="K708" s="24">
        <v>30</v>
      </c>
      <c r="L708" s="24">
        <v>22849</v>
      </c>
      <c r="M708" s="24">
        <v>55600000</v>
      </c>
    </row>
    <row r="709" spans="1:13" s="48" customFormat="1" outlineLevel="2">
      <c r="A709" s="39" t="s">
        <v>270</v>
      </c>
      <c r="B709" s="40" t="s">
        <v>184</v>
      </c>
      <c r="C709" s="41" t="s">
        <v>143</v>
      </c>
      <c r="D709" s="40" t="s">
        <v>144</v>
      </c>
      <c r="E709" s="24">
        <v>6450000</v>
      </c>
      <c r="F709" s="39">
        <v>44165</v>
      </c>
      <c r="G709" s="24">
        <v>6450000</v>
      </c>
      <c r="H709" s="23">
        <v>5.0000000000000001E-3</v>
      </c>
      <c r="I709" s="39">
        <v>44348</v>
      </c>
      <c r="J709" s="39">
        <v>44377</v>
      </c>
      <c r="K709" s="24">
        <v>30</v>
      </c>
      <c r="L709" s="24">
        <v>2651</v>
      </c>
      <c r="M709" s="24">
        <v>6450000</v>
      </c>
    </row>
    <row r="710" spans="1:13" s="48" customFormat="1" outlineLevel="2">
      <c r="A710" s="39" t="s">
        <v>270</v>
      </c>
      <c r="B710" s="40" t="s">
        <v>185</v>
      </c>
      <c r="C710" s="41" t="s">
        <v>55</v>
      </c>
      <c r="D710" s="40" t="s">
        <v>56</v>
      </c>
      <c r="E710" s="24">
        <v>31466520</v>
      </c>
      <c r="F710" s="39">
        <v>44189</v>
      </c>
      <c r="G710" s="24">
        <v>31466520</v>
      </c>
      <c r="H710" s="23">
        <v>5.0000000000000001E-3</v>
      </c>
      <c r="I710" s="39">
        <v>44348</v>
      </c>
      <c r="J710" s="39">
        <v>44377</v>
      </c>
      <c r="K710" s="24">
        <v>30</v>
      </c>
      <c r="L710" s="24">
        <v>12931</v>
      </c>
      <c r="M710" s="24">
        <v>31466520</v>
      </c>
    </row>
    <row r="711" spans="1:13" s="48" customFormat="1" outlineLevel="2">
      <c r="A711" s="39" t="s">
        <v>270</v>
      </c>
      <c r="B711" s="40" t="s">
        <v>186</v>
      </c>
      <c r="C711" s="41" t="s">
        <v>274</v>
      </c>
      <c r="D711" s="40" t="s">
        <v>275</v>
      </c>
      <c r="E711" s="24">
        <v>14338200</v>
      </c>
      <c r="F711" s="39">
        <v>44174</v>
      </c>
      <c r="G711" s="24">
        <v>14338200</v>
      </c>
      <c r="H711" s="23">
        <v>5.0000000000000001E-3</v>
      </c>
      <c r="I711" s="39">
        <v>44348</v>
      </c>
      <c r="J711" s="39">
        <v>44377</v>
      </c>
      <c r="K711" s="24">
        <v>30</v>
      </c>
      <c r="L711" s="24">
        <v>5892</v>
      </c>
      <c r="M711" s="24">
        <v>14338200</v>
      </c>
    </row>
    <row r="712" spans="1:13" s="48" customFormat="1" outlineLevel="2">
      <c r="A712" s="39" t="s">
        <v>270</v>
      </c>
      <c r="B712" s="40" t="s">
        <v>189</v>
      </c>
      <c r="C712" s="41" t="s">
        <v>274</v>
      </c>
      <c r="D712" s="40" t="s">
        <v>275</v>
      </c>
      <c r="E712" s="24">
        <v>4977000</v>
      </c>
      <c r="F712" s="39">
        <v>44174</v>
      </c>
      <c r="G712" s="24">
        <v>4977000</v>
      </c>
      <c r="H712" s="23">
        <v>5.0000000000000001E-3</v>
      </c>
      <c r="I712" s="39">
        <v>44348</v>
      </c>
      <c r="J712" s="39">
        <v>44377</v>
      </c>
      <c r="K712" s="24">
        <v>30</v>
      </c>
      <c r="L712" s="24">
        <v>2045</v>
      </c>
      <c r="M712" s="24">
        <v>4977000</v>
      </c>
    </row>
    <row r="713" spans="1:13" s="48" customFormat="1" outlineLevel="2">
      <c r="A713" s="39" t="s">
        <v>270</v>
      </c>
      <c r="B713" s="40" t="s">
        <v>190</v>
      </c>
      <c r="C713" s="41" t="s">
        <v>115</v>
      </c>
      <c r="D713" s="40" t="s">
        <v>116</v>
      </c>
      <c r="E713" s="24">
        <v>40000000</v>
      </c>
      <c r="F713" s="39">
        <v>44193</v>
      </c>
      <c r="G713" s="24">
        <v>40000000</v>
      </c>
      <c r="H713" s="23">
        <v>5.0000000000000001E-3</v>
      </c>
      <c r="I713" s="39">
        <v>44348</v>
      </c>
      <c r="J713" s="39">
        <v>44377</v>
      </c>
      <c r="K713" s="24">
        <v>30</v>
      </c>
      <c r="L713" s="24">
        <v>16438</v>
      </c>
      <c r="M713" s="24">
        <v>40000000</v>
      </c>
    </row>
    <row r="714" spans="1:13" s="48" customFormat="1" outlineLevel="2">
      <c r="A714" s="39" t="s">
        <v>270</v>
      </c>
      <c r="B714" s="40" t="s">
        <v>191</v>
      </c>
      <c r="C714" s="41" t="s">
        <v>143</v>
      </c>
      <c r="D714" s="40" t="s">
        <v>144</v>
      </c>
      <c r="E714" s="24">
        <v>8890000</v>
      </c>
      <c r="F714" s="39">
        <v>44175</v>
      </c>
      <c r="G714" s="24">
        <v>8890000</v>
      </c>
      <c r="H714" s="23">
        <v>5.0000000000000001E-3</v>
      </c>
      <c r="I714" s="39">
        <v>44348</v>
      </c>
      <c r="J714" s="39">
        <v>44377</v>
      </c>
      <c r="K714" s="24">
        <v>30</v>
      </c>
      <c r="L714" s="24">
        <v>3653</v>
      </c>
      <c r="M714" s="24">
        <v>8890000</v>
      </c>
    </row>
    <row r="715" spans="1:13" s="48" customFormat="1" outlineLevel="2">
      <c r="A715" s="39" t="s">
        <v>270</v>
      </c>
      <c r="B715" s="40" t="s">
        <v>192</v>
      </c>
      <c r="C715" s="41" t="s">
        <v>143</v>
      </c>
      <c r="D715" s="40" t="s">
        <v>144</v>
      </c>
      <c r="E715" s="24">
        <v>4020000</v>
      </c>
      <c r="F715" s="39">
        <v>44196</v>
      </c>
      <c r="G715" s="24">
        <v>4020000</v>
      </c>
      <c r="H715" s="23">
        <v>5.0000000000000001E-3</v>
      </c>
      <c r="I715" s="39">
        <v>44348</v>
      </c>
      <c r="J715" s="39">
        <v>44377</v>
      </c>
      <c r="K715" s="24">
        <v>30</v>
      </c>
      <c r="L715" s="24">
        <v>1652</v>
      </c>
      <c r="M715" s="24">
        <v>4020000</v>
      </c>
    </row>
    <row r="716" spans="1:13" s="48" customFormat="1" outlineLevel="2">
      <c r="A716" s="39" t="s">
        <v>270</v>
      </c>
      <c r="B716" s="40" t="s">
        <v>193</v>
      </c>
      <c r="C716" s="41" t="s">
        <v>273</v>
      </c>
      <c r="D716" s="40" t="s">
        <v>272</v>
      </c>
      <c r="E716" s="24">
        <v>86700000</v>
      </c>
      <c r="F716" s="39">
        <v>44169</v>
      </c>
      <c r="G716" s="24">
        <v>86700000</v>
      </c>
      <c r="H716" s="23">
        <v>5.0000000000000001E-3</v>
      </c>
      <c r="I716" s="39">
        <v>44348</v>
      </c>
      <c r="J716" s="39">
        <v>44377</v>
      </c>
      <c r="K716" s="24">
        <v>30</v>
      </c>
      <c r="L716" s="24">
        <v>35630</v>
      </c>
      <c r="M716" s="24">
        <v>86700000</v>
      </c>
    </row>
    <row r="717" spans="1:13" s="48" customFormat="1" outlineLevel="2">
      <c r="A717" s="39" t="s">
        <v>270</v>
      </c>
      <c r="B717" s="40" t="s">
        <v>194</v>
      </c>
      <c r="C717" s="41" t="s">
        <v>274</v>
      </c>
      <c r="D717" s="40" t="s">
        <v>275</v>
      </c>
      <c r="E717" s="24">
        <v>4977000</v>
      </c>
      <c r="F717" s="39">
        <v>44209</v>
      </c>
      <c r="G717" s="24">
        <v>4977000</v>
      </c>
      <c r="H717" s="23">
        <v>5.0000000000000001E-3</v>
      </c>
      <c r="I717" s="39">
        <v>44348</v>
      </c>
      <c r="J717" s="39">
        <v>44377</v>
      </c>
      <c r="K717" s="24">
        <v>30</v>
      </c>
      <c r="L717" s="24">
        <v>2045</v>
      </c>
      <c r="M717" s="24">
        <v>4977000</v>
      </c>
    </row>
    <row r="718" spans="1:13" s="48" customFormat="1" outlineLevel="2">
      <c r="A718" s="39" t="s">
        <v>270</v>
      </c>
      <c r="B718" s="40" t="s">
        <v>195</v>
      </c>
      <c r="C718" s="41" t="s">
        <v>274</v>
      </c>
      <c r="D718" s="40" t="s">
        <v>275</v>
      </c>
      <c r="E718" s="24">
        <v>9862800</v>
      </c>
      <c r="F718" s="39">
        <v>44209</v>
      </c>
      <c r="G718" s="24">
        <v>9862800</v>
      </c>
      <c r="H718" s="23">
        <v>5.0000000000000001E-3</v>
      </c>
      <c r="I718" s="39">
        <v>44348</v>
      </c>
      <c r="J718" s="39">
        <v>44377</v>
      </c>
      <c r="K718" s="24">
        <v>30</v>
      </c>
      <c r="L718" s="24">
        <v>4053</v>
      </c>
      <c r="M718" s="24">
        <v>9862800</v>
      </c>
    </row>
    <row r="719" spans="1:13" s="48" customFormat="1" outlineLevel="2">
      <c r="A719" s="39" t="s">
        <v>270</v>
      </c>
      <c r="B719" s="40" t="s">
        <v>64</v>
      </c>
      <c r="C719" s="41" t="s">
        <v>273</v>
      </c>
      <c r="D719" s="40" t="s">
        <v>272</v>
      </c>
      <c r="E719" s="24">
        <v>28400000</v>
      </c>
      <c r="F719" s="39">
        <v>43833</v>
      </c>
      <c r="G719" s="24">
        <v>28400000</v>
      </c>
      <c r="H719" s="23">
        <v>5.0000000000000001E-3</v>
      </c>
      <c r="I719" s="39">
        <v>44348</v>
      </c>
      <c r="J719" s="39">
        <v>44377</v>
      </c>
      <c r="K719" s="24">
        <v>30</v>
      </c>
      <c r="L719" s="24">
        <v>11671</v>
      </c>
      <c r="M719" s="24">
        <v>28400000</v>
      </c>
    </row>
    <row r="720" spans="1:13" s="48" customFormat="1" outlineLevel="2">
      <c r="A720" s="39" t="s">
        <v>270</v>
      </c>
      <c r="B720" s="40" t="s">
        <v>196</v>
      </c>
      <c r="C720" s="41" t="s">
        <v>143</v>
      </c>
      <c r="D720" s="40" t="s">
        <v>144</v>
      </c>
      <c r="E720" s="24">
        <v>3620000</v>
      </c>
      <c r="F720" s="39">
        <v>44207</v>
      </c>
      <c r="G720" s="24">
        <v>3620000</v>
      </c>
      <c r="H720" s="23">
        <v>5.0000000000000001E-3</v>
      </c>
      <c r="I720" s="39">
        <v>44348</v>
      </c>
      <c r="J720" s="39">
        <v>44377</v>
      </c>
      <c r="K720" s="24">
        <v>30</v>
      </c>
      <c r="L720" s="24">
        <v>1488</v>
      </c>
      <c r="M720" s="24">
        <v>3620000</v>
      </c>
    </row>
    <row r="721" spans="1:13" s="48" customFormat="1" outlineLevel="2">
      <c r="A721" s="39" t="s">
        <v>270</v>
      </c>
      <c r="B721" s="40" t="s">
        <v>197</v>
      </c>
      <c r="C721" s="41" t="s">
        <v>273</v>
      </c>
      <c r="D721" s="40" t="s">
        <v>272</v>
      </c>
      <c r="E721" s="24">
        <v>20600000</v>
      </c>
      <c r="F721" s="39">
        <v>44201</v>
      </c>
      <c r="G721" s="24">
        <v>20600000</v>
      </c>
      <c r="H721" s="23">
        <v>5.0000000000000001E-3</v>
      </c>
      <c r="I721" s="39">
        <v>44348</v>
      </c>
      <c r="J721" s="39">
        <v>44377</v>
      </c>
      <c r="K721" s="24">
        <v>30</v>
      </c>
      <c r="L721" s="24">
        <v>8466</v>
      </c>
      <c r="M721" s="24">
        <v>20600000</v>
      </c>
    </row>
    <row r="722" spans="1:13" s="48" customFormat="1" outlineLevel="2">
      <c r="A722" s="39" t="s">
        <v>270</v>
      </c>
      <c r="B722" s="40" t="s">
        <v>198</v>
      </c>
      <c r="C722" s="41" t="s">
        <v>75</v>
      </c>
      <c r="D722" s="40" t="s">
        <v>76</v>
      </c>
      <c r="E722" s="24">
        <v>53640000</v>
      </c>
      <c r="F722" s="39">
        <v>44203</v>
      </c>
      <c r="G722" s="24">
        <v>53640000</v>
      </c>
      <c r="H722" s="23">
        <v>5.0000000000000001E-3</v>
      </c>
      <c r="I722" s="39">
        <v>44348</v>
      </c>
      <c r="J722" s="39">
        <v>44377</v>
      </c>
      <c r="K722" s="24">
        <v>30</v>
      </c>
      <c r="L722" s="24">
        <v>22044</v>
      </c>
      <c r="M722" s="24">
        <v>53640000</v>
      </c>
    </row>
    <row r="723" spans="1:13" s="48" customFormat="1" outlineLevel="2">
      <c r="A723" s="39" t="s">
        <v>270</v>
      </c>
      <c r="B723" s="40" t="s">
        <v>199</v>
      </c>
      <c r="C723" s="41" t="s">
        <v>302</v>
      </c>
      <c r="D723" s="40" t="s">
        <v>301</v>
      </c>
      <c r="E723" s="24">
        <v>40160000</v>
      </c>
      <c r="F723" s="39">
        <v>44232</v>
      </c>
      <c r="G723" s="24">
        <v>40160000</v>
      </c>
      <c r="H723" s="23">
        <v>5.0000000000000001E-3</v>
      </c>
      <c r="I723" s="39">
        <v>44348</v>
      </c>
      <c r="J723" s="39">
        <v>44377</v>
      </c>
      <c r="K723" s="24">
        <v>30</v>
      </c>
      <c r="L723" s="24">
        <v>16504</v>
      </c>
      <c r="M723" s="24">
        <v>40160000</v>
      </c>
    </row>
    <row r="724" spans="1:13" s="48" customFormat="1" outlineLevel="2">
      <c r="A724" s="39" t="s">
        <v>270</v>
      </c>
      <c r="B724" s="40" t="s">
        <v>200</v>
      </c>
      <c r="C724" s="41" t="s">
        <v>274</v>
      </c>
      <c r="D724" s="40" t="s">
        <v>275</v>
      </c>
      <c r="E724" s="24">
        <v>3655380</v>
      </c>
      <c r="F724" s="39">
        <v>44230</v>
      </c>
      <c r="G724" s="24">
        <v>3655380</v>
      </c>
      <c r="H724" s="23">
        <v>5.0000000000000001E-3</v>
      </c>
      <c r="I724" s="39">
        <v>44348</v>
      </c>
      <c r="J724" s="39">
        <v>44377</v>
      </c>
      <c r="K724" s="24">
        <v>30</v>
      </c>
      <c r="L724" s="24">
        <v>1502</v>
      </c>
      <c r="M724" s="24">
        <v>3655380</v>
      </c>
    </row>
    <row r="725" spans="1:13" s="48" customFormat="1" outlineLevel="2">
      <c r="A725" s="39" t="s">
        <v>270</v>
      </c>
      <c r="B725" s="40" t="s">
        <v>201</v>
      </c>
      <c r="C725" s="41" t="s">
        <v>274</v>
      </c>
      <c r="D725" s="40" t="s">
        <v>275</v>
      </c>
      <c r="E725" s="24">
        <v>9862800</v>
      </c>
      <c r="F725" s="39">
        <v>44230</v>
      </c>
      <c r="G725" s="24">
        <v>9862800</v>
      </c>
      <c r="H725" s="23">
        <v>5.0000000000000001E-3</v>
      </c>
      <c r="I725" s="39">
        <v>44348</v>
      </c>
      <c r="J725" s="39">
        <v>44377</v>
      </c>
      <c r="K725" s="24">
        <v>30</v>
      </c>
      <c r="L725" s="24">
        <v>4053</v>
      </c>
      <c r="M725" s="24">
        <v>9862800</v>
      </c>
    </row>
    <row r="726" spans="1:13" s="48" customFormat="1" outlineLevel="2">
      <c r="A726" s="39" t="s">
        <v>270</v>
      </c>
      <c r="B726" s="40" t="s">
        <v>202</v>
      </c>
      <c r="C726" s="41" t="s">
        <v>125</v>
      </c>
      <c r="D726" s="40" t="s">
        <v>126</v>
      </c>
      <c r="E726" s="24">
        <v>32000000</v>
      </c>
      <c r="F726" s="39">
        <v>44250</v>
      </c>
      <c r="G726" s="24">
        <v>32000000</v>
      </c>
      <c r="H726" s="23">
        <v>5.0000000000000001E-3</v>
      </c>
      <c r="I726" s="39">
        <v>44348</v>
      </c>
      <c r="J726" s="39">
        <v>44377</v>
      </c>
      <c r="K726" s="24">
        <v>30</v>
      </c>
      <c r="L726" s="24">
        <v>13151</v>
      </c>
      <c r="M726" s="24">
        <v>32000000</v>
      </c>
    </row>
    <row r="727" spans="1:13" s="48" customFormat="1" outlineLevel="2">
      <c r="A727" s="39" t="s">
        <v>270</v>
      </c>
      <c r="B727" s="40" t="s">
        <v>203</v>
      </c>
      <c r="C727" s="41" t="s">
        <v>143</v>
      </c>
      <c r="D727" s="40" t="s">
        <v>144</v>
      </c>
      <c r="E727" s="24">
        <v>2390000</v>
      </c>
      <c r="F727" s="39">
        <v>44228</v>
      </c>
      <c r="G727" s="24">
        <v>2390000</v>
      </c>
      <c r="H727" s="23">
        <v>5.0000000000000001E-3</v>
      </c>
      <c r="I727" s="39">
        <v>44348</v>
      </c>
      <c r="J727" s="39">
        <v>44377</v>
      </c>
      <c r="K727" s="24">
        <v>30</v>
      </c>
      <c r="L727" s="24">
        <v>982</v>
      </c>
      <c r="M727" s="24">
        <v>2390000</v>
      </c>
    </row>
    <row r="728" spans="1:13" s="48" customFormat="1" outlineLevel="2">
      <c r="A728" s="39" t="s">
        <v>270</v>
      </c>
      <c r="B728" s="40" t="s">
        <v>204</v>
      </c>
      <c r="C728" s="41" t="s">
        <v>273</v>
      </c>
      <c r="D728" s="40" t="s">
        <v>272</v>
      </c>
      <c r="E728" s="24">
        <v>43200000</v>
      </c>
      <c r="F728" s="39">
        <v>44232</v>
      </c>
      <c r="G728" s="24">
        <v>43200000</v>
      </c>
      <c r="H728" s="23">
        <v>5.0000000000000001E-3</v>
      </c>
      <c r="I728" s="39">
        <v>44348</v>
      </c>
      <c r="J728" s="39">
        <v>44377</v>
      </c>
      <c r="K728" s="24">
        <v>30</v>
      </c>
      <c r="L728" s="24">
        <v>17753</v>
      </c>
      <c r="M728" s="24">
        <v>43200000</v>
      </c>
    </row>
    <row r="729" spans="1:13" s="48" customFormat="1" outlineLevel="2">
      <c r="A729" s="39" t="s">
        <v>270</v>
      </c>
      <c r="B729" s="40" t="s">
        <v>205</v>
      </c>
      <c r="C729" s="41" t="s">
        <v>273</v>
      </c>
      <c r="D729" s="40" t="s">
        <v>272</v>
      </c>
      <c r="E729" s="24">
        <v>4600000</v>
      </c>
      <c r="F729" s="39">
        <v>44232</v>
      </c>
      <c r="G729" s="24">
        <v>4600000</v>
      </c>
      <c r="H729" s="23">
        <v>5.0000000000000001E-3</v>
      </c>
      <c r="I729" s="39">
        <v>44348</v>
      </c>
      <c r="J729" s="39">
        <v>44377</v>
      </c>
      <c r="K729" s="24">
        <v>30</v>
      </c>
      <c r="L729" s="24">
        <v>1890</v>
      </c>
      <c r="M729" s="24">
        <v>4600000</v>
      </c>
    </row>
    <row r="730" spans="1:13" s="48" customFormat="1" outlineLevel="2">
      <c r="A730" s="39" t="s">
        <v>270</v>
      </c>
      <c r="B730" s="40" t="s">
        <v>65</v>
      </c>
      <c r="C730" s="41" t="s">
        <v>274</v>
      </c>
      <c r="D730" s="40" t="s">
        <v>275</v>
      </c>
      <c r="E730" s="24">
        <v>5452560</v>
      </c>
      <c r="F730" s="39">
        <v>43873</v>
      </c>
      <c r="G730" s="24">
        <v>5452560</v>
      </c>
      <c r="H730" s="23">
        <v>5.0000000000000001E-3</v>
      </c>
      <c r="I730" s="39">
        <v>44348</v>
      </c>
      <c r="J730" s="39">
        <v>44377</v>
      </c>
      <c r="K730" s="24">
        <v>30</v>
      </c>
      <c r="L730" s="24">
        <v>2241</v>
      </c>
      <c r="M730" s="24">
        <v>5452560</v>
      </c>
    </row>
    <row r="731" spans="1:13" s="48" customFormat="1" outlineLevel="2">
      <c r="A731" s="39" t="s">
        <v>270</v>
      </c>
      <c r="B731" s="40" t="s">
        <v>206</v>
      </c>
      <c r="C731" s="41" t="s">
        <v>302</v>
      </c>
      <c r="D731" s="40" t="s">
        <v>301</v>
      </c>
      <c r="E731" s="24">
        <v>40660000</v>
      </c>
      <c r="F731" s="39">
        <v>44272</v>
      </c>
      <c r="G731" s="24">
        <v>40660000</v>
      </c>
      <c r="H731" s="23">
        <v>5.0000000000000001E-3</v>
      </c>
      <c r="I731" s="39">
        <v>44348</v>
      </c>
      <c r="J731" s="39">
        <v>44377</v>
      </c>
      <c r="K731" s="24">
        <v>30</v>
      </c>
      <c r="L731" s="24">
        <v>16710</v>
      </c>
      <c r="M731" s="24">
        <v>40660000</v>
      </c>
    </row>
    <row r="732" spans="1:13" s="48" customFormat="1" outlineLevel="2">
      <c r="A732" s="39" t="s">
        <v>270</v>
      </c>
      <c r="B732" s="40" t="s">
        <v>207</v>
      </c>
      <c r="C732" s="41" t="s">
        <v>322</v>
      </c>
      <c r="D732" s="40" t="s">
        <v>321</v>
      </c>
      <c r="E732" s="24">
        <v>13800000</v>
      </c>
      <c r="F732" s="39">
        <v>44264</v>
      </c>
      <c r="G732" s="24">
        <v>13800000</v>
      </c>
      <c r="H732" s="23">
        <v>5.0000000000000001E-3</v>
      </c>
      <c r="I732" s="39">
        <v>44348</v>
      </c>
      <c r="J732" s="39">
        <v>44377</v>
      </c>
      <c r="K732" s="24">
        <v>30</v>
      </c>
      <c r="L732" s="24">
        <v>5671</v>
      </c>
      <c r="M732" s="24">
        <v>13800000</v>
      </c>
    </row>
    <row r="733" spans="1:13" s="48" customFormat="1" outlineLevel="2">
      <c r="A733" s="39" t="s">
        <v>270</v>
      </c>
      <c r="B733" s="40" t="s">
        <v>208</v>
      </c>
      <c r="C733" s="41" t="s">
        <v>274</v>
      </c>
      <c r="D733" s="40" t="s">
        <v>275</v>
      </c>
      <c r="E733" s="24">
        <v>8641320</v>
      </c>
      <c r="F733" s="39">
        <v>44265</v>
      </c>
      <c r="G733" s="24">
        <v>8641320</v>
      </c>
      <c r="H733" s="23">
        <v>5.0000000000000001E-3</v>
      </c>
      <c r="I733" s="39">
        <v>44348</v>
      </c>
      <c r="J733" s="39">
        <v>44377</v>
      </c>
      <c r="K733" s="24">
        <v>30</v>
      </c>
      <c r="L733" s="24">
        <v>3551</v>
      </c>
      <c r="M733" s="24">
        <v>8641320</v>
      </c>
    </row>
    <row r="734" spans="1:13" s="48" customFormat="1" outlineLevel="2">
      <c r="A734" s="39" t="s">
        <v>270</v>
      </c>
      <c r="B734" s="40" t="s">
        <v>209</v>
      </c>
      <c r="C734" s="41" t="s">
        <v>274</v>
      </c>
      <c r="D734" s="40" t="s">
        <v>275</v>
      </c>
      <c r="E734" s="24">
        <v>3655380</v>
      </c>
      <c r="F734" s="39">
        <v>44265</v>
      </c>
      <c r="G734" s="24">
        <v>3655380</v>
      </c>
      <c r="H734" s="23">
        <v>5.0000000000000001E-3</v>
      </c>
      <c r="I734" s="39">
        <v>44348</v>
      </c>
      <c r="J734" s="39">
        <v>44377</v>
      </c>
      <c r="K734" s="24">
        <v>30</v>
      </c>
      <c r="L734" s="24">
        <v>1502</v>
      </c>
      <c r="M734" s="24">
        <v>3655380</v>
      </c>
    </row>
    <row r="735" spans="1:13" s="48" customFormat="1" outlineLevel="2">
      <c r="A735" s="39" t="s">
        <v>270</v>
      </c>
      <c r="B735" s="40" t="s">
        <v>210</v>
      </c>
      <c r="C735" s="41" t="s">
        <v>274</v>
      </c>
      <c r="D735" s="40" t="s">
        <v>275</v>
      </c>
      <c r="E735" s="24">
        <v>13280000</v>
      </c>
      <c r="F735" s="39">
        <v>44272</v>
      </c>
      <c r="G735" s="24">
        <v>13280000</v>
      </c>
      <c r="H735" s="23">
        <v>5.0000000000000001E-3</v>
      </c>
      <c r="I735" s="39">
        <v>44348</v>
      </c>
      <c r="J735" s="39">
        <v>44377</v>
      </c>
      <c r="K735" s="24">
        <v>30</v>
      </c>
      <c r="L735" s="24">
        <v>5458</v>
      </c>
      <c r="M735" s="24">
        <v>13280000</v>
      </c>
    </row>
    <row r="736" spans="1:13" s="48" customFormat="1" outlineLevel="2">
      <c r="A736" s="39" t="s">
        <v>270</v>
      </c>
      <c r="B736" s="40" t="s">
        <v>211</v>
      </c>
      <c r="C736" s="41" t="s">
        <v>115</v>
      </c>
      <c r="D736" s="40" t="s">
        <v>116</v>
      </c>
      <c r="E736" s="24">
        <v>47000000</v>
      </c>
      <c r="F736" s="39">
        <v>44284</v>
      </c>
      <c r="G736" s="24">
        <v>47000000</v>
      </c>
      <c r="H736" s="23">
        <v>5.0000000000000001E-3</v>
      </c>
      <c r="I736" s="39">
        <v>44348</v>
      </c>
      <c r="J736" s="39">
        <v>44377</v>
      </c>
      <c r="K736" s="24">
        <v>30</v>
      </c>
      <c r="L736" s="24">
        <v>19315</v>
      </c>
      <c r="M736" s="24">
        <v>47000000</v>
      </c>
    </row>
    <row r="737" spans="1:13" s="48" customFormat="1" outlineLevel="2">
      <c r="A737" s="39" t="s">
        <v>270</v>
      </c>
      <c r="B737" s="40" t="s">
        <v>212</v>
      </c>
      <c r="C737" s="41" t="s">
        <v>143</v>
      </c>
      <c r="D737" s="40" t="s">
        <v>144</v>
      </c>
      <c r="E737" s="24">
        <v>5840000</v>
      </c>
      <c r="F737" s="39">
        <v>44257</v>
      </c>
      <c r="G737" s="24">
        <v>5840000</v>
      </c>
      <c r="H737" s="23">
        <v>5.0000000000000001E-3</v>
      </c>
      <c r="I737" s="39">
        <v>44348</v>
      </c>
      <c r="J737" s="39">
        <v>44377</v>
      </c>
      <c r="K737" s="24">
        <v>30</v>
      </c>
      <c r="L737" s="24">
        <v>2400</v>
      </c>
      <c r="M737" s="24">
        <v>5840000</v>
      </c>
    </row>
    <row r="738" spans="1:13" s="48" customFormat="1" outlineLevel="2">
      <c r="A738" s="39" t="s">
        <v>270</v>
      </c>
      <c r="B738" s="40" t="s">
        <v>213</v>
      </c>
      <c r="C738" s="41" t="s">
        <v>143</v>
      </c>
      <c r="D738" s="40" t="s">
        <v>144</v>
      </c>
      <c r="E738" s="24">
        <v>3570000</v>
      </c>
      <c r="F738" s="39">
        <v>44286</v>
      </c>
      <c r="G738" s="24">
        <v>3570000</v>
      </c>
      <c r="H738" s="23">
        <v>5.0000000000000001E-3</v>
      </c>
      <c r="I738" s="39">
        <v>44348</v>
      </c>
      <c r="J738" s="39">
        <v>44377</v>
      </c>
      <c r="K738" s="24">
        <v>30</v>
      </c>
      <c r="L738" s="24">
        <v>1467</v>
      </c>
      <c r="M738" s="24">
        <v>3570000</v>
      </c>
    </row>
    <row r="739" spans="1:13" s="48" customFormat="1" outlineLevel="2">
      <c r="A739" s="39" t="s">
        <v>270</v>
      </c>
      <c r="B739" s="40" t="s">
        <v>214</v>
      </c>
      <c r="C739" s="41" t="s">
        <v>273</v>
      </c>
      <c r="D739" s="40" t="s">
        <v>272</v>
      </c>
      <c r="E739" s="24">
        <v>63400000</v>
      </c>
      <c r="F739" s="39">
        <v>44260</v>
      </c>
      <c r="G739" s="24">
        <v>63400000</v>
      </c>
      <c r="H739" s="23">
        <v>5.0000000000000001E-3</v>
      </c>
      <c r="I739" s="39">
        <v>44348</v>
      </c>
      <c r="J739" s="39">
        <v>44377</v>
      </c>
      <c r="K739" s="24">
        <v>30</v>
      </c>
      <c r="L739" s="24">
        <v>26055</v>
      </c>
      <c r="M739" s="24">
        <v>63400000</v>
      </c>
    </row>
    <row r="740" spans="1:13" s="48" customFormat="1" outlineLevel="2">
      <c r="A740" s="39" t="s">
        <v>270</v>
      </c>
      <c r="B740" s="40" t="s">
        <v>215</v>
      </c>
      <c r="C740" s="41" t="s">
        <v>273</v>
      </c>
      <c r="D740" s="40" t="s">
        <v>272</v>
      </c>
      <c r="E740" s="24">
        <v>2800000</v>
      </c>
      <c r="F740" s="39">
        <v>44260</v>
      </c>
      <c r="G740" s="24">
        <v>2800000</v>
      </c>
      <c r="H740" s="23">
        <v>5.0000000000000001E-3</v>
      </c>
      <c r="I740" s="39">
        <v>44348</v>
      </c>
      <c r="J740" s="39">
        <v>44377</v>
      </c>
      <c r="K740" s="24">
        <v>30</v>
      </c>
      <c r="L740" s="24">
        <v>1151</v>
      </c>
      <c r="M740" s="24">
        <v>2800000</v>
      </c>
    </row>
    <row r="741" spans="1:13" s="48" customFormat="1" outlineLevel="2">
      <c r="A741" s="39" t="s">
        <v>270</v>
      </c>
      <c r="B741" s="40" t="s">
        <v>68</v>
      </c>
      <c r="C741" s="41" t="s">
        <v>274</v>
      </c>
      <c r="D741" s="40" t="s">
        <v>275</v>
      </c>
      <c r="E741" s="24">
        <v>7270080</v>
      </c>
      <c r="F741" s="39">
        <v>43873</v>
      </c>
      <c r="G741" s="24">
        <v>7270080</v>
      </c>
      <c r="H741" s="23">
        <v>5.0000000000000001E-3</v>
      </c>
      <c r="I741" s="39">
        <v>44348</v>
      </c>
      <c r="J741" s="39">
        <v>44377</v>
      </c>
      <c r="K741" s="24">
        <v>30</v>
      </c>
      <c r="L741" s="24">
        <v>2988</v>
      </c>
      <c r="M741" s="24">
        <v>7270080</v>
      </c>
    </row>
    <row r="742" spans="1:13" s="48" customFormat="1" outlineLevel="2">
      <c r="A742" s="39" t="s">
        <v>270</v>
      </c>
      <c r="B742" s="40" t="s">
        <v>216</v>
      </c>
      <c r="C742" s="41" t="s">
        <v>75</v>
      </c>
      <c r="D742" s="40" t="s">
        <v>76</v>
      </c>
      <c r="E742" s="24">
        <v>48420000</v>
      </c>
      <c r="F742" s="39">
        <v>44280</v>
      </c>
      <c r="G742" s="24">
        <v>48420000</v>
      </c>
      <c r="H742" s="23">
        <v>5.0000000000000001E-3</v>
      </c>
      <c r="I742" s="39">
        <v>44348</v>
      </c>
      <c r="J742" s="39">
        <v>44377</v>
      </c>
      <c r="K742" s="24">
        <v>30</v>
      </c>
      <c r="L742" s="24">
        <v>19899</v>
      </c>
      <c r="M742" s="24">
        <v>48420000</v>
      </c>
    </row>
    <row r="743" spans="1:13" s="48" customFormat="1" outlineLevel="2">
      <c r="A743" s="39" t="s">
        <v>270</v>
      </c>
      <c r="B743" s="40" t="s">
        <v>217</v>
      </c>
      <c r="C743" s="41" t="s">
        <v>274</v>
      </c>
      <c r="D743" s="40" t="s">
        <v>275</v>
      </c>
      <c r="E743" s="24">
        <v>8641320</v>
      </c>
      <c r="F743" s="39">
        <v>44293</v>
      </c>
      <c r="G743" s="24">
        <v>8641320</v>
      </c>
      <c r="H743" s="23">
        <v>5.0000000000000001E-3</v>
      </c>
      <c r="I743" s="39">
        <v>44348</v>
      </c>
      <c r="J743" s="39">
        <v>44377</v>
      </c>
      <c r="K743" s="24">
        <v>30</v>
      </c>
      <c r="L743" s="24">
        <v>3551</v>
      </c>
      <c r="M743" s="24">
        <v>8641320</v>
      </c>
    </row>
    <row r="744" spans="1:13" s="48" customFormat="1" outlineLevel="2">
      <c r="A744" s="39" t="s">
        <v>270</v>
      </c>
      <c r="B744" s="40" t="s">
        <v>218</v>
      </c>
      <c r="C744" s="41" t="s">
        <v>274</v>
      </c>
      <c r="D744" s="40" t="s">
        <v>275</v>
      </c>
      <c r="E744" s="24">
        <v>10475040</v>
      </c>
      <c r="F744" s="39">
        <v>44293</v>
      </c>
      <c r="G744" s="24">
        <v>10475040</v>
      </c>
      <c r="H744" s="23">
        <v>5.0000000000000001E-3</v>
      </c>
      <c r="I744" s="39">
        <v>44348</v>
      </c>
      <c r="J744" s="39">
        <v>44377</v>
      </c>
      <c r="K744" s="24">
        <v>30</v>
      </c>
      <c r="L744" s="24">
        <v>4305</v>
      </c>
      <c r="M744" s="24">
        <v>10475040</v>
      </c>
    </row>
    <row r="745" spans="1:13" s="48" customFormat="1" outlineLevel="2">
      <c r="A745" s="39" t="s">
        <v>270</v>
      </c>
      <c r="B745" s="40" t="s">
        <v>221</v>
      </c>
      <c r="C745" s="41" t="s">
        <v>143</v>
      </c>
      <c r="D745" s="40" t="s">
        <v>144</v>
      </c>
      <c r="E745" s="24">
        <v>2890000</v>
      </c>
      <c r="F745" s="39">
        <v>44298</v>
      </c>
      <c r="G745" s="24">
        <v>2890000</v>
      </c>
      <c r="H745" s="23">
        <v>5.0000000000000001E-3</v>
      </c>
      <c r="I745" s="39">
        <v>44348</v>
      </c>
      <c r="J745" s="39">
        <v>44377</v>
      </c>
      <c r="K745" s="24">
        <v>30</v>
      </c>
      <c r="L745" s="24">
        <v>1188</v>
      </c>
      <c r="M745" s="24">
        <v>2890000</v>
      </c>
    </row>
    <row r="746" spans="1:13" s="48" customFormat="1" outlineLevel="2">
      <c r="A746" s="39" t="s">
        <v>270</v>
      </c>
      <c r="B746" s="40" t="s">
        <v>222</v>
      </c>
      <c r="C746" s="41" t="s">
        <v>273</v>
      </c>
      <c r="D746" s="40" t="s">
        <v>272</v>
      </c>
      <c r="E746" s="24">
        <v>5600000</v>
      </c>
      <c r="F746" s="39">
        <v>44287</v>
      </c>
      <c r="G746" s="24">
        <v>5600000</v>
      </c>
      <c r="H746" s="23">
        <v>5.0000000000000001E-3</v>
      </c>
      <c r="I746" s="39">
        <v>44348</v>
      </c>
      <c r="J746" s="39">
        <v>44377</v>
      </c>
      <c r="K746" s="24">
        <v>30</v>
      </c>
      <c r="L746" s="24">
        <v>2301</v>
      </c>
      <c r="M746" s="24">
        <v>5600000</v>
      </c>
    </row>
    <row r="747" spans="1:13" s="48" customFormat="1" outlineLevel="2">
      <c r="A747" s="39" t="s">
        <v>270</v>
      </c>
      <c r="B747" s="40" t="s">
        <v>223</v>
      </c>
      <c r="C747" s="41" t="s">
        <v>273</v>
      </c>
      <c r="D747" s="40" t="s">
        <v>272</v>
      </c>
      <c r="E747" s="24">
        <v>24000000</v>
      </c>
      <c r="F747" s="39">
        <v>44287</v>
      </c>
      <c r="G747" s="24">
        <v>24000000</v>
      </c>
      <c r="H747" s="23">
        <v>5.0000000000000001E-3</v>
      </c>
      <c r="I747" s="39">
        <v>44348</v>
      </c>
      <c r="J747" s="39">
        <v>44377</v>
      </c>
      <c r="K747" s="24">
        <v>30</v>
      </c>
      <c r="L747" s="24">
        <v>9863</v>
      </c>
      <c r="M747" s="24">
        <v>24000000</v>
      </c>
    </row>
    <row r="748" spans="1:13" s="48" customFormat="1" outlineLevel="2">
      <c r="A748" s="39" t="s">
        <v>270</v>
      </c>
      <c r="B748" s="40" t="s">
        <v>224</v>
      </c>
      <c r="C748" s="41" t="s">
        <v>341</v>
      </c>
      <c r="D748" s="40" t="s">
        <v>340</v>
      </c>
      <c r="E748" s="24">
        <v>19600000</v>
      </c>
      <c r="F748" s="39">
        <v>44314</v>
      </c>
      <c r="G748" s="24">
        <v>19600000</v>
      </c>
      <c r="H748" s="23">
        <v>5.0000000000000001E-3</v>
      </c>
      <c r="I748" s="39">
        <v>44348</v>
      </c>
      <c r="J748" s="39">
        <v>44377</v>
      </c>
      <c r="K748" s="24">
        <v>30</v>
      </c>
      <c r="L748" s="24">
        <v>8055</v>
      </c>
      <c r="M748" s="24">
        <v>19600000</v>
      </c>
    </row>
    <row r="749" spans="1:13" s="48" customFormat="1" outlineLevel="2">
      <c r="A749" s="39" t="s">
        <v>270</v>
      </c>
      <c r="B749" s="40" t="s">
        <v>225</v>
      </c>
      <c r="C749" s="41" t="s">
        <v>341</v>
      </c>
      <c r="D749" s="40" t="s">
        <v>340</v>
      </c>
      <c r="E749" s="24">
        <v>46800000</v>
      </c>
      <c r="F749" s="39">
        <v>44314</v>
      </c>
      <c r="G749" s="24">
        <v>46800000</v>
      </c>
      <c r="H749" s="23">
        <v>5.0000000000000001E-3</v>
      </c>
      <c r="I749" s="39">
        <v>44348</v>
      </c>
      <c r="J749" s="39">
        <v>44377</v>
      </c>
      <c r="K749" s="24">
        <v>30</v>
      </c>
      <c r="L749" s="24">
        <v>19233</v>
      </c>
      <c r="M749" s="24">
        <v>46800000</v>
      </c>
    </row>
    <row r="750" spans="1:13" s="48" customFormat="1" outlineLevel="2">
      <c r="A750" s="39" t="s">
        <v>270</v>
      </c>
      <c r="B750" s="40" t="s">
        <v>226</v>
      </c>
      <c r="C750" s="41" t="s">
        <v>274</v>
      </c>
      <c r="D750" s="40" t="s">
        <v>275</v>
      </c>
      <c r="E750" s="24">
        <v>10475040</v>
      </c>
      <c r="F750" s="39">
        <v>44328</v>
      </c>
      <c r="G750" s="24">
        <v>10475040</v>
      </c>
      <c r="H750" s="23">
        <v>5.0000000000000001E-3</v>
      </c>
      <c r="I750" s="39">
        <v>44348</v>
      </c>
      <c r="J750" s="39">
        <v>44377</v>
      </c>
      <c r="K750" s="24">
        <v>30</v>
      </c>
      <c r="L750" s="24">
        <v>4305</v>
      </c>
      <c r="M750" s="24">
        <v>10475040</v>
      </c>
    </row>
    <row r="751" spans="1:13" s="48" customFormat="1" outlineLevel="2">
      <c r="A751" s="39" t="s">
        <v>270</v>
      </c>
      <c r="B751" s="40" t="s">
        <v>227</v>
      </c>
      <c r="C751" s="41" t="s">
        <v>274</v>
      </c>
      <c r="D751" s="40" t="s">
        <v>275</v>
      </c>
      <c r="E751" s="24">
        <v>18388440</v>
      </c>
      <c r="F751" s="39">
        <v>44328</v>
      </c>
      <c r="G751" s="24">
        <v>18388440</v>
      </c>
      <c r="H751" s="23">
        <v>5.0000000000000001E-3</v>
      </c>
      <c r="I751" s="39">
        <v>44348</v>
      </c>
      <c r="J751" s="39">
        <v>44377</v>
      </c>
      <c r="K751" s="24">
        <v>30</v>
      </c>
      <c r="L751" s="24">
        <v>7557</v>
      </c>
      <c r="M751" s="24">
        <v>18388440</v>
      </c>
    </row>
    <row r="752" spans="1:13" s="48" customFormat="1" outlineLevel="1">
      <c r="A752" s="42" t="s">
        <v>282</v>
      </c>
      <c r="B752" s="43"/>
      <c r="C752" s="44"/>
      <c r="D752" s="43"/>
      <c r="E752" s="45">
        <v>4420690582</v>
      </c>
      <c r="F752" s="46"/>
      <c r="G752" s="45"/>
      <c r="H752" s="47"/>
      <c r="I752" s="46"/>
      <c r="J752" s="46"/>
      <c r="K752" s="45"/>
      <c r="L752" s="45">
        <v>1809843</v>
      </c>
      <c r="M752" s="45">
        <v>4420690582</v>
      </c>
    </row>
    <row r="753" spans="1:13" s="48" customFormat="1" outlineLevel="2">
      <c r="A753" s="39" t="s">
        <v>283</v>
      </c>
      <c r="B753" s="40" t="s">
        <v>16</v>
      </c>
      <c r="C753" s="41" t="s">
        <v>284</v>
      </c>
      <c r="D753" s="40" t="s">
        <v>285</v>
      </c>
      <c r="E753" s="24">
        <v>50000000</v>
      </c>
      <c r="F753" s="39">
        <v>44211</v>
      </c>
      <c r="G753" s="24">
        <v>50000000</v>
      </c>
      <c r="H753" s="23">
        <v>5.0000000000000001E-3</v>
      </c>
      <c r="I753" s="39">
        <v>44348</v>
      </c>
      <c r="J753" s="39">
        <v>44377</v>
      </c>
      <c r="K753" s="24">
        <v>30</v>
      </c>
      <c r="L753" s="24">
        <v>20548</v>
      </c>
      <c r="M753" s="24">
        <v>50000000</v>
      </c>
    </row>
    <row r="754" spans="1:13" s="48" customFormat="1" outlineLevel="1">
      <c r="A754" s="42" t="s">
        <v>286</v>
      </c>
      <c r="B754" s="43"/>
      <c r="C754" s="44"/>
      <c r="D754" s="43"/>
      <c r="E754" s="45">
        <v>50000000</v>
      </c>
      <c r="F754" s="46"/>
      <c r="G754" s="45"/>
      <c r="H754" s="47"/>
      <c r="I754" s="46"/>
      <c r="J754" s="46"/>
      <c r="K754" s="45"/>
      <c r="L754" s="45">
        <v>20548</v>
      </c>
      <c r="M754" s="45">
        <v>50000000</v>
      </c>
    </row>
    <row r="755" spans="1:13" s="48" customFormat="1" outlineLevel="2">
      <c r="A755" s="39" t="s">
        <v>287</v>
      </c>
      <c r="B755" s="40" t="s">
        <v>16</v>
      </c>
      <c r="C755" s="41" t="s">
        <v>30</v>
      </c>
      <c r="D755" s="40" t="s">
        <v>31</v>
      </c>
      <c r="E755" s="24">
        <v>20000000</v>
      </c>
      <c r="F755" s="39">
        <v>43985</v>
      </c>
      <c r="G755" s="24">
        <v>20000000</v>
      </c>
      <c r="H755" s="23">
        <v>5.0000000000000001E-3</v>
      </c>
      <c r="I755" s="39">
        <v>44348</v>
      </c>
      <c r="J755" s="39">
        <v>44377</v>
      </c>
      <c r="K755" s="24">
        <v>30</v>
      </c>
      <c r="L755" s="24">
        <v>8219</v>
      </c>
      <c r="M755" s="24">
        <v>20000000</v>
      </c>
    </row>
    <row r="756" spans="1:13" s="48" customFormat="1" outlineLevel="2">
      <c r="A756" s="39" t="s">
        <v>287</v>
      </c>
      <c r="B756" s="40" t="s">
        <v>39</v>
      </c>
      <c r="C756" s="41" t="s">
        <v>30</v>
      </c>
      <c r="D756" s="40" t="s">
        <v>31</v>
      </c>
      <c r="E756" s="24">
        <v>13800000</v>
      </c>
      <c r="F756" s="39">
        <v>44034</v>
      </c>
      <c r="G756" s="24">
        <v>13800000</v>
      </c>
      <c r="H756" s="23">
        <v>5.0000000000000001E-3</v>
      </c>
      <c r="I756" s="39">
        <v>44348</v>
      </c>
      <c r="J756" s="39">
        <v>44377</v>
      </c>
      <c r="K756" s="24">
        <v>30</v>
      </c>
      <c r="L756" s="24">
        <v>5671</v>
      </c>
      <c r="M756" s="24">
        <v>13800000</v>
      </c>
    </row>
    <row r="757" spans="1:13" s="48" customFormat="1" outlineLevel="2">
      <c r="A757" s="39" t="s">
        <v>287</v>
      </c>
      <c r="B757" s="40" t="s">
        <v>54</v>
      </c>
      <c r="C757" s="41" t="s">
        <v>30</v>
      </c>
      <c r="D757" s="40" t="s">
        <v>31</v>
      </c>
      <c r="E757" s="24">
        <v>25000000</v>
      </c>
      <c r="F757" s="39">
        <v>44102</v>
      </c>
      <c r="G757" s="24">
        <v>25000000</v>
      </c>
      <c r="H757" s="23">
        <v>5.0000000000000001E-3</v>
      </c>
      <c r="I757" s="39">
        <v>44348</v>
      </c>
      <c r="J757" s="39">
        <v>44377</v>
      </c>
      <c r="K757" s="24">
        <v>30</v>
      </c>
      <c r="L757" s="24">
        <v>10274</v>
      </c>
      <c r="M757" s="24">
        <v>25000000</v>
      </c>
    </row>
    <row r="758" spans="1:13" s="48" customFormat="1" outlineLevel="2">
      <c r="A758" s="39" t="s">
        <v>287</v>
      </c>
      <c r="B758" s="40" t="s">
        <v>59</v>
      </c>
      <c r="C758" s="41" t="s">
        <v>30</v>
      </c>
      <c r="D758" s="40" t="s">
        <v>31</v>
      </c>
      <c r="E758" s="24">
        <v>5600000</v>
      </c>
      <c r="F758" s="39">
        <v>44103</v>
      </c>
      <c r="G758" s="24">
        <v>5600000</v>
      </c>
      <c r="H758" s="23">
        <v>5.0000000000000001E-3</v>
      </c>
      <c r="I758" s="39">
        <v>44348</v>
      </c>
      <c r="J758" s="39">
        <v>44377</v>
      </c>
      <c r="K758" s="24">
        <v>30</v>
      </c>
      <c r="L758" s="24">
        <v>2301</v>
      </c>
      <c r="M758" s="24">
        <v>5600000</v>
      </c>
    </row>
    <row r="759" spans="1:13" s="48" customFormat="1" outlineLevel="1">
      <c r="A759" s="42" t="s">
        <v>288</v>
      </c>
      <c r="B759" s="43"/>
      <c r="C759" s="44"/>
      <c r="D759" s="43"/>
      <c r="E759" s="45">
        <v>64400000</v>
      </c>
      <c r="F759" s="46"/>
      <c r="G759" s="45"/>
      <c r="H759" s="47"/>
      <c r="I759" s="46"/>
      <c r="J759" s="46"/>
      <c r="K759" s="45"/>
      <c r="L759" s="45">
        <v>26465</v>
      </c>
      <c r="M759" s="45">
        <v>64400000</v>
      </c>
    </row>
    <row r="760" spans="1:13" s="48" customFormat="1" outlineLevel="2">
      <c r="A760" s="39" t="s">
        <v>289</v>
      </c>
      <c r="B760" s="40" t="s">
        <v>16</v>
      </c>
      <c r="C760" s="41" t="s">
        <v>121</v>
      </c>
      <c r="D760" s="40" t="s">
        <v>122</v>
      </c>
      <c r="E760" s="24">
        <v>72000000</v>
      </c>
      <c r="F760" s="39">
        <v>43917</v>
      </c>
      <c r="G760" s="24">
        <v>72000000</v>
      </c>
      <c r="H760" s="23">
        <v>5.0000000000000001E-3</v>
      </c>
      <c r="I760" s="39">
        <v>44348</v>
      </c>
      <c r="J760" s="39">
        <v>44377</v>
      </c>
      <c r="K760" s="24">
        <v>30</v>
      </c>
      <c r="L760" s="24">
        <v>29589</v>
      </c>
      <c r="M760" s="24">
        <v>72000000</v>
      </c>
    </row>
    <row r="761" spans="1:13" s="48" customFormat="1" outlineLevel="2">
      <c r="A761" s="39" t="s">
        <v>289</v>
      </c>
      <c r="B761" s="40" t="s">
        <v>39</v>
      </c>
      <c r="C761" s="41" t="s">
        <v>121</v>
      </c>
      <c r="D761" s="40" t="s">
        <v>122</v>
      </c>
      <c r="E761" s="24">
        <v>144000000</v>
      </c>
      <c r="F761" s="39">
        <v>44018</v>
      </c>
      <c r="G761" s="24">
        <v>144000000</v>
      </c>
      <c r="H761" s="23">
        <v>5.0000000000000001E-3</v>
      </c>
      <c r="I761" s="39">
        <v>44348</v>
      </c>
      <c r="J761" s="39">
        <v>44377</v>
      </c>
      <c r="K761" s="24">
        <v>30</v>
      </c>
      <c r="L761" s="24">
        <v>59178</v>
      </c>
      <c r="M761" s="24">
        <v>144000000</v>
      </c>
    </row>
    <row r="762" spans="1:13" s="48" customFormat="1" outlineLevel="2">
      <c r="A762" s="39" t="s">
        <v>289</v>
      </c>
      <c r="B762" s="40" t="s">
        <v>54</v>
      </c>
      <c r="C762" s="41" t="s">
        <v>290</v>
      </c>
      <c r="D762" s="40" t="s">
        <v>291</v>
      </c>
      <c r="E762" s="24">
        <v>6820000</v>
      </c>
      <c r="F762" s="39">
        <v>44092</v>
      </c>
      <c r="G762" s="24">
        <v>5910664</v>
      </c>
      <c r="H762" s="23">
        <v>5.0000000000000001E-3</v>
      </c>
      <c r="I762" s="39">
        <v>44348</v>
      </c>
      <c r="J762" s="39">
        <v>44361</v>
      </c>
      <c r="K762" s="24">
        <v>14</v>
      </c>
      <c r="L762" s="24">
        <v>1134</v>
      </c>
      <c r="M762" s="24">
        <v>5796997</v>
      </c>
    </row>
    <row r="763" spans="1:13" s="48" customFormat="1" outlineLevel="2">
      <c r="A763" s="39" t="s">
        <v>289</v>
      </c>
      <c r="B763" s="40" t="s">
        <v>54</v>
      </c>
      <c r="C763" s="41" t="s">
        <v>290</v>
      </c>
      <c r="D763" s="40"/>
      <c r="E763" s="24"/>
      <c r="F763" s="39"/>
      <c r="G763" s="24">
        <v>5796997</v>
      </c>
      <c r="H763" s="23">
        <v>5.0000000000000001E-3</v>
      </c>
      <c r="I763" s="39">
        <v>44362</v>
      </c>
      <c r="J763" s="39">
        <v>44377</v>
      </c>
      <c r="K763" s="24">
        <v>16</v>
      </c>
      <c r="L763" s="24">
        <v>1271</v>
      </c>
      <c r="M763" s="24"/>
    </row>
    <row r="764" spans="1:13" s="48" customFormat="1" outlineLevel="2">
      <c r="A764" s="39" t="s">
        <v>289</v>
      </c>
      <c r="B764" s="40" t="s">
        <v>59</v>
      </c>
      <c r="C764" s="41" t="s">
        <v>290</v>
      </c>
      <c r="D764" s="40" t="s">
        <v>291</v>
      </c>
      <c r="E764" s="24">
        <v>17380000</v>
      </c>
      <c r="F764" s="39">
        <v>44092</v>
      </c>
      <c r="G764" s="24">
        <v>13517776</v>
      </c>
      <c r="H764" s="23">
        <v>5.0000000000000001E-3</v>
      </c>
      <c r="I764" s="39">
        <v>44348</v>
      </c>
      <c r="J764" s="39">
        <v>44361</v>
      </c>
      <c r="K764" s="24">
        <v>14</v>
      </c>
      <c r="L764" s="24">
        <v>2592</v>
      </c>
      <c r="M764" s="24">
        <v>13034998</v>
      </c>
    </row>
    <row r="765" spans="1:13" s="48" customFormat="1" outlineLevel="2">
      <c r="A765" s="39" t="s">
        <v>289</v>
      </c>
      <c r="B765" s="40" t="s">
        <v>59</v>
      </c>
      <c r="C765" s="41" t="s">
        <v>290</v>
      </c>
      <c r="D765" s="40"/>
      <c r="E765" s="24"/>
      <c r="F765" s="39"/>
      <c r="G765" s="24">
        <v>13034998</v>
      </c>
      <c r="H765" s="23">
        <v>5.0000000000000001E-3</v>
      </c>
      <c r="I765" s="39">
        <v>44362</v>
      </c>
      <c r="J765" s="39">
        <v>44377</v>
      </c>
      <c r="K765" s="24">
        <v>16</v>
      </c>
      <c r="L765" s="24">
        <v>2857</v>
      </c>
      <c r="M765" s="24"/>
    </row>
    <row r="766" spans="1:13" s="48" customFormat="1" outlineLevel="2">
      <c r="A766" s="39" t="s">
        <v>289</v>
      </c>
      <c r="B766" s="40" t="s">
        <v>62</v>
      </c>
      <c r="C766" s="41" t="s">
        <v>121</v>
      </c>
      <c r="D766" s="40" t="s">
        <v>122</v>
      </c>
      <c r="E766" s="24">
        <v>41000000</v>
      </c>
      <c r="F766" s="39">
        <v>44140</v>
      </c>
      <c r="G766" s="24">
        <v>41000000</v>
      </c>
      <c r="H766" s="23">
        <v>5.0000000000000001E-3</v>
      </c>
      <c r="I766" s="39">
        <v>44348</v>
      </c>
      <c r="J766" s="39">
        <v>44377</v>
      </c>
      <c r="K766" s="24">
        <v>30</v>
      </c>
      <c r="L766" s="24">
        <v>16849</v>
      </c>
      <c r="M766" s="24">
        <v>41000000</v>
      </c>
    </row>
    <row r="767" spans="1:13" s="48" customFormat="1" outlineLevel="2">
      <c r="A767" s="39" t="s">
        <v>289</v>
      </c>
      <c r="B767" s="40" t="s">
        <v>63</v>
      </c>
      <c r="C767" s="41" t="s">
        <v>290</v>
      </c>
      <c r="D767" s="40" t="s">
        <v>291</v>
      </c>
      <c r="E767" s="24">
        <v>3220000</v>
      </c>
      <c r="F767" s="39">
        <v>44161</v>
      </c>
      <c r="G767" s="24">
        <v>2886898</v>
      </c>
      <c r="H767" s="23">
        <v>5.0000000000000001E-3</v>
      </c>
      <c r="I767" s="39">
        <v>44348</v>
      </c>
      <c r="J767" s="39">
        <v>44361</v>
      </c>
      <c r="K767" s="24">
        <v>14</v>
      </c>
      <c r="L767" s="24">
        <v>554</v>
      </c>
      <c r="M767" s="24">
        <v>2831381</v>
      </c>
    </row>
    <row r="768" spans="1:13" s="48" customFormat="1" outlineLevel="2">
      <c r="A768" s="39" t="s">
        <v>289</v>
      </c>
      <c r="B768" s="40" t="s">
        <v>63</v>
      </c>
      <c r="C768" s="41" t="s">
        <v>290</v>
      </c>
      <c r="D768" s="40"/>
      <c r="E768" s="24"/>
      <c r="F768" s="39"/>
      <c r="G768" s="24">
        <v>2831381</v>
      </c>
      <c r="H768" s="23">
        <v>5.0000000000000001E-3</v>
      </c>
      <c r="I768" s="39">
        <v>44362</v>
      </c>
      <c r="J768" s="39">
        <v>44377</v>
      </c>
      <c r="K768" s="24">
        <v>16</v>
      </c>
      <c r="L768" s="24">
        <v>621</v>
      </c>
      <c r="M768" s="24"/>
    </row>
    <row r="769" spans="1:13" s="48" customFormat="1" outlineLevel="2">
      <c r="A769" s="39" t="s">
        <v>289</v>
      </c>
      <c r="B769" s="40" t="s">
        <v>64</v>
      </c>
      <c r="C769" s="41" t="s">
        <v>121</v>
      </c>
      <c r="D769" s="40" t="s">
        <v>122</v>
      </c>
      <c r="E769" s="24">
        <v>50000000</v>
      </c>
      <c r="F769" s="39">
        <v>44189</v>
      </c>
      <c r="G769" s="24">
        <v>50000000</v>
      </c>
      <c r="H769" s="23">
        <v>5.0000000000000001E-3</v>
      </c>
      <c r="I769" s="39">
        <v>44348</v>
      </c>
      <c r="J769" s="39">
        <v>44377</v>
      </c>
      <c r="K769" s="24">
        <v>30</v>
      </c>
      <c r="L769" s="24">
        <v>20548</v>
      </c>
      <c r="M769" s="24">
        <v>50000000</v>
      </c>
    </row>
    <row r="770" spans="1:13" s="48" customFormat="1" outlineLevel="2">
      <c r="A770" s="39" t="s">
        <v>289</v>
      </c>
      <c r="B770" s="40" t="s">
        <v>65</v>
      </c>
      <c r="C770" s="41" t="s">
        <v>121</v>
      </c>
      <c r="D770" s="40" t="s">
        <v>122</v>
      </c>
      <c r="E770" s="24">
        <v>15000000</v>
      </c>
      <c r="F770" s="39">
        <v>44189</v>
      </c>
      <c r="G770" s="24">
        <v>15000000</v>
      </c>
      <c r="H770" s="23">
        <v>5.0000000000000001E-3</v>
      </c>
      <c r="I770" s="39">
        <v>44348</v>
      </c>
      <c r="J770" s="39">
        <v>44377</v>
      </c>
      <c r="K770" s="24">
        <v>30</v>
      </c>
      <c r="L770" s="24">
        <v>6164</v>
      </c>
      <c r="M770" s="24">
        <v>15000000</v>
      </c>
    </row>
    <row r="771" spans="1:13" s="48" customFormat="1" outlineLevel="2">
      <c r="A771" s="39" t="s">
        <v>289</v>
      </c>
      <c r="B771" s="40" t="s">
        <v>68</v>
      </c>
      <c r="C771" s="41" t="s">
        <v>121</v>
      </c>
      <c r="D771" s="40" t="s">
        <v>122</v>
      </c>
      <c r="E771" s="24">
        <v>850000</v>
      </c>
      <c r="F771" s="39">
        <v>44253</v>
      </c>
      <c r="G771" s="24">
        <v>850000</v>
      </c>
      <c r="H771" s="23">
        <v>5.0000000000000001E-3</v>
      </c>
      <c r="I771" s="39">
        <v>44348</v>
      </c>
      <c r="J771" s="39">
        <v>44377</v>
      </c>
      <c r="K771" s="24">
        <v>30</v>
      </c>
      <c r="L771" s="24">
        <v>349</v>
      </c>
      <c r="M771" s="24">
        <v>850000</v>
      </c>
    </row>
    <row r="772" spans="1:13" s="48" customFormat="1" outlineLevel="1">
      <c r="A772" s="42" t="s">
        <v>292</v>
      </c>
      <c r="B772" s="43"/>
      <c r="C772" s="44"/>
      <c r="D772" s="43"/>
      <c r="E772" s="45">
        <v>350270000</v>
      </c>
      <c r="F772" s="46"/>
      <c r="G772" s="45"/>
      <c r="H772" s="47"/>
      <c r="I772" s="46"/>
      <c r="J772" s="46"/>
      <c r="K772" s="45"/>
      <c r="L772" s="45">
        <v>141706</v>
      </c>
      <c r="M772" s="45">
        <v>344513376</v>
      </c>
    </row>
    <row r="773" spans="1:13" s="48" customFormat="1" outlineLevel="2">
      <c r="A773" s="39" t="s">
        <v>293</v>
      </c>
      <c r="B773" s="40" t="s">
        <v>16</v>
      </c>
      <c r="C773" s="41" t="s">
        <v>121</v>
      </c>
      <c r="D773" s="40" t="s">
        <v>122</v>
      </c>
      <c r="E773" s="24">
        <v>190000000</v>
      </c>
      <c r="F773" s="39">
        <v>43797</v>
      </c>
      <c r="G773" s="24">
        <v>190000000</v>
      </c>
      <c r="H773" s="23">
        <v>5.0000000000000001E-3</v>
      </c>
      <c r="I773" s="39">
        <v>44348</v>
      </c>
      <c r="J773" s="39">
        <v>44377</v>
      </c>
      <c r="K773" s="24">
        <v>30</v>
      </c>
      <c r="L773" s="24">
        <v>78082</v>
      </c>
      <c r="M773" s="24">
        <v>190000000</v>
      </c>
    </row>
    <row r="774" spans="1:13" s="48" customFormat="1" outlineLevel="2">
      <c r="A774" s="39" t="s">
        <v>293</v>
      </c>
      <c r="B774" s="40" t="s">
        <v>19</v>
      </c>
      <c r="C774" s="41" t="s">
        <v>55</v>
      </c>
      <c r="D774" s="40" t="s">
        <v>56</v>
      </c>
      <c r="E774" s="24">
        <v>1310400</v>
      </c>
      <c r="F774" s="39">
        <v>44043</v>
      </c>
      <c r="G774" s="24">
        <v>1072150</v>
      </c>
      <c r="H774" s="23">
        <v>5.0000000000000001E-3</v>
      </c>
      <c r="I774" s="39">
        <v>44348</v>
      </c>
      <c r="J774" s="39">
        <v>44361</v>
      </c>
      <c r="K774" s="24">
        <v>14</v>
      </c>
      <c r="L774" s="24">
        <v>206</v>
      </c>
      <c r="M774" s="24">
        <v>1048325</v>
      </c>
    </row>
    <row r="775" spans="1:13" s="48" customFormat="1" outlineLevel="2">
      <c r="A775" s="39" t="s">
        <v>293</v>
      </c>
      <c r="B775" s="40" t="s">
        <v>19</v>
      </c>
      <c r="C775" s="41" t="s">
        <v>55</v>
      </c>
      <c r="D775" s="40"/>
      <c r="E775" s="24"/>
      <c r="F775" s="39"/>
      <c r="G775" s="24">
        <v>1048325</v>
      </c>
      <c r="H775" s="23">
        <v>5.0000000000000001E-3</v>
      </c>
      <c r="I775" s="39">
        <v>44362</v>
      </c>
      <c r="J775" s="39">
        <v>44377</v>
      </c>
      <c r="K775" s="24">
        <v>16</v>
      </c>
      <c r="L775" s="24">
        <v>230</v>
      </c>
      <c r="M775" s="24"/>
    </row>
    <row r="776" spans="1:13" s="48" customFormat="1" outlineLevel="2">
      <c r="A776" s="39" t="s">
        <v>293</v>
      </c>
      <c r="B776" s="40" t="s">
        <v>22</v>
      </c>
      <c r="C776" s="41" t="s">
        <v>20</v>
      </c>
      <c r="D776" s="40" t="s">
        <v>21</v>
      </c>
      <c r="E776" s="24">
        <v>201600000</v>
      </c>
      <c r="F776" s="39">
        <v>44028</v>
      </c>
      <c r="G776" s="24">
        <v>201600000</v>
      </c>
      <c r="H776" s="23">
        <v>3.0000000000000001E-3</v>
      </c>
      <c r="I776" s="39">
        <v>44348</v>
      </c>
      <c r="J776" s="39">
        <v>44377</v>
      </c>
      <c r="K776" s="24">
        <v>30</v>
      </c>
      <c r="L776" s="24">
        <v>49710</v>
      </c>
      <c r="M776" s="24">
        <v>201600000</v>
      </c>
    </row>
    <row r="777" spans="1:13" s="48" customFormat="1" outlineLevel="2">
      <c r="A777" s="39" t="s">
        <v>293</v>
      </c>
      <c r="B777" s="40" t="s">
        <v>25</v>
      </c>
      <c r="C777" s="41" t="s">
        <v>294</v>
      </c>
      <c r="D777" s="40" t="s">
        <v>295</v>
      </c>
      <c r="E777" s="24">
        <v>67678400</v>
      </c>
      <c r="F777" s="39">
        <v>44041</v>
      </c>
      <c r="G777" s="24">
        <v>67678400</v>
      </c>
      <c r="H777" s="23">
        <v>5.0000000000000001E-3</v>
      </c>
      <c r="I777" s="39">
        <v>44348</v>
      </c>
      <c r="J777" s="39">
        <v>44377</v>
      </c>
      <c r="K777" s="24">
        <v>30</v>
      </c>
      <c r="L777" s="24">
        <v>27813</v>
      </c>
      <c r="M777" s="24">
        <v>67678400</v>
      </c>
    </row>
    <row r="778" spans="1:13" s="48" customFormat="1" outlineLevel="2">
      <c r="A778" s="39" t="s">
        <v>293</v>
      </c>
      <c r="B778" s="40" t="s">
        <v>26</v>
      </c>
      <c r="C778" s="41" t="s">
        <v>294</v>
      </c>
      <c r="D778" s="40" t="s">
        <v>295</v>
      </c>
      <c r="E778" s="24">
        <v>56400000</v>
      </c>
      <c r="F778" s="39">
        <v>44060</v>
      </c>
      <c r="G778" s="24">
        <v>56400000</v>
      </c>
      <c r="H778" s="23">
        <v>5.0000000000000001E-3</v>
      </c>
      <c r="I778" s="39">
        <v>44348</v>
      </c>
      <c r="J778" s="39">
        <v>44377</v>
      </c>
      <c r="K778" s="24">
        <v>30</v>
      </c>
      <c r="L778" s="24">
        <v>23178</v>
      </c>
      <c r="M778" s="24">
        <v>56400000</v>
      </c>
    </row>
    <row r="779" spans="1:13" s="48" customFormat="1" outlineLevel="2">
      <c r="A779" s="39" t="s">
        <v>293</v>
      </c>
      <c r="B779" s="40" t="s">
        <v>29</v>
      </c>
      <c r="C779" s="41" t="s">
        <v>294</v>
      </c>
      <c r="D779" s="40" t="s">
        <v>295</v>
      </c>
      <c r="E779" s="24">
        <v>56400000</v>
      </c>
      <c r="F779" s="39">
        <v>44089</v>
      </c>
      <c r="G779" s="24">
        <v>56400000</v>
      </c>
      <c r="H779" s="23">
        <v>5.0000000000000001E-3</v>
      </c>
      <c r="I779" s="39">
        <v>44348</v>
      </c>
      <c r="J779" s="39">
        <v>44377</v>
      </c>
      <c r="K779" s="24">
        <v>30</v>
      </c>
      <c r="L779" s="24">
        <v>23178</v>
      </c>
      <c r="M779" s="24">
        <v>56400000</v>
      </c>
    </row>
    <row r="780" spans="1:13" s="48" customFormat="1" outlineLevel="2">
      <c r="A780" s="39" t="s">
        <v>293</v>
      </c>
      <c r="B780" s="40" t="s">
        <v>32</v>
      </c>
      <c r="C780" s="41" t="s">
        <v>294</v>
      </c>
      <c r="D780" s="40" t="s">
        <v>295</v>
      </c>
      <c r="E780" s="24">
        <v>56400000</v>
      </c>
      <c r="F780" s="39">
        <v>44119</v>
      </c>
      <c r="G780" s="24">
        <v>56400000</v>
      </c>
      <c r="H780" s="23">
        <v>5.0000000000000001E-3</v>
      </c>
      <c r="I780" s="39">
        <v>44348</v>
      </c>
      <c r="J780" s="39">
        <v>44377</v>
      </c>
      <c r="K780" s="24">
        <v>30</v>
      </c>
      <c r="L780" s="24">
        <v>23178</v>
      </c>
      <c r="M780" s="24">
        <v>56400000</v>
      </c>
    </row>
    <row r="781" spans="1:13" s="48" customFormat="1" outlineLevel="2">
      <c r="A781" s="39" t="s">
        <v>293</v>
      </c>
      <c r="B781" s="40" t="s">
        <v>33</v>
      </c>
      <c r="C781" s="41" t="s">
        <v>55</v>
      </c>
      <c r="D781" s="40" t="s">
        <v>56</v>
      </c>
      <c r="E781" s="24">
        <v>1169666</v>
      </c>
      <c r="F781" s="39">
        <v>44134</v>
      </c>
      <c r="G781" s="24">
        <v>1012208</v>
      </c>
      <c r="H781" s="23">
        <v>5.0000000000000001E-3</v>
      </c>
      <c r="I781" s="39">
        <v>44348</v>
      </c>
      <c r="J781" s="39">
        <v>44361</v>
      </c>
      <c r="K781" s="24">
        <v>14</v>
      </c>
      <c r="L781" s="24">
        <v>194</v>
      </c>
      <c r="M781" s="24">
        <v>989714</v>
      </c>
    </row>
    <row r="782" spans="1:13" s="48" customFormat="1" outlineLevel="2">
      <c r="A782" s="39" t="s">
        <v>293</v>
      </c>
      <c r="B782" s="40" t="s">
        <v>33</v>
      </c>
      <c r="C782" s="41" t="s">
        <v>55</v>
      </c>
      <c r="D782" s="40"/>
      <c r="E782" s="24"/>
      <c r="F782" s="39"/>
      <c r="G782" s="24">
        <v>989714</v>
      </c>
      <c r="H782" s="23">
        <v>5.0000000000000001E-3</v>
      </c>
      <c r="I782" s="39">
        <v>44362</v>
      </c>
      <c r="J782" s="39">
        <v>44377</v>
      </c>
      <c r="K782" s="24">
        <v>16</v>
      </c>
      <c r="L782" s="24">
        <v>217</v>
      </c>
      <c r="M782" s="24"/>
    </row>
    <row r="783" spans="1:13" s="48" customFormat="1" outlineLevel="2">
      <c r="A783" s="39" t="s">
        <v>293</v>
      </c>
      <c r="B783" s="40" t="s">
        <v>34</v>
      </c>
      <c r="C783" s="41" t="s">
        <v>294</v>
      </c>
      <c r="D783" s="40" t="s">
        <v>295</v>
      </c>
      <c r="E783" s="24">
        <v>56400000</v>
      </c>
      <c r="F783" s="39">
        <v>44151</v>
      </c>
      <c r="G783" s="24">
        <v>56400000</v>
      </c>
      <c r="H783" s="23">
        <v>5.0000000000000001E-3</v>
      </c>
      <c r="I783" s="39">
        <v>44348</v>
      </c>
      <c r="J783" s="39">
        <v>44377</v>
      </c>
      <c r="K783" s="24">
        <v>30</v>
      </c>
      <c r="L783" s="24">
        <v>23178</v>
      </c>
      <c r="M783" s="24">
        <v>56400000</v>
      </c>
    </row>
    <row r="784" spans="1:13" s="48" customFormat="1" outlineLevel="2">
      <c r="A784" s="39" t="s">
        <v>293</v>
      </c>
      <c r="B784" s="40" t="s">
        <v>35</v>
      </c>
      <c r="C784" s="41" t="s">
        <v>115</v>
      </c>
      <c r="D784" s="40" t="s">
        <v>116</v>
      </c>
      <c r="E784" s="24">
        <v>2230000</v>
      </c>
      <c r="F784" s="39">
        <v>44138</v>
      </c>
      <c r="G784" s="24">
        <v>2230000</v>
      </c>
      <c r="H784" s="23">
        <v>5.0000000000000001E-3</v>
      </c>
      <c r="I784" s="39">
        <v>44348</v>
      </c>
      <c r="J784" s="39">
        <v>44377</v>
      </c>
      <c r="K784" s="24">
        <v>30</v>
      </c>
      <c r="L784" s="24">
        <v>916</v>
      </c>
      <c r="M784" s="24">
        <v>2230000</v>
      </c>
    </row>
    <row r="785" spans="1:13" s="48" customFormat="1" outlineLevel="2">
      <c r="A785" s="39" t="s">
        <v>293</v>
      </c>
      <c r="B785" s="40" t="s">
        <v>36</v>
      </c>
      <c r="C785" s="41" t="s">
        <v>294</v>
      </c>
      <c r="D785" s="40" t="s">
        <v>295</v>
      </c>
      <c r="E785" s="24">
        <v>112800000</v>
      </c>
      <c r="F785" s="39">
        <v>44180</v>
      </c>
      <c r="G785" s="24">
        <v>112800000</v>
      </c>
      <c r="H785" s="23">
        <v>5.0000000000000001E-3</v>
      </c>
      <c r="I785" s="39">
        <v>44348</v>
      </c>
      <c r="J785" s="39">
        <v>44377</v>
      </c>
      <c r="K785" s="24">
        <v>30</v>
      </c>
      <c r="L785" s="24">
        <v>46356</v>
      </c>
      <c r="M785" s="24">
        <v>112800000</v>
      </c>
    </row>
    <row r="786" spans="1:13" s="48" customFormat="1" outlineLevel="2">
      <c r="A786" s="39" t="s">
        <v>293</v>
      </c>
      <c r="B786" s="40" t="s">
        <v>39</v>
      </c>
      <c r="C786" s="41" t="s">
        <v>121</v>
      </c>
      <c r="D786" s="40" t="s">
        <v>122</v>
      </c>
      <c r="E786" s="24">
        <v>37000000</v>
      </c>
      <c r="F786" s="39">
        <v>43829</v>
      </c>
      <c r="G786" s="24">
        <v>37000000</v>
      </c>
      <c r="H786" s="23">
        <v>5.0000000000000001E-3</v>
      </c>
      <c r="I786" s="39">
        <v>44348</v>
      </c>
      <c r="J786" s="39">
        <v>44377</v>
      </c>
      <c r="K786" s="24">
        <v>30</v>
      </c>
      <c r="L786" s="24">
        <v>15205</v>
      </c>
      <c r="M786" s="24">
        <v>37000000</v>
      </c>
    </row>
    <row r="787" spans="1:13" s="48" customFormat="1" outlineLevel="2">
      <c r="A787" s="39" t="s">
        <v>293</v>
      </c>
      <c r="B787" s="40" t="s">
        <v>40</v>
      </c>
      <c r="C787" s="41" t="s">
        <v>294</v>
      </c>
      <c r="D787" s="40" t="s">
        <v>295</v>
      </c>
      <c r="E787" s="24">
        <v>3667200</v>
      </c>
      <c r="F787" s="39">
        <v>44180</v>
      </c>
      <c r="G787" s="24">
        <v>3667200</v>
      </c>
      <c r="H787" s="23">
        <v>5.0000000000000001E-3</v>
      </c>
      <c r="I787" s="39">
        <v>44348</v>
      </c>
      <c r="J787" s="39">
        <v>44377</v>
      </c>
      <c r="K787" s="24">
        <v>30</v>
      </c>
      <c r="L787" s="24">
        <v>1507</v>
      </c>
      <c r="M787" s="24">
        <v>3667200</v>
      </c>
    </row>
    <row r="788" spans="1:13" s="48" customFormat="1" outlineLevel="2">
      <c r="A788" s="39" t="s">
        <v>293</v>
      </c>
      <c r="B788" s="40" t="s">
        <v>41</v>
      </c>
      <c r="C788" s="41" t="s">
        <v>132</v>
      </c>
      <c r="D788" s="40" t="s">
        <v>133</v>
      </c>
      <c r="E788" s="24">
        <v>30870000</v>
      </c>
      <c r="F788" s="39">
        <v>44175</v>
      </c>
      <c r="G788" s="24">
        <v>30870000</v>
      </c>
      <c r="H788" s="23">
        <v>5.0000000000000001E-3</v>
      </c>
      <c r="I788" s="39">
        <v>44348</v>
      </c>
      <c r="J788" s="39">
        <v>44377</v>
      </c>
      <c r="K788" s="24">
        <v>30</v>
      </c>
      <c r="L788" s="24">
        <v>12686</v>
      </c>
      <c r="M788" s="24">
        <v>30870000</v>
      </c>
    </row>
    <row r="789" spans="1:13" s="48" customFormat="1" outlineLevel="2">
      <c r="A789" s="39" t="s">
        <v>293</v>
      </c>
      <c r="B789" s="40" t="s">
        <v>42</v>
      </c>
      <c r="C789" s="41" t="s">
        <v>294</v>
      </c>
      <c r="D789" s="40" t="s">
        <v>295</v>
      </c>
      <c r="E789" s="24">
        <v>57011200</v>
      </c>
      <c r="F789" s="39">
        <v>44211</v>
      </c>
      <c r="G789" s="24">
        <v>57011200</v>
      </c>
      <c r="H789" s="23">
        <v>5.0000000000000001E-3</v>
      </c>
      <c r="I789" s="39">
        <v>44348</v>
      </c>
      <c r="J789" s="39">
        <v>44377</v>
      </c>
      <c r="K789" s="24">
        <v>30</v>
      </c>
      <c r="L789" s="24">
        <v>23429</v>
      </c>
      <c r="M789" s="24">
        <v>57011200</v>
      </c>
    </row>
    <row r="790" spans="1:13" s="48" customFormat="1" outlineLevel="2">
      <c r="A790" s="39" t="s">
        <v>293</v>
      </c>
      <c r="B790" s="40" t="s">
        <v>43</v>
      </c>
      <c r="C790" s="41" t="s">
        <v>115</v>
      </c>
      <c r="D790" s="40" t="s">
        <v>116</v>
      </c>
      <c r="E790" s="24">
        <v>10000000</v>
      </c>
      <c r="F790" s="39">
        <v>44225</v>
      </c>
      <c r="G790" s="24">
        <v>10000000</v>
      </c>
      <c r="H790" s="23">
        <v>5.0000000000000001E-3</v>
      </c>
      <c r="I790" s="39">
        <v>44348</v>
      </c>
      <c r="J790" s="39">
        <v>44377</v>
      </c>
      <c r="K790" s="24">
        <v>30</v>
      </c>
      <c r="L790" s="24">
        <v>4110</v>
      </c>
      <c r="M790" s="24">
        <v>10000000</v>
      </c>
    </row>
    <row r="791" spans="1:13" s="48" customFormat="1" outlineLevel="2">
      <c r="A791" s="39" t="s">
        <v>293</v>
      </c>
      <c r="B791" s="40" t="s">
        <v>44</v>
      </c>
      <c r="C791" s="41" t="s">
        <v>132</v>
      </c>
      <c r="D791" s="40" t="s">
        <v>133</v>
      </c>
      <c r="E791" s="24">
        <v>5880000</v>
      </c>
      <c r="F791" s="39">
        <v>44207</v>
      </c>
      <c r="G791" s="24">
        <v>5880000</v>
      </c>
      <c r="H791" s="23">
        <v>5.0000000000000001E-3</v>
      </c>
      <c r="I791" s="39">
        <v>44348</v>
      </c>
      <c r="J791" s="39">
        <v>44377</v>
      </c>
      <c r="K791" s="24">
        <v>30</v>
      </c>
      <c r="L791" s="24">
        <v>2416</v>
      </c>
      <c r="M791" s="24">
        <v>5880000</v>
      </c>
    </row>
    <row r="792" spans="1:13" s="48" customFormat="1" outlineLevel="2">
      <c r="A792" s="39" t="s">
        <v>293</v>
      </c>
      <c r="B792" s="40" t="s">
        <v>47</v>
      </c>
      <c r="C792" s="41" t="s">
        <v>132</v>
      </c>
      <c r="D792" s="40" t="s">
        <v>133</v>
      </c>
      <c r="E792" s="24">
        <v>660000</v>
      </c>
      <c r="F792" s="39">
        <v>44221</v>
      </c>
      <c r="G792" s="24">
        <v>660000</v>
      </c>
      <c r="H792" s="23">
        <v>5.0000000000000001E-3</v>
      </c>
      <c r="I792" s="39">
        <v>44348</v>
      </c>
      <c r="J792" s="39">
        <v>44377</v>
      </c>
      <c r="K792" s="24">
        <v>30</v>
      </c>
      <c r="L792" s="24">
        <v>271</v>
      </c>
      <c r="M792" s="24">
        <v>660000</v>
      </c>
    </row>
    <row r="793" spans="1:13" s="48" customFormat="1" outlineLevel="2">
      <c r="A793" s="39" t="s">
        <v>293</v>
      </c>
      <c r="B793" s="40" t="s">
        <v>50</v>
      </c>
      <c r="C793" s="41" t="s">
        <v>132</v>
      </c>
      <c r="D793" s="40" t="s">
        <v>133</v>
      </c>
      <c r="E793" s="24">
        <v>4160000</v>
      </c>
      <c r="F793" s="39">
        <v>44207</v>
      </c>
      <c r="G793" s="24">
        <v>4160000</v>
      </c>
      <c r="H793" s="23">
        <v>5.0000000000000001E-3</v>
      </c>
      <c r="I793" s="39">
        <v>44348</v>
      </c>
      <c r="J793" s="39">
        <v>44377</v>
      </c>
      <c r="K793" s="24">
        <v>30</v>
      </c>
      <c r="L793" s="24">
        <v>1710</v>
      </c>
      <c r="M793" s="24">
        <v>4160000</v>
      </c>
    </row>
    <row r="794" spans="1:13" s="48" customFormat="1" outlineLevel="2">
      <c r="A794" s="39" t="s">
        <v>293</v>
      </c>
      <c r="B794" s="40" t="s">
        <v>51</v>
      </c>
      <c r="C794" s="41" t="s">
        <v>294</v>
      </c>
      <c r="D794" s="40" t="s">
        <v>295</v>
      </c>
      <c r="E794" s="24">
        <v>64400000</v>
      </c>
      <c r="F794" s="39">
        <v>44236</v>
      </c>
      <c r="G794" s="24">
        <v>64400000</v>
      </c>
      <c r="H794" s="23">
        <v>5.0000000000000001E-3</v>
      </c>
      <c r="I794" s="39">
        <v>44348</v>
      </c>
      <c r="J794" s="39">
        <v>44377</v>
      </c>
      <c r="K794" s="24">
        <v>30</v>
      </c>
      <c r="L794" s="24">
        <v>26466</v>
      </c>
      <c r="M794" s="24">
        <v>64400000</v>
      </c>
    </row>
    <row r="795" spans="1:13" s="48" customFormat="1" outlineLevel="2">
      <c r="A795" s="39" t="s">
        <v>293</v>
      </c>
      <c r="B795" s="40" t="s">
        <v>52</v>
      </c>
      <c r="C795" s="41" t="s">
        <v>294</v>
      </c>
      <c r="D795" s="40" t="s">
        <v>295</v>
      </c>
      <c r="E795" s="24">
        <v>57011200</v>
      </c>
      <c r="F795" s="39">
        <v>44245</v>
      </c>
      <c r="G795" s="24">
        <v>57011200</v>
      </c>
      <c r="H795" s="23">
        <v>5.0000000000000001E-3</v>
      </c>
      <c r="I795" s="39">
        <v>44348</v>
      </c>
      <c r="J795" s="39">
        <v>44377</v>
      </c>
      <c r="K795" s="24">
        <v>30</v>
      </c>
      <c r="L795" s="24">
        <v>23429</v>
      </c>
      <c r="M795" s="24">
        <v>57011200</v>
      </c>
    </row>
    <row r="796" spans="1:13" s="48" customFormat="1" outlineLevel="2">
      <c r="A796" s="39" t="s">
        <v>293</v>
      </c>
      <c r="B796" s="40" t="s">
        <v>53</v>
      </c>
      <c r="C796" s="41" t="s">
        <v>132</v>
      </c>
      <c r="D796" s="40" t="s">
        <v>133</v>
      </c>
      <c r="E796" s="24">
        <v>3640000</v>
      </c>
      <c r="F796" s="39">
        <v>44244</v>
      </c>
      <c r="G796" s="24">
        <v>3640000</v>
      </c>
      <c r="H796" s="23">
        <v>5.0000000000000001E-3</v>
      </c>
      <c r="I796" s="39">
        <v>44348</v>
      </c>
      <c r="J796" s="39">
        <v>44377</v>
      </c>
      <c r="K796" s="24">
        <v>30</v>
      </c>
      <c r="L796" s="24">
        <v>1496</v>
      </c>
      <c r="M796" s="24">
        <v>3640000</v>
      </c>
    </row>
    <row r="797" spans="1:13" s="48" customFormat="1" outlineLevel="2">
      <c r="A797" s="39" t="s">
        <v>293</v>
      </c>
      <c r="B797" s="40" t="s">
        <v>54</v>
      </c>
      <c r="C797" s="41" t="s">
        <v>55</v>
      </c>
      <c r="D797" s="40" t="s">
        <v>56</v>
      </c>
      <c r="E797" s="24">
        <v>17276700</v>
      </c>
      <c r="F797" s="39">
        <v>43878</v>
      </c>
      <c r="G797" s="24">
        <v>12957525</v>
      </c>
      <c r="H797" s="23">
        <v>5.0000000000000001E-3</v>
      </c>
      <c r="I797" s="39">
        <v>44348</v>
      </c>
      <c r="J797" s="39">
        <v>44361</v>
      </c>
      <c r="K797" s="24">
        <v>14</v>
      </c>
      <c r="L797" s="24">
        <v>2485</v>
      </c>
      <c r="M797" s="24">
        <v>12669580</v>
      </c>
    </row>
    <row r="798" spans="1:13" s="48" customFormat="1" outlineLevel="2">
      <c r="A798" s="39" t="s">
        <v>293</v>
      </c>
      <c r="B798" s="40" t="s">
        <v>54</v>
      </c>
      <c r="C798" s="41" t="s">
        <v>55</v>
      </c>
      <c r="D798" s="40"/>
      <c r="E798" s="24"/>
      <c r="F798" s="39"/>
      <c r="G798" s="24">
        <v>12669580</v>
      </c>
      <c r="H798" s="23">
        <v>5.0000000000000001E-3</v>
      </c>
      <c r="I798" s="39">
        <v>44362</v>
      </c>
      <c r="J798" s="39">
        <v>44377</v>
      </c>
      <c r="K798" s="24">
        <v>16</v>
      </c>
      <c r="L798" s="24">
        <v>2777</v>
      </c>
      <c r="M798" s="24"/>
    </row>
    <row r="799" spans="1:13" s="48" customFormat="1" outlineLevel="2">
      <c r="A799" s="39" t="s">
        <v>293</v>
      </c>
      <c r="B799" s="40" t="s">
        <v>57</v>
      </c>
      <c r="C799" s="41" t="s">
        <v>132</v>
      </c>
      <c r="D799" s="40" t="s">
        <v>133</v>
      </c>
      <c r="E799" s="24">
        <v>7500000</v>
      </c>
      <c r="F799" s="39">
        <v>44228</v>
      </c>
      <c r="G799" s="24">
        <v>7500000</v>
      </c>
      <c r="H799" s="23">
        <v>5.0000000000000001E-3</v>
      </c>
      <c r="I799" s="39">
        <v>44348</v>
      </c>
      <c r="J799" s="39">
        <v>44377</v>
      </c>
      <c r="K799" s="24">
        <v>30</v>
      </c>
      <c r="L799" s="24">
        <v>3082</v>
      </c>
      <c r="M799" s="24">
        <v>7500000</v>
      </c>
    </row>
    <row r="800" spans="1:13" s="48" customFormat="1" outlineLevel="2">
      <c r="A800" s="39" t="s">
        <v>293</v>
      </c>
      <c r="B800" s="40" t="s">
        <v>58</v>
      </c>
      <c r="C800" s="41" t="s">
        <v>132</v>
      </c>
      <c r="D800" s="40" t="s">
        <v>133</v>
      </c>
      <c r="E800" s="24">
        <v>7490000</v>
      </c>
      <c r="F800" s="39">
        <v>44235</v>
      </c>
      <c r="G800" s="24">
        <v>7490000</v>
      </c>
      <c r="H800" s="23">
        <v>5.0000000000000001E-3</v>
      </c>
      <c r="I800" s="39">
        <v>44348</v>
      </c>
      <c r="J800" s="39">
        <v>44377</v>
      </c>
      <c r="K800" s="24">
        <v>30</v>
      </c>
      <c r="L800" s="24">
        <v>3078</v>
      </c>
      <c r="M800" s="24">
        <v>7490000</v>
      </c>
    </row>
    <row r="801" spans="1:13" s="48" customFormat="1" outlineLevel="2">
      <c r="A801" s="39" t="s">
        <v>293</v>
      </c>
      <c r="B801" s="40" t="s">
        <v>99</v>
      </c>
      <c r="C801" s="41" t="s">
        <v>132</v>
      </c>
      <c r="D801" s="40" t="s">
        <v>133</v>
      </c>
      <c r="E801" s="24">
        <v>6670000</v>
      </c>
      <c r="F801" s="39">
        <v>44252</v>
      </c>
      <c r="G801" s="24">
        <v>6670000</v>
      </c>
      <c r="H801" s="23">
        <v>5.0000000000000001E-3</v>
      </c>
      <c r="I801" s="39">
        <v>44348</v>
      </c>
      <c r="J801" s="39">
        <v>44377</v>
      </c>
      <c r="K801" s="24">
        <v>30</v>
      </c>
      <c r="L801" s="24">
        <v>2741</v>
      </c>
      <c r="M801" s="24">
        <v>6670000</v>
      </c>
    </row>
    <row r="802" spans="1:13" s="48" customFormat="1" outlineLevel="2">
      <c r="A802" s="39" t="s">
        <v>293</v>
      </c>
      <c r="B802" s="40" t="s">
        <v>100</v>
      </c>
      <c r="C802" s="41" t="s">
        <v>20</v>
      </c>
      <c r="D802" s="40" t="s">
        <v>21</v>
      </c>
      <c r="E802" s="24">
        <v>199200000</v>
      </c>
      <c r="F802" s="39">
        <v>44259</v>
      </c>
      <c r="G802" s="24">
        <v>199200000</v>
      </c>
      <c r="H802" s="23">
        <v>3.0000000000000001E-3</v>
      </c>
      <c r="I802" s="39">
        <v>44348</v>
      </c>
      <c r="J802" s="39">
        <v>44377</v>
      </c>
      <c r="K802" s="24">
        <v>30</v>
      </c>
      <c r="L802" s="24">
        <v>49118</v>
      </c>
      <c r="M802" s="24">
        <v>199200000</v>
      </c>
    </row>
    <row r="803" spans="1:13" s="48" customFormat="1" outlineLevel="2">
      <c r="A803" s="39" t="s">
        <v>293</v>
      </c>
      <c r="B803" s="40" t="s">
        <v>101</v>
      </c>
      <c r="C803" s="41" t="s">
        <v>294</v>
      </c>
      <c r="D803" s="40" t="s">
        <v>295</v>
      </c>
      <c r="E803" s="24">
        <v>39703444</v>
      </c>
      <c r="F803" s="39">
        <v>44270</v>
      </c>
      <c r="G803" s="24">
        <v>39703444</v>
      </c>
      <c r="H803" s="23">
        <v>5.0000000000000001E-3</v>
      </c>
      <c r="I803" s="39">
        <v>44348</v>
      </c>
      <c r="J803" s="39">
        <v>44377</v>
      </c>
      <c r="K803" s="24">
        <v>30</v>
      </c>
      <c r="L803" s="24">
        <v>16316</v>
      </c>
      <c r="M803" s="24">
        <v>39703444</v>
      </c>
    </row>
    <row r="804" spans="1:13" s="48" customFormat="1" outlineLevel="2">
      <c r="A804" s="39" t="s">
        <v>293</v>
      </c>
      <c r="B804" s="40" t="s">
        <v>102</v>
      </c>
      <c r="C804" s="41" t="s">
        <v>115</v>
      </c>
      <c r="D804" s="40" t="s">
        <v>116</v>
      </c>
      <c r="E804" s="24">
        <v>27770000</v>
      </c>
      <c r="F804" s="39">
        <v>44273</v>
      </c>
      <c r="G804" s="24">
        <v>27770000</v>
      </c>
      <c r="H804" s="23">
        <v>5.0000000000000001E-3</v>
      </c>
      <c r="I804" s="39">
        <v>44348</v>
      </c>
      <c r="J804" s="39">
        <v>44377</v>
      </c>
      <c r="K804" s="24">
        <v>30</v>
      </c>
      <c r="L804" s="24">
        <v>11412</v>
      </c>
      <c r="M804" s="24">
        <v>27770000</v>
      </c>
    </row>
    <row r="805" spans="1:13" s="48" customFormat="1" outlineLevel="2">
      <c r="A805" s="39" t="s">
        <v>293</v>
      </c>
      <c r="B805" s="40" t="s">
        <v>103</v>
      </c>
      <c r="C805" s="41" t="s">
        <v>132</v>
      </c>
      <c r="D805" s="40" t="s">
        <v>133</v>
      </c>
      <c r="E805" s="24">
        <v>2620000</v>
      </c>
      <c r="F805" s="39">
        <v>44280</v>
      </c>
      <c r="G805" s="24">
        <v>2620000</v>
      </c>
      <c r="H805" s="23">
        <v>5.0000000000000001E-3</v>
      </c>
      <c r="I805" s="39">
        <v>44348</v>
      </c>
      <c r="J805" s="39">
        <v>44377</v>
      </c>
      <c r="K805" s="24">
        <v>30</v>
      </c>
      <c r="L805" s="24">
        <v>1077</v>
      </c>
      <c r="M805" s="24">
        <v>2620000</v>
      </c>
    </row>
    <row r="806" spans="1:13" s="48" customFormat="1" outlineLevel="2">
      <c r="A806" s="39" t="s">
        <v>293</v>
      </c>
      <c r="B806" s="40" t="s">
        <v>104</v>
      </c>
      <c r="C806" s="41" t="s">
        <v>132</v>
      </c>
      <c r="D806" s="40" t="s">
        <v>133</v>
      </c>
      <c r="E806" s="24">
        <v>6350000</v>
      </c>
      <c r="F806" s="39">
        <v>44265</v>
      </c>
      <c r="G806" s="24">
        <v>6350000</v>
      </c>
      <c r="H806" s="23">
        <v>5.0000000000000001E-3</v>
      </c>
      <c r="I806" s="39">
        <v>44348</v>
      </c>
      <c r="J806" s="39">
        <v>44377</v>
      </c>
      <c r="K806" s="24">
        <v>30</v>
      </c>
      <c r="L806" s="24">
        <v>2610</v>
      </c>
      <c r="M806" s="24">
        <v>6350000</v>
      </c>
    </row>
    <row r="807" spans="1:13" s="48" customFormat="1" outlineLevel="2">
      <c r="A807" s="39" t="s">
        <v>293</v>
      </c>
      <c r="B807" s="40" t="s">
        <v>105</v>
      </c>
      <c r="C807" s="41" t="s">
        <v>132</v>
      </c>
      <c r="D807" s="40" t="s">
        <v>133</v>
      </c>
      <c r="E807" s="24">
        <v>1870000</v>
      </c>
      <c r="F807" s="39">
        <v>44280</v>
      </c>
      <c r="G807" s="24">
        <v>1870000</v>
      </c>
      <c r="H807" s="23">
        <v>5.0000000000000001E-3</v>
      </c>
      <c r="I807" s="39">
        <v>44348</v>
      </c>
      <c r="J807" s="39">
        <v>44377</v>
      </c>
      <c r="K807" s="24">
        <v>30</v>
      </c>
      <c r="L807" s="24">
        <v>768</v>
      </c>
      <c r="M807" s="24">
        <v>1870000</v>
      </c>
    </row>
    <row r="808" spans="1:13" s="48" customFormat="1" outlineLevel="2">
      <c r="A808" s="39" t="s">
        <v>293</v>
      </c>
      <c r="B808" s="40" t="s">
        <v>106</v>
      </c>
      <c r="C808" s="41" t="s">
        <v>294</v>
      </c>
      <c r="D808" s="40" t="s">
        <v>295</v>
      </c>
      <c r="E808" s="24">
        <v>72291200</v>
      </c>
      <c r="F808" s="39">
        <v>44301</v>
      </c>
      <c r="G808" s="24">
        <v>72291200</v>
      </c>
      <c r="H808" s="23">
        <v>5.0000000000000001E-3</v>
      </c>
      <c r="I808" s="39">
        <v>44348</v>
      </c>
      <c r="J808" s="39">
        <v>44377</v>
      </c>
      <c r="K808" s="24">
        <v>30</v>
      </c>
      <c r="L808" s="24">
        <v>29709</v>
      </c>
      <c r="M808" s="24">
        <v>72291200</v>
      </c>
    </row>
    <row r="809" spans="1:13" s="48" customFormat="1" outlineLevel="2">
      <c r="A809" s="39" t="s">
        <v>293</v>
      </c>
      <c r="B809" s="40" t="s">
        <v>59</v>
      </c>
      <c r="C809" s="41" t="s">
        <v>121</v>
      </c>
      <c r="D809" s="40" t="s">
        <v>122</v>
      </c>
      <c r="E809" s="24">
        <v>73000000</v>
      </c>
      <c r="F809" s="39">
        <v>43896</v>
      </c>
      <c r="G809" s="24">
        <v>73000000</v>
      </c>
      <c r="H809" s="23">
        <v>5.0000000000000001E-3</v>
      </c>
      <c r="I809" s="39">
        <v>44348</v>
      </c>
      <c r="J809" s="39">
        <v>44377</v>
      </c>
      <c r="K809" s="24">
        <v>30</v>
      </c>
      <c r="L809" s="24">
        <v>30000</v>
      </c>
      <c r="M809" s="24">
        <v>73000000</v>
      </c>
    </row>
    <row r="810" spans="1:13" s="48" customFormat="1" outlineLevel="2">
      <c r="A810" s="39" t="s">
        <v>293</v>
      </c>
      <c r="B810" s="40" t="s">
        <v>136</v>
      </c>
      <c r="C810" s="41" t="s">
        <v>132</v>
      </c>
      <c r="D810" s="40" t="s">
        <v>133</v>
      </c>
      <c r="E810" s="24">
        <v>750000</v>
      </c>
      <c r="F810" s="39">
        <v>44301</v>
      </c>
      <c r="G810" s="24">
        <v>750000</v>
      </c>
      <c r="H810" s="23">
        <v>5.0000000000000001E-3</v>
      </c>
      <c r="I810" s="39">
        <v>44348</v>
      </c>
      <c r="J810" s="39">
        <v>44377</v>
      </c>
      <c r="K810" s="24">
        <v>30</v>
      </c>
      <c r="L810" s="24">
        <v>308</v>
      </c>
      <c r="M810" s="24">
        <v>750000</v>
      </c>
    </row>
    <row r="811" spans="1:13" s="48" customFormat="1" outlineLevel="2">
      <c r="A811" s="39" t="s">
        <v>293</v>
      </c>
      <c r="B811" s="40" t="s">
        <v>137</v>
      </c>
      <c r="C811" s="41" t="s">
        <v>132</v>
      </c>
      <c r="D811" s="40" t="s">
        <v>133</v>
      </c>
      <c r="E811" s="24">
        <v>4560000</v>
      </c>
      <c r="F811" s="39">
        <v>44298</v>
      </c>
      <c r="G811" s="24">
        <v>4560000</v>
      </c>
      <c r="H811" s="23">
        <v>5.0000000000000001E-3</v>
      </c>
      <c r="I811" s="39">
        <v>44348</v>
      </c>
      <c r="J811" s="39">
        <v>44377</v>
      </c>
      <c r="K811" s="24">
        <v>30</v>
      </c>
      <c r="L811" s="24">
        <v>1874</v>
      </c>
      <c r="M811" s="24">
        <v>4560000</v>
      </c>
    </row>
    <row r="812" spans="1:13" s="48" customFormat="1" outlineLevel="2">
      <c r="A812" s="39" t="s">
        <v>293</v>
      </c>
      <c r="B812" s="40" t="s">
        <v>138</v>
      </c>
      <c r="C812" s="41" t="s">
        <v>132</v>
      </c>
      <c r="D812" s="40" t="s">
        <v>133</v>
      </c>
      <c r="E812" s="24">
        <v>10770000</v>
      </c>
      <c r="F812" s="39">
        <v>44312</v>
      </c>
      <c r="G812" s="24">
        <v>10770000</v>
      </c>
      <c r="H812" s="23">
        <v>5.0000000000000001E-3</v>
      </c>
      <c r="I812" s="39">
        <v>44348</v>
      </c>
      <c r="J812" s="39">
        <v>44377</v>
      </c>
      <c r="K812" s="24">
        <v>30</v>
      </c>
      <c r="L812" s="24">
        <v>4426</v>
      </c>
      <c r="M812" s="24">
        <v>10770000</v>
      </c>
    </row>
    <row r="813" spans="1:13" s="48" customFormat="1" outlineLevel="2">
      <c r="A813" s="39" t="s">
        <v>293</v>
      </c>
      <c r="B813" s="40" t="s">
        <v>139</v>
      </c>
      <c r="C813" s="41" t="s">
        <v>339</v>
      </c>
      <c r="D813" s="40" t="s">
        <v>338</v>
      </c>
      <c r="E813" s="24">
        <v>500000</v>
      </c>
      <c r="F813" s="39">
        <v>44293</v>
      </c>
      <c r="G813" s="24">
        <v>500000</v>
      </c>
      <c r="H813" s="23">
        <v>5.0000000000000001E-3</v>
      </c>
      <c r="I813" s="39">
        <v>44348</v>
      </c>
      <c r="J813" s="39">
        <v>44377</v>
      </c>
      <c r="K813" s="24">
        <v>30</v>
      </c>
      <c r="L813" s="24">
        <v>205</v>
      </c>
      <c r="M813" s="24">
        <v>500000</v>
      </c>
    </row>
    <row r="814" spans="1:13" s="48" customFormat="1" outlineLevel="2">
      <c r="A814" s="39" t="s">
        <v>293</v>
      </c>
      <c r="B814" s="40" t="s">
        <v>140</v>
      </c>
      <c r="C814" s="41" t="s">
        <v>294</v>
      </c>
      <c r="D814" s="40" t="s">
        <v>295</v>
      </c>
      <c r="E814" s="24">
        <v>83384000</v>
      </c>
      <c r="F814" s="39">
        <v>44333</v>
      </c>
      <c r="G814" s="24">
        <v>83384000</v>
      </c>
      <c r="H814" s="23">
        <v>5.0000000000000001E-3</v>
      </c>
      <c r="I814" s="39">
        <v>44348</v>
      </c>
      <c r="J814" s="39">
        <v>44377</v>
      </c>
      <c r="K814" s="24">
        <v>30</v>
      </c>
      <c r="L814" s="24">
        <v>34267</v>
      </c>
      <c r="M814" s="24">
        <v>83384000</v>
      </c>
    </row>
    <row r="815" spans="1:13" s="48" customFormat="1" outlineLevel="2">
      <c r="A815" s="39" t="s">
        <v>293</v>
      </c>
      <c r="B815" s="40" t="s">
        <v>169</v>
      </c>
      <c r="C815" s="41" t="s">
        <v>294</v>
      </c>
      <c r="D815" s="40" t="s">
        <v>295</v>
      </c>
      <c r="E815" s="24">
        <v>11904000</v>
      </c>
      <c r="F815" s="39">
        <v>44347</v>
      </c>
      <c r="G815" s="24">
        <v>11904000</v>
      </c>
      <c r="H815" s="23">
        <v>5.0000000000000001E-3</v>
      </c>
      <c r="I815" s="39">
        <v>44348</v>
      </c>
      <c r="J815" s="39">
        <v>44377</v>
      </c>
      <c r="K815" s="24">
        <v>30</v>
      </c>
      <c r="L815" s="24">
        <v>4892</v>
      </c>
      <c r="M815" s="24">
        <v>11904000</v>
      </c>
    </row>
    <row r="816" spans="1:13" s="48" customFormat="1" outlineLevel="2">
      <c r="A816" s="39" t="s">
        <v>293</v>
      </c>
      <c r="B816" s="40" t="s">
        <v>170</v>
      </c>
      <c r="C816" s="41" t="s">
        <v>132</v>
      </c>
      <c r="D816" s="40" t="s">
        <v>133</v>
      </c>
      <c r="E816" s="24">
        <v>1470000</v>
      </c>
      <c r="F816" s="39">
        <v>44319</v>
      </c>
      <c r="G816" s="24">
        <v>1470000</v>
      </c>
      <c r="H816" s="23">
        <v>5.0000000000000001E-3</v>
      </c>
      <c r="I816" s="39">
        <v>44348</v>
      </c>
      <c r="J816" s="39">
        <v>44377</v>
      </c>
      <c r="K816" s="24">
        <v>30</v>
      </c>
      <c r="L816" s="24">
        <v>604</v>
      </c>
      <c r="M816" s="24">
        <v>1470000</v>
      </c>
    </row>
    <row r="817" spans="1:13" s="48" customFormat="1" outlineLevel="2">
      <c r="A817" s="39" t="s">
        <v>293</v>
      </c>
      <c r="B817" s="40" t="s">
        <v>171</v>
      </c>
      <c r="C817" s="41" t="s">
        <v>132</v>
      </c>
      <c r="D817" s="40" t="s">
        <v>133</v>
      </c>
      <c r="E817" s="24">
        <v>1480000</v>
      </c>
      <c r="F817" s="39">
        <v>44341</v>
      </c>
      <c r="G817" s="24">
        <v>1480000</v>
      </c>
      <c r="H817" s="23">
        <v>5.0000000000000001E-3</v>
      </c>
      <c r="I817" s="39">
        <v>44348</v>
      </c>
      <c r="J817" s="39">
        <v>44377</v>
      </c>
      <c r="K817" s="24">
        <v>30</v>
      </c>
      <c r="L817" s="24">
        <v>608</v>
      </c>
      <c r="M817" s="24">
        <v>1480000</v>
      </c>
    </row>
    <row r="818" spans="1:13" s="48" customFormat="1" outlineLevel="2">
      <c r="A818" s="39" t="s">
        <v>293</v>
      </c>
      <c r="B818" s="40" t="s">
        <v>172</v>
      </c>
      <c r="C818" s="41" t="s">
        <v>132</v>
      </c>
      <c r="D818" s="40" t="s">
        <v>133</v>
      </c>
      <c r="E818" s="24">
        <v>6090000</v>
      </c>
      <c r="F818" s="39">
        <v>44326</v>
      </c>
      <c r="G818" s="24">
        <v>6090000</v>
      </c>
      <c r="H818" s="23">
        <v>5.0000000000000001E-3</v>
      </c>
      <c r="I818" s="39">
        <v>44348</v>
      </c>
      <c r="J818" s="39">
        <v>44377</v>
      </c>
      <c r="K818" s="24">
        <v>30</v>
      </c>
      <c r="L818" s="24">
        <v>2503</v>
      </c>
      <c r="M818" s="24">
        <v>6090000</v>
      </c>
    </row>
    <row r="819" spans="1:13" s="48" customFormat="1" outlineLevel="2">
      <c r="A819" s="39" t="s">
        <v>293</v>
      </c>
      <c r="B819" s="40" t="s">
        <v>173</v>
      </c>
      <c r="C819" s="41" t="s">
        <v>132</v>
      </c>
      <c r="D819" s="40" t="s">
        <v>133</v>
      </c>
      <c r="E819" s="24">
        <v>9220000</v>
      </c>
      <c r="F819" s="39">
        <v>44341</v>
      </c>
      <c r="G819" s="24">
        <v>9220000</v>
      </c>
      <c r="H819" s="23">
        <v>5.0000000000000001E-3</v>
      </c>
      <c r="I819" s="39">
        <v>44348</v>
      </c>
      <c r="J819" s="39">
        <v>44377</v>
      </c>
      <c r="K819" s="24">
        <v>30</v>
      </c>
      <c r="L819" s="24">
        <v>3789</v>
      </c>
      <c r="M819" s="24">
        <v>9220000</v>
      </c>
    </row>
    <row r="820" spans="1:13" s="48" customFormat="1" outlineLevel="2">
      <c r="A820" s="39" t="s">
        <v>293</v>
      </c>
      <c r="B820" s="40" t="s">
        <v>62</v>
      </c>
      <c r="C820" s="41" t="s">
        <v>55</v>
      </c>
      <c r="D820" s="40" t="s">
        <v>56</v>
      </c>
      <c r="E820" s="24">
        <v>19997321</v>
      </c>
      <c r="F820" s="39">
        <v>43948</v>
      </c>
      <c r="G820" s="24">
        <v>19997321</v>
      </c>
      <c r="H820" s="23">
        <v>5.0000000000000001E-3</v>
      </c>
      <c r="I820" s="39">
        <v>44348</v>
      </c>
      <c r="J820" s="39">
        <v>44377</v>
      </c>
      <c r="K820" s="24">
        <v>30</v>
      </c>
      <c r="L820" s="24">
        <v>8218</v>
      </c>
      <c r="M820" s="24">
        <v>19997321</v>
      </c>
    </row>
    <row r="821" spans="1:13" s="48" customFormat="1" outlineLevel="2">
      <c r="A821" s="39" t="s">
        <v>293</v>
      </c>
      <c r="B821" s="40" t="s">
        <v>174</v>
      </c>
      <c r="C821" s="41" t="s">
        <v>294</v>
      </c>
      <c r="D821" s="40" t="s">
        <v>295</v>
      </c>
      <c r="E821" s="24">
        <v>4424000</v>
      </c>
      <c r="F821" s="39">
        <v>44362</v>
      </c>
      <c r="G821" s="24">
        <v>4424000</v>
      </c>
      <c r="H821" s="23">
        <v>5.0000000000000001E-3</v>
      </c>
      <c r="I821" s="39">
        <v>44362</v>
      </c>
      <c r="J821" s="39">
        <v>44377</v>
      </c>
      <c r="K821" s="24">
        <v>16</v>
      </c>
      <c r="L821" s="24">
        <v>970</v>
      </c>
      <c r="M821" s="24">
        <v>4424000</v>
      </c>
    </row>
    <row r="822" spans="1:13" s="48" customFormat="1" outlineLevel="2">
      <c r="A822" s="39" t="s">
        <v>293</v>
      </c>
      <c r="B822" s="40" t="s">
        <v>175</v>
      </c>
      <c r="C822" s="41" t="s">
        <v>115</v>
      </c>
      <c r="D822" s="40" t="s">
        <v>116</v>
      </c>
      <c r="E822" s="24">
        <v>17000000</v>
      </c>
      <c r="F822" s="39">
        <v>44370</v>
      </c>
      <c r="G822" s="24">
        <v>17000000</v>
      </c>
      <c r="H822" s="23">
        <v>5.0000000000000001E-3</v>
      </c>
      <c r="I822" s="39">
        <v>44370</v>
      </c>
      <c r="J822" s="39">
        <v>44377</v>
      </c>
      <c r="K822" s="24">
        <v>8</v>
      </c>
      <c r="L822" s="24">
        <v>1863</v>
      </c>
      <c r="M822" s="24">
        <v>17000000</v>
      </c>
    </row>
    <row r="823" spans="1:13" s="48" customFormat="1" outlineLevel="2">
      <c r="A823" s="39" t="s">
        <v>293</v>
      </c>
      <c r="B823" s="40" t="s">
        <v>176</v>
      </c>
      <c r="C823" s="41" t="s">
        <v>132</v>
      </c>
      <c r="D823" s="40" t="s">
        <v>133</v>
      </c>
      <c r="E823" s="24">
        <v>1420000</v>
      </c>
      <c r="F823" s="39">
        <v>44368</v>
      </c>
      <c r="G823" s="24">
        <v>1420000</v>
      </c>
      <c r="H823" s="23">
        <v>5.0000000000000001E-3</v>
      </c>
      <c r="I823" s="39">
        <v>44368</v>
      </c>
      <c r="J823" s="39">
        <v>44377</v>
      </c>
      <c r="K823" s="24">
        <v>10</v>
      </c>
      <c r="L823" s="24">
        <v>195</v>
      </c>
      <c r="M823" s="24">
        <v>1420000</v>
      </c>
    </row>
    <row r="824" spans="1:13" s="48" customFormat="1" outlineLevel="2">
      <c r="A824" s="39" t="s">
        <v>293</v>
      </c>
      <c r="B824" s="40" t="s">
        <v>177</v>
      </c>
      <c r="C824" s="41" t="s">
        <v>132</v>
      </c>
      <c r="D824" s="40" t="s">
        <v>133</v>
      </c>
      <c r="E824" s="24">
        <v>6000000</v>
      </c>
      <c r="F824" s="39">
        <v>44357</v>
      </c>
      <c r="G824" s="24">
        <v>6000000</v>
      </c>
      <c r="H824" s="23">
        <v>5.0000000000000001E-3</v>
      </c>
      <c r="I824" s="39">
        <v>44357</v>
      </c>
      <c r="J824" s="39">
        <v>44377</v>
      </c>
      <c r="K824" s="24">
        <v>21</v>
      </c>
      <c r="L824" s="24">
        <v>1726</v>
      </c>
      <c r="M824" s="24">
        <v>6000000</v>
      </c>
    </row>
    <row r="825" spans="1:13" s="48" customFormat="1" outlineLevel="2">
      <c r="A825" s="39" t="s">
        <v>293</v>
      </c>
      <c r="B825" s="40" t="s">
        <v>178</v>
      </c>
      <c r="C825" s="41" t="s">
        <v>132</v>
      </c>
      <c r="D825" s="40" t="s">
        <v>133</v>
      </c>
      <c r="E825" s="24">
        <v>760000</v>
      </c>
      <c r="F825" s="39">
        <v>44372</v>
      </c>
      <c r="G825" s="24">
        <v>760000</v>
      </c>
      <c r="H825" s="23">
        <v>5.0000000000000001E-3</v>
      </c>
      <c r="I825" s="39">
        <v>44372</v>
      </c>
      <c r="J825" s="39">
        <v>44377</v>
      </c>
      <c r="K825" s="24">
        <v>6</v>
      </c>
      <c r="L825" s="24">
        <v>62</v>
      </c>
      <c r="M825" s="24">
        <v>760000</v>
      </c>
    </row>
    <row r="826" spans="1:13" s="48" customFormat="1" outlineLevel="2">
      <c r="A826" s="39" t="s">
        <v>293</v>
      </c>
      <c r="B826" s="40" t="s">
        <v>63</v>
      </c>
      <c r="C826" s="41" t="s">
        <v>20</v>
      </c>
      <c r="D826" s="40" t="s">
        <v>21</v>
      </c>
      <c r="E826" s="24">
        <v>242400000</v>
      </c>
      <c r="F826" s="39">
        <v>43930</v>
      </c>
      <c r="G826" s="24">
        <v>242400000</v>
      </c>
      <c r="H826" s="23">
        <v>3.0000000000000001E-3</v>
      </c>
      <c r="I826" s="39">
        <v>44348</v>
      </c>
      <c r="J826" s="39">
        <v>44377</v>
      </c>
      <c r="K826" s="24">
        <v>30</v>
      </c>
      <c r="L826" s="24">
        <v>59770</v>
      </c>
      <c r="M826" s="24">
        <v>242400000</v>
      </c>
    </row>
    <row r="827" spans="1:13" s="48" customFormat="1" outlineLevel="2">
      <c r="A827" s="39" t="s">
        <v>293</v>
      </c>
      <c r="B827" s="40" t="s">
        <v>64</v>
      </c>
      <c r="C827" s="41" t="s">
        <v>20</v>
      </c>
      <c r="D827" s="40" t="s">
        <v>21</v>
      </c>
      <c r="E827" s="24">
        <v>156000000</v>
      </c>
      <c r="F827" s="39">
        <v>43958</v>
      </c>
      <c r="G827" s="24">
        <v>156000000</v>
      </c>
      <c r="H827" s="23">
        <v>3.0000000000000001E-3</v>
      </c>
      <c r="I827" s="39">
        <v>44348</v>
      </c>
      <c r="J827" s="39">
        <v>44377</v>
      </c>
      <c r="K827" s="24">
        <v>30</v>
      </c>
      <c r="L827" s="24">
        <v>38466</v>
      </c>
      <c r="M827" s="24">
        <v>156000000</v>
      </c>
    </row>
    <row r="828" spans="1:13" s="48" customFormat="1" outlineLevel="2">
      <c r="A828" s="39" t="s">
        <v>293</v>
      </c>
      <c r="B828" s="40" t="s">
        <v>65</v>
      </c>
      <c r="C828" s="41" t="s">
        <v>294</v>
      </c>
      <c r="D828" s="40" t="s">
        <v>295</v>
      </c>
      <c r="E828" s="24">
        <v>33840000</v>
      </c>
      <c r="F828" s="39">
        <v>43986</v>
      </c>
      <c r="G828" s="24">
        <v>33840000</v>
      </c>
      <c r="H828" s="23">
        <v>5.0000000000000001E-3</v>
      </c>
      <c r="I828" s="39">
        <v>44348</v>
      </c>
      <c r="J828" s="39">
        <v>44377</v>
      </c>
      <c r="K828" s="24">
        <v>30</v>
      </c>
      <c r="L828" s="24">
        <v>13907</v>
      </c>
      <c r="M828" s="24">
        <v>33840000</v>
      </c>
    </row>
    <row r="829" spans="1:13" s="48" customFormat="1" outlineLevel="2">
      <c r="A829" s="39" t="s">
        <v>293</v>
      </c>
      <c r="B829" s="40" t="s">
        <v>68</v>
      </c>
      <c r="C829" s="41" t="s">
        <v>294</v>
      </c>
      <c r="D829" s="40" t="s">
        <v>295</v>
      </c>
      <c r="E829" s="24">
        <v>134396612</v>
      </c>
      <c r="F829" s="39">
        <v>43986</v>
      </c>
      <c r="G829" s="24">
        <v>134396612</v>
      </c>
      <c r="H829" s="23">
        <v>5.0000000000000001E-3</v>
      </c>
      <c r="I829" s="39">
        <v>44348</v>
      </c>
      <c r="J829" s="39">
        <v>44377</v>
      </c>
      <c r="K829" s="24">
        <v>30</v>
      </c>
      <c r="L829" s="24">
        <v>55231</v>
      </c>
      <c r="M829" s="24">
        <v>134396612</v>
      </c>
    </row>
    <row r="830" spans="1:13" s="48" customFormat="1" outlineLevel="1">
      <c r="A830" s="42" t="s">
        <v>296</v>
      </c>
      <c r="B830" s="43"/>
      <c r="C830" s="44"/>
      <c r="D830" s="43"/>
      <c r="E830" s="45">
        <v>2284795343</v>
      </c>
      <c r="F830" s="46"/>
      <c r="G830" s="45"/>
      <c r="H830" s="47"/>
      <c r="I830" s="46"/>
      <c r="J830" s="46"/>
      <c r="K830" s="45"/>
      <c r="L830" s="45">
        <v>798218</v>
      </c>
      <c r="M830" s="45">
        <v>2279746196</v>
      </c>
    </row>
    <row r="831" spans="1:13" s="55" customFormat="1" outlineLevel="1">
      <c r="A831" s="49"/>
      <c r="B831" s="50"/>
      <c r="C831" s="51"/>
      <c r="D831" s="50"/>
      <c r="E831" s="52"/>
      <c r="F831" s="53"/>
      <c r="G831" s="52"/>
      <c r="H831" s="54"/>
      <c r="I831" s="53"/>
      <c r="J831" s="53"/>
      <c r="K831" s="52"/>
      <c r="L831" s="52"/>
      <c r="M831" s="52"/>
    </row>
    <row r="832" spans="1:13" s="48" customFormat="1">
      <c r="A832" s="46" t="s">
        <v>297</v>
      </c>
      <c r="B832" s="43"/>
      <c r="C832" s="44"/>
      <c r="D832" s="43"/>
      <c r="E832" s="45">
        <v>30014959265</v>
      </c>
      <c r="F832" s="46"/>
      <c r="G832" s="45"/>
      <c r="H832" s="47"/>
      <c r="I832" s="46"/>
      <c r="J832" s="46"/>
      <c r="K832" s="45"/>
      <c r="L832" s="45">
        <v>11171693</v>
      </c>
      <c r="M832" s="45">
        <v>29730108987</v>
      </c>
    </row>
    <row r="833" spans="1:16" s="48" customForma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</row>
    <row r="834" spans="1:16">
      <c r="A834" s="56" t="s">
        <v>298</v>
      </c>
      <c r="B834" s="56"/>
      <c r="E834" s="57" t="s">
        <v>374</v>
      </c>
      <c r="G834" s="27"/>
      <c r="H834" s="58" t="s">
        <v>300</v>
      </c>
      <c r="I834" s="59"/>
    </row>
    <row r="835" spans="1:16" s="48" customForma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</row>
    <row r="836" spans="1:16" s="48" customForma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</row>
    <row r="837" spans="1:16" s="48" customForma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</row>
    <row r="838" spans="1:16" s="48" customForma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</row>
    <row r="839" spans="1:16" s="48" customForma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</row>
    <row r="840" spans="1:16" s="48" customForma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</row>
    <row r="841" spans="1:16" s="48" customForma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</row>
    <row r="842" spans="1:16" s="48" customForma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</row>
    <row r="843" spans="1:16" s="48" customForma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</row>
    <row r="844" spans="1:16" s="48" customForma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</row>
    <row r="845" spans="1:16" s="48" customForma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</row>
    <row r="846" spans="1:16" s="48" customForma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</row>
  </sheetData>
  <autoFilter ref="A3:M830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48E2-73A2-4C81-B781-C7E7F72D16CB}">
  <dimension ref="A1:M875"/>
  <sheetViews>
    <sheetView zoomScaleNormal="100" workbookViewId="0">
      <selection activeCell="E17" sqref="E17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8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6384" width="5.375" style="1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A2" s="27"/>
      <c r="B2" s="28" t="s">
        <v>0</v>
      </c>
      <c r="C2" s="29">
        <v>44408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</row>
    <row r="3" spans="1:13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44378</v>
      </c>
      <c r="J4" s="39">
        <v>44408</v>
      </c>
      <c r="K4" s="24">
        <v>31</v>
      </c>
      <c r="L4" s="24">
        <v>69007</v>
      </c>
      <c r="M4" s="24">
        <v>162500000</v>
      </c>
    </row>
    <row r="5" spans="1:13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44378</v>
      </c>
      <c r="J5" s="39">
        <v>44408</v>
      </c>
      <c r="K5" s="24">
        <v>31</v>
      </c>
      <c r="L5" s="24">
        <v>612</v>
      </c>
      <c r="M5" s="24">
        <v>2400000</v>
      </c>
    </row>
    <row r="6" spans="1:13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44378</v>
      </c>
      <c r="J6" s="39">
        <v>44408</v>
      </c>
      <c r="K6" s="24">
        <v>31</v>
      </c>
      <c r="L6" s="24">
        <v>3130</v>
      </c>
      <c r="M6" s="24">
        <v>7370000</v>
      </c>
    </row>
    <row r="7" spans="1:13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44378</v>
      </c>
      <c r="J7" s="39">
        <v>44408</v>
      </c>
      <c r="K7" s="24">
        <v>31</v>
      </c>
      <c r="L7" s="24">
        <v>2501</v>
      </c>
      <c r="M7" s="24">
        <v>5890000</v>
      </c>
    </row>
    <row r="8" spans="1:13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44378</v>
      </c>
      <c r="J8" s="39">
        <v>44408</v>
      </c>
      <c r="K8" s="24">
        <v>31</v>
      </c>
      <c r="L8" s="24">
        <v>1282</v>
      </c>
      <c r="M8" s="24">
        <v>3020000</v>
      </c>
    </row>
    <row r="9" spans="1:13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44378</v>
      </c>
      <c r="J9" s="39">
        <v>44408</v>
      </c>
      <c r="K9" s="24">
        <v>31</v>
      </c>
      <c r="L9" s="24">
        <v>35926</v>
      </c>
      <c r="M9" s="24">
        <v>84600000</v>
      </c>
    </row>
    <row r="10" spans="1:13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44378</v>
      </c>
      <c r="J10" s="39">
        <v>44408</v>
      </c>
      <c r="K10" s="24">
        <v>31</v>
      </c>
      <c r="L10" s="24">
        <v>25479</v>
      </c>
      <c r="M10" s="24">
        <v>60000000</v>
      </c>
    </row>
    <row r="11" spans="1:13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44378</v>
      </c>
      <c r="J11" s="39">
        <v>44408</v>
      </c>
      <c r="K11" s="24">
        <v>31</v>
      </c>
      <c r="L11" s="24">
        <v>41277</v>
      </c>
      <c r="M11" s="24">
        <v>162000000</v>
      </c>
    </row>
    <row r="12" spans="1:13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44378</v>
      </c>
      <c r="J12" s="39">
        <v>44408</v>
      </c>
      <c r="K12" s="24">
        <v>31</v>
      </c>
      <c r="L12" s="24">
        <v>1761</v>
      </c>
      <c r="M12" s="24">
        <v>4147000</v>
      </c>
    </row>
    <row r="13" spans="1:13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44378</v>
      </c>
      <c r="J13" s="39">
        <v>44408</v>
      </c>
      <c r="K13" s="24">
        <v>31</v>
      </c>
      <c r="L13" s="24">
        <v>314</v>
      </c>
      <c r="M13" s="24">
        <v>740000</v>
      </c>
    </row>
    <row r="14" spans="1:13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44378</v>
      </c>
      <c r="J14" s="39">
        <v>44408</v>
      </c>
      <c r="K14" s="24">
        <v>31</v>
      </c>
      <c r="L14" s="24">
        <v>74838</v>
      </c>
      <c r="M14" s="24">
        <v>176232000</v>
      </c>
    </row>
    <row r="15" spans="1:13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44378</v>
      </c>
      <c r="J15" s="39">
        <v>44408</v>
      </c>
      <c r="K15" s="24">
        <v>31</v>
      </c>
      <c r="L15" s="24">
        <v>2731</v>
      </c>
      <c r="M15" s="24">
        <v>6430000</v>
      </c>
    </row>
    <row r="16" spans="1:13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44378</v>
      </c>
      <c r="J16" s="39">
        <v>44408</v>
      </c>
      <c r="K16" s="24">
        <v>31</v>
      </c>
      <c r="L16" s="24">
        <v>2293</v>
      </c>
      <c r="M16" s="24">
        <v>5400000</v>
      </c>
    </row>
    <row r="17" spans="1:13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44378</v>
      </c>
      <c r="J17" s="39">
        <v>44408</v>
      </c>
      <c r="K17" s="24">
        <v>31</v>
      </c>
      <c r="L17" s="24">
        <v>161</v>
      </c>
      <c r="M17" s="24">
        <v>380000</v>
      </c>
    </row>
    <row r="18" spans="1:13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44378</v>
      </c>
      <c r="J18" s="39">
        <v>44408</v>
      </c>
      <c r="K18" s="24">
        <v>31</v>
      </c>
      <c r="L18" s="24">
        <v>1019</v>
      </c>
      <c r="M18" s="24">
        <v>2400000</v>
      </c>
    </row>
    <row r="19" spans="1:13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44378</v>
      </c>
      <c r="J19" s="39">
        <v>44408</v>
      </c>
      <c r="K19" s="24">
        <v>31</v>
      </c>
      <c r="L19" s="24">
        <v>425</v>
      </c>
      <c r="M19" s="24">
        <v>1000000</v>
      </c>
    </row>
    <row r="20" spans="1:13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44378</v>
      </c>
      <c r="J20" s="39">
        <v>44408</v>
      </c>
      <c r="K20" s="24">
        <v>31</v>
      </c>
      <c r="L20" s="24">
        <v>4247</v>
      </c>
      <c r="M20" s="24">
        <v>10000000</v>
      </c>
    </row>
    <row r="21" spans="1:13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44378</v>
      </c>
      <c r="J21" s="39">
        <v>44408</v>
      </c>
      <c r="K21" s="24">
        <v>31</v>
      </c>
      <c r="L21" s="24">
        <v>106164</v>
      </c>
      <c r="M21" s="24">
        <v>250000000</v>
      </c>
    </row>
    <row r="22" spans="1:13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44378</v>
      </c>
      <c r="J22" s="39">
        <v>44408</v>
      </c>
      <c r="K22" s="24">
        <v>31</v>
      </c>
      <c r="L22" s="24">
        <v>84932</v>
      </c>
      <c r="M22" s="24">
        <v>200000000</v>
      </c>
    </row>
    <row r="23" spans="1:13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44378</v>
      </c>
      <c r="J23" s="39">
        <v>44408</v>
      </c>
      <c r="K23" s="24">
        <v>31</v>
      </c>
      <c r="L23" s="24">
        <v>3652</v>
      </c>
      <c r="M23" s="24">
        <v>8600000</v>
      </c>
    </row>
    <row r="24" spans="1:13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44378</v>
      </c>
      <c r="J24" s="39">
        <v>44408</v>
      </c>
      <c r="K24" s="24">
        <v>31</v>
      </c>
      <c r="L24" s="24">
        <v>704</v>
      </c>
      <c r="M24" s="24">
        <v>1657000</v>
      </c>
    </row>
    <row r="25" spans="1:13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44378</v>
      </c>
      <c r="J25" s="39">
        <v>44408</v>
      </c>
      <c r="K25" s="24">
        <v>31</v>
      </c>
      <c r="L25" s="24">
        <v>849</v>
      </c>
      <c r="M25" s="24">
        <v>2000000</v>
      </c>
    </row>
    <row r="26" spans="1:13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44378</v>
      </c>
      <c r="J26" s="39">
        <v>44408</v>
      </c>
      <c r="K26" s="24">
        <v>31</v>
      </c>
      <c r="L26" s="24">
        <v>12145</v>
      </c>
      <c r="M26" s="24">
        <v>28600000</v>
      </c>
    </row>
    <row r="27" spans="1:13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44378</v>
      </c>
      <c r="J27" s="39">
        <v>44408</v>
      </c>
      <c r="K27" s="24">
        <v>31</v>
      </c>
      <c r="L27" s="24">
        <v>255</v>
      </c>
      <c r="M27" s="24">
        <v>600000</v>
      </c>
    </row>
    <row r="28" spans="1:13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44378</v>
      </c>
      <c r="J28" s="39">
        <v>44408</v>
      </c>
      <c r="K28" s="24">
        <v>31</v>
      </c>
      <c r="L28" s="24">
        <v>15288</v>
      </c>
      <c r="M28" s="24">
        <v>60000000</v>
      </c>
    </row>
    <row r="29" spans="1:13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44378</v>
      </c>
      <c r="J29" s="39">
        <v>44408</v>
      </c>
      <c r="K29" s="24">
        <v>31</v>
      </c>
      <c r="L29" s="24">
        <v>33973</v>
      </c>
      <c r="M29" s="24">
        <v>80000000</v>
      </c>
    </row>
    <row r="30" spans="1:13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44378</v>
      </c>
      <c r="J30" s="39">
        <v>44408</v>
      </c>
      <c r="K30" s="24">
        <v>31</v>
      </c>
      <c r="L30" s="24">
        <v>55205</v>
      </c>
      <c r="M30" s="24">
        <v>130000000</v>
      </c>
    </row>
    <row r="31" spans="1:13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44378</v>
      </c>
      <c r="J31" s="39">
        <v>44408</v>
      </c>
      <c r="K31" s="24">
        <v>31</v>
      </c>
      <c r="L31" s="24">
        <v>35633</v>
      </c>
      <c r="M31" s="24">
        <v>83911000</v>
      </c>
    </row>
    <row r="32" spans="1:13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14008474</v>
      </c>
      <c r="H32" s="23">
        <v>5.0000000000000001E-3</v>
      </c>
      <c r="I32" s="39">
        <v>44378</v>
      </c>
      <c r="J32" s="39">
        <v>44391</v>
      </c>
      <c r="K32" s="24">
        <v>14</v>
      </c>
      <c r="L32" s="24">
        <v>2687</v>
      </c>
      <c r="M32" s="24">
        <v>13762711</v>
      </c>
    </row>
    <row r="33" spans="1:13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13762711</v>
      </c>
      <c r="H33" s="23">
        <v>5.0000000000000001E-3</v>
      </c>
      <c r="I33" s="39">
        <v>44392</v>
      </c>
      <c r="J33" s="39">
        <v>44408</v>
      </c>
      <c r="K33" s="24">
        <v>17</v>
      </c>
      <c r="L33" s="24">
        <v>3205</v>
      </c>
      <c r="M33" s="24"/>
    </row>
    <row r="34" spans="1:13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44378</v>
      </c>
      <c r="J34" s="39">
        <v>44408</v>
      </c>
      <c r="K34" s="24">
        <v>31</v>
      </c>
      <c r="L34" s="24">
        <v>52590</v>
      </c>
      <c r="M34" s="24">
        <v>206400000</v>
      </c>
    </row>
    <row r="35" spans="1:13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44378</v>
      </c>
      <c r="J35" s="39">
        <v>44408</v>
      </c>
      <c r="K35" s="24">
        <v>31</v>
      </c>
      <c r="L35" s="24">
        <v>8319</v>
      </c>
      <c r="M35" s="24">
        <v>19590000</v>
      </c>
    </row>
    <row r="36" spans="1:13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44378</v>
      </c>
      <c r="J36" s="39">
        <v>44408</v>
      </c>
      <c r="K36" s="24">
        <v>31</v>
      </c>
      <c r="L36" s="24">
        <v>7219</v>
      </c>
      <c r="M36" s="24">
        <v>17000000</v>
      </c>
    </row>
    <row r="37" spans="1:13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44378</v>
      </c>
      <c r="J37" s="39">
        <v>44408</v>
      </c>
      <c r="K37" s="24">
        <v>31</v>
      </c>
      <c r="L37" s="24">
        <v>13547</v>
      </c>
      <c r="M37" s="24">
        <v>31900000</v>
      </c>
    </row>
    <row r="38" spans="1:13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44378</v>
      </c>
      <c r="J38" s="39">
        <v>44408</v>
      </c>
      <c r="K38" s="24">
        <v>31</v>
      </c>
      <c r="L38" s="24">
        <v>8493</v>
      </c>
      <c r="M38" s="24">
        <v>20000000</v>
      </c>
    </row>
    <row r="39" spans="1:13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44378</v>
      </c>
      <c r="J39" s="39">
        <v>44408</v>
      </c>
      <c r="K39" s="24">
        <v>31</v>
      </c>
      <c r="L39" s="24">
        <v>1851</v>
      </c>
      <c r="M39" s="24">
        <v>4359000</v>
      </c>
    </row>
    <row r="40" spans="1:13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44405</v>
      </c>
      <c r="J40" s="39">
        <v>44408</v>
      </c>
      <c r="K40" s="24">
        <v>4</v>
      </c>
      <c r="L40" s="24">
        <v>4261</v>
      </c>
      <c r="M40" s="24">
        <v>129600000</v>
      </c>
    </row>
    <row r="41" spans="1:13" s="5" customFormat="1" outlineLevel="2">
      <c r="A41" s="39" t="s">
        <v>15</v>
      </c>
      <c r="B41" s="40" t="s">
        <v>62</v>
      </c>
      <c r="C41" s="41" t="s">
        <v>55</v>
      </c>
      <c r="D41" s="40" t="s">
        <v>56</v>
      </c>
      <c r="E41" s="24">
        <v>10000000</v>
      </c>
      <c r="F41" s="39">
        <v>43934</v>
      </c>
      <c r="G41" s="24">
        <v>10000000</v>
      </c>
      <c r="H41" s="23">
        <v>5.0000000000000001E-3</v>
      </c>
      <c r="I41" s="39">
        <v>44378</v>
      </c>
      <c r="J41" s="39">
        <v>44408</v>
      </c>
      <c r="K41" s="24">
        <v>31</v>
      </c>
      <c r="L41" s="24">
        <v>4247</v>
      </c>
      <c r="M41" s="24">
        <v>10000000</v>
      </c>
    </row>
    <row r="42" spans="1:13" s="5" customFormat="1" outlineLevel="2">
      <c r="A42" s="39" t="s">
        <v>15</v>
      </c>
      <c r="B42" s="40" t="s">
        <v>63</v>
      </c>
      <c r="C42" s="41" t="s">
        <v>55</v>
      </c>
      <c r="D42" s="40" t="s">
        <v>56</v>
      </c>
      <c r="E42" s="24">
        <v>30000000</v>
      </c>
      <c r="F42" s="39">
        <v>43937</v>
      </c>
      <c r="G42" s="24">
        <v>30000000</v>
      </c>
      <c r="H42" s="23">
        <v>5.0000000000000001E-3</v>
      </c>
      <c r="I42" s="39">
        <v>44378</v>
      </c>
      <c r="J42" s="39">
        <v>44408</v>
      </c>
      <c r="K42" s="24">
        <v>31</v>
      </c>
      <c r="L42" s="24">
        <v>12740</v>
      </c>
      <c r="M42" s="24">
        <v>30000000</v>
      </c>
    </row>
    <row r="43" spans="1:13" s="5" customFormat="1" outlineLevel="2">
      <c r="A43" s="39" t="s">
        <v>15</v>
      </c>
      <c r="B43" s="40" t="s">
        <v>64</v>
      </c>
      <c r="C43" s="41" t="s">
        <v>55</v>
      </c>
      <c r="D43" s="40" t="s">
        <v>56</v>
      </c>
      <c r="E43" s="24">
        <v>58360000</v>
      </c>
      <c r="F43" s="39">
        <v>43929</v>
      </c>
      <c r="G43" s="24">
        <v>58360000</v>
      </c>
      <c r="H43" s="23">
        <v>5.0000000000000001E-3</v>
      </c>
      <c r="I43" s="39">
        <v>44378</v>
      </c>
      <c r="J43" s="39">
        <v>44408</v>
      </c>
      <c r="K43" s="24">
        <v>31</v>
      </c>
      <c r="L43" s="24">
        <v>24783</v>
      </c>
      <c r="M43" s="24">
        <v>58360000</v>
      </c>
    </row>
    <row r="44" spans="1:13" s="5" customFormat="1" outlineLevel="2">
      <c r="A44" s="39" t="s">
        <v>15</v>
      </c>
      <c r="B44" s="40" t="s">
        <v>65</v>
      </c>
      <c r="C44" s="41" t="s">
        <v>66</v>
      </c>
      <c r="D44" s="40" t="s">
        <v>67</v>
      </c>
      <c r="E44" s="24">
        <v>64000000</v>
      </c>
      <c r="F44" s="39">
        <v>43966</v>
      </c>
      <c r="G44" s="24">
        <v>64000000</v>
      </c>
      <c r="H44" s="23">
        <v>5.0000000000000001E-3</v>
      </c>
      <c r="I44" s="39">
        <v>44378</v>
      </c>
      <c r="J44" s="39">
        <v>44408</v>
      </c>
      <c r="K44" s="24">
        <v>31</v>
      </c>
      <c r="L44" s="24">
        <v>27178</v>
      </c>
      <c r="M44" s="24">
        <v>64000000</v>
      </c>
    </row>
    <row r="45" spans="1:13" s="5" customFormat="1" outlineLevel="2">
      <c r="A45" s="39" t="s">
        <v>15</v>
      </c>
      <c r="B45" s="40" t="s">
        <v>68</v>
      </c>
      <c r="C45" s="41" t="s">
        <v>55</v>
      </c>
      <c r="D45" s="40" t="s">
        <v>56</v>
      </c>
      <c r="E45" s="24">
        <v>11400000</v>
      </c>
      <c r="F45" s="39">
        <v>43962</v>
      </c>
      <c r="G45" s="24">
        <v>11400000</v>
      </c>
      <c r="H45" s="23">
        <v>5.0000000000000001E-3</v>
      </c>
      <c r="I45" s="39">
        <v>44378</v>
      </c>
      <c r="J45" s="39">
        <v>44408</v>
      </c>
      <c r="K45" s="24">
        <v>31</v>
      </c>
      <c r="L45" s="24">
        <v>4841</v>
      </c>
      <c r="M45" s="24">
        <v>11400000</v>
      </c>
    </row>
    <row r="46" spans="1:13" s="5" customFormat="1" outlineLevel="1">
      <c r="A46" s="42" t="s">
        <v>69</v>
      </c>
      <c r="B46" s="43"/>
      <c r="C46" s="44"/>
      <c r="D46" s="43"/>
      <c r="E46" s="45">
        <v>2156986000</v>
      </c>
      <c r="F46" s="46"/>
      <c r="G46" s="45"/>
      <c r="H46" s="47"/>
      <c r="I46" s="46"/>
      <c r="J46" s="46"/>
      <c r="K46" s="45"/>
      <c r="L46" s="45">
        <v>791764</v>
      </c>
      <c r="M46" s="45">
        <v>2156248711</v>
      </c>
    </row>
    <row r="47" spans="1:13" s="5" customFormat="1" outlineLevel="2">
      <c r="A47" s="39" t="s">
        <v>70</v>
      </c>
      <c r="B47" s="40" t="s">
        <v>16</v>
      </c>
      <c r="C47" s="41" t="s">
        <v>27</v>
      </c>
      <c r="D47" s="40" t="s">
        <v>28</v>
      </c>
      <c r="E47" s="24">
        <v>21330000</v>
      </c>
      <c r="F47" s="39">
        <v>44046</v>
      </c>
      <c r="G47" s="24">
        <v>21330000</v>
      </c>
      <c r="H47" s="23">
        <v>5.0000000000000001E-3</v>
      </c>
      <c r="I47" s="39">
        <v>44378</v>
      </c>
      <c r="J47" s="39">
        <v>44408</v>
      </c>
      <c r="K47" s="24">
        <v>31</v>
      </c>
      <c r="L47" s="24">
        <v>9058</v>
      </c>
      <c r="M47" s="24">
        <v>21330000</v>
      </c>
    </row>
    <row r="48" spans="1:13" s="5" customFormat="1" outlineLevel="2">
      <c r="A48" s="39" t="s">
        <v>70</v>
      </c>
      <c r="B48" s="40" t="s">
        <v>39</v>
      </c>
      <c r="C48" s="41" t="s">
        <v>27</v>
      </c>
      <c r="D48" s="40" t="s">
        <v>28</v>
      </c>
      <c r="E48" s="24">
        <v>8670000</v>
      </c>
      <c r="F48" s="39">
        <v>44060</v>
      </c>
      <c r="G48" s="24">
        <v>8670000</v>
      </c>
      <c r="H48" s="23">
        <v>5.0000000000000001E-3</v>
      </c>
      <c r="I48" s="39">
        <v>44378</v>
      </c>
      <c r="J48" s="39">
        <v>44408</v>
      </c>
      <c r="K48" s="24">
        <v>31</v>
      </c>
      <c r="L48" s="24">
        <v>3682</v>
      </c>
      <c r="M48" s="24">
        <v>8670000</v>
      </c>
    </row>
    <row r="49" spans="1:13" s="5" customFormat="1" outlineLevel="2">
      <c r="A49" s="39" t="s">
        <v>70</v>
      </c>
      <c r="B49" s="40" t="s">
        <v>54</v>
      </c>
      <c r="C49" s="41" t="s">
        <v>71</v>
      </c>
      <c r="D49" s="40" t="s">
        <v>72</v>
      </c>
      <c r="E49" s="24">
        <v>10600000</v>
      </c>
      <c r="F49" s="39">
        <v>44085</v>
      </c>
      <c r="G49" s="24">
        <v>10600000</v>
      </c>
      <c r="H49" s="23">
        <v>5.0000000000000001E-3</v>
      </c>
      <c r="I49" s="39">
        <v>44378</v>
      </c>
      <c r="J49" s="39">
        <v>44408</v>
      </c>
      <c r="K49" s="24">
        <v>31</v>
      </c>
      <c r="L49" s="24">
        <v>4501</v>
      </c>
      <c r="M49" s="24">
        <v>10600000</v>
      </c>
    </row>
    <row r="50" spans="1:13" s="5" customFormat="1" outlineLevel="2">
      <c r="A50" s="39" t="s">
        <v>70</v>
      </c>
      <c r="B50" s="40" t="s">
        <v>59</v>
      </c>
      <c r="C50" s="41" t="s">
        <v>73</v>
      </c>
      <c r="D50" s="40" t="s">
        <v>74</v>
      </c>
      <c r="E50" s="24">
        <v>40170000</v>
      </c>
      <c r="F50" s="39">
        <v>44172</v>
      </c>
      <c r="G50" s="24">
        <v>40170000</v>
      </c>
      <c r="H50" s="23">
        <v>5.0000000000000001E-3</v>
      </c>
      <c r="I50" s="39">
        <v>44378</v>
      </c>
      <c r="J50" s="39">
        <v>44408</v>
      </c>
      <c r="K50" s="24">
        <v>31</v>
      </c>
      <c r="L50" s="24">
        <v>17058</v>
      </c>
      <c r="M50" s="24">
        <v>40170000</v>
      </c>
    </row>
    <row r="51" spans="1:13" s="5" customFormat="1" outlineLevel="2">
      <c r="A51" s="39" t="s">
        <v>70</v>
      </c>
      <c r="B51" s="40" t="s">
        <v>62</v>
      </c>
      <c r="C51" s="41" t="s">
        <v>75</v>
      </c>
      <c r="D51" s="40" t="s">
        <v>76</v>
      </c>
      <c r="E51" s="24">
        <v>5170000</v>
      </c>
      <c r="F51" s="39">
        <v>44166</v>
      </c>
      <c r="G51" s="24">
        <v>5170000</v>
      </c>
      <c r="H51" s="23">
        <v>5.0000000000000001E-3</v>
      </c>
      <c r="I51" s="39">
        <v>44378</v>
      </c>
      <c r="J51" s="39">
        <v>44408</v>
      </c>
      <c r="K51" s="24">
        <v>31</v>
      </c>
      <c r="L51" s="24">
        <v>2195</v>
      </c>
      <c r="M51" s="24">
        <v>5170000</v>
      </c>
    </row>
    <row r="52" spans="1:13" s="5" customFormat="1" outlineLevel="1">
      <c r="A52" s="42" t="s">
        <v>77</v>
      </c>
      <c r="B52" s="43"/>
      <c r="C52" s="44"/>
      <c r="D52" s="43"/>
      <c r="E52" s="45">
        <v>85940000</v>
      </c>
      <c r="F52" s="46"/>
      <c r="G52" s="45"/>
      <c r="H52" s="47"/>
      <c r="I52" s="46"/>
      <c r="J52" s="46"/>
      <c r="K52" s="45"/>
      <c r="L52" s="45">
        <v>36494</v>
      </c>
      <c r="M52" s="45">
        <v>85940000</v>
      </c>
    </row>
    <row r="53" spans="1:13" s="5" customFormat="1" outlineLevel="2">
      <c r="A53" s="39" t="s">
        <v>78</v>
      </c>
      <c r="B53" s="40" t="s">
        <v>16</v>
      </c>
      <c r="C53" s="41" t="s">
        <v>55</v>
      </c>
      <c r="D53" s="40" t="s">
        <v>56</v>
      </c>
      <c r="E53" s="24">
        <v>26500000</v>
      </c>
      <c r="F53" s="39">
        <v>43907</v>
      </c>
      <c r="G53" s="24">
        <v>21767860</v>
      </c>
      <c r="H53" s="23">
        <v>5.0000000000000001E-3</v>
      </c>
      <c r="I53" s="39">
        <v>44378</v>
      </c>
      <c r="J53" s="39">
        <v>44391</v>
      </c>
      <c r="K53" s="24">
        <v>14</v>
      </c>
      <c r="L53" s="24">
        <v>4175</v>
      </c>
      <c r="M53" s="24">
        <v>21452384</v>
      </c>
    </row>
    <row r="54" spans="1:13" s="5" customFormat="1" outlineLevel="2">
      <c r="A54" s="39" t="s">
        <v>78</v>
      </c>
      <c r="B54" s="40" t="s">
        <v>16</v>
      </c>
      <c r="C54" s="41" t="s">
        <v>55</v>
      </c>
      <c r="D54" s="40"/>
      <c r="E54" s="24"/>
      <c r="F54" s="39"/>
      <c r="G54" s="24">
        <v>21452384</v>
      </c>
      <c r="H54" s="23">
        <v>5.0000000000000001E-3</v>
      </c>
      <c r="I54" s="39">
        <v>44392</v>
      </c>
      <c r="J54" s="39">
        <v>44408</v>
      </c>
      <c r="K54" s="24">
        <v>17</v>
      </c>
      <c r="L54" s="24">
        <v>4996</v>
      </c>
      <c r="M54" s="24"/>
    </row>
    <row r="55" spans="1:13" s="5" customFormat="1" outlineLevel="2">
      <c r="A55" s="39" t="s">
        <v>78</v>
      </c>
      <c r="B55" s="40" t="s">
        <v>19</v>
      </c>
      <c r="C55" s="41" t="s">
        <v>79</v>
      </c>
      <c r="D55" s="40" t="s">
        <v>80</v>
      </c>
      <c r="E55" s="24">
        <v>130000000</v>
      </c>
      <c r="F55" s="39">
        <v>44013</v>
      </c>
      <c r="G55" s="24">
        <v>130000000</v>
      </c>
      <c r="H55" s="23">
        <v>5.0000000000000001E-3</v>
      </c>
      <c r="I55" s="39">
        <v>44378</v>
      </c>
      <c r="J55" s="39">
        <v>44408</v>
      </c>
      <c r="K55" s="24">
        <v>31</v>
      </c>
      <c r="L55" s="24">
        <v>55205</v>
      </c>
      <c r="M55" s="24">
        <v>130000000</v>
      </c>
    </row>
    <row r="56" spans="1:13" s="5" customFormat="1" outlineLevel="2">
      <c r="A56" s="39" t="s">
        <v>78</v>
      </c>
      <c r="B56" s="40" t="s">
        <v>22</v>
      </c>
      <c r="C56" s="41" t="s">
        <v>81</v>
      </c>
      <c r="D56" s="40" t="s">
        <v>82</v>
      </c>
      <c r="E56" s="24">
        <v>3400000</v>
      </c>
      <c r="F56" s="39">
        <v>44063</v>
      </c>
      <c r="G56" s="24">
        <v>2813800</v>
      </c>
      <c r="H56" s="23">
        <v>5.0000000000000001E-3</v>
      </c>
      <c r="I56" s="39">
        <v>44378</v>
      </c>
      <c r="J56" s="39">
        <v>44391</v>
      </c>
      <c r="K56" s="24">
        <v>14</v>
      </c>
      <c r="L56" s="24">
        <v>540</v>
      </c>
      <c r="M56" s="24">
        <v>2755180</v>
      </c>
    </row>
    <row r="57" spans="1:13" s="5" customFormat="1" outlineLevel="2">
      <c r="A57" s="39" t="s">
        <v>78</v>
      </c>
      <c r="B57" s="40" t="s">
        <v>22</v>
      </c>
      <c r="C57" s="41" t="s">
        <v>81</v>
      </c>
      <c r="D57" s="40"/>
      <c r="E57" s="24"/>
      <c r="F57" s="39"/>
      <c r="G57" s="24">
        <v>2755180</v>
      </c>
      <c r="H57" s="23">
        <v>5.0000000000000001E-3</v>
      </c>
      <c r="I57" s="39">
        <v>44392</v>
      </c>
      <c r="J57" s="39">
        <v>44408</v>
      </c>
      <c r="K57" s="24">
        <v>17</v>
      </c>
      <c r="L57" s="24">
        <v>642</v>
      </c>
      <c r="M57" s="24"/>
    </row>
    <row r="58" spans="1:13" s="5" customFormat="1" outlineLevel="2">
      <c r="A58" s="39" t="s">
        <v>78</v>
      </c>
      <c r="B58" s="40" t="s">
        <v>25</v>
      </c>
      <c r="C58" s="41" t="s">
        <v>81</v>
      </c>
      <c r="D58" s="40" t="s">
        <v>82</v>
      </c>
      <c r="E58" s="24">
        <v>9800000</v>
      </c>
      <c r="F58" s="39">
        <v>44071</v>
      </c>
      <c r="G58" s="24">
        <v>8110330</v>
      </c>
      <c r="H58" s="23">
        <v>5.0000000000000001E-3</v>
      </c>
      <c r="I58" s="39">
        <v>44378</v>
      </c>
      <c r="J58" s="39">
        <v>44391</v>
      </c>
      <c r="K58" s="24">
        <v>14</v>
      </c>
      <c r="L58" s="24">
        <v>1555</v>
      </c>
      <c r="M58" s="24">
        <v>7941363</v>
      </c>
    </row>
    <row r="59" spans="1:13" s="5" customFormat="1" outlineLevel="2">
      <c r="A59" s="39" t="s">
        <v>78</v>
      </c>
      <c r="B59" s="40" t="s">
        <v>25</v>
      </c>
      <c r="C59" s="41" t="s">
        <v>81</v>
      </c>
      <c r="D59" s="40"/>
      <c r="E59" s="24"/>
      <c r="F59" s="39"/>
      <c r="G59" s="24">
        <v>7941363</v>
      </c>
      <c r="H59" s="23">
        <v>5.0000000000000001E-3</v>
      </c>
      <c r="I59" s="39">
        <v>44392</v>
      </c>
      <c r="J59" s="39">
        <v>44408</v>
      </c>
      <c r="K59" s="24">
        <v>17</v>
      </c>
      <c r="L59" s="24">
        <v>1849</v>
      </c>
      <c r="M59" s="24"/>
    </row>
    <row r="60" spans="1:13" s="5" customFormat="1" outlineLevel="2">
      <c r="A60" s="39" t="s">
        <v>78</v>
      </c>
      <c r="B60" s="40" t="s">
        <v>26</v>
      </c>
      <c r="C60" s="41" t="s">
        <v>83</v>
      </c>
      <c r="D60" s="40" t="s">
        <v>84</v>
      </c>
      <c r="E60" s="24">
        <v>201000000</v>
      </c>
      <c r="F60" s="39">
        <v>44064</v>
      </c>
      <c r="G60" s="24">
        <v>201000000</v>
      </c>
      <c r="H60" s="23">
        <v>5.0000000000000001E-3</v>
      </c>
      <c r="I60" s="39">
        <v>44378</v>
      </c>
      <c r="J60" s="39">
        <v>44408</v>
      </c>
      <c r="K60" s="24">
        <v>31</v>
      </c>
      <c r="L60" s="24">
        <v>85356</v>
      </c>
      <c r="M60" s="24">
        <v>201000000</v>
      </c>
    </row>
    <row r="61" spans="1:13" s="5" customFormat="1" outlineLevel="2">
      <c r="A61" s="39" t="s">
        <v>78</v>
      </c>
      <c r="B61" s="40" t="s">
        <v>29</v>
      </c>
      <c r="C61" s="41" t="s">
        <v>85</v>
      </c>
      <c r="D61" s="40" t="s">
        <v>86</v>
      </c>
      <c r="E61" s="24">
        <v>211550000</v>
      </c>
      <c r="F61" s="39">
        <v>44078</v>
      </c>
      <c r="G61" s="24">
        <v>211550000</v>
      </c>
      <c r="H61" s="23">
        <v>5.0000000000000001E-3</v>
      </c>
      <c r="I61" s="39">
        <v>44378</v>
      </c>
      <c r="J61" s="39">
        <v>44408</v>
      </c>
      <c r="K61" s="24">
        <v>31</v>
      </c>
      <c r="L61" s="24">
        <v>89836</v>
      </c>
      <c r="M61" s="24">
        <v>211550000</v>
      </c>
    </row>
    <row r="62" spans="1:13" s="5" customFormat="1" outlineLevel="2">
      <c r="A62" s="39" t="s">
        <v>78</v>
      </c>
      <c r="B62" s="40" t="s">
        <v>32</v>
      </c>
      <c r="C62" s="41" t="s">
        <v>85</v>
      </c>
      <c r="D62" s="40" t="s">
        <v>86</v>
      </c>
      <c r="E62" s="24">
        <v>91330000</v>
      </c>
      <c r="F62" s="39">
        <v>44120</v>
      </c>
      <c r="G62" s="24">
        <v>91330000</v>
      </c>
      <c r="H62" s="23">
        <v>5.0000000000000001E-3</v>
      </c>
      <c r="I62" s="39">
        <v>44378</v>
      </c>
      <c r="J62" s="39">
        <v>44408</v>
      </c>
      <c r="K62" s="24">
        <v>31</v>
      </c>
      <c r="L62" s="24">
        <v>38784</v>
      </c>
      <c r="M62" s="24">
        <v>91330000</v>
      </c>
    </row>
    <row r="63" spans="1:13" s="5" customFormat="1" outlineLevel="2">
      <c r="A63" s="39" t="s">
        <v>78</v>
      </c>
      <c r="B63" s="40" t="s">
        <v>33</v>
      </c>
      <c r="C63" s="41" t="s">
        <v>45</v>
      </c>
      <c r="D63" s="40" t="s">
        <v>46</v>
      </c>
      <c r="E63" s="24">
        <v>10000000</v>
      </c>
      <c r="F63" s="39">
        <v>44120</v>
      </c>
      <c r="G63" s="24">
        <v>10000000</v>
      </c>
      <c r="H63" s="23">
        <v>5.0000000000000001E-3</v>
      </c>
      <c r="I63" s="39">
        <v>44378</v>
      </c>
      <c r="J63" s="39">
        <v>44408</v>
      </c>
      <c r="K63" s="24">
        <v>31</v>
      </c>
      <c r="L63" s="24">
        <v>4247</v>
      </c>
      <c r="M63" s="24">
        <v>10000000</v>
      </c>
    </row>
    <row r="64" spans="1:13" s="5" customFormat="1" outlineLevel="2">
      <c r="A64" s="39" t="s">
        <v>78</v>
      </c>
      <c r="B64" s="40" t="s">
        <v>34</v>
      </c>
      <c r="C64" s="41" t="s">
        <v>87</v>
      </c>
      <c r="D64" s="40" t="s">
        <v>88</v>
      </c>
      <c r="E64" s="24">
        <v>40000000</v>
      </c>
      <c r="F64" s="39">
        <v>44131</v>
      </c>
      <c r="G64" s="24">
        <v>40000000</v>
      </c>
      <c r="H64" s="23">
        <v>5.0000000000000001E-3</v>
      </c>
      <c r="I64" s="39">
        <v>44378</v>
      </c>
      <c r="J64" s="39">
        <v>44408</v>
      </c>
      <c r="K64" s="24">
        <v>31</v>
      </c>
      <c r="L64" s="24">
        <v>16986</v>
      </c>
      <c r="M64" s="24">
        <v>40000000</v>
      </c>
    </row>
    <row r="65" spans="1:13" s="5" customFormat="1" outlineLevel="2">
      <c r="A65" s="39" t="s">
        <v>78</v>
      </c>
      <c r="B65" s="40" t="s">
        <v>35</v>
      </c>
      <c r="C65" s="41" t="s">
        <v>89</v>
      </c>
      <c r="D65" s="40" t="s">
        <v>90</v>
      </c>
      <c r="E65" s="24">
        <v>88000000</v>
      </c>
      <c r="F65" s="39">
        <v>44119</v>
      </c>
      <c r="G65" s="24">
        <v>88000000</v>
      </c>
      <c r="H65" s="23">
        <v>5.0000000000000001E-3</v>
      </c>
      <c r="I65" s="39">
        <v>44378</v>
      </c>
      <c r="J65" s="39">
        <v>44408</v>
      </c>
      <c r="K65" s="24">
        <v>31</v>
      </c>
      <c r="L65" s="24">
        <v>37370</v>
      </c>
      <c r="M65" s="24">
        <v>88000000</v>
      </c>
    </row>
    <row r="66" spans="1:13" s="5" customFormat="1" outlineLevel="2">
      <c r="A66" s="39" t="s">
        <v>78</v>
      </c>
      <c r="B66" s="40" t="s">
        <v>36</v>
      </c>
      <c r="C66" s="41" t="s">
        <v>91</v>
      </c>
      <c r="D66" s="40" t="s">
        <v>92</v>
      </c>
      <c r="E66" s="24">
        <v>65800000</v>
      </c>
      <c r="F66" s="39">
        <v>44119</v>
      </c>
      <c r="G66" s="24">
        <v>65800000</v>
      </c>
      <c r="H66" s="23">
        <v>5.0000000000000001E-3</v>
      </c>
      <c r="I66" s="39">
        <v>44378</v>
      </c>
      <c r="J66" s="39">
        <v>44408</v>
      </c>
      <c r="K66" s="24">
        <v>31</v>
      </c>
      <c r="L66" s="24">
        <v>27942</v>
      </c>
      <c r="M66" s="24">
        <v>65800000</v>
      </c>
    </row>
    <row r="67" spans="1:13" s="5" customFormat="1" outlineLevel="2">
      <c r="A67" s="39" t="s">
        <v>78</v>
      </c>
      <c r="B67" s="40" t="s">
        <v>39</v>
      </c>
      <c r="C67" s="41" t="s">
        <v>60</v>
      </c>
      <c r="D67" s="40" t="s">
        <v>61</v>
      </c>
      <c r="E67" s="24">
        <v>90000000</v>
      </c>
      <c r="F67" s="39">
        <v>43913</v>
      </c>
      <c r="G67" s="24">
        <v>84375000</v>
      </c>
      <c r="H67" s="23">
        <v>5.0000000000000001E-3</v>
      </c>
      <c r="I67" s="39">
        <v>44378</v>
      </c>
      <c r="J67" s="39">
        <v>44391</v>
      </c>
      <c r="K67" s="24">
        <v>14</v>
      </c>
      <c r="L67" s="24">
        <v>16182</v>
      </c>
      <c r="M67" s="24">
        <v>82500000</v>
      </c>
    </row>
    <row r="68" spans="1:13" s="5" customFormat="1" outlineLevel="2">
      <c r="A68" s="39" t="s">
        <v>78</v>
      </c>
      <c r="B68" s="40" t="s">
        <v>39</v>
      </c>
      <c r="C68" s="41" t="s">
        <v>60</v>
      </c>
      <c r="D68" s="40"/>
      <c r="E68" s="24"/>
      <c r="F68" s="39"/>
      <c r="G68" s="24">
        <v>82500000</v>
      </c>
      <c r="H68" s="23">
        <v>5.0000000000000001E-3</v>
      </c>
      <c r="I68" s="39">
        <v>44392</v>
      </c>
      <c r="J68" s="39">
        <v>44408</v>
      </c>
      <c r="K68" s="24">
        <v>17</v>
      </c>
      <c r="L68" s="24">
        <v>19212</v>
      </c>
      <c r="M68" s="24"/>
    </row>
    <row r="69" spans="1:13" s="5" customFormat="1" outlineLevel="2">
      <c r="A69" s="39" t="s">
        <v>78</v>
      </c>
      <c r="B69" s="40" t="s">
        <v>40</v>
      </c>
      <c r="C69" s="41" t="s">
        <v>93</v>
      </c>
      <c r="D69" s="40" t="s">
        <v>94</v>
      </c>
      <c r="E69" s="24">
        <v>7611996</v>
      </c>
      <c r="F69" s="39">
        <v>44151</v>
      </c>
      <c r="G69" s="24">
        <v>7611996</v>
      </c>
      <c r="H69" s="23">
        <v>5.0000000000000001E-3</v>
      </c>
      <c r="I69" s="39">
        <v>44378</v>
      </c>
      <c r="J69" s="39">
        <v>44408</v>
      </c>
      <c r="K69" s="24">
        <v>31</v>
      </c>
      <c r="L69" s="24">
        <v>3232</v>
      </c>
      <c r="M69" s="24">
        <v>7611996</v>
      </c>
    </row>
    <row r="70" spans="1:13" s="5" customFormat="1" outlineLevel="2">
      <c r="A70" s="39" t="s">
        <v>78</v>
      </c>
      <c r="B70" s="40" t="s">
        <v>41</v>
      </c>
      <c r="C70" s="41" t="s">
        <v>93</v>
      </c>
      <c r="D70" s="40" t="s">
        <v>94</v>
      </c>
      <c r="E70" s="24">
        <v>4900000</v>
      </c>
      <c r="F70" s="39">
        <v>44151</v>
      </c>
      <c r="G70" s="24">
        <v>4900000</v>
      </c>
      <c r="H70" s="23">
        <v>5.0000000000000001E-3</v>
      </c>
      <c r="I70" s="39">
        <v>44378</v>
      </c>
      <c r="J70" s="39">
        <v>44408</v>
      </c>
      <c r="K70" s="24">
        <v>31</v>
      </c>
      <c r="L70" s="24">
        <v>2081</v>
      </c>
      <c r="M70" s="24">
        <v>4900000</v>
      </c>
    </row>
    <row r="71" spans="1:13" s="5" customFormat="1" outlineLevel="2">
      <c r="A71" s="39" t="s">
        <v>78</v>
      </c>
      <c r="B71" s="40" t="s">
        <v>42</v>
      </c>
      <c r="C71" s="41" t="s">
        <v>93</v>
      </c>
      <c r="D71" s="40" t="s">
        <v>94</v>
      </c>
      <c r="E71" s="24">
        <v>21838392</v>
      </c>
      <c r="F71" s="39">
        <v>44151</v>
      </c>
      <c r="G71" s="24">
        <v>21838392</v>
      </c>
      <c r="H71" s="23">
        <v>5.0000000000000001E-3</v>
      </c>
      <c r="I71" s="39">
        <v>44378</v>
      </c>
      <c r="J71" s="39">
        <v>44408</v>
      </c>
      <c r="K71" s="24">
        <v>31</v>
      </c>
      <c r="L71" s="24">
        <v>9274</v>
      </c>
      <c r="M71" s="24">
        <v>21838392</v>
      </c>
    </row>
    <row r="72" spans="1:13" s="5" customFormat="1" outlineLevel="2">
      <c r="A72" s="39" t="s">
        <v>78</v>
      </c>
      <c r="B72" s="40" t="s">
        <v>43</v>
      </c>
      <c r="C72" s="41" t="s">
        <v>95</v>
      </c>
      <c r="D72" s="40" t="s">
        <v>96</v>
      </c>
      <c r="E72" s="24">
        <v>41950000</v>
      </c>
      <c r="F72" s="39">
        <v>44154</v>
      </c>
      <c r="G72" s="24">
        <v>41950000</v>
      </c>
      <c r="H72" s="23">
        <v>5.0000000000000001E-3</v>
      </c>
      <c r="I72" s="39">
        <v>44378</v>
      </c>
      <c r="J72" s="39">
        <v>44408</v>
      </c>
      <c r="K72" s="24">
        <v>31</v>
      </c>
      <c r="L72" s="24">
        <v>17814</v>
      </c>
      <c r="M72" s="24">
        <v>41950000</v>
      </c>
    </row>
    <row r="73" spans="1:13" s="5" customFormat="1" outlineLevel="2">
      <c r="A73" s="39" t="s">
        <v>78</v>
      </c>
      <c r="B73" s="40" t="s">
        <v>44</v>
      </c>
      <c r="C73" s="41" t="s">
        <v>95</v>
      </c>
      <c r="D73" s="40" t="s">
        <v>96</v>
      </c>
      <c r="E73" s="24">
        <v>30000000</v>
      </c>
      <c r="F73" s="39">
        <v>44154</v>
      </c>
      <c r="G73" s="24">
        <v>27499999</v>
      </c>
      <c r="H73" s="23">
        <v>5.0000000000000001E-3</v>
      </c>
      <c r="I73" s="39">
        <v>44378</v>
      </c>
      <c r="J73" s="39">
        <v>44391</v>
      </c>
      <c r="K73" s="24">
        <v>14</v>
      </c>
      <c r="L73" s="24">
        <v>5274</v>
      </c>
      <c r="M73" s="24">
        <v>27142856</v>
      </c>
    </row>
    <row r="74" spans="1:13" s="5" customFormat="1" outlineLevel="2">
      <c r="A74" s="39" t="s">
        <v>78</v>
      </c>
      <c r="B74" s="40" t="s">
        <v>44</v>
      </c>
      <c r="C74" s="41" t="s">
        <v>95</v>
      </c>
      <c r="D74" s="40"/>
      <c r="E74" s="24"/>
      <c r="F74" s="39"/>
      <c r="G74" s="24">
        <v>27142856</v>
      </c>
      <c r="H74" s="23">
        <v>5.0000000000000001E-3</v>
      </c>
      <c r="I74" s="39">
        <v>44392</v>
      </c>
      <c r="J74" s="39">
        <v>44408</v>
      </c>
      <c r="K74" s="24">
        <v>17</v>
      </c>
      <c r="L74" s="24">
        <v>6321</v>
      </c>
      <c r="M74" s="24"/>
    </row>
    <row r="75" spans="1:13" s="5" customFormat="1" outlineLevel="2">
      <c r="A75" s="39" t="s">
        <v>78</v>
      </c>
      <c r="B75" s="40" t="s">
        <v>47</v>
      </c>
      <c r="C75" s="41" t="s">
        <v>81</v>
      </c>
      <c r="D75" s="40" t="s">
        <v>82</v>
      </c>
      <c r="E75" s="24">
        <v>3490000</v>
      </c>
      <c r="F75" s="39">
        <v>44138</v>
      </c>
      <c r="G75" s="24">
        <v>3045815</v>
      </c>
      <c r="H75" s="23">
        <v>5.0000000000000001E-3</v>
      </c>
      <c r="I75" s="39">
        <v>44378</v>
      </c>
      <c r="J75" s="39">
        <v>44391</v>
      </c>
      <c r="K75" s="24">
        <v>14</v>
      </c>
      <c r="L75" s="24">
        <v>584</v>
      </c>
      <c r="M75" s="24">
        <v>2982360</v>
      </c>
    </row>
    <row r="76" spans="1:13" s="5" customFormat="1" outlineLevel="2">
      <c r="A76" s="39" t="s">
        <v>78</v>
      </c>
      <c r="B76" s="40" t="s">
        <v>47</v>
      </c>
      <c r="C76" s="41" t="s">
        <v>81</v>
      </c>
      <c r="D76" s="40"/>
      <c r="E76" s="24"/>
      <c r="F76" s="39"/>
      <c r="G76" s="24">
        <v>2982360</v>
      </c>
      <c r="H76" s="23">
        <v>5.0000000000000001E-3</v>
      </c>
      <c r="I76" s="39">
        <v>44392</v>
      </c>
      <c r="J76" s="39">
        <v>44408</v>
      </c>
      <c r="K76" s="24">
        <v>17</v>
      </c>
      <c r="L76" s="24">
        <v>695</v>
      </c>
      <c r="M76" s="24"/>
    </row>
    <row r="77" spans="1:13" s="5" customFormat="1" outlineLevel="2">
      <c r="A77" s="39" t="s">
        <v>78</v>
      </c>
      <c r="B77" s="40" t="s">
        <v>50</v>
      </c>
      <c r="C77" s="41" t="s">
        <v>81</v>
      </c>
      <c r="D77" s="40" t="s">
        <v>82</v>
      </c>
      <c r="E77" s="24">
        <v>1970000</v>
      </c>
      <c r="F77" s="39">
        <v>44147</v>
      </c>
      <c r="G77" s="24">
        <v>1719267</v>
      </c>
      <c r="H77" s="23">
        <v>5.0000000000000001E-3</v>
      </c>
      <c r="I77" s="39">
        <v>44378</v>
      </c>
      <c r="J77" s="39">
        <v>44391</v>
      </c>
      <c r="K77" s="24">
        <v>14</v>
      </c>
      <c r="L77" s="24">
        <v>330</v>
      </c>
      <c r="M77" s="24">
        <v>1683448</v>
      </c>
    </row>
    <row r="78" spans="1:13" s="5" customFormat="1" outlineLevel="2">
      <c r="A78" s="39" t="s">
        <v>78</v>
      </c>
      <c r="B78" s="40" t="s">
        <v>50</v>
      </c>
      <c r="C78" s="41" t="s">
        <v>81</v>
      </c>
      <c r="D78" s="40"/>
      <c r="E78" s="24"/>
      <c r="F78" s="39"/>
      <c r="G78" s="24">
        <v>1683448</v>
      </c>
      <c r="H78" s="23">
        <v>5.0000000000000001E-3</v>
      </c>
      <c r="I78" s="39">
        <v>44392</v>
      </c>
      <c r="J78" s="39">
        <v>44408</v>
      </c>
      <c r="K78" s="24">
        <v>17</v>
      </c>
      <c r="L78" s="24">
        <v>392</v>
      </c>
      <c r="M78" s="24"/>
    </row>
    <row r="79" spans="1:13" s="5" customFormat="1" outlineLevel="2">
      <c r="A79" s="39" t="s">
        <v>78</v>
      </c>
      <c r="B79" s="40" t="s">
        <v>51</v>
      </c>
      <c r="C79" s="41" t="s">
        <v>93</v>
      </c>
      <c r="D79" s="40" t="s">
        <v>94</v>
      </c>
      <c r="E79" s="24">
        <v>20979731</v>
      </c>
      <c r="F79" s="39">
        <v>44167</v>
      </c>
      <c r="G79" s="24">
        <v>20979731</v>
      </c>
      <c r="H79" s="23">
        <v>5.0000000000000001E-3</v>
      </c>
      <c r="I79" s="39">
        <v>44378</v>
      </c>
      <c r="J79" s="39">
        <v>44408</v>
      </c>
      <c r="K79" s="24">
        <v>31</v>
      </c>
      <c r="L79" s="24">
        <v>8909</v>
      </c>
      <c r="M79" s="24">
        <v>20979731</v>
      </c>
    </row>
    <row r="80" spans="1:13" s="5" customFormat="1" outlineLevel="2">
      <c r="A80" s="39" t="s">
        <v>78</v>
      </c>
      <c r="B80" s="40" t="s">
        <v>52</v>
      </c>
      <c r="C80" s="41" t="s">
        <v>93</v>
      </c>
      <c r="D80" s="40" t="s">
        <v>94</v>
      </c>
      <c r="E80" s="24">
        <v>15036832</v>
      </c>
      <c r="F80" s="39">
        <v>44181</v>
      </c>
      <c r="G80" s="24">
        <v>15036832</v>
      </c>
      <c r="H80" s="23">
        <v>5.0000000000000001E-3</v>
      </c>
      <c r="I80" s="39">
        <v>44378</v>
      </c>
      <c r="J80" s="39">
        <v>44408</v>
      </c>
      <c r="K80" s="24">
        <v>31</v>
      </c>
      <c r="L80" s="24">
        <v>6386</v>
      </c>
      <c r="M80" s="24">
        <v>15036832</v>
      </c>
    </row>
    <row r="81" spans="1:13" s="5" customFormat="1" outlineLevel="2">
      <c r="A81" s="39" t="s">
        <v>78</v>
      </c>
      <c r="B81" s="40" t="s">
        <v>53</v>
      </c>
      <c r="C81" s="41" t="s">
        <v>93</v>
      </c>
      <c r="D81" s="40" t="s">
        <v>94</v>
      </c>
      <c r="E81" s="24">
        <v>2070415</v>
      </c>
      <c r="F81" s="39">
        <v>44193</v>
      </c>
      <c r="G81" s="24">
        <v>2070415</v>
      </c>
      <c r="H81" s="23">
        <v>5.0000000000000001E-3</v>
      </c>
      <c r="I81" s="39">
        <v>44378</v>
      </c>
      <c r="J81" s="39">
        <v>44408</v>
      </c>
      <c r="K81" s="24">
        <v>31</v>
      </c>
      <c r="L81" s="24">
        <v>879</v>
      </c>
      <c r="M81" s="24">
        <v>2070415</v>
      </c>
    </row>
    <row r="82" spans="1:13" s="5" customFormat="1" outlineLevel="2">
      <c r="A82" s="39" t="s">
        <v>78</v>
      </c>
      <c r="B82" s="40" t="s">
        <v>54</v>
      </c>
      <c r="C82" s="41" t="s">
        <v>55</v>
      </c>
      <c r="D82" s="40" t="s">
        <v>56</v>
      </c>
      <c r="E82" s="24">
        <v>23500000</v>
      </c>
      <c r="F82" s="39">
        <v>43928</v>
      </c>
      <c r="G82" s="24">
        <v>19303555</v>
      </c>
      <c r="H82" s="23">
        <v>5.0000000000000001E-3</v>
      </c>
      <c r="I82" s="39">
        <v>44378</v>
      </c>
      <c r="J82" s="39">
        <v>44391</v>
      </c>
      <c r="K82" s="24">
        <v>14</v>
      </c>
      <c r="L82" s="24">
        <v>3702</v>
      </c>
      <c r="M82" s="24">
        <v>19023792</v>
      </c>
    </row>
    <row r="83" spans="1:13" s="5" customFormat="1" outlineLevel="2">
      <c r="A83" s="39" t="s">
        <v>78</v>
      </c>
      <c r="B83" s="40" t="s">
        <v>54</v>
      </c>
      <c r="C83" s="41" t="s">
        <v>55</v>
      </c>
      <c r="D83" s="40"/>
      <c r="E83" s="24"/>
      <c r="F83" s="39"/>
      <c r="G83" s="24">
        <v>19023792</v>
      </c>
      <c r="H83" s="23">
        <v>5.0000000000000001E-3</v>
      </c>
      <c r="I83" s="39">
        <v>44392</v>
      </c>
      <c r="J83" s="39">
        <v>44408</v>
      </c>
      <c r="K83" s="24">
        <v>17</v>
      </c>
      <c r="L83" s="24">
        <v>4430</v>
      </c>
      <c r="M83" s="24"/>
    </row>
    <row r="84" spans="1:13" s="5" customFormat="1" outlineLevel="2">
      <c r="A84" s="39" t="s">
        <v>78</v>
      </c>
      <c r="B84" s="40" t="s">
        <v>57</v>
      </c>
      <c r="C84" s="41" t="s">
        <v>83</v>
      </c>
      <c r="D84" s="40" t="s">
        <v>84</v>
      </c>
      <c r="E84" s="24">
        <v>125000000</v>
      </c>
      <c r="F84" s="39">
        <v>44189</v>
      </c>
      <c r="G84" s="24">
        <v>125000000</v>
      </c>
      <c r="H84" s="23">
        <v>5.0000000000000001E-3</v>
      </c>
      <c r="I84" s="39">
        <v>44378</v>
      </c>
      <c r="J84" s="39">
        <v>44408</v>
      </c>
      <c r="K84" s="24">
        <v>31</v>
      </c>
      <c r="L84" s="24">
        <v>53082</v>
      </c>
      <c r="M84" s="24">
        <v>125000000</v>
      </c>
    </row>
    <row r="85" spans="1:13" s="5" customFormat="1" outlineLevel="2">
      <c r="A85" s="39" t="s">
        <v>78</v>
      </c>
      <c r="B85" s="40" t="s">
        <v>58</v>
      </c>
      <c r="C85" s="41" t="s">
        <v>97</v>
      </c>
      <c r="D85" s="40" t="s">
        <v>98</v>
      </c>
      <c r="E85" s="24">
        <v>51800000</v>
      </c>
      <c r="F85" s="39">
        <v>44180</v>
      </c>
      <c r="G85" s="24">
        <v>51800000</v>
      </c>
      <c r="H85" s="23">
        <v>5.0000000000000001E-3</v>
      </c>
      <c r="I85" s="39">
        <v>44378</v>
      </c>
      <c r="J85" s="39">
        <v>44408</v>
      </c>
      <c r="K85" s="24">
        <v>31</v>
      </c>
      <c r="L85" s="24">
        <v>21997</v>
      </c>
      <c r="M85" s="24">
        <v>51800000</v>
      </c>
    </row>
    <row r="86" spans="1:13" s="5" customFormat="1" outlineLevel="2">
      <c r="A86" s="39" t="s">
        <v>78</v>
      </c>
      <c r="B86" s="40" t="s">
        <v>99</v>
      </c>
      <c r="C86" s="41" t="s">
        <v>91</v>
      </c>
      <c r="D86" s="40" t="s">
        <v>92</v>
      </c>
      <c r="E86" s="24">
        <v>25000000</v>
      </c>
      <c r="F86" s="39">
        <v>44180</v>
      </c>
      <c r="G86" s="24">
        <v>25000000</v>
      </c>
      <c r="H86" s="23">
        <v>5.0000000000000001E-3</v>
      </c>
      <c r="I86" s="39">
        <v>44378</v>
      </c>
      <c r="J86" s="39">
        <v>44408</v>
      </c>
      <c r="K86" s="24">
        <v>31</v>
      </c>
      <c r="L86" s="24">
        <v>10616</v>
      </c>
      <c r="M86" s="24">
        <v>25000000</v>
      </c>
    </row>
    <row r="87" spans="1:13" s="5" customFormat="1" outlineLevel="2">
      <c r="A87" s="39" t="s">
        <v>78</v>
      </c>
      <c r="B87" s="40" t="s">
        <v>100</v>
      </c>
      <c r="C87" s="41" t="s">
        <v>91</v>
      </c>
      <c r="D87" s="40" t="s">
        <v>92</v>
      </c>
      <c r="E87" s="24">
        <v>44000000</v>
      </c>
      <c r="F87" s="39">
        <v>44180</v>
      </c>
      <c r="G87" s="24">
        <v>44000000</v>
      </c>
      <c r="H87" s="23">
        <v>5.0000000000000001E-3</v>
      </c>
      <c r="I87" s="39">
        <v>44378</v>
      </c>
      <c r="J87" s="39">
        <v>44408</v>
      </c>
      <c r="K87" s="24">
        <v>31</v>
      </c>
      <c r="L87" s="24">
        <v>18685</v>
      </c>
      <c r="M87" s="24">
        <v>44000000</v>
      </c>
    </row>
    <row r="88" spans="1:13" s="5" customFormat="1" outlineLevel="2">
      <c r="A88" s="39" t="s">
        <v>78</v>
      </c>
      <c r="B88" s="40" t="s">
        <v>101</v>
      </c>
      <c r="C88" s="41" t="s">
        <v>95</v>
      </c>
      <c r="D88" s="40" t="s">
        <v>96</v>
      </c>
      <c r="E88" s="24">
        <v>129650000</v>
      </c>
      <c r="F88" s="39">
        <v>44195</v>
      </c>
      <c r="G88" s="24">
        <v>129650000</v>
      </c>
      <c r="H88" s="23">
        <v>5.0000000000000001E-3</v>
      </c>
      <c r="I88" s="39">
        <v>44378</v>
      </c>
      <c r="J88" s="39">
        <v>44408</v>
      </c>
      <c r="K88" s="24">
        <v>31</v>
      </c>
      <c r="L88" s="24">
        <v>55057</v>
      </c>
      <c r="M88" s="24">
        <v>129650000</v>
      </c>
    </row>
    <row r="89" spans="1:13" s="5" customFormat="1" outlineLevel="2">
      <c r="A89" s="39" t="s">
        <v>78</v>
      </c>
      <c r="B89" s="40" t="s">
        <v>102</v>
      </c>
      <c r="C89" s="41" t="s">
        <v>95</v>
      </c>
      <c r="D89" s="40" t="s">
        <v>96</v>
      </c>
      <c r="E89" s="24">
        <v>12000000</v>
      </c>
      <c r="F89" s="39">
        <v>44195</v>
      </c>
      <c r="G89" s="24">
        <v>11132526</v>
      </c>
      <c r="H89" s="23">
        <v>5.0000000000000001E-3</v>
      </c>
      <c r="I89" s="39">
        <v>44378</v>
      </c>
      <c r="J89" s="39">
        <v>44391</v>
      </c>
      <c r="K89" s="24">
        <v>14</v>
      </c>
      <c r="L89" s="24">
        <v>2135</v>
      </c>
      <c r="M89" s="24">
        <v>10987947</v>
      </c>
    </row>
    <row r="90" spans="1:13" s="5" customFormat="1" outlineLevel="2">
      <c r="A90" s="39" t="s">
        <v>78</v>
      </c>
      <c r="B90" s="40" t="s">
        <v>102</v>
      </c>
      <c r="C90" s="41" t="s">
        <v>95</v>
      </c>
      <c r="D90" s="40"/>
      <c r="E90" s="24"/>
      <c r="F90" s="39"/>
      <c r="G90" s="24">
        <v>10987947</v>
      </c>
      <c r="H90" s="23">
        <v>5.0000000000000001E-3</v>
      </c>
      <c r="I90" s="39">
        <v>44392</v>
      </c>
      <c r="J90" s="39">
        <v>44408</v>
      </c>
      <c r="K90" s="24">
        <v>17</v>
      </c>
      <c r="L90" s="24">
        <v>2559</v>
      </c>
      <c r="M90" s="24"/>
    </row>
    <row r="91" spans="1:13" s="5" customFormat="1" outlineLevel="2">
      <c r="A91" s="39" t="s">
        <v>78</v>
      </c>
      <c r="B91" s="40" t="s">
        <v>103</v>
      </c>
      <c r="C91" s="41" t="s">
        <v>66</v>
      </c>
      <c r="D91" s="40" t="s">
        <v>67</v>
      </c>
      <c r="E91" s="24">
        <v>144000000</v>
      </c>
      <c r="F91" s="39">
        <v>44196</v>
      </c>
      <c r="G91" s="24">
        <v>144000000</v>
      </c>
      <c r="H91" s="23">
        <v>5.0000000000000001E-3</v>
      </c>
      <c r="I91" s="39">
        <v>44378</v>
      </c>
      <c r="J91" s="39">
        <v>44408</v>
      </c>
      <c r="K91" s="24">
        <v>31</v>
      </c>
      <c r="L91" s="24">
        <v>61151</v>
      </c>
      <c r="M91" s="24">
        <v>144000000</v>
      </c>
    </row>
    <row r="92" spans="1:13" s="5" customFormat="1" outlineLevel="2">
      <c r="A92" s="39" t="s">
        <v>78</v>
      </c>
      <c r="B92" s="40" t="s">
        <v>104</v>
      </c>
      <c r="C92" s="41" t="s">
        <v>91</v>
      </c>
      <c r="D92" s="40" t="s">
        <v>92</v>
      </c>
      <c r="E92" s="24">
        <v>45000000</v>
      </c>
      <c r="F92" s="39">
        <v>44211</v>
      </c>
      <c r="G92" s="24">
        <v>45000000</v>
      </c>
      <c r="H92" s="23">
        <v>5.0000000000000001E-3</v>
      </c>
      <c r="I92" s="39">
        <v>44378</v>
      </c>
      <c r="J92" s="39">
        <v>44408</v>
      </c>
      <c r="K92" s="24">
        <v>31</v>
      </c>
      <c r="L92" s="24">
        <v>19110</v>
      </c>
      <c r="M92" s="24">
        <v>45000000</v>
      </c>
    </row>
    <row r="93" spans="1:13" s="5" customFormat="1" outlineLevel="2">
      <c r="A93" s="39" t="s">
        <v>78</v>
      </c>
      <c r="B93" s="40" t="s">
        <v>105</v>
      </c>
      <c r="C93" s="41" t="s">
        <v>91</v>
      </c>
      <c r="D93" s="40" t="s">
        <v>92</v>
      </c>
      <c r="E93" s="24">
        <v>31000000</v>
      </c>
      <c r="F93" s="39">
        <v>44211</v>
      </c>
      <c r="G93" s="24">
        <v>31000000</v>
      </c>
      <c r="H93" s="23">
        <v>5.0000000000000001E-3</v>
      </c>
      <c r="I93" s="39">
        <v>44378</v>
      </c>
      <c r="J93" s="39">
        <v>44408</v>
      </c>
      <c r="K93" s="24">
        <v>31</v>
      </c>
      <c r="L93" s="24">
        <v>13164</v>
      </c>
      <c r="M93" s="24">
        <v>31000000</v>
      </c>
    </row>
    <row r="94" spans="1:13" s="5" customFormat="1" outlineLevel="2">
      <c r="A94" s="39" t="s">
        <v>78</v>
      </c>
      <c r="B94" s="40" t="s">
        <v>106</v>
      </c>
      <c r="C94" s="41" t="s">
        <v>93</v>
      </c>
      <c r="D94" s="40" t="s">
        <v>94</v>
      </c>
      <c r="E94" s="24">
        <v>7174630</v>
      </c>
      <c r="F94" s="39">
        <v>44203</v>
      </c>
      <c r="G94" s="24">
        <v>7174630</v>
      </c>
      <c r="H94" s="23">
        <v>5.0000000000000001E-3</v>
      </c>
      <c r="I94" s="39">
        <v>44378</v>
      </c>
      <c r="J94" s="39">
        <v>44408</v>
      </c>
      <c r="K94" s="24">
        <v>31</v>
      </c>
      <c r="L94" s="24">
        <v>3047</v>
      </c>
      <c r="M94" s="24">
        <v>7174630</v>
      </c>
    </row>
    <row r="95" spans="1:13" s="5" customFormat="1" outlineLevel="2">
      <c r="A95" s="39" t="s">
        <v>78</v>
      </c>
      <c r="B95" s="40" t="s">
        <v>59</v>
      </c>
      <c r="C95" s="41" t="s">
        <v>81</v>
      </c>
      <c r="D95" s="40" t="s">
        <v>82</v>
      </c>
      <c r="E95" s="24">
        <v>7000000</v>
      </c>
      <c r="F95" s="39">
        <v>44004</v>
      </c>
      <c r="G95" s="24">
        <v>5599996</v>
      </c>
      <c r="H95" s="23">
        <v>5.0000000000000001E-3</v>
      </c>
      <c r="I95" s="39">
        <v>44378</v>
      </c>
      <c r="J95" s="39">
        <v>44391</v>
      </c>
      <c r="K95" s="24">
        <v>14</v>
      </c>
      <c r="L95" s="24">
        <v>1074</v>
      </c>
      <c r="M95" s="24">
        <v>5483329</v>
      </c>
    </row>
    <row r="96" spans="1:13" s="5" customFormat="1" outlineLevel="2">
      <c r="A96" s="39" t="s">
        <v>78</v>
      </c>
      <c r="B96" s="40" t="s">
        <v>59</v>
      </c>
      <c r="C96" s="41" t="s">
        <v>81</v>
      </c>
      <c r="D96" s="40"/>
      <c r="E96" s="24"/>
      <c r="F96" s="39"/>
      <c r="G96" s="24">
        <v>5483329</v>
      </c>
      <c r="H96" s="23">
        <v>5.0000000000000001E-3</v>
      </c>
      <c r="I96" s="39">
        <v>44392</v>
      </c>
      <c r="J96" s="39">
        <v>44408</v>
      </c>
      <c r="K96" s="24">
        <v>17</v>
      </c>
      <c r="L96" s="24">
        <v>1277</v>
      </c>
      <c r="M96" s="24"/>
    </row>
    <row r="97" spans="1:13" s="5" customFormat="1" outlineLevel="2">
      <c r="A97" s="39" t="s">
        <v>78</v>
      </c>
      <c r="B97" s="40" t="s">
        <v>136</v>
      </c>
      <c r="C97" s="41" t="s">
        <v>95</v>
      </c>
      <c r="D97" s="40" t="s">
        <v>96</v>
      </c>
      <c r="E97" s="24">
        <v>3650000</v>
      </c>
      <c r="F97" s="39">
        <v>44246</v>
      </c>
      <c r="G97" s="24">
        <v>3650000</v>
      </c>
      <c r="H97" s="23">
        <v>5.0000000000000001E-3</v>
      </c>
      <c r="I97" s="39">
        <v>44378</v>
      </c>
      <c r="J97" s="39">
        <v>44408</v>
      </c>
      <c r="K97" s="24">
        <v>31</v>
      </c>
      <c r="L97" s="24">
        <v>1550</v>
      </c>
      <c r="M97" s="24">
        <v>3650000</v>
      </c>
    </row>
    <row r="98" spans="1:13" s="5" customFormat="1" outlineLevel="2">
      <c r="A98" s="39" t="s">
        <v>78</v>
      </c>
      <c r="B98" s="40" t="s">
        <v>137</v>
      </c>
      <c r="C98" s="41" t="s">
        <v>93</v>
      </c>
      <c r="D98" s="40" t="s">
        <v>94</v>
      </c>
      <c r="E98" s="24">
        <v>1028354</v>
      </c>
      <c r="F98" s="39">
        <v>44236</v>
      </c>
      <c r="G98" s="24">
        <v>1028354</v>
      </c>
      <c r="H98" s="23">
        <v>5.0000000000000001E-3</v>
      </c>
      <c r="I98" s="39">
        <v>44378</v>
      </c>
      <c r="J98" s="39">
        <v>44408</v>
      </c>
      <c r="K98" s="24">
        <v>31</v>
      </c>
      <c r="L98" s="24">
        <v>437</v>
      </c>
      <c r="M98" s="24">
        <v>1028354</v>
      </c>
    </row>
    <row r="99" spans="1:13" s="5" customFormat="1" outlineLevel="2">
      <c r="A99" s="39" t="s">
        <v>78</v>
      </c>
      <c r="B99" s="40" t="s">
        <v>138</v>
      </c>
      <c r="C99" s="41" t="s">
        <v>93</v>
      </c>
      <c r="D99" s="40" t="s">
        <v>94</v>
      </c>
      <c r="E99" s="24">
        <v>1983370</v>
      </c>
      <c r="F99" s="39">
        <v>44246</v>
      </c>
      <c r="G99" s="24">
        <v>1983370</v>
      </c>
      <c r="H99" s="23">
        <v>5.0000000000000001E-3</v>
      </c>
      <c r="I99" s="39">
        <v>44378</v>
      </c>
      <c r="J99" s="39">
        <v>44408</v>
      </c>
      <c r="K99" s="24">
        <v>31</v>
      </c>
      <c r="L99" s="24">
        <v>842</v>
      </c>
      <c r="M99" s="24">
        <v>1983370</v>
      </c>
    </row>
    <row r="100" spans="1:13" s="5" customFormat="1" outlineLevel="2">
      <c r="A100" s="39" t="s">
        <v>78</v>
      </c>
      <c r="B100" s="40" t="s">
        <v>139</v>
      </c>
      <c r="C100" s="41" t="s">
        <v>306</v>
      </c>
      <c r="D100" s="40" t="s">
        <v>305</v>
      </c>
      <c r="E100" s="24">
        <v>10000000</v>
      </c>
      <c r="F100" s="39">
        <v>44252</v>
      </c>
      <c r="G100" s="24">
        <v>10000000</v>
      </c>
      <c r="H100" s="23">
        <v>5.0000000000000001E-3</v>
      </c>
      <c r="I100" s="39">
        <v>44378</v>
      </c>
      <c r="J100" s="39">
        <v>44408</v>
      </c>
      <c r="K100" s="24">
        <v>31</v>
      </c>
      <c r="L100" s="24">
        <v>4247</v>
      </c>
      <c r="M100" s="24">
        <v>10000000</v>
      </c>
    </row>
    <row r="101" spans="1:13" s="5" customFormat="1" outlineLevel="2">
      <c r="A101" s="39" t="s">
        <v>78</v>
      </c>
      <c r="B101" s="40" t="s">
        <v>140</v>
      </c>
      <c r="C101" s="41" t="s">
        <v>85</v>
      </c>
      <c r="D101" s="40" t="s">
        <v>86</v>
      </c>
      <c r="E101" s="24">
        <v>67620000</v>
      </c>
      <c r="F101" s="39">
        <v>44253</v>
      </c>
      <c r="G101" s="24">
        <v>67620000</v>
      </c>
      <c r="H101" s="23">
        <v>5.0000000000000001E-3</v>
      </c>
      <c r="I101" s="39">
        <v>44378</v>
      </c>
      <c r="J101" s="39">
        <v>44408</v>
      </c>
      <c r="K101" s="24">
        <v>31</v>
      </c>
      <c r="L101" s="24">
        <v>28715</v>
      </c>
      <c r="M101" s="24">
        <v>67620000</v>
      </c>
    </row>
    <row r="102" spans="1:13" s="5" customFormat="1" outlineLevel="2">
      <c r="A102" s="39" t="s">
        <v>78</v>
      </c>
      <c r="B102" s="40" t="s">
        <v>169</v>
      </c>
      <c r="C102" s="41" t="s">
        <v>91</v>
      </c>
      <c r="D102" s="40" t="s">
        <v>92</v>
      </c>
      <c r="E102" s="24">
        <v>33000000</v>
      </c>
      <c r="F102" s="39">
        <v>44270</v>
      </c>
      <c r="G102" s="24">
        <v>33000000</v>
      </c>
      <c r="H102" s="23">
        <v>5.0000000000000001E-3</v>
      </c>
      <c r="I102" s="39">
        <v>44378</v>
      </c>
      <c r="J102" s="39">
        <v>44408</v>
      </c>
      <c r="K102" s="24">
        <v>31</v>
      </c>
      <c r="L102" s="24">
        <v>14014</v>
      </c>
      <c r="M102" s="24">
        <v>33000000</v>
      </c>
    </row>
    <row r="103" spans="1:13" s="5" customFormat="1" outlineLevel="2">
      <c r="A103" s="39" t="s">
        <v>78</v>
      </c>
      <c r="B103" s="40" t="s">
        <v>170</v>
      </c>
      <c r="C103" s="41" t="s">
        <v>91</v>
      </c>
      <c r="D103" s="40" t="s">
        <v>92</v>
      </c>
      <c r="E103" s="24">
        <v>38900000</v>
      </c>
      <c r="F103" s="39">
        <v>44270</v>
      </c>
      <c r="G103" s="24">
        <v>38900000</v>
      </c>
      <c r="H103" s="23">
        <v>5.0000000000000001E-3</v>
      </c>
      <c r="I103" s="39">
        <v>44378</v>
      </c>
      <c r="J103" s="39">
        <v>44408</v>
      </c>
      <c r="K103" s="24">
        <v>31</v>
      </c>
      <c r="L103" s="24">
        <v>16519</v>
      </c>
      <c r="M103" s="24">
        <v>38900000</v>
      </c>
    </row>
    <row r="104" spans="1:13" s="5" customFormat="1" outlineLevel="2">
      <c r="A104" s="39" t="s">
        <v>78</v>
      </c>
      <c r="B104" s="40" t="s">
        <v>171</v>
      </c>
      <c r="C104" s="41" t="s">
        <v>81</v>
      </c>
      <c r="D104" s="40" t="s">
        <v>82</v>
      </c>
      <c r="E104" s="24">
        <v>6800000</v>
      </c>
      <c r="F104" s="39">
        <v>44272</v>
      </c>
      <c r="G104" s="24">
        <v>6399998</v>
      </c>
      <c r="H104" s="23">
        <v>5.0000000000000001E-3</v>
      </c>
      <c r="I104" s="39">
        <v>44378</v>
      </c>
      <c r="J104" s="39">
        <v>44391</v>
      </c>
      <c r="K104" s="24">
        <v>14</v>
      </c>
      <c r="L104" s="24">
        <v>1227</v>
      </c>
      <c r="M104" s="24">
        <v>6266664</v>
      </c>
    </row>
    <row r="105" spans="1:13" s="5" customFormat="1" outlineLevel="2">
      <c r="A105" s="39" t="s">
        <v>78</v>
      </c>
      <c r="B105" s="40" t="s">
        <v>171</v>
      </c>
      <c r="C105" s="41" t="s">
        <v>81</v>
      </c>
      <c r="D105" s="40"/>
      <c r="E105" s="24"/>
      <c r="F105" s="39"/>
      <c r="G105" s="24">
        <v>6266664</v>
      </c>
      <c r="H105" s="23">
        <v>5.0000000000000001E-3</v>
      </c>
      <c r="I105" s="39">
        <v>44392</v>
      </c>
      <c r="J105" s="39">
        <v>44408</v>
      </c>
      <c r="K105" s="24">
        <v>17</v>
      </c>
      <c r="L105" s="24">
        <v>1459</v>
      </c>
      <c r="M105" s="24"/>
    </row>
    <row r="106" spans="1:13" s="5" customFormat="1" outlineLevel="2">
      <c r="A106" s="39" t="s">
        <v>78</v>
      </c>
      <c r="B106" s="40" t="s">
        <v>172</v>
      </c>
      <c r="C106" s="41" t="s">
        <v>81</v>
      </c>
      <c r="D106" s="40" t="s">
        <v>82</v>
      </c>
      <c r="E106" s="24">
        <v>5540000</v>
      </c>
      <c r="F106" s="39">
        <v>44285</v>
      </c>
      <c r="G106" s="24">
        <v>5214116</v>
      </c>
      <c r="H106" s="23">
        <v>5.0000000000000001E-3</v>
      </c>
      <c r="I106" s="39">
        <v>44378</v>
      </c>
      <c r="J106" s="39">
        <v>44391</v>
      </c>
      <c r="K106" s="24">
        <v>14</v>
      </c>
      <c r="L106" s="24">
        <v>1000</v>
      </c>
      <c r="M106" s="24">
        <v>5105488</v>
      </c>
    </row>
    <row r="107" spans="1:13" s="5" customFormat="1" outlineLevel="2">
      <c r="A107" s="39" t="s">
        <v>78</v>
      </c>
      <c r="B107" s="40" t="s">
        <v>172</v>
      </c>
      <c r="C107" s="41" t="s">
        <v>81</v>
      </c>
      <c r="D107" s="40"/>
      <c r="E107" s="24"/>
      <c r="F107" s="39"/>
      <c r="G107" s="24">
        <v>5105488</v>
      </c>
      <c r="H107" s="23">
        <v>5.0000000000000001E-3</v>
      </c>
      <c r="I107" s="39">
        <v>44392</v>
      </c>
      <c r="J107" s="39">
        <v>44408</v>
      </c>
      <c r="K107" s="24">
        <v>17</v>
      </c>
      <c r="L107" s="24">
        <v>1189</v>
      </c>
      <c r="M107" s="24"/>
    </row>
    <row r="108" spans="1:13" s="5" customFormat="1" outlineLevel="2">
      <c r="A108" s="39" t="s">
        <v>78</v>
      </c>
      <c r="B108" s="40" t="s">
        <v>173</v>
      </c>
      <c r="C108" s="41" t="s">
        <v>337</v>
      </c>
      <c r="D108" s="40" t="s">
        <v>336</v>
      </c>
      <c r="E108" s="24">
        <v>30000000</v>
      </c>
      <c r="F108" s="39">
        <v>44286</v>
      </c>
      <c r="G108" s="24">
        <v>28500000</v>
      </c>
      <c r="H108" s="23">
        <v>5.0000000000000001E-3</v>
      </c>
      <c r="I108" s="39">
        <v>44378</v>
      </c>
      <c r="J108" s="39">
        <v>44391</v>
      </c>
      <c r="K108" s="24">
        <v>14</v>
      </c>
      <c r="L108" s="24">
        <v>5466</v>
      </c>
      <c r="M108" s="24">
        <v>28000000</v>
      </c>
    </row>
    <row r="109" spans="1:13" s="5" customFormat="1" outlineLevel="2">
      <c r="A109" s="39" t="s">
        <v>78</v>
      </c>
      <c r="B109" s="40" t="s">
        <v>173</v>
      </c>
      <c r="C109" s="41" t="s">
        <v>337</v>
      </c>
      <c r="D109" s="40"/>
      <c r="E109" s="24"/>
      <c r="F109" s="39"/>
      <c r="G109" s="24">
        <v>28000000</v>
      </c>
      <c r="H109" s="23">
        <v>5.0000000000000001E-3</v>
      </c>
      <c r="I109" s="39">
        <v>44392</v>
      </c>
      <c r="J109" s="39">
        <v>44408</v>
      </c>
      <c r="K109" s="24">
        <v>17</v>
      </c>
      <c r="L109" s="24">
        <v>6521</v>
      </c>
      <c r="M109" s="24"/>
    </row>
    <row r="110" spans="1:13" s="5" customFormat="1" outlineLevel="2">
      <c r="A110" s="39" t="s">
        <v>78</v>
      </c>
      <c r="B110" s="40" t="s">
        <v>62</v>
      </c>
      <c r="C110" s="41" t="s">
        <v>83</v>
      </c>
      <c r="D110" s="40" t="s">
        <v>84</v>
      </c>
      <c r="E110" s="24">
        <v>298410000</v>
      </c>
      <c r="F110" s="39">
        <v>44006</v>
      </c>
      <c r="G110" s="24">
        <v>298410000</v>
      </c>
      <c r="H110" s="23">
        <v>5.0000000000000001E-3</v>
      </c>
      <c r="I110" s="39">
        <v>44378</v>
      </c>
      <c r="J110" s="39">
        <v>44408</v>
      </c>
      <c r="K110" s="24">
        <v>31</v>
      </c>
      <c r="L110" s="24">
        <v>126722</v>
      </c>
      <c r="M110" s="24">
        <v>298410000</v>
      </c>
    </row>
    <row r="111" spans="1:13" s="5" customFormat="1" outlineLevel="2">
      <c r="A111" s="39" t="s">
        <v>78</v>
      </c>
      <c r="B111" s="40" t="s">
        <v>174</v>
      </c>
      <c r="C111" s="41" t="s">
        <v>155</v>
      </c>
      <c r="D111" s="40" t="s">
        <v>156</v>
      </c>
      <c r="E111" s="24">
        <v>120000000</v>
      </c>
      <c r="F111" s="39">
        <v>44270</v>
      </c>
      <c r="G111" s="24">
        <v>120000000</v>
      </c>
      <c r="H111" s="23">
        <v>5.0000000000000001E-3</v>
      </c>
      <c r="I111" s="39">
        <v>44378</v>
      </c>
      <c r="J111" s="39">
        <v>44408</v>
      </c>
      <c r="K111" s="24">
        <v>31</v>
      </c>
      <c r="L111" s="24">
        <v>50959</v>
      </c>
      <c r="M111" s="24">
        <v>120000000</v>
      </c>
    </row>
    <row r="112" spans="1:13" s="5" customFormat="1" outlineLevel="2">
      <c r="A112" s="39" t="s">
        <v>78</v>
      </c>
      <c r="B112" s="40" t="s">
        <v>175</v>
      </c>
      <c r="C112" s="41" t="s">
        <v>91</v>
      </c>
      <c r="D112" s="40" t="s">
        <v>92</v>
      </c>
      <c r="E112" s="24">
        <v>30400000</v>
      </c>
      <c r="F112" s="39">
        <v>44301</v>
      </c>
      <c r="G112" s="24">
        <v>30400000</v>
      </c>
      <c r="H112" s="23">
        <v>5.0000000000000001E-3</v>
      </c>
      <c r="I112" s="39">
        <v>44378</v>
      </c>
      <c r="J112" s="39">
        <v>44408</v>
      </c>
      <c r="K112" s="24">
        <v>31</v>
      </c>
      <c r="L112" s="24">
        <v>12910</v>
      </c>
      <c r="M112" s="24">
        <v>30400000</v>
      </c>
    </row>
    <row r="113" spans="1:13" s="5" customFormat="1" outlineLevel="2">
      <c r="A113" s="39" t="s">
        <v>78</v>
      </c>
      <c r="B113" s="40" t="s">
        <v>176</v>
      </c>
      <c r="C113" s="41" t="s">
        <v>337</v>
      </c>
      <c r="D113" s="40" t="s">
        <v>336</v>
      </c>
      <c r="E113" s="24">
        <v>20000000</v>
      </c>
      <c r="F113" s="39">
        <v>44315</v>
      </c>
      <c r="G113" s="24">
        <v>19322034</v>
      </c>
      <c r="H113" s="23">
        <v>5.0000000000000001E-3</v>
      </c>
      <c r="I113" s="39">
        <v>44378</v>
      </c>
      <c r="J113" s="39">
        <v>44391</v>
      </c>
      <c r="K113" s="24">
        <v>14</v>
      </c>
      <c r="L113" s="24">
        <v>3706</v>
      </c>
      <c r="M113" s="24">
        <v>18983051</v>
      </c>
    </row>
    <row r="114" spans="1:13" s="5" customFormat="1" outlineLevel="2">
      <c r="A114" s="39" t="s">
        <v>78</v>
      </c>
      <c r="B114" s="40" t="s">
        <v>176</v>
      </c>
      <c r="C114" s="41" t="s">
        <v>337</v>
      </c>
      <c r="D114" s="40"/>
      <c r="E114" s="24"/>
      <c r="F114" s="39"/>
      <c r="G114" s="24">
        <v>18983051</v>
      </c>
      <c r="H114" s="23">
        <v>5.0000000000000001E-3</v>
      </c>
      <c r="I114" s="39">
        <v>44392</v>
      </c>
      <c r="J114" s="39">
        <v>44408</v>
      </c>
      <c r="K114" s="24">
        <v>17</v>
      </c>
      <c r="L114" s="24">
        <v>4421</v>
      </c>
      <c r="M114" s="24"/>
    </row>
    <row r="115" spans="1:13" s="5" customFormat="1" outlineLevel="2">
      <c r="A115" s="39" t="s">
        <v>78</v>
      </c>
      <c r="B115" s="40" t="s">
        <v>177</v>
      </c>
      <c r="C115" s="41" t="s">
        <v>85</v>
      </c>
      <c r="D115" s="40" t="s">
        <v>86</v>
      </c>
      <c r="E115" s="24">
        <v>50000000</v>
      </c>
      <c r="F115" s="39">
        <v>44315</v>
      </c>
      <c r="G115" s="24">
        <v>50000000</v>
      </c>
      <c r="H115" s="23">
        <v>5.0000000000000001E-3</v>
      </c>
      <c r="I115" s="39">
        <v>44378</v>
      </c>
      <c r="J115" s="39">
        <v>44408</v>
      </c>
      <c r="K115" s="24">
        <v>31</v>
      </c>
      <c r="L115" s="24">
        <v>21233</v>
      </c>
      <c r="M115" s="24">
        <v>50000000</v>
      </c>
    </row>
    <row r="116" spans="1:13" s="5" customFormat="1" outlineLevel="2">
      <c r="A116" s="39" t="s">
        <v>78</v>
      </c>
      <c r="B116" s="40" t="s">
        <v>178</v>
      </c>
      <c r="C116" s="41" t="s">
        <v>351</v>
      </c>
      <c r="D116" s="40" t="s">
        <v>350</v>
      </c>
      <c r="E116" s="24">
        <v>8600000</v>
      </c>
      <c r="F116" s="39">
        <v>44312</v>
      </c>
      <c r="G116" s="24">
        <v>8600000</v>
      </c>
      <c r="H116" s="23">
        <v>5.0000000000000001E-3</v>
      </c>
      <c r="I116" s="39">
        <v>44378</v>
      </c>
      <c r="J116" s="39">
        <v>44408</v>
      </c>
      <c r="K116" s="24">
        <v>31</v>
      </c>
      <c r="L116" s="24">
        <v>3652</v>
      </c>
      <c r="M116" s="24">
        <v>8600000</v>
      </c>
    </row>
    <row r="117" spans="1:13" s="5" customFormat="1" outlineLevel="2">
      <c r="A117" s="39" t="s">
        <v>78</v>
      </c>
      <c r="B117" s="40" t="s">
        <v>179</v>
      </c>
      <c r="C117" s="41" t="s">
        <v>93</v>
      </c>
      <c r="D117" s="40" t="s">
        <v>94</v>
      </c>
      <c r="E117" s="24">
        <v>6174000</v>
      </c>
      <c r="F117" s="39">
        <v>44326</v>
      </c>
      <c r="G117" s="24">
        <v>6174000</v>
      </c>
      <c r="H117" s="23">
        <v>5.0000000000000001E-3</v>
      </c>
      <c r="I117" s="39">
        <v>44378</v>
      </c>
      <c r="J117" s="39">
        <v>44408</v>
      </c>
      <c r="K117" s="24">
        <v>31</v>
      </c>
      <c r="L117" s="24">
        <v>2622</v>
      </c>
      <c r="M117" s="24">
        <v>6174000</v>
      </c>
    </row>
    <row r="118" spans="1:13" s="5" customFormat="1" outlineLevel="2">
      <c r="A118" s="39" t="s">
        <v>78</v>
      </c>
      <c r="B118" s="40" t="s">
        <v>180</v>
      </c>
      <c r="C118" s="41" t="s">
        <v>91</v>
      </c>
      <c r="D118" s="40" t="s">
        <v>92</v>
      </c>
      <c r="E118" s="24">
        <v>50700000</v>
      </c>
      <c r="F118" s="39">
        <v>44333</v>
      </c>
      <c r="G118" s="24">
        <v>50700000</v>
      </c>
      <c r="H118" s="23">
        <v>5.0000000000000001E-3</v>
      </c>
      <c r="I118" s="39">
        <v>44378</v>
      </c>
      <c r="J118" s="39">
        <v>44408</v>
      </c>
      <c r="K118" s="24">
        <v>31</v>
      </c>
      <c r="L118" s="24">
        <v>21530</v>
      </c>
      <c r="M118" s="24">
        <v>50700000</v>
      </c>
    </row>
    <row r="119" spans="1:13" s="5" customFormat="1" outlineLevel="2">
      <c r="A119" s="39" t="s">
        <v>78</v>
      </c>
      <c r="B119" s="40" t="s">
        <v>181</v>
      </c>
      <c r="C119" s="41" t="s">
        <v>91</v>
      </c>
      <c r="D119" s="40" t="s">
        <v>92</v>
      </c>
      <c r="E119" s="24">
        <v>1700000</v>
      </c>
      <c r="F119" s="39">
        <v>44333</v>
      </c>
      <c r="G119" s="24">
        <v>1700000</v>
      </c>
      <c r="H119" s="23">
        <v>5.0000000000000001E-3</v>
      </c>
      <c r="I119" s="39">
        <v>44378</v>
      </c>
      <c r="J119" s="39">
        <v>44408</v>
      </c>
      <c r="K119" s="24">
        <v>31</v>
      </c>
      <c r="L119" s="24">
        <v>722</v>
      </c>
      <c r="M119" s="24">
        <v>1700000</v>
      </c>
    </row>
    <row r="120" spans="1:13" s="5" customFormat="1" outlineLevel="2">
      <c r="A120" s="39" t="s">
        <v>78</v>
      </c>
      <c r="B120" s="40" t="s">
        <v>182</v>
      </c>
      <c r="C120" s="41" t="s">
        <v>351</v>
      </c>
      <c r="D120" s="40" t="s">
        <v>350</v>
      </c>
      <c r="E120" s="24">
        <v>6000000</v>
      </c>
      <c r="F120" s="39">
        <v>44335</v>
      </c>
      <c r="G120" s="24">
        <v>6000000</v>
      </c>
      <c r="H120" s="23">
        <v>5.0000000000000001E-3</v>
      </c>
      <c r="I120" s="39">
        <v>44378</v>
      </c>
      <c r="J120" s="39">
        <v>44408</v>
      </c>
      <c r="K120" s="24">
        <v>31</v>
      </c>
      <c r="L120" s="24">
        <v>2548</v>
      </c>
      <c r="M120" s="24">
        <v>6000000</v>
      </c>
    </row>
    <row r="121" spans="1:13" s="5" customFormat="1" outlineLevel="2">
      <c r="A121" s="39" t="s">
        <v>78</v>
      </c>
      <c r="B121" s="40" t="s">
        <v>183</v>
      </c>
      <c r="C121" s="41" t="s">
        <v>89</v>
      </c>
      <c r="D121" s="40" t="s">
        <v>90</v>
      </c>
      <c r="E121" s="24">
        <v>30200000</v>
      </c>
      <c r="F121" s="39">
        <v>44323</v>
      </c>
      <c r="G121" s="24">
        <v>30200000</v>
      </c>
      <c r="H121" s="23">
        <v>5.0000000000000001E-3</v>
      </c>
      <c r="I121" s="39">
        <v>44378</v>
      </c>
      <c r="J121" s="39">
        <v>44408</v>
      </c>
      <c r="K121" s="24">
        <v>31</v>
      </c>
      <c r="L121" s="24">
        <v>12825</v>
      </c>
      <c r="M121" s="24">
        <v>30200000</v>
      </c>
    </row>
    <row r="122" spans="1:13" s="5" customFormat="1" outlineLevel="2">
      <c r="A122" s="39" t="s">
        <v>78</v>
      </c>
      <c r="B122" s="40" t="s">
        <v>63</v>
      </c>
      <c r="C122" s="41" t="s">
        <v>83</v>
      </c>
      <c r="D122" s="40" t="s">
        <v>84</v>
      </c>
      <c r="E122" s="24">
        <v>95370000</v>
      </c>
      <c r="F122" s="39">
        <v>44006</v>
      </c>
      <c r="G122" s="24">
        <v>95370000</v>
      </c>
      <c r="H122" s="23">
        <v>5.0000000000000001E-3</v>
      </c>
      <c r="I122" s="39">
        <v>44378</v>
      </c>
      <c r="J122" s="39">
        <v>44408</v>
      </c>
      <c r="K122" s="24">
        <v>31</v>
      </c>
      <c r="L122" s="24">
        <v>40500</v>
      </c>
      <c r="M122" s="24">
        <v>95370000</v>
      </c>
    </row>
    <row r="123" spans="1:13" s="5" customFormat="1" outlineLevel="2">
      <c r="A123" s="39" t="s">
        <v>78</v>
      </c>
      <c r="B123" s="40" t="s">
        <v>184</v>
      </c>
      <c r="C123" s="41" t="s">
        <v>337</v>
      </c>
      <c r="D123" s="40" t="s">
        <v>336</v>
      </c>
      <c r="E123" s="24">
        <v>15000000</v>
      </c>
      <c r="F123" s="39">
        <v>44347</v>
      </c>
      <c r="G123" s="24">
        <v>14741379</v>
      </c>
      <c r="H123" s="23">
        <v>5.0000000000000001E-3</v>
      </c>
      <c r="I123" s="39">
        <v>44378</v>
      </c>
      <c r="J123" s="39">
        <v>44391</v>
      </c>
      <c r="K123" s="24">
        <v>14</v>
      </c>
      <c r="L123" s="24">
        <v>2827</v>
      </c>
      <c r="M123" s="24">
        <v>14482758</v>
      </c>
    </row>
    <row r="124" spans="1:13" s="5" customFormat="1" outlineLevel="2">
      <c r="A124" s="39" t="s">
        <v>78</v>
      </c>
      <c r="B124" s="40" t="s">
        <v>184</v>
      </c>
      <c r="C124" s="41" t="s">
        <v>337</v>
      </c>
      <c r="D124" s="40"/>
      <c r="E124" s="24"/>
      <c r="F124" s="39"/>
      <c r="G124" s="24">
        <v>14482758</v>
      </c>
      <c r="H124" s="23">
        <v>5.0000000000000001E-3</v>
      </c>
      <c r="I124" s="39">
        <v>44392</v>
      </c>
      <c r="J124" s="39">
        <v>44408</v>
      </c>
      <c r="K124" s="24">
        <v>17</v>
      </c>
      <c r="L124" s="24">
        <v>3373</v>
      </c>
      <c r="M124" s="24"/>
    </row>
    <row r="125" spans="1:13" s="5" customFormat="1" outlineLevel="2">
      <c r="A125" s="39" t="s">
        <v>78</v>
      </c>
      <c r="B125" s="40" t="s">
        <v>185</v>
      </c>
      <c r="C125" s="41" t="s">
        <v>83</v>
      </c>
      <c r="D125" s="40" t="s">
        <v>84</v>
      </c>
      <c r="E125" s="24">
        <v>388000000</v>
      </c>
      <c r="F125" s="39">
        <v>44344</v>
      </c>
      <c r="G125" s="24">
        <v>388000000</v>
      </c>
      <c r="H125" s="23">
        <v>3.0000000000000001E-3</v>
      </c>
      <c r="I125" s="39">
        <v>44378</v>
      </c>
      <c r="J125" s="39">
        <v>44408</v>
      </c>
      <c r="K125" s="24">
        <v>31</v>
      </c>
      <c r="L125" s="24">
        <v>98860</v>
      </c>
      <c r="M125" s="24">
        <v>388000000</v>
      </c>
    </row>
    <row r="126" spans="1:13" s="5" customFormat="1" outlineLevel="2">
      <c r="A126" s="39" t="s">
        <v>78</v>
      </c>
      <c r="B126" s="40" t="s">
        <v>186</v>
      </c>
      <c r="C126" s="41" t="s">
        <v>85</v>
      </c>
      <c r="D126" s="40" t="s">
        <v>86</v>
      </c>
      <c r="E126" s="24">
        <v>50000000</v>
      </c>
      <c r="F126" s="39">
        <v>44330</v>
      </c>
      <c r="G126" s="24">
        <v>50000000</v>
      </c>
      <c r="H126" s="23">
        <v>5.0000000000000001E-3</v>
      </c>
      <c r="I126" s="39">
        <v>44378</v>
      </c>
      <c r="J126" s="39">
        <v>44408</v>
      </c>
      <c r="K126" s="24">
        <v>31</v>
      </c>
      <c r="L126" s="24">
        <v>21233</v>
      </c>
      <c r="M126" s="24">
        <v>50000000</v>
      </c>
    </row>
    <row r="127" spans="1:13" s="5" customFormat="1" outlineLevel="2">
      <c r="A127" s="39" t="s">
        <v>78</v>
      </c>
      <c r="B127" s="40" t="s">
        <v>189</v>
      </c>
      <c r="C127" s="41" t="s">
        <v>85</v>
      </c>
      <c r="D127" s="40" t="s">
        <v>86</v>
      </c>
      <c r="E127" s="24">
        <v>50000000</v>
      </c>
      <c r="F127" s="39">
        <v>44344</v>
      </c>
      <c r="G127" s="24">
        <v>50000000</v>
      </c>
      <c r="H127" s="23">
        <v>5.0000000000000001E-3</v>
      </c>
      <c r="I127" s="39">
        <v>44378</v>
      </c>
      <c r="J127" s="39">
        <v>44408</v>
      </c>
      <c r="K127" s="24">
        <v>31</v>
      </c>
      <c r="L127" s="24">
        <v>21233</v>
      </c>
      <c r="M127" s="24">
        <v>50000000</v>
      </c>
    </row>
    <row r="128" spans="1:13" s="5" customFormat="1" outlineLevel="2">
      <c r="A128" s="39" t="s">
        <v>78</v>
      </c>
      <c r="B128" s="40" t="s">
        <v>190</v>
      </c>
      <c r="C128" s="41" t="s">
        <v>93</v>
      </c>
      <c r="D128" s="40" t="s">
        <v>94</v>
      </c>
      <c r="E128" s="24">
        <v>1351689</v>
      </c>
      <c r="F128" s="39">
        <v>44358</v>
      </c>
      <c r="G128" s="24">
        <v>1351689</v>
      </c>
      <c r="H128" s="23">
        <v>5.0000000000000001E-3</v>
      </c>
      <c r="I128" s="39">
        <v>44378</v>
      </c>
      <c r="J128" s="39">
        <v>44408</v>
      </c>
      <c r="K128" s="24">
        <v>31</v>
      </c>
      <c r="L128" s="24">
        <v>574</v>
      </c>
      <c r="M128" s="24">
        <v>1351689</v>
      </c>
    </row>
    <row r="129" spans="1:13" s="5" customFormat="1" outlineLevel="2">
      <c r="A129" s="39" t="s">
        <v>78</v>
      </c>
      <c r="B129" s="40" t="s">
        <v>191</v>
      </c>
      <c r="C129" s="41" t="s">
        <v>93</v>
      </c>
      <c r="D129" s="40" t="s">
        <v>94</v>
      </c>
      <c r="E129" s="24">
        <v>20000000</v>
      </c>
      <c r="F129" s="39">
        <v>44370</v>
      </c>
      <c r="G129" s="24">
        <v>20000000</v>
      </c>
      <c r="H129" s="23">
        <v>5.0000000000000001E-3</v>
      </c>
      <c r="I129" s="39">
        <v>44378</v>
      </c>
      <c r="J129" s="39">
        <v>44408</v>
      </c>
      <c r="K129" s="24">
        <v>31</v>
      </c>
      <c r="L129" s="24">
        <v>8493</v>
      </c>
      <c r="M129" s="24">
        <v>20000000</v>
      </c>
    </row>
    <row r="130" spans="1:13" s="5" customFormat="1" outlineLevel="2">
      <c r="A130" s="39" t="s">
        <v>78</v>
      </c>
      <c r="B130" s="40" t="s">
        <v>192</v>
      </c>
      <c r="C130" s="41" t="s">
        <v>93</v>
      </c>
      <c r="D130" s="40" t="s">
        <v>94</v>
      </c>
      <c r="E130" s="24">
        <v>8000000</v>
      </c>
      <c r="F130" s="39">
        <v>44370</v>
      </c>
      <c r="G130" s="24">
        <v>8000000</v>
      </c>
      <c r="H130" s="23">
        <v>5.0000000000000001E-3</v>
      </c>
      <c r="I130" s="39">
        <v>44378</v>
      </c>
      <c r="J130" s="39">
        <v>44408</v>
      </c>
      <c r="K130" s="24">
        <v>31</v>
      </c>
      <c r="L130" s="24">
        <v>3397</v>
      </c>
      <c r="M130" s="24">
        <v>8000000</v>
      </c>
    </row>
    <row r="131" spans="1:13" s="5" customFormat="1" outlineLevel="2">
      <c r="A131" s="39" t="s">
        <v>78</v>
      </c>
      <c r="B131" s="40" t="s">
        <v>193</v>
      </c>
      <c r="C131" s="41" t="s">
        <v>337</v>
      </c>
      <c r="D131" s="40" t="s">
        <v>336</v>
      </c>
      <c r="E131" s="24">
        <v>5000000</v>
      </c>
      <c r="F131" s="39">
        <v>44368</v>
      </c>
      <c r="G131" s="24">
        <v>5000000</v>
      </c>
      <c r="H131" s="23">
        <v>5.0000000000000001E-3</v>
      </c>
      <c r="I131" s="39">
        <v>44378</v>
      </c>
      <c r="J131" s="39">
        <v>44391</v>
      </c>
      <c r="K131" s="24">
        <v>14</v>
      </c>
      <c r="L131" s="24">
        <v>959</v>
      </c>
      <c r="M131" s="24">
        <v>4912280</v>
      </c>
    </row>
    <row r="132" spans="1:13" s="5" customFormat="1" outlineLevel="2">
      <c r="A132" s="39" t="s">
        <v>78</v>
      </c>
      <c r="B132" s="40" t="s">
        <v>193</v>
      </c>
      <c r="C132" s="41" t="s">
        <v>337</v>
      </c>
      <c r="D132" s="40"/>
      <c r="E132" s="24"/>
      <c r="F132" s="39"/>
      <c r="G132" s="24">
        <v>4912280</v>
      </c>
      <c r="H132" s="23">
        <v>5.0000000000000001E-3</v>
      </c>
      <c r="I132" s="39">
        <v>44392</v>
      </c>
      <c r="J132" s="39">
        <v>44408</v>
      </c>
      <c r="K132" s="24">
        <v>17</v>
      </c>
      <c r="L132" s="24">
        <v>1144</v>
      </c>
      <c r="M132" s="24"/>
    </row>
    <row r="133" spans="1:13" s="5" customFormat="1" outlineLevel="2">
      <c r="A133" s="39" t="s">
        <v>78</v>
      </c>
      <c r="B133" s="40" t="s">
        <v>194</v>
      </c>
      <c r="C133" s="41" t="s">
        <v>337</v>
      </c>
      <c r="D133" s="40" t="s">
        <v>336</v>
      </c>
      <c r="E133" s="24">
        <v>38000000</v>
      </c>
      <c r="F133" s="39">
        <v>44377</v>
      </c>
      <c r="G133" s="24">
        <v>38000000</v>
      </c>
      <c r="H133" s="23">
        <v>5.0000000000000001E-3</v>
      </c>
      <c r="I133" s="39">
        <v>44378</v>
      </c>
      <c r="J133" s="39">
        <v>44391</v>
      </c>
      <c r="K133" s="24">
        <v>14</v>
      </c>
      <c r="L133" s="24">
        <v>7288</v>
      </c>
      <c r="M133" s="24">
        <v>37333333</v>
      </c>
    </row>
    <row r="134" spans="1:13" s="5" customFormat="1" outlineLevel="2">
      <c r="A134" s="39" t="s">
        <v>78</v>
      </c>
      <c r="B134" s="40" t="s">
        <v>194</v>
      </c>
      <c r="C134" s="41" t="s">
        <v>337</v>
      </c>
      <c r="D134" s="40"/>
      <c r="E134" s="24"/>
      <c r="F134" s="39"/>
      <c r="G134" s="24">
        <v>37333333</v>
      </c>
      <c r="H134" s="23">
        <v>5.0000000000000001E-3</v>
      </c>
      <c r="I134" s="39">
        <v>44392</v>
      </c>
      <c r="J134" s="39">
        <v>44408</v>
      </c>
      <c r="K134" s="24">
        <v>17</v>
      </c>
      <c r="L134" s="24">
        <v>8694</v>
      </c>
      <c r="M134" s="24"/>
    </row>
    <row r="135" spans="1:13" s="5" customFormat="1" outlineLevel="2">
      <c r="A135" s="39" t="s">
        <v>78</v>
      </c>
      <c r="B135" s="40" t="s">
        <v>195</v>
      </c>
      <c r="C135" s="41" t="s">
        <v>85</v>
      </c>
      <c r="D135" s="40" t="s">
        <v>86</v>
      </c>
      <c r="E135" s="24">
        <v>50000000</v>
      </c>
      <c r="F135" s="39">
        <v>44349</v>
      </c>
      <c r="G135" s="24">
        <v>50000000</v>
      </c>
      <c r="H135" s="23">
        <v>5.0000000000000001E-3</v>
      </c>
      <c r="I135" s="39">
        <v>44378</v>
      </c>
      <c r="J135" s="39">
        <v>44408</v>
      </c>
      <c r="K135" s="24">
        <v>31</v>
      </c>
      <c r="L135" s="24">
        <v>21233</v>
      </c>
      <c r="M135" s="24">
        <v>50000000</v>
      </c>
    </row>
    <row r="136" spans="1:13" s="5" customFormat="1" outlineLevel="2">
      <c r="A136" s="39" t="s">
        <v>78</v>
      </c>
      <c r="B136" s="40" t="s">
        <v>64</v>
      </c>
      <c r="C136" s="41" t="s">
        <v>83</v>
      </c>
      <c r="D136" s="40" t="s">
        <v>84</v>
      </c>
      <c r="E136" s="24">
        <v>73910000</v>
      </c>
      <c r="F136" s="39">
        <v>44032</v>
      </c>
      <c r="G136" s="24">
        <v>73910000</v>
      </c>
      <c r="H136" s="23">
        <v>5.0000000000000001E-3</v>
      </c>
      <c r="I136" s="39">
        <v>44378</v>
      </c>
      <c r="J136" s="39">
        <v>44408</v>
      </c>
      <c r="K136" s="24">
        <v>31</v>
      </c>
      <c r="L136" s="24">
        <v>31386</v>
      </c>
      <c r="M136" s="24">
        <v>73910000</v>
      </c>
    </row>
    <row r="137" spans="1:13" s="5" customFormat="1" outlineLevel="2">
      <c r="A137" s="39" t="s">
        <v>78</v>
      </c>
      <c r="B137" s="40" t="s">
        <v>196</v>
      </c>
      <c r="C137" s="41" t="s">
        <v>91</v>
      </c>
      <c r="D137" s="40" t="s">
        <v>92</v>
      </c>
      <c r="E137" s="24">
        <v>23000000</v>
      </c>
      <c r="F137" s="39">
        <v>44365</v>
      </c>
      <c r="G137" s="24">
        <v>23000000</v>
      </c>
      <c r="H137" s="23">
        <v>5.0000000000000001E-3</v>
      </c>
      <c r="I137" s="39">
        <v>44378</v>
      </c>
      <c r="J137" s="39">
        <v>44408</v>
      </c>
      <c r="K137" s="24">
        <v>31</v>
      </c>
      <c r="L137" s="24">
        <v>9767</v>
      </c>
      <c r="M137" s="24">
        <v>23000000</v>
      </c>
    </row>
    <row r="138" spans="1:13" s="5" customFormat="1" outlineLevel="2">
      <c r="A138" s="39" t="s">
        <v>78</v>
      </c>
      <c r="B138" s="40" t="s">
        <v>197</v>
      </c>
      <c r="C138" s="41" t="s">
        <v>93</v>
      </c>
      <c r="D138" s="40" t="s">
        <v>94</v>
      </c>
      <c r="E138" s="24">
        <v>20000000</v>
      </c>
      <c r="F138" s="39">
        <v>44378</v>
      </c>
      <c r="G138" s="24">
        <v>20000000</v>
      </c>
      <c r="H138" s="23">
        <v>5.0000000000000001E-3</v>
      </c>
      <c r="I138" s="39">
        <v>44378</v>
      </c>
      <c r="J138" s="39">
        <v>44408</v>
      </c>
      <c r="K138" s="24">
        <v>31</v>
      </c>
      <c r="L138" s="24">
        <v>8493</v>
      </c>
      <c r="M138" s="24">
        <v>20000000</v>
      </c>
    </row>
    <row r="139" spans="1:13" s="5" customFormat="1" outlineLevel="2">
      <c r="A139" s="39" t="s">
        <v>78</v>
      </c>
      <c r="B139" s="40" t="s">
        <v>198</v>
      </c>
      <c r="C139" s="41" t="s">
        <v>91</v>
      </c>
      <c r="D139" s="40" t="s">
        <v>92</v>
      </c>
      <c r="E139" s="24">
        <v>81100000</v>
      </c>
      <c r="F139" s="39">
        <v>44392</v>
      </c>
      <c r="G139" s="24">
        <v>81100000</v>
      </c>
      <c r="H139" s="23">
        <v>5.0000000000000001E-3</v>
      </c>
      <c r="I139" s="39">
        <v>44392</v>
      </c>
      <c r="J139" s="39">
        <v>44408</v>
      </c>
      <c r="K139" s="24">
        <v>17</v>
      </c>
      <c r="L139" s="24">
        <v>18886</v>
      </c>
      <c r="M139" s="24">
        <v>81100000</v>
      </c>
    </row>
    <row r="140" spans="1:13" s="5" customFormat="1" outlineLevel="2">
      <c r="A140" s="39" t="s">
        <v>78</v>
      </c>
      <c r="B140" s="40" t="s">
        <v>199</v>
      </c>
      <c r="C140" s="41" t="s">
        <v>91</v>
      </c>
      <c r="D140" s="40" t="s">
        <v>92</v>
      </c>
      <c r="E140" s="24">
        <v>34200000</v>
      </c>
      <c r="F140" s="39">
        <v>44392</v>
      </c>
      <c r="G140" s="24">
        <v>34200000</v>
      </c>
      <c r="H140" s="23">
        <v>5.0000000000000001E-3</v>
      </c>
      <c r="I140" s="39">
        <v>44392</v>
      </c>
      <c r="J140" s="39">
        <v>44408</v>
      </c>
      <c r="K140" s="24">
        <v>17</v>
      </c>
      <c r="L140" s="24">
        <v>7964</v>
      </c>
      <c r="M140" s="24">
        <v>34200000</v>
      </c>
    </row>
    <row r="141" spans="1:13" s="5" customFormat="1" outlineLevel="2">
      <c r="A141" s="39" t="s">
        <v>78</v>
      </c>
      <c r="B141" s="40" t="s">
        <v>65</v>
      </c>
      <c r="C141" s="41" t="s">
        <v>83</v>
      </c>
      <c r="D141" s="40" t="s">
        <v>84</v>
      </c>
      <c r="E141" s="24">
        <v>291200000</v>
      </c>
      <c r="F141" s="39">
        <v>44032</v>
      </c>
      <c r="G141" s="24">
        <v>291200000</v>
      </c>
      <c r="H141" s="23">
        <v>3.0000000000000001E-3</v>
      </c>
      <c r="I141" s="39">
        <v>44378</v>
      </c>
      <c r="J141" s="39">
        <v>44408</v>
      </c>
      <c r="K141" s="24">
        <v>31</v>
      </c>
      <c r="L141" s="24">
        <v>74196</v>
      </c>
      <c r="M141" s="24">
        <v>291200000</v>
      </c>
    </row>
    <row r="142" spans="1:13" s="5" customFormat="1" outlineLevel="2">
      <c r="A142" s="39" t="s">
        <v>78</v>
      </c>
      <c r="B142" s="40" t="s">
        <v>68</v>
      </c>
      <c r="C142" s="41" t="s">
        <v>81</v>
      </c>
      <c r="D142" s="40" t="s">
        <v>82</v>
      </c>
      <c r="E142" s="24">
        <v>10000000</v>
      </c>
      <c r="F142" s="39">
        <v>44025</v>
      </c>
      <c r="G142" s="24">
        <v>8135588</v>
      </c>
      <c r="H142" s="23">
        <v>5.0000000000000001E-3</v>
      </c>
      <c r="I142" s="39">
        <v>44378</v>
      </c>
      <c r="J142" s="39">
        <v>44391</v>
      </c>
      <c r="K142" s="24">
        <v>14</v>
      </c>
      <c r="L142" s="24">
        <v>1560</v>
      </c>
      <c r="M142" s="24">
        <v>7966096</v>
      </c>
    </row>
    <row r="143" spans="1:13" s="5" customFormat="1" outlineLevel="2">
      <c r="A143" s="39" t="s">
        <v>78</v>
      </c>
      <c r="B143" s="40" t="s">
        <v>68</v>
      </c>
      <c r="C143" s="41" t="s">
        <v>81</v>
      </c>
      <c r="D143" s="40"/>
      <c r="E143" s="24"/>
      <c r="F143" s="39"/>
      <c r="G143" s="24">
        <v>7966096</v>
      </c>
      <c r="H143" s="23">
        <v>5.0000000000000001E-3</v>
      </c>
      <c r="I143" s="39">
        <v>44392</v>
      </c>
      <c r="J143" s="39">
        <v>44408</v>
      </c>
      <c r="K143" s="24">
        <v>17</v>
      </c>
      <c r="L143" s="24">
        <v>1855</v>
      </c>
      <c r="M143" s="24"/>
    </row>
    <row r="144" spans="1:13" s="5" customFormat="1" outlineLevel="1">
      <c r="A144" s="42" t="s">
        <v>107</v>
      </c>
      <c r="B144" s="43"/>
      <c r="C144" s="44"/>
      <c r="D144" s="43"/>
      <c r="E144" s="45">
        <v>3837189409</v>
      </c>
      <c r="F144" s="46"/>
      <c r="G144" s="45"/>
      <c r="H144" s="47"/>
      <c r="I144" s="46"/>
      <c r="J144" s="46"/>
      <c r="K144" s="45"/>
      <c r="L144" s="45">
        <v>1479085</v>
      </c>
      <c r="M144" s="45">
        <v>3804191738</v>
      </c>
    </row>
    <row r="145" spans="1:13" s="5" customFormat="1" outlineLevel="2">
      <c r="A145" s="39" t="s">
        <v>108</v>
      </c>
      <c r="B145" s="40" t="s">
        <v>16</v>
      </c>
      <c r="C145" s="41" t="s">
        <v>109</v>
      </c>
      <c r="D145" s="40" t="s">
        <v>110</v>
      </c>
      <c r="E145" s="24">
        <v>81465386</v>
      </c>
      <c r="F145" s="39">
        <v>43900</v>
      </c>
      <c r="G145" s="24">
        <v>81465386</v>
      </c>
      <c r="H145" s="23">
        <v>5.0000000000000001E-3</v>
      </c>
      <c r="I145" s="39">
        <v>44378</v>
      </c>
      <c r="J145" s="39">
        <v>44408</v>
      </c>
      <c r="K145" s="24">
        <v>31</v>
      </c>
      <c r="L145" s="24">
        <v>34595</v>
      </c>
      <c r="M145" s="24">
        <v>81465386</v>
      </c>
    </row>
    <row r="146" spans="1:13" s="5" customFormat="1" outlineLevel="2">
      <c r="A146" s="39" t="s">
        <v>108</v>
      </c>
      <c r="B146" s="40" t="s">
        <v>19</v>
      </c>
      <c r="C146" s="41" t="s">
        <v>111</v>
      </c>
      <c r="D146" s="40" t="s">
        <v>112</v>
      </c>
      <c r="E146" s="24">
        <v>8860000</v>
      </c>
      <c r="F146" s="39">
        <v>43997</v>
      </c>
      <c r="G146" s="24">
        <v>8860000</v>
      </c>
      <c r="H146" s="23">
        <v>5.0000000000000001E-3</v>
      </c>
      <c r="I146" s="39">
        <v>44378</v>
      </c>
      <c r="J146" s="39">
        <v>44408</v>
      </c>
      <c r="K146" s="24">
        <v>31</v>
      </c>
      <c r="L146" s="24">
        <v>3762</v>
      </c>
      <c r="M146" s="24">
        <v>8860000</v>
      </c>
    </row>
    <row r="147" spans="1:13" s="5" customFormat="1" outlineLevel="2">
      <c r="A147" s="39" t="s">
        <v>108</v>
      </c>
      <c r="B147" s="40" t="s">
        <v>22</v>
      </c>
      <c r="C147" s="41" t="s">
        <v>113</v>
      </c>
      <c r="D147" s="40" t="s">
        <v>114</v>
      </c>
      <c r="E147" s="24">
        <v>20390000</v>
      </c>
      <c r="F147" s="39">
        <v>43997</v>
      </c>
      <c r="G147" s="24">
        <v>17406104</v>
      </c>
      <c r="H147" s="23">
        <v>5.0000000000000001E-3</v>
      </c>
      <c r="I147" s="39">
        <v>44378</v>
      </c>
      <c r="J147" s="39">
        <v>44391</v>
      </c>
      <c r="K147" s="24">
        <v>14</v>
      </c>
      <c r="L147" s="24">
        <v>3338</v>
      </c>
      <c r="M147" s="24">
        <v>17157446</v>
      </c>
    </row>
    <row r="148" spans="1:13" s="5" customFormat="1" outlineLevel="2">
      <c r="A148" s="39" t="s">
        <v>108</v>
      </c>
      <c r="B148" s="40" t="s">
        <v>22</v>
      </c>
      <c r="C148" s="41" t="s">
        <v>113</v>
      </c>
      <c r="D148" s="40"/>
      <c r="E148" s="24"/>
      <c r="F148" s="39"/>
      <c r="G148" s="24">
        <v>17157446</v>
      </c>
      <c r="H148" s="23">
        <v>5.0000000000000001E-3</v>
      </c>
      <c r="I148" s="39">
        <v>44392</v>
      </c>
      <c r="J148" s="39">
        <v>44408</v>
      </c>
      <c r="K148" s="24">
        <v>17</v>
      </c>
      <c r="L148" s="24">
        <v>3996</v>
      </c>
      <c r="M148" s="24"/>
    </row>
    <row r="149" spans="1:13" s="5" customFormat="1" outlineLevel="2">
      <c r="A149" s="39" t="s">
        <v>108</v>
      </c>
      <c r="B149" s="40" t="s">
        <v>25</v>
      </c>
      <c r="C149" s="41" t="s">
        <v>113</v>
      </c>
      <c r="D149" s="40" t="s">
        <v>114</v>
      </c>
      <c r="E149" s="24">
        <v>69600000</v>
      </c>
      <c r="F149" s="39">
        <v>43997</v>
      </c>
      <c r="G149" s="24">
        <v>62640000</v>
      </c>
      <c r="H149" s="23">
        <v>5.0000000000000001E-3</v>
      </c>
      <c r="I149" s="39">
        <v>44378</v>
      </c>
      <c r="J149" s="39">
        <v>44391</v>
      </c>
      <c r="K149" s="24">
        <v>14</v>
      </c>
      <c r="L149" s="24">
        <v>12013</v>
      </c>
      <c r="M149" s="24">
        <v>62060000</v>
      </c>
    </row>
    <row r="150" spans="1:13" s="5" customFormat="1" outlineLevel="2">
      <c r="A150" s="39" t="s">
        <v>108</v>
      </c>
      <c r="B150" s="40" t="s">
        <v>25</v>
      </c>
      <c r="C150" s="41" t="s">
        <v>113</v>
      </c>
      <c r="D150" s="40"/>
      <c r="E150" s="24"/>
      <c r="F150" s="39"/>
      <c r="G150" s="24">
        <v>62060000</v>
      </c>
      <c r="H150" s="23">
        <v>5.0000000000000001E-3</v>
      </c>
      <c r="I150" s="39">
        <v>44392</v>
      </c>
      <c r="J150" s="39">
        <v>44408</v>
      </c>
      <c r="K150" s="24">
        <v>17</v>
      </c>
      <c r="L150" s="24">
        <v>14452</v>
      </c>
      <c r="M150" s="24"/>
    </row>
    <row r="151" spans="1:13" s="5" customFormat="1" outlineLevel="2">
      <c r="A151" s="39" t="s">
        <v>108</v>
      </c>
      <c r="B151" s="40" t="s">
        <v>26</v>
      </c>
      <c r="C151" s="41" t="s">
        <v>109</v>
      </c>
      <c r="D151" s="40" t="s">
        <v>110</v>
      </c>
      <c r="E151" s="24">
        <v>16630000</v>
      </c>
      <c r="F151" s="39">
        <v>44011</v>
      </c>
      <c r="G151" s="24">
        <v>16630000</v>
      </c>
      <c r="H151" s="23">
        <v>5.0000000000000001E-3</v>
      </c>
      <c r="I151" s="39">
        <v>44378</v>
      </c>
      <c r="J151" s="39">
        <v>44408</v>
      </c>
      <c r="K151" s="24">
        <v>31</v>
      </c>
      <c r="L151" s="24">
        <v>7062</v>
      </c>
      <c r="M151" s="24">
        <v>16630000</v>
      </c>
    </row>
    <row r="152" spans="1:13" s="5" customFormat="1" outlineLevel="2">
      <c r="A152" s="39" t="s">
        <v>108</v>
      </c>
      <c r="B152" s="40" t="s">
        <v>29</v>
      </c>
      <c r="C152" s="41" t="s">
        <v>111</v>
      </c>
      <c r="D152" s="40" t="s">
        <v>112</v>
      </c>
      <c r="E152" s="24">
        <v>4650000</v>
      </c>
      <c r="F152" s="39">
        <v>44027</v>
      </c>
      <c r="G152" s="24">
        <v>4650000</v>
      </c>
      <c r="H152" s="23">
        <v>5.0000000000000001E-3</v>
      </c>
      <c r="I152" s="39">
        <v>44378</v>
      </c>
      <c r="J152" s="39">
        <v>44408</v>
      </c>
      <c r="K152" s="24">
        <v>31</v>
      </c>
      <c r="L152" s="24">
        <v>1975</v>
      </c>
      <c r="M152" s="24">
        <v>4650000</v>
      </c>
    </row>
    <row r="153" spans="1:13" s="5" customFormat="1" outlineLevel="2">
      <c r="A153" s="39" t="s">
        <v>108</v>
      </c>
      <c r="B153" s="40" t="s">
        <v>32</v>
      </c>
      <c r="C153" s="41" t="s">
        <v>113</v>
      </c>
      <c r="D153" s="40" t="s">
        <v>114</v>
      </c>
      <c r="E153" s="24">
        <v>10860000</v>
      </c>
      <c r="F153" s="39">
        <v>44027</v>
      </c>
      <c r="G153" s="24">
        <v>9385186</v>
      </c>
      <c r="H153" s="23">
        <v>5.0000000000000001E-3</v>
      </c>
      <c r="I153" s="39">
        <v>44378</v>
      </c>
      <c r="J153" s="39">
        <v>44391</v>
      </c>
      <c r="K153" s="24">
        <v>14</v>
      </c>
      <c r="L153" s="24">
        <v>1800</v>
      </c>
      <c r="M153" s="24">
        <v>9251112</v>
      </c>
    </row>
    <row r="154" spans="1:13" s="5" customFormat="1" outlineLevel="2">
      <c r="A154" s="39" t="s">
        <v>108</v>
      </c>
      <c r="B154" s="40" t="s">
        <v>32</v>
      </c>
      <c r="C154" s="41" t="s">
        <v>113</v>
      </c>
      <c r="D154" s="40"/>
      <c r="E154" s="24"/>
      <c r="F154" s="39"/>
      <c r="G154" s="24">
        <v>9251112</v>
      </c>
      <c r="H154" s="23">
        <v>5.0000000000000001E-3</v>
      </c>
      <c r="I154" s="39">
        <v>44392</v>
      </c>
      <c r="J154" s="39">
        <v>44408</v>
      </c>
      <c r="K154" s="24">
        <v>17</v>
      </c>
      <c r="L154" s="24">
        <v>2154</v>
      </c>
      <c r="M154" s="24"/>
    </row>
    <row r="155" spans="1:13" s="5" customFormat="1" outlineLevel="2">
      <c r="A155" s="39" t="s">
        <v>108</v>
      </c>
      <c r="B155" s="40" t="s">
        <v>33</v>
      </c>
      <c r="C155" s="41" t="s">
        <v>113</v>
      </c>
      <c r="D155" s="40" t="s">
        <v>114</v>
      </c>
      <c r="E155" s="24">
        <v>11600000</v>
      </c>
      <c r="F155" s="39">
        <v>44027</v>
      </c>
      <c r="G155" s="24">
        <v>10527742</v>
      </c>
      <c r="H155" s="23">
        <v>5.0000000000000001E-3</v>
      </c>
      <c r="I155" s="39">
        <v>44378</v>
      </c>
      <c r="J155" s="39">
        <v>44391</v>
      </c>
      <c r="K155" s="24">
        <v>14</v>
      </c>
      <c r="L155" s="24">
        <v>2019</v>
      </c>
      <c r="M155" s="24">
        <v>10430264</v>
      </c>
    </row>
    <row r="156" spans="1:13" s="5" customFormat="1" outlineLevel="2">
      <c r="A156" s="39" t="s">
        <v>108</v>
      </c>
      <c r="B156" s="40" t="s">
        <v>33</v>
      </c>
      <c r="C156" s="41" t="s">
        <v>113</v>
      </c>
      <c r="D156" s="40"/>
      <c r="E156" s="24"/>
      <c r="F156" s="39"/>
      <c r="G156" s="24">
        <v>10430264</v>
      </c>
      <c r="H156" s="23">
        <v>5.0000000000000001E-3</v>
      </c>
      <c r="I156" s="39">
        <v>44392</v>
      </c>
      <c r="J156" s="39">
        <v>44408</v>
      </c>
      <c r="K156" s="24">
        <v>17</v>
      </c>
      <c r="L156" s="24">
        <v>2429</v>
      </c>
      <c r="M156" s="24"/>
    </row>
    <row r="157" spans="1:13" s="5" customFormat="1" outlineLevel="2">
      <c r="A157" s="39" t="s">
        <v>108</v>
      </c>
      <c r="B157" s="40" t="s">
        <v>34</v>
      </c>
      <c r="C157" s="41" t="s">
        <v>23</v>
      </c>
      <c r="D157" s="40" t="s">
        <v>24</v>
      </c>
      <c r="E157" s="24">
        <v>18700000</v>
      </c>
      <c r="F157" s="39">
        <v>44032</v>
      </c>
      <c r="G157" s="24">
        <v>18700000</v>
      </c>
      <c r="H157" s="23">
        <v>5.0000000000000001E-3</v>
      </c>
      <c r="I157" s="39">
        <v>44378</v>
      </c>
      <c r="J157" s="39">
        <v>44408</v>
      </c>
      <c r="K157" s="24">
        <v>31</v>
      </c>
      <c r="L157" s="24">
        <v>7941</v>
      </c>
      <c r="M157" s="24">
        <v>18700000</v>
      </c>
    </row>
    <row r="158" spans="1:13" s="5" customFormat="1" outlineLevel="2">
      <c r="A158" s="39" t="s">
        <v>108</v>
      </c>
      <c r="B158" s="40" t="s">
        <v>35</v>
      </c>
      <c r="C158" s="41" t="s">
        <v>111</v>
      </c>
      <c r="D158" s="40" t="s">
        <v>112</v>
      </c>
      <c r="E158" s="24">
        <v>2950000</v>
      </c>
      <c r="F158" s="39">
        <v>44060</v>
      </c>
      <c r="G158" s="24">
        <v>2950000</v>
      </c>
      <c r="H158" s="23">
        <v>5.0000000000000001E-3</v>
      </c>
      <c r="I158" s="39">
        <v>44378</v>
      </c>
      <c r="J158" s="39">
        <v>44408</v>
      </c>
      <c r="K158" s="24">
        <v>31</v>
      </c>
      <c r="L158" s="24">
        <v>1253</v>
      </c>
      <c r="M158" s="24">
        <v>2950000</v>
      </c>
    </row>
    <row r="159" spans="1:13" s="5" customFormat="1" outlineLevel="2">
      <c r="A159" s="39" t="s">
        <v>108</v>
      </c>
      <c r="B159" s="40" t="s">
        <v>36</v>
      </c>
      <c r="C159" s="41" t="s">
        <v>109</v>
      </c>
      <c r="D159" s="40" t="s">
        <v>110</v>
      </c>
      <c r="E159" s="24">
        <v>15120000</v>
      </c>
      <c r="F159" s="39">
        <v>44091</v>
      </c>
      <c r="G159" s="24">
        <v>15120000</v>
      </c>
      <c r="H159" s="23">
        <v>5.0000000000000001E-3</v>
      </c>
      <c r="I159" s="39">
        <v>44378</v>
      </c>
      <c r="J159" s="39">
        <v>44408</v>
      </c>
      <c r="K159" s="24">
        <v>31</v>
      </c>
      <c r="L159" s="24">
        <v>6421</v>
      </c>
      <c r="M159" s="24">
        <v>15120000</v>
      </c>
    </row>
    <row r="160" spans="1:13" s="5" customFormat="1" outlineLevel="2">
      <c r="A160" s="39" t="s">
        <v>108</v>
      </c>
      <c r="B160" s="40" t="s">
        <v>39</v>
      </c>
      <c r="C160" s="41" t="s">
        <v>111</v>
      </c>
      <c r="D160" s="40" t="s">
        <v>112</v>
      </c>
      <c r="E160" s="24">
        <v>6200000</v>
      </c>
      <c r="F160" s="39">
        <v>43929</v>
      </c>
      <c r="G160" s="24">
        <v>6200000</v>
      </c>
      <c r="H160" s="23">
        <v>5.0000000000000001E-3</v>
      </c>
      <c r="I160" s="39">
        <v>44378</v>
      </c>
      <c r="J160" s="39">
        <v>44408</v>
      </c>
      <c r="K160" s="24">
        <v>31</v>
      </c>
      <c r="L160" s="24">
        <v>2633</v>
      </c>
      <c r="M160" s="24">
        <v>6200000</v>
      </c>
    </row>
    <row r="161" spans="1:13" s="5" customFormat="1" outlineLevel="2">
      <c r="A161" s="39" t="s">
        <v>108</v>
      </c>
      <c r="B161" s="40" t="s">
        <v>40</v>
      </c>
      <c r="C161" s="41" t="s">
        <v>27</v>
      </c>
      <c r="D161" s="40" t="s">
        <v>28</v>
      </c>
      <c r="E161" s="24">
        <v>10000000</v>
      </c>
      <c r="F161" s="39">
        <v>44111</v>
      </c>
      <c r="G161" s="24">
        <v>8500006</v>
      </c>
      <c r="H161" s="23">
        <v>5.0000000000000001E-3</v>
      </c>
      <c r="I161" s="39">
        <v>44378</v>
      </c>
      <c r="J161" s="39">
        <v>44391</v>
      </c>
      <c r="K161" s="24">
        <v>14</v>
      </c>
      <c r="L161" s="24">
        <v>1630</v>
      </c>
      <c r="M161" s="24">
        <v>8333340</v>
      </c>
    </row>
    <row r="162" spans="1:13" s="5" customFormat="1" outlineLevel="2">
      <c r="A162" s="39" t="s">
        <v>108</v>
      </c>
      <c r="B162" s="40" t="s">
        <v>40</v>
      </c>
      <c r="C162" s="41" t="s">
        <v>27</v>
      </c>
      <c r="D162" s="40"/>
      <c r="E162" s="24"/>
      <c r="F162" s="39"/>
      <c r="G162" s="24">
        <v>8333340</v>
      </c>
      <c r="H162" s="23">
        <v>5.0000000000000001E-3</v>
      </c>
      <c r="I162" s="39">
        <v>44392</v>
      </c>
      <c r="J162" s="39">
        <v>44408</v>
      </c>
      <c r="K162" s="24">
        <v>17</v>
      </c>
      <c r="L162" s="24">
        <v>1941</v>
      </c>
      <c r="M162" s="24"/>
    </row>
    <row r="163" spans="1:13" s="5" customFormat="1" outlineLevel="2">
      <c r="A163" s="39" t="s">
        <v>108</v>
      </c>
      <c r="B163" s="40" t="s">
        <v>41</v>
      </c>
      <c r="C163" s="41" t="s">
        <v>27</v>
      </c>
      <c r="D163" s="40" t="s">
        <v>28</v>
      </c>
      <c r="E163" s="24">
        <v>24450000</v>
      </c>
      <c r="F163" s="39">
        <v>44120</v>
      </c>
      <c r="G163" s="24">
        <v>21134752</v>
      </c>
      <c r="H163" s="23">
        <v>5.0000000000000001E-3</v>
      </c>
      <c r="I163" s="39">
        <v>44378</v>
      </c>
      <c r="J163" s="39">
        <v>44391</v>
      </c>
      <c r="K163" s="24">
        <v>14</v>
      </c>
      <c r="L163" s="24">
        <v>4053</v>
      </c>
      <c r="M163" s="24">
        <v>20720346</v>
      </c>
    </row>
    <row r="164" spans="1:13" s="5" customFormat="1" outlineLevel="2">
      <c r="A164" s="39" t="s">
        <v>108</v>
      </c>
      <c r="B164" s="40" t="s">
        <v>41</v>
      </c>
      <c r="C164" s="41" t="s">
        <v>27</v>
      </c>
      <c r="D164" s="40"/>
      <c r="E164" s="24"/>
      <c r="F164" s="39"/>
      <c r="G164" s="24">
        <v>20720346</v>
      </c>
      <c r="H164" s="23">
        <v>5.0000000000000001E-3</v>
      </c>
      <c r="I164" s="39">
        <v>44392</v>
      </c>
      <c r="J164" s="39">
        <v>44408</v>
      </c>
      <c r="K164" s="24">
        <v>17</v>
      </c>
      <c r="L164" s="24">
        <v>4825</v>
      </c>
      <c r="M164" s="24"/>
    </row>
    <row r="165" spans="1:13" s="5" customFormat="1" outlineLevel="2">
      <c r="A165" s="39" t="s">
        <v>108</v>
      </c>
      <c r="B165" s="40" t="s">
        <v>42</v>
      </c>
      <c r="C165" s="41" t="s">
        <v>23</v>
      </c>
      <c r="D165" s="40" t="s">
        <v>24</v>
      </c>
      <c r="E165" s="24">
        <v>26100000</v>
      </c>
      <c r="F165" s="39">
        <v>44124</v>
      </c>
      <c r="G165" s="24">
        <v>26100000</v>
      </c>
      <c r="H165" s="23">
        <v>5.0000000000000001E-3</v>
      </c>
      <c r="I165" s="39">
        <v>44378</v>
      </c>
      <c r="J165" s="39">
        <v>44408</v>
      </c>
      <c r="K165" s="24">
        <v>31</v>
      </c>
      <c r="L165" s="24">
        <v>11084</v>
      </c>
      <c r="M165" s="24">
        <v>26100000</v>
      </c>
    </row>
    <row r="166" spans="1:13" s="5" customFormat="1" outlineLevel="2">
      <c r="A166" s="39" t="s">
        <v>108</v>
      </c>
      <c r="B166" s="40" t="s">
        <v>43</v>
      </c>
      <c r="C166" s="41" t="s">
        <v>27</v>
      </c>
      <c r="D166" s="40" t="s">
        <v>28</v>
      </c>
      <c r="E166" s="24">
        <v>25800000</v>
      </c>
      <c r="F166" s="39">
        <v>44137</v>
      </c>
      <c r="G166" s="24">
        <v>22301696</v>
      </c>
      <c r="H166" s="23">
        <v>5.0000000000000001E-3</v>
      </c>
      <c r="I166" s="39">
        <v>44378</v>
      </c>
      <c r="J166" s="39">
        <v>44391</v>
      </c>
      <c r="K166" s="24">
        <v>14</v>
      </c>
      <c r="L166" s="24">
        <v>4277</v>
      </c>
      <c r="M166" s="24">
        <v>21864408</v>
      </c>
    </row>
    <row r="167" spans="1:13" s="5" customFormat="1" outlineLevel="2">
      <c r="A167" s="39" t="s">
        <v>108</v>
      </c>
      <c r="B167" s="40" t="s">
        <v>43</v>
      </c>
      <c r="C167" s="41" t="s">
        <v>27</v>
      </c>
      <c r="D167" s="40"/>
      <c r="E167" s="24"/>
      <c r="F167" s="39"/>
      <c r="G167" s="24">
        <v>21864408</v>
      </c>
      <c r="H167" s="23">
        <v>5.0000000000000001E-3</v>
      </c>
      <c r="I167" s="39">
        <v>44392</v>
      </c>
      <c r="J167" s="39">
        <v>44408</v>
      </c>
      <c r="K167" s="24">
        <v>17</v>
      </c>
      <c r="L167" s="24">
        <v>5092</v>
      </c>
      <c r="M167" s="24"/>
    </row>
    <row r="168" spans="1:13" s="5" customFormat="1" outlineLevel="2">
      <c r="A168" s="39" t="s">
        <v>108</v>
      </c>
      <c r="B168" s="40" t="s">
        <v>44</v>
      </c>
      <c r="C168" s="41" t="s">
        <v>115</v>
      </c>
      <c r="D168" s="40" t="s">
        <v>116</v>
      </c>
      <c r="E168" s="24">
        <v>1200000</v>
      </c>
      <c r="F168" s="39">
        <v>44138</v>
      </c>
      <c r="G168" s="24">
        <v>1200000</v>
      </c>
      <c r="H168" s="23">
        <v>5.0000000000000001E-3</v>
      </c>
      <c r="I168" s="39">
        <v>44378</v>
      </c>
      <c r="J168" s="39">
        <v>44408</v>
      </c>
      <c r="K168" s="24">
        <v>31</v>
      </c>
      <c r="L168" s="24">
        <v>510</v>
      </c>
      <c r="M168" s="24">
        <v>1200000</v>
      </c>
    </row>
    <row r="169" spans="1:13" s="5" customFormat="1" outlineLevel="2">
      <c r="A169" s="39" t="s">
        <v>108</v>
      </c>
      <c r="B169" s="40" t="s">
        <v>47</v>
      </c>
      <c r="C169" s="41" t="s">
        <v>115</v>
      </c>
      <c r="D169" s="40" t="s">
        <v>116</v>
      </c>
      <c r="E169" s="24">
        <v>2350000</v>
      </c>
      <c r="F169" s="39">
        <v>44138</v>
      </c>
      <c r="G169" s="24">
        <v>2350000</v>
      </c>
      <c r="H169" s="23">
        <v>5.0000000000000001E-3</v>
      </c>
      <c r="I169" s="39">
        <v>44378</v>
      </c>
      <c r="J169" s="39">
        <v>44408</v>
      </c>
      <c r="K169" s="24">
        <v>31</v>
      </c>
      <c r="L169" s="24">
        <v>998</v>
      </c>
      <c r="M169" s="24">
        <v>2350000</v>
      </c>
    </row>
    <row r="170" spans="1:13" s="5" customFormat="1" outlineLevel="2">
      <c r="A170" s="39" t="s">
        <v>108</v>
      </c>
      <c r="B170" s="40" t="s">
        <v>50</v>
      </c>
      <c r="C170" s="41" t="s">
        <v>113</v>
      </c>
      <c r="D170" s="40" t="s">
        <v>114</v>
      </c>
      <c r="E170" s="24">
        <v>23200000</v>
      </c>
      <c r="F170" s="39">
        <v>44151</v>
      </c>
      <c r="G170" s="24">
        <v>21787827</v>
      </c>
      <c r="H170" s="23">
        <v>5.0000000000000001E-3</v>
      </c>
      <c r="I170" s="39">
        <v>44378</v>
      </c>
      <c r="J170" s="39">
        <v>44391</v>
      </c>
      <c r="K170" s="24">
        <v>14</v>
      </c>
      <c r="L170" s="24">
        <v>4178</v>
      </c>
      <c r="M170" s="24">
        <v>21586088</v>
      </c>
    </row>
    <row r="171" spans="1:13" s="5" customFormat="1" outlineLevel="2">
      <c r="A171" s="39" t="s">
        <v>108</v>
      </c>
      <c r="B171" s="40" t="s">
        <v>50</v>
      </c>
      <c r="C171" s="41" t="s">
        <v>113</v>
      </c>
      <c r="D171" s="40"/>
      <c r="E171" s="24"/>
      <c r="F171" s="39"/>
      <c r="G171" s="24">
        <v>21586088</v>
      </c>
      <c r="H171" s="23">
        <v>5.0000000000000001E-3</v>
      </c>
      <c r="I171" s="39">
        <v>44392</v>
      </c>
      <c r="J171" s="39">
        <v>44408</v>
      </c>
      <c r="K171" s="24">
        <v>17</v>
      </c>
      <c r="L171" s="24">
        <v>5027</v>
      </c>
      <c r="M171" s="24"/>
    </row>
    <row r="172" spans="1:13" s="5" customFormat="1" outlineLevel="2">
      <c r="A172" s="39" t="s">
        <v>108</v>
      </c>
      <c r="B172" s="40" t="s">
        <v>51</v>
      </c>
      <c r="C172" s="41" t="s">
        <v>111</v>
      </c>
      <c r="D172" s="40" t="s">
        <v>112</v>
      </c>
      <c r="E172" s="24">
        <v>5910000</v>
      </c>
      <c r="F172" s="39">
        <v>44151</v>
      </c>
      <c r="G172" s="24">
        <v>5910000</v>
      </c>
      <c r="H172" s="23">
        <v>5.0000000000000001E-3</v>
      </c>
      <c r="I172" s="39">
        <v>44378</v>
      </c>
      <c r="J172" s="39">
        <v>44408</v>
      </c>
      <c r="K172" s="24">
        <v>31</v>
      </c>
      <c r="L172" s="24">
        <v>2510</v>
      </c>
      <c r="M172" s="24">
        <v>5910000</v>
      </c>
    </row>
    <row r="173" spans="1:13" s="5" customFormat="1" outlineLevel="2">
      <c r="A173" s="39" t="s">
        <v>108</v>
      </c>
      <c r="B173" s="40" t="s">
        <v>52</v>
      </c>
      <c r="C173" s="41" t="s">
        <v>117</v>
      </c>
      <c r="D173" s="40" t="s">
        <v>118</v>
      </c>
      <c r="E173" s="24">
        <v>26000000</v>
      </c>
      <c r="F173" s="39">
        <v>44162</v>
      </c>
      <c r="G173" s="24">
        <v>24389384</v>
      </c>
      <c r="H173" s="23">
        <v>5.0000000000000001E-3</v>
      </c>
      <c r="I173" s="39">
        <v>44378</v>
      </c>
      <c r="J173" s="39">
        <v>44391</v>
      </c>
      <c r="K173" s="24">
        <v>14</v>
      </c>
      <c r="L173" s="24">
        <v>4677</v>
      </c>
      <c r="M173" s="24">
        <v>24159296</v>
      </c>
    </row>
    <row r="174" spans="1:13" s="5" customFormat="1" outlineLevel="2">
      <c r="A174" s="39" t="s">
        <v>108</v>
      </c>
      <c r="B174" s="40" t="s">
        <v>52</v>
      </c>
      <c r="C174" s="41" t="s">
        <v>117</v>
      </c>
      <c r="D174" s="40"/>
      <c r="E174" s="24"/>
      <c r="F174" s="39"/>
      <c r="G174" s="24">
        <v>24159296</v>
      </c>
      <c r="H174" s="23">
        <v>5.0000000000000001E-3</v>
      </c>
      <c r="I174" s="39">
        <v>44392</v>
      </c>
      <c r="J174" s="39">
        <v>44408</v>
      </c>
      <c r="K174" s="24">
        <v>17</v>
      </c>
      <c r="L174" s="24">
        <v>5626</v>
      </c>
      <c r="M174" s="24"/>
    </row>
    <row r="175" spans="1:13" s="5" customFormat="1" outlineLevel="2">
      <c r="A175" s="39" t="s">
        <v>108</v>
      </c>
      <c r="B175" s="40" t="s">
        <v>53</v>
      </c>
      <c r="C175" s="41" t="s">
        <v>27</v>
      </c>
      <c r="D175" s="40" t="s">
        <v>28</v>
      </c>
      <c r="E175" s="24">
        <v>9280000</v>
      </c>
      <c r="F175" s="39">
        <v>44167</v>
      </c>
      <c r="G175" s="24">
        <v>8160000</v>
      </c>
      <c r="H175" s="23">
        <v>5.0000000000000001E-3</v>
      </c>
      <c r="I175" s="39">
        <v>44378</v>
      </c>
      <c r="J175" s="39">
        <v>44391</v>
      </c>
      <c r="K175" s="24">
        <v>14</v>
      </c>
      <c r="L175" s="24">
        <v>1565</v>
      </c>
      <c r="M175" s="24">
        <v>8000000</v>
      </c>
    </row>
    <row r="176" spans="1:13" s="5" customFormat="1" outlineLevel="2">
      <c r="A176" s="39" t="s">
        <v>108</v>
      </c>
      <c r="B176" s="40" t="s">
        <v>53</v>
      </c>
      <c r="C176" s="41" t="s">
        <v>27</v>
      </c>
      <c r="D176" s="40"/>
      <c r="E176" s="24"/>
      <c r="F176" s="39"/>
      <c r="G176" s="24">
        <v>8000000</v>
      </c>
      <c r="H176" s="23">
        <v>5.0000000000000001E-3</v>
      </c>
      <c r="I176" s="39">
        <v>44392</v>
      </c>
      <c r="J176" s="39">
        <v>44408</v>
      </c>
      <c r="K176" s="24">
        <v>17</v>
      </c>
      <c r="L176" s="24">
        <v>1863</v>
      </c>
      <c r="M176" s="24"/>
    </row>
    <row r="177" spans="1:13" s="5" customFormat="1" outlineLevel="2">
      <c r="A177" s="39" t="s">
        <v>108</v>
      </c>
      <c r="B177" s="40" t="s">
        <v>54</v>
      </c>
      <c r="C177" s="41" t="s">
        <v>111</v>
      </c>
      <c r="D177" s="40" t="s">
        <v>112</v>
      </c>
      <c r="E177" s="24">
        <v>23630000</v>
      </c>
      <c r="F177" s="39">
        <v>43936</v>
      </c>
      <c r="G177" s="24">
        <v>23630000</v>
      </c>
      <c r="H177" s="23">
        <v>5.0000000000000001E-3</v>
      </c>
      <c r="I177" s="39">
        <v>44378</v>
      </c>
      <c r="J177" s="39">
        <v>44408</v>
      </c>
      <c r="K177" s="24">
        <v>31</v>
      </c>
      <c r="L177" s="24">
        <v>10035</v>
      </c>
      <c r="M177" s="24">
        <v>23630000</v>
      </c>
    </row>
    <row r="178" spans="1:13" s="5" customFormat="1" outlineLevel="2">
      <c r="A178" s="39" t="s">
        <v>108</v>
      </c>
      <c r="B178" s="40" t="s">
        <v>57</v>
      </c>
      <c r="C178" s="41" t="s">
        <v>27</v>
      </c>
      <c r="D178" s="40" t="s">
        <v>28</v>
      </c>
      <c r="E178" s="24">
        <v>10470000</v>
      </c>
      <c r="F178" s="39">
        <v>44181</v>
      </c>
      <c r="G178" s="24">
        <v>9367896</v>
      </c>
      <c r="H178" s="23">
        <v>5.0000000000000001E-3</v>
      </c>
      <c r="I178" s="39">
        <v>44378</v>
      </c>
      <c r="J178" s="39">
        <v>44391</v>
      </c>
      <c r="K178" s="24">
        <v>14</v>
      </c>
      <c r="L178" s="24">
        <v>1797</v>
      </c>
      <c r="M178" s="24">
        <v>9184212</v>
      </c>
    </row>
    <row r="179" spans="1:13" s="5" customFormat="1" outlineLevel="2">
      <c r="A179" s="39" t="s">
        <v>108</v>
      </c>
      <c r="B179" s="40" t="s">
        <v>57</v>
      </c>
      <c r="C179" s="41" t="s">
        <v>27</v>
      </c>
      <c r="D179" s="40"/>
      <c r="E179" s="24"/>
      <c r="F179" s="39"/>
      <c r="G179" s="24">
        <v>9184212</v>
      </c>
      <c r="H179" s="23">
        <v>5.0000000000000001E-3</v>
      </c>
      <c r="I179" s="39">
        <v>44392</v>
      </c>
      <c r="J179" s="39">
        <v>44408</v>
      </c>
      <c r="K179" s="24">
        <v>17</v>
      </c>
      <c r="L179" s="24">
        <v>2139</v>
      </c>
      <c r="M179" s="24"/>
    </row>
    <row r="180" spans="1:13" s="5" customFormat="1" outlineLevel="2">
      <c r="A180" s="39" t="s">
        <v>108</v>
      </c>
      <c r="B180" s="40" t="s">
        <v>58</v>
      </c>
      <c r="C180" s="41" t="s">
        <v>111</v>
      </c>
      <c r="D180" s="40" t="s">
        <v>112</v>
      </c>
      <c r="E180" s="24">
        <v>2950000</v>
      </c>
      <c r="F180" s="39">
        <v>44180</v>
      </c>
      <c r="G180" s="24">
        <v>2950000</v>
      </c>
      <c r="H180" s="23">
        <v>5.0000000000000001E-3</v>
      </c>
      <c r="I180" s="39">
        <v>44378</v>
      </c>
      <c r="J180" s="39">
        <v>44408</v>
      </c>
      <c r="K180" s="24">
        <v>31</v>
      </c>
      <c r="L180" s="24">
        <v>1253</v>
      </c>
      <c r="M180" s="24">
        <v>2950000</v>
      </c>
    </row>
    <row r="181" spans="1:13" s="5" customFormat="1" outlineLevel="2">
      <c r="A181" s="39" t="s">
        <v>108</v>
      </c>
      <c r="B181" s="40" t="s">
        <v>99</v>
      </c>
      <c r="C181" s="41" t="s">
        <v>115</v>
      </c>
      <c r="D181" s="40" t="s">
        <v>116</v>
      </c>
      <c r="E181" s="24">
        <v>24400000</v>
      </c>
      <c r="F181" s="39">
        <v>44193</v>
      </c>
      <c r="G181" s="24">
        <v>24400000</v>
      </c>
      <c r="H181" s="23">
        <v>5.0000000000000001E-3</v>
      </c>
      <c r="I181" s="39">
        <v>44378</v>
      </c>
      <c r="J181" s="39">
        <v>44408</v>
      </c>
      <c r="K181" s="24">
        <v>31</v>
      </c>
      <c r="L181" s="24">
        <v>10362</v>
      </c>
      <c r="M181" s="24">
        <v>24400000</v>
      </c>
    </row>
    <row r="182" spans="1:13" s="5" customFormat="1" outlineLevel="2">
      <c r="A182" s="39" t="s">
        <v>108</v>
      </c>
      <c r="B182" s="40" t="s">
        <v>100</v>
      </c>
      <c r="C182" s="41" t="s">
        <v>115</v>
      </c>
      <c r="D182" s="40" t="s">
        <v>116</v>
      </c>
      <c r="E182" s="24">
        <v>5500000</v>
      </c>
      <c r="F182" s="39">
        <v>44193</v>
      </c>
      <c r="G182" s="24">
        <v>5500000</v>
      </c>
      <c r="H182" s="23">
        <v>5.0000000000000001E-3</v>
      </c>
      <c r="I182" s="39">
        <v>44378</v>
      </c>
      <c r="J182" s="39">
        <v>44408</v>
      </c>
      <c r="K182" s="24">
        <v>31</v>
      </c>
      <c r="L182" s="24">
        <v>2336</v>
      </c>
      <c r="M182" s="24">
        <v>5500000</v>
      </c>
    </row>
    <row r="183" spans="1:13" s="5" customFormat="1" outlineLevel="2">
      <c r="A183" s="39" t="s">
        <v>108</v>
      </c>
      <c r="B183" s="40" t="s">
        <v>101</v>
      </c>
      <c r="C183" s="41" t="s">
        <v>115</v>
      </c>
      <c r="D183" s="40" t="s">
        <v>116</v>
      </c>
      <c r="E183" s="24">
        <v>28050000</v>
      </c>
      <c r="F183" s="39">
        <v>44193</v>
      </c>
      <c r="G183" s="24">
        <v>28050000</v>
      </c>
      <c r="H183" s="23">
        <v>5.0000000000000001E-3</v>
      </c>
      <c r="I183" s="39">
        <v>44378</v>
      </c>
      <c r="J183" s="39">
        <v>44408</v>
      </c>
      <c r="K183" s="24">
        <v>31</v>
      </c>
      <c r="L183" s="24">
        <v>11912</v>
      </c>
      <c r="M183" s="24">
        <v>28050000</v>
      </c>
    </row>
    <row r="184" spans="1:13" s="5" customFormat="1" outlineLevel="2">
      <c r="A184" s="39" t="s">
        <v>108</v>
      </c>
      <c r="B184" s="40" t="s">
        <v>102</v>
      </c>
      <c r="C184" s="41" t="s">
        <v>115</v>
      </c>
      <c r="D184" s="40" t="s">
        <v>116</v>
      </c>
      <c r="E184" s="24">
        <v>5000000</v>
      </c>
      <c r="F184" s="39">
        <v>44193</v>
      </c>
      <c r="G184" s="24">
        <v>5000000</v>
      </c>
      <c r="H184" s="23">
        <v>5.0000000000000001E-3</v>
      </c>
      <c r="I184" s="39">
        <v>44378</v>
      </c>
      <c r="J184" s="39">
        <v>44408</v>
      </c>
      <c r="K184" s="24">
        <v>31</v>
      </c>
      <c r="L184" s="24">
        <v>2123</v>
      </c>
      <c r="M184" s="24">
        <v>5000000</v>
      </c>
    </row>
    <row r="185" spans="1:13" s="5" customFormat="1" outlineLevel="2">
      <c r="A185" s="39" t="s">
        <v>108</v>
      </c>
      <c r="B185" s="40" t="s">
        <v>103</v>
      </c>
      <c r="C185" s="41" t="s">
        <v>111</v>
      </c>
      <c r="D185" s="40" t="s">
        <v>112</v>
      </c>
      <c r="E185" s="24">
        <v>4920000</v>
      </c>
      <c r="F185" s="39">
        <v>44211</v>
      </c>
      <c r="G185" s="24">
        <v>4920000</v>
      </c>
      <c r="H185" s="23">
        <v>5.0000000000000001E-3</v>
      </c>
      <c r="I185" s="39">
        <v>44378</v>
      </c>
      <c r="J185" s="39">
        <v>44408</v>
      </c>
      <c r="K185" s="24">
        <v>31</v>
      </c>
      <c r="L185" s="24">
        <v>2089</v>
      </c>
      <c r="M185" s="24">
        <v>4920000</v>
      </c>
    </row>
    <row r="186" spans="1:13" s="5" customFormat="1" outlineLevel="2">
      <c r="A186" s="39" t="s">
        <v>108</v>
      </c>
      <c r="B186" s="40" t="s">
        <v>104</v>
      </c>
      <c r="C186" s="41" t="s">
        <v>115</v>
      </c>
      <c r="D186" s="40" t="s">
        <v>116</v>
      </c>
      <c r="E186" s="24">
        <v>7300000</v>
      </c>
      <c r="F186" s="39">
        <v>44224</v>
      </c>
      <c r="G186" s="24">
        <v>7300000</v>
      </c>
      <c r="H186" s="23">
        <v>5.0000000000000001E-3</v>
      </c>
      <c r="I186" s="39">
        <v>44378</v>
      </c>
      <c r="J186" s="39">
        <v>44408</v>
      </c>
      <c r="K186" s="24">
        <v>31</v>
      </c>
      <c r="L186" s="24">
        <v>3100</v>
      </c>
      <c r="M186" s="24">
        <v>7300000</v>
      </c>
    </row>
    <row r="187" spans="1:13" s="5" customFormat="1" outlineLevel="2">
      <c r="A187" s="39" t="s">
        <v>108</v>
      </c>
      <c r="B187" s="40" t="s">
        <v>105</v>
      </c>
      <c r="C187" s="41" t="s">
        <v>115</v>
      </c>
      <c r="D187" s="40" t="s">
        <v>116</v>
      </c>
      <c r="E187" s="24">
        <v>15000000</v>
      </c>
      <c r="F187" s="39">
        <v>44224</v>
      </c>
      <c r="G187" s="24">
        <v>15000000</v>
      </c>
      <c r="H187" s="23">
        <v>5.0000000000000001E-3</v>
      </c>
      <c r="I187" s="39">
        <v>44378</v>
      </c>
      <c r="J187" s="39">
        <v>44408</v>
      </c>
      <c r="K187" s="24">
        <v>31</v>
      </c>
      <c r="L187" s="24">
        <v>6370</v>
      </c>
      <c r="M187" s="24">
        <v>15000000</v>
      </c>
    </row>
    <row r="188" spans="1:13" s="5" customFormat="1" outlineLevel="2">
      <c r="A188" s="39" t="s">
        <v>108</v>
      </c>
      <c r="B188" s="40" t="s">
        <v>106</v>
      </c>
      <c r="C188" s="41" t="s">
        <v>113</v>
      </c>
      <c r="D188" s="40" t="s">
        <v>114</v>
      </c>
      <c r="E188" s="24">
        <v>23200000</v>
      </c>
      <c r="F188" s="39">
        <v>44229</v>
      </c>
      <c r="G188" s="24">
        <v>22173455</v>
      </c>
      <c r="H188" s="23">
        <v>5.0000000000000001E-3</v>
      </c>
      <c r="I188" s="39">
        <v>44378</v>
      </c>
      <c r="J188" s="39">
        <v>44391</v>
      </c>
      <c r="K188" s="24">
        <v>14</v>
      </c>
      <c r="L188" s="24">
        <v>4252</v>
      </c>
      <c r="M188" s="24">
        <v>21968146</v>
      </c>
    </row>
    <row r="189" spans="1:13" s="5" customFormat="1" outlineLevel="2">
      <c r="A189" s="39" t="s">
        <v>108</v>
      </c>
      <c r="B189" s="40" t="s">
        <v>106</v>
      </c>
      <c r="C189" s="41" t="s">
        <v>113</v>
      </c>
      <c r="D189" s="40"/>
      <c r="E189" s="24"/>
      <c r="F189" s="39"/>
      <c r="G189" s="24">
        <v>21968146</v>
      </c>
      <c r="H189" s="23">
        <v>5.0000000000000001E-3</v>
      </c>
      <c r="I189" s="39">
        <v>44392</v>
      </c>
      <c r="J189" s="39">
        <v>44408</v>
      </c>
      <c r="K189" s="24">
        <v>17</v>
      </c>
      <c r="L189" s="24">
        <v>5116</v>
      </c>
      <c r="M189" s="24"/>
    </row>
    <row r="190" spans="1:13" s="5" customFormat="1" outlineLevel="2">
      <c r="A190" s="39" t="s">
        <v>108</v>
      </c>
      <c r="B190" s="40" t="s">
        <v>59</v>
      </c>
      <c r="C190" s="41" t="s">
        <v>117</v>
      </c>
      <c r="D190" s="40" t="s">
        <v>118</v>
      </c>
      <c r="E190" s="24">
        <v>24000000</v>
      </c>
      <c r="F190" s="39">
        <v>43937</v>
      </c>
      <c r="G190" s="24">
        <v>21200000</v>
      </c>
      <c r="H190" s="23">
        <v>5.0000000000000001E-3</v>
      </c>
      <c r="I190" s="39">
        <v>44378</v>
      </c>
      <c r="J190" s="39">
        <v>44391</v>
      </c>
      <c r="K190" s="24">
        <v>14</v>
      </c>
      <c r="L190" s="24">
        <v>4066</v>
      </c>
      <c r="M190" s="24">
        <v>21000000</v>
      </c>
    </row>
    <row r="191" spans="1:13" s="5" customFormat="1" outlineLevel="2">
      <c r="A191" s="39" t="s">
        <v>108</v>
      </c>
      <c r="B191" s="40" t="s">
        <v>59</v>
      </c>
      <c r="C191" s="41" t="s">
        <v>117</v>
      </c>
      <c r="D191" s="40"/>
      <c r="E191" s="24"/>
      <c r="F191" s="39"/>
      <c r="G191" s="24">
        <v>21000000</v>
      </c>
      <c r="H191" s="23">
        <v>5.0000000000000001E-3</v>
      </c>
      <c r="I191" s="39">
        <v>44392</v>
      </c>
      <c r="J191" s="39">
        <v>44408</v>
      </c>
      <c r="K191" s="24">
        <v>17</v>
      </c>
      <c r="L191" s="24">
        <v>4890</v>
      </c>
      <c r="M191" s="24"/>
    </row>
    <row r="192" spans="1:13" s="5" customFormat="1" outlineLevel="2">
      <c r="A192" s="39" t="s">
        <v>108</v>
      </c>
      <c r="B192" s="40" t="s">
        <v>136</v>
      </c>
      <c r="C192" s="41" t="s">
        <v>111</v>
      </c>
      <c r="D192" s="40" t="s">
        <v>112</v>
      </c>
      <c r="E192" s="24">
        <v>3410000</v>
      </c>
      <c r="F192" s="39">
        <v>44270</v>
      </c>
      <c r="G192" s="24">
        <v>3410000</v>
      </c>
      <c r="H192" s="23">
        <v>5.0000000000000001E-3</v>
      </c>
      <c r="I192" s="39">
        <v>44378</v>
      </c>
      <c r="J192" s="39">
        <v>44408</v>
      </c>
      <c r="K192" s="24">
        <v>31</v>
      </c>
      <c r="L192" s="24">
        <v>1448</v>
      </c>
      <c r="M192" s="24">
        <v>3410000</v>
      </c>
    </row>
    <row r="193" spans="1:13" s="5" customFormat="1" outlineLevel="2">
      <c r="A193" s="39" t="s">
        <v>108</v>
      </c>
      <c r="B193" s="40" t="s">
        <v>137</v>
      </c>
      <c r="C193" s="41" t="s">
        <v>117</v>
      </c>
      <c r="D193" s="40" t="s">
        <v>118</v>
      </c>
      <c r="E193" s="24">
        <v>10000000</v>
      </c>
      <c r="F193" s="39">
        <v>44277</v>
      </c>
      <c r="G193" s="24">
        <v>9724771</v>
      </c>
      <c r="H193" s="23">
        <v>5.0000000000000001E-3</v>
      </c>
      <c r="I193" s="39">
        <v>44378</v>
      </c>
      <c r="J193" s="39">
        <v>44391</v>
      </c>
      <c r="K193" s="24">
        <v>14</v>
      </c>
      <c r="L193" s="24">
        <v>1865</v>
      </c>
      <c r="M193" s="24">
        <v>9633028</v>
      </c>
    </row>
    <row r="194" spans="1:13" s="5" customFormat="1" outlineLevel="2">
      <c r="A194" s="39" t="s">
        <v>108</v>
      </c>
      <c r="B194" s="40" t="s">
        <v>137</v>
      </c>
      <c r="C194" s="41" t="s">
        <v>117</v>
      </c>
      <c r="D194" s="40"/>
      <c r="E194" s="24"/>
      <c r="F194" s="39"/>
      <c r="G194" s="24">
        <v>9633028</v>
      </c>
      <c r="H194" s="23">
        <v>5.0000000000000001E-3</v>
      </c>
      <c r="I194" s="39">
        <v>44392</v>
      </c>
      <c r="J194" s="39">
        <v>44408</v>
      </c>
      <c r="K194" s="24">
        <v>17</v>
      </c>
      <c r="L194" s="24">
        <v>2243</v>
      </c>
      <c r="M194" s="24"/>
    </row>
    <row r="195" spans="1:13" s="5" customFormat="1" outlineLevel="2">
      <c r="A195" s="39" t="s">
        <v>108</v>
      </c>
      <c r="B195" s="40" t="s">
        <v>138</v>
      </c>
      <c r="C195" s="41" t="s">
        <v>123</v>
      </c>
      <c r="D195" s="40" t="s">
        <v>124</v>
      </c>
      <c r="E195" s="24">
        <v>51000000</v>
      </c>
      <c r="F195" s="39">
        <v>44294</v>
      </c>
      <c r="G195" s="24">
        <v>51000000</v>
      </c>
      <c r="H195" s="23">
        <v>5.0000000000000001E-3</v>
      </c>
      <c r="I195" s="39">
        <v>44378</v>
      </c>
      <c r="J195" s="39">
        <v>44408</v>
      </c>
      <c r="K195" s="24">
        <v>31</v>
      </c>
      <c r="L195" s="24">
        <v>21658</v>
      </c>
      <c r="M195" s="24">
        <v>51000000</v>
      </c>
    </row>
    <row r="196" spans="1:13" s="5" customFormat="1" outlineLevel="2">
      <c r="A196" s="39" t="s">
        <v>108</v>
      </c>
      <c r="B196" s="40" t="s">
        <v>139</v>
      </c>
      <c r="C196" s="41" t="s">
        <v>115</v>
      </c>
      <c r="D196" s="40" t="s">
        <v>116</v>
      </c>
      <c r="E196" s="24">
        <v>12000000</v>
      </c>
      <c r="F196" s="39">
        <v>44321</v>
      </c>
      <c r="G196" s="24">
        <v>12000000</v>
      </c>
      <c r="H196" s="23">
        <v>5.0000000000000001E-3</v>
      </c>
      <c r="I196" s="39">
        <v>44378</v>
      </c>
      <c r="J196" s="39">
        <v>44408</v>
      </c>
      <c r="K196" s="24">
        <v>31</v>
      </c>
      <c r="L196" s="24">
        <v>5096</v>
      </c>
      <c r="M196" s="24">
        <v>12000000</v>
      </c>
    </row>
    <row r="197" spans="1:13" s="5" customFormat="1" outlineLevel="2">
      <c r="A197" s="39" t="s">
        <v>108</v>
      </c>
      <c r="B197" s="40" t="s">
        <v>140</v>
      </c>
      <c r="C197" s="41" t="s">
        <v>115</v>
      </c>
      <c r="D197" s="40" t="s">
        <v>116</v>
      </c>
      <c r="E197" s="24">
        <v>21000000</v>
      </c>
      <c r="F197" s="39">
        <v>44330</v>
      </c>
      <c r="G197" s="24">
        <v>21000000</v>
      </c>
      <c r="H197" s="23">
        <v>5.0000000000000001E-3</v>
      </c>
      <c r="I197" s="39">
        <v>44378</v>
      </c>
      <c r="J197" s="39">
        <v>44408</v>
      </c>
      <c r="K197" s="24">
        <v>31</v>
      </c>
      <c r="L197" s="24">
        <v>8918</v>
      </c>
      <c r="M197" s="24">
        <v>21000000</v>
      </c>
    </row>
    <row r="198" spans="1:13" s="5" customFormat="1" outlineLevel="2">
      <c r="A198" s="39" t="s">
        <v>108</v>
      </c>
      <c r="B198" s="40" t="s">
        <v>169</v>
      </c>
      <c r="C198" s="41" t="s">
        <v>79</v>
      </c>
      <c r="D198" s="40" t="s">
        <v>80</v>
      </c>
      <c r="E198" s="24">
        <v>39150000</v>
      </c>
      <c r="F198" s="39">
        <v>44336</v>
      </c>
      <c r="G198" s="24">
        <v>39150000</v>
      </c>
      <c r="H198" s="23">
        <v>5.0000000000000001E-3</v>
      </c>
      <c r="I198" s="39">
        <v>44378</v>
      </c>
      <c r="J198" s="39">
        <v>44408</v>
      </c>
      <c r="K198" s="24">
        <v>31</v>
      </c>
      <c r="L198" s="24">
        <v>16625</v>
      </c>
      <c r="M198" s="24">
        <v>39150000</v>
      </c>
    </row>
    <row r="199" spans="1:13" s="5" customFormat="1" outlineLevel="2">
      <c r="A199" s="39" t="s">
        <v>108</v>
      </c>
      <c r="B199" s="40" t="s">
        <v>170</v>
      </c>
      <c r="C199" s="41" t="s">
        <v>123</v>
      </c>
      <c r="D199" s="40" t="s">
        <v>124</v>
      </c>
      <c r="E199" s="24">
        <v>92500000</v>
      </c>
      <c r="F199" s="39">
        <v>44341</v>
      </c>
      <c r="G199" s="24">
        <v>92500000</v>
      </c>
      <c r="H199" s="23">
        <v>5.0000000000000001E-3</v>
      </c>
      <c r="I199" s="39">
        <v>44378</v>
      </c>
      <c r="J199" s="39">
        <v>44408</v>
      </c>
      <c r="K199" s="24">
        <v>31</v>
      </c>
      <c r="L199" s="24">
        <v>39281</v>
      </c>
      <c r="M199" s="24">
        <v>92500000</v>
      </c>
    </row>
    <row r="200" spans="1:13" s="5" customFormat="1" outlineLevel="2">
      <c r="A200" s="39" t="s">
        <v>108</v>
      </c>
      <c r="B200" s="40" t="s">
        <v>171</v>
      </c>
      <c r="C200" s="41" t="s">
        <v>123</v>
      </c>
      <c r="D200" s="40" t="s">
        <v>124</v>
      </c>
      <c r="E200" s="24">
        <v>33500000</v>
      </c>
      <c r="F200" s="39">
        <v>44354</v>
      </c>
      <c r="G200" s="24">
        <v>33500000</v>
      </c>
      <c r="H200" s="23">
        <v>5.0000000000000001E-3</v>
      </c>
      <c r="I200" s="39">
        <v>44378</v>
      </c>
      <c r="J200" s="39">
        <v>44408</v>
      </c>
      <c r="K200" s="24">
        <v>31</v>
      </c>
      <c r="L200" s="24">
        <v>14226</v>
      </c>
      <c r="M200" s="24">
        <v>33500000</v>
      </c>
    </row>
    <row r="201" spans="1:13" s="5" customFormat="1" outlineLevel="2">
      <c r="A201" s="39" t="s">
        <v>108</v>
      </c>
      <c r="B201" s="40" t="s">
        <v>172</v>
      </c>
      <c r="C201" s="41" t="s">
        <v>111</v>
      </c>
      <c r="D201" s="40" t="s">
        <v>112</v>
      </c>
      <c r="E201" s="24">
        <v>810000</v>
      </c>
      <c r="F201" s="39">
        <v>44362</v>
      </c>
      <c r="G201" s="24">
        <v>810000</v>
      </c>
      <c r="H201" s="23">
        <v>5.0000000000000001E-3</v>
      </c>
      <c r="I201" s="39">
        <v>44378</v>
      </c>
      <c r="J201" s="39">
        <v>44408</v>
      </c>
      <c r="K201" s="24">
        <v>31</v>
      </c>
      <c r="L201" s="24">
        <v>344</v>
      </c>
      <c r="M201" s="24">
        <v>810000</v>
      </c>
    </row>
    <row r="202" spans="1:13" s="5" customFormat="1" outlineLevel="2">
      <c r="A202" s="39" t="s">
        <v>108</v>
      </c>
      <c r="B202" s="40" t="s">
        <v>173</v>
      </c>
      <c r="C202" s="41" t="s">
        <v>111</v>
      </c>
      <c r="D202" s="40" t="s">
        <v>112</v>
      </c>
      <c r="E202" s="24">
        <v>3800000</v>
      </c>
      <c r="F202" s="39">
        <v>44362</v>
      </c>
      <c r="G202" s="24">
        <v>3800000</v>
      </c>
      <c r="H202" s="23">
        <v>5.0000000000000001E-3</v>
      </c>
      <c r="I202" s="39">
        <v>44378</v>
      </c>
      <c r="J202" s="39">
        <v>44408</v>
      </c>
      <c r="K202" s="24">
        <v>31</v>
      </c>
      <c r="L202" s="24">
        <v>1614</v>
      </c>
      <c r="M202" s="24">
        <v>3800000</v>
      </c>
    </row>
    <row r="203" spans="1:13" s="5" customFormat="1" outlineLevel="2">
      <c r="A203" s="39" t="s">
        <v>108</v>
      </c>
      <c r="B203" s="40" t="s">
        <v>62</v>
      </c>
      <c r="C203" s="41" t="s">
        <v>113</v>
      </c>
      <c r="D203" s="40" t="s">
        <v>114</v>
      </c>
      <c r="E203" s="24">
        <v>28240000</v>
      </c>
      <c r="F203" s="39">
        <v>43951</v>
      </c>
      <c r="G203" s="24">
        <v>23533340</v>
      </c>
      <c r="H203" s="23">
        <v>5.0000000000000001E-3</v>
      </c>
      <c r="I203" s="39">
        <v>44378</v>
      </c>
      <c r="J203" s="39">
        <v>44391</v>
      </c>
      <c r="K203" s="24">
        <v>14</v>
      </c>
      <c r="L203" s="24">
        <v>4513</v>
      </c>
      <c r="M203" s="24">
        <v>23197150</v>
      </c>
    </row>
    <row r="204" spans="1:13" s="5" customFormat="1" outlineLevel="2">
      <c r="A204" s="39" t="s">
        <v>108</v>
      </c>
      <c r="B204" s="40" t="s">
        <v>62</v>
      </c>
      <c r="C204" s="41" t="s">
        <v>113</v>
      </c>
      <c r="D204" s="40"/>
      <c r="E204" s="24"/>
      <c r="F204" s="39"/>
      <c r="G204" s="24">
        <v>23197150</v>
      </c>
      <c r="H204" s="23">
        <v>5.0000000000000001E-3</v>
      </c>
      <c r="I204" s="39">
        <v>44392</v>
      </c>
      <c r="J204" s="39">
        <v>44408</v>
      </c>
      <c r="K204" s="24">
        <v>17</v>
      </c>
      <c r="L204" s="24">
        <v>5402</v>
      </c>
      <c r="M204" s="24"/>
    </row>
    <row r="205" spans="1:13" s="5" customFormat="1" outlineLevel="2">
      <c r="A205" s="39" t="s">
        <v>108</v>
      </c>
      <c r="B205" s="40" t="s">
        <v>174</v>
      </c>
      <c r="C205" s="41" t="s">
        <v>117</v>
      </c>
      <c r="D205" s="40" t="s">
        <v>118</v>
      </c>
      <c r="E205" s="24">
        <v>10000000</v>
      </c>
      <c r="F205" s="39">
        <v>44372</v>
      </c>
      <c r="G205" s="24">
        <v>10000000</v>
      </c>
      <c r="H205" s="23">
        <v>5.0000000000000001E-3</v>
      </c>
      <c r="I205" s="39">
        <v>44378</v>
      </c>
      <c r="J205" s="39">
        <v>44391</v>
      </c>
      <c r="K205" s="24">
        <v>14</v>
      </c>
      <c r="L205" s="24">
        <v>1918</v>
      </c>
      <c r="M205" s="24">
        <v>9905661</v>
      </c>
    </row>
    <row r="206" spans="1:13" s="5" customFormat="1" outlineLevel="2">
      <c r="A206" s="39" t="s">
        <v>108</v>
      </c>
      <c r="B206" s="40" t="s">
        <v>174</v>
      </c>
      <c r="C206" s="41" t="s">
        <v>117</v>
      </c>
      <c r="D206" s="40"/>
      <c r="E206" s="24"/>
      <c r="F206" s="39"/>
      <c r="G206" s="24">
        <v>9905661</v>
      </c>
      <c r="H206" s="23">
        <v>5.0000000000000001E-3</v>
      </c>
      <c r="I206" s="39">
        <v>44392</v>
      </c>
      <c r="J206" s="39">
        <v>44408</v>
      </c>
      <c r="K206" s="24">
        <v>17</v>
      </c>
      <c r="L206" s="24">
        <v>2307</v>
      </c>
      <c r="M206" s="24"/>
    </row>
    <row r="207" spans="1:13" s="5" customFormat="1" outlineLevel="2">
      <c r="A207" s="39" t="s">
        <v>108</v>
      </c>
      <c r="B207" s="40" t="s">
        <v>175</v>
      </c>
      <c r="C207" s="41" t="s">
        <v>123</v>
      </c>
      <c r="D207" s="40" t="s">
        <v>124</v>
      </c>
      <c r="E207" s="24">
        <v>41700000</v>
      </c>
      <c r="F207" s="39">
        <v>44379</v>
      </c>
      <c r="G207" s="24">
        <v>41700000</v>
      </c>
      <c r="H207" s="23">
        <v>5.0000000000000001E-3</v>
      </c>
      <c r="I207" s="39">
        <v>44379</v>
      </c>
      <c r="J207" s="39">
        <v>44408</v>
      </c>
      <c r="K207" s="24">
        <v>30</v>
      </c>
      <c r="L207" s="24">
        <v>17137</v>
      </c>
      <c r="M207" s="24">
        <v>41700000</v>
      </c>
    </row>
    <row r="208" spans="1:13" s="5" customFormat="1" outlineLevel="2">
      <c r="A208" s="39" t="s">
        <v>108</v>
      </c>
      <c r="B208" s="40" t="s">
        <v>176</v>
      </c>
      <c r="C208" s="41" t="s">
        <v>113</v>
      </c>
      <c r="D208" s="40" t="s">
        <v>114</v>
      </c>
      <c r="E208" s="24">
        <v>23200000</v>
      </c>
      <c r="F208" s="39">
        <v>44392</v>
      </c>
      <c r="G208" s="24">
        <v>23200000</v>
      </c>
      <c r="H208" s="23">
        <v>5.0000000000000001E-3</v>
      </c>
      <c r="I208" s="39">
        <v>44392</v>
      </c>
      <c r="J208" s="39">
        <v>44408</v>
      </c>
      <c r="K208" s="24">
        <v>17</v>
      </c>
      <c r="L208" s="24">
        <v>5403</v>
      </c>
      <c r="M208" s="24">
        <v>23200000</v>
      </c>
    </row>
    <row r="209" spans="1:13" s="5" customFormat="1" outlineLevel="2">
      <c r="A209" s="39" t="s">
        <v>108</v>
      </c>
      <c r="B209" s="40" t="s">
        <v>63</v>
      </c>
      <c r="C209" s="41" t="s">
        <v>111</v>
      </c>
      <c r="D209" s="40" t="s">
        <v>112</v>
      </c>
      <c r="E209" s="24">
        <v>8000000</v>
      </c>
      <c r="F209" s="39">
        <v>43957</v>
      </c>
      <c r="G209" s="24">
        <v>6133338</v>
      </c>
      <c r="H209" s="23">
        <v>5.0000000000000001E-3</v>
      </c>
      <c r="I209" s="39">
        <v>44378</v>
      </c>
      <c r="J209" s="39">
        <v>44391</v>
      </c>
      <c r="K209" s="24">
        <v>14</v>
      </c>
      <c r="L209" s="24">
        <v>1176</v>
      </c>
      <c r="M209" s="24">
        <v>6000005</v>
      </c>
    </row>
    <row r="210" spans="1:13" s="5" customFormat="1" outlineLevel="2">
      <c r="A210" s="39" t="s">
        <v>108</v>
      </c>
      <c r="B210" s="40" t="s">
        <v>63</v>
      </c>
      <c r="C210" s="41" t="s">
        <v>111</v>
      </c>
      <c r="D210" s="40"/>
      <c r="E210" s="24"/>
      <c r="F210" s="39"/>
      <c r="G210" s="24">
        <v>6000005</v>
      </c>
      <c r="H210" s="23">
        <v>5.0000000000000001E-3</v>
      </c>
      <c r="I210" s="39">
        <v>44392</v>
      </c>
      <c r="J210" s="39">
        <v>44408</v>
      </c>
      <c r="K210" s="24">
        <v>17</v>
      </c>
      <c r="L210" s="24">
        <v>1397</v>
      </c>
      <c r="M210" s="24"/>
    </row>
    <row r="211" spans="1:13" s="5" customFormat="1" outlineLevel="2">
      <c r="A211" s="39" t="s">
        <v>108</v>
      </c>
      <c r="B211" s="40" t="s">
        <v>64</v>
      </c>
      <c r="C211" s="41" t="s">
        <v>111</v>
      </c>
      <c r="D211" s="40" t="s">
        <v>112</v>
      </c>
      <c r="E211" s="24">
        <v>5910000</v>
      </c>
      <c r="F211" s="39">
        <v>43966</v>
      </c>
      <c r="G211" s="24">
        <v>5910000</v>
      </c>
      <c r="H211" s="23">
        <v>5.0000000000000001E-3</v>
      </c>
      <c r="I211" s="39">
        <v>44378</v>
      </c>
      <c r="J211" s="39">
        <v>44408</v>
      </c>
      <c r="K211" s="24">
        <v>31</v>
      </c>
      <c r="L211" s="24">
        <v>2510</v>
      </c>
      <c r="M211" s="24">
        <v>5910000</v>
      </c>
    </row>
    <row r="212" spans="1:13" s="5" customFormat="1" outlineLevel="2">
      <c r="A212" s="39" t="s">
        <v>108</v>
      </c>
      <c r="B212" s="40" t="s">
        <v>65</v>
      </c>
      <c r="C212" s="41" t="s">
        <v>113</v>
      </c>
      <c r="D212" s="40" t="s">
        <v>114</v>
      </c>
      <c r="E212" s="24">
        <v>20510000</v>
      </c>
      <c r="F212" s="39">
        <v>43966</v>
      </c>
      <c r="G212" s="24">
        <v>17297596</v>
      </c>
      <c r="H212" s="23">
        <v>5.0000000000000001E-3</v>
      </c>
      <c r="I212" s="39">
        <v>44378</v>
      </c>
      <c r="J212" s="39">
        <v>44391</v>
      </c>
      <c r="K212" s="24">
        <v>14</v>
      </c>
      <c r="L212" s="24">
        <v>3317</v>
      </c>
      <c r="M212" s="24">
        <v>17050488</v>
      </c>
    </row>
    <row r="213" spans="1:13" s="5" customFormat="1" outlineLevel="2">
      <c r="A213" s="39" t="s">
        <v>108</v>
      </c>
      <c r="B213" s="40" t="s">
        <v>65</v>
      </c>
      <c r="C213" s="41" t="s">
        <v>113</v>
      </c>
      <c r="D213" s="40"/>
      <c r="E213" s="24"/>
      <c r="F213" s="39"/>
      <c r="G213" s="24">
        <v>17050488</v>
      </c>
      <c r="H213" s="23">
        <v>5.0000000000000001E-3</v>
      </c>
      <c r="I213" s="39">
        <v>44392</v>
      </c>
      <c r="J213" s="39">
        <v>44408</v>
      </c>
      <c r="K213" s="24">
        <v>17</v>
      </c>
      <c r="L213" s="24">
        <v>3971</v>
      </c>
      <c r="M213" s="24"/>
    </row>
    <row r="214" spans="1:13" s="5" customFormat="1" outlineLevel="2">
      <c r="A214" s="39" t="s">
        <v>108</v>
      </c>
      <c r="B214" s="40" t="s">
        <v>68</v>
      </c>
      <c r="C214" s="41" t="s">
        <v>109</v>
      </c>
      <c r="D214" s="40" t="s">
        <v>110</v>
      </c>
      <c r="E214" s="24">
        <v>33960000</v>
      </c>
      <c r="F214" s="39">
        <v>43978</v>
      </c>
      <c r="G214" s="24">
        <v>33960000</v>
      </c>
      <c r="H214" s="23">
        <v>5.0000000000000001E-3</v>
      </c>
      <c r="I214" s="39">
        <v>44378</v>
      </c>
      <c r="J214" s="39">
        <v>44408</v>
      </c>
      <c r="K214" s="24">
        <v>31</v>
      </c>
      <c r="L214" s="24">
        <v>14421</v>
      </c>
      <c r="M214" s="24">
        <v>33960000</v>
      </c>
    </row>
    <row r="215" spans="1:13" s="5" customFormat="1" outlineLevel="1">
      <c r="A215" s="42" t="s">
        <v>119</v>
      </c>
      <c r="B215" s="43"/>
      <c r="C215" s="44"/>
      <c r="D215" s="43"/>
      <c r="E215" s="45">
        <v>1034425386</v>
      </c>
      <c r="F215" s="46"/>
      <c r="G215" s="45"/>
      <c r="H215" s="47"/>
      <c r="I215" s="46"/>
      <c r="J215" s="46"/>
      <c r="K215" s="45"/>
      <c r="L215" s="45">
        <v>416329</v>
      </c>
      <c r="M215" s="45">
        <v>990326376</v>
      </c>
    </row>
    <row r="216" spans="1:13" s="5" customFormat="1" outlineLevel="2">
      <c r="A216" s="39" t="s">
        <v>120</v>
      </c>
      <c r="B216" s="40" t="s">
        <v>16</v>
      </c>
      <c r="C216" s="41" t="s">
        <v>121</v>
      </c>
      <c r="D216" s="40" t="s">
        <v>122</v>
      </c>
      <c r="E216" s="24">
        <v>69000000</v>
      </c>
      <c r="F216" s="39">
        <v>43822</v>
      </c>
      <c r="G216" s="24">
        <v>69000000</v>
      </c>
      <c r="H216" s="23">
        <v>5.0000000000000001E-3</v>
      </c>
      <c r="I216" s="39">
        <v>44378</v>
      </c>
      <c r="J216" s="39">
        <v>44408</v>
      </c>
      <c r="K216" s="24">
        <v>31</v>
      </c>
      <c r="L216" s="24">
        <v>29301</v>
      </c>
      <c r="M216" s="24">
        <v>69000000</v>
      </c>
    </row>
    <row r="217" spans="1:13" s="5" customFormat="1" outlineLevel="2">
      <c r="A217" s="39" t="s">
        <v>120</v>
      </c>
      <c r="B217" s="40" t="s">
        <v>19</v>
      </c>
      <c r="C217" s="41" t="s">
        <v>37</v>
      </c>
      <c r="D217" s="40" t="s">
        <v>38</v>
      </c>
      <c r="E217" s="24">
        <v>247700000</v>
      </c>
      <c r="F217" s="39">
        <v>43985</v>
      </c>
      <c r="G217" s="24">
        <v>247700000</v>
      </c>
      <c r="H217" s="23">
        <v>5.0000000000000001E-3</v>
      </c>
      <c r="I217" s="39">
        <v>44378</v>
      </c>
      <c r="J217" s="39">
        <v>44408</v>
      </c>
      <c r="K217" s="24">
        <v>31</v>
      </c>
      <c r="L217" s="24">
        <v>105188</v>
      </c>
      <c r="M217" s="24">
        <v>247700000</v>
      </c>
    </row>
    <row r="218" spans="1:13" s="5" customFormat="1" outlineLevel="2">
      <c r="A218" s="39" t="s">
        <v>120</v>
      </c>
      <c r="B218" s="40" t="s">
        <v>22</v>
      </c>
      <c r="C218" s="41" t="s">
        <v>123</v>
      </c>
      <c r="D218" s="40" t="s">
        <v>124</v>
      </c>
      <c r="E218" s="24">
        <v>18612000</v>
      </c>
      <c r="F218" s="39">
        <v>43997</v>
      </c>
      <c r="G218" s="24">
        <v>3722400</v>
      </c>
      <c r="H218" s="23">
        <v>5.0000000000000001E-3</v>
      </c>
      <c r="I218" s="39">
        <v>44378</v>
      </c>
      <c r="J218" s="39">
        <v>44408</v>
      </c>
      <c r="K218" s="24">
        <v>31</v>
      </c>
      <c r="L218" s="24">
        <v>1581</v>
      </c>
      <c r="M218" s="24">
        <v>3722400</v>
      </c>
    </row>
    <row r="219" spans="1:13" s="5" customFormat="1" outlineLevel="2">
      <c r="A219" s="39" t="s">
        <v>120</v>
      </c>
      <c r="B219" s="40" t="s">
        <v>25</v>
      </c>
      <c r="C219" s="41" t="s">
        <v>20</v>
      </c>
      <c r="D219" s="40" t="s">
        <v>21</v>
      </c>
      <c r="E219" s="24">
        <v>624000000</v>
      </c>
      <c r="F219" s="39">
        <v>44014</v>
      </c>
      <c r="G219" s="24">
        <v>624000000</v>
      </c>
      <c r="H219" s="23">
        <v>5.0000000000000001E-3</v>
      </c>
      <c r="I219" s="39">
        <v>44378</v>
      </c>
      <c r="J219" s="39">
        <v>44408</v>
      </c>
      <c r="K219" s="24">
        <v>31</v>
      </c>
      <c r="L219" s="24">
        <v>264986</v>
      </c>
      <c r="M219" s="24">
        <v>624000000</v>
      </c>
    </row>
    <row r="220" spans="1:13" s="5" customFormat="1" outlineLevel="2">
      <c r="A220" s="39" t="s">
        <v>120</v>
      </c>
      <c r="B220" s="40" t="s">
        <v>26</v>
      </c>
      <c r="C220" s="41" t="s">
        <v>20</v>
      </c>
      <c r="D220" s="40" t="s">
        <v>21</v>
      </c>
      <c r="E220" s="24">
        <v>82000000</v>
      </c>
      <c r="F220" s="39">
        <v>44042</v>
      </c>
      <c r="G220" s="24">
        <v>82000000</v>
      </c>
      <c r="H220" s="23">
        <v>5.0000000000000001E-3</v>
      </c>
      <c r="I220" s="39">
        <v>44378</v>
      </c>
      <c r="J220" s="39">
        <v>44408</v>
      </c>
      <c r="K220" s="24">
        <v>31</v>
      </c>
      <c r="L220" s="24">
        <v>34822</v>
      </c>
      <c r="M220" s="24">
        <v>82000000</v>
      </c>
    </row>
    <row r="221" spans="1:13" s="5" customFormat="1" outlineLevel="2">
      <c r="A221" s="39" t="s">
        <v>120</v>
      </c>
      <c r="B221" s="40" t="s">
        <v>29</v>
      </c>
      <c r="C221" s="41" t="s">
        <v>20</v>
      </c>
      <c r="D221" s="40" t="s">
        <v>21</v>
      </c>
      <c r="E221" s="24">
        <v>406400000</v>
      </c>
      <c r="F221" s="39">
        <v>44042</v>
      </c>
      <c r="G221" s="24">
        <v>406400000</v>
      </c>
      <c r="H221" s="23">
        <v>3.0000000000000001E-3</v>
      </c>
      <c r="I221" s="39">
        <v>44378</v>
      </c>
      <c r="J221" s="39">
        <v>44408</v>
      </c>
      <c r="K221" s="24">
        <v>31</v>
      </c>
      <c r="L221" s="24">
        <v>103548</v>
      </c>
      <c r="M221" s="24">
        <v>406400000</v>
      </c>
    </row>
    <row r="222" spans="1:13" s="5" customFormat="1" outlineLevel="2">
      <c r="A222" s="39" t="s">
        <v>120</v>
      </c>
      <c r="B222" s="40" t="s">
        <v>32</v>
      </c>
      <c r="C222" s="41" t="s">
        <v>20</v>
      </c>
      <c r="D222" s="40" t="s">
        <v>21</v>
      </c>
      <c r="E222" s="24">
        <v>51600000</v>
      </c>
      <c r="F222" s="39">
        <v>44042</v>
      </c>
      <c r="G222" s="24">
        <v>51600000</v>
      </c>
      <c r="H222" s="23">
        <v>3.0000000000000001E-3</v>
      </c>
      <c r="I222" s="39">
        <v>44378</v>
      </c>
      <c r="J222" s="39">
        <v>44408</v>
      </c>
      <c r="K222" s="24">
        <v>31</v>
      </c>
      <c r="L222" s="24">
        <v>13147</v>
      </c>
      <c r="M222" s="24">
        <v>51600000</v>
      </c>
    </row>
    <row r="223" spans="1:13" s="5" customFormat="1" outlineLevel="2">
      <c r="A223" s="39" t="s">
        <v>120</v>
      </c>
      <c r="B223" s="40" t="s">
        <v>33</v>
      </c>
      <c r="C223" s="41" t="s">
        <v>125</v>
      </c>
      <c r="D223" s="40" t="s">
        <v>126</v>
      </c>
      <c r="E223" s="24">
        <v>1850000</v>
      </c>
      <c r="F223" s="39">
        <v>44018</v>
      </c>
      <c r="G223" s="24">
        <v>1850000</v>
      </c>
      <c r="H223" s="23">
        <v>5.0000000000000001E-3</v>
      </c>
      <c r="I223" s="39">
        <v>44378</v>
      </c>
      <c r="J223" s="39">
        <v>44408</v>
      </c>
      <c r="K223" s="24">
        <v>31</v>
      </c>
      <c r="L223" s="24">
        <v>786</v>
      </c>
      <c r="M223" s="24">
        <v>1850000</v>
      </c>
    </row>
    <row r="224" spans="1:13" s="5" customFormat="1" outlineLevel="2">
      <c r="A224" s="39" t="s">
        <v>120</v>
      </c>
      <c r="B224" s="40" t="s">
        <v>34</v>
      </c>
      <c r="C224" s="41" t="s">
        <v>125</v>
      </c>
      <c r="D224" s="40" t="s">
        <v>126</v>
      </c>
      <c r="E224" s="24">
        <v>5400000</v>
      </c>
      <c r="F224" s="39">
        <v>44019</v>
      </c>
      <c r="G224" s="24">
        <v>5400000</v>
      </c>
      <c r="H224" s="23">
        <v>5.0000000000000001E-3</v>
      </c>
      <c r="I224" s="39">
        <v>44378</v>
      </c>
      <c r="J224" s="39">
        <v>44408</v>
      </c>
      <c r="K224" s="24">
        <v>31</v>
      </c>
      <c r="L224" s="24">
        <v>2293</v>
      </c>
      <c r="M224" s="24">
        <v>5400000</v>
      </c>
    </row>
    <row r="225" spans="1:13" s="5" customFormat="1" outlineLevel="2">
      <c r="A225" s="39" t="s">
        <v>120</v>
      </c>
      <c r="B225" s="40" t="s">
        <v>35</v>
      </c>
      <c r="C225" s="41" t="s">
        <v>125</v>
      </c>
      <c r="D225" s="40" t="s">
        <v>126</v>
      </c>
      <c r="E225" s="24">
        <v>2300000</v>
      </c>
      <c r="F225" s="39">
        <v>44027</v>
      </c>
      <c r="G225" s="24">
        <v>2300000</v>
      </c>
      <c r="H225" s="23">
        <v>5.0000000000000001E-3</v>
      </c>
      <c r="I225" s="39">
        <v>44378</v>
      </c>
      <c r="J225" s="39">
        <v>44408</v>
      </c>
      <c r="K225" s="24">
        <v>31</v>
      </c>
      <c r="L225" s="24">
        <v>977</v>
      </c>
      <c r="M225" s="24">
        <v>2300000</v>
      </c>
    </row>
    <row r="226" spans="1:13" s="5" customFormat="1" outlineLevel="2">
      <c r="A226" s="39" t="s">
        <v>120</v>
      </c>
      <c r="B226" s="40" t="s">
        <v>36</v>
      </c>
      <c r="C226" s="41" t="s">
        <v>125</v>
      </c>
      <c r="D226" s="40" t="s">
        <v>126</v>
      </c>
      <c r="E226" s="24">
        <v>16280000</v>
      </c>
      <c r="F226" s="39">
        <v>44041</v>
      </c>
      <c r="G226" s="24">
        <v>16280000</v>
      </c>
      <c r="H226" s="23">
        <v>5.0000000000000001E-3</v>
      </c>
      <c r="I226" s="39">
        <v>44378</v>
      </c>
      <c r="J226" s="39">
        <v>44408</v>
      </c>
      <c r="K226" s="24">
        <v>31</v>
      </c>
      <c r="L226" s="24">
        <v>6913</v>
      </c>
      <c r="M226" s="24">
        <v>16280000</v>
      </c>
    </row>
    <row r="227" spans="1:13" s="5" customFormat="1" outlineLevel="2">
      <c r="A227" s="39" t="s">
        <v>120</v>
      </c>
      <c r="B227" s="40" t="s">
        <v>39</v>
      </c>
      <c r="C227" s="41" t="s">
        <v>17</v>
      </c>
      <c r="D227" s="40" t="s">
        <v>18</v>
      </c>
      <c r="E227" s="24">
        <v>162300000</v>
      </c>
      <c r="F227" s="39">
        <v>43829</v>
      </c>
      <c r="G227" s="24">
        <v>113610000</v>
      </c>
      <c r="H227" s="23">
        <v>5.0000000000000001E-3</v>
      </c>
      <c r="I227" s="39">
        <v>44378</v>
      </c>
      <c r="J227" s="39">
        <v>44391</v>
      </c>
      <c r="K227" s="24">
        <v>14</v>
      </c>
      <c r="L227" s="24">
        <v>21788</v>
      </c>
      <c r="M227" s="24">
        <v>110905000</v>
      </c>
    </row>
    <row r="228" spans="1:13" s="5" customFormat="1" outlineLevel="2">
      <c r="A228" s="39" t="s">
        <v>120</v>
      </c>
      <c r="B228" s="40" t="s">
        <v>39</v>
      </c>
      <c r="C228" s="41" t="s">
        <v>17</v>
      </c>
      <c r="D228" s="40"/>
      <c r="E228" s="24"/>
      <c r="F228" s="39"/>
      <c r="G228" s="24">
        <v>110905000</v>
      </c>
      <c r="H228" s="23">
        <v>5.0000000000000001E-3</v>
      </c>
      <c r="I228" s="39">
        <v>44392</v>
      </c>
      <c r="J228" s="39">
        <v>44408</v>
      </c>
      <c r="K228" s="24">
        <v>17</v>
      </c>
      <c r="L228" s="24">
        <v>25827</v>
      </c>
      <c r="M228" s="24"/>
    </row>
    <row r="229" spans="1:13" s="5" customFormat="1" outlineLevel="2">
      <c r="A229" s="39" t="s">
        <v>120</v>
      </c>
      <c r="B229" s="40" t="s">
        <v>40</v>
      </c>
      <c r="C229" s="41" t="s">
        <v>71</v>
      </c>
      <c r="D229" s="40" t="s">
        <v>72</v>
      </c>
      <c r="E229" s="24">
        <v>30000000</v>
      </c>
      <c r="F229" s="39">
        <v>44020</v>
      </c>
      <c r="G229" s="24">
        <v>30000000</v>
      </c>
      <c r="H229" s="23">
        <v>5.0000000000000001E-3</v>
      </c>
      <c r="I229" s="39">
        <v>44378</v>
      </c>
      <c r="J229" s="39">
        <v>44408</v>
      </c>
      <c r="K229" s="24">
        <v>31</v>
      </c>
      <c r="L229" s="24">
        <v>12740</v>
      </c>
      <c r="M229" s="24">
        <v>30000000</v>
      </c>
    </row>
    <row r="230" spans="1:13" s="5" customFormat="1" outlineLevel="2">
      <c r="A230" s="39" t="s">
        <v>120</v>
      </c>
      <c r="B230" s="40" t="s">
        <v>41</v>
      </c>
      <c r="C230" s="41" t="s">
        <v>27</v>
      </c>
      <c r="D230" s="40" t="s">
        <v>28</v>
      </c>
      <c r="E230" s="24">
        <v>35100000</v>
      </c>
      <c r="F230" s="39">
        <v>44013</v>
      </c>
      <c r="G230" s="24">
        <v>35100000</v>
      </c>
      <c r="H230" s="23">
        <v>5.0000000000000001E-3</v>
      </c>
      <c r="I230" s="39">
        <v>44378</v>
      </c>
      <c r="J230" s="39">
        <v>44391</v>
      </c>
      <c r="K230" s="24">
        <v>14</v>
      </c>
      <c r="L230" s="24">
        <v>6732</v>
      </c>
      <c r="M230" s="24">
        <v>34368750</v>
      </c>
    </row>
    <row r="231" spans="1:13" s="5" customFormat="1" outlineLevel="2">
      <c r="A231" s="39" t="s">
        <v>120</v>
      </c>
      <c r="B231" s="40" t="s">
        <v>41</v>
      </c>
      <c r="C231" s="41" t="s">
        <v>27</v>
      </c>
      <c r="D231" s="40"/>
      <c r="E231" s="24"/>
      <c r="F231" s="39"/>
      <c r="G231" s="24">
        <v>34368750</v>
      </c>
      <c r="H231" s="23">
        <v>5.0000000000000001E-3</v>
      </c>
      <c r="I231" s="39">
        <v>44392</v>
      </c>
      <c r="J231" s="39">
        <v>44408</v>
      </c>
      <c r="K231" s="24">
        <v>17</v>
      </c>
      <c r="L231" s="24">
        <v>8004</v>
      </c>
      <c r="M231" s="24"/>
    </row>
    <row r="232" spans="1:13" s="5" customFormat="1" outlineLevel="2">
      <c r="A232" s="39" t="s">
        <v>120</v>
      </c>
      <c r="B232" s="40" t="s">
        <v>42</v>
      </c>
      <c r="C232" s="41" t="s">
        <v>27</v>
      </c>
      <c r="D232" s="40" t="s">
        <v>28</v>
      </c>
      <c r="E232" s="24">
        <v>14900000</v>
      </c>
      <c r="F232" s="39">
        <v>44021</v>
      </c>
      <c r="G232" s="24">
        <v>14900000</v>
      </c>
      <c r="H232" s="23">
        <v>5.0000000000000001E-3</v>
      </c>
      <c r="I232" s="39">
        <v>44378</v>
      </c>
      <c r="J232" s="39">
        <v>44391</v>
      </c>
      <c r="K232" s="24">
        <v>14</v>
      </c>
      <c r="L232" s="24">
        <v>2858</v>
      </c>
      <c r="M232" s="24">
        <v>14589584</v>
      </c>
    </row>
    <row r="233" spans="1:13" s="5" customFormat="1" outlineLevel="2">
      <c r="A233" s="39" t="s">
        <v>120</v>
      </c>
      <c r="B233" s="40" t="s">
        <v>42</v>
      </c>
      <c r="C233" s="41" t="s">
        <v>27</v>
      </c>
      <c r="D233" s="40"/>
      <c r="E233" s="24"/>
      <c r="F233" s="39"/>
      <c r="G233" s="24">
        <v>14589584</v>
      </c>
      <c r="H233" s="23">
        <v>5.0000000000000001E-3</v>
      </c>
      <c r="I233" s="39">
        <v>44392</v>
      </c>
      <c r="J233" s="39">
        <v>44408</v>
      </c>
      <c r="K233" s="24">
        <v>17</v>
      </c>
      <c r="L233" s="24">
        <v>3398</v>
      </c>
      <c r="M233" s="24"/>
    </row>
    <row r="234" spans="1:13" s="5" customFormat="1" outlineLevel="2">
      <c r="A234" s="39" t="s">
        <v>120</v>
      </c>
      <c r="B234" s="40" t="s">
        <v>43</v>
      </c>
      <c r="C234" s="41" t="s">
        <v>71</v>
      </c>
      <c r="D234" s="40" t="s">
        <v>72</v>
      </c>
      <c r="E234" s="24">
        <v>30000000</v>
      </c>
      <c r="F234" s="39">
        <v>44050</v>
      </c>
      <c r="G234" s="24">
        <v>30000000</v>
      </c>
      <c r="H234" s="23">
        <v>5.0000000000000001E-3</v>
      </c>
      <c r="I234" s="39">
        <v>44378</v>
      </c>
      <c r="J234" s="39">
        <v>44408</v>
      </c>
      <c r="K234" s="24">
        <v>31</v>
      </c>
      <c r="L234" s="24">
        <v>12740</v>
      </c>
      <c r="M234" s="24">
        <v>30000000</v>
      </c>
    </row>
    <row r="235" spans="1:13" s="5" customFormat="1" outlineLevel="2">
      <c r="A235" s="39" t="s">
        <v>120</v>
      </c>
      <c r="B235" s="40" t="s">
        <v>44</v>
      </c>
      <c r="C235" s="41" t="s">
        <v>83</v>
      </c>
      <c r="D235" s="40" t="s">
        <v>84</v>
      </c>
      <c r="E235" s="24">
        <v>72450000</v>
      </c>
      <c r="F235" s="39">
        <v>44064</v>
      </c>
      <c r="G235" s="24">
        <v>72450000</v>
      </c>
      <c r="H235" s="23">
        <v>5.0000000000000001E-3</v>
      </c>
      <c r="I235" s="39">
        <v>44378</v>
      </c>
      <c r="J235" s="39">
        <v>44408</v>
      </c>
      <c r="K235" s="24">
        <v>31</v>
      </c>
      <c r="L235" s="24">
        <v>30766</v>
      </c>
      <c r="M235" s="24">
        <v>72450000</v>
      </c>
    </row>
    <row r="236" spans="1:13" s="5" customFormat="1" outlineLevel="2">
      <c r="A236" s="39" t="s">
        <v>120</v>
      </c>
      <c r="B236" s="40" t="s">
        <v>47</v>
      </c>
      <c r="C236" s="41" t="s">
        <v>97</v>
      </c>
      <c r="D236" s="40" t="s">
        <v>98</v>
      </c>
      <c r="E236" s="24">
        <v>77500000</v>
      </c>
      <c r="F236" s="39">
        <v>44060</v>
      </c>
      <c r="G236" s="24">
        <v>77500000</v>
      </c>
      <c r="H236" s="23">
        <v>5.0000000000000001E-3</v>
      </c>
      <c r="I236" s="39">
        <v>44378</v>
      </c>
      <c r="J236" s="39">
        <v>44408</v>
      </c>
      <c r="K236" s="24">
        <v>31</v>
      </c>
      <c r="L236" s="24">
        <v>32911</v>
      </c>
      <c r="M236" s="24">
        <v>77500000</v>
      </c>
    </row>
    <row r="237" spans="1:13" s="5" customFormat="1" outlineLevel="2">
      <c r="A237" s="39" t="s">
        <v>120</v>
      </c>
      <c r="B237" s="40" t="s">
        <v>50</v>
      </c>
      <c r="C237" s="41" t="s">
        <v>83</v>
      </c>
      <c r="D237" s="40" t="s">
        <v>84</v>
      </c>
      <c r="E237" s="24">
        <v>160000000</v>
      </c>
      <c r="F237" s="39">
        <v>44098</v>
      </c>
      <c r="G237" s="24">
        <v>160000000</v>
      </c>
      <c r="H237" s="23">
        <v>5.0000000000000001E-3</v>
      </c>
      <c r="I237" s="39">
        <v>44378</v>
      </c>
      <c r="J237" s="39">
        <v>44408</v>
      </c>
      <c r="K237" s="24">
        <v>31</v>
      </c>
      <c r="L237" s="24">
        <v>67945</v>
      </c>
      <c r="M237" s="24">
        <v>160000000</v>
      </c>
    </row>
    <row r="238" spans="1:13" s="5" customFormat="1" outlineLevel="2">
      <c r="A238" s="39" t="s">
        <v>120</v>
      </c>
      <c r="B238" s="40" t="s">
        <v>51</v>
      </c>
      <c r="C238" s="41" t="s">
        <v>128</v>
      </c>
      <c r="D238" s="40" t="s">
        <v>129</v>
      </c>
      <c r="E238" s="24">
        <v>73100000</v>
      </c>
      <c r="F238" s="39">
        <v>44095</v>
      </c>
      <c r="G238" s="24">
        <v>73100000</v>
      </c>
      <c r="H238" s="23">
        <v>5.0000000000000001E-3</v>
      </c>
      <c r="I238" s="39">
        <v>44378</v>
      </c>
      <c r="J238" s="39">
        <v>44408</v>
      </c>
      <c r="K238" s="24">
        <v>31</v>
      </c>
      <c r="L238" s="24">
        <v>31042</v>
      </c>
      <c r="M238" s="24">
        <v>73100000</v>
      </c>
    </row>
    <row r="239" spans="1:13" s="5" customFormat="1" outlineLevel="2">
      <c r="A239" s="39" t="s">
        <v>120</v>
      </c>
      <c r="B239" s="40" t="s">
        <v>52</v>
      </c>
      <c r="C239" s="41" t="s">
        <v>125</v>
      </c>
      <c r="D239" s="40" t="s">
        <v>126</v>
      </c>
      <c r="E239" s="24">
        <v>3000000</v>
      </c>
      <c r="F239" s="39">
        <v>44132</v>
      </c>
      <c r="G239" s="24">
        <v>3000000</v>
      </c>
      <c r="H239" s="23">
        <v>5.0000000000000001E-3</v>
      </c>
      <c r="I239" s="39">
        <v>44378</v>
      </c>
      <c r="J239" s="39">
        <v>44408</v>
      </c>
      <c r="K239" s="24">
        <v>31</v>
      </c>
      <c r="L239" s="24">
        <v>1274</v>
      </c>
      <c r="M239" s="24">
        <v>3000000</v>
      </c>
    </row>
    <row r="240" spans="1:13" s="5" customFormat="1" outlineLevel="2">
      <c r="A240" s="39" t="s">
        <v>120</v>
      </c>
      <c r="B240" s="40" t="s">
        <v>53</v>
      </c>
      <c r="C240" s="41" t="s">
        <v>97</v>
      </c>
      <c r="D240" s="40" t="s">
        <v>98</v>
      </c>
      <c r="E240" s="24">
        <v>141000000</v>
      </c>
      <c r="F240" s="39">
        <v>44119</v>
      </c>
      <c r="G240" s="24">
        <v>141000000</v>
      </c>
      <c r="H240" s="23">
        <v>5.0000000000000001E-3</v>
      </c>
      <c r="I240" s="39">
        <v>44378</v>
      </c>
      <c r="J240" s="39">
        <v>44408</v>
      </c>
      <c r="K240" s="24">
        <v>31</v>
      </c>
      <c r="L240" s="24">
        <v>59877</v>
      </c>
      <c r="M240" s="24">
        <v>141000000</v>
      </c>
    </row>
    <row r="241" spans="1:13" s="5" customFormat="1" outlineLevel="2">
      <c r="A241" s="39" t="s">
        <v>120</v>
      </c>
      <c r="B241" s="40" t="s">
        <v>54</v>
      </c>
      <c r="C241" s="41" t="s">
        <v>20</v>
      </c>
      <c r="D241" s="40" t="s">
        <v>21</v>
      </c>
      <c r="E241" s="24">
        <v>60000000</v>
      </c>
      <c r="F241" s="39">
        <v>43922</v>
      </c>
      <c r="G241" s="24">
        <v>60000000</v>
      </c>
      <c r="H241" s="23">
        <v>3.0000000000000001E-3</v>
      </c>
      <c r="I241" s="39">
        <v>44378</v>
      </c>
      <c r="J241" s="39">
        <v>44408</v>
      </c>
      <c r="K241" s="24">
        <v>31</v>
      </c>
      <c r="L241" s="24">
        <v>15288</v>
      </c>
      <c r="M241" s="24">
        <v>60000000</v>
      </c>
    </row>
    <row r="242" spans="1:13" s="5" customFormat="1" outlineLevel="2">
      <c r="A242" s="39" t="s">
        <v>120</v>
      </c>
      <c r="B242" s="40" t="s">
        <v>57</v>
      </c>
      <c r="C242" s="41" t="s">
        <v>125</v>
      </c>
      <c r="D242" s="40" t="s">
        <v>126</v>
      </c>
      <c r="E242" s="24">
        <v>2500000</v>
      </c>
      <c r="F242" s="39">
        <v>44146</v>
      </c>
      <c r="G242" s="24">
        <v>2500000</v>
      </c>
      <c r="H242" s="23">
        <v>5.0000000000000001E-3</v>
      </c>
      <c r="I242" s="39">
        <v>44378</v>
      </c>
      <c r="J242" s="39">
        <v>44408</v>
      </c>
      <c r="K242" s="24">
        <v>31</v>
      </c>
      <c r="L242" s="24">
        <v>1062</v>
      </c>
      <c r="M242" s="24">
        <v>2500000</v>
      </c>
    </row>
    <row r="243" spans="1:13" s="5" customFormat="1" outlineLevel="2">
      <c r="A243" s="39" t="s">
        <v>120</v>
      </c>
      <c r="B243" s="40" t="s">
        <v>58</v>
      </c>
      <c r="C243" s="41" t="s">
        <v>71</v>
      </c>
      <c r="D243" s="40" t="s">
        <v>72</v>
      </c>
      <c r="E243" s="24">
        <v>11610900</v>
      </c>
      <c r="F243" s="39">
        <v>44137</v>
      </c>
      <c r="G243" s="24">
        <v>11610900</v>
      </c>
      <c r="H243" s="23">
        <v>5.0000000000000001E-3</v>
      </c>
      <c r="I243" s="39">
        <v>44378</v>
      </c>
      <c r="J243" s="39">
        <v>44408</v>
      </c>
      <c r="K243" s="24">
        <v>31</v>
      </c>
      <c r="L243" s="24">
        <v>4931</v>
      </c>
      <c r="M243" s="24">
        <v>11610900</v>
      </c>
    </row>
    <row r="244" spans="1:13" s="5" customFormat="1" outlineLevel="2">
      <c r="A244" s="39" t="s">
        <v>120</v>
      </c>
      <c r="B244" s="40" t="s">
        <v>99</v>
      </c>
      <c r="C244" s="41" t="s">
        <v>130</v>
      </c>
      <c r="D244" s="40" t="s">
        <v>131</v>
      </c>
      <c r="E244" s="24">
        <v>12000000</v>
      </c>
      <c r="F244" s="39">
        <v>44145</v>
      </c>
      <c r="G244" s="24">
        <v>7000000</v>
      </c>
      <c r="H244" s="23">
        <v>5.0000000000000001E-3</v>
      </c>
      <c r="I244" s="39">
        <v>44378</v>
      </c>
      <c r="J244" s="39">
        <v>44408</v>
      </c>
      <c r="K244" s="24">
        <v>31</v>
      </c>
      <c r="L244" s="24">
        <v>2973</v>
      </c>
      <c r="M244" s="24">
        <v>7000000</v>
      </c>
    </row>
    <row r="245" spans="1:13" s="5" customFormat="1" outlineLevel="2">
      <c r="A245" s="39" t="s">
        <v>120</v>
      </c>
      <c r="B245" s="40" t="s">
        <v>100</v>
      </c>
      <c r="C245" s="41" t="s">
        <v>132</v>
      </c>
      <c r="D245" s="40" t="s">
        <v>133</v>
      </c>
      <c r="E245" s="24">
        <v>23000000</v>
      </c>
      <c r="F245" s="39">
        <v>44137</v>
      </c>
      <c r="G245" s="24">
        <v>19933336</v>
      </c>
      <c r="H245" s="23">
        <v>5.0000000000000001E-3</v>
      </c>
      <c r="I245" s="39">
        <v>44378</v>
      </c>
      <c r="J245" s="39">
        <v>44391</v>
      </c>
      <c r="K245" s="24">
        <v>14</v>
      </c>
      <c r="L245" s="24">
        <v>3823</v>
      </c>
      <c r="M245" s="24">
        <v>19550003</v>
      </c>
    </row>
    <row r="246" spans="1:13" s="5" customFormat="1" outlineLevel="2">
      <c r="A246" s="39" t="s">
        <v>120</v>
      </c>
      <c r="B246" s="40" t="s">
        <v>100</v>
      </c>
      <c r="C246" s="41" t="s">
        <v>132</v>
      </c>
      <c r="D246" s="40"/>
      <c r="E246" s="24"/>
      <c r="F246" s="39"/>
      <c r="G246" s="24">
        <v>19550003</v>
      </c>
      <c r="H246" s="23">
        <v>5.0000000000000001E-3</v>
      </c>
      <c r="I246" s="39">
        <v>44392</v>
      </c>
      <c r="J246" s="39">
        <v>44408</v>
      </c>
      <c r="K246" s="24">
        <v>17</v>
      </c>
      <c r="L246" s="24">
        <v>4553</v>
      </c>
      <c r="M246" s="24"/>
    </row>
    <row r="247" spans="1:13" s="5" customFormat="1" outlineLevel="2">
      <c r="A247" s="39" t="s">
        <v>120</v>
      </c>
      <c r="B247" s="40" t="s">
        <v>101</v>
      </c>
      <c r="C247" s="41" t="s">
        <v>132</v>
      </c>
      <c r="D247" s="40" t="s">
        <v>133</v>
      </c>
      <c r="E247" s="24">
        <v>17000000</v>
      </c>
      <c r="F247" s="39">
        <v>44145</v>
      </c>
      <c r="G247" s="24">
        <v>14733336</v>
      </c>
      <c r="H247" s="23">
        <v>5.0000000000000001E-3</v>
      </c>
      <c r="I247" s="39">
        <v>44378</v>
      </c>
      <c r="J247" s="39">
        <v>44391</v>
      </c>
      <c r="K247" s="24">
        <v>14</v>
      </c>
      <c r="L247" s="24">
        <v>2826</v>
      </c>
      <c r="M247" s="24">
        <v>14450003</v>
      </c>
    </row>
    <row r="248" spans="1:13" s="5" customFormat="1" outlineLevel="2">
      <c r="A248" s="39" t="s">
        <v>120</v>
      </c>
      <c r="B248" s="40" t="s">
        <v>101</v>
      </c>
      <c r="C248" s="41" t="s">
        <v>132</v>
      </c>
      <c r="D248" s="40"/>
      <c r="E248" s="24"/>
      <c r="F248" s="39"/>
      <c r="G248" s="24">
        <v>14450003</v>
      </c>
      <c r="H248" s="23">
        <v>5.0000000000000001E-3</v>
      </c>
      <c r="I248" s="39">
        <v>44392</v>
      </c>
      <c r="J248" s="39">
        <v>44408</v>
      </c>
      <c r="K248" s="24">
        <v>17</v>
      </c>
      <c r="L248" s="24">
        <v>3365</v>
      </c>
      <c r="M248" s="24"/>
    </row>
    <row r="249" spans="1:13" s="5" customFormat="1" outlineLevel="2">
      <c r="A249" s="39" t="s">
        <v>120</v>
      </c>
      <c r="B249" s="40" t="s">
        <v>102</v>
      </c>
      <c r="C249" s="41" t="s">
        <v>17</v>
      </c>
      <c r="D249" s="40" t="s">
        <v>18</v>
      </c>
      <c r="E249" s="24">
        <v>4591000</v>
      </c>
      <c r="F249" s="39">
        <v>44160</v>
      </c>
      <c r="G249" s="24">
        <v>4055381</v>
      </c>
      <c r="H249" s="23">
        <v>5.0000000000000001E-3</v>
      </c>
      <c r="I249" s="39">
        <v>44378</v>
      </c>
      <c r="J249" s="39">
        <v>44391</v>
      </c>
      <c r="K249" s="24">
        <v>14</v>
      </c>
      <c r="L249" s="24">
        <v>778</v>
      </c>
      <c r="M249" s="24">
        <v>3978864</v>
      </c>
    </row>
    <row r="250" spans="1:13" s="5" customFormat="1" outlineLevel="2">
      <c r="A250" s="39" t="s">
        <v>120</v>
      </c>
      <c r="B250" s="40" t="s">
        <v>102</v>
      </c>
      <c r="C250" s="41" t="s">
        <v>17</v>
      </c>
      <c r="D250" s="40"/>
      <c r="E250" s="24"/>
      <c r="F250" s="39"/>
      <c r="G250" s="24">
        <v>3978864</v>
      </c>
      <c r="H250" s="23">
        <v>5.0000000000000001E-3</v>
      </c>
      <c r="I250" s="39">
        <v>44392</v>
      </c>
      <c r="J250" s="39">
        <v>44408</v>
      </c>
      <c r="K250" s="24">
        <v>17</v>
      </c>
      <c r="L250" s="24">
        <v>927</v>
      </c>
      <c r="M250" s="24"/>
    </row>
    <row r="251" spans="1:13" s="5" customFormat="1" outlineLevel="2">
      <c r="A251" s="39" t="s">
        <v>120</v>
      </c>
      <c r="B251" s="40" t="s">
        <v>103</v>
      </c>
      <c r="C251" s="41" t="s">
        <v>83</v>
      </c>
      <c r="D251" s="40" t="s">
        <v>84</v>
      </c>
      <c r="E251" s="24">
        <v>238000000</v>
      </c>
      <c r="F251" s="39">
        <v>44189</v>
      </c>
      <c r="G251" s="24">
        <v>238000000</v>
      </c>
      <c r="H251" s="23">
        <v>5.0000000000000001E-3</v>
      </c>
      <c r="I251" s="39">
        <v>44378</v>
      </c>
      <c r="J251" s="39">
        <v>44408</v>
      </c>
      <c r="K251" s="24">
        <v>31</v>
      </c>
      <c r="L251" s="24">
        <v>101068</v>
      </c>
      <c r="M251" s="24">
        <v>238000000</v>
      </c>
    </row>
    <row r="252" spans="1:13" s="5" customFormat="1" outlineLevel="2">
      <c r="A252" s="39" t="s">
        <v>120</v>
      </c>
      <c r="B252" s="40" t="s">
        <v>104</v>
      </c>
      <c r="C252" s="41" t="s">
        <v>97</v>
      </c>
      <c r="D252" s="40" t="s">
        <v>98</v>
      </c>
      <c r="E252" s="24">
        <v>17000000</v>
      </c>
      <c r="F252" s="39">
        <v>44180</v>
      </c>
      <c r="G252" s="24">
        <v>17000000</v>
      </c>
      <c r="H252" s="23">
        <v>5.0000000000000001E-3</v>
      </c>
      <c r="I252" s="39">
        <v>44378</v>
      </c>
      <c r="J252" s="39">
        <v>44408</v>
      </c>
      <c r="K252" s="24">
        <v>31</v>
      </c>
      <c r="L252" s="24">
        <v>7219</v>
      </c>
      <c r="M252" s="24">
        <v>17000000</v>
      </c>
    </row>
    <row r="253" spans="1:13" s="5" customFormat="1" outlineLevel="2">
      <c r="A253" s="39" t="s">
        <v>120</v>
      </c>
      <c r="B253" s="40" t="s">
        <v>105</v>
      </c>
      <c r="C253" s="41" t="s">
        <v>134</v>
      </c>
      <c r="D253" s="40" t="s">
        <v>135</v>
      </c>
      <c r="E253" s="24">
        <v>8000000</v>
      </c>
      <c r="F253" s="39">
        <v>44169</v>
      </c>
      <c r="G253" s="24">
        <v>8000000</v>
      </c>
      <c r="H253" s="23">
        <v>5.0000000000000001E-3</v>
      </c>
      <c r="I253" s="39">
        <v>44378</v>
      </c>
      <c r="J253" s="39">
        <v>44408</v>
      </c>
      <c r="K253" s="24">
        <v>31</v>
      </c>
      <c r="L253" s="24">
        <v>3397</v>
      </c>
      <c r="M253" s="24">
        <v>8000000</v>
      </c>
    </row>
    <row r="254" spans="1:13" s="5" customFormat="1" outlineLevel="2">
      <c r="A254" s="39" t="s">
        <v>120</v>
      </c>
      <c r="B254" s="40" t="s">
        <v>106</v>
      </c>
      <c r="C254" s="41" t="s">
        <v>134</v>
      </c>
      <c r="D254" s="40" t="s">
        <v>135</v>
      </c>
      <c r="E254" s="24">
        <v>15000000</v>
      </c>
      <c r="F254" s="39">
        <v>44169</v>
      </c>
      <c r="G254" s="24">
        <v>15000000</v>
      </c>
      <c r="H254" s="23">
        <v>5.0000000000000001E-3</v>
      </c>
      <c r="I254" s="39">
        <v>44378</v>
      </c>
      <c r="J254" s="39">
        <v>44408</v>
      </c>
      <c r="K254" s="24">
        <v>31</v>
      </c>
      <c r="L254" s="24">
        <v>6370</v>
      </c>
      <c r="M254" s="24">
        <v>15000000</v>
      </c>
    </row>
    <row r="255" spans="1:13" s="5" customFormat="1" outlineLevel="2">
      <c r="A255" s="39" t="s">
        <v>120</v>
      </c>
      <c r="B255" s="40" t="s">
        <v>59</v>
      </c>
      <c r="C255" s="41" t="s">
        <v>20</v>
      </c>
      <c r="D255" s="40" t="s">
        <v>21</v>
      </c>
      <c r="E255" s="24">
        <v>144000000</v>
      </c>
      <c r="F255" s="39">
        <v>43922</v>
      </c>
      <c r="G255" s="24">
        <v>144000000</v>
      </c>
      <c r="H255" s="23">
        <v>5.0000000000000001E-3</v>
      </c>
      <c r="I255" s="39">
        <v>44378</v>
      </c>
      <c r="J255" s="39">
        <v>44408</v>
      </c>
      <c r="K255" s="24">
        <v>31</v>
      </c>
      <c r="L255" s="24">
        <v>61151</v>
      </c>
      <c r="M255" s="24">
        <v>144000000</v>
      </c>
    </row>
    <row r="256" spans="1:13" s="5" customFormat="1" outlineLevel="2">
      <c r="A256" s="39" t="s">
        <v>120</v>
      </c>
      <c r="B256" s="40" t="s">
        <v>136</v>
      </c>
      <c r="C256" s="41" t="s">
        <v>125</v>
      </c>
      <c r="D256" s="40" t="s">
        <v>126</v>
      </c>
      <c r="E256" s="24">
        <v>7000000</v>
      </c>
      <c r="F256" s="39">
        <v>44202</v>
      </c>
      <c r="G256" s="24">
        <v>7000000</v>
      </c>
      <c r="H256" s="23">
        <v>5.0000000000000001E-3</v>
      </c>
      <c r="I256" s="39">
        <v>44378</v>
      </c>
      <c r="J256" s="39">
        <v>44408</v>
      </c>
      <c r="K256" s="24">
        <v>31</v>
      </c>
      <c r="L256" s="24">
        <v>2973</v>
      </c>
      <c r="M256" s="24">
        <v>7000000</v>
      </c>
    </row>
    <row r="257" spans="1:13" s="5" customFormat="1" outlineLevel="2">
      <c r="A257" s="39" t="s">
        <v>120</v>
      </c>
      <c r="B257" s="40" t="s">
        <v>137</v>
      </c>
      <c r="C257" s="41" t="s">
        <v>125</v>
      </c>
      <c r="D257" s="40" t="s">
        <v>126</v>
      </c>
      <c r="E257" s="24">
        <v>26000000</v>
      </c>
      <c r="F257" s="39">
        <v>44218</v>
      </c>
      <c r="G257" s="24">
        <v>26000000</v>
      </c>
      <c r="H257" s="23">
        <v>5.0000000000000001E-3</v>
      </c>
      <c r="I257" s="39">
        <v>44378</v>
      </c>
      <c r="J257" s="39">
        <v>44408</v>
      </c>
      <c r="K257" s="24">
        <v>31</v>
      </c>
      <c r="L257" s="24">
        <v>11041</v>
      </c>
      <c r="M257" s="24">
        <v>26000000</v>
      </c>
    </row>
    <row r="258" spans="1:13" s="5" customFormat="1" outlineLevel="2">
      <c r="A258" s="39" t="s">
        <v>120</v>
      </c>
      <c r="B258" s="40" t="s">
        <v>138</v>
      </c>
      <c r="C258" s="41" t="s">
        <v>134</v>
      </c>
      <c r="D258" s="40" t="s">
        <v>135</v>
      </c>
      <c r="E258" s="24">
        <v>15000000</v>
      </c>
      <c r="F258" s="39">
        <v>44200</v>
      </c>
      <c r="G258" s="24">
        <v>15000000</v>
      </c>
      <c r="H258" s="23">
        <v>5.0000000000000001E-3</v>
      </c>
      <c r="I258" s="39">
        <v>44378</v>
      </c>
      <c r="J258" s="39">
        <v>44408</v>
      </c>
      <c r="K258" s="24">
        <v>31</v>
      </c>
      <c r="L258" s="24">
        <v>6370</v>
      </c>
      <c r="M258" s="24">
        <v>15000000</v>
      </c>
    </row>
    <row r="259" spans="1:13" s="5" customFormat="1" outlineLevel="2">
      <c r="A259" s="39" t="s">
        <v>120</v>
      </c>
      <c r="B259" s="40" t="s">
        <v>139</v>
      </c>
      <c r="C259" s="41" t="s">
        <v>134</v>
      </c>
      <c r="D259" s="40" t="s">
        <v>135</v>
      </c>
      <c r="E259" s="24">
        <v>6000000</v>
      </c>
      <c r="F259" s="39">
        <v>44203</v>
      </c>
      <c r="G259" s="24">
        <v>6000000</v>
      </c>
      <c r="H259" s="23">
        <v>5.0000000000000001E-3</v>
      </c>
      <c r="I259" s="39">
        <v>44378</v>
      </c>
      <c r="J259" s="39">
        <v>44408</v>
      </c>
      <c r="K259" s="24">
        <v>31</v>
      </c>
      <c r="L259" s="24">
        <v>2548</v>
      </c>
      <c r="M259" s="24">
        <v>6000000</v>
      </c>
    </row>
    <row r="260" spans="1:13" s="5" customFormat="1" outlineLevel="2">
      <c r="A260" s="39" t="s">
        <v>120</v>
      </c>
      <c r="B260" s="40" t="s">
        <v>140</v>
      </c>
      <c r="C260" s="41" t="s">
        <v>134</v>
      </c>
      <c r="D260" s="40" t="s">
        <v>135</v>
      </c>
      <c r="E260" s="24">
        <v>9000000</v>
      </c>
      <c r="F260" s="39">
        <v>44216</v>
      </c>
      <c r="G260" s="24">
        <v>9000000</v>
      </c>
      <c r="H260" s="23">
        <v>5.0000000000000001E-3</v>
      </c>
      <c r="I260" s="39">
        <v>44378</v>
      </c>
      <c r="J260" s="39">
        <v>44408</v>
      </c>
      <c r="K260" s="24">
        <v>31</v>
      </c>
      <c r="L260" s="24">
        <v>3822</v>
      </c>
      <c r="M260" s="24">
        <v>9000000</v>
      </c>
    </row>
    <row r="261" spans="1:13" s="5" customFormat="1" outlineLevel="2">
      <c r="A261" s="39" t="s">
        <v>120</v>
      </c>
      <c r="B261" s="40" t="s">
        <v>169</v>
      </c>
      <c r="C261" s="41" t="s">
        <v>20</v>
      </c>
      <c r="D261" s="40" t="s">
        <v>21</v>
      </c>
      <c r="E261" s="24">
        <v>150000000</v>
      </c>
      <c r="F261" s="39">
        <v>44231</v>
      </c>
      <c r="G261" s="24">
        <v>150000000</v>
      </c>
      <c r="H261" s="23">
        <v>3.0000000000000001E-3</v>
      </c>
      <c r="I261" s="39">
        <v>44378</v>
      </c>
      <c r="J261" s="39">
        <v>44408</v>
      </c>
      <c r="K261" s="24">
        <v>31</v>
      </c>
      <c r="L261" s="24">
        <v>38219</v>
      </c>
      <c r="M261" s="24">
        <v>150000000</v>
      </c>
    </row>
    <row r="262" spans="1:13" s="5" customFormat="1" outlineLevel="2">
      <c r="A262" s="39" t="s">
        <v>120</v>
      </c>
      <c r="B262" s="40" t="s">
        <v>170</v>
      </c>
      <c r="C262" s="41" t="s">
        <v>134</v>
      </c>
      <c r="D262" s="40" t="s">
        <v>135</v>
      </c>
      <c r="E262" s="24">
        <v>2000000</v>
      </c>
      <c r="F262" s="39">
        <v>44228</v>
      </c>
      <c r="G262" s="24">
        <v>2000000</v>
      </c>
      <c r="H262" s="23">
        <v>5.0000000000000001E-3</v>
      </c>
      <c r="I262" s="39">
        <v>44378</v>
      </c>
      <c r="J262" s="39">
        <v>44408</v>
      </c>
      <c r="K262" s="24">
        <v>31</v>
      </c>
      <c r="L262" s="24">
        <v>849</v>
      </c>
      <c r="M262" s="24">
        <v>2000000</v>
      </c>
    </row>
    <row r="263" spans="1:13" s="5" customFormat="1" outlineLevel="2">
      <c r="A263" s="39" t="s">
        <v>120</v>
      </c>
      <c r="B263" s="40" t="s">
        <v>171</v>
      </c>
      <c r="C263" s="41" t="s">
        <v>134</v>
      </c>
      <c r="D263" s="40" t="s">
        <v>135</v>
      </c>
      <c r="E263" s="24">
        <v>13000000</v>
      </c>
      <c r="F263" s="39">
        <v>44231</v>
      </c>
      <c r="G263" s="24">
        <v>13000000</v>
      </c>
      <c r="H263" s="23">
        <v>5.0000000000000001E-3</v>
      </c>
      <c r="I263" s="39">
        <v>44378</v>
      </c>
      <c r="J263" s="39">
        <v>44408</v>
      </c>
      <c r="K263" s="24">
        <v>31</v>
      </c>
      <c r="L263" s="24">
        <v>5521</v>
      </c>
      <c r="M263" s="24">
        <v>13000000</v>
      </c>
    </row>
    <row r="264" spans="1:13" s="5" customFormat="1" outlineLevel="2">
      <c r="A264" s="39" t="s">
        <v>120</v>
      </c>
      <c r="B264" s="40" t="s">
        <v>172</v>
      </c>
      <c r="C264" s="41" t="s">
        <v>134</v>
      </c>
      <c r="D264" s="40" t="s">
        <v>135</v>
      </c>
      <c r="E264" s="24">
        <v>8000000</v>
      </c>
      <c r="F264" s="39">
        <v>44235</v>
      </c>
      <c r="G264" s="24">
        <v>8000000</v>
      </c>
      <c r="H264" s="23">
        <v>5.0000000000000001E-3</v>
      </c>
      <c r="I264" s="39">
        <v>44378</v>
      </c>
      <c r="J264" s="39">
        <v>44408</v>
      </c>
      <c r="K264" s="24">
        <v>31</v>
      </c>
      <c r="L264" s="24">
        <v>3397</v>
      </c>
      <c r="M264" s="24">
        <v>8000000</v>
      </c>
    </row>
    <row r="265" spans="1:13" s="5" customFormat="1" outlineLevel="2">
      <c r="A265" s="39" t="s">
        <v>120</v>
      </c>
      <c r="B265" s="40" t="s">
        <v>173</v>
      </c>
      <c r="C265" s="41" t="s">
        <v>134</v>
      </c>
      <c r="D265" s="40" t="s">
        <v>135</v>
      </c>
      <c r="E265" s="24">
        <v>6000000</v>
      </c>
      <c r="F265" s="39">
        <v>44231</v>
      </c>
      <c r="G265" s="24">
        <v>6000000</v>
      </c>
      <c r="H265" s="23">
        <v>5.0000000000000001E-3</v>
      </c>
      <c r="I265" s="39">
        <v>44378</v>
      </c>
      <c r="J265" s="39">
        <v>44408</v>
      </c>
      <c r="K265" s="24">
        <v>31</v>
      </c>
      <c r="L265" s="24">
        <v>2548</v>
      </c>
      <c r="M265" s="24">
        <v>6000000</v>
      </c>
    </row>
    <row r="266" spans="1:13" s="5" customFormat="1" outlineLevel="2">
      <c r="A266" s="39" t="s">
        <v>120</v>
      </c>
      <c r="B266" s="40" t="s">
        <v>62</v>
      </c>
      <c r="C266" s="41" t="s">
        <v>125</v>
      </c>
      <c r="D266" s="40" t="s">
        <v>126</v>
      </c>
      <c r="E266" s="24">
        <v>34480000</v>
      </c>
      <c r="F266" s="39">
        <v>43980</v>
      </c>
      <c r="G266" s="24">
        <v>34480000</v>
      </c>
      <c r="H266" s="23">
        <v>5.0000000000000001E-3</v>
      </c>
      <c r="I266" s="39">
        <v>44378</v>
      </c>
      <c r="J266" s="39">
        <v>44408</v>
      </c>
      <c r="K266" s="24">
        <v>31</v>
      </c>
      <c r="L266" s="24">
        <v>14642</v>
      </c>
      <c r="M266" s="24">
        <v>34480000</v>
      </c>
    </row>
    <row r="267" spans="1:13" s="5" customFormat="1" outlineLevel="2">
      <c r="A267" s="39" t="s">
        <v>120</v>
      </c>
      <c r="B267" s="40" t="s">
        <v>174</v>
      </c>
      <c r="C267" s="41" t="s">
        <v>246</v>
      </c>
      <c r="D267" s="40" t="s">
        <v>247</v>
      </c>
      <c r="E267" s="24">
        <v>11000000</v>
      </c>
      <c r="F267" s="39">
        <v>44235</v>
      </c>
      <c r="G267" s="24">
        <v>11000000</v>
      </c>
      <c r="H267" s="23">
        <v>5.0000000000000001E-3</v>
      </c>
      <c r="I267" s="39">
        <v>44378</v>
      </c>
      <c r="J267" s="39">
        <v>44408</v>
      </c>
      <c r="K267" s="24">
        <v>31</v>
      </c>
      <c r="L267" s="24">
        <v>4671</v>
      </c>
      <c r="M267" s="24">
        <v>11000000</v>
      </c>
    </row>
    <row r="268" spans="1:13" s="5" customFormat="1" outlineLevel="2">
      <c r="A268" s="39" t="s">
        <v>120</v>
      </c>
      <c r="B268" s="40" t="s">
        <v>175</v>
      </c>
      <c r="C268" s="41" t="s">
        <v>246</v>
      </c>
      <c r="D268" s="40" t="s">
        <v>247</v>
      </c>
      <c r="E268" s="24">
        <v>67000000</v>
      </c>
      <c r="F268" s="39">
        <v>44251</v>
      </c>
      <c r="G268" s="24">
        <v>67000000</v>
      </c>
      <c r="H268" s="23">
        <v>5.0000000000000001E-3</v>
      </c>
      <c r="I268" s="39">
        <v>44378</v>
      </c>
      <c r="J268" s="39">
        <v>44408</v>
      </c>
      <c r="K268" s="24">
        <v>31</v>
      </c>
      <c r="L268" s="24">
        <v>28452</v>
      </c>
      <c r="M268" s="24">
        <v>67000000</v>
      </c>
    </row>
    <row r="269" spans="1:13" s="5" customFormat="1" outlineLevel="2">
      <c r="A269" s="39" t="s">
        <v>120</v>
      </c>
      <c r="B269" s="40" t="s">
        <v>176</v>
      </c>
      <c r="C269" s="41" t="s">
        <v>306</v>
      </c>
      <c r="D269" s="40" t="s">
        <v>305</v>
      </c>
      <c r="E269" s="24">
        <v>320000000</v>
      </c>
      <c r="F269" s="39">
        <v>44228</v>
      </c>
      <c r="G269" s="24">
        <v>320000000</v>
      </c>
      <c r="H269" s="23">
        <v>5.0000000000000001E-3</v>
      </c>
      <c r="I269" s="39">
        <v>44378</v>
      </c>
      <c r="J269" s="39">
        <v>44408</v>
      </c>
      <c r="K269" s="24">
        <v>31</v>
      </c>
      <c r="L269" s="24">
        <v>135890</v>
      </c>
      <c r="M269" s="24">
        <v>320000000</v>
      </c>
    </row>
    <row r="270" spans="1:13" s="5" customFormat="1" outlineLevel="2">
      <c r="A270" s="39" t="s">
        <v>120</v>
      </c>
      <c r="B270" s="40" t="s">
        <v>177</v>
      </c>
      <c r="C270" s="41" t="s">
        <v>306</v>
      </c>
      <c r="D270" s="40" t="s">
        <v>305</v>
      </c>
      <c r="E270" s="24">
        <v>17000000</v>
      </c>
      <c r="F270" s="39">
        <v>44246</v>
      </c>
      <c r="G270" s="24">
        <v>17000000</v>
      </c>
      <c r="H270" s="23">
        <v>5.0000000000000001E-3</v>
      </c>
      <c r="I270" s="39">
        <v>44378</v>
      </c>
      <c r="J270" s="39">
        <v>44408</v>
      </c>
      <c r="K270" s="24">
        <v>31</v>
      </c>
      <c r="L270" s="24">
        <v>7219</v>
      </c>
      <c r="M270" s="24">
        <v>17000000</v>
      </c>
    </row>
    <row r="271" spans="1:13" s="5" customFormat="1" outlineLevel="2">
      <c r="A271" s="39" t="s">
        <v>120</v>
      </c>
      <c r="B271" s="40" t="s">
        <v>178</v>
      </c>
      <c r="C271" s="41" t="s">
        <v>71</v>
      </c>
      <c r="D271" s="40" t="s">
        <v>72</v>
      </c>
      <c r="E271" s="24">
        <v>19980000</v>
      </c>
      <c r="F271" s="39">
        <v>44252</v>
      </c>
      <c r="G271" s="24">
        <v>19980000</v>
      </c>
      <c r="H271" s="23">
        <v>5.0000000000000001E-3</v>
      </c>
      <c r="I271" s="39">
        <v>44378</v>
      </c>
      <c r="J271" s="39">
        <v>44408</v>
      </c>
      <c r="K271" s="24">
        <v>31</v>
      </c>
      <c r="L271" s="24">
        <v>8485</v>
      </c>
      <c r="M271" s="24">
        <v>19980000</v>
      </c>
    </row>
    <row r="272" spans="1:13" s="5" customFormat="1" outlineLevel="2">
      <c r="A272" s="39" t="s">
        <v>120</v>
      </c>
      <c r="B272" s="40" t="s">
        <v>179</v>
      </c>
      <c r="C272" s="41" t="s">
        <v>219</v>
      </c>
      <c r="D272" s="40" t="s">
        <v>220</v>
      </c>
      <c r="E272" s="24">
        <v>9000000</v>
      </c>
      <c r="F272" s="39">
        <v>44253</v>
      </c>
      <c r="G272" s="24">
        <v>9000000</v>
      </c>
      <c r="H272" s="23">
        <v>5.0000000000000001E-3</v>
      </c>
      <c r="I272" s="39">
        <v>44378</v>
      </c>
      <c r="J272" s="39">
        <v>44408</v>
      </c>
      <c r="K272" s="24">
        <v>31</v>
      </c>
      <c r="L272" s="24">
        <v>3822</v>
      </c>
      <c r="M272" s="24">
        <v>9000000</v>
      </c>
    </row>
    <row r="273" spans="1:13" s="5" customFormat="1" outlineLevel="2">
      <c r="A273" s="39" t="s">
        <v>120</v>
      </c>
      <c r="B273" s="40" t="s">
        <v>180</v>
      </c>
      <c r="C273" s="41" t="s">
        <v>219</v>
      </c>
      <c r="D273" s="40" t="s">
        <v>220</v>
      </c>
      <c r="E273" s="24">
        <v>17000000</v>
      </c>
      <c r="F273" s="39">
        <v>44253</v>
      </c>
      <c r="G273" s="24">
        <v>17000000</v>
      </c>
      <c r="H273" s="23">
        <v>5.0000000000000001E-3</v>
      </c>
      <c r="I273" s="39">
        <v>44378</v>
      </c>
      <c r="J273" s="39">
        <v>44408</v>
      </c>
      <c r="K273" s="24">
        <v>31</v>
      </c>
      <c r="L273" s="24">
        <v>7219</v>
      </c>
      <c r="M273" s="24">
        <v>17000000</v>
      </c>
    </row>
    <row r="274" spans="1:13" s="5" customFormat="1" outlineLevel="2">
      <c r="A274" s="39" t="s">
        <v>120</v>
      </c>
      <c r="B274" s="40" t="s">
        <v>181</v>
      </c>
      <c r="C274" s="41" t="s">
        <v>37</v>
      </c>
      <c r="D274" s="40" t="s">
        <v>38</v>
      </c>
      <c r="E274" s="24">
        <v>90862000</v>
      </c>
      <c r="F274" s="39">
        <v>44285</v>
      </c>
      <c r="G274" s="24">
        <v>90862000</v>
      </c>
      <c r="H274" s="23">
        <v>5.0000000000000001E-3</v>
      </c>
      <c r="I274" s="39">
        <v>44378</v>
      </c>
      <c r="J274" s="39">
        <v>44408</v>
      </c>
      <c r="K274" s="24">
        <v>31</v>
      </c>
      <c r="L274" s="24">
        <v>38585</v>
      </c>
      <c r="M274" s="24">
        <v>90862000</v>
      </c>
    </row>
    <row r="275" spans="1:13" s="5" customFormat="1" outlineLevel="2">
      <c r="A275" s="39" t="s">
        <v>120</v>
      </c>
      <c r="B275" s="40" t="s">
        <v>182</v>
      </c>
      <c r="C275" s="41" t="s">
        <v>37</v>
      </c>
      <c r="D275" s="40" t="s">
        <v>38</v>
      </c>
      <c r="E275" s="24">
        <v>49390000</v>
      </c>
      <c r="F275" s="39">
        <v>44285</v>
      </c>
      <c r="G275" s="24">
        <v>49390000</v>
      </c>
      <c r="H275" s="23">
        <v>5.0000000000000001E-3</v>
      </c>
      <c r="I275" s="39">
        <v>44378</v>
      </c>
      <c r="J275" s="39">
        <v>44408</v>
      </c>
      <c r="K275" s="24">
        <v>31</v>
      </c>
      <c r="L275" s="24">
        <v>20974</v>
      </c>
      <c r="M275" s="24">
        <v>49390000</v>
      </c>
    </row>
    <row r="276" spans="1:13" s="5" customFormat="1" outlineLevel="2">
      <c r="A276" s="39" t="s">
        <v>120</v>
      </c>
      <c r="B276" s="40" t="s">
        <v>183</v>
      </c>
      <c r="C276" s="41" t="s">
        <v>134</v>
      </c>
      <c r="D276" s="40" t="s">
        <v>135</v>
      </c>
      <c r="E276" s="24">
        <v>9000000</v>
      </c>
      <c r="F276" s="39">
        <v>44285</v>
      </c>
      <c r="G276" s="24">
        <v>9000000</v>
      </c>
      <c r="H276" s="23">
        <v>5.0000000000000001E-3</v>
      </c>
      <c r="I276" s="39">
        <v>44378</v>
      </c>
      <c r="J276" s="39">
        <v>44408</v>
      </c>
      <c r="K276" s="24">
        <v>31</v>
      </c>
      <c r="L276" s="24">
        <v>3822</v>
      </c>
      <c r="M276" s="24">
        <v>9000000</v>
      </c>
    </row>
    <row r="277" spans="1:13" s="5" customFormat="1" outlineLevel="2">
      <c r="A277" s="39" t="s">
        <v>120</v>
      </c>
      <c r="B277" s="40" t="s">
        <v>63</v>
      </c>
      <c r="C277" s="41" t="s">
        <v>66</v>
      </c>
      <c r="D277" s="40" t="s">
        <v>67</v>
      </c>
      <c r="E277" s="24">
        <v>56000000</v>
      </c>
      <c r="F277" s="39">
        <v>43966</v>
      </c>
      <c r="G277" s="24">
        <v>56000000</v>
      </c>
      <c r="H277" s="23">
        <v>5.0000000000000001E-3</v>
      </c>
      <c r="I277" s="39">
        <v>44378</v>
      </c>
      <c r="J277" s="39">
        <v>44408</v>
      </c>
      <c r="K277" s="24">
        <v>31</v>
      </c>
      <c r="L277" s="24">
        <v>23781</v>
      </c>
      <c r="M277" s="24">
        <v>56000000</v>
      </c>
    </row>
    <row r="278" spans="1:13" s="5" customFormat="1" outlineLevel="2">
      <c r="A278" s="39" t="s">
        <v>120</v>
      </c>
      <c r="B278" s="40" t="s">
        <v>184</v>
      </c>
      <c r="C278" s="41" t="s">
        <v>125</v>
      </c>
      <c r="D278" s="40" t="s">
        <v>126</v>
      </c>
      <c r="E278" s="24">
        <v>28000000</v>
      </c>
      <c r="F278" s="39">
        <v>44264</v>
      </c>
      <c r="G278" s="24">
        <v>28000000</v>
      </c>
      <c r="H278" s="23">
        <v>5.0000000000000001E-3</v>
      </c>
      <c r="I278" s="39">
        <v>44378</v>
      </c>
      <c r="J278" s="39">
        <v>44408</v>
      </c>
      <c r="K278" s="24">
        <v>31</v>
      </c>
      <c r="L278" s="24">
        <v>11890</v>
      </c>
      <c r="M278" s="24">
        <v>28000000</v>
      </c>
    </row>
    <row r="279" spans="1:13" s="5" customFormat="1" outlineLevel="2">
      <c r="A279" s="39" t="s">
        <v>120</v>
      </c>
      <c r="B279" s="40" t="s">
        <v>185</v>
      </c>
      <c r="C279" s="41" t="s">
        <v>125</v>
      </c>
      <c r="D279" s="40" t="s">
        <v>126</v>
      </c>
      <c r="E279" s="24">
        <v>26000000</v>
      </c>
      <c r="F279" s="39">
        <v>44264</v>
      </c>
      <c r="G279" s="24">
        <v>26000000</v>
      </c>
      <c r="H279" s="23">
        <v>5.0000000000000001E-3</v>
      </c>
      <c r="I279" s="39">
        <v>44378</v>
      </c>
      <c r="J279" s="39">
        <v>44408</v>
      </c>
      <c r="K279" s="24">
        <v>31</v>
      </c>
      <c r="L279" s="24">
        <v>11041</v>
      </c>
      <c r="M279" s="24">
        <v>26000000</v>
      </c>
    </row>
    <row r="280" spans="1:13" s="5" customFormat="1" outlineLevel="2">
      <c r="A280" s="39" t="s">
        <v>120</v>
      </c>
      <c r="B280" s="40" t="s">
        <v>186</v>
      </c>
      <c r="C280" s="41" t="s">
        <v>30</v>
      </c>
      <c r="D280" s="40" t="s">
        <v>31</v>
      </c>
      <c r="E280" s="24">
        <v>60000000</v>
      </c>
      <c r="F280" s="39">
        <v>44272</v>
      </c>
      <c r="G280" s="24">
        <v>60000000</v>
      </c>
      <c r="H280" s="23">
        <v>5.0000000000000001E-3</v>
      </c>
      <c r="I280" s="39">
        <v>44378</v>
      </c>
      <c r="J280" s="39">
        <v>44408</v>
      </c>
      <c r="K280" s="24">
        <v>31</v>
      </c>
      <c r="L280" s="24">
        <v>25479</v>
      </c>
      <c r="M280" s="24">
        <v>60000000</v>
      </c>
    </row>
    <row r="281" spans="1:13" s="5" customFormat="1" outlineLevel="2">
      <c r="A281" s="39" t="s">
        <v>120</v>
      </c>
      <c r="B281" s="40" t="s">
        <v>189</v>
      </c>
      <c r="C281" s="41" t="s">
        <v>324</v>
      </c>
      <c r="D281" s="40" t="s">
        <v>323</v>
      </c>
      <c r="E281" s="24">
        <v>37000000</v>
      </c>
      <c r="F281" s="39">
        <v>44270</v>
      </c>
      <c r="G281" s="24">
        <v>36074998</v>
      </c>
      <c r="H281" s="23">
        <v>5.0000000000000001E-3</v>
      </c>
      <c r="I281" s="39">
        <v>44378</v>
      </c>
      <c r="J281" s="39">
        <v>44391</v>
      </c>
      <c r="K281" s="24">
        <v>14</v>
      </c>
      <c r="L281" s="24">
        <v>6918</v>
      </c>
      <c r="M281" s="24">
        <v>35766664</v>
      </c>
    </row>
    <row r="282" spans="1:13" s="5" customFormat="1" outlineLevel="2">
      <c r="A282" s="39" t="s">
        <v>120</v>
      </c>
      <c r="B282" s="40" t="s">
        <v>189</v>
      </c>
      <c r="C282" s="41" t="s">
        <v>324</v>
      </c>
      <c r="D282" s="40"/>
      <c r="E282" s="24"/>
      <c r="F282" s="39"/>
      <c r="G282" s="24">
        <v>35766664</v>
      </c>
      <c r="H282" s="23">
        <v>5.0000000000000001E-3</v>
      </c>
      <c r="I282" s="39">
        <v>44392</v>
      </c>
      <c r="J282" s="39">
        <v>44408</v>
      </c>
      <c r="K282" s="24">
        <v>17</v>
      </c>
      <c r="L282" s="24">
        <v>8329</v>
      </c>
      <c r="M282" s="24"/>
    </row>
    <row r="283" spans="1:13" s="5" customFormat="1" outlineLevel="2">
      <c r="A283" s="39" t="s">
        <v>120</v>
      </c>
      <c r="B283" s="40" t="s">
        <v>190</v>
      </c>
      <c r="C283" s="41" t="s">
        <v>324</v>
      </c>
      <c r="D283" s="40" t="s">
        <v>323</v>
      </c>
      <c r="E283" s="24">
        <v>23000000</v>
      </c>
      <c r="F283" s="39">
        <v>44270</v>
      </c>
      <c r="G283" s="24">
        <v>22178570</v>
      </c>
      <c r="H283" s="23">
        <v>5.0000000000000001E-3</v>
      </c>
      <c r="I283" s="39">
        <v>44378</v>
      </c>
      <c r="J283" s="39">
        <v>44391</v>
      </c>
      <c r="K283" s="24">
        <v>14</v>
      </c>
      <c r="L283" s="24">
        <v>4253</v>
      </c>
      <c r="M283" s="24">
        <v>21904760</v>
      </c>
    </row>
    <row r="284" spans="1:13" s="5" customFormat="1" outlineLevel="2">
      <c r="A284" s="39" t="s">
        <v>120</v>
      </c>
      <c r="B284" s="40" t="s">
        <v>190</v>
      </c>
      <c r="C284" s="41" t="s">
        <v>324</v>
      </c>
      <c r="D284" s="40"/>
      <c r="E284" s="24"/>
      <c r="F284" s="39"/>
      <c r="G284" s="24">
        <v>21904760</v>
      </c>
      <c r="H284" s="23">
        <v>5.0000000000000001E-3</v>
      </c>
      <c r="I284" s="39">
        <v>44392</v>
      </c>
      <c r="J284" s="39">
        <v>44408</v>
      </c>
      <c r="K284" s="24">
        <v>17</v>
      </c>
      <c r="L284" s="24">
        <v>5101</v>
      </c>
      <c r="M284" s="24"/>
    </row>
    <row r="285" spans="1:13" s="5" customFormat="1" outlineLevel="2">
      <c r="A285" s="39" t="s">
        <v>120</v>
      </c>
      <c r="B285" s="40" t="s">
        <v>191</v>
      </c>
      <c r="C285" s="41" t="s">
        <v>324</v>
      </c>
      <c r="D285" s="40" t="s">
        <v>323</v>
      </c>
      <c r="E285" s="24">
        <v>30000000</v>
      </c>
      <c r="F285" s="39">
        <v>44270</v>
      </c>
      <c r="G285" s="24">
        <v>28928571</v>
      </c>
      <c r="H285" s="23">
        <v>5.0000000000000001E-3</v>
      </c>
      <c r="I285" s="39">
        <v>44378</v>
      </c>
      <c r="J285" s="39">
        <v>44391</v>
      </c>
      <c r="K285" s="24">
        <v>14</v>
      </c>
      <c r="L285" s="24">
        <v>5548</v>
      </c>
      <c r="M285" s="24">
        <v>28571428</v>
      </c>
    </row>
    <row r="286" spans="1:13" s="5" customFormat="1" outlineLevel="2">
      <c r="A286" s="39" t="s">
        <v>120</v>
      </c>
      <c r="B286" s="40" t="s">
        <v>191</v>
      </c>
      <c r="C286" s="41" t="s">
        <v>324</v>
      </c>
      <c r="D286" s="40"/>
      <c r="E286" s="24"/>
      <c r="F286" s="39"/>
      <c r="G286" s="24">
        <v>28571428</v>
      </c>
      <c r="H286" s="23">
        <v>5.0000000000000001E-3</v>
      </c>
      <c r="I286" s="39">
        <v>44392</v>
      </c>
      <c r="J286" s="39">
        <v>44408</v>
      </c>
      <c r="K286" s="24">
        <v>17</v>
      </c>
      <c r="L286" s="24">
        <v>6654</v>
      </c>
      <c r="M286" s="24"/>
    </row>
    <row r="287" spans="1:13" s="5" customFormat="1" outlineLevel="2">
      <c r="A287" s="39" t="s">
        <v>120</v>
      </c>
      <c r="B287" s="40" t="s">
        <v>192</v>
      </c>
      <c r="C287" s="41" t="s">
        <v>341</v>
      </c>
      <c r="D287" s="40" t="s">
        <v>340</v>
      </c>
      <c r="E287" s="24">
        <v>33600000</v>
      </c>
      <c r="F287" s="39">
        <v>44314</v>
      </c>
      <c r="G287" s="24">
        <v>33600000</v>
      </c>
      <c r="H287" s="23">
        <v>5.0000000000000001E-3</v>
      </c>
      <c r="I287" s="39">
        <v>44378</v>
      </c>
      <c r="J287" s="39">
        <v>44408</v>
      </c>
      <c r="K287" s="24">
        <v>31</v>
      </c>
      <c r="L287" s="24">
        <v>14268</v>
      </c>
      <c r="M287" s="24">
        <v>33600000</v>
      </c>
    </row>
    <row r="288" spans="1:13" s="5" customFormat="1" outlineLevel="2">
      <c r="A288" s="39" t="s">
        <v>120</v>
      </c>
      <c r="B288" s="40" t="s">
        <v>193</v>
      </c>
      <c r="C288" s="41" t="s">
        <v>219</v>
      </c>
      <c r="D288" s="40" t="s">
        <v>220</v>
      </c>
      <c r="E288" s="24">
        <v>22000000</v>
      </c>
      <c r="F288" s="39">
        <v>44314</v>
      </c>
      <c r="G288" s="24">
        <v>22000000</v>
      </c>
      <c r="H288" s="23">
        <v>5.0000000000000001E-3</v>
      </c>
      <c r="I288" s="39">
        <v>44378</v>
      </c>
      <c r="J288" s="39">
        <v>44408</v>
      </c>
      <c r="K288" s="24">
        <v>31</v>
      </c>
      <c r="L288" s="24">
        <v>9342</v>
      </c>
      <c r="M288" s="24">
        <v>22000000</v>
      </c>
    </row>
    <row r="289" spans="1:13" s="5" customFormat="1" outlineLevel="2">
      <c r="A289" s="39" t="s">
        <v>120</v>
      </c>
      <c r="B289" s="40" t="s">
        <v>194</v>
      </c>
      <c r="C289" s="41" t="s">
        <v>345</v>
      </c>
      <c r="D289" s="40" t="s">
        <v>344</v>
      </c>
      <c r="E289" s="24">
        <v>16000000</v>
      </c>
      <c r="F289" s="39">
        <v>44315</v>
      </c>
      <c r="G289" s="24">
        <v>16000000</v>
      </c>
      <c r="H289" s="23">
        <v>3.0000000000000001E-3</v>
      </c>
      <c r="I289" s="39">
        <v>44378</v>
      </c>
      <c r="J289" s="39">
        <v>44408</v>
      </c>
      <c r="K289" s="24">
        <v>31</v>
      </c>
      <c r="L289" s="24">
        <v>4077</v>
      </c>
      <c r="M289" s="24">
        <v>16000000</v>
      </c>
    </row>
    <row r="290" spans="1:13" s="5" customFormat="1" outlineLevel="2">
      <c r="A290" s="39" t="s">
        <v>120</v>
      </c>
      <c r="B290" s="40" t="s">
        <v>195</v>
      </c>
      <c r="C290" s="41" t="s">
        <v>363</v>
      </c>
      <c r="D290" s="40" t="s">
        <v>362</v>
      </c>
      <c r="E290" s="24">
        <v>3800000</v>
      </c>
      <c r="F290" s="39">
        <v>44309</v>
      </c>
      <c r="G290" s="24">
        <v>3800000</v>
      </c>
      <c r="H290" s="23">
        <v>5.0000000000000001E-3</v>
      </c>
      <c r="I290" s="39">
        <v>44378</v>
      </c>
      <c r="J290" s="39">
        <v>44408</v>
      </c>
      <c r="K290" s="24">
        <v>31</v>
      </c>
      <c r="L290" s="24">
        <v>1614</v>
      </c>
      <c r="M290" s="24">
        <v>3800000</v>
      </c>
    </row>
    <row r="291" spans="1:13" s="5" customFormat="1" outlineLevel="2">
      <c r="A291" s="39" t="s">
        <v>120</v>
      </c>
      <c r="B291" s="40" t="s">
        <v>64</v>
      </c>
      <c r="C291" s="41" t="s">
        <v>20</v>
      </c>
      <c r="D291" s="40" t="s">
        <v>21</v>
      </c>
      <c r="E291" s="24">
        <v>150000000</v>
      </c>
      <c r="F291" s="39">
        <v>43958</v>
      </c>
      <c r="G291" s="24">
        <v>150000000</v>
      </c>
      <c r="H291" s="23">
        <v>5.0000000000000001E-3</v>
      </c>
      <c r="I291" s="39">
        <v>44378</v>
      </c>
      <c r="J291" s="39">
        <v>44408</v>
      </c>
      <c r="K291" s="24">
        <v>31</v>
      </c>
      <c r="L291" s="24">
        <v>63699</v>
      </c>
      <c r="M291" s="24">
        <v>150000000</v>
      </c>
    </row>
    <row r="292" spans="1:13" s="5" customFormat="1" outlineLevel="2">
      <c r="A292" s="39" t="s">
        <v>120</v>
      </c>
      <c r="B292" s="40" t="s">
        <v>196</v>
      </c>
      <c r="C292" s="41" t="s">
        <v>17</v>
      </c>
      <c r="D292" s="40" t="s">
        <v>18</v>
      </c>
      <c r="E292" s="24">
        <v>2245530</v>
      </c>
      <c r="F292" s="39">
        <v>44334</v>
      </c>
      <c r="G292" s="24">
        <v>2203946</v>
      </c>
      <c r="H292" s="23">
        <v>5.0000000000000001E-3</v>
      </c>
      <c r="I292" s="39">
        <v>44378</v>
      </c>
      <c r="J292" s="39">
        <v>44391</v>
      </c>
      <c r="K292" s="24">
        <v>14</v>
      </c>
      <c r="L292" s="24">
        <v>423</v>
      </c>
      <c r="M292" s="24">
        <v>2162362</v>
      </c>
    </row>
    <row r="293" spans="1:13" s="5" customFormat="1" outlineLevel="2">
      <c r="A293" s="39" t="s">
        <v>120</v>
      </c>
      <c r="B293" s="40" t="s">
        <v>196</v>
      </c>
      <c r="C293" s="41" t="s">
        <v>17</v>
      </c>
      <c r="D293" s="40"/>
      <c r="E293" s="24"/>
      <c r="F293" s="39"/>
      <c r="G293" s="24">
        <v>2162362</v>
      </c>
      <c r="H293" s="23">
        <v>5.0000000000000001E-3</v>
      </c>
      <c r="I293" s="39">
        <v>44392</v>
      </c>
      <c r="J293" s="39">
        <v>44408</v>
      </c>
      <c r="K293" s="24">
        <v>17</v>
      </c>
      <c r="L293" s="24">
        <v>504</v>
      </c>
      <c r="M293" s="24"/>
    </row>
    <row r="294" spans="1:13" s="5" customFormat="1" outlineLevel="2">
      <c r="A294" s="39" t="s">
        <v>120</v>
      </c>
      <c r="B294" s="40" t="s">
        <v>197</v>
      </c>
      <c r="C294" s="41" t="s">
        <v>134</v>
      </c>
      <c r="D294" s="40" t="s">
        <v>135</v>
      </c>
      <c r="E294" s="24">
        <v>1000000</v>
      </c>
      <c r="F294" s="39">
        <v>44376</v>
      </c>
      <c r="G294" s="24">
        <v>1000000</v>
      </c>
      <c r="H294" s="23">
        <v>5.0000000000000001E-3</v>
      </c>
      <c r="I294" s="39">
        <v>44378</v>
      </c>
      <c r="J294" s="39">
        <v>44408</v>
      </c>
      <c r="K294" s="24">
        <v>31</v>
      </c>
      <c r="L294" s="24">
        <v>425</v>
      </c>
      <c r="M294" s="24">
        <v>1000000</v>
      </c>
    </row>
    <row r="295" spans="1:13" s="5" customFormat="1" outlineLevel="2">
      <c r="A295" s="39" t="s">
        <v>120</v>
      </c>
      <c r="B295" s="40" t="s">
        <v>198</v>
      </c>
      <c r="C295" s="41" t="s">
        <v>134</v>
      </c>
      <c r="D295" s="40" t="s">
        <v>135</v>
      </c>
      <c r="E295" s="24">
        <v>3000000</v>
      </c>
      <c r="F295" s="39">
        <v>44376</v>
      </c>
      <c r="G295" s="24">
        <v>3000000</v>
      </c>
      <c r="H295" s="23">
        <v>5.0000000000000001E-3</v>
      </c>
      <c r="I295" s="39">
        <v>44378</v>
      </c>
      <c r="J295" s="39">
        <v>44408</v>
      </c>
      <c r="K295" s="24">
        <v>31</v>
      </c>
      <c r="L295" s="24">
        <v>1274</v>
      </c>
      <c r="M295" s="24">
        <v>3000000</v>
      </c>
    </row>
    <row r="296" spans="1:13" s="5" customFormat="1" outlineLevel="2">
      <c r="A296" s="39" t="s">
        <v>120</v>
      </c>
      <c r="B296" s="40" t="s">
        <v>199</v>
      </c>
      <c r="C296" s="41" t="s">
        <v>219</v>
      </c>
      <c r="D296" s="40" t="s">
        <v>220</v>
      </c>
      <c r="E296" s="24">
        <v>28000000</v>
      </c>
      <c r="F296" s="39">
        <v>44375</v>
      </c>
      <c r="G296" s="24">
        <v>28000000</v>
      </c>
      <c r="H296" s="23">
        <v>5.0000000000000001E-3</v>
      </c>
      <c r="I296" s="39">
        <v>44378</v>
      </c>
      <c r="J296" s="39">
        <v>44408</v>
      </c>
      <c r="K296" s="24">
        <v>31</v>
      </c>
      <c r="L296" s="24">
        <v>11890</v>
      </c>
      <c r="M296" s="24">
        <v>28000000</v>
      </c>
    </row>
    <row r="297" spans="1:13" s="5" customFormat="1" outlineLevel="2">
      <c r="A297" s="39" t="s">
        <v>120</v>
      </c>
      <c r="B297" s="40" t="s">
        <v>200</v>
      </c>
      <c r="C297" s="41" t="s">
        <v>20</v>
      </c>
      <c r="D297" s="40" t="s">
        <v>21</v>
      </c>
      <c r="E297" s="24">
        <v>79200000</v>
      </c>
      <c r="F297" s="39">
        <v>44405</v>
      </c>
      <c r="G297" s="24">
        <v>79200000</v>
      </c>
      <c r="H297" s="23">
        <v>3.0000000000000001E-3</v>
      </c>
      <c r="I297" s="39">
        <v>44405</v>
      </c>
      <c r="J297" s="39">
        <v>44408</v>
      </c>
      <c r="K297" s="24">
        <v>4</v>
      </c>
      <c r="L297" s="24">
        <v>2604</v>
      </c>
      <c r="M297" s="24">
        <v>79200000</v>
      </c>
    </row>
    <row r="298" spans="1:13" s="5" customFormat="1" outlineLevel="2">
      <c r="A298" s="39" t="s">
        <v>120</v>
      </c>
      <c r="B298" s="40" t="s">
        <v>201</v>
      </c>
      <c r="C298" s="41" t="s">
        <v>125</v>
      </c>
      <c r="D298" s="40" t="s">
        <v>126</v>
      </c>
      <c r="E298" s="24">
        <v>6000000</v>
      </c>
      <c r="F298" s="39">
        <v>44386</v>
      </c>
      <c r="G298" s="24">
        <v>6000000</v>
      </c>
      <c r="H298" s="23">
        <v>5.0000000000000001E-3</v>
      </c>
      <c r="I298" s="39">
        <v>44386</v>
      </c>
      <c r="J298" s="39">
        <v>44408</v>
      </c>
      <c r="K298" s="24">
        <v>23</v>
      </c>
      <c r="L298" s="24">
        <v>1890</v>
      </c>
      <c r="M298" s="24">
        <v>6000000</v>
      </c>
    </row>
    <row r="299" spans="1:13" s="5" customFormat="1" outlineLevel="2">
      <c r="A299" s="39" t="s">
        <v>120</v>
      </c>
      <c r="B299" s="40" t="s">
        <v>65</v>
      </c>
      <c r="C299" s="41" t="s">
        <v>125</v>
      </c>
      <c r="D299" s="40" t="s">
        <v>126</v>
      </c>
      <c r="E299" s="24">
        <v>5000000</v>
      </c>
      <c r="F299" s="39">
        <v>43998</v>
      </c>
      <c r="G299" s="24">
        <v>5000000</v>
      </c>
      <c r="H299" s="23">
        <v>5.0000000000000001E-3</v>
      </c>
      <c r="I299" s="39">
        <v>44378</v>
      </c>
      <c r="J299" s="39">
        <v>44408</v>
      </c>
      <c r="K299" s="24">
        <v>31</v>
      </c>
      <c r="L299" s="24">
        <v>2123</v>
      </c>
      <c r="M299" s="24">
        <v>5000000</v>
      </c>
    </row>
    <row r="300" spans="1:13" s="5" customFormat="1" outlineLevel="2">
      <c r="A300" s="39" t="s">
        <v>120</v>
      </c>
      <c r="B300" s="40" t="s">
        <v>68</v>
      </c>
      <c r="C300" s="41" t="s">
        <v>125</v>
      </c>
      <c r="D300" s="40" t="s">
        <v>126</v>
      </c>
      <c r="E300" s="24">
        <v>17292000</v>
      </c>
      <c r="F300" s="39">
        <v>44002</v>
      </c>
      <c r="G300" s="24">
        <v>17292000</v>
      </c>
      <c r="H300" s="23">
        <v>5.0000000000000001E-3</v>
      </c>
      <c r="I300" s="39">
        <v>44378</v>
      </c>
      <c r="J300" s="39">
        <v>44408</v>
      </c>
      <c r="K300" s="24">
        <v>31</v>
      </c>
      <c r="L300" s="24">
        <v>7343</v>
      </c>
      <c r="M300" s="24">
        <v>17292000</v>
      </c>
    </row>
    <row r="301" spans="1:13" s="5" customFormat="1" outlineLevel="1">
      <c r="A301" s="42" t="s">
        <v>141</v>
      </c>
      <c r="B301" s="43"/>
      <c r="C301" s="44"/>
      <c r="D301" s="43"/>
      <c r="E301" s="45">
        <v>4391043430</v>
      </c>
      <c r="F301" s="46"/>
      <c r="G301" s="45"/>
      <c r="H301" s="47"/>
      <c r="I301" s="46"/>
      <c r="J301" s="46"/>
      <c r="K301" s="45"/>
      <c r="L301" s="45">
        <v>1682714</v>
      </c>
      <c r="M301" s="45">
        <v>4308264718</v>
      </c>
    </row>
    <row r="302" spans="1:13" s="5" customFormat="1" outlineLevel="2">
      <c r="A302" s="39" t="s">
        <v>142</v>
      </c>
      <c r="B302" s="40" t="s">
        <v>16</v>
      </c>
      <c r="C302" s="41" t="s">
        <v>143</v>
      </c>
      <c r="D302" s="40" t="s">
        <v>144</v>
      </c>
      <c r="E302" s="24">
        <v>38000000</v>
      </c>
      <c r="F302" s="39">
        <v>43762</v>
      </c>
      <c r="G302" s="24">
        <v>38000000</v>
      </c>
      <c r="H302" s="23">
        <v>5.0000000000000001E-3</v>
      </c>
      <c r="I302" s="39">
        <v>44378</v>
      </c>
      <c r="J302" s="39">
        <v>44408</v>
      </c>
      <c r="K302" s="24">
        <v>31</v>
      </c>
      <c r="L302" s="24">
        <v>16137</v>
      </c>
      <c r="M302" s="24">
        <v>38000000</v>
      </c>
    </row>
    <row r="303" spans="1:13" s="5" customFormat="1" outlineLevel="2">
      <c r="A303" s="39" t="s">
        <v>142</v>
      </c>
      <c r="B303" s="40" t="s">
        <v>19</v>
      </c>
      <c r="C303" s="41" t="s">
        <v>60</v>
      </c>
      <c r="D303" s="40" t="s">
        <v>61</v>
      </c>
      <c r="E303" s="24">
        <v>110000000</v>
      </c>
      <c r="F303" s="39">
        <v>43913</v>
      </c>
      <c r="G303" s="24">
        <v>110000000</v>
      </c>
      <c r="H303" s="23">
        <v>5.0000000000000001E-3</v>
      </c>
      <c r="I303" s="39">
        <v>44378</v>
      </c>
      <c r="J303" s="39">
        <v>44408</v>
      </c>
      <c r="K303" s="24">
        <v>31</v>
      </c>
      <c r="L303" s="24">
        <v>46712</v>
      </c>
      <c r="M303" s="24">
        <v>110000000</v>
      </c>
    </row>
    <row r="304" spans="1:13" s="5" customFormat="1" outlineLevel="2">
      <c r="A304" s="39" t="s">
        <v>142</v>
      </c>
      <c r="B304" s="40" t="s">
        <v>145</v>
      </c>
      <c r="C304" s="41" t="s">
        <v>146</v>
      </c>
      <c r="D304" s="40" t="s">
        <v>147</v>
      </c>
      <c r="E304" s="24">
        <v>5000000</v>
      </c>
      <c r="F304" s="39">
        <v>44204</v>
      </c>
      <c r="G304" s="24">
        <v>5000000</v>
      </c>
      <c r="H304" s="23">
        <v>5.0000000000000001E-3</v>
      </c>
      <c r="I304" s="39">
        <v>44378</v>
      </c>
      <c r="J304" s="39">
        <v>44408</v>
      </c>
      <c r="K304" s="24">
        <v>31</v>
      </c>
      <c r="L304" s="24">
        <v>2123</v>
      </c>
      <c r="M304" s="24">
        <v>5000000</v>
      </c>
    </row>
    <row r="305" spans="1:13" s="5" customFormat="1" outlineLevel="2">
      <c r="A305" s="39" t="s">
        <v>142</v>
      </c>
      <c r="B305" s="40" t="s">
        <v>148</v>
      </c>
      <c r="C305" s="41" t="s">
        <v>149</v>
      </c>
      <c r="D305" s="40" t="s">
        <v>150</v>
      </c>
      <c r="E305" s="24">
        <v>3528000</v>
      </c>
      <c r="F305" s="39">
        <v>44207</v>
      </c>
      <c r="G305" s="24">
        <v>3528000</v>
      </c>
      <c r="H305" s="23">
        <v>5.0000000000000001E-3</v>
      </c>
      <c r="I305" s="39">
        <v>44378</v>
      </c>
      <c r="J305" s="39">
        <v>44408</v>
      </c>
      <c r="K305" s="24">
        <v>31</v>
      </c>
      <c r="L305" s="24">
        <v>1498</v>
      </c>
      <c r="M305" s="24">
        <v>3528000</v>
      </c>
    </row>
    <row r="306" spans="1:13" s="5" customFormat="1" outlineLevel="2">
      <c r="A306" s="39" t="s">
        <v>142</v>
      </c>
      <c r="B306" s="40" t="s">
        <v>151</v>
      </c>
      <c r="C306" s="41" t="s">
        <v>149</v>
      </c>
      <c r="D306" s="40" t="s">
        <v>150</v>
      </c>
      <c r="E306" s="24">
        <v>2520000</v>
      </c>
      <c r="F306" s="39">
        <v>44207</v>
      </c>
      <c r="G306" s="24">
        <v>2520000</v>
      </c>
      <c r="H306" s="23">
        <v>5.0000000000000001E-3</v>
      </c>
      <c r="I306" s="39">
        <v>44378</v>
      </c>
      <c r="J306" s="39">
        <v>44408</v>
      </c>
      <c r="K306" s="24">
        <v>31</v>
      </c>
      <c r="L306" s="24">
        <v>1070</v>
      </c>
      <c r="M306" s="24">
        <v>2520000</v>
      </c>
    </row>
    <row r="307" spans="1:13" s="5" customFormat="1" outlineLevel="2">
      <c r="A307" s="39" t="s">
        <v>142</v>
      </c>
      <c r="B307" s="40" t="s">
        <v>152</v>
      </c>
      <c r="C307" s="41" t="s">
        <v>149</v>
      </c>
      <c r="D307" s="40" t="s">
        <v>150</v>
      </c>
      <c r="E307" s="24">
        <v>4368000</v>
      </c>
      <c r="F307" s="39">
        <v>44210</v>
      </c>
      <c r="G307" s="24">
        <v>4368000</v>
      </c>
      <c r="H307" s="23">
        <v>5.0000000000000001E-3</v>
      </c>
      <c r="I307" s="39">
        <v>44378</v>
      </c>
      <c r="J307" s="39">
        <v>44408</v>
      </c>
      <c r="K307" s="24">
        <v>31</v>
      </c>
      <c r="L307" s="24">
        <v>1855</v>
      </c>
      <c r="M307" s="24">
        <v>4368000</v>
      </c>
    </row>
    <row r="308" spans="1:13" s="5" customFormat="1" outlineLevel="2">
      <c r="A308" s="39" t="s">
        <v>142</v>
      </c>
      <c r="B308" s="40" t="s">
        <v>153</v>
      </c>
      <c r="C308" s="41" t="s">
        <v>149</v>
      </c>
      <c r="D308" s="40" t="s">
        <v>150</v>
      </c>
      <c r="E308" s="24">
        <v>95583736</v>
      </c>
      <c r="F308" s="39">
        <v>44225</v>
      </c>
      <c r="G308" s="24">
        <v>95583736</v>
      </c>
      <c r="H308" s="23">
        <v>5.0000000000000001E-3</v>
      </c>
      <c r="I308" s="39">
        <v>44378</v>
      </c>
      <c r="J308" s="39">
        <v>44408</v>
      </c>
      <c r="K308" s="24">
        <v>31</v>
      </c>
      <c r="L308" s="24">
        <v>40590</v>
      </c>
      <c r="M308" s="24">
        <v>95583736</v>
      </c>
    </row>
    <row r="309" spans="1:13" s="5" customFormat="1" outlineLevel="2">
      <c r="A309" s="39" t="s">
        <v>142</v>
      </c>
      <c r="B309" s="40" t="s">
        <v>154</v>
      </c>
      <c r="C309" s="41" t="s">
        <v>155</v>
      </c>
      <c r="D309" s="40" t="s">
        <v>156</v>
      </c>
      <c r="E309" s="24">
        <v>200000000</v>
      </c>
      <c r="F309" s="39">
        <v>44211</v>
      </c>
      <c r="G309" s="24">
        <v>200000000</v>
      </c>
      <c r="H309" s="23">
        <v>5.0000000000000001E-3</v>
      </c>
      <c r="I309" s="39">
        <v>44378</v>
      </c>
      <c r="J309" s="39">
        <v>44408</v>
      </c>
      <c r="K309" s="24">
        <v>31</v>
      </c>
      <c r="L309" s="24">
        <v>84932</v>
      </c>
      <c r="M309" s="24">
        <v>200000000</v>
      </c>
    </row>
    <row r="310" spans="1:13" s="5" customFormat="1" outlineLevel="2">
      <c r="A310" s="39" t="s">
        <v>142</v>
      </c>
      <c r="B310" s="40" t="s">
        <v>157</v>
      </c>
      <c r="C310" s="41" t="s">
        <v>125</v>
      </c>
      <c r="D310" s="40" t="s">
        <v>126</v>
      </c>
      <c r="E310" s="24">
        <v>3000000</v>
      </c>
      <c r="F310" s="39">
        <v>44216</v>
      </c>
      <c r="G310" s="24">
        <v>3000000</v>
      </c>
      <c r="H310" s="23">
        <v>5.0000000000000001E-3</v>
      </c>
      <c r="I310" s="39">
        <v>44378</v>
      </c>
      <c r="J310" s="39">
        <v>44408</v>
      </c>
      <c r="K310" s="24">
        <v>31</v>
      </c>
      <c r="L310" s="24">
        <v>1274</v>
      </c>
      <c r="M310" s="24">
        <v>3000000</v>
      </c>
    </row>
    <row r="311" spans="1:13" s="5" customFormat="1" outlineLevel="2">
      <c r="A311" s="39" t="s">
        <v>142</v>
      </c>
      <c r="B311" s="40" t="s">
        <v>158</v>
      </c>
      <c r="C311" s="41" t="s">
        <v>125</v>
      </c>
      <c r="D311" s="40" t="s">
        <v>126</v>
      </c>
      <c r="E311" s="24">
        <v>10000000</v>
      </c>
      <c r="F311" s="39">
        <v>44216</v>
      </c>
      <c r="G311" s="24">
        <v>10000000</v>
      </c>
      <c r="H311" s="23">
        <v>5.0000000000000001E-3</v>
      </c>
      <c r="I311" s="39">
        <v>44378</v>
      </c>
      <c r="J311" s="39">
        <v>44408</v>
      </c>
      <c r="K311" s="24">
        <v>31</v>
      </c>
      <c r="L311" s="24">
        <v>4247</v>
      </c>
      <c r="M311" s="24">
        <v>10000000</v>
      </c>
    </row>
    <row r="312" spans="1:13" s="5" customFormat="1" outlineLevel="2">
      <c r="A312" s="39" t="s">
        <v>142</v>
      </c>
      <c r="B312" s="40" t="s">
        <v>159</v>
      </c>
      <c r="C312" s="41" t="s">
        <v>87</v>
      </c>
      <c r="D312" s="40" t="s">
        <v>88</v>
      </c>
      <c r="E312" s="24">
        <v>14776161</v>
      </c>
      <c r="F312" s="39">
        <v>44221</v>
      </c>
      <c r="G312" s="24">
        <v>14776161</v>
      </c>
      <c r="H312" s="23">
        <v>5.0000000000000001E-3</v>
      </c>
      <c r="I312" s="39">
        <v>44378</v>
      </c>
      <c r="J312" s="39">
        <v>44408</v>
      </c>
      <c r="K312" s="24">
        <v>31</v>
      </c>
      <c r="L312" s="24">
        <v>6275</v>
      </c>
      <c r="M312" s="24">
        <v>14776161</v>
      </c>
    </row>
    <row r="313" spans="1:13" s="5" customFormat="1" outlineLevel="2">
      <c r="A313" s="39" t="s">
        <v>142</v>
      </c>
      <c r="B313" s="40" t="s">
        <v>320</v>
      </c>
      <c r="C313" s="41" t="s">
        <v>143</v>
      </c>
      <c r="D313" s="40" t="s">
        <v>144</v>
      </c>
      <c r="E313" s="24">
        <v>4100000</v>
      </c>
      <c r="F313" s="39">
        <v>44228</v>
      </c>
      <c r="G313" s="24">
        <v>4100000</v>
      </c>
      <c r="H313" s="23">
        <v>5.0000000000000001E-3</v>
      </c>
      <c r="I313" s="39">
        <v>44378</v>
      </c>
      <c r="J313" s="39">
        <v>44408</v>
      </c>
      <c r="K313" s="24">
        <v>31</v>
      </c>
      <c r="L313" s="24">
        <v>1741</v>
      </c>
      <c r="M313" s="24">
        <v>4100000</v>
      </c>
    </row>
    <row r="314" spans="1:13" s="5" customFormat="1" outlineLevel="2">
      <c r="A314" s="39" t="s">
        <v>142</v>
      </c>
      <c r="B314" s="40" t="s">
        <v>22</v>
      </c>
      <c r="C314" s="41" t="s">
        <v>149</v>
      </c>
      <c r="D314" s="40" t="s">
        <v>150</v>
      </c>
      <c r="E314" s="24">
        <v>95655336</v>
      </c>
      <c r="F314" s="39">
        <v>43951</v>
      </c>
      <c r="G314" s="24">
        <v>95655336</v>
      </c>
      <c r="H314" s="23">
        <v>5.0000000000000001E-3</v>
      </c>
      <c r="I314" s="39">
        <v>44378</v>
      </c>
      <c r="J314" s="39">
        <v>44408</v>
      </c>
      <c r="K314" s="24">
        <v>31</v>
      </c>
      <c r="L314" s="24">
        <v>40621</v>
      </c>
      <c r="M314" s="24">
        <v>95655336</v>
      </c>
    </row>
    <row r="315" spans="1:13" s="5" customFormat="1" outlineLevel="2">
      <c r="A315" s="39" t="s">
        <v>142</v>
      </c>
      <c r="B315" s="40" t="s">
        <v>319</v>
      </c>
      <c r="C315" s="41" t="s">
        <v>149</v>
      </c>
      <c r="D315" s="40" t="s">
        <v>150</v>
      </c>
      <c r="E315" s="24">
        <v>13843200</v>
      </c>
      <c r="F315" s="39">
        <v>44232</v>
      </c>
      <c r="G315" s="24">
        <v>13843200</v>
      </c>
      <c r="H315" s="23">
        <v>5.0000000000000001E-3</v>
      </c>
      <c r="I315" s="39">
        <v>44378</v>
      </c>
      <c r="J315" s="39">
        <v>44408</v>
      </c>
      <c r="K315" s="24">
        <v>31</v>
      </c>
      <c r="L315" s="24">
        <v>5879</v>
      </c>
      <c r="M315" s="24">
        <v>13843200</v>
      </c>
    </row>
    <row r="316" spans="1:13" s="5" customFormat="1" outlineLevel="2">
      <c r="A316" s="39" t="s">
        <v>142</v>
      </c>
      <c r="B316" s="40" t="s">
        <v>318</v>
      </c>
      <c r="C316" s="41" t="s">
        <v>149</v>
      </c>
      <c r="D316" s="40" t="s">
        <v>150</v>
      </c>
      <c r="E316" s="24">
        <v>7056000</v>
      </c>
      <c r="F316" s="39">
        <v>44235</v>
      </c>
      <c r="G316" s="24">
        <v>7056000</v>
      </c>
      <c r="H316" s="23">
        <v>5.0000000000000001E-3</v>
      </c>
      <c r="I316" s="39">
        <v>44378</v>
      </c>
      <c r="J316" s="39">
        <v>44408</v>
      </c>
      <c r="K316" s="24">
        <v>31</v>
      </c>
      <c r="L316" s="24">
        <v>2996</v>
      </c>
      <c r="M316" s="24">
        <v>7056000</v>
      </c>
    </row>
    <row r="317" spans="1:13" s="5" customFormat="1" outlineLevel="2">
      <c r="A317" s="39" t="s">
        <v>142</v>
      </c>
      <c r="B317" s="40" t="s">
        <v>317</v>
      </c>
      <c r="C317" s="41" t="s">
        <v>149</v>
      </c>
      <c r="D317" s="40" t="s">
        <v>150</v>
      </c>
      <c r="E317" s="24">
        <v>2184000</v>
      </c>
      <c r="F317" s="39">
        <v>44235</v>
      </c>
      <c r="G317" s="24">
        <v>2184000</v>
      </c>
      <c r="H317" s="23">
        <v>5.0000000000000001E-3</v>
      </c>
      <c r="I317" s="39">
        <v>44378</v>
      </c>
      <c r="J317" s="39">
        <v>44408</v>
      </c>
      <c r="K317" s="24">
        <v>31</v>
      </c>
      <c r="L317" s="24">
        <v>927</v>
      </c>
      <c r="M317" s="24">
        <v>2184000</v>
      </c>
    </row>
    <row r="318" spans="1:13" s="5" customFormat="1" outlineLevel="2">
      <c r="A318" s="39" t="s">
        <v>142</v>
      </c>
      <c r="B318" s="40" t="s">
        <v>316</v>
      </c>
      <c r="C318" s="41" t="s">
        <v>149</v>
      </c>
      <c r="D318" s="40" t="s">
        <v>150</v>
      </c>
      <c r="E318" s="24">
        <v>5040000</v>
      </c>
      <c r="F318" s="39">
        <v>44235</v>
      </c>
      <c r="G318" s="24">
        <v>5040000</v>
      </c>
      <c r="H318" s="23">
        <v>5.0000000000000001E-3</v>
      </c>
      <c r="I318" s="39">
        <v>44378</v>
      </c>
      <c r="J318" s="39">
        <v>44408</v>
      </c>
      <c r="K318" s="24">
        <v>31</v>
      </c>
      <c r="L318" s="24">
        <v>2140</v>
      </c>
      <c r="M318" s="24">
        <v>5040000</v>
      </c>
    </row>
    <row r="319" spans="1:13" s="5" customFormat="1" outlineLevel="2">
      <c r="A319" s="39" t="s">
        <v>142</v>
      </c>
      <c r="B319" s="40" t="s">
        <v>315</v>
      </c>
      <c r="C319" s="41" t="s">
        <v>149</v>
      </c>
      <c r="D319" s="40" t="s">
        <v>150</v>
      </c>
      <c r="E319" s="24">
        <v>8316000</v>
      </c>
      <c r="F319" s="39">
        <v>44244</v>
      </c>
      <c r="G319" s="24">
        <v>8316000</v>
      </c>
      <c r="H319" s="23">
        <v>5.0000000000000001E-3</v>
      </c>
      <c r="I319" s="39">
        <v>44378</v>
      </c>
      <c r="J319" s="39">
        <v>44408</v>
      </c>
      <c r="K319" s="24">
        <v>31</v>
      </c>
      <c r="L319" s="24">
        <v>3531</v>
      </c>
      <c r="M319" s="24">
        <v>8316000</v>
      </c>
    </row>
    <row r="320" spans="1:13" s="5" customFormat="1" outlineLevel="2">
      <c r="A320" s="39" t="s">
        <v>142</v>
      </c>
      <c r="B320" s="40" t="s">
        <v>314</v>
      </c>
      <c r="C320" s="41" t="s">
        <v>149</v>
      </c>
      <c r="D320" s="40" t="s">
        <v>150</v>
      </c>
      <c r="E320" s="24">
        <v>8547840</v>
      </c>
      <c r="F320" s="39">
        <v>44244</v>
      </c>
      <c r="G320" s="24">
        <v>8547840</v>
      </c>
      <c r="H320" s="23">
        <v>5.0000000000000001E-3</v>
      </c>
      <c r="I320" s="39">
        <v>44378</v>
      </c>
      <c r="J320" s="39">
        <v>44408</v>
      </c>
      <c r="K320" s="24">
        <v>31</v>
      </c>
      <c r="L320" s="24">
        <v>3630</v>
      </c>
      <c r="M320" s="24">
        <v>8547840</v>
      </c>
    </row>
    <row r="321" spans="1:13" s="5" customFormat="1" outlineLevel="2">
      <c r="A321" s="39" t="s">
        <v>142</v>
      </c>
      <c r="B321" s="40" t="s">
        <v>313</v>
      </c>
      <c r="C321" s="41" t="s">
        <v>149</v>
      </c>
      <c r="D321" s="40" t="s">
        <v>150</v>
      </c>
      <c r="E321" s="24">
        <v>6384000</v>
      </c>
      <c r="F321" s="39">
        <v>44244</v>
      </c>
      <c r="G321" s="24">
        <v>6384000</v>
      </c>
      <c r="H321" s="23">
        <v>5.0000000000000001E-3</v>
      </c>
      <c r="I321" s="39">
        <v>44378</v>
      </c>
      <c r="J321" s="39">
        <v>44408</v>
      </c>
      <c r="K321" s="24">
        <v>31</v>
      </c>
      <c r="L321" s="24">
        <v>2711</v>
      </c>
      <c r="M321" s="24">
        <v>6384000</v>
      </c>
    </row>
    <row r="322" spans="1:13" s="5" customFormat="1" outlineLevel="2">
      <c r="A322" s="39" t="s">
        <v>142</v>
      </c>
      <c r="B322" s="40" t="s">
        <v>312</v>
      </c>
      <c r="C322" s="41" t="s">
        <v>149</v>
      </c>
      <c r="D322" s="40" t="s">
        <v>150</v>
      </c>
      <c r="E322" s="24">
        <v>226800</v>
      </c>
      <c r="F322" s="39">
        <v>44244</v>
      </c>
      <c r="G322" s="24">
        <v>226800</v>
      </c>
      <c r="H322" s="23">
        <v>5.0000000000000001E-3</v>
      </c>
      <c r="I322" s="39">
        <v>44378</v>
      </c>
      <c r="J322" s="39">
        <v>44408</v>
      </c>
      <c r="K322" s="24">
        <v>31</v>
      </c>
      <c r="L322" s="24">
        <v>96</v>
      </c>
      <c r="M322" s="24">
        <v>226800</v>
      </c>
    </row>
    <row r="323" spans="1:13" s="5" customFormat="1" outlineLevel="2">
      <c r="A323" s="39" t="s">
        <v>142</v>
      </c>
      <c r="B323" s="40" t="s">
        <v>311</v>
      </c>
      <c r="C323" s="41" t="s">
        <v>155</v>
      </c>
      <c r="D323" s="40" t="s">
        <v>156</v>
      </c>
      <c r="E323" s="24">
        <v>100000000</v>
      </c>
      <c r="F323" s="39">
        <v>44236</v>
      </c>
      <c r="G323" s="24">
        <v>100000000</v>
      </c>
      <c r="H323" s="23">
        <v>5.0000000000000001E-3</v>
      </c>
      <c r="I323" s="39">
        <v>44378</v>
      </c>
      <c r="J323" s="39">
        <v>44408</v>
      </c>
      <c r="K323" s="24">
        <v>31</v>
      </c>
      <c r="L323" s="24">
        <v>42466</v>
      </c>
      <c r="M323" s="24">
        <v>100000000</v>
      </c>
    </row>
    <row r="324" spans="1:13" s="5" customFormat="1" outlineLevel="2">
      <c r="A324" s="39" t="s">
        <v>142</v>
      </c>
      <c r="B324" s="40" t="s">
        <v>310</v>
      </c>
      <c r="C324" s="41" t="s">
        <v>155</v>
      </c>
      <c r="D324" s="40" t="s">
        <v>156</v>
      </c>
      <c r="E324" s="24">
        <v>200000000</v>
      </c>
      <c r="F324" s="39">
        <v>44244</v>
      </c>
      <c r="G324" s="24">
        <v>200000000</v>
      </c>
      <c r="H324" s="23">
        <v>5.0000000000000001E-3</v>
      </c>
      <c r="I324" s="39">
        <v>44378</v>
      </c>
      <c r="J324" s="39">
        <v>44408</v>
      </c>
      <c r="K324" s="24">
        <v>31</v>
      </c>
      <c r="L324" s="24">
        <v>84932</v>
      </c>
      <c r="M324" s="24">
        <v>200000000</v>
      </c>
    </row>
    <row r="325" spans="1:13" s="5" customFormat="1" outlineLevel="2">
      <c r="A325" s="39" t="s">
        <v>142</v>
      </c>
      <c r="B325" s="40" t="s">
        <v>25</v>
      </c>
      <c r="C325" s="41" t="s">
        <v>143</v>
      </c>
      <c r="D325" s="40" t="s">
        <v>144</v>
      </c>
      <c r="E325" s="24">
        <v>38000000</v>
      </c>
      <c r="F325" s="39">
        <v>43962</v>
      </c>
      <c r="G325" s="24">
        <v>38000000</v>
      </c>
      <c r="H325" s="23">
        <v>5.0000000000000001E-3</v>
      </c>
      <c r="I325" s="39">
        <v>44378</v>
      </c>
      <c r="J325" s="39">
        <v>44408</v>
      </c>
      <c r="K325" s="24">
        <v>31</v>
      </c>
      <c r="L325" s="24">
        <v>16137</v>
      </c>
      <c r="M325" s="24">
        <v>38000000</v>
      </c>
    </row>
    <row r="326" spans="1:13" s="5" customFormat="1" outlineLevel="2">
      <c r="A326" s="39" t="s">
        <v>142</v>
      </c>
      <c r="B326" s="40" t="s">
        <v>309</v>
      </c>
      <c r="C326" s="41" t="s">
        <v>219</v>
      </c>
      <c r="D326" s="40" t="s">
        <v>220</v>
      </c>
      <c r="E326" s="24">
        <v>20000000</v>
      </c>
      <c r="F326" s="39">
        <v>44251</v>
      </c>
      <c r="G326" s="24">
        <v>20000000</v>
      </c>
      <c r="H326" s="23">
        <v>5.0000000000000001E-3</v>
      </c>
      <c r="I326" s="39">
        <v>44378</v>
      </c>
      <c r="J326" s="39">
        <v>44408</v>
      </c>
      <c r="K326" s="24">
        <v>31</v>
      </c>
      <c r="L326" s="24">
        <v>8493</v>
      </c>
      <c r="M326" s="24">
        <v>20000000</v>
      </c>
    </row>
    <row r="327" spans="1:13" s="5" customFormat="1" outlineLevel="2">
      <c r="A327" s="39" t="s">
        <v>142</v>
      </c>
      <c r="B327" s="40" t="s">
        <v>308</v>
      </c>
      <c r="C327" s="41" t="s">
        <v>125</v>
      </c>
      <c r="D327" s="40" t="s">
        <v>126</v>
      </c>
      <c r="E327" s="24">
        <v>5000000</v>
      </c>
      <c r="F327" s="39">
        <v>44251</v>
      </c>
      <c r="G327" s="24">
        <v>5000000</v>
      </c>
      <c r="H327" s="23">
        <v>5.0000000000000001E-3</v>
      </c>
      <c r="I327" s="39">
        <v>44378</v>
      </c>
      <c r="J327" s="39">
        <v>44408</v>
      </c>
      <c r="K327" s="24">
        <v>31</v>
      </c>
      <c r="L327" s="24">
        <v>2123</v>
      </c>
      <c r="M327" s="24">
        <v>5000000</v>
      </c>
    </row>
    <row r="328" spans="1:13" s="5" customFormat="1" outlineLevel="2">
      <c r="A328" s="39" t="s">
        <v>142</v>
      </c>
      <c r="B328" s="40" t="s">
        <v>307</v>
      </c>
      <c r="C328" s="41" t="s">
        <v>89</v>
      </c>
      <c r="D328" s="40" t="s">
        <v>90</v>
      </c>
      <c r="E328" s="24">
        <v>80000000</v>
      </c>
      <c r="F328" s="39">
        <v>44253</v>
      </c>
      <c r="G328" s="24">
        <v>80000000</v>
      </c>
      <c r="H328" s="23">
        <v>5.0000000000000001E-3</v>
      </c>
      <c r="I328" s="39">
        <v>44378</v>
      </c>
      <c r="J328" s="39">
        <v>44408</v>
      </c>
      <c r="K328" s="24">
        <v>31</v>
      </c>
      <c r="L328" s="24">
        <v>33973</v>
      </c>
      <c r="M328" s="24">
        <v>80000000</v>
      </c>
    </row>
    <row r="329" spans="1:13" s="5" customFormat="1" outlineLevel="2">
      <c r="A329" s="39" t="s">
        <v>142</v>
      </c>
      <c r="B329" s="40" t="s">
        <v>335</v>
      </c>
      <c r="C329" s="41" t="s">
        <v>143</v>
      </c>
      <c r="D329" s="40" t="s">
        <v>144</v>
      </c>
      <c r="E329" s="24">
        <v>1350000</v>
      </c>
      <c r="F329" s="39">
        <v>44257</v>
      </c>
      <c r="G329" s="24">
        <v>1350000</v>
      </c>
      <c r="H329" s="23">
        <v>5.0000000000000001E-3</v>
      </c>
      <c r="I329" s="39">
        <v>44378</v>
      </c>
      <c r="J329" s="39">
        <v>44408</v>
      </c>
      <c r="K329" s="24">
        <v>31</v>
      </c>
      <c r="L329" s="24">
        <v>573</v>
      </c>
      <c r="M329" s="24">
        <v>1350000</v>
      </c>
    </row>
    <row r="330" spans="1:13" s="5" customFormat="1" outlineLevel="2">
      <c r="A330" s="39" t="s">
        <v>142</v>
      </c>
      <c r="B330" s="40" t="s">
        <v>334</v>
      </c>
      <c r="C330" s="41" t="s">
        <v>143</v>
      </c>
      <c r="D330" s="40" t="s">
        <v>144</v>
      </c>
      <c r="E330" s="24">
        <v>3000000</v>
      </c>
      <c r="F330" s="39">
        <v>44286</v>
      </c>
      <c r="G330" s="24">
        <v>3000000</v>
      </c>
      <c r="H330" s="23">
        <v>5.0000000000000001E-3</v>
      </c>
      <c r="I330" s="39">
        <v>44378</v>
      </c>
      <c r="J330" s="39">
        <v>44408</v>
      </c>
      <c r="K330" s="24">
        <v>31</v>
      </c>
      <c r="L330" s="24">
        <v>1274</v>
      </c>
      <c r="M330" s="24">
        <v>3000000</v>
      </c>
    </row>
    <row r="331" spans="1:13" s="5" customFormat="1" outlineLevel="2">
      <c r="A331" s="39" t="s">
        <v>142</v>
      </c>
      <c r="B331" s="40" t="s">
        <v>333</v>
      </c>
      <c r="C331" s="41" t="s">
        <v>143</v>
      </c>
      <c r="D331" s="40" t="s">
        <v>144</v>
      </c>
      <c r="E331" s="24">
        <v>12800000</v>
      </c>
      <c r="F331" s="39">
        <v>44286</v>
      </c>
      <c r="G331" s="24">
        <v>12800000</v>
      </c>
      <c r="H331" s="23">
        <v>5.0000000000000001E-3</v>
      </c>
      <c r="I331" s="39">
        <v>44378</v>
      </c>
      <c r="J331" s="39">
        <v>44408</v>
      </c>
      <c r="K331" s="24">
        <v>31</v>
      </c>
      <c r="L331" s="24">
        <v>5436</v>
      </c>
      <c r="M331" s="24">
        <v>12800000</v>
      </c>
    </row>
    <row r="332" spans="1:13" s="5" customFormat="1" outlineLevel="2">
      <c r="A332" s="39" t="s">
        <v>142</v>
      </c>
      <c r="B332" s="40" t="s">
        <v>332</v>
      </c>
      <c r="C332" s="41" t="s">
        <v>125</v>
      </c>
      <c r="D332" s="40" t="s">
        <v>126</v>
      </c>
      <c r="E332" s="24">
        <v>29000000</v>
      </c>
      <c r="F332" s="39">
        <v>44257</v>
      </c>
      <c r="G332" s="24">
        <v>29000000</v>
      </c>
      <c r="H332" s="23">
        <v>5.0000000000000001E-3</v>
      </c>
      <c r="I332" s="39">
        <v>44378</v>
      </c>
      <c r="J332" s="39">
        <v>44408</v>
      </c>
      <c r="K332" s="24">
        <v>31</v>
      </c>
      <c r="L332" s="24">
        <v>12315</v>
      </c>
      <c r="M332" s="24">
        <v>29000000</v>
      </c>
    </row>
    <row r="333" spans="1:13" s="5" customFormat="1" outlineLevel="2">
      <c r="A333" s="39" t="s">
        <v>142</v>
      </c>
      <c r="B333" s="40" t="s">
        <v>331</v>
      </c>
      <c r="C333" s="41" t="s">
        <v>125</v>
      </c>
      <c r="D333" s="40" t="s">
        <v>126</v>
      </c>
      <c r="E333" s="24">
        <v>5000000</v>
      </c>
      <c r="F333" s="39">
        <v>44279</v>
      </c>
      <c r="G333" s="24">
        <v>5000000</v>
      </c>
      <c r="H333" s="23">
        <v>5.0000000000000001E-3</v>
      </c>
      <c r="I333" s="39">
        <v>44378</v>
      </c>
      <c r="J333" s="39">
        <v>44408</v>
      </c>
      <c r="K333" s="24">
        <v>31</v>
      </c>
      <c r="L333" s="24">
        <v>2123</v>
      </c>
      <c r="M333" s="24">
        <v>5000000</v>
      </c>
    </row>
    <row r="334" spans="1:13" s="5" customFormat="1" outlineLevel="2">
      <c r="A334" s="39" t="s">
        <v>142</v>
      </c>
      <c r="B334" s="40" t="s">
        <v>330</v>
      </c>
      <c r="C334" s="41" t="s">
        <v>125</v>
      </c>
      <c r="D334" s="40" t="s">
        <v>126</v>
      </c>
      <c r="E334" s="24">
        <v>5000000</v>
      </c>
      <c r="F334" s="39">
        <v>44286</v>
      </c>
      <c r="G334" s="24">
        <v>5000000</v>
      </c>
      <c r="H334" s="23">
        <v>5.0000000000000001E-3</v>
      </c>
      <c r="I334" s="39">
        <v>44378</v>
      </c>
      <c r="J334" s="39">
        <v>44408</v>
      </c>
      <c r="K334" s="24">
        <v>31</v>
      </c>
      <c r="L334" s="24">
        <v>2123</v>
      </c>
      <c r="M334" s="24">
        <v>5000000</v>
      </c>
    </row>
    <row r="335" spans="1:13" s="5" customFormat="1" outlineLevel="2">
      <c r="A335" s="39" t="s">
        <v>142</v>
      </c>
      <c r="B335" s="40" t="s">
        <v>329</v>
      </c>
      <c r="C335" s="41" t="s">
        <v>149</v>
      </c>
      <c r="D335" s="40" t="s">
        <v>150</v>
      </c>
      <c r="E335" s="24">
        <v>1176000</v>
      </c>
      <c r="F335" s="39">
        <v>44270</v>
      </c>
      <c r="G335" s="24">
        <v>1176000</v>
      </c>
      <c r="H335" s="23">
        <v>5.0000000000000001E-3</v>
      </c>
      <c r="I335" s="39">
        <v>44378</v>
      </c>
      <c r="J335" s="39">
        <v>44408</v>
      </c>
      <c r="K335" s="24">
        <v>31</v>
      </c>
      <c r="L335" s="24">
        <v>499</v>
      </c>
      <c r="M335" s="24">
        <v>1176000</v>
      </c>
    </row>
    <row r="336" spans="1:13" s="5" customFormat="1" outlineLevel="2">
      <c r="A336" s="39" t="s">
        <v>142</v>
      </c>
      <c r="B336" s="40" t="s">
        <v>26</v>
      </c>
      <c r="C336" s="41" t="s">
        <v>143</v>
      </c>
      <c r="D336" s="40" t="s">
        <v>144</v>
      </c>
      <c r="E336" s="24">
        <v>10500000</v>
      </c>
      <c r="F336" s="39">
        <v>43962</v>
      </c>
      <c r="G336" s="24">
        <v>10500000</v>
      </c>
      <c r="H336" s="23">
        <v>5.0000000000000001E-3</v>
      </c>
      <c r="I336" s="39">
        <v>44378</v>
      </c>
      <c r="J336" s="39">
        <v>44408</v>
      </c>
      <c r="K336" s="24">
        <v>31</v>
      </c>
      <c r="L336" s="24">
        <v>4459</v>
      </c>
      <c r="M336" s="24">
        <v>10500000</v>
      </c>
    </row>
    <row r="337" spans="1:13" s="5" customFormat="1" outlineLevel="2">
      <c r="A337" s="39" t="s">
        <v>142</v>
      </c>
      <c r="B337" s="40" t="s">
        <v>328</v>
      </c>
      <c r="C337" s="41" t="s">
        <v>149</v>
      </c>
      <c r="D337" s="40" t="s">
        <v>150</v>
      </c>
      <c r="E337" s="24">
        <v>840000</v>
      </c>
      <c r="F337" s="39">
        <v>44270</v>
      </c>
      <c r="G337" s="24">
        <v>840000</v>
      </c>
      <c r="H337" s="23">
        <v>5.0000000000000001E-3</v>
      </c>
      <c r="I337" s="39">
        <v>44378</v>
      </c>
      <c r="J337" s="39">
        <v>44408</v>
      </c>
      <c r="K337" s="24">
        <v>31</v>
      </c>
      <c r="L337" s="24">
        <v>357</v>
      </c>
      <c r="M337" s="24">
        <v>840000</v>
      </c>
    </row>
    <row r="338" spans="1:13" s="5" customFormat="1" outlineLevel="2">
      <c r="A338" s="39" t="s">
        <v>142</v>
      </c>
      <c r="B338" s="40" t="s">
        <v>327</v>
      </c>
      <c r="C338" s="41" t="s">
        <v>187</v>
      </c>
      <c r="D338" s="40" t="s">
        <v>188</v>
      </c>
      <c r="E338" s="24">
        <v>190400000</v>
      </c>
      <c r="F338" s="39">
        <v>44273</v>
      </c>
      <c r="G338" s="24">
        <v>190400000</v>
      </c>
      <c r="H338" s="23">
        <v>5.0000000000000001E-3</v>
      </c>
      <c r="I338" s="39">
        <v>44378</v>
      </c>
      <c r="J338" s="39">
        <v>44408</v>
      </c>
      <c r="K338" s="24">
        <v>31</v>
      </c>
      <c r="L338" s="24">
        <v>80855</v>
      </c>
      <c r="M338" s="24">
        <v>190400000</v>
      </c>
    </row>
    <row r="339" spans="1:13" s="5" customFormat="1" outlineLevel="2">
      <c r="A339" s="39" t="s">
        <v>142</v>
      </c>
      <c r="B339" s="40" t="s">
        <v>326</v>
      </c>
      <c r="C339" s="41" t="s">
        <v>121</v>
      </c>
      <c r="D339" s="40" t="s">
        <v>122</v>
      </c>
      <c r="E339" s="24">
        <v>54000000</v>
      </c>
      <c r="F339" s="39">
        <v>44278</v>
      </c>
      <c r="G339" s="24">
        <v>54000000</v>
      </c>
      <c r="H339" s="23">
        <v>5.0000000000000001E-3</v>
      </c>
      <c r="I339" s="39">
        <v>44378</v>
      </c>
      <c r="J339" s="39">
        <v>44408</v>
      </c>
      <c r="K339" s="24">
        <v>31</v>
      </c>
      <c r="L339" s="24">
        <v>22932</v>
      </c>
      <c r="M339" s="24">
        <v>54000000</v>
      </c>
    </row>
    <row r="340" spans="1:13" s="5" customFormat="1" outlineLevel="2">
      <c r="A340" s="39" t="s">
        <v>142</v>
      </c>
      <c r="B340" s="40" t="s">
        <v>325</v>
      </c>
      <c r="C340" s="41" t="s">
        <v>165</v>
      </c>
      <c r="D340" s="40" t="s">
        <v>166</v>
      </c>
      <c r="E340" s="24">
        <v>24800000</v>
      </c>
      <c r="F340" s="39">
        <v>44284</v>
      </c>
      <c r="G340" s="24">
        <v>24800000</v>
      </c>
      <c r="H340" s="23">
        <v>5.0000000000000001E-3</v>
      </c>
      <c r="I340" s="39">
        <v>44378</v>
      </c>
      <c r="J340" s="39">
        <v>44408</v>
      </c>
      <c r="K340" s="24">
        <v>31</v>
      </c>
      <c r="L340" s="24">
        <v>10532</v>
      </c>
      <c r="M340" s="24">
        <v>24800000</v>
      </c>
    </row>
    <row r="341" spans="1:13" s="5" customFormat="1" outlineLevel="2">
      <c r="A341" s="39" t="s">
        <v>142</v>
      </c>
      <c r="B341" s="40" t="s">
        <v>361</v>
      </c>
      <c r="C341" s="41" t="s">
        <v>85</v>
      </c>
      <c r="D341" s="40" t="s">
        <v>86</v>
      </c>
      <c r="E341" s="24">
        <v>2500000</v>
      </c>
      <c r="F341" s="39">
        <v>44287</v>
      </c>
      <c r="G341" s="24">
        <v>2500000</v>
      </c>
      <c r="H341" s="23">
        <v>5.0000000000000001E-3</v>
      </c>
      <c r="I341" s="39">
        <v>44378</v>
      </c>
      <c r="J341" s="39">
        <v>44408</v>
      </c>
      <c r="K341" s="24">
        <v>31</v>
      </c>
      <c r="L341" s="24">
        <v>1062</v>
      </c>
      <c r="M341" s="24">
        <v>2500000</v>
      </c>
    </row>
    <row r="342" spans="1:13" s="5" customFormat="1" outlineLevel="2">
      <c r="A342" s="39" t="s">
        <v>142</v>
      </c>
      <c r="B342" s="40" t="s">
        <v>360</v>
      </c>
      <c r="C342" s="41" t="s">
        <v>85</v>
      </c>
      <c r="D342" s="40" t="s">
        <v>86</v>
      </c>
      <c r="E342" s="24">
        <v>7500000</v>
      </c>
      <c r="F342" s="39">
        <v>44287</v>
      </c>
      <c r="G342" s="24">
        <v>7500000</v>
      </c>
      <c r="H342" s="23">
        <v>5.0000000000000001E-3</v>
      </c>
      <c r="I342" s="39">
        <v>44378</v>
      </c>
      <c r="J342" s="39">
        <v>44408</v>
      </c>
      <c r="K342" s="24">
        <v>31</v>
      </c>
      <c r="L342" s="24">
        <v>3185</v>
      </c>
      <c r="M342" s="24">
        <v>7500000</v>
      </c>
    </row>
    <row r="343" spans="1:13" s="5" customFormat="1" outlineLevel="2">
      <c r="A343" s="39" t="s">
        <v>142</v>
      </c>
      <c r="B343" s="40" t="s">
        <v>359</v>
      </c>
      <c r="C343" s="41" t="s">
        <v>85</v>
      </c>
      <c r="D343" s="40" t="s">
        <v>86</v>
      </c>
      <c r="E343" s="24">
        <v>4975000</v>
      </c>
      <c r="F343" s="39">
        <v>44306</v>
      </c>
      <c r="G343" s="24">
        <v>4975000</v>
      </c>
      <c r="H343" s="23">
        <v>5.0000000000000001E-3</v>
      </c>
      <c r="I343" s="39">
        <v>44378</v>
      </c>
      <c r="J343" s="39">
        <v>44408</v>
      </c>
      <c r="K343" s="24">
        <v>31</v>
      </c>
      <c r="L343" s="24">
        <v>2113</v>
      </c>
      <c r="M343" s="24">
        <v>4975000</v>
      </c>
    </row>
    <row r="344" spans="1:13" s="5" customFormat="1" outlineLevel="2">
      <c r="A344" s="39" t="s">
        <v>142</v>
      </c>
      <c r="B344" s="40" t="s">
        <v>358</v>
      </c>
      <c r="C344" s="41" t="s">
        <v>85</v>
      </c>
      <c r="D344" s="40" t="s">
        <v>86</v>
      </c>
      <c r="E344" s="24">
        <v>14925000</v>
      </c>
      <c r="F344" s="39">
        <v>44306</v>
      </c>
      <c r="G344" s="24">
        <v>14925000</v>
      </c>
      <c r="H344" s="23">
        <v>5.0000000000000001E-3</v>
      </c>
      <c r="I344" s="39">
        <v>44378</v>
      </c>
      <c r="J344" s="39">
        <v>44408</v>
      </c>
      <c r="K344" s="24">
        <v>31</v>
      </c>
      <c r="L344" s="24">
        <v>6338</v>
      </c>
      <c r="M344" s="24">
        <v>14925000</v>
      </c>
    </row>
    <row r="345" spans="1:13" s="5" customFormat="1" outlineLevel="2">
      <c r="A345" s="39" t="s">
        <v>142</v>
      </c>
      <c r="B345" s="40" t="s">
        <v>357</v>
      </c>
      <c r="C345" s="41" t="s">
        <v>149</v>
      </c>
      <c r="D345" s="40" t="s">
        <v>150</v>
      </c>
      <c r="E345" s="24">
        <v>1663200</v>
      </c>
      <c r="F345" s="39">
        <v>44294</v>
      </c>
      <c r="G345" s="24">
        <v>1663200</v>
      </c>
      <c r="H345" s="23">
        <v>5.0000000000000001E-3</v>
      </c>
      <c r="I345" s="39">
        <v>44378</v>
      </c>
      <c r="J345" s="39">
        <v>44408</v>
      </c>
      <c r="K345" s="24">
        <v>31</v>
      </c>
      <c r="L345" s="24">
        <v>706</v>
      </c>
      <c r="M345" s="24">
        <v>1663200</v>
      </c>
    </row>
    <row r="346" spans="1:13" s="5" customFormat="1" outlineLevel="2">
      <c r="A346" s="39" t="s">
        <v>142</v>
      </c>
      <c r="B346" s="40" t="s">
        <v>356</v>
      </c>
      <c r="C346" s="41" t="s">
        <v>149</v>
      </c>
      <c r="D346" s="40" t="s">
        <v>150</v>
      </c>
      <c r="E346" s="24">
        <v>3528000</v>
      </c>
      <c r="F346" s="39">
        <v>44300</v>
      </c>
      <c r="G346" s="24">
        <v>3528000</v>
      </c>
      <c r="H346" s="23">
        <v>5.0000000000000001E-3</v>
      </c>
      <c r="I346" s="39">
        <v>44378</v>
      </c>
      <c r="J346" s="39">
        <v>44408</v>
      </c>
      <c r="K346" s="24">
        <v>31</v>
      </c>
      <c r="L346" s="24">
        <v>1498</v>
      </c>
      <c r="M346" s="24">
        <v>3528000</v>
      </c>
    </row>
    <row r="347" spans="1:13" s="5" customFormat="1" outlineLevel="2">
      <c r="A347" s="39" t="s">
        <v>142</v>
      </c>
      <c r="B347" s="40" t="s">
        <v>29</v>
      </c>
      <c r="C347" s="41" t="s">
        <v>123</v>
      </c>
      <c r="D347" s="40" t="s">
        <v>124</v>
      </c>
      <c r="E347" s="24">
        <v>160000000</v>
      </c>
      <c r="F347" s="39">
        <v>43970</v>
      </c>
      <c r="G347" s="24">
        <v>160000000</v>
      </c>
      <c r="H347" s="23">
        <v>5.0000000000000001E-3</v>
      </c>
      <c r="I347" s="39">
        <v>44378</v>
      </c>
      <c r="J347" s="39">
        <v>44408</v>
      </c>
      <c r="K347" s="24">
        <v>31</v>
      </c>
      <c r="L347" s="24">
        <v>67945</v>
      </c>
      <c r="M347" s="24">
        <v>160000000</v>
      </c>
    </row>
    <row r="348" spans="1:13" s="5" customFormat="1" outlineLevel="2">
      <c r="A348" s="39" t="s">
        <v>142</v>
      </c>
      <c r="B348" s="40" t="s">
        <v>355</v>
      </c>
      <c r="C348" s="41" t="s">
        <v>149</v>
      </c>
      <c r="D348" s="40" t="s">
        <v>150</v>
      </c>
      <c r="E348" s="24">
        <v>12213027</v>
      </c>
      <c r="F348" s="39">
        <v>44307</v>
      </c>
      <c r="G348" s="24">
        <v>12213027</v>
      </c>
      <c r="H348" s="23">
        <v>5.0000000000000001E-3</v>
      </c>
      <c r="I348" s="39">
        <v>44378</v>
      </c>
      <c r="J348" s="39">
        <v>44408</v>
      </c>
      <c r="K348" s="24">
        <v>31</v>
      </c>
      <c r="L348" s="24">
        <v>5186</v>
      </c>
      <c r="M348" s="24">
        <v>12213027</v>
      </c>
    </row>
    <row r="349" spans="1:13" s="5" customFormat="1" outlineLevel="2">
      <c r="A349" s="39" t="s">
        <v>142</v>
      </c>
      <c r="B349" s="40" t="s">
        <v>354</v>
      </c>
      <c r="C349" s="41" t="s">
        <v>149</v>
      </c>
      <c r="D349" s="40" t="s">
        <v>150</v>
      </c>
      <c r="E349" s="24">
        <v>11337919</v>
      </c>
      <c r="F349" s="39">
        <v>44314</v>
      </c>
      <c r="G349" s="24">
        <v>11337919</v>
      </c>
      <c r="H349" s="23">
        <v>5.0000000000000001E-3</v>
      </c>
      <c r="I349" s="39">
        <v>44378</v>
      </c>
      <c r="J349" s="39">
        <v>44408</v>
      </c>
      <c r="K349" s="24">
        <v>31</v>
      </c>
      <c r="L349" s="24">
        <v>4815</v>
      </c>
      <c r="M349" s="24">
        <v>11337919</v>
      </c>
    </row>
    <row r="350" spans="1:13" s="5" customFormat="1" outlineLevel="2">
      <c r="A350" s="39" t="s">
        <v>142</v>
      </c>
      <c r="B350" s="40" t="s">
        <v>353</v>
      </c>
      <c r="C350" s="41" t="s">
        <v>219</v>
      </c>
      <c r="D350" s="40" t="s">
        <v>220</v>
      </c>
      <c r="E350" s="24">
        <v>20000000</v>
      </c>
      <c r="F350" s="39">
        <v>44308</v>
      </c>
      <c r="G350" s="24">
        <v>20000000</v>
      </c>
      <c r="H350" s="23">
        <v>5.0000000000000001E-3</v>
      </c>
      <c r="I350" s="39">
        <v>44378</v>
      </c>
      <c r="J350" s="39">
        <v>44408</v>
      </c>
      <c r="K350" s="24">
        <v>31</v>
      </c>
      <c r="L350" s="24">
        <v>8493</v>
      </c>
      <c r="M350" s="24">
        <v>20000000</v>
      </c>
    </row>
    <row r="351" spans="1:13" s="5" customFormat="1" outlineLevel="2">
      <c r="A351" s="39" t="s">
        <v>142</v>
      </c>
      <c r="B351" s="40" t="s">
        <v>352</v>
      </c>
      <c r="C351" s="41" t="s">
        <v>351</v>
      </c>
      <c r="D351" s="40" t="s">
        <v>350</v>
      </c>
      <c r="E351" s="24">
        <v>9800000</v>
      </c>
      <c r="F351" s="39">
        <v>44313</v>
      </c>
      <c r="G351" s="24">
        <v>9800000</v>
      </c>
      <c r="H351" s="23">
        <v>5.0000000000000001E-3</v>
      </c>
      <c r="I351" s="39">
        <v>44378</v>
      </c>
      <c r="J351" s="39">
        <v>44408</v>
      </c>
      <c r="K351" s="24">
        <v>31</v>
      </c>
      <c r="L351" s="24">
        <v>4162</v>
      </c>
      <c r="M351" s="24">
        <v>9800000</v>
      </c>
    </row>
    <row r="352" spans="1:13" s="5" customFormat="1" outlineLevel="2">
      <c r="A352" s="39" t="s">
        <v>142</v>
      </c>
      <c r="B352" s="40" t="s">
        <v>349</v>
      </c>
      <c r="C352" s="41" t="s">
        <v>345</v>
      </c>
      <c r="D352" s="40" t="s">
        <v>344</v>
      </c>
      <c r="E352" s="24">
        <v>37000000</v>
      </c>
      <c r="F352" s="39">
        <v>44314</v>
      </c>
      <c r="G352" s="24">
        <v>37000000</v>
      </c>
      <c r="H352" s="23">
        <v>5.0000000000000001E-3</v>
      </c>
      <c r="I352" s="39">
        <v>44378</v>
      </c>
      <c r="J352" s="39">
        <v>44408</v>
      </c>
      <c r="K352" s="24">
        <v>31</v>
      </c>
      <c r="L352" s="24">
        <v>15712</v>
      </c>
      <c r="M352" s="24">
        <v>37000000</v>
      </c>
    </row>
    <row r="353" spans="1:13" s="5" customFormat="1" outlineLevel="2">
      <c r="A353" s="39" t="s">
        <v>142</v>
      </c>
      <c r="B353" s="40" t="s">
        <v>348</v>
      </c>
      <c r="C353" s="41" t="s">
        <v>163</v>
      </c>
      <c r="D353" s="40" t="s">
        <v>164</v>
      </c>
      <c r="E353" s="24">
        <v>70000000</v>
      </c>
      <c r="F353" s="39">
        <v>44315</v>
      </c>
      <c r="G353" s="24">
        <v>68727272</v>
      </c>
      <c r="H353" s="23">
        <v>5.0000000000000001E-3</v>
      </c>
      <c r="I353" s="39">
        <v>44378</v>
      </c>
      <c r="J353" s="39">
        <v>44391</v>
      </c>
      <c r="K353" s="24">
        <v>14</v>
      </c>
      <c r="L353" s="24">
        <v>13181</v>
      </c>
      <c r="M353" s="24">
        <v>68090908</v>
      </c>
    </row>
    <row r="354" spans="1:13" s="5" customFormat="1" outlineLevel="2">
      <c r="A354" s="39" t="s">
        <v>142</v>
      </c>
      <c r="B354" s="40" t="s">
        <v>348</v>
      </c>
      <c r="C354" s="41" t="s">
        <v>163</v>
      </c>
      <c r="D354" s="40"/>
      <c r="E354" s="24"/>
      <c r="F354" s="39"/>
      <c r="G354" s="24">
        <v>68090908</v>
      </c>
      <c r="H354" s="23">
        <v>5.0000000000000001E-3</v>
      </c>
      <c r="I354" s="39">
        <v>44392</v>
      </c>
      <c r="J354" s="39">
        <v>44408</v>
      </c>
      <c r="K354" s="24">
        <v>17</v>
      </c>
      <c r="L354" s="24">
        <v>15857</v>
      </c>
      <c r="M354" s="24"/>
    </row>
    <row r="355" spans="1:13" s="5" customFormat="1" outlineLevel="2">
      <c r="A355" s="39" t="s">
        <v>142</v>
      </c>
      <c r="B355" s="40" t="s">
        <v>347</v>
      </c>
      <c r="C355" s="41" t="s">
        <v>163</v>
      </c>
      <c r="D355" s="40" t="s">
        <v>164</v>
      </c>
      <c r="E355" s="24">
        <v>10000000</v>
      </c>
      <c r="F355" s="39">
        <v>44315</v>
      </c>
      <c r="G355" s="24">
        <v>9761904</v>
      </c>
      <c r="H355" s="23">
        <v>5.0000000000000001E-3</v>
      </c>
      <c r="I355" s="39">
        <v>44378</v>
      </c>
      <c r="J355" s="39">
        <v>44391</v>
      </c>
      <c r="K355" s="24">
        <v>14</v>
      </c>
      <c r="L355" s="24">
        <v>1872</v>
      </c>
      <c r="M355" s="24">
        <v>9642856</v>
      </c>
    </row>
    <row r="356" spans="1:13" s="5" customFormat="1" outlineLevel="2">
      <c r="A356" s="39" t="s">
        <v>142</v>
      </c>
      <c r="B356" s="40" t="s">
        <v>347</v>
      </c>
      <c r="C356" s="41" t="s">
        <v>163</v>
      </c>
      <c r="D356" s="40"/>
      <c r="E356" s="24"/>
      <c r="F356" s="39"/>
      <c r="G356" s="24">
        <v>9642856</v>
      </c>
      <c r="H356" s="23">
        <v>5.0000000000000001E-3</v>
      </c>
      <c r="I356" s="39">
        <v>44392</v>
      </c>
      <c r="J356" s="39">
        <v>44408</v>
      </c>
      <c r="K356" s="24">
        <v>17</v>
      </c>
      <c r="L356" s="24">
        <v>2246</v>
      </c>
      <c r="M356" s="24"/>
    </row>
    <row r="357" spans="1:13" s="5" customFormat="1" outlineLevel="2">
      <c r="A357" s="39" t="s">
        <v>142</v>
      </c>
      <c r="B357" s="40" t="s">
        <v>346</v>
      </c>
      <c r="C357" s="41" t="s">
        <v>163</v>
      </c>
      <c r="D357" s="40" t="s">
        <v>164</v>
      </c>
      <c r="E357" s="24">
        <v>40000000</v>
      </c>
      <c r="F357" s="39">
        <v>44315</v>
      </c>
      <c r="G357" s="24">
        <v>39047620</v>
      </c>
      <c r="H357" s="23">
        <v>5.0000000000000001E-3</v>
      </c>
      <c r="I357" s="39">
        <v>44378</v>
      </c>
      <c r="J357" s="39">
        <v>44391</v>
      </c>
      <c r="K357" s="24">
        <v>14</v>
      </c>
      <c r="L357" s="24">
        <v>7489</v>
      </c>
      <c r="M357" s="24">
        <v>38571430</v>
      </c>
    </row>
    <row r="358" spans="1:13" s="5" customFormat="1" outlineLevel="2">
      <c r="A358" s="39" t="s">
        <v>142</v>
      </c>
      <c r="B358" s="40" t="s">
        <v>346</v>
      </c>
      <c r="C358" s="41" t="s">
        <v>163</v>
      </c>
      <c r="D358" s="40"/>
      <c r="E358" s="24"/>
      <c r="F358" s="39"/>
      <c r="G358" s="24">
        <v>38571430</v>
      </c>
      <c r="H358" s="23">
        <v>5.0000000000000001E-3</v>
      </c>
      <c r="I358" s="39">
        <v>44392</v>
      </c>
      <c r="J358" s="39">
        <v>44408</v>
      </c>
      <c r="K358" s="24">
        <v>17</v>
      </c>
      <c r="L358" s="24">
        <v>8982</v>
      </c>
      <c r="M358" s="24"/>
    </row>
    <row r="359" spans="1:13" s="5" customFormat="1" outlineLevel="2">
      <c r="A359" s="39" t="s">
        <v>142</v>
      </c>
      <c r="B359" s="40" t="s">
        <v>373</v>
      </c>
      <c r="C359" s="41" t="s">
        <v>149</v>
      </c>
      <c r="D359" s="40" t="s">
        <v>150</v>
      </c>
      <c r="E359" s="24">
        <v>10752000</v>
      </c>
      <c r="F359" s="39">
        <v>44320</v>
      </c>
      <c r="G359" s="24">
        <v>10752000</v>
      </c>
      <c r="H359" s="23">
        <v>5.0000000000000001E-3</v>
      </c>
      <c r="I359" s="39">
        <v>44378</v>
      </c>
      <c r="J359" s="39">
        <v>44408</v>
      </c>
      <c r="K359" s="24">
        <v>31</v>
      </c>
      <c r="L359" s="24">
        <v>4566</v>
      </c>
      <c r="M359" s="24">
        <v>10752000</v>
      </c>
    </row>
    <row r="360" spans="1:13" s="5" customFormat="1" outlineLevel="2">
      <c r="A360" s="39" t="s">
        <v>142</v>
      </c>
      <c r="B360" s="40" t="s">
        <v>372</v>
      </c>
      <c r="C360" s="41" t="s">
        <v>149</v>
      </c>
      <c r="D360" s="40" t="s">
        <v>150</v>
      </c>
      <c r="E360" s="24">
        <v>4200000</v>
      </c>
      <c r="F360" s="39">
        <v>44320</v>
      </c>
      <c r="G360" s="24">
        <v>4200000</v>
      </c>
      <c r="H360" s="23">
        <v>5.0000000000000001E-3</v>
      </c>
      <c r="I360" s="39">
        <v>44378</v>
      </c>
      <c r="J360" s="39">
        <v>44408</v>
      </c>
      <c r="K360" s="24">
        <v>31</v>
      </c>
      <c r="L360" s="24">
        <v>1784</v>
      </c>
      <c r="M360" s="24">
        <v>4200000</v>
      </c>
    </row>
    <row r="361" spans="1:13" s="5" customFormat="1" outlineLevel="2">
      <c r="A361" s="39" t="s">
        <v>142</v>
      </c>
      <c r="B361" s="40" t="s">
        <v>32</v>
      </c>
      <c r="C361" s="41" t="s">
        <v>149</v>
      </c>
      <c r="D361" s="40" t="s">
        <v>150</v>
      </c>
      <c r="E361" s="24">
        <v>13104000</v>
      </c>
      <c r="F361" s="39">
        <v>43979</v>
      </c>
      <c r="G361" s="24">
        <v>13104000</v>
      </c>
      <c r="H361" s="23">
        <v>5.0000000000000001E-3</v>
      </c>
      <c r="I361" s="39">
        <v>44378</v>
      </c>
      <c r="J361" s="39">
        <v>44408</v>
      </c>
      <c r="K361" s="24">
        <v>31</v>
      </c>
      <c r="L361" s="24">
        <v>5565</v>
      </c>
      <c r="M361" s="24">
        <v>13104000</v>
      </c>
    </row>
    <row r="362" spans="1:13" s="5" customFormat="1" outlineLevel="2">
      <c r="A362" s="39" t="s">
        <v>142</v>
      </c>
      <c r="B362" s="40" t="s">
        <v>371</v>
      </c>
      <c r="C362" s="41" t="s">
        <v>149</v>
      </c>
      <c r="D362" s="40" t="s">
        <v>150</v>
      </c>
      <c r="E362" s="24">
        <v>4200000</v>
      </c>
      <c r="F362" s="39">
        <v>44320</v>
      </c>
      <c r="G362" s="24">
        <v>4200000</v>
      </c>
      <c r="H362" s="23">
        <v>5.0000000000000001E-3</v>
      </c>
      <c r="I362" s="39">
        <v>44378</v>
      </c>
      <c r="J362" s="39">
        <v>44408</v>
      </c>
      <c r="K362" s="24">
        <v>31</v>
      </c>
      <c r="L362" s="24">
        <v>1784</v>
      </c>
      <c r="M362" s="24">
        <v>4200000</v>
      </c>
    </row>
    <row r="363" spans="1:13" s="5" customFormat="1" outlineLevel="2">
      <c r="A363" s="39" t="s">
        <v>142</v>
      </c>
      <c r="B363" s="40" t="s">
        <v>370</v>
      </c>
      <c r="C363" s="41" t="s">
        <v>351</v>
      </c>
      <c r="D363" s="40" t="s">
        <v>350</v>
      </c>
      <c r="E363" s="24">
        <v>5100000</v>
      </c>
      <c r="F363" s="39">
        <v>44330</v>
      </c>
      <c r="G363" s="24">
        <v>5100000</v>
      </c>
      <c r="H363" s="23">
        <v>5.0000000000000001E-3</v>
      </c>
      <c r="I363" s="39">
        <v>44378</v>
      </c>
      <c r="J363" s="39">
        <v>44408</v>
      </c>
      <c r="K363" s="24">
        <v>31</v>
      </c>
      <c r="L363" s="24">
        <v>2166</v>
      </c>
      <c r="M363" s="24">
        <v>5100000</v>
      </c>
    </row>
    <row r="364" spans="1:13" s="5" customFormat="1" outlineLevel="2">
      <c r="A364" s="39" t="s">
        <v>142</v>
      </c>
      <c r="B364" s="40" t="s">
        <v>369</v>
      </c>
      <c r="C364" s="41" t="s">
        <v>149</v>
      </c>
      <c r="D364" s="40" t="s">
        <v>150</v>
      </c>
      <c r="E364" s="24">
        <v>100000000</v>
      </c>
      <c r="F364" s="39">
        <v>44335</v>
      </c>
      <c r="G364" s="24">
        <v>100000000</v>
      </c>
      <c r="H364" s="23">
        <v>5.0000000000000001E-3</v>
      </c>
      <c r="I364" s="39">
        <v>44378</v>
      </c>
      <c r="J364" s="39">
        <v>44408</v>
      </c>
      <c r="K364" s="24">
        <v>31</v>
      </c>
      <c r="L364" s="24">
        <v>42466</v>
      </c>
      <c r="M364" s="24">
        <v>100000000</v>
      </c>
    </row>
    <row r="365" spans="1:13" s="5" customFormat="1" outlineLevel="2">
      <c r="A365" s="39" t="s">
        <v>142</v>
      </c>
      <c r="B365" s="40" t="s">
        <v>368</v>
      </c>
      <c r="C365" s="41" t="s">
        <v>87</v>
      </c>
      <c r="D365" s="40" t="s">
        <v>88</v>
      </c>
      <c r="E365" s="24">
        <v>9464321</v>
      </c>
      <c r="F365" s="39">
        <v>44337</v>
      </c>
      <c r="G365" s="24">
        <v>9464321</v>
      </c>
      <c r="H365" s="23">
        <v>5.0000000000000001E-3</v>
      </c>
      <c r="I365" s="39">
        <v>44378</v>
      </c>
      <c r="J365" s="39">
        <v>44408</v>
      </c>
      <c r="K365" s="24">
        <v>31</v>
      </c>
      <c r="L365" s="24">
        <v>4019</v>
      </c>
      <c r="M365" s="24">
        <v>9464321</v>
      </c>
    </row>
    <row r="366" spans="1:13" s="5" customFormat="1" outlineLevel="2">
      <c r="A366" s="39" t="s">
        <v>142</v>
      </c>
      <c r="B366" s="40" t="s">
        <v>388</v>
      </c>
      <c r="C366" s="41" t="s">
        <v>149</v>
      </c>
      <c r="D366" s="40" t="s">
        <v>150</v>
      </c>
      <c r="E366" s="24">
        <v>3360000</v>
      </c>
      <c r="F366" s="39">
        <v>44350</v>
      </c>
      <c r="G366" s="24">
        <v>3360000</v>
      </c>
      <c r="H366" s="23">
        <v>5.0000000000000001E-3</v>
      </c>
      <c r="I366" s="39">
        <v>44378</v>
      </c>
      <c r="J366" s="39">
        <v>44408</v>
      </c>
      <c r="K366" s="24">
        <v>31</v>
      </c>
      <c r="L366" s="24">
        <v>1427</v>
      </c>
      <c r="M366" s="24">
        <v>3360000</v>
      </c>
    </row>
    <row r="367" spans="1:13" s="5" customFormat="1" outlineLevel="2">
      <c r="A367" s="39" t="s">
        <v>142</v>
      </c>
      <c r="B367" s="40" t="s">
        <v>387</v>
      </c>
      <c r="C367" s="41" t="s">
        <v>149</v>
      </c>
      <c r="D367" s="40" t="s">
        <v>150</v>
      </c>
      <c r="E367" s="24">
        <v>3360000</v>
      </c>
      <c r="F367" s="39">
        <v>44350</v>
      </c>
      <c r="G367" s="24">
        <v>3360000</v>
      </c>
      <c r="H367" s="23">
        <v>5.0000000000000001E-3</v>
      </c>
      <c r="I367" s="39">
        <v>44378</v>
      </c>
      <c r="J367" s="39">
        <v>44408</v>
      </c>
      <c r="K367" s="24">
        <v>31</v>
      </c>
      <c r="L367" s="24">
        <v>1427</v>
      </c>
      <c r="M367" s="24">
        <v>3360000</v>
      </c>
    </row>
    <row r="368" spans="1:13" s="5" customFormat="1" outlineLevel="2">
      <c r="A368" s="39" t="s">
        <v>142</v>
      </c>
      <c r="B368" s="40" t="s">
        <v>386</v>
      </c>
      <c r="C368" s="41" t="s">
        <v>149</v>
      </c>
      <c r="D368" s="40" t="s">
        <v>150</v>
      </c>
      <c r="E368" s="24">
        <v>3326400</v>
      </c>
      <c r="F368" s="39">
        <v>44351</v>
      </c>
      <c r="G368" s="24">
        <v>3326400</v>
      </c>
      <c r="H368" s="23">
        <v>5.0000000000000001E-3</v>
      </c>
      <c r="I368" s="39">
        <v>44378</v>
      </c>
      <c r="J368" s="39">
        <v>44408</v>
      </c>
      <c r="K368" s="24">
        <v>31</v>
      </c>
      <c r="L368" s="24">
        <v>1413</v>
      </c>
      <c r="M368" s="24">
        <v>3326400</v>
      </c>
    </row>
    <row r="369" spans="1:13" s="5" customFormat="1" outlineLevel="2">
      <c r="A369" s="39" t="s">
        <v>142</v>
      </c>
      <c r="B369" s="40" t="s">
        <v>385</v>
      </c>
      <c r="C369" s="41" t="s">
        <v>149</v>
      </c>
      <c r="D369" s="40" t="s">
        <v>150</v>
      </c>
      <c r="E369" s="24">
        <v>150000000</v>
      </c>
      <c r="F369" s="39">
        <v>44354</v>
      </c>
      <c r="G369" s="24">
        <v>150000000</v>
      </c>
      <c r="H369" s="23">
        <v>5.0000000000000001E-3</v>
      </c>
      <c r="I369" s="39">
        <v>44378</v>
      </c>
      <c r="J369" s="39">
        <v>44408</v>
      </c>
      <c r="K369" s="24">
        <v>31</v>
      </c>
      <c r="L369" s="24">
        <v>63699</v>
      </c>
      <c r="M369" s="24">
        <v>150000000</v>
      </c>
    </row>
    <row r="370" spans="1:13" s="5" customFormat="1" outlineLevel="2">
      <c r="A370" s="39" t="s">
        <v>142</v>
      </c>
      <c r="B370" s="40" t="s">
        <v>384</v>
      </c>
      <c r="C370" s="41" t="s">
        <v>149</v>
      </c>
      <c r="D370" s="40" t="s">
        <v>150</v>
      </c>
      <c r="E370" s="24">
        <v>1663200</v>
      </c>
      <c r="F370" s="39">
        <v>44356</v>
      </c>
      <c r="G370" s="24">
        <v>1663200</v>
      </c>
      <c r="H370" s="23">
        <v>5.0000000000000001E-3</v>
      </c>
      <c r="I370" s="39">
        <v>44378</v>
      </c>
      <c r="J370" s="39">
        <v>44408</v>
      </c>
      <c r="K370" s="24">
        <v>31</v>
      </c>
      <c r="L370" s="24">
        <v>706</v>
      </c>
      <c r="M370" s="24">
        <v>1663200</v>
      </c>
    </row>
    <row r="371" spans="1:13" s="5" customFormat="1" outlineLevel="2">
      <c r="A371" s="39" t="s">
        <v>142</v>
      </c>
      <c r="B371" s="40" t="s">
        <v>383</v>
      </c>
      <c r="C371" s="41" t="s">
        <v>149</v>
      </c>
      <c r="D371" s="40" t="s">
        <v>150</v>
      </c>
      <c r="E371" s="24">
        <v>312002</v>
      </c>
      <c r="F371" s="39">
        <v>44358</v>
      </c>
      <c r="G371" s="24">
        <v>312002</v>
      </c>
      <c r="H371" s="23">
        <v>5.0000000000000001E-3</v>
      </c>
      <c r="I371" s="39">
        <v>44378</v>
      </c>
      <c r="J371" s="39">
        <v>44408</v>
      </c>
      <c r="K371" s="24">
        <v>31</v>
      </c>
      <c r="L371" s="24">
        <v>132</v>
      </c>
      <c r="M371" s="24">
        <v>312002</v>
      </c>
    </row>
    <row r="372" spans="1:13" s="5" customFormat="1" outlineLevel="2">
      <c r="A372" s="39" t="s">
        <v>142</v>
      </c>
      <c r="B372" s="40" t="s">
        <v>33</v>
      </c>
      <c r="C372" s="41" t="s">
        <v>89</v>
      </c>
      <c r="D372" s="40" t="s">
        <v>90</v>
      </c>
      <c r="E372" s="24">
        <v>6550000</v>
      </c>
      <c r="F372" s="39">
        <v>43993</v>
      </c>
      <c r="G372" s="24">
        <v>6550000</v>
      </c>
      <c r="H372" s="23">
        <v>5.0000000000000001E-3</v>
      </c>
      <c r="I372" s="39">
        <v>44378</v>
      </c>
      <c r="J372" s="39">
        <v>44408</v>
      </c>
      <c r="K372" s="24">
        <v>31</v>
      </c>
      <c r="L372" s="24">
        <v>2782</v>
      </c>
      <c r="M372" s="24">
        <v>6550000</v>
      </c>
    </row>
    <row r="373" spans="1:13" s="5" customFormat="1" outlineLevel="2">
      <c r="A373" s="39" t="s">
        <v>142</v>
      </c>
      <c r="B373" s="40" t="s">
        <v>382</v>
      </c>
      <c r="C373" s="41" t="s">
        <v>149</v>
      </c>
      <c r="D373" s="40" t="s">
        <v>150</v>
      </c>
      <c r="E373" s="24">
        <v>478800</v>
      </c>
      <c r="F373" s="39">
        <v>44358</v>
      </c>
      <c r="G373" s="24">
        <v>478800</v>
      </c>
      <c r="H373" s="23">
        <v>5.0000000000000001E-3</v>
      </c>
      <c r="I373" s="39">
        <v>44378</v>
      </c>
      <c r="J373" s="39">
        <v>44408</v>
      </c>
      <c r="K373" s="24">
        <v>31</v>
      </c>
      <c r="L373" s="24">
        <v>203</v>
      </c>
      <c r="M373" s="24">
        <v>478800</v>
      </c>
    </row>
    <row r="374" spans="1:13" s="5" customFormat="1" outlineLevel="2">
      <c r="A374" s="39" t="s">
        <v>142</v>
      </c>
      <c r="B374" s="40" t="s">
        <v>381</v>
      </c>
      <c r="C374" s="41" t="s">
        <v>149</v>
      </c>
      <c r="D374" s="40" t="s">
        <v>150</v>
      </c>
      <c r="E374" s="24">
        <v>70000000</v>
      </c>
      <c r="F374" s="39">
        <v>44362</v>
      </c>
      <c r="G374" s="24">
        <v>70000000</v>
      </c>
      <c r="H374" s="23">
        <v>5.0000000000000001E-3</v>
      </c>
      <c r="I374" s="39">
        <v>44378</v>
      </c>
      <c r="J374" s="39">
        <v>44408</v>
      </c>
      <c r="K374" s="24">
        <v>31</v>
      </c>
      <c r="L374" s="24">
        <v>29726</v>
      </c>
      <c r="M374" s="24">
        <v>70000000</v>
      </c>
    </row>
    <row r="375" spans="1:13" s="5" customFormat="1" outlineLevel="2">
      <c r="A375" s="39" t="s">
        <v>142</v>
      </c>
      <c r="B375" s="40" t="s">
        <v>380</v>
      </c>
      <c r="C375" s="41" t="s">
        <v>149</v>
      </c>
      <c r="D375" s="40" t="s">
        <v>150</v>
      </c>
      <c r="E375" s="24">
        <v>806400</v>
      </c>
      <c r="F375" s="39">
        <v>44376</v>
      </c>
      <c r="G375" s="24">
        <v>806400</v>
      </c>
      <c r="H375" s="23">
        <v>5.0000000000000001E-3</v>
      </c>
      <c r="I375" s="39">
        <v>44378</v>
      </c>
      <c r="J375" s="39">
        <v>44408</v>
      </c>
      <c r="K375" s="24">
        <v>31</v>
      </c>
      <c r="L375" s="24">
        <v>342</v>
      </c>
      <c r="M375" s="24">
        <v>806400</v>
      </c>
    </row>
    <row r="376" spans="1:13" s="5" customFormat="1" outlineLevel="2">
      <c r="A376" s="39" t="s">
        <v>142</v>
      </c>
      <c r="B376" s="40" t="s">
        <v>379</v>
      </c>
      <c r="C376" s="41" t="s">
        <v>89</v>
      </c>
      <c r="D376" s="40" t="s">
        <v>90</v>
      </c>
      <c r="E376" s="24">
        <v>34000000</v>
      </c>
      <c r="F376" s="39">
        <v>44369</v>
      </c>
      <c r="G376" s="24">
        <v>34000000</v>
      </c>
      <c r="H376" s="23">
        <v>5.0000000000000001E-3</v>
      </c>
      <c r="I376" s="39">
        <v>44378</v>
      </c>
      <c r="J376" s="39">
        <v>44408</v>
      </c>
      <c r="K376" s="24">
        <v>31</v>
      </c>
      <c r="L376" s="24">
        <v>14438</v>
      </c>
      <c r="M376" s="24">
        <v>34000000</v>
      </c>
    </row>
    <row r="377" spans="1:13" s="5" customFormat="1" outlineLevel="2">
      <c r="A377" s="39" t="s">
        <v>142</v>
      </c>
      <c r="B377" s="40" t="s">
        <v>378</v>
      </c>
      <c r="C377" s="41" t="s">
        <v>89</v>
      </c>
      <c r="D377" s="40" t="s">
        <v>90</v>
      </c>
      <c r="E377" s="24">
        <v>34000000</v>
      </c>
      <c r="F377" s="39">
        <v>44369</v>
      </c>
      <c r="G377" s="24">
        <v>34000000</v>
      </c>
      <c r="H377" s="23">
        <v>5.0000000000000001E-3</v>
      </c>
      <c r="I377" s="39">
        <v>44378</v>
      </c>
      <c r="J377" s="39">
        <v>44408</v>
      </c>
      <c r="K377" s="24">
        <v>31</v>
      </c>
      <c r="L377" s="24">
        <v>14438</v>
      </c>
      <c r="M377" s="24">
        <v>34000000</v>
      </c>
    </row>
    <row r="378" spans="1:13" s="5" customFormat="1" outlineLevel="2">
      <c r="A378" s="39" t="s">
        <v>142</v>
      </c>
      <c r="B378" s="40" t="s">
        <v>377</v>
      </c>
      <c r="C378" s="41" t="s">
        <v>219</v>
      </c>
      <c r="D378" s="40" t="s">
        <v>220</v>
      </c>
      <c r="E378" s="24">
        <v>35000000</v>
      </c>
      <c r="F378" s="39">
        <v>44371</v>
      </c>
      <c r="G378" s="24">
        <v>35000000</v>
      </c>
      <c r="H378" s="23">
        <v>5.0000000000000001E-3</v>
      </c>
      <c r="I378" s="39">
        <v>44378</v>
      </c>
      <c r="J378" s="39">
        <v>44408</v>
      </c>
      <c r="K378" s="24">
        <v>31</v>
      </c>
      <c r="L378" s="24">
        <v>14863</v>
      </c>
      <c r="M378" s="24">
        <v>35000000</v>
      </c>
    </row>
    <row r="379" spans="1:13" s="5" customFormat="1" outlineLevel="2">
      <c r="A379" s="39" t="s">
        <v>142</v>
      </c>
      <c r="B379" s="40" t="s">
        <v>376</v>
      </c>
      <c r="C379" s="41" t="s">
        <v>87</v>
      </c>
      <c r="D379" s="40" t="s">
        <v>88</v>
      </c>
      <c r="E379" s="24">
        <v>13481921</v>
      </c>
      <c r="F379" s="39">
        <v>44372</v>
      </c>
      <c r="G379" s="24">
        <v>13481921</v>
      </c>
      <c r="H379" s="23">
        <v>5.0000000000000001E-3</v>
      </c>
      <c r="I379" s="39">
        <v>44378</v>
      </c>
      <c r="J379" s="39">
        <v>44408</v>
      </c>
      <c r="K379" s="24">
        <v>31</v>
      </c>
      <c r="L379" s="24">
        <v>5725</v>
      </c>
      <c r="M379" s="24">
        <v>13481921</v>
      </c>
    </row>
    <row r="380" spans="1:13" s="5" customFormat="1" outlineLevel="2">
      <c r="A380" s="39" t="s">
        <v>142</v>
      </c>
      <c r="B380" s="40" t="s">
        <v>375</v>
      </c>
      <c r="C380" s="41" t="s">
        <v>87</v>
      </c>
      <c r="D380" s="40" t="s">
        <v>88</v>
      </c>
      <c r="E380" s="24">
        <v>21053378</v>
      </c>
      <c r="F380" s="39">
        <v>44372</v>
      </c>
      <c r="G380" s="24">
        <v>21053378</v>
      </c>
      <c r="H380" s="23">
        <v>5.0000000000000001E-3</v>
      </c>
      <c r="I380" s="39">
        <v>44378</v>
      </c>
      <c r="J380" s="39">
        <v>44408</v>
      </c>
      <c r="K380" s="24">
        <v>31</v>
      </c>
      <c r="L380" s="24">
        <v>8940</v>
      </c>
      <c r="M380" s="24">
        <v>21053378</v>
      </c>
    </row>
    <row r="381" spans="1:13" s="5" customFormat="1" outlineLevel="2">
      <c r="A381" s="39" t="s">
        <v>142</v>
      </c>
      <c r="B381" s="40" t="s">
        <v>396</v>
      </c>
      <c r="C381" s="41" t="s">
        <v>187</v>
      </c>
      <c r="D381" s="40" t="s">
        <v>188</v>
      </c>
      <c r="E381" s="24">
        <v>66500000</v>
      </c>
      <c r="F381" s="39">
        <v>44379</v>
      </c>
      <c r="G381" s="24">
        <v>66500000</v>
      </c>
      <c r="H381" s="23">
        <v>5.0000000000000001E-3</v>
      </c>
      <c r="I381" s="39">
        <v>44379</v>
      </c>
      <c r="J381" s="39">
        <v>44408</v>
      </c>
      <c r="K381" s="24">
        <v>30</v>
      </c>
      <c r="L381" s="24">
        <v>27329</v>
      </c>
      <c r="M381" s="24">
        <v>66500000</v>
      </c>
    </row>
    <row r="382" spans="1:13" s="5" customFormat="1" outlineLevel="2">
      <c r="A382" s="39" t="s">
        <v>142</v>
      </c>
      <c r="B382" s="40" t="s">
        <v>395</v>
      </c>
      <c r="C382" s="41" t="s">
        <v>149</v>
      </c>
      <c r="D382" s="40" t="s">
        <v>150</v>
      </c>
      <c r="E382" s="24">
        <v>840000</v>
      </c>
      <c r="F382" s="39">
        <v>44379</v>
      </c>
      <c r="G382" s="24">
        <v>840000</v>
      </c>
      <c r="H382" s="23">
        <v>5.0000000000000001E-3</v>
      </c>
      <c r="I382" s="39">
        <v>44379</v>
      </c>
      <c r="J382" s="39">
        <v>44408</v>
      </c>
      <c r="K382" s="24">
        <v>30</v>
      </c>
      <c r="L382" s="24">
        <v>345</v>
      </c>
      <c r="M382" s="24">
        <v>840000</v>
      </c>
    </row>
    <row r="383" spans="1:13" s="5" customFormat="1" outlineLevel="2">
      <c r="A383" s="39" t="s">
        <v>142</v>
      </c>
      <c r="B383" s="40" t="s">
        <v>34</v>
      </c>
      <c r="C383" s="41" t="s">
        <v>89</v>
      </c>
      <c r="D383" s="40" t="s">
        <v>90</v>
      </c>
      <c r="E383" s="24">
        <v>19710000</v>
      </c>
      <c r="F383" s="39">
        <v>43993</v>
      </c>
      <c r="G383" s="24">
        <v>19710000</v>
      </c>
      <c r="H383" s="23">
        <v>5.0000000000000001E-3</v>
      </c>
      <c r="I383" s="39">
        <v>44378</v>
      </c>
      <c r="J383" s="39">
        <v>44408</v>
      </c>
      <c r="K383" s="24">
        <v>31</v>
      </c>
      <c r="L383" s="24">
        <v>8370</v>
      </c>
      <c r="M383" s="24">
        <v>19710000</v>
      </c>
    </row>
    <row r="384" spans="1:13" s="5" customFormat="1" outlineLevel="2">
      <c r="A384" s="39" t="s">
        <v>142</v>
      </c>
      <c r="B384" s="40" t="s">
        <v>394</v>
      </c>
      <c r="C384" s="41" t="s">
        <v>149</v>
      </c>
      <c r="D384" s="40" t="s">
        <v>150</v>
      </c>
      <c r="E384" s="24">
        <v>840000</v>
      </c>
      <c r="F384" s="39">
        <v>44379</v>
      </c>
      <c r="G384" s="24">
        <v>840000</v>
      </c>
      <c r="H384" s="23">
        <v>5.0000000000000001E-3</v>
      </c>
      <c r="I384" s="39">
        <v>44379</v>
      </c>
      <c r="J384" s="39">
        <v>44408</v>
      </c>
      <c r="K384" s="24">
        <v>30</v>
      </c>
      <c r="L384" s="24">
        <v>345</v>
      </c>
      <c r="M384" s="24">
        <v>840000</v>
      </c>
    </row>
    <row r="385" spans="1:13" s="5" customFormat="1" outlineLevel="2">
      <c r="A385" s="39" t="s">
        <v>142</v>
      </c>
      <c r="B385" s="40" t="s">
        <v>393</v>
      </c>
      <c r="C385" s="41" t="s">
        <v>149</v>
      </c>
      <c r="D385" s="40" t="s">
        <v>150</v>
      </c>
      <c r="E385" s="24">
        <v>1646400</v>
      </c>
      <c r="F385" s="39">
        <v>44384</v>
      </c>
      <c r="G385" s="24">
        <v>1646400</v>
      </c>
      <c r="H385" s="23">
        <v>5.0000000000000001E-3</v>
      </c>
      <c r="I385" s="39">
        <v>44384</v>
      </c>
      <c r="J385" s="39">
        <v>44408</v>
      </c>
      <c r="K385" s="24">
        <v>25</v>
      </c>
      <c r="L385" s="24">
        <v>564</v>
      </c>
      <c r="M385" s="24">
        <v>1646400</v>
      </c>
    </row>
    <row r="386" spans="1:13" s="5" customFormat="1" outlineLevel="2">
      <c r="A386" s="39" t="s">
        <v>142</v>
      </c>
      <c r="B386" s="40" t="s">
        <v>392</v>
      </c>
      <c r="C386" s="41" t="s">
        <v>149</v>
      </c>
      <c r="D386" s="40" t="s">
        <v>150</v>
      </c>
      <c r="E386" s="24">
        <v>1092000</v>
      </c>
      <c r="F386" s="39">
        <v>44407</v>
      </c>
      <c r="G386" s="24">
        <v>1092000</v>
      </c>
      <c r="H386" s="23">
        <v>5.0000000000000001E-3</v>
      </c>
      <c r="I386" s="39">
        <v>44407</v>
      </c>
      <c r="J386" s="39">
        <v>44408</v>
      </c>
      <c r="K386" s="24">
        <v>2</v>
      </c>
      <c r="L386" s="24">
        <v>30</v>
      </c>
      <c r="M386" s="24">
        <v>1092000</v>
      </c>
    </row>
    <row r="387" spans="1:13" s="5" customFormat="1" outlineLevel="2">
      <c r="A387" s="39" t="s">
        <v>142</v>
      </c>
      <c r="B387" s="40" t="s">
        <v>391</v>
      </c>
      <c r="C387" s="41" t="s">
        <v>149</v>
      </c>
      <c r="D387" s="40" t="s">
        <v>150</v>
      </c>
      <c r="E387" s="24">
        <v>430080</v>
      </c>
      <c r="F387" s="39">
        <v>44407</v>
      </c>
      <c r="G387" s="24">
        <v>430080</v>
      </c>
      <c r="H387" s="23">
        <v>5.0000000000000001E-3</v>
      </c>
      <c r="I387" s="39">
        <v>44407</v>
      </c>
      <c r="J387" s="39">
        <v>44408</v>
      </c>
      <c r="K387" s="24">
        <v>2</v>
      </c>
      <c r="L387" s="24">
        <v>12</v>
      </c>
      <c r="M387" s="24">
        <v>430080</v>
      </c>
    </row>
    <row r="388" spans="1:13" s="5" customFormat="1" outlineLevel="2">
      <c r="A388" s="39" t="s">
        <v>142</v>
      </c>
      <c r="B388" s="40" t="s">
        <v>390</v>
      </c>
      <c r="C388" s="41" t="s">
        <v>125</v>
      </c>
      <c r="D388" s="40" t="s">
        <v>126</v>
      </c>
      <c r="E388" s="24">
        <v>7000000</v>
      </c>
      <c r="F388" s="39">
        <v>44389</v>
      </c>
      <c r="G388" s="24">
        <v>7000000</v>
      </c>
      <c r="H388" s="23">
        <v>5.0000000000000001E-3</v>
      </c>
      <c r="I388" s="39">
        <v>44389</v>
      </c>
      <c r="J388" s="39">
        <v>44408</v>
      </c>
      <c r="K388" s="24">
        <v>20</v>
      </c>
      <c r="L388" s="24">
        <v>1918</v>
      </c>
      <c r="M388" s="24">
        <v>7000000</v>
      </c>
    </row>
    <row r="389" spans="1:13" s="5" customFormat="1" outlineLevel="2">
      <c r="A389" s="39" t="s">
        <v>142</v>
      </c>
      <c r="B389" s="40" t="s">
        <v>389</v>
      </c>
      <c r="C389" s="41" t="s">
        <v>87</v>
      </c>
      <c r="D389" s="40" t="s">
        <v>88</v>
      </c>
      <c r="E389" s="24">
        <v>13481921</v>
      </c>
      <c r="F389" s="39">
        <v>44403</v>
      </c>
      <c r="G389" s="24">
        <v>13481921</v>
      </c>
      <c r="H389" s="23">
        <v>5.0000000000000001E-3</v>
      </c>
      <c r="I389" s="39">
        <v>44403</v>
      </c>
      <c r="J389" s="39">
        <v>44408</v>
      </c>
      <c r="K389" s="24">
        <v>6</v>
      </c>
      <c r="L389" s="24">
        <v>1108</v>
      </c>
      <c r="M389" s="24">
        <v>13481921</v>
      </c>
    </row>
    <row r="390" spans="1:13" s="5" customFormat="1" outlineLevel="2">
      <c r="A390" s="39" t="s">
        <v>142</v>
      </c>
      <c r="B390" s="40" t="s">
        <v>35</v>
      </c>
      <c r="C390" s="41" t="s">
        <v>89</v>
      </c>
      <c r="D390" s="40" t="s">
        <v>90</v>
      </c>
      <c r="E390" s="24">
        <v>16860000</v>
      </c>
      <c r="F390" s="39">
        <v>43993</v>
      </c>
      <c r="G390" s="24">
        <v>16860000</v>
      </c>
      <c r="H390" s="23">
        <v>5.0000000000000001E-3</v>
      </c>
      <c r="I390" s="39">
        <v>44378</v>
      </c>
      <c r="J390" s="39">
        <v>44408</v>
      </c>
      <c r="K390" s="24">
        <v>31</v>
      </c>
      <c r="L390" s="24">
        <v>7160</v>
      </c>
      <c r="M390" s="24">
        <v>16860000</v>
      </c>
    </row>
    <row r="391" spans="1:13" s="5" customFormat="1" outlineLevel="2">
      <c r="A391" s="39" t="s">
        <v>142</v>
      </c>
      <c r="B391" s="40" t="s">
        <v>36</v>
      </c>
      <c r="C391" s="41" t="s">
        <v>161</v>
      </c>
      <c r="D391" s="40" t="s">
        <v>162</v>
      </c>
      <c r="E391" s="24">
        <v>240000000</v>
      </c>
      <c r="F391" s="39">
        <v>44000</v>
      </c>
      <c r="G391" s="24">
        <v>240000000</v>
      </c>
      <c r="H391" s="23">
        <v>5.0000000000000001E-3</v>
      </c>
      <c r="I391" s="39">
        <v>44378</v>
      </c>
      <c r="J391" s="39">
        <v>44408</v>
      </c>
      <c r="K391" s="24">
        <v>31</v>
      </c>
      <c r="L391" s="24">
        <v>101918</v>
      </c>
      <c r="M391" s="24">
        <v>240000000</v>
      </c>
    </row>
    <row r="392" spans="1:13" s="5" customFormat="1" outlineLevel="2">
      <c r="A392" s="39" t="s">
        <v>142</v>
      </c>
      <c r="B392" s="40" t="s">
        <v>39</v>
      </c>
      <c r="C392" s="41" t="s">
        <v>143</v>
      </c>
      <c r="D392" s="40" t="s">
        <v>144</v>
      </c>
      <c r="E392" s="24">
        <v>57000000</v>
      </c>
      <c r="F392" s="39">
        <v>43822</v>
      </c>
      <c r="G392" s="24">
        <v>57000000</v>
      </c>
      <c r="H392" s="23">
        <v>5.0000000000000001E-3</v>
      </c>
      <c r="I392" s="39">
        <v>44378</v>
      </c>
      <c r="J392" s="39">
        <v>44408</v>
      </c>
      <c r="K392" s="24">
        <v>31</v>
      </c>
      <c r="L392" s="24">
        <v>24205</v>
      </c>
      <c r="M392" s="24">
        <v>57000000</v>
      </c>
    </row>
    <row r="393" spans="1:13" s="5" customFormat="1" outlineLevel="2">
      <c r="A393" s="39" t="s">
        <v>142</v>
      </c>
      <c r="B393" s="40" t="s">
        <v>40</v>
      </c>
      <c r="C393" s="41" t="s">
        <v>123</v>
      </c>
      <c r="D393" s="40" t="s">
        <v>124</v>
      </c>
      <c r="E393" s="24">
        <v>55000000</v>
      </c>
      <c r="F393" s="39">
        <v>44001</v>
      </c>
      <c r="G393" s="24">
        <v>55000000</v>
      </c>
      <c r="H393" s="23">
        <v>5.0000000000000001E-3</v>
      </c>
      <c r="I393" s="39">
        <v>44378</v>
      </c>
      <c r="J393" s="39">
        <v>44408</v>
      </c>
      <c r="K393" s="24">
        <v>31</v>
      </c>
      <c r="L393" s="24">
        <v>23356</v>
      </c>
      <c r="M393" s="24">
        <v>55000000</v>
      </c>
    </row>
    <row r="394" spans="1:13" s="5" customFormat="1" outlineLevel="2">
      <c r="A394" s="39" t="s">
        <v>142</v>
      </c>
      <c r="B394" s="40" t="s">
        <v>41</v>
      </c>
      <c r="C394" s="41" t="s">
        <v>87</v>
      </c>
      <c r="D394" s="40" t="s">
        <v>88</v>
      </c>
      <c r="E394" s="24">
        <v>8907064</v>
      </c>
      <c r="F394" s="39">
        <v>44006</v>
      </c>
      <c r="G394" s="24">
        <v>8907064</v>
      </c>
      <c r="H394" s="23">
        <v>5.0000000000000001E-3</v>
      </c>
      <c r="I394" s="39">
        <v>44378</v>
      </c>
      <c r="J394" s="39">
        <v>44408</v>
      </c>
      <c r="K394" s="24">
        <v>31</v>
      </c>
      <c r="L394" s="24">
        <v>3782</v>
      </c>
      <c r="M394" s="24">
        <v>8907064</v>
      </c>
    </row>
    <row r="395" spans="1:13" s="5" customFormat="1" outlineLevel="2">
      <c r="A395" s="39" t="s">
        <v>142</v>
      </c>
      <c r="B395" s="40" t="s">
        <v>42</v>
      </c>
      <c r="C395" s="41" t="s">
        <v>149</v>
      </c>
      <c r="D395" s="40" t="s">
        <v>150</v>
      </c>
      <c r="E395" s="24">
        <v>7560000</v>
      </c>
      <c r="F395" s="39">
        <v>44018</v>
      </c>
      <c r="G395" s="24">
        <v>7560000</v>
      </c>
      <c r="H395" s="23">
        <v>5.0000000000000001E-3</v>
      </c>
      <c r="I395" s="39">
        <v>44378</v>
      </c>
      <c r="J395" s="39">
        <v>44408</v>
      </c>
      <c r="K395" s="24">
        <v>31</v>
      </c>
      <c r="L395" s="24">
        <v>3210</v>
      </c>
      <c r="M395" s="24">
        <v>7560000</v>
      </c>
    </row>
    <row r="396" spans="1:13" s="5" customFormat="1" outlineLevel="2">
      <c r="A396" s="39" t="s">
        <v>142</v>
      </c>
      <c r="B396" s="40" t="s">
        <v>43</v>
      </c>
      <c r="C396" s="41" t="s">
        <v>143</v>
      </c>
      <c r="D396" s="40" t="s">
        <v>144</v>
      </c>
      <c r="E396" s="24">
        <v>38000000</v>
      </c>
      <c r="F396" s="39">
        <v>44022</v>
      </c>
      <c r="G396" s="24">
        <v>38000000</v>
      </c>
      <c r="H396" s="23">
        <v>5.0000000000000001E-3</v>
      </c>
      <c r="I396" s="39">
        <v>44378</v>
      </c>
      <c r="J396" s="39">
        <v>44408</v>
      </c>
      <c r="K396" s="24">
        <v>31</v>
      </c>
      <c r="L396" s="24">
        <v>16137</v>
      </c>
      <c r="M396" s="24">
        <v>38000000</v>
      </c>
    </row>
    <row r="397" spans="1:13" s="5" customFormat="1" outlineLevel="2">
      <c r="A397" s="39" t="s">
        <v>142</v>
      </c>
      <c r="B397" s="40" t="s">
        <v>44</v>
      </c>
      <c r="C397" s="41" t="s">
        <v>143</v>
      </c>
      <c r="D397" s="40" t="s">
        <v>144</v>
      </c>
      <c r="E397" s="24">
        <v>10500000</v>
      </c>
      <c r="F397" s="39">
        <v>44022</v>
      </c>
      <c r="G397" s="24">
        <v>10500000</v>
      </c>
      <c r="H397" s="23">
        <v>5.0000000000000001E-3</v>
      </c>
      <c r="I397" s="39">
        <v>44378</v>
      </c>
      <c r="J397" s="39">
        <v>44408</v>
      </c>
      <c r="K397" s="24">
        <v>31</v>
      </c>
      <c r="L397" s="24">
        <v>4459</v>
      </c>
      <c r="M397" s="24">
        <v>10500000</v>
      </c>
    </row>
    <row r="398" spans="1:13" s="5" customFormat="1" outlineLevel="2">
      <c r="A398" s="39" t="s">
        <v>142</v>
      </c>
      <c r="B398" s="40" t="s">
        <v>47</v>
      </c>
      <c r="C398" s="41" t="s">
        <v>163</v>
      </c>
      <c r="D398" s="40" t="s">
        <v>164</v>
      </c>
      <c r="E398" s="24">
        <v>72000000</v>
      </c>
      <c r="F398" s="39">
        <v>44025</v>
      </c>
      <c r="G398" s="24">
        <v>65344538</v>
      </c>
      <c r="H398" s="23">
        <v>5.0000000000000001E-3</v>
      </c>
      <c r="I398" s="39">
        <v>44378</v>
      </c>
      <c r="J398" s="39">
        <v>44391</v>
      </c>
      <c r="K398" s="24">
        <v>14</v>
      </c>
      <c r="L398" s="24">
        <v>12532</v>
      </c>
      <c r="M398" s="24">
        <v>64739496</v>
      </c>
    </row>
    <row r="399" spans="1:13" s="5" customFormat="1" outlineLevel="2">
      <c r="A399" s="39" t="s">
        <v>142</v>
      </c>
      <c r="B399" s="40" t="s">
        <v>47</v>
      </c>
      <c r="C399" s="41" t="s">
        <v>163</v>
      </c>
      <c r="D399" s="40"/>
      <c r="E399" s="24"/>
      <c r="F399" s="39"/>
      <c r="G399" s="24">
        <v>64739496</v>
      </c>
      <c r="H399" s="23">
        <v>5.0000000000000001E-3</v>
      </c>
      <c r="I399" s="39">
        <v>44392</v>
      </c>
      <c r="J399" s="39">
        <v>44408</v>
      </c>
      <c r="K399" s="24">
        <v>17</v>
      </c>
      <c r="L399" s="24">
        <v>15076</v>
      </c>
      <c r="M399" s="24"/>
    </row>
    <row r="400" spans="1:13" s="5" customFormat="1" outlineLevel="2">
      <c r="A400" s="39" t="s">
        <v>142</v>
      </c>
      <c r="B400" s="40" t="s">
        <v>50</v>
      </c>
      <c r="C400" s="41" t="s">
        <v>97</v>
      </c>
      <c r="D400" s="40" t="s">
        <v>98</v>
      </c>
      <c r="E400" s="24">
        <v>87500000</v>
      </c>
      <c r="F400" s="39">
        <v>44027</v>
      </c>
      <c r="G400" s="24">
        <v>87500000</v>
      </c>
      <c r="H400" s="23">
        <v>5.0000000000000001E-3</v>
      </c>
      <c r="I400" s="39">
        <v>44378</v>
      </c>
      <c r="J400" s="39">
        <v>44408</v>
      </c>
      <c r="K400" s="24">
        <v>31</v>
      </c>
      <c r="L400" s="24">
        <v>37158</v>
      </c>
      <c r="M400" s="24">
        <v>87500000</v>
      </c>
    </row>
    <row r="401" spans="1:13" s="5" customFormat="1" outlineLevel="2">
      <c r="A401" s="39" t="s">
        <v>142</v>
      </c>
      <c r="B401" s="40" t="s">
        <v>51</v>
      </c>
      <c r="C401" s="41" t="s">
        <v>165</v>
      </c>
      <c r="D401" s="40" t="s">
        <v>166</v>
      </c>
      <c r="E401" s="24">
        <v>84000000</v>
      </c>
      <c r="F401" s="39">
        <v>44027</v>
      </c>
      <c r="G401" s="24">
        <v>84000000</v>
      </c>
      <c r="H401" s="23">
        <v>5.0000000000000001E-3</v>
      </c>
      <c r="I401" s="39">
        <v>44378</v>
      </c>
      <c r="J401" s="39">
        <v>44408</v>
      </c>
      <c r="K401" s="24">
        <v>31</v>
      </c>
      <c r="L401" s="24">
        <v>35671</v>
      </c>
      <c r="M401" s="24">
        <v>84000000</v>
      </c>
    </row>
    <row r="402" spans="1:13" s="5" customFormat="1" outlineLevel="2">
      <c r="A402" s="39" t="s">
        <v>142</v>
      </c>
      <c r="B402" s="40" t="s">
        <v>52</v>
      </c>
      <c r="C402" s="41" t="s">
        <v>30</v>
      </c>
      <c r="D402" s="40" t="s">
        <v>31</v>
      </c>
      <c r="E402" s="24">
        <v>12230000</v>
      </c>
      <c r="F402" s="39">
        <v>44034</v>
      </c>
      <c r="G402" s="24">
        <v>12230000</v>
      </c>
      <c r="H402" s="23">
        <v>5.0000000000000001E-3</v>
      </c>
      <c r="I402" s="39">
        <v>44378</v>
      </c>
      <c r="J402" s="39">
        <v>44408</v>
      </c>
      <c r="K402" s="24">
        <v>31</v>
      </c>
      <c r="L402" s="24">
        <v>5194</v>
      </c>
      <c r="M402" s="24">
        <v>12230000</v>
      </c>
    </row>
    <row r="403" spans="1:13" s="5" customFormat="1" outlineLevel="2">
      <c r="A403" s="39" t="s">
        <v>142</v>
      </c>
      <c r="B403" s="40" t="s">
        <v>53</v>
      </c>
      <c r="C403" s="41" t="s">
        <v>123</v>
      </c>
      <c r="D403" s="40" t="s">
        <v>124</v>
      </c>
      <c r="E403" s="24">
        <v>40000000</v>
      </c>
      <c r="F403" s="39">
        <v>44040</v>
      </c>
      <c r="G403" s="24">
        <v>40000000</v>
      </c>
      <c r="H403" s="23">
        <v>5.0000000000000001E-3</v>
      </c>
      <c r="I403" s="39">
        <v>44378</v>
      </c>
      <c r="J403" s="39">
        <v>44408</v>
      </c>
      <c r="K403" s="24">
        <v>31</v>
      </c>
      <c r="L403" s="24">
        <v>16986</v>
      </c>
      <c r="M403" s="24">
        <v>40000000</v>
      </c>
    </row>
    <row r="404" spans="1:13" s="5" customFormat="1" outlineLevel="2">
      <c r="A404" s="39" t="s">
        <v>142</v>
      </c>
      <c r="B404" s="40" t="s">
        <v>54</v>
      </c>
      <c r="C404" s="41" t="s">
        <v>121</v>
      </c>
      <c r="D404" s="40" t="s">
        <v>122</v>
      </c>
      <c r="E404" s="24">
        <v>171000000</v>
      </c>
      <c r="F404" s="39">
        <v>43822</v>
      </c>
      <c r="G404" s="24">
        <v>171000000</v>
      </c>
      <c r="H404" s="23">
        <v>5.0000000000000001E-3</v>
      </c>
      <c r="I404" s="39">
        <v>44378</v>
      </c>
      <c r="J404" s="39">
        <v>44408</v>
      </c>
      <c r="K404" s="24">
        <v>31</v>
      </c>
      <c r="L404" s="24">
        <v>72616</v>
      </c>
      <c r="M404" s="24">
        <v>171000000</v>
      </c>
    </row>
    <row r="405" spans="1:13" s="5" customFormat="1" outlineLevel="2">
      <c r="A405" s="39" t="s">
        <v>142</v>
      </c>
      <c r="B405" s="40" t="s">
        <v>57</v>
      </c>
      <c r="C405" s="41" t="s">
        <v>167</v>
      </c>
      <c r="D405" s="40" t="s">
        <v>168</v>
      </c>
      <c r="E405" s="24">
        <v>18000000</v>
      </c>
      <c r="F405" s="39">
        <v>44043</v>
      </c>
      <c r="G405" s="24">
        <v>18000000</v>
      </c>
      <c r="H405" s="23">
        <v>5.0000000000000001E-3</v>
      </c>
      <c r="I405" s="39">
        <v>44378</v>
      </c>
      <c r="J405" s="39">
        <v>44408</v>
      </c>
      <c r="K405" s="24">
        <v>31</v>
      </c>
      <c r="L405" s="24">
        <v>7644</v>
      </c>
      <c r="M405" s="24">
        <v>18000000</v>
      </c>
    </row>
    <row r="406" spans="1:13" s="5" customFormat="1" outlineLevel="2">
      <c r="A406" s="39" t="s">
        <v>142</v>
      </c>
      <c r="B406" s="40" t="s">
        <v>58</v>
      </c>
      <c r="C406" s="41" t="s">
        <v>167</v>
      </c>
      <c r="D406" s="40" t="s">
        <v>168</v>
      </c>
      <c r="E406" s="24">
        <v>21000000</v>
      </c>
      <c r="F406" s="39">
        <v>44043</v>
      </c>
      <c r="G406" s="24">
        <v>21000000</v>
      </c>
      <c r="H406" s="23">
        <v>5.0000000000000001E-3</v>
      </c>
      <c r="I406" s="39">
        <v>44378</v>
      </c>
      <c r="J406" s="39">
        <v>44408</v>
      </c>
      <c r="K406" s="24">
        <v>31</v>
      </c>
      <c r="L406" s="24">
        <v>8918</v>
      </c>
      <c r="M406" s="24">
        <v>21000000</v>
      </c>
    </row>
    <row r="407" spans="1:13" s="5" customFormat="1" outlineLevel="2">
      <c r="A407" s="39" t="s">
        <v>142</v>
      </c>
      <c r="B407" s="40" t="s">
        <v>99</v>
      </c>
      <c r="C407" s="41" t="s">
        <v>167</v>
      </c>
      <c r="D407" s="40" t="s">
        <v>168</v>
      </c>
      <c r="E407" s="24">
        <v>13600000</v>
      </c>
      <c r="F407" s="39">
        <v>44043</v>
      </c>
      <c r="G407" s="24">
        <v>13600000</v>
      </c>
      <c r="H407" s="23">
        <v>5.0000000000000001E-3</v>
      </c>
      <c r="I407" s="39">
        <v>44378</v>
      </c>
      <c r="J407" s="39">
        <v>44408</v>
      </c>
      <c r="K407" s="24">
        <v>31</v>
      </c>
      <c r="L407" s="24">
        <v>5775</v>
      </c>
      <c r="M407" s="24">
        <v>13600000</v>
      </c>
    </row>
    <row r="408" spans="1:13" s="5" customFormat="1" outlineLevel="2">
      <c r="A408" s="39" t="s">
        <v>142</v>
      </c>
      <c r="B408" s="40" t="s">
        <v>100</v>
      </c>
      <c r="C408" s="41" t="s">
        <v>143</v>
      </c>
      <c r="D408" s="40" t="s">
        <v>144</v>
      </c>
      <c r="E408" s="24">
        <v>28000000</v>
      </c>
      <c r="F408" s="39">
        <v>44046</v>
      </c>
      <c r="G408" s="24">
        <v>28000000</v>
      </c>
      <c r="H408" s="23">
        <v>5.0000000000000001E-3</v>
      </c>
      <c r="I408" s="39">
        <v>44378</v>
      </c>
      <c r="J408" s="39">
        <v>44408</v>
      </c>
      <c r="K408" s="24">
        <v>31</v>
      </c>
      <c r="L408" s="24">
        <v>11890</v>
      </c>
      <c r="M408" s="24">
        <v>28000000</v>
      </c>
    </row>
    <row r="409" spans="1:13" s="5" customFormat="1" outlineLevel="2">
      <c r="A409" s="39" t="s">
        <v>142</v>
      </c>
      <c r="B409" s="40" t="s">
        <v>101</v>
      </c>
      <c r="C409" s="41" t="s">
        <v>143</v>
      </c>
      <c r="D409" s="40" t="s">
        <v>144</v>
      </c>
      <c r="E409" s="24">
        <v>2700000</v>
      </c>
      <c r="F409" s="39">
        <v>44056</v>
      </c>
      <c r="G409" s="24">
        <v>2700000</v>
      </c>
      <c r="H409" s="23">
        <v>5.0000000000000001E-3</v>
      </c>
      <c r="I409" s="39">
        <v>44378</v>
      </c>
      <c r="J409" s="39">
        <v>44408</v>
      </c>
      <c r="K409" s="24">
        <v>31</v>
      </c>
      <c r="L409" s="24">
        <v>1147</v>
      </c>
      <c r="M409" s="24">
        <v>2700000</v>
      </c>
    </row>
    <row r="410" spans="1:13" s="5" customFormat="1" outlineLevel="2">
      <c r="A410" s="39" t="s">
        <v>142</v>
      </c>
      <c r="B410" s="40" t="s">
        <v>102</v>
      </c>
      <c r="C410" s="41" t="s">
        <v>143</v>
      </c>
      <c r="D410" s="40" t="s">
        <v>144</v>
      </c>
      <c r="E410" s="24">
        <v>29500000</v>
      </c>
      <c r="F410" s="39">
        <v>44074</v>
      </c>
      <c r="G410" s="24">
        <v>29500000</v>
      </c>
      <c r="H410" s="23">
        <v>5.0000000000000001E-3</v>
      </c>
      <c r="I410" s="39">
        <v>44378</v>
      </c>
      <c r="J410" s="39">
        <v>44408</v>
      </c>
      <c r="K410" s="24">
        <v>31</v>
      </c>
      <c r="L410" s="24">
        <v>12527</v>
      </c>
      <c r="M410" s="24">
        <v>29500000</v>
      </c>
    </row>
    <row r="411" spans="1:13" s="5" customFormat="1" outlineLevel="2">
      <c r="A411" s="39" t="s">
        <v>142</v>
      </c>
      <c r="B411" s="40" t="s">
        <v>103</v>
      </c>
      <c r="C411" s="41" t="s">
        <v>79</v>
      </c>
      <c r="D411" s="40" t="s">
        <v>80</v>
      </c>
      <c r="E411" s="24">
        <v>120000000</v>
      </c>
      <c r="F411" s="39">
        <v>44046</v>
      </c>
      <c r="G411" s="24">
        <v>120000000</v>
      </c>
      <c r="H411" s="23">
        <v>5.0000000000000001E-3</v>
      </c>
      <c r="I411" s="39">
        <v>44378</v>
      </c>
      <c r="J411" s="39">
        <v>44408</v>
      </c>
      <c r="K411" s="24">
        <v>31</v>
      </c>
      <c r="L411" s="24">
        <v>50959</v>
      </c>
      <c r="M411" s="24">
        <v>120000000</v>
      </c>
    </row>
    <row r="412" spans="1:13" s="5" customFormat="1" outlineLevel="2">
      <c r="A412" s="39" t="s">
        <v>142</v>
      </c>
      <c r="B412" s="40" t="s">
        <v>104</v>
      </c>
      <c r="C412" s="41" t="s">
        <v>149</v>
      </c>
      <c r="D412" s="40" t="s">
        <v>150</v>
      </c>
      <c r="E412" s="24">
        <v>8736000</v>
      </c>
      <c r="F412" s="39">
        <v>44047</v>
      </c>
      <c r="G412" s="24">
        <v>8736000</v>
      </c>
      <c r="H412" s="23">
        <v>5.0000000000000001E-3</v>
      </c>
      <c r="I412" s="39">
        <v>44378</v>
      </c>
      <c r="J412" s="39">
        <v>44408</v>
      </c>
      <c r="K412" s="24">
        <v>31</v>
      </c>
      <c r="L412" s="24">
        <v>3710</v>
      </c>
      <c r="M412" s="24">
        <v>8736000</v>
      </c>
    </row>
    <row r="413" spans="1:13" s="5" customFormat="1" outlineLevel="2">
      <c r="A413" s="39" t="s">
        <v>142</v>
      </c>
      <c r="B413" s="40" t="s">
        <v>105</v>
      </c>
      <c r="C413" s="41" t="s">
        <v>149</v>
      </c>
      <c r="D413" s="40" t="s">
        <v>150</v>
      </c>
      <c r="E413" s="24">
        <v>8988000</v>
      </c>
      <c r="F413" s="39">
        <v>44067</v>
      </c>
      <c r="G413" s="24">
        <v>8988000</v>
      </c>
      <c r="H413" s="23">
        <v>5.0000000000000001E-3</v>
      </c>
      <c r="I413" s="39">
        <v>44378</v>
      </c>
      <c r="J413" s="39">
        <v>44408</v>
      </c>
      <c r="K413" s="24">
        <v>31</v>
      </c>
      <c r="L413" s="24">
        <v>3817</v>
      </c>
      <c r="M413" s="24">
        <v>8988000</v>
      </c>
    </row>
    <row r="414" spans="1:13" s="5" customFormat="1" outlineLevel="2">
      <c r="A414" s="39" t="s">
        <v>142</v>
      </c>
      <c r="B414" s="40" t="s">
        <v>106</v>
      </c>
      <c r="C414" s="41" t="s">
        <v>149</v>
      </c>
      <c r="D414" s="40" t="s">
        <v>150</v>
      </c>
      <c r="E414" s="24">
        <v>34608000</v>
      </c>
      <c r="F414" s="39">
        <v>44070</v>
      </c>
      <c r="G414" s="24">
        <v>34608000</v>
      </c>
      <c r="H414" s="23">
        <v>5.0000000000000001E-3</v>
      </c>
      <c r="I414" s="39">
        <v>44378</v>
      </c>
      <c r="J414" s="39">
        <v>44408</v>
      </c>
      <c r="K414" s="24">
        <v>31</v>
      </c>
      <c r="L414" s="24">
        <v>14697</v>
      </c>
      <c r="M414" s="24">
        <v>34608000</v>
      </c>
    </row>
    <row r="415" spans="1:13" s="5" customFormat="1" outlineLevel="2">
      <c r="A415" s="39" t="s">
        <v>142</v>
      </c>
      <c r="B415" s="40" t="s">
        <v>59</v>
      </c>
      <c r="C415" s="41" t="s">
        <v>143</v>
      </c>
      <c r="D415" s="40" t="s">
        <v>144</v>
      </c>
      <c r="E415" s="24">
        <v>38000000</v>
      </c>
      <c r="F415" s="39">
        <v>43850</v>
      </c>
      <c r="G415" s="24">
        <v>38000000</v>
      </c>
      <c r="H415" s="23">
        <v>5.0000000000000001E-3</v>
      </c>
      <c r="I415" s="39">
        <v>44378</v>
      </c>
      <c r="J415" s="39">
        <v>44408</v>
      </c>
      <c r="K415" s="24">
        <v>31</v>
      </c>
      <c r="L415" s="24">
        <v>16137</v>
      </c>
      <c r="M415" s="24">
        <v>38000000</v>
      </c>
    </row>
    <row r="416" spans="1:13" s="5" customFormat="1" outlineLevel="2">
      <c r="A416" s="39" t="s">
        <v>142</v>
      </c>
      <c r="B416" s="40" t="s">
        <v>136</v>
      </c>
      <c r="C416" s="41" t="s">
        <v>146</v>
      </c>
      <c r="D416" s="40" t="s">
        <v>147</v>
      </c>
      <c r="E416" s="24">
        <v>13000000</v>
      </c>
      <c r="F416" s="39">
        <v>44047</v>
      </c>
      <c r="G416" s="24">
        <v>13000000</v>
      </c>
      <c r="H416" s="23">
        <v>5.0000000000000001E-3</v>
      </c>
      <c r="I416" s="39">
        <v>44378</v>
      </c>
      <c r="J416" s="39">
        <v>44408</v>
      </c>
      <c r="K416" s="24">
        <v>31</v>
      </c>
      <c r="L416" s="24">
        <v>5521</v>
      </c>
      <c r="M416" s="24">
        <v>13000000</v>
      </c>
    </row>
    <row r="417" spans="1:13" s="5" customFormat="1" outlineLevel="2">
      <c r="A417" s="39" t="s">
        <v>142</v>
      </c>
      <c r="B417" s="40" t="s">
        <v>137</v>
      </c>
      <c r="C417" s="41" t="s">
        <v>146</v>
      </c>
      <c r="D417" s="40" t="s">
        <v>147</v>
      </c>
      <c r="E417" s="24">
        <v>5000000</v>
      </c>
      <c r="F417" s="39">
        <v>44053</v>
      </c>
      <c r="G417" s="24">
        <v>5000000</v>
      </c>
      <c r="H417" s="23">
        <v>5.0000000000000001E-3</v>
      </c>
      <c r="I417" s="39">
        <v>44378</v>
      </c>
      <c r="J417" s="39">
        <v>44408</v>
      </c>
      <c r="K417" s="24">
        <v>31</v>
      </c>
      <c r="L417" s="24">
        <v>2123</v>
      </c>
      <c r="M417" s="24">
        <v>5000000</v>
      </c>
    </row>
    <row r="418" spans="1:13" s="5" customFormat="1" outlineLevel="2">
      <c r="A418" s="39" t="s">
        <v>142</v>
      </c>
      <c r="B418" s="40" t="s">
        <v>138</v>
      </c>
      <c r="C418" s="41" t="s">
        <v>163</v>
      </c>
      <c r="D418" s="40" t="s">
        <v>164</v>
      </c>
      <c r="E418" s="24">
        <v>5300000</v>
      </c>
      <c r="F418" s="39">
        <v>44050</v>
      </c>
      <c r="G418" s="24">
        <v>4850850</v>
      </c>
      <c r="H418" s="23">
        <v>5.0000000000000001E-3</v>
      </c>
      <c r="I418" s="39">
        <v>44378</v>
      </c>
      <c r="J418" s="39">
        <v>44391</v>
      </c>
      <c r="K418" s="24">
        <v>14</v>
      </c>
      <c r="L418" s="24">
        <v>930</v>
      </c>
      <c r="M418" s="24">
        <v>4805935</v>
      </c>
    </row>
    <row r="419" spans="1:13" s="5" customFormat="1" outlineLevel="2">
      <c r="A419" s="39" t="s">
        <v>142</v>
      </c>
      <c r="B419" s="40" t="s">
        <v>138</v>
      </c>
      <c r="C419" s="41" t="s">
        <v>163</v>
      </c>
      <c r="D419" s="40"/>
      <c r="E419" s="24"/>
      <c r="F419" s="39"/>
      <c r="G419" s="24">
        <v>4805935</v>
      </c>
      <c r="H419" s="23">
        <v>5.0000000000000001E-3</v>
      </c>
      <c r="I419" s="39">
        <v>44392</v>
      </c>
      <c r="J419" s="39">
        <v>44408</v>
      </c>
      <c r="K419" s="24">
        <v>17</v>
      </c>
      <c r="L419" s="24">
        <v>1119</v>
      </c>
      <c r="M419" s="24"/>
    </row>
    <row r="420" spans="1:13" s="5" customFormat="1" outlineLevel="2">
      <c r="A420" s="39" t="s">
        <v>142</v>
      </c>
      <c r="B420" s="40" t="s">
        <v>139</v>
      </c>
      <c r="C420" s="41" t="s">
        <v>117</v>
      </c>
      <c r="D420" s="40" t="s">
        <v>118</v>
      </c>
      <c r="E420" s="24">
        <v>40000000</v>
      </c>
      <c r="F420" s="39">
        <v>44060</v>
      </c>
      <c r="G420" s="24">
        <v>40000000</v>
      </c>
      <c r="H420" s="23">
        <v>5.0000000000000001E-3</v>
      </c>
      <c r="I420" s="39">
        <v>44378</v>
      </c>
      <c r="J420" s="39">
        <v>44408</v>
      </c>
      <c r="K420" s="24">
        <v>31</v>
      </c>
      <c r="L420" s="24">
        <v>16986</v>
      </c>
      <c r="M420" s="24">
        <v>40000000</v>
      </c>
    </row>
    <row r="421" spans="1:13" s="5" customFormat="1" outlineLevel="2">
      <c r="A421" s="39" t="s">
        <v>142</v>
      </c>
      <c r="B421" s="40" t="s">
        <v>140</v>
      </c>
      <c r="C421" s="41" t="s">
        <v>45</v>
      </c>
      <c r="D421" s="40" t="s">
        <v>46</v>
      </c>
      <c r="E421" s="24">
        <v>10000000</v>
      </c>
      <c r="F421" s="39">
        <v>44067</v>
      </c>
      <c r="G421" s="24">
        <v>10000000</v>
      </c>
      <c r="H421" s="23">
        <v>5.0000000000000001E-3</v>
      </c>
      <c r="I421" s="39">
        <v>44378</v>
      </c>
      <c r="J421" s="39">
        <v>44408</v>
      </c>
      <c r="K421" s="24">
        <v>31</v>
      </c>
      <c r="L421" s="24">
        <v>4247</v>
      </c>
      <c r="M421" s="24">
        <v>10000000</v>
      </c>
    </row>
    <row r="422" spans="1:13" s="5" customFormat="1" outlineLevel="2">
      <c r="A422" s="39" t="s">
        <v>142</v>
      </c>
      <c r="B422" s="40" t="s">
        <v>169</v>
      </c>
      <c r="C422" s="41" t="s">
        <v>79</v>
      </c>
      <c r="D422" s="40" t="s">
        <v>80</v>
      </c>
      <c r="E422" s="24">
        <v>125000000</v>
      </c>
      <c r="F422" s="39">
        <v>44075</v>
      </c>
      <c r="G422" s="24">
        <v>125000000</v>
      </c>
      <c r="H422" s="23">
        <v>5.0000000000000001E-3</v>
      </c>
      <c r="I422" s="39">
        <v>44378</v>
      </c>
      <c r="J422" s="39">
        <v>44408</v>
      </c>
      <c r="K422" s="24">
        <v>31</v>
      </c>
      <c r="L422" s="24">
        <v>53082</v>
      </c>
      <c r="M422" s="24">
        <v>125000000</v>
      </c>
    </row>
    <row r="423" spans="1:13" s="5" customFormat="1" outlineLevel="2">
      <c r="A423" s="39" t="s">
        <v>142</v>
      </c>
      <c r="B423" s="40" t="s">
        <v>170</v>
      </c>
      <c r="C423" s="41" t="s">
        <v>79</v>
      </c>
      <c r="D423" s="40" t="s">
        <v>80</v>
      </c>
      <c r="E423" s="24">
        <v>105000000</v>
      </c>
      <c r="F423" s="39">
        <v>44104</v>
      </c>
      <c r="G423" s="24">
        <v>105000000</v>
      </c>
      <c r="H423" s="23">
        <v>5.0000000000000001E-3</v>
      </c>
      <c r="I423" s="39">
        <v>44378</v>
      </c>
      <c r="J423" s="39">
        <v>44408</v>
      </c>
      <c r="K423" s="24">
        <v>31</v>
      </c>
      <c r="L423" s="24">
        <v>44589</v>
      </c>
      <c r="M423" s="24">
        <v>105000000</v>
      </c>
    </row>
    <row r="424" spans="1:13" s="5" customFormat="1" outlineLevel="2">
      <c r="A424" s="39" t="s">
        <v>142</v>
      </c>
      <c r="B424" s="40" t="s">
        <v>171</v>
      </c>
      <c r="C424" s="41" t="s">
        <v>146</v>
      </c>
      <c r="D424" s="40" t="s">
        <v>147</v>
      </c>
      <c r="E424" s="24">
        <v>13000000</v>
      </c>
      <c r="F424" s="39">
        <v>44077</v>
      </c>
      <c r="G424" s="24">
        <v>13000000</v>
      </c>
      <c r="H424" s="23">
        <v>5.0000000000000001E-3</v>
      </c>
      <c r="I424" s="39">
        <v>44378</v>
      </c>
      <c r="J424" s="39">
        <v>44408</v>
      </c>
      <c r="K424" s="24">
        <v>31</v>
      </c>
      <c r="L424" s="24">
        <v>5521</v>
      </c>
      <c r="M424" s="24">
        <v>13000000</v>
      </c>
    </row>
    <row r="425" spans="1:13" s="5" customFormat="1" outlineLevel="2">
      <c r="A425" s="39" t="s">
        <v>142</v>
      </c>
      <c r="B425" s="40" t="s">
        <v>172</v>
      </c>
      <c r="C425" s="41" t="s">
        <v>146</v>
      </c>
      <c r="D425" s="40" t="s">
        <v>147</v>
      </c>
      <c r="E425" s="24">
        <v>5800000</v>
      </c>
      <c r="F425" s="39">
        <v>44083</v>
      </c>
      <c r="G425" s="24">
        <v>5800000</v>
      </c>
      <c r="H425" s="23">
        <v>5.0000000000000001E-3</v>
      </c>
      <c r="I425" s="39">
        <v>44378</v>
      </c>
      <c r="J425" s="39">
        <v>44408</v>
      </c>
      <c r="K425" s="24">
        <v>31</v>
      </c>
      <c r="L425" s="24">
        <v>2463</v>
      </c>
      <c r="M425" s="24">
        <v>5800000</v>
      </c>
    </row>
    <row r="426" spans="1:13" s="5" customFormat="1" outlineLevel="2">
      <c r="A426" s="39" t="s">
        <v>142</v>
      </c>
      <c r="B426" s="40" t="s">
        <v>173</v>
      </c>
      <c r="C426" s="41" t="s">
        <v>149</v>
      </c>
      <c r="D426" s="40" t="s">
        <v>150</v>
      </c>
      <c r="E426" s="24">
        <v>4989600</v>
      </c>
      <c r="F426" s="39">
        <v>44088</v>
      </c>
      <c r="G426" s="24">
        <v>4989600</v>
      </c>
      <c r="H426" s="23">
        <v>5.0000000000000001E-3</v>
      </c>
      <c r="I426" s="39">
        <v>44378</v>
      </c>
      <c r="J426" s="39">
        <v>44408</v>
      </c>
      <c r="K426" s="24">
        <v>31</v>
      </c>
      <c r="L426" s="24">
        <v>2119</v>
      </c>
      <c r="M426" s="24">
        <v>4989600</v>
      </c>
    </row>
    <row r="427" spans="1:13" s="5" customFormat="1" outlineLevel="2">
      <c r="A427" s="39" t="s">
        <v>142</v>
      </c>
      <c r="B427" s="40" t="s">
        <v>62</v>
      </c>
      <c r="C427" s="41" t="s">
        <v>143</v>
      </c>
      <c r="D427" s="40" t="s">
        <v>144</v>
      </c>
      <c r="E427" s="24">
        <v>10000000</v>
      </c>
      <c r="F427" s="39">
        <v>43850</v>
      </c>
      <c r="G427" s="24">
        <v>10000000</v>
      </c>
      <c r="H427" s="23">
        <v>5.0000000000000001E-3</v>
      </c>
      <c r="I427" s="39">
        <v>44378</v>
      </c>
      <c r="J427" s="39">
        <v>44408</v>
      </c>
      <c r="K427" s="24">
        <v>31</v>
      </c>
      <c r="L427" s="24">
        <v>4247</v>
      </c>
      <c r="M427" s="24">
        <v>10000000</v>
      </c>
    </row>
    <row r="428" spans="1:13" s="5" customFormat="1" outlineLevel="2">
      <c r="A428" s="39" t="s">
        <v>142</v>
      </c>
      <c r="B428" s="40" t="s">
        <v>174</v>
      </c>
      <c r="C428" s="41" t="s">
        <v>66</v>
      </c>
      <c r="D428" s="40" t="s">
        <v>67</v>
      </c>
      <c r="E428" s="24">
        <v>96000000</v>
      </c>
      <c r="F428" s="39">
        <v>44089</v>
      </c>
      <c r="G428" s="24">
        <v>96000000</v>
      </c>
      <c r="H428" s="23">
        <v>5.0000000000000001E-3</v>
      </c>
      <c r="I428" s="39">
        <v>44378</v>
      </c>
      <c r="J428" s="39">
        <v>44408</v>
      </c>
      <c r="K428" s="24">
        <v>31</v>
      </c>
      <c r="L428" s="24">
        <v>40767</v>
      </c>
      <c r="M428" s="24">
        <v>96000000</v>
      </c>
    </row>
    <row r="429" spans="1:13" s="5" customFormat="1" outlineLevel="2">
      <c r="A429" s="39" t="s">
        <v>142</v>
      </c>
      <c r="B429" s="40" t="s">
        <v>175</v>
      </c>
      <c r="C429" s="41" t="s">
        <v>66</v>
      </c>
      <c r="D429" s="40" t="s">
        <v>67</v>
      </c>
      <c r="E429" s="24">
        <v>16000000</v>
      </c>
      <c r="F429" s="39">
        <v>44089</v>
      </c>
      <c r="G429" s="24">
        <v>16000000</v>
      </c>
      <c r="H429" s="23">
        <v>5.0000000000000001E-3</v>
      </c>
      <c r="I429" s="39">
        <v>44378</v>
      </c>
      <c r="J429" s="39">
        <v>44408</v>
      </c>
      <c r="K429" s="24">
        <v>31</v>
      </c>
      <c r="L429" s="24">
        <v>6795</v>
      </c>
      <c r="M429" s="24">
        <v>16000000</v>
      </c>
    </row>
    <row r="430" spans="1:13" s="5" customFormat="1" outlineLevel="2">
      <c r="A430" s="39" t="s">
        <v>142</v>
      </c>
      <c r="B430" s="40" t="s">
        <v>176</v>
      </c>
      <c r="C430" s="41" t="s">
        <v>143</v>
      </c>
      <c r="D430" s="40" t="s">
        <v>144</v>
      </c>
      <c r="E430" s="24">
        <v>21600000</v>
      </c>
      <c r="F430" s="39">
        <v>44095</v>
      </c>
      <c r="G430" s="24">
        <v>21600000</v>
      </c>
      <c r="H430" s="23">
        <v>5.0000000000000001E-3</v>
      </c>
      <c r="I430" s="39">
        <v>44378</v>
      </c>
      <c r="J430" s="39">
        <v>44408</v>
      </c>
      <c r="K430" s="24">
        <v>31</v>
      </c>
      <c r="L430" s="24">
        <v>9173</v>
      </c>
      <c r="M430" s="24">
        <v>21600000</v>
      </c>
    </row>
    <row r="431" spans="1:13" s="5" customFormat="1" outlineLevel="2">
      <c r="A431" s="39" t="s">
        <v>142</v>
      </c>
      <c r="B431" s="40" t="s">
        <v>177</v>
      </c>
      <c r="C431" s="41" t="s">
        <v>123</v>
      </c>
      <c r="D431" s="40" t="s">
        <v>124</v>
      </c>
      <c r="E431" s="24">
        <v>40000000</v>
      </c>
      <c r="F431" s="39">
        <v>44100</v>
      </c>
      <c r="G431" s="24">
        <v>40000000</v>
      </c>
      <c r="H431" s="23">
        <v>5.0000000000000001E-3</v>
      </c>
      <c r="I431" s="39">
        <v>44378</v>
      </c>
      <c r="J431" s="39">
        <v>44408</v>
      </c>
      <c r="K431" s="24">
        <v>31</v>
      </c>
      <c r="L431" s="24">
        <v>16986</v>
      </c>
      <c r="M431" s="24">
        <v>40000000</v>
      </c>
    </row>
    <row r="432" spans="1:13" s="5" customFormat="1" outlineLevel="2">
      <c r="A432" s="39" t="s">
        <v>142</v>
      </c>
      <c r="B432" s="40" t="s">
        <v>178</v>
      </c>
      <c r="C432" s="41" t="s">
        <v>125</v>
      </c>
      <c r="D432" s="40" t="s">
        <v>126</v>
      </c>
      <c r="E432" s="24">
        <v>2000000</v>
      </c>
      <c r="F432" s="39">
        <v>44103</v>
      </c>
      <c r="G432" s="24">
        <v>2000000</v>
      </c>
      <c r="H432" s="23">
        <v>5.0000000000000001E-3</v>
      </c>
      <c r="I432" s="39">
        <v>44378</v>
      </c>
      <c r="J432" s="39">
        <v>44408</v>
      </c>
      <c r="K432" s="24">
        <v>31</v>
      </c>
      <c r="L432" s="24">
        <v>849</v>
      </c>
      <c r="M432" s="24">
        <v>2000000</v>
      </c>
    </row>
    <row r="433" spans="1:13" s="5" customFormat="1" outlineLevel="2">
      <c r="A433" s="39" t="s">
        <v>142</v>
      </c>
      <c r="B433" s="40" t="s">
        <v>179</v>
      </c>
      <c r="C433" s="41" t="s">
        <v>146</v>
      </c>
      <c r="D433" s="40" t="s">
        <v>147</v>
      </c>
      <c r="E433" s="24">
        <v>13200000</v>
      </c>
      <c r="F433" s="39">
        <v>44109</v>
      </c>
      <c r="G433" s="24">
        <v>13200000</v>
      </c>
      <c r="H433" s="23">
        <v>5.0000000000000001E-3</v>
      </c>
      <c r="I433" s="39">
        <v>44378</v>
      </c>
      <c r="J433" s="39">
        <v>44408</v>
      </c>
      <c r="K433" s="24">
        <v>31</v>
      </c>
      <c r="L433" s="24">
        <v>5605</v>
      </c>
      <c r="M433" s="24">
        <v>13200000</v>
      </c>
    </row>
    <row r="434" spans="1:13" s="5" customFormat="1" outlineLevel="2">
      <c r="A434" s="39" t="s">
        <v>142</v>
      </c>
      <c r="B434" s="40" t="s">
        <v>180</v>
      </c>
      <c r="C434" s="41" t="s">
        <v>146</v>
      </c>
      <c r="D434" s="40" t="s">
        <v>147</v>
      </c>
      <c r="E434" s="24">
        <v>3000000</v>
      </c>
      <c r="F434" s="39">
        <v>44116</v>
      </c>
      <c r="G434" s="24">
        <v>3000000</v>
      </c>
      <c r="H434" s="23">
        <v>5.0000000000000001E-3</v>
      </c>
      <c r="I434" s="39">
        <v>44378</v>
      </c>
      <c r="J434" s="39">
        <v>44408</v>
      </c>
      <c r="K434" s="24">
        <v>31</v>
      </c>
      <c r="L434" s="24">
        <v>1274</v>
      </c>
      <c r="M434" s="24">
        <v>3000000</v>
      </c>
    </row>
    <row r="435" spans="1:13" s="5" customFormat="1" outlineLevel="2">
      <c r="A435" s="39" t="s">
        <v>142</v>
      </c>
      <c r="B435" s="40" t="s">
        <v>181</v>
      </c>
      <c r="C435" s="41" t="s">
        <v>149</v>
      </c>
      <c r="D435" s="40" t="s">
        <v>150</v>
      </c>
      <c r="E435" s="24">
        <v>8736000</v>
      </c>
      <c r="F435" s="39">
        <v>44109</v>
      </c>
      <c r="G435" s="24">
        <v>8736000</v>
      </c>
      <c r="H435" s="23">
        <v>5.0000000000000001E-3</v>
      </c>
      <c r="I435" s="39">
        <v>44378</v>
      </c>
      <c r="J435" s="39">
        <v>44408</v>
      </c>
      <c r="K435" s="24">
        <v>31</v>
      </c>
      <c r="L435" s="24">
        <v>3710</v>
      </c>
      <c r="M435" s="24">
        <v>8736000</v>
      </c>
    </row>
    <row r="436" spans="1:13" s="5" customFormat="1" outlineLevel="2">
      <c r="A436" s="39" t="s">
        <v>142</v>
      </c>
      <c r="B436" s="40" t="s">
        <v>182</v>
      </c>
      <c r="C436" s="41" t="s">
        <v>149</v>
      </c>
      <c r="D436" s="40" t="s">
        <v>150</v>
      </c>
      <c r="E436" s="24">
        <v>4273920</v>
      </c>
      <c r="F436" s="39">
        <v>44111</v>
      </c>
      <c r="G436" s="24">
        <v>4273920</v>
      </c>
      <c r="H436" s="23">
        <v>5.0000000000000001E-3</v>
      </c>
      <c r="I436" s="39">
        <v>44378</v>
      </c>
      <c r="J436" s="39">
        <v>44408</v>
      </c>
      <c r="K436" s="24">
        <v>31</v>
      </c>
      <c r="L436" s="24">
        <v>1815</v>
      </c>
      <c r="M436" s="24">
        <v>4273920</v>
      </c>
    </row>
    <row r="437" spans="1:13" s="5" customFormat="1" outlineLevel="2">
      <c r="A437" s="39" t="s">
        <v>142</v>
      </c>
      <c r="B437" s="40" t="s">
        <v>183</v>
      </c>
      <c r="C437" s="41" t="s">
        <v>149</v>
      </c>
      <c r="D437" s="40" t="s">
        <v>150</v>
      </c>
      <c r="E437" s="24">
        <v>4368000</v>
      </c>
      <c r="F437" s="39">
        <v>44132</v>
      </c>
      <c r="G437" s="24">
        <v>4368000</v>
      </c>
      <c r="H437" s="23">
        <v>5.0000000000000001E-3</v>
      </c>
      <c r="I437" s="39">
        <v>44378</v>
      </c>
      <c r="J437" s="39">
        <v>44408</v>
      </c>
      <c r="K437" s="24">
        <v>31</v>
      </c>
      <c r="L437" s="24">
        <v>1855</v>
      </c>
      <c r="M437" s="24">
        <v>4368000</v>
      </c>
    </row>
    <row r="438" spans="1:13" s="5" customFormat="1" outlineLevel="2">
      <c r="A438" s="39" t="s">
        <v>142</v>
      </c>
      <c r="B438" s="40" t="s">
        <v>63</v>
      </c>
      <c r="C438" s="41" t="s">
        <v>149</v>
      </c>
      <c r="D438" s="40" t="s">
        <v>150</v>
      </c>
      <c r="E438" s="24">
        <v>96176976</v>
      </c>
      <c r="F438" s="39">
        <v>43861</v>
      </c>
      <c r="G438" s="24">
        <v>96176976</v>
      </c>
      <c r="H438" s="23">
        <v>5.0000000000000001E-3</v>
      </c>
      <c r="I438" s="39">
        <v>44378</v>
      </c>
      <c r="J438" s="39">
        <v>44408</v>
      </c>
      <c r="K438" s="24">
        <v>31</v>
      </c>
      <c r="L438" s="24">
        <v>40842</v>
      </c>
      <c r="M438" s="24">
        <v>96176976</v>
      </c>
    </row>
    <row r="439" spans="1:13" s="5" customFormat="1" outlineLevel="2">
      <c r="A439" s="39" t="s">
        <v>142</v>
      </c>
      <c r="B439" s="40" t="s">
        <v>184</v>
      </c>
      <c r="C439" s="41" t="s">
        <v>149</v>
      </c>
      <c r="D439" s="40" t="s">
        <v>150</v>
      </c>
      <c r="E439" s="24">
        <v>8064000</v>
      </c>
      <c r="F439" s="39">
        <v>44133</v>
      </c>
      <c r="G439" s="24">
        <v>8064000</v>
      </c>
      <c r="H439" s="23">
        <v>5.0000000000000001E-3</v>
      </c>
      <c r="I439" s="39">
        <v>44378</v>
      </c>
      <c r="J439" s="39">
        <v>44408</v>
      </c>
      <c r="K439" s="24">
        <v>31</v>
      </c>
      <c r="L439" s="24">
        <v>3424</v>
      </c>
      <c r="M439" s="24">
        <v>8064000</v>
      </c>
    </row>
    <row r="440" spans="1:13" s="5" customFormat="1" outlineLevel="2">
      <c r="A440" s="39" t="s">
        <v>142</v>
      </c>
      <c r="B440" s="40" t="s">
        <v>185</v>
      </c>
      <c r="C440" s="41" t="s">
        <v>149</v>
      </c>
      <c r="D440" s="40" t="s">
        <v>150</v>
      </c>
      <c r="E440" s="24">
        <v>113400</v>
      </c>
      <c r="F440" s="39">
        <v>44133</v>
      </c>
      <c r="G440" s="24">
        <v>113400</v>
      </c>
      <c r="H440" s="23">
        <v>5.0000000000000001E-3</v>
      </c>
      <c r="I440" s="39">
        <v>44378</v>
      </c>
      <c r="J440" s="39">
        <v>44408</v>
      </c>
      <c r="K440" s="24">
        <v>31</v>
      </c>
      <c r="L440" s="24">
        <v>48</v>
      </c>
      <c r="M440" s="24">
        <v>113400</v>
      </c>
    </row>
    <row r="441" spans="1:13" s="5" customFormat="1" outlineLevel="2">
      <c r="A441" s="39" t="s">
        <v>142</v>
      </c>
      <c r="B441" s="40" t="s">
        <v>186</v>
      </c>
      <c r="C441" s="41" t="s">
        <v>187</v>
      </c>
      <c r="D441" s="40" t="s">
        <v>188</v>
      </c>
      <c r="E441" s="24">
        <v>93700000</v>
      </c>
      <c r="F441" s="39">
        <v>44109</v>
      </c>
      <c r="G441" s="24">
        <v>93700000</v>
      </c>
      <c r="H441" s="23">
        <v>5.0000000000000001E-3</v>
      </c>
      <c r="I441" s="39">
        <v>44378</v>
      </c>
      <c r="J441" s="39">
        <v>44408</v>
      </c>
      <c r="K441" s="24">
        <v>31</v>
      </c>
      <c r="L441" s="24">
        <v>39790</v>
      </c>
      <c r="M441" s="24">
        <v>93700000</v>
      </c>
    </row>
    <row r="442" spans="1:13" s="5" customFormat="1" outlineLevel="2">
      <c r="A442" s="39" t="s">
        <v>142</v>
      </c>
      <c r="B442" s="40" t="s">
        <v>189</v>
      </c>
      <c r="C442" s="41" t="s">
        <v>187</v>
      </c>
      <c r="D442" s="40" t="s">
        <v>188</v>
      </c>
      <c r="E442" s="24">
        <v>21400000</v>
      </c>
      <c r="F442" s="39">
        <v>44109</v>
      </c>
      <c r="G442" s="24">
        <v>21400000</v>
      </c>
      <c r="H442" s="23">
        <v>5.0000000000000001E-3</v>
      </c>
      <c r="I442" s="39">
        <v>44378</v>
      </c>
      <c r="J442" s="39">
        <v>44408</v>
      </c>
      <c r="K442" s="24">
        <v>31</v>
      </c>
      <c r="L442" s="24">
        <v>9088</v>
      </c>
      <c r="M442" s="24">
        <v>21400000</v>
      </c>
    </row>
    <row r="443" spans="1:13" s="5" customFormat="1" outlineLevel="2">
      <c r="A443" s="39" t="s">
        <v>142</v>
      </c>
      <c r="B443" s="40" t="s">
        <v>190</v>
      </c>
      <c r="C443" s="41" t="s">
        <v>143</v>
      </c>
      <c r="D443" s="40" t="s">
        <v>144</v>
      </c>
      <c r="E443" s="24">
        <v>7150000</v>
      </c>
      <c r="F443" s="39">
        <v>44119</v>
      </c>
      <c r="G443" s="24">
        <v>7150000</v>
      </c>
      <c r="H443" s="23">
        <v>5.0000000000000001E-3</v>
      </c>
      <c r="I443" s="39">
        <v>44378</v>
      </c>
      <c r="J443" s="39">
        <v>44408</v>
      </c>
      <c r="K443" s="24">
        <v>31</v>
      </c>
      <c r="L443" s="24">
        <v>3036</v>
      </c>
      <c r="M443" s="24">
        <v>7150000</v>
      </c>
    </row>
    <row r="444" spans="1:13" s="5" customFormat="1" outlineLevel="2">
      <c r="A444" s="39" t="s">
        <v>142</v>
      </c>
      <c r="B444" s="40" t="s">
        <v>191</v>
      </c>
      <c r="C444" s="41" t="s">
        <v>143</v>
      </c>
      <c r="D444" s="40" t="s">
        <v>144</v>
      </c>
      <c r="E444" s="24">
        <v>14400000</v>
      </c>
      <c r="F444" s="39">
        <v>44124</v>
      </c>
      <c r="G444" s="24">
        <v>14400000</v>
      </c>
      <c r="H444" s="23">
        <v>5.0000000000000001E-3</v>
      </c>
      <c r="I444" s="39">
        <v>44378</v>
      </c>
      <c r="J444" s="39">
        <v>44408</v>
      </c>
      <c r="K444" s="24">
        <v>31</v>
      </c>
      <c r="L444" s="24">
        <v>6115</v>
      </c>
      <c r="M444" s="24">
        <v>14400000</v>
      </c>
    </row>
    <row r="445" spans="1:13" s="5" customFormat="1" outlineLevel="2">
      <c r="A445" s="39" t="s">
        <v>142</v>
      </c>
      <c r="B445" s="40" t="s">
        <v>192</v>
      </c>
      <c r="C445" s="41" t="s">
        <v>125</v>
      </c>
      <c r="D445" s="40" t="s">
        <v>126</v>
      </c>
      <c r="E445" s="24">
        <v>24000000</v>
      </c>
      <c r="F445" s="39">
        <v>44120</v>
      </c>
      <c r="G445" s="24">
        <v>24000000</v>
      </c>
      <c r="H445" s="23">
        <v>5.0000000000000001E-3</v>
      </c>
      <c r="I445" s="39">
        <v>44378</v>
      </c>
      <c r="J445" s="39">
        <v>44408</v>
      </c>
      <c r="K445" s="24">
        <v>31</v>
      </c>
      <c r="L445" s="24">
        <v>10192</v>
      </c>
      <c r="M445" s="24">
        <v>24000000</v>
      </c>
    </row>
    <row r="446" spans="1:13" s="5" customFormat="1" outlineLevel="2">
      <c r="A446" s="39" t="s">
        <v>142</v>
      </c>
      <c r="B446" s="40" t="s">
        <v>193</v>
      </c>
      <c r="C446" s="41" t="s">
        <v>125</v>
      </c>
      <c r="D446" s="40" t="s">
        <v>126</v>
      </c>
      <c r="E446" s="24">
        <v>24000000</v>
      </c>
      <c r="F446" s="39">
        <v>44127</v>
      </c>
      <c r="G446" s="24">
        <v>24000000</v>
      </c>
      <c r="H446" s="23">
        <v>5.0000000000000001E-3</v>
      </c>
      <c r="I446" s="39">
        <v>44378</v>
      </c>
      <c r="J446" s="39">
        <v>44408</v>
      </c>
      <c r="K446" s="24">
        <v>31</v>
      </c>
      <c r="L446" s="24">
        <v>10192</v>
      </c>
      <c r="M446" s="24">
        <v>24000000</v>
      </c>
    </row>
    <row r="447" spans="1:13" s="5" customFormat="1" outlineLevel="2">
      <c r="A447" s="39" t="s">
        <v>142</v>
      </c>
      <c r="B447" s="40" t="s">
        <v>194</v>
      </c>
      <c r="C447" s="41" t="s">
        <v>123</v>
      </c>
      <c r="D447" s="40" t="s">
        <v>124</v>
      </c>
      <c r="E447" s="24">
        <v>5000000</v>
      </c>
      <c r="F447" s="39">
        <v>44134</v>
      </c>
      <c r="G447" s="24">
        <v>5000000</v>
      </c>
      <c r="H447" s="23">
        <v>5.0000000000000001E-3</v>
      </c>
      <c r="I447" s="39">
        <v>44378</v>
      </c>
      <c r="J447" s="39">
        <v>44408</v>
      </c>
      <c r="K447" s="24">
        <v>31</v>
      </c>
      <c r="L447" s="24">
        <v>2123</v>
      </c>
      <c r="M447" s="24">
        <v>5000000</v>
      </c>
    </row>
    <row r="448" spans="1:13" s="5" customFormat="1" outlineLevel="2">
      <c r="A448" s="39" t="s">
        <v>142</v>
      </c>
      <c r="B448" s="40" t="s">
        <v>195</v>
      </c>
      <c r="C448" s="41" t="s">
        <v>146</v>
      </c>
      <c r="D448" s="40" t="s">
        <v>147</v>
      </c>
      <c r="E448" s="24">
        <v>16000000</v>
      </c>
      <c r="F448" s="39">
        <v>44139</v>
      </c>
      <c r="G448" s="24">
        <v>16000000</v>
      </c>
      <c r="H448" s="23">
        <v>5.0000000000000001E-3</v>
      </c>
      <c r="I448" s="39">
        <v>44378</v>
      </c>
      <c r="J448" s="39">
        <v>44408</v>
      </c>
      <c r="K448" s="24">
        <v>31</v>
      </c>
      <c r="L448" s="24">
        <v>6795</v>
      </c>
      <c r="M448" s="24">
        <v>16000000</v>
      </c>
    </row>
    <row r="449" spans="1:13" s="5" customFormat="1" outlineLevel="2">
      <c r="A449" s="39" t="s">
        <v>142</v>
      </c>
      <c r="B449" s="40" t="s">
        <v>64</v>
      </c>
      <c r="C449" s="41" t="s">
        <v>143</v>
      </c>
      <c r="D449" s="40" t="s">
        <v>144</v>
      </c>
      <c r="E449" s="24">
        <v>1800000</v>
      </c>
      <c r="F449" s="39">
        <v>43876</v>
      </c>
      <c r="G449" s="24">
        <v>1800000</v>
      </c>
      <c r="H449" s="23">
        <v>5.0000000000000001E-3</v>
      </c>
      <c r="I449" s="39">
        <v>44378</v>
      </c>
      <c r="J449" s="39">
        <v>44408</v>
      </c>
      <c r="K449" s="24">
        <v>31</v>
      </c>
      <c r="L449" s="24">
        <v>764</v>
      </c>
      <c r="M449" s="24">
        <v>1800000</v>
      </c>
    </row>
    <row r="450" spans="1:13" s="5" customFormat="1" outlineLevel="2">
      <c r="A450" s="39" t="s">
        <v>142</v>
      </c>
      <c r="B450" s="40" t="s">
        <v>196</v>
      </c>
      <c r="C450" s="41" t="s">
        <v>146</v>
      </c>
      <c r="D450" s="40" t="s">
        <v>147</v>
      </c>
      <c r="E450" s="24">
        <v>6000000</v>
      </c>
      <c r="F450" s="39">
        <v>44145</v>
      </c>
      <c r="G450" s="24">
        <v>6000000</v>
      </c>
      <c r="H450" s="23">
        <v>5.0000000000000001E-3</v>
      </c>
      <c r="I450" s="39">
        <v>44378</v>
      </c>
      <c r="J450" s="39">
        <v>44408</v>
      </c>
      <c r="K450" s="24">
        <v>31</v>
      </c>
      <c r="L450" s="24">
        <v>2548</v>
      </c>
      <c r="M450" s="24">
        <v>6000000</v>
      </c>
    </row>
    <row r="451" spans="1:13" s="5" customFormat="1" outlineLevel="2">
      <c r="A451" s="39" t="s">
        <v>142</v>
      </c>
      <c r="B451" s="40" t="s">
        <v>197</v>
      </c>
      <c r="C451" s="41" t="s">
        <v>143</v>
      </c>
      <c r="D451" s="40" t="s">
        <v>144</v>
      </c>
      <c r="E451" s="24">
        <v>19000000</v>
      </c>
      <c r="F451" s="39">
        <v>44140</v>
      </c>
      <c r="G451" s="24">
        <v>19000000</v>
      </c>
      <c r="H451" s="23">
        <v>5.0000000000000001E-3</v>
      </c>
      <c r="I451" s="39">
        <v>44378</v>
      </c>
      <c r="J451" s="39">
        <v>44408</v>
      </c>
      <c r="K451" s="24">
        <v>31</v>
      </c>
      <c r="L451" s="24">
        <v>8068</v>
      </c>
      <c r="M451" s="24">
        <v>19000000</v>
      </c>
    </row>
    <row r="452" spans="1:13" s="5" customFormat="1" outlineLevel="2">
      <c r="A452" s="39" t="s">
        <v>142</v>
      </c>
      <c r="B452" s="40" t="s">
        <v>198</v>
      </c>
      <c r="C452" s="41" t="s">
        <v>143</v>
      </c>
      <c r="D452" s="40" t="s">
        <v>144</v>
      </c>
      <c r="E452" s="24">
        <v>1800000</v>
      </c>
      <c r="F452" s="39">
        <v>44165</v>
      </c>
      <c r="G452" s="24">
        <v>1800000</v>
      </c>
      <c r="H452" s="23">
        <v>5.0000000000000001E-3</v>
      </c>
      <c r="I452" s="39">
        <v>44378</v>
      </c>
      <c r="J452" s="39">
        <v>44408</v>
      </c>
      <c r="K452" s="24">
        <v>31</v>
      </c>
      <c r="L452" s="24">
        <v>764</v>
      </c>
      <c r="M452" s="24">
        <v>1800000</v>
      </c>
    </row>
    <row r="453" spans="1:13" s="5" customFormat="1" outlineLevel="2">
      <c r="A453" s="39" t="s">
        <v>142</v>
      </c>
      <c r="B453" s="40" t="s">
        <v>199</v>
      </c>
      <c r="C453" s="41" t="s">
        <v>143</v>
      </c>
      <c r="D453" s="40" t="s">
        <v>144</v>
      </c>
      <c r="E453" s="24">
        <v>5500000</v>
      </c>
      <c r="F453" s="39">
        <v>44165</v>
      </c>
      <c r="G453" s="24">
        <v>5500000</v>
      </c>
      <c r="H453" s="23">
        <v>5.0000000000000001E-3</v>
      </c>
      <c r="I453" s="39">
        <v>44378</v>
      </c>
      <c r="J453" s="39">
        <v>44408</v>
      </c>
      <c r="K453" s="24">
        <v>31</v>
      </c>
      <c r="L453" s="24">
        <v>2336</v>
      </c>
      <c r="M453" s="24">
        <v>5500000</v>
      </c>
    </row>
    <row r="454" spans="1:13" s="5" customFormat="1" outlineLevel="2">
      <c r="A454" s="39" t="s">
        <v>142</v>
      </c>
      <c r="B454" s="40" t="s">
        <v>200</v>
      </c>
      <c r="C454" s="41" t="s">
        <v>143</v>
      </c>
      <c r="D454" s="40" t="s">
        <v>144</v>
      </c>
      <c r="E454" s="24">
        <v>8600000</v>
      </c>
      <c r="F454" s="39">
        <v>44165</v>
      </c>
      <c r="G454" s="24">
        <v>8600000</v>
      </c>
      <c r="H454" s="23">
        <v>5.0000000000000001E-3</v>
      </c>
      <c r="I454" s="39">
        <v>44378</v>
      </c>
      <c r="J454" s="39">
        <v>44408</v>
      </c>
      <c r="K454" s="24">
        <v>31</v>
      </c>
      <c r="L454" s="24">
        <v>3652</v>
      </c>
      <c r="M454" s="24">
        <v>8600000</v>
      </c>
    </row>
    <row r="455" spans="1:13" s="5" customFormat="1" outlineLevel="2">
      <c r="A455" s="39" t="s">
        <v>142</v>
      </c>
      <c r="B455" s="40" t="s">
        <v>201</v>
      </c>
      <c r="C455" s="41" t="s">
        <v>161</v>
      </c>
      <c r="D455" s="40" t="s">
        <v>162</v>
      </c>
      <c r="E455" s="24">
        <v>150000000</v>
      </c>
      <c r="F455" s="39">
        <v>44144</v>
      </c>
      <c r="G455" s="24">
        <v>150000000</v>
      </c>
      <c r="H455" s="23">
        <v>5.0000000000000001E-3</v>
      </c>
      <c r="I455" s="39">
        <v>44378</v>
      </c>
      <c r="J455" s="39">
        <v>44408</v>
      </c>
      <c r="K455" s="24">
        <v>31</v>
      </c>
      <c r="L455" s="24">
        <v>63699</v>
      </c>
      <c r="M455" s="24">
        <v>150000000</v>
      </c>
    </row>
    <row r="456" spans="1:13" s="5" customFormat="1" outlineLevel="2">
      <c r="A456" s="39" t="s">
        <v>142</v>
      </c>
      <c r="B456" s="40" t="s">
        <v>202</v>
      </c>
      <c r="C456" s="41" t="s">
        <v>125</v>
      </c>
      <c r="D456" s="40" t="s">
        <v>126</v>
      </c>
      <c r="E456" s="24">
        <v>2500000</v>
      </c>
      <c r="F456" s="39">
        <v>44147</v>
      </c>
      <c r="G456" s="24">
        <v>2500000</v>
      </c>
      <c r="H456" s="23">
        <v>5.0000000000000001E-3</v>
      </c>
      <c r="I456" s="39">
        <v>44378</v>
      </c>
      <c r="J456" s="39">
        <v>44408</v>
      </c>
      <c r="K456" s="24">
        <v>31</v>
      </c>
      <c r="L456" s="24">
        <v>1062</v>
      </c>
      <c r="M456" s="24">
        <v>2500000</v>
      </c>
    </row>
    <row r="457" spans="1:13" s="5" customFormat="1" outlineLevel="2">
      <c r="A457" s="39" t="s">
        <v>142</v>
      </c>
      <c r="B457" s="40" t="s">
        <v>203</v>
      </c>
      <c r="C457" s="41" t="s">
        <v>125</v>
      </c>
      <c r="D457" s="40" t="s">
        <v>126</v>
      </c>
      <c r="E457" s="24">
        <v>18000000</v>
      </c>
      <c r="F457" s="39">
        <v>44158</v>
      </c>
      <c r="G457" s="24">
        <v>18000000</v>
      </c>
      <c r="H457" s="23">
        <v>5.0000000000000001E-3</v>
      </c>
      <c r="I457" s="39">
        <v>44378</v>
      </c>
      <c r="J457" s="39">
        <v>44408</v>
      </c>
      <c r="K457" s="24">
        <v>31</v>
      </c>
      <c r="L457" s="24">
        <v>7644</v>
      </c>
      <c r="M457" s="24">
        <v>18000000</v>
      </c>
    </row>
    <row r="458" spans="1:13" s="5" customFormat="1" outlineLevel="2">
      <c r="A458" s="39" t="s">
        <v>142</v>
      </c>
      <c r="B458" s="40" t="s">
        <v>204</v>
      </c>
      <c r="C458" s="41" t="s">
        <v>149</v>
      </c>
      <c r="D458" s="40" t="s">
        <v>150</v>
      </c>
      <c r="E458" s="24">
        <v>1764000</v>
      </c>
      <c r="F458" s="39">
        <v>44147</v>
      </c>
      <c r="G458" s="24">
        <v>1764000</v>
      </c>
      <c r="H458" s="23">
        <v>5.0000000000000001E-3</v>
      </c>
      <c r="I458" s="39">
        <v>44378</v>
      </c>
      <c r="J458" s="39">
        <v>44408</v>
      </c>
      <c r="K458" s="24">
        <v>31</v>
      </c>
      <c r="L458" s="24">
        <v>749</v>
      </c>
      <c r="M458" s="24">
        <v>1764000</v>
      </c>
    </row>
    <row r="459" spans="1:13" s="5" customFormat="1" outlineLevel="2">
      <c r="A459" s="39" t="s">
        <v>142</v>
      </c>
      <c r="B459" s="40" t="s">
        <v>205</v>
      </c>
      <c r="C459" s="41" t="s">
        <v>163</v>
      </c>
      <c r="D459" s="40" t="s">
        <v>164</v>
      </c>
      <c r="E459" s="24">
        <v>15000000</v>
      </c>
      <c r="F459" s="39">
        <v>44153</v>
      </c>
      <c r="G459" s="24">
        <v>14086955</v>
      </c>
      <c r="H459" s="23">
        <v>5.0000000000000001E-3</v>
      </c>
      <c r="I459" s="39">
        <v>44378</v>
      </c>
      <c r="J459" s="39">
        <v>44391</v>
      </c>
      <c r="K459" s="24">
        <v>14</v>
      </c>
      <c r="L459" s="24">
        <v>2702</v>
      </c>
      <c r="M459" s="24">
        <v>13956520</v>
      </c>
    </row>
    <row r="460" spans="1:13" s="5" customFormat="1" outlineLevel="2">
      <c r="A460" s="39" t="s">
        <v>142</v>
      </c>
      <c r="B460" s="40" t="s">
        <v>205</v>
      </c>
      <c r="C460" s="41" t="s">
        <v>163</v>
      </c>
      <c r="D460" s="40"/>
      <c r="E460" s="24"/>
      <c r="F460" s="39"/>
      <c r="G460" s="24">
        <v>13956520</v>
      </c>
      <c r="H460" s="23">
        <v>5.0000000000000001E-3</v>
      </c>
      <c r="I460" s="39">
        <v>44392</v>
      </c>
      <c r="J460" s="39">
        <v>44408</v>
      </c>
      <c r="K460" s="24">
        <v>17</v>
      </c>
      <c r="L460" s="24">
        <v>3250</v>
      </c>
      <c r="M460" s="24"/>
    </row>
    <row r="461" spans="1:13" s="5" customFormat="1" outlineLevel="2">
      <c r="A461" s="39" t="s">
        <v>142</v>
      </c>
      <c r="B461" s="40" t="s">
        <v>65</v>
      </c>
      <c r="C461" s="41" t="s">
        <v>117</v>
      </c>
      <c r="D461" s="40" t="s">
        <v>118</v>
      </c>
      <c r="E461" s="24">
        <v>30000000</v>
      </c>
      <c r="F461" s="39">
        <v>43906</v>
      </c>
      <c r="G461" s="24">
        <v>30000000</v>
      </c>
      <c r="H461" s="23">
        <v>5.0000000000000001E-3</v>
      </c>
      <c r="I461" s="39">
        <v>44378</v>
      </c>
      <c r="J461" s="39">
        <v>44408</v>
      </c>
      <c r="K461" s="24">
        <v>31</v>
      </c>
      <c r="L461" s="24">
        <v>12740</v>
      </c>
      <c r="M461" s="24">
        <v>30000000</v>
      </c>
    </row>
    <row r="462" spans="1:13" s="5" customFormat="1" outlineLevel="2">
      <c r="A462" s="39" t="s">
        <v>142</v>
      </c>
      <c r="B462" s="40" t="s">
        <v>206</v>
      </c>
      <c r="C462" s="41" t="s">
        <v>87</v>
      </c>
      <c r="D462" s="40" t="s">
        <v>88</v>
      </c>
      <c r="E462" s="24">
        <v>13481921</v>
      </c>
      <c r="F462" s="39">
        <v>44158</v>
      </c>
      <c r="G462" s="24">
        <v>13481921</v>
      </c>
      <c r="H462" s="23">
        <v>5.0000000000000001E-3</v>
      </c>
      <c r="I462" s="39">
        <v>44378</v>
      </c>
      <c r="J462" s="39">
        <v>44408</v>
      </c>
      <c r="K462" s="24">
        <v>31</v>
      </c>
      <c r="L462" s="24">
        <v>5725</v>
      </c>
      <c r="M462" s="24">
        <v>13481921</v>
      </c>
    </row>
    <row r="463" spans="1:13" s="5" customFormat="1" outlineLevel="2">
      <c r="A463" s="39" t="s">
        <v>142</v>
      </c>
      <c r="B463" s="40" t="s">
        <v>207</v>
      </c>
      <c r="C463" s="41" t="s">
        <v>85</v>
      </c>
      <c r="D463" s="40" t="s">
        <v>86</v>
      </c>
      <c r="E463" s="24">
        <v>2682500</v>
      </c>
      <c r="F463" s="39">
        <v>44165</v>
      </c>
      <c r="G463" s="24">
        <v>2682500</v>
      </c>
      <c r="H463" s="23">
        <v>5.0000000000000001E-3</v>
      </c>
      <c r="I463" s="39">
        <v>44378</v>
      </c>
      <c r="J463" s="39">
        <v>44408</v>
      </c>
      <c r="K463" s="24">
        <v>31</v>
      </c>
      <c r="L463" s="24">
        <v>1139</v>
      </c>
      <c r="M463" s="24">
        <v>2682500</v>
      </c>
    </row>
    <row r="464" spans="1:13" s="5" customFormat="1" outlineLevel="2">
      <c r="A464" s="39" t="s">
        <v>142</v>
      </c>
      <c r="B464" s="40" t="s">
        <v>208</v>
      </c>
      <c r="C464" s="41" t="s">
        <v>85</v>
      </c>
      <c r="D464" s="40" t="s">
        <v>86</v>
      </c>
      <c r="E464" s="24">
        <v>8047500</v>
      </c>
      <c r="F464" s="39">
        <v>44165</v>
      </c>
      <c r="G464" s="24">
        <v>8047500</v>
      </c>
      <c r="H464" s="23">
        <v>5.0000000000000001E-3</v>
      </c>
      <c r="I464" s="39">
        <v>44378</v>
      </c>
      <c r="J464" s="39">
        <v>44408</v>
      </c>
      <c r="K464" s="24">
        <v>31</v>
      </c>
      <c r="L464" s="24">
        <v>3417</v>
      </c>
      <c r="M464" s="24">
        <v>8047500</v>
      </c>
    </row>
    <row r="465" spans="1:13" s="5" customFormat="1" outlineLevel="2">
      <c r="A465" s="39" t="s">
        <v>142</v>
      </c>
      <c r="B465" s="40" t="s">
        <v>209</v>
      </c>
      <c r="C465" s="41" t="s">
        <v>146</v>
      </c>
      <c r="D465" s="40" t="s">
        <v>147</v>
      </c>
      <c r="E465" s="24">
        <v>15600000</v>
      </c>
      <c r="F465" s="39">
        <v>44168</v>
      </c>
      <c r="G465" s="24">
        <v>15600000</v>
      </c>
      <c r="H465" s="23">
        <v>5.0000000000000001E-3</v>
      </c>
      <c r="I465" s="39">
        <v>44378</v>
      </c>
      <c r="J465" s="39">
        <v>44408</v>
      </c>
      <c r="K465" s="24">
        <v>31</v>
      </c>
      <c r="L465" s="24">
        <v>6625</v>
      </c>
      <c r="M465" s="24">
        <v>15600000</v>
      </c>
    </row>
    <row r="466" spans="1:13" s="5" customFormat="1" outlineLevel="2">
      <c r="A466" s="39" t="s">
        <v>142</v>
      </c>
      <c r="B466" s="40" t="s">
        <v>210</v>
      </c>
      <c r="C466" s="41" t="s">
        <v>146</v>
      </c>
      <c r="D466" s="40" t="s">
        <v>147</v>
      </c>
      <c r="E466" s="24">
        <v>4400000</v>
      </c>
      <c r="F466" s="39">
        <v>44173</v>
      </c>
      <c r="G466" s="24">
        <v>4400000</v>
      </c>
      <c r="H466" s="23">
        <v>5.0000000000000001E-3</v>
      </c>
      <c r="I466" s="39">
        <v>44378</v>
      </c>
      <c r="J466" s="39">
        <v>44408</v>
      </c>
      <c r="K466" s="24">
        <v>31</v>
      </c>
      <c r="L466" s="24">
        <v>1868</v>
      </c>
      <c r="M466" s="24">
        <v>4400000</v>
      </c>
    </row>
    <row r="467" spans="1:13" s="5" customFormat="1" outlineLevel="2">
      <c r="A467" s="39" t="s">
        <v>142</v>
      </c>
      <c r="B467" s="40" t="s">
        <v>211</v>
      </c>
      <c r="C467" s="41" t="s">
        <v>187</v>
      </c>
      <c r="D467" s="40" t="s">
        <v>188</v>
      </c>
      <c r="E467" s="24">
        <v>88900000</v>
      </c>
      <c r="F467" s="39">
        <v>44169</v>
      </c>
      <c r="G467" s="24">
        <v>88900000</v>
      </c>
      <c r="H467" s="23">
        <v>5.0000000000000001E-3</v>
      </c>
      <c r="I467" s="39">
        <v>44378</v>
      </c>
      <c r="J467" s="39">
        <v>44408</v>
      </c>
      <c r="K467" s="24">
        <v>31</v>
      </c>
      <c r="L467" s="24">
        <v>37752</v>
      </c>
      <c r="M467" s="24">
        <v>88900000</v>
      </c>
    </row>
    <row r="468" spans="1:13" s="5" customFormat="1" outlineLevel="2">
      <c r="A468" s="39" t="s">
        <v>142</v>
      </c>
      <c r="B468" s="40" t="s">
        <v>212</v>
      </c>
      <c r="C468" s="41" t="s">
        <v>163</v>
      </c>
      <c r="D468" s="40" t="s">
        <v>164</v>
      </c>
      <c r="E468" s="24">
        <v>7300000</v>
      </c>
      <c r="F468" s="39">
        <v>44173</v>
      </c>
      <c r="G468" s="24">
        <v>6915790</v>
      </c>
      <c r="H468" s="23">
        <v>5.0000000000000001E-3</v>
      </c>
      <c r="I468" s="39">
        <v>44378</v>
      </c>
      <c r="J468" s="39">
        <v>44391</v>
      </c>
      <c r="K468" s="24">
        <v>14</v>
      </c>
      <c r="L468" s="24">
        <v>1326</v>
      </c>
      <c r="M468" s="24">
        <v>6851755</v>
      </c>
    </row>
    <row r="469" spans="1:13" s="5" customFormat="1" outlineLevel="2">
      <c r="A469" s="39" t="s">
        <v>142</v>
      </c>
      <c r="B469" s="40" t="s">
        <v>212</v>
      </c>
      <c r="C469" s="41" t="s">
        <v>163</v>
      </c>
      <c r="D469" s="40"/>
      <c r="E469" s="24"/>
      <c r="F469" s="39"/>
      <c r="G469" s="24">
        <v>6851755</v>
      </c>
      <c r="H469" s="23">
        <v>5.0000000000000001E-3</v>
      </c>
      <c r="I469" s="39">
        <v>44392</v>
      </c>
      <c r="J469" s="39">
        <v>44408</v>
      </c>
      <c r="K469" s="24">
        <v>17</v>
      </c>
      <c r="L469" s="24">
        <v>1596</v>
      </c>
      <c r="M469" s="24"/>
    </row>
    <row r="470" spans="1:13" s="5" customFormat="1" outlineLevel="2">
      <c r="A470" s="39" t="s">
        <v>142</v>
      </c>
      <c r="B470" s="40" t="s">
        <v>213</v>
      </c>
      <c r="C470" s="41" t="s">
        <v>149</v>
      </c>
      <c r="D470" s="40" t="s">
        <v>150</v>
      </c>
      <c r="E470" s="24">
        <v>2184000</v>
      </c>
      <c r="F470" s="39">
        <v>44174</v>
      </c>
      <c r="G470" s="24">
        <v>2184000</v>
      </c>
      <c r="H470" s="23">
        <v>5.0000000000000001E-3</v>
      </c>
      <c r="I470" s="39">
        <v>44378</v>
      </c>
      <c r="J470" s="39">
        <v>44408</v>
      </c>
      <c r="K470" s="24">
        <v>31</v>
      </c>
      <c r="L470" s="24">
        <v>927</v>
      </c>
      <c r="M470" s="24">
        <v>2184000</v>
      </c>
    </row>
    <row r="471" spans="1:13" s="5" customFormat="1" outlineLevel="2">
      <c r="A471" s="39" t="s">
        <v>142</v>
      </c>
      <c r="B471" s="40" t="s">
        <v>214</v>
      </c>
      <c r="C471" s="41" t="s">
        <v>149</v>
      </c>
      <c r="D471" s="40" t="s">
        <v>150</v>
      </c>
      <c r="E471" s="24">
        <v>20764000</v>
      </c>
      <c r="F471" s="39">
        <v>44176</v>
      </c>
      <c r="G471" s="24">
        <v>20764000</v>
      </c>
      <c r="H471" s="23">
        <v>5.0000000000000001E-3</v>
      </c>
      <c r="I471" s="39">
        <v>44378</v>
      </c>
      <c r="J471" s="39">
        <v>44408</v>
      </c>
      <c r="K471" s="24">
        <v>31</v>
      </c>
      <c r="L471" s="24">
        <v>8818</v>
      </c>
      <c r="M471" s="24">
        <v>20764000</v>
      </c>
    </row>
    <row r="472" spans="1:13" s="5" customFormat="1" outlineLevel="2">
      <c r="A472" s="39" t="s">
        <v>142</v>
      </c>
      <c r="B472" s="40" t="s">
        <v>215</v>
      </c>
      <c r="C472" s="41" t="s">
        <v>149</v>
      </c>
      <c r="D472" s="40" t="s">
        <v>150</v>
      </c>
      <c r="E472" s="24">
        <v>2423030</v>
      </c>
      <c r="F472" s="39">
        <v>44190</v>
      </c>
      <c r="G472" s="24">
        <v>2423030</v>
      </c>
      <c r="H472" s="23">
        <v>5.0000000000000001E-3</v>
      </c>
      <c r="I472" s="39">
        <v>44378</v>
      </c>
      <c r="J472" s="39">
        <v>44408</v>
      </c>
      <c r="K472" s="24">
        <v>31</v>
      </c>
      <c r="L472" s="24">
        <v>1029</v>
      </c>
      <c r="M472" s="24">
        <v>2423030</v>
      </c>
    </row>
    <row r="473" spans="1:13" s="5" customFormat="1" outlineLevel="2">
      <c r="A473" s="39" t="s">
        <v>142</v>
      </c>
      <c r="B473" s="40" t="s">
        <v>68</v>
      </c>
      <c r="C473" s="41" t="s">
        <v>117</v>
      </c>
      <c r="D473" s="40" t="s">
        <v>118</v>
      </c>
      <c r="E473" s="24">
        <v>50000000</v>
      </c>
      <c r="F473" s="39">
        <v>43908</v>
      </c>
      <c r="G473" s="24">
        <v>50000000</v>
      </c>
      <c r="H473" s="23">
        <v>5.0000000000000001E-3</v>
      </c>
      <c r="I473" s="39">
        <v>44378</v>
      </c>
      <c r="J473" s="39">
        <v>44408</v>
      </c>
      <c r="K473" s="24">
        <v>31</v>
      </c>
      <c r="L473" s="24">
        <v>21233</v>
      </c>
      <c r="M473" s="24">
        <v>50000000</v>
      </c>
    </row>
    <row r="474" spans="1:13" s="5" customFormat="1" outlineLevel="2">
      <c r="A474" s="39" t="s">
        <v>142</v>
      </c>
      <c r="B474" s="40" t="s">
        <v>216</v>
      </c>
      <c r="C474" s="41" t="s">
        <v>149</v>
      </c>
      <c r="D474" s="40" t="s">
        <v>150</v>
      </c>
      <c r="E474" s="24">
        <v>5653738</v>
      </c>
      <c r="F474" s="39">
        <v>44196</v>
      </c>
      <c r="G474" s="24">
        <v>5653738</v>
      </c>
      <c r="H474" s="23">
        <v>5.0000000000000001E-3</v>
      </c>
      <c r="I474" s="39">
        <v>44378</v>
      </c>
      <c r="J474" s="39">
        <v>44408</v>
      </c>
      <c r="K474" s="24">
        <v>31</v>
      </c>
      <c r="L474" s="24">
        <v>2401</v>
      </c>
      <c r="M474" s="24">
        <v>5653738</v>
      </c>
    </row>
    <row r="475" spans="1:13" s="5" customFormat="1" outlineLevel="2">
      <c r="A475" s="39" t="s">
        <v>142</v>
      </c>
      <c r="B475" s="40" t="s">
        <v>217</v>
      </c>
      <c r="C475" s="41" t="s">
        <v>155</v>
      </c>
      <c r="D475" s="40" t="s">
        <v>156</v>
      </c>
      <c r="E475" s="24">
        <v>200000000</v>
      </c>
      <c r="F475" s="39">
        <v>44190</v>
      </c>
      <c r="G475" s="24">
        <v>200000000</v>
      </c>
      <c r="H475" s="23">
        <v>5.0000000000000001E-3</v>
      </c>
      <c r="I475" s="39">
        <v>44378</v>
      </c>
      <c r="J475" s="39">
        <v>44408</v>
      </c>
      <c r="K475" s="24">
        <v>31</v>
      </c>
      <c r="L475" s="24">
        <v>84932</v>
      </c>
      <c r="M475" s="24">
        <v>200000000</v>
      </c>
    </row>
    <row r="476" spans="1:13" s="5" customFormat="1" outlineLevel="2">
      <c r="A476" s="39" t="s">
        <v>142</v>
      </c>
      <c r="B476" s="40" t="s">
        <v>218</v>
      </c>
      <c r="C476" s="41" t="s">
        <v>219</v>
      </c>
      <c r="D476" s="40" t="s">
        <v>220</v>
      </c>
      <c r="E476" s="24">
        <v>14160000</v>
      </c>
      <c r="F476" s="39">
        <v>44190</v>
      </c>
      <c r="G476" s="24">
        <v>14160000</v>
      </c>
      <c r="H476" s="23">
        <v>5.0000000000000001E-3</v>
      </c>
      <c r="I476" s="39">
        <v>44378</v>
      </c>
      <c r="J476" s="39">
        <v>44408</v>
      </c>
      <c r="K476" s="24">
        <v>31</v>
      </c>
      <c r="L476" s="24">
        <v>6013</v>
      </c>
      <c r="M476" s="24">
        <v>14160000</v>
      </c>
    </row>
    <row r="477" spans="1:13" s="5" customFormat="1" outlineLevel="2">
      <c r="A477" s="39" t="s">
        <v>142</v>
      </c>
      <c r="B477" s="40" t="s">
        <v>221</v>
      </c>
      <c r="C477" s="41" t="s">
        <v>87</v>
      </c>
      <c r="D477" s="40" t="s">
        <v>88</v>
      </c>
      <c r="E477" s="24">
        <v>13481921</v>
      </c>
      <c r="F477" s="39">
        <v>44190</v>
      </c>
      <c r="G477" s="24">
        <v>13481921</v>
      </c>
      <c r="H477" s="23">
        <v>5.0000000000000001E-3</v>
      </c>
      <c r="I477" s="39">
        <v>44378</v>
      </c>
      <c r="J477" s="39">
        <v>44408</v>
      </c>
      <c r="K477" s="24">
        <v>31</v>
      </c>
      <c r="L477" s="24">
        <v>5725</v>
      </c>
      <c r="M477" s="24">
        <v>13481921</v>
      </c>
    </row>
    <row r="478" spans="1:13" s="5" customFormat="1" outlineLevel="2">
      <c r="A478" s="39" t="s">
        <v>142</v>
      </c>
      <c r="B478" s="40" t="s">
        <v>222</v>
      </c>
      <c r="C478" s="41" t="s">
        <v>143</v>
      </c>
      <c r="D478" s="40" t="s">
        <v>144</v>
      </c>
      <c r="E478" s="24">
        <v>1800000</v>
      </c>
      <c r="F478" s="39">
        <v>44190</v>
      </c>
      <c r="G478" s="24">
        <v>1800000</v>
      </c>
      <c r="H478" s="23">
        <v>5.0000000000000001E-3</v>
      </c>
      <c r="I478" s="39">
        <v>44378</v>
      </c>
      <c r="J478" s="39">
        <v>44408</v>
      </c>
      <c r="K478" s="24">
        <v>31</v>
      </c>
      <c r="L478" s="24">
        <v>764</v>
      </c>
      <c r="M478" s="24">
        <v>1800000</v>
      </c>
    </row>
    <row r="479" spans="1:13" s="5" customFormat="1" outlineLevel="2">
      <c r="A479" s="39" t="s">
        <v>142</v>
      </c>
      <c r="B479" s="40" t="s">
        <v>223</v>
      </c>
      <c r="C479" s="41" t="s">
        <v>143</v>
      </c>
      <c r="D479" s="40" t="s">
        <v>144</v>
      </c>
      <c r="E479" s="24">
        <v>8300000</v>
      </c>
      <c r="F479" s="39">
        <v>44196</v>
      </c>
      <c r="G479" s="24">
        <v>8300000</v>
      </c>
      <c r="H479" s="23">
        <v>5.0000000000000001E-3</v>
      </c>
      <c r="I479" s="39">
        <v>44378</v>
      </c>
      <c r="J479" s="39">
        <v>44408</v>
      </c>
      <c r="K479" s="24">
        <v>31</v>
      </c>
      <c r="L479" s="24">
        <v>3525</v>
      </c>
      <c r="M479" s="24">
        <v>8300000</v>
      </c>
    </row>
    <row r="480" spans="1:13" s="5" customFormat="1" outlineLevel="2">
      <c r="A480" s="39" t="s">
        <v>142</v>
      </c>
      <c r="B480" s="40" t="s">
        <v>224</v>
      </c>
      <c r="C480" s="41" t="s">
        <v>165</v>
      </c>
      <c r="D480" s="40" t="s">
        <v>166</v>
      </c>
      <c r="E480" s="24">
        <v>39740000</v>
      </c>
      <c r="F480" s="39">
        <v>44195</v>
      </c>
      <c r="G480" s="24">
        <v>39740000</v>
      </c>
      <c r="H480" s="23">
        <v>5.0000000000000001E-3</v>
      </c>
      <c r="I480" s="39">
        <v>44378</v>
      </c>
      <c r="J480" s="39">
        <v>44408</v>
      </c>
      <c r="K480" s="24">
        <v>31</v>
      </c>
      <c r="L480" s="24">
        <v>16876</v>
      </c>
      <c r="M480" s="24">
        <v>39740000</v>
      </c>
    </row>
    <row r="481" spans="1:13" s="5" customFormat="1" outlineLevel="2">
      <c r="A481" s="39" t="s">
        <v>142</v>
      </c>
      <c r="B481" s="40" t="s">
        <v>225</v>
      </c>
      <c r="C481" s="41" t="s">
        <v>85</v>
      </c>
      <c r="D481" s="40" t="s">
        <v>86</v>
      </c>
      <c r="E481" s="24">
        <v>4842500</v>
      </c>
      <c r="F481" s="39">
        <v>44202</v>
      </c>
      <c r="G481" s="24">
        <v>4842500</v>
      </c>
      <c r="H481" s="23">
        <v>5.0000000000000001E-3</v>
      </c>
      <c r="I481" s="39">
        <v>44378</v>
      </c>
      <c r="J481" s="39">
        <v>44408</v>
      </c>
      <c r="K481" s="24">
        <v>31</v>
      </c>
      <c r="L481" s="24">
        <v>2056</v>
      </c>
      <c r="M481" s="24">
        <v>4842500</v>
      </c>
    </row>
    <row r="482" spans="1:13" s="5" customFormat="1" outlineLevel="2">
      <c r="A482" s="39" t="s">
        <v>142</v>
      </c>
      <c r="B482" s="40" t="s">
        <v>226</v>
      </c>
      <c r="C482" s="41" t="s">
        <v>85</v>
      </c>
      <c r="D482" s="40" t="s">
        <v>86</v>
      </c>
      <c r="E482" s="24">
        <v>14527500</v>
      </c>
      <c r="F482" s="39">
        <v>44202</v>
      </c>
      <c r="G482" s="24">
        <v>14527500</v>
      </c>
      <c r="H482" s="23">
        <v>5.0000000000000001E-3</v>
      </c>
      <c r="I482" s="39">
        <v>44378</v>
      </c>
      <c r="J482" s="39">
        <v>44408</v>
      </c>
      <c r="K482" s="24">
        <v>31</v>
      </c>
      <c r="L482" s="24">
        <v>6169</v>
      </c>
      <c r="M482" s="24">
        <v>14527500</v>
      </c>
    </row>
    <row r="483" spans="1:13" s="5" customFormat="1" outlineLevel="2">
      <c r="A483" s="39" t="s">
        <v>142</v>
      </c>
      <c r="B483" s="40" t="s">
        <v>227</v>
      </c>
      <c r="C483" s="41" t="s">
        <v>143</v>
      </c>
      <c r="D483" s="40" t="s">
        <v>144</v>
      </c>
      <c r="E483" s="24">
        <v>4600000</v>
      </c>
      <c r="F483" s="39">
        <v>44204</v>
      </c>
      <c r="G483" s="24">
        <v>4600000</v>
      </c>
      <c r="H483" s="23">
        <v>5.0000000000000001E-3</v>
      </c>
      <c r="I483" s="39">
        <v>44378</v>
      </c>
      <c r="J483" s="39">
        <v>44408</v>
      </c>
      <c r="K483" s="24">
        <v>31</v>
      </c>
      <c r="L483" s="24">
        <v>1953</v>
      </c>
      <c r="M483" s="24">
        <v>4600000</v>
      </c>
    </row>
    <row r="484" spans="1:13" s="5" customFormat="1" outlineLevel="1">
      <c r="A484" s="42" t="s">
        <v>228</v>
      </c>
      <c r="B484" s="43"/>
      <c r="C484" s="44"/>
      <c r="D484" s="43"/>
      <c r="E484" s="45">
        <v>5323003612</v>
      </c>
      <c r="F484" s="46"/>
      <c r="G484" s="45"/>
      <c r="H484" s="47"/>
      <c r="I484" s="46"/>
      <c r="J484" s="46"/>
      <c r="K484" s="45"/>
      <c r="L484" s="45">
        <v>2248010</v>
      </c>
      <c r="M484" s="45">
        <v>5310062512</v>
      </c>
    </row>
    <row r="485" spans="1:13" s="5" customFormat="1" outlineLevel="2">
      <c r="A485" s="39" t="s">
        <v>229</v>
      </c>
      <c r="B485" s="40" t="s">
        <v>16</v>
      </c>
      <c r="C485" s="41" t="s">
        <v>117</v>
      </c>
      <c r="D485" s="40" t="s">
        <v>118</v>
      </c>
      <c r="E485" s="24">
        <v>1210000</v>
      </c>
      <c r="F485" s="39">
        <v>44061</v>
      </c>
      <c r="G485" s="24">
        <v>1210000</v>
      </c>
      <c r="H485" s="23">
        <v>5.0000000000000001E-3</v>
      </c>
      <c r="I485" s="39">
        <v>44378</v>
      </c>
      <c r="J485" s="39">
        <v>44408</v>
      </c>
      <c r="K485" s="24">
        <v>31</v>
      </c>
      <c r="L485" s="24">
        <v>514</v>
      </c>
      <c r="M485" s="24">
        <v>1210000</v>
      </c>
    </row>
    <row r="486" spans="1:13" s="5" customFormat="1" outlineLevel="2">
      <c r="A486" s="39" t="s">
        <v>229</v>
      </c>
      <c r="B486" s="40" t="s">
        <v>39</v>
      </c>
      <c r="C486" s="41" t="s">
        <v>117</v>
      </c>
      <c r="D486" s="40" t="s">
        <v>118</v>
      </c>
      <c r="E486" s="24">
        <v>27550000</v>
      </c>
      <c r="F486" s="39">
        <v>44393</v>
      </c>
      <c r="G486" s="24">
        <v>27550000</v>
      </c>
      <c r="H486" s="23">
        <v>5.0000000000000001E-3</v>
      </c>
      <c r="I486" s="39">
        <v>44393</v>
      </c>
      <c r="J486" s="39">
        <v>44408</v>
      </c>
      <c r="K486" s="24">
        <v>16</v>
      </c>
      <c r="L486" s="24">
        <v>6038</v>
      </c>
      <c r="M486" s="24">
        <v>27550000</v>
      </c>
    </row>
    <row r="487" spans="1:13" s="5" customFormat="1" outlineLevel="1">
      <c r="A487" s="42" t="s">
        <v>230</v>
      </c>
      <c r="B487" s="43"/>
      <c r="C487" s="44"/>
      <c r="D487" s="43"/>
      <c r="E487" s="45">
        <v>28760000</v>
      </c>
      <c r="F487" s="46"/>
      <c r="G487" s="45"/>
      <c r="H487" s="47"/>
      <c r="I487" s="46"/>
      <c r="J487" s="46"/>
      <c r="K487" s="45"/>
      <c r="L487" s="45">
        <v>6552</v>
      </c>
      <c r="M487" s="45">
        <v>28760000</v>
      </c>
    </row>
    <row r="488" spans="1:13" s="5" customFormat="1" outlineLevel="2">
      <c r="A488" s="39" t="s">
        <v>231</v>
      </c>
      <c r="B488" s="40" t="s">
        <v>16</v>
      </c>
      <c r="C488" s="41" t="s">
        <v>17</v>
      </c>
      <c r="D488" s="40" t="s">
        <v>18</v>
      </c>
      <c r="E488" s="24">
        <v>150000000</v>
      </c>
      <c r="F488" s="39">
        <v>43829</v>
      </c>
      <c r="G488" s="24">
        <v>105000000</v>
      </c>
      <c r="H488" s="23">
        <v>5.0000000000000001E-3</v>
      </c>
      <c r="I488" s="39">
        <v>44378</v>
      </c>
      <c r="J488" s="39">
        <v>44391</v>
      </c>
      <c r="K488" s="24">
        <v>14</v>
      </c>
      <c r="L488" s="24">
        <v>20137</v>
      </c>
      <c r="M488" s="24">
        <v>102500000</v>
      </c>
    </row>
    <row r="489" spans="1:13" s="5" customFormat="1" outlineLevel="2">
      <c r="A489" s="39" t="s">
        <v>231</v>
      </c>
      <c r="B489" s="40" t="s">
        <v>16</v>
      </c>
      <c r="C489" s="41" t="s">
        <v>17</v>
      </c>
      <c r="D489" s="40"/>
      <c r="E489" s="24"/>
      <c r="F489" s="39"/>
      <c r="G489" s="24">
        <v>102500000</v>
      </c>
      <c r="H489" s="23">
        <v>5.0000000000000001E-3</v>
      </c>
      <c r="I489" s="39">
        <v>44392</v>
      </c>
      <c r="J489" s="39">
        <v>44408</v>
      </c>
      <c r="K489" s="24">
        <v>17</v>
      </c>
      <c r="L489" s="24">
        <v>23870</v>
      </c>
      <c r="M489" s="24"/>
    </row>
    <row r="490" spans="1:13" s="5" customFormat="1" outlineLevel="2">
      <c r="A490" s="39" t="s">
        <v>231</v>
      </c>
      <c r="B490" s="40" t="s">
        <v>19</v>
      </c>
      <c r="C490" s="41" t="s">
        <v>17</v>
      </c>
      <c r="D490" s="40" t="s">
        <v>18</v>
      </c>
      <c r="E490" s="24">
        <v>9460000</v>
      </c>
      <c r="F490" s="39">
        <v>43990</v>
      </c>
      <c r="G490" s="24">
        <v>7224000</v>
      </c>
      <c r="H490" s="23">
        <v>5.0000000000000001E-3</v>
      </c>
      <c r="I490" s="39">
        <v>44378</v>
      </c>
      <c r="J490" s="39">
        <v>44391</v>
      </c>
      <c r="K490" s="24">
        <v>14</v>
      </c>
      <c r="L490" s="24">
        <v>1385</v>
      </c>
      <c r="M490" s="24">
        <v>7052000</v>
      </c>
    </row>
    <row r="491" spans="1:13" s="5" customFormat="1" outlineLevel="2">
      <c r="A491" s="39" t="s">
        <v>231</v>
      </c>
      <c r="B491" s="40" t="s">
        <v>19</v>
      </c>
      <c r="C491" s="41" t="s">
        <v>17</v>
      </c>
      <c r="D491" s="40"/>
      <c r="E491" s="24"/>
      <c r="F491" s="39"/>
      <c r="G491" s="24">
        <v>7052000</v>
      </c>
      <c r="H491" s="23">
        <v>5.0000000000000001E-3</v>
      </c>
      <c r="I491" s="39">
        <v>44392</v>
      </c>
      <c r="J491" s="39">
        <v>44408</v>
      </c>
      <c r="K491" s="24">
        <v>17</v>
      </c>
      <c r="L491" s="24">
        <v>1642</v>
      </c>
      <c r="M491" s="24"/>
    </row>
    <row r="492" spans="1:13" s="5" customFormat="1" outlineLevel="2">
      <c r="A492" s="39" t="s">
        <v>231</v>
      </c>
      <c r="B492" s="40" t="s">
        <v>22</v>
      </c>
      <c r="C492" s="41" t="s">
        <v>45</v>
      </c>
      <c r="D492" s="40" t="s">
        <v>46</v>
      </c>
      <c r="E492" s="24">
        <v>5000000</v>
      </c>
      <c r="F492" s="39">
        <v>44046</v>
      </c>
      <c r="G492" s="24">
        <v>5000000</v>
      </c>
      <c r="H492" s="23">
        <v>5.0000000000000001E-3</v>
      </c>
      <c r="I492" s="39">
        <v>44378</v>
      </c>
      <c r="J492" s="39">
        <v>44408</v>
      </c>
      <c r="K492" s="24">
        <v>31</v>
      </c>
      <c r="L492" s="24">
        <v>2123</v>
      </c>
      <c r="M492" s="24">
        <v>5000000</v>
      </c>
    </row>
    <row r="493" spans="1:13" s="5" customFormat="1" outlineLevel="2">
      <c r="A493" s="39" t="s">
        <v>231</v>
      </c>
      <c r="B493" s="40" t="s">
        <v>25</v>
      </c>
      <c r="C493" s="41" t="s">
        <v>143</v>
      </c>
      <c r="D493" s="40" t="s">
        <v>144</v>
      </c>
      <c r="E493" s="24">
        <v>20000000</v>
      </c>
      <c r="F493" s="39">
        <v>44155</v>
      </c>
      <c r="G493" s="24">
        <v>20000000</v>
      </c>
      <c r="H493" s="23">
        <v>5.0000000000000001E-3</v>
      </c>
      <c r="I493" s="39">
        <v>44378</v>
      </c>
      <c r="J493" s="39">
        <v>44408</v>
      </c>
      <c r="K493" s="24">
        <v>31</v>
      </c>
      <c r="L493" s="24">
        <v>8493</v>
      </c>
      <c r="M493" s="24">
        <v>20000000</v>
      </c>
    </row>
    <row r="494" spans="1:13" s="5" customFormat="1" outlineLevel="2">
      <c r="A494" s="39" t="s">
        <v>231</v>
      </c>
      <c r="B494" s="40" t="s">
        <v>26</v>
      </c>
      <c r="C494" s="41" t="s">
        <v>232</v>
      </c>
      <c r="D494" s="40" t="s">
        <v>233</v>
      </c>
      <c r="E494" s="24">
        <v>125000000</v>
      </c>
      <c r="F494" s="39">
        <v>44193</v>
      </c>
      <c r="G494" s="24">
        <v>125000000</v>
      </c>
      <c r="H494" s="23">
        <v>5.0000000000000001E-3</v>
      </c>
      <c r="I494" s="39">
        <v>44378</v>
      </c>
      <c r="J494" s="39">
        <v>44408</v>
      </c>
      <c r="K494" s="24">
        <v>31</v>
      </c>
      <c r="L494" s="24">
        <v>53082</v>
      </c>
      <c r="M494" s="24">
        <v>125000000</v>
      </c>
    </row>
    <row r="495" spans="1:13" s="5" customFormat="1" outlineLevel="2">
      <c r="A495" s="39" t="s">
        <v>231</v>
      </c>
      <c r="B495" s="40" t="s">
        <v>29</v>
      </c>
      <c r="C495" s="41" t="s">
        <v>143</v>
      </c>
      <c r="D495" s="40" t="s">
        <v>144</v>
      </c>
      <c r="E495" s="24">
        <v>20000000</v>
      </c>
      <c r="F495" s="39">
        <v>44194</v>
      </c>
      <c r="G495" s="24">
        <v>20000000</v>
      </c>
      <c r="H495" s="23">
        <v>5.0000000000000001E-3</v>
      </c>
      <c r="I495" s="39">
        <v>44378</v>
      </c>
      <c r="J495" s="39">
        <v>44408</v>
      </c>
      <c r="K495" s="24">
        <v>31</v>
      </c>
      <c r="L495" s="24">
        <v>8493</v>
      </c>
      <c r="M495" s="24">
        <v>20000000</v>
      </c>
    </row>
    <row r="496" spans="1:13" s="5" customFormat="1" outlineLevel="2">
      <c r="A496" s="39" t="s">
        <v>231</v>
      </c>
      <c r="B496" s="40" t="s">
        <v>32</v>
      </c>
      <c r="C496" s="41" t="s">
        <v>30</v>
      </c>
      <c r="D496" s="40" t="s">
        <v>31</v>
      </c>
      <c r="E496" s="24">
        <v>120000000</v>
      </c>
      <c r="F496" s="39">
        <v>44214</v>
      </c>
      <c r="G496" s="24">
        <v>120000000</v>
      </c>
      <c r="H496" s="23">
        <v>5.0000000000000001E-3</v>
      </c>
      <c r="I496" s="39">
        <v>44378</v>
      </c>
      <c r="J496" s="39">
        <v>44408</v>
      </c>
      <c r="K496" s="24">
        <v>31</v>
      </c>
      <c r="L496" s="24">
        <v>50959</v>
      </c>
      <c r="M496" s="24">
        <v>120000000</v>
      </c>
    </row>
    <row r="497" spans="1:13" s="5" customFormat="1" outlineLevel="2">
      <c r="A497" s="39" t="s">
        <v>231</v>
      </c>
      <c r="B497" s="40" t="s">
        <v>33</v>
      </c>
      <c r="C497" s="41" t="s">
        <v>143</v>
      </c>
      <c r="D497" s="40" t="s">
        <v>144</v>
      </c>
      <c r="E497" s="24">
        <v>20000000</v>
      </c>
      <c r="F497" s="39">
        <v>44225</v>
      </c>
      <c r="G497" s="24">
        <v>20000000</v>
      </c>
      <c r="H497" s="23">
        <v>5.0000000000000001E-3</v>
      </c>
      <c r="I497" s="39">
        <v>44378</v>
      </c>
      <c r="J497" s="39">
        <v>44408</v>
      </c>
      <c r="K497" s="24">
        <v>31</v>
      </c>
      <c r="L497" s="24">
        <v>8493</v>
      </c>
      <c r="M497" s="24">
        <v>20000000</v>
      </c>
    </row>
    <row r="498" spans="1:13" s="5" customFormat="1" outlineLevel="2">
      <c r="A498" s="39" t="s">
        <v>231</v>
      </c>
      <c r="B498" s="40" t="s">
        <v>34</v>
      </c>
      <c r="C498" s="41" t="s">
        <v>280</v>
      </c>
      <c r="D498" s="40" t="s">
        <v>281</v>
      </c>
      <c r="E498" s="24">
        <v>250000000</v>
      </c>
      <c r="F498" s="39">
        <v>44228</v>
      </c>
      <c r="G498" s="24">
        <v>250000000</v>
      </c>
      <c r="H498" s="23">
        <v>3.0000000000000001E-3</v>
      </c>
      <c r="I498" s="39">
        <v>44378</v>
      </c>
      <c r="J498" s="39">
        <v>44408</v>
      </c>
      <c r="K498" s="24">
        <v>31</v>
      </c>
      <c r="L498" s="24">
        <v>63699</v>
      </c>
      <c r="M498" s="24">
        <v>250000000</v>
      </c>
    </row>
    <row r="499" spans="1:13" s="5" customFormat="1" outlineLevel="2">
      <c r="A499" s="39" t="s">
        <v>231</v>
      </c>
      <c r="B499" s="40" t="s">
        <v>35</v>
      </c>
      <c r="C499" s="41" t="s">
        <v>143</v>
      </c>
      <c r="D499" s="40" t="s">
        <v>144</v>
      </c>
      <c r="E499" s="24">
        <v>20000000</v>
      </c>
      <c r="F499" s="39">
        <v>44253</v>
      </c>
      <c r="G499" s="24">
        <v>20000000</v>
      </c>
      <c r="H499" s="23">
        <v>5.0000000000000001E-3</v>
      </c>
      <c r="I499" s="39">
        <v>44378</v>
      </c>
      <c r="J499" s="39">
        <v>44408</v>
      </c>
      <c r="K499" s="24">
        <v>31</v>
      </c>
      <c r="L499" s="24">
        <v>8493</v>
      </c>
      <c r="M499" s="24">
        <v>20000000</v>
      </c>
    </row>
    <row r="500" spans="1:13" s="5" customFormat="1" outlineLevel="2">
      <c r="A500" s="39" t="s">
        <v>231</v>
      </c>
      <c r="B500" s="40" t="s">
        <v>36</v>
      </c>
      <c r="C500" s="41" t="s">
        <v>280</v>
      </c>
      <c r="D500" s="40" t="s">
        <v>281</v>
      </c>
      <c r="E500" s="24">
        <v>160000000</v>
      </c>
      <c r="F500" s="39">
        <v>44286</v>
      </c>
      <c r="G500" s="24">
        <v>160000000</v>
      </c>
      <c r="H500" s="23">
        <v>3.0000000000000001E-3</v>
      </c>
      <c r="I500" s="39">
        <v>44378</v>
      </c>
      <c r="J500" s="39">
        <v>44408</v>
      </c>
      <c r="K500" s="24">
        <v>31</v>
      </c>
      <c r="L500" s="24">
        <v>40767</v>
      </c>
      <c r="M500" s="24">
        <v>160000000</v>
      </c>
    </row>
    <row r="501" spans="1:13" s="5" customFormat="1" outlineLevel="2">
      <c r="A501" s="39" t="s">
        <v>231</v>
      </c>
      <c r="B501" s="40" t="s">
        <v>39</v>
      </c>
      <c r="C501" s="41" t="s">
        <v>17</v>
      </c>
      <c r="D501" s="40" t="s">
        <v>18</v>
      </c>
      <c r="E501" s="24">
        <v>32900000</v>
      </c>
      <c r="F501" s="39">
        <v>43829</v>
      </c>
      <c r="G501" s="24">
        <v>23030006</v>
      </c>
      <c r="H501" s="23">
        <v>5.0000000000000001E-3</v>
      </c>
      <c r="I501" s="39">
        <v>44378</v>
      </c>
      <c r="J501" s="39">
        <v>44391</v>
      </c>
      <c r="K501" s="24">
        <v>14</v>
      </c>
      <c r="L501" s="24">
        <v>4417</v>
      </c>
      <c r="M501" s="24">
        <v>22481673</v>
      </c>
    </row>
    <row r="502" spans="1:13" s="5" customFormat="1" outlineLevel="2">
      <c r="A502" s="39" t="s">
        <v>231</v>
      </c>
      <c r="B502" s="40" t="s">
        <v>39</v>
      </c>
      <c r="C502" s="41" t="s">
        <v>17</v>
      </c>
      <c r="D502" s="40"/>
      <c r="E502" s="24"/>
      <c r="F502" s="39"/>
      <c r="G502" s="24">
        <v>22481673</v>
      </c>
      <c r="H502" s="23">
        <v>5.0000000000000001E-3</v>
      </c>
      <c r="I502" s="39">
        <v>44392</v>
      </c>
      <c r="J502" s="39">
        <v>44408</v>
      </c>
      <c r="K502" s="24">
        <v>17</v>
      </c>
      <c r="L502" s="24">
        <v>5235</v>
      </c>
      <c r="M502" s="24"/>
    </row>
    <row r="503" spans="1:13" s="5" customFormat="1" outlineLevel="2">
      <c r="A503" s="39" t="s">
        <v>231</v>
      </c>
      <c r="B503" s="40" t="s">
        <v>40</v>
      </c>
      <c r="C503" s="41" t="s">
        <v>246</v>
      </c>
      <c r="D503" s="40" t="s">
        <v>247</v>
      </c>
      <c r="E503" s="24">
        <v>3400000</v>
      </c>
      <c r="F503" s="39">
        <v>44294</v>
      </c>
      <c r="G503" s="24">
        <v>3400000</v>
      </c>
      <c r="H503" s="23">
        <v>5.0000000000000001E-3</v>
      </c>
      <c r="I503" s="39">
        <v>44378</v>
      </c>
      <c r="J503" s="39">
        <v>44408</v>
      </c>
      <c r="K503" s="24">
        <v>31</v>
      </c>
      <c r="L503" s="24">
        <v>1444</v>
      </c>
      <c r="M503" s="24">
        <v>3400000</v>
      </c>
    </row>
    <row r="504" spans="1:13" s="5" customFormat="1" outlineLevel="2">
      <c r="A504" s="39" t="s">
        <v>231</v>
      </c>
      <c r="B504" s="40" t="s">
        <v>41</v>
      </c>
      <c r="C504" s="41" t="s">
        <v>280</v>
      </c>
      <c r="D504" s="40" t="s">
        <v>281</v>
      </c>
      <c r="E504" s="24">
        <v>500000000</v>
      </c>
      <c r="F504" s="39">
        <v>44376</v>
      </c>
      <c r="G504" s="24">
        <v>500000000</v>
      </c>
      <c r="H504" s="23">
        <v>3.0000000000000001E-3</v>
      </c>
      <c r="I504" s="39">
        <v>44378</v>
      </c>
      <c r="J504" s="39">
        <v>44408</v>
      </c>
      <c r="K504" s="24">
        <v>31</v>
      </c>
      <c r="L504" s="24">
        <v>127397</v>
      </c>
      <c r="M504" s="24">
        <v>500000000</v>
      </c>
    </row>
    <row r="505" spans="1:13" s="5" customFormat="1" outlineLevel="2">
      <c r="A505" s="39" t="s">
        <v>231</v>
      </c>
      <c r="B505" s="40" t="s">
        <v>54</v>
      </c>
      <c r="C505" s="41" t="s">
        <v>17</v>
      </c>
      <c r="D505" s="40" t="s">
        <v>18</v>
      </c>
      <c r="E505" s="24">
        <v>2790000</v>
      </c>
      <c r="F505" s="39">
        <v>43921</v>
      </c>
      <c r="G505" s="24">
        <v>2055795</v>
      </c>
      <c r="H505" s="23">
        <v>5.0000000000000001E-3</v>
      </c>
      <c r="I505" s="39">
        <v>44378</v>
      </c>
      <c r="J505" s="39">
        <v>44391</v>
      </c>
      <c r="K505" s="24">
        <v>14</v>
      </c>
      <c r="L505" s="24">
        <v>394</v>
      </c>
      <c r="M505" s="24">
        <v>2006848</v>
      </c>
    </row>
    <row r="506" spans="1:13" s="5" customFormat="1" outlineLevel="2">
      <c r="A506" s="39" t="s">
        <v>231</v>
      </c>
      <c r="B506" s="40" t="s">
        <v>54</v>
      </c>
      <c r="C506" s="41" t="s">
        <v>17</v>
      </c>
      <c r="D506" s="40"/>
      <c r="E506" s="24"/>
      <c r="F506" s="39"/>
      <c r="G506" s="24">
        <v>2006848</v>
      </c>
      <c r="H506" s="23">
        <v>5.0000000000000001E-3</v>
      </c>
      <c r="I506" s="39">
        <v>44392</v>
      </c>
      <c r="J506" s="39">
        <v>44408</v>
      </c>
      <c r="K506" s="24">
        <v>17</v>
      </c>
      <c r="L506" s="24">
        <v>467</v>
      </c>
      <c r="M506" s="24"/>
    </row>
    <row r="507" spans="1:13" s="5" customFormat="1" outlineLevel="2">
      <c r="A507" s="39" t="s">
        <v>231</v>
      </c>
      <c r="B507" s="40" t="s">
        <v>59</v>
      </c>
      <c r="C507" s="41" t="s">
        <v>55</v>
      </c>
      <c r="D507" s="40" t="s">
        <v>56</v>
      </c>
      <c r="E507" s="24">
        <v>12000000</v>
      </c>
      <c r="F507" s="39">
        <v>43948</v>
      </c>
      <c r="G507" s="24">
        <v>9200000</v>
      </c>
      <c r="H507" s="23">
        <v>5.0000000000000001E-3</v>
      </c>
      <c r="I507" s="39">
        <v>44378</v>
      </c>
      <c r="J507" s="39">
        <v>44391</v>
      </c>
      <c r="K507" s="24">
        <v>14</v>
      </c>
      <c r="L507" s="24">
        <v>1764</v>
      </c>
      <c r="M507" s="24">
        <v>9000000</v>
      </c>
    </row>
    <row r="508" spans="1:13" s="5" customFormat="1" outlineLevel="2">
      <c r="A508" s="39" t="s">
        <v>231</v>
      </c>
      <c r="B508" s="40" t="s">
        <v>59</v>
      </c>
      <c r="C508" s="41" t="s">
        <v>55</v>
      </c>
      <c r="D508" s="40"/>
      <c r="E508" s="24"/>
      <c r="F508" s="39"/>
      <c r="G508" s="24">
        <v>9000000</v>
      </c>
      <c r="H508" s="23">
        <v>5.0000000000000001E-3</v>
      </c>
      <c r="I508" s="39">
        <v>44392</v>
      </c>
      <c r="J508" s="39">
        <v>44408</v>
      </c>
      <c r="K508" s="24">
        <v>17</v>
      </c>
      <c r="L508" s="24">
        <v>2096</v>
      </c>
      <c r="M508" s="24"/>
    </row>
    <row r="509" spans="1:13" s="5" customFormat="1" outlineLevel="2">
      <c r="A509" s="39" t="s">
        <v>231</v>
      </c>
      <c r="B509" s="40" t="s">
        <v>62</v>
      </c>
      <c r="C509" s="41" t="s">
        <v>30</v>
      </c>
      <c r="D509" s="40" t="s">
        <v>31</v>
      </c>
      <c r="E509" s="24">
        <v>71750000</v>
      </c>
      <c r="F509" s="39">
        <v>43955</v>
      </c>
      <c r="G509" s="24">
        <v>71750000</v>
      </c>
      <c r="H509" s="23">
        <v>5.0000000000000001E-3</v>
      </c>
      <c r="I509" s="39">
        <v>44378</v>
      </c>
      <c r="J509" s="39">
        <v>44408</v>
      </c>
      <c r="K509" s="24">
        <v>31</v>
      </c>
      <c r="L509" s="24">
        <v>30469</v>
      </c>
      <c r="M509" s="24">
        <v>71750000</v>
      </c>
    </row>
    <row r="510" spans="1:13" s="5" customFormat="1" outlineLevel="2">
      <c r="A510" s="39" t="s">
        <v>231</v>
      </c>
      <c r="B510" s="40" t="s">
        <v>63</v>
      </c>
      <c r="C510" s="41" t="s">
        <v>55</v>
      </c>
      <c r="D510" s="40" t="s">
        <v>56</v>
      </c>
      <c r="E510" s="24">
        <v>10000000</v>
      </c>
      <c r="F510" s="39">
        <v>43963</v>
      </c>
      <c r="G510" s="24">
        <v>7666675</v>
      </c>
      <c r="H510" s="23">
        <v>5.0000000000000001E-3</v>
      </c>
      <c r="I510" s="39">
        <v>44378</v>
      </c>
      <c r="J510" s="39">
        <v>44391</v>
      </c>
      <c r="K510" s="24">
        <v>14</v>
      </c>
      <c r="L510" s="24">
        <v>1470</v>
      </c>
      <c r="M510" s="24">
        <v>7500009</v>
      </c>
    </row>
    <row r="511" spans="1:13" s="5" customFormat="1" outlineLevel="2">
      <c r="A511" s="39" t="s">
        <v>231</v>
      </c>
      <c r="B511" s="40" t="s">
        <v>63</v>
      </c>
      <c r="C511" s="41" t="s">
        <v>55</v>
      </c>
      <c r="D511" s="40"/>
      <c r="E511" s="24"/>
      <c r="F511" s="39"/>
      <c r="G511" s="24">
        <v>7500009</v>
      </c>
      <c r="H511" s="23">
        <v>5.0000000000000001E-3</v>
      </c>
      <c r="I511" s="39">
        <v>44392</v>
      </c>
      <c r="J511" s="39">
        <v>44408</v>
      </c>
      <c r="K511" s="24">
        <v>17</v>
      </c>
      <c r="L511" s="24">
        <v>1747</v>
      </c>
      <c r="M511" s="24"/>
    </row>
    <row r="512" spans="1:13" s="5" customFormat="1" outlineLevel="2">
      <c r="A512" s="39" t="s">
        <v>231</v>
      </c>
      <c r="B512" s="40" t="s">
        <v>64</v>
      </c>
      <c r="C512" s="41" t="s">
        <v>55</v>
      </c>
      <c r="D512" s="40" t="s">
        <v>56</v>
      </c>
      <c r="E512" s="24">
        <v>4000000</v>
      </c>
      <c r="F512" s="39">
        <v>43970</v>
      </c>
      <c r="G512" s="24">
        <v>3118652</v>
      </c>
      <c r="H512" s="23">
        <v>5.0000000000000001E-3</v>
      </c>
      <c r="I512" s="39">
        <v>44378</v>
      </c>
      <c r="J512" s="39">
        <v>44391</v>
      </c>
      <c r="K512" s="24">
        <v>14</v>
      </c>
      <c r="L512" s="24">
        <v>598</v>
      </c>
      <c r="M512" s="24">
        <v>3050856</v>
      </c>
    </row>
    <row r="513" spans="1:13" s="5" customFormat="1" outlineLevel="2">
      <c r="A513" s="39" t="s">
        <v>231</v>
      </c>
      <c r="B513" s="40" t="s">
        <v>64</v>
      </c>
      <c r="C513" s="41" t="s">
        <v>55</v>
      </c>
      <c r="D513" s="40"/>
      <c r="E513" s="24"/>
      <c r="F513" s="39"/>
      <c r="G513" s="24">
        <v>3050856</v>
      </c>
      <c r="H513" s="23">
        <v>5.0000000000000001E-3</v>
      </c>
      <c r="I513" s="39">
        <v>44392</v>
      </c>
      <c r="J513" s="39">
        <v>44408</v>
      </c>
      <c r="K513" s="24">
        <v>17</v>
      </c>
      <c r="L513" s="24">
        <v>710</v>
      </c>
      <c r="M513" s="24"/>
    </row>
    <row r="514" spans="1:13" s="5" customFormat="1" outlineLevel="2">
      <c r="A514" s="39" t="s">
        <v>231</v>
      </c>
      <c r="B514" s="40" t="s">
        <v>65</v>
      </c>
      <c r="C514" s="41" t="s">
        <v>55</v>
      </c>
      <c r="D514" s="40" t="s">
        <v>56</v>
      </c>
      <c r="E514" s="24">
        <v>18000000</v>
      </c>
      <c r="F514" s="39">
        <v>43977</v>
      </c>
      <c r="G514" s="24">
        <v>14033908</v>
      </c>
      <c r="H514" s="23">
        <v>5.0000000000000001E-3</v>
      </c>
      <c r="I514" s="39">
        <v>44378</v>
      </c>
      <c r="J514" s="39">
        <v>44391</v>
      </c>
      <c r="K514" s="24">
        <v>14</v>
      </c>
      <c r="L514" s="24">
        <v>2691</v>
      </c>
      <c r="M514" s="24">
        <v>13728824</v>
      </c>
    </row>
    <row r="515" spans="1:13" s="5" customFormat="1" outlineLevel="2">
      <c r="A515" s="39" t="s">
        <v>231</v>
      </c>
      <c r="B515" s="40" t="s">
        <v>65</v>
      </c>
      <c r="C515" s="41" t="s">
        <v>55</v>
      </c>
      <c r="D515" s="40"/>
      <c r="E515" s="24"/>
      <c r="F515" s="39"/>
      <c r="G515" s="24">
        <v>13728824</v>
      </c>
      <c r="H515" s="23">
        <v>5.0000000000000001E-3</v>
      </c>
      <c r="I515" s="39">
        <v>44392</v>
      </c>
      <c r="J515" s="39">
        <v>44408</v>
      </c>
      <c r="K515" s="24">
        <v>17</v>
      </c>
      <c r="L515" s="24">
        <v>3197</v>
      </c>
      <c r="M515" s="24"/>
    </row>
    <row r="516" spans="1:13" s="5" customFormat="1" outlineLevel="2">
      <c r="A516" s="39" t="s">
        <v>231</v>
      </c>
      <c r="B516" s="40" t="s">
        <v>68</v>
      </c>
      <c r="C516" s="41" t="s">
        <v>55</v>
      </c>
      <c r="D516" s="40" t="s">
        <v>56</v>
      </c>
      <c r="E516" s="24">
        <v>6000000</v>
      </c>
      <c r="F516" s="39">
        <v>43984</v>
      </c>
      <c r="G516" s="24">
        <v>4677978</v>
      </c>
      <c r="H516" s="23">
        <v>5.0000000000000001E-3</v>
      </c>
      <c r="I516" s="39">
        <v>44378</v>
      </c>
      <c r="J516" s="39">
        <v>44391</v>
      </c>
      <c r="K516" s="24">
        <v>14</v>
      </c>
      <c r="L516" s="24">
        <v>897</v>
      </c>
      <c r="M516" s="24">
        <v>4576284</v>
      </c>
    </row>
    <row r="517" spans="1:13" s="5" customFormat="1" outlineLevel="2">
      <c r="A517" s="39" t="s">
        <v>231</v>
      </c>
      <c r="B517" s="40" t="s">
        <v>68</v>
      </c>
      <c r="C517" s="41" t="s">
        <v>55</v>
      </c>
      <c r="D517" s="40"/>
      <c r="E517" s="24"/>
      <c r="F517" s="39"/>
      <c r="G517" s="24">
        <v>4576284</v>
      </c>
      <c r="H517" s="23">
        <v>5.0000000000000001E-3</v>
      </c>
      <c r="I517" s="39">
        <v>44392</v>
      </c>
      <c r="J517" s="39">
        <v>44408</v>
      </c>
      <c r="K517" s="24">
        <v>17</v>
      </c>
      <c r="L517" s="24">
        <v>1066</v>
      </c>
      <c r="M517" s="24"/>
    </row>
    <row r="518" spans="1:13" s="5" customFormat="1" outlineLevel="1">
      <c r="A518" s="42" t="s">
        <v>234</v>
      </c>
      <c r="B518" s="43"/>
      <c r="C518" s="44"/>
      <c r="D518" s="43"/>
      <c r="E518" s="45">
        <v>1560300000</v>
      </c>
      <c r="F518" s="46"/>
      <c r="G518" s="45"/>
      <c r="H518" s="47"/>
      <c r="I518" s="46"/>
      <c r="J518" s="46"/>
      <c r="K518" s="45"/>
      <c r="L518" s="45">
        <v>477695</v>
      </c>
      <c r="M518" s="45">
        <v>1487046494</v>
      </c>
    </row>
    <row r="519" spans="1:13" s="5" customFormat="1" outlineLevel="2">
      <c r="A519" s="39" t="s">
        <v>235</v>
      </c>
      <c r="B519" s="40" t="s">
        <v>16</v>
      </c>
      <c r="C519" s="41" t="s">
        <v>17</v>
      </c>
      <c r="D519" s="40" t="s">
        <v>18</v>
      </c>
      <c r="E519" s="24">
        <v>50000000</v>
      </c>
      <c r="F519" s="39">
        <v>43829</v>
      </c>
      <c r="G519" s="24">
        <v>34999988</v>
      </c>
      <c r="H519" s="23">
        <v>5.0000000000000001E-3</v>
      </c>
      <c r="I519" s="39">
        <v>44378</v>
      </c>
      <c r="J519" s="39">
        <v>44391</v>
      </c>
      <c r="K519" s="24">
        <v>14</v>
      </c>
      <c r="L519" s="24">
        <v>6712</v>
      </c>
      <c r="M519" s="24">
        <v>34166654</v>
      </c>
    </row>
    <row r="520" spans="1:13" s="5" customFormat="1" outlineLevel="2">
      <c r="A520" s="39" t="s">
        <v>235</v>
      </c>
      <c r="B520" s="40" t="s">
        <v>16</v>
      </c>
      <c r="C520" s="41" t="s">
        <v>17</v>
      </c>
      <c r="D520" s="40"/>
      <c r="E520" s="24"/>
      <c r="F520" s="39"/>
      <c r="G520" s="24">
        <v>34166654</v>
      </c>
      <c r="H520" s="23">
        <v>5.0000000000000001E-3</v>
      </c>
      <c r="I520" s="39">
        <v>44392</v>
      </c>
      <c r="J520" s="39">
        <v>44408</v>
      </c>
      <c r="K520" s="24">
        <v>17</v>
      </c>
      <c r="L520" s="24">
        <v>7957</v>
      </c>
      <c r="M520" s="24"/>
    </row>
    <row r="521" spans="1:13" s="5" customFormat="1" outlineLevel="2">
      <c r="A521" s="39" t="s">
        <v>235</v>
      </c>
      <c r="B521" s="40" t="s">
        <v>39</v>
      </c>
      <c r="C521" s="41" t="s">
        <v>17</v>
      </c>
      <c r="D521" s="40" t="s">
        <v>18</v>
      </c>
      <c r="E521" s="24">
        <v>25200000</v>
      </c>
      <c r="F521" s="39">
        <v>43829</v>
      </c>
      <c r="G521" s="24">
        <v>17640000</v>
      </c>
      <c r="H521" s="23">
        <v>5.0000000000000001E-3</v>
      </c>
      <c r="I521" s="39">
        <v>44378</v>
      </c>
      <c r="J521" s="39">
        <v>44391</v>
      </c>
      <c r="K521" s="24">
        <v>14</v>
      </c>
      <c r="L521" s="24">
        <v>3383</v>
      </c>
      <c r="M521" s="24">
        <v>17220000</v>
      </c>
    </row>
    <row r="522" spans="1:13" s="5" customFormat="1" outlineLevel="2">
      <c r="A522" s="39" t="s">
        <v>235</v>
      </c>
      <c r="B522" s="40" t="s">
        <v>39</v>
      </c>
      <c r="C522" s="41" t="s">
        <v>17</v>
      </c>
      <c r="D522" s="40"/>
      <c r="E522" s="24"/>
      <c r="F522" s="39"/>
      <c r="G522" s="24">
        <v>17220000</v>
      </c>
      <c r="H522" s="23">
        <v>5.0000000000000001E-3</v>
      </c>
      <c r="I522" s="39">
        <v>44392</v>
      </c>
      <c r="J522" s="39">
        <v>44408</v>
      </c>
      <c r="K522" s="24">
        <v>17</v>
      </c>
      <c r="L522" s="24">
        <v>4010</v>
      </c>
      <c r="M522" s="24"/>
    </row>
    <row r="523" spans="1:13" s="5" customFormat="1" outlineLevel="2">
      <c r="A523" s="39" t="s">
        <v>235</v>
      </c>
      <c r="B523" s="40" t="s">
        <v>54</v>
      </c>
      <c r="C523" s="41" t="s">
        <v>17</v>
      </c>
      <c r="D523" s="40" t="s">
        <v>18</v>
      </c>
      <c r="E523" s="24">
        <v>11310000</v>
      </c>
      <c r="F523" s="39">
        <v>43920</v>
      </c>
      <c r="G523" s="24">
        <v>8333685</v>
      </c>
      <c r="H523" s="23">
        <v>5.0000000000000001E-3</v>
      </c>
      <c r="I523" s="39">
        <v>44378</v>
      </c>
      <c r="J523" s="39">
        <v>44391</v>
      </c>
      <c r="K523" s="24">
        <v>14</v>
      </c>
      <c r="L523" s="24">
        <v>1598</v>
      </c>
      <c r="M523" s="24">
        <v>8135264</v>
      </c>
    </row>
    <row r="524" spans="1:13" s="5" customFormat="1" outlineLevel="2">
      <c r="A524" s="39" t="s">
        <v>235</v>
      </c>
      <c r="B524" s="40" t="s">
        <v>54</v>
      </c>
      <c r="C524" s="41" t="s">
        <v>17</v>
      </c>
      <c r="D524" s="40"/>
      <c r="E524" s="24"/>
      <c r="F524" s="39"/>
      <c r="G524" s="24">
        <v>8135264</v>
      </c>
      <c r="H524" s="23">
        <v>5.0000000000000001E-3</v>
      </c>
      <c r="I524" s="39">
        <v>44392</v>
      </c>
      <c r="J524" s="39">
        <v>44408</v>
      </c>
      <c r="K524" s="24">
        <v>17</v>
      </c>
      <c r="L524" s="24">
        <v>1895</v>
      </c>
      <c r="M524" s="24"/>
    </row>
    <row r="525" spans="1:13" s="5" customFormat="1" outlineLevel="2">
      <c r="A525" s="39" t="s">
        <v>235</v>
      </c>
      <c r="B525" s="40" t="s">
        <v>59</v>
      </c>
      <c r="C525" s="41" t="s">
        <v>17</v>
      </c>
      <c r="D525" s="40" t="s">
        <v>18</v>
      </c>
      <c r="E525" s="24">
        <v>6050000</v>
      </c>
      <c r="F525" s="39">
        <v>43990</v>
      </c>
      <c r="G525" s="24">
        <v>4620000</v>
      </c>
      <c r="H525" s="23">
        <v>5.0000000000000001E-3</v>
      </c>
      <c r="I525" s="39">
        <v>44378</v>
      </c>
      <c r="J525" s="39">
        <v>44391</v>
      </c>
      <c r="K525" s="24">
        <v>14</v>
      </c>
      <c r="L525" s="24">
        <v>886</v>
      </c>
      <c r="M525" s="24">
        <v>4510000</v>
      </c>
    </row>
    <row r="526" spans="1:13" s="5" customFormat="1" outlineLevel="2">
      <c r="A526" s="39" t="s">
        <v>235</v>
      </c>
      <c r="B526" s="40" t="s">
        <v>59</v>
      </c>
      <c r="C526" s="41" t="s">
        <v>17</v>
      </c>
      <c r="D526" s="40"/>
      <c r="E526" s="24"/>
      <c r="F526" s="39"/>
      <c r="G526" s="24">
        <v>4510000</v>
      </c>
      <c r="H526" s="23">
        <v>5.0000000000000001E-3</v>
      </c>
      <c r="I526" s="39">
        <v>44392</v>
      </c>
      <c r="J526" s="39">
        <v>44408</v>
      </c>
      <c r="K526" s="24">
        <v>17</v>
      </c>
      <c r="L526" s="24">
        <v>1050</v>
      </c>
      <c r="M526" s="24"/>
    </row>
    <row r="527" spans="1:13" s="5" customFormat="1" outlineLevel="2">
      <c r="A527" s="39" t="s">
        <v>235</v>
      </c>
      <c r="B527" s="40" t="s">
        <v>62</v>
      </c>
      <c r="C527" s="41" t="s">
        <v>17</v>
      </c>
      <c r="D527" s="40" t="s">
        <v>18</v>
      </c>
      <c r="E527" s="24">
        <v>7541000</v>
      </c>
      <c r="F527" s="39">
        <v>44074</v>
      </c>
      <c r="G527" s="24">
        <v>6090810</v>
      </c>
      <c r="H527" s="23">
        <v>5.0000000000000001E-3</v>
      </c>
      <c r="I527" s="39">
        <v>44378</v>
      </c>
      <c r="J527" s="39">
        <v>44391</v>
      </c>
      <c r="K527" s="24">
        <v>14</v>
      </c>
      <c r="L527" s="24">
        <v>1168</v>
      </c>
      <c r="M527" s="24">
        <v>5945791</v>
      </c>
    </row>
    <row r="528" spans="1:13" s="5" customFormat="1" outlineLevel="2">
      <c r="A528" s="39" t="s">
        <v>235</v>
      </c>
      <c r="B528" s="40" t="s">
        <v>62</v>
      </c>
      <c r="C528" s="41" t="s">
        <v>17</v>
      </c>
      <c r="D528" s="40"/>
      <c r="E528" s="24"/>
      <c r="F528" s="39"/>
      <c r="G528" s="24">
        <v>5945791</v>
      </c>
      <c r="H528" s="23">
        <v>5.0000000000000001E-3</v>
      </c>
      <c r="I528" s="39">
        <v>44392</v>
      </c>
      <c r="J528" s="39">
        <v>44408</v>
      </c>
      <c r="K528" s="24">
        <v>17</v>
      </c>
      <c r="L528" s="24">
        <v>1385</v>
      </c>
      <c r="M528" s="24"/>
    </row>
    <row r="529" spans="1:13" s="5" customFormat="1" outlineLevel="2">
      <c r="A529" s="39" t="s">
        <v>235</v>
      </c>
      <c r="B529" s="40" t="s">
        <v>63</v>
      </c>
      <c r="C529" s="41" t="s">
        <v>17</v>
      </c>
      <c r="D529" s="40" t="s">
        <v>18</v>
      </c>
      <c r="E529" s="24">
        <v>8986000</v>
      </c>
      <c r="F529" s="39">
        <v>44160</v>
      </c>
      <c r="G529" s="24">
        <v>7702284</v>
      </c>
      <c r="H529" s="23">
        <v>5.0000000000000001E-3</v>
      </c>
      <c r="I529" s="39">
        <v>44378</v>
      </c>
      <c r="J529" s="39">
        <v>44391</v>
      </c>
      <c r="K529" s="24">
        <v>14</v>
      </c>
      <c r="L529" s="24">
        <v>1477</v>
      </c>
      <c r="M529" s="24">
        <v>7518896</v>
      </c>
    </row>
    <row r="530" spans="1:13" s="5" customFormat="1" outlineLevel="2">
      <c r="A530" s="39" t="s">
        <v>235</v>
      </c>
      <c r="B530" s="40" t="s">
        <v>63</v>
      </c>
      <c r="C530" s="41" t="s">
        <v>17</v>
      </c>
      <c r="D530" s="40"/>
      <c r="E530" s="24"/>
      <c r="F530" s="39"/>
      <c r="G530" s="24">
        <v>7518896</v>
      </c>
      <c r="H530" s="23">
        <v>5.0000000000000001E-3</v>
      </c>
      <c r="I530" s="39">
        <v>44392</v>
      </c>
      <c r="J530" s="39">
        <v>44408</v>
      </c>
      <c r="K530" s="24">
        <v>17</v>
      </c>
      <c r="L530" s="24">
        <v>1751</v>
      </c>
      <c r="M530" s="24"/>
    </row>
    <row r="531" spans="1:13" s="5" customFormat="1" outlineLevel="2">
      <c r="A531" s="39" t="s">
        <v>235</v>
      </c>
      <c r="B531" s="40" t="s">
        <v>64</v>
      </c>
      <c r="C531" s="41" t="s">
        <v>17</v>
      </c>
      <c r="D531" s="40" t="s">
        <v>18</v>
      </c>
      <c r="E531" s="24">
        <v>2534784</v>
      </c>
      <c r="F531" s="39">
        <v>44334</v>
      </c>
      <c r="G531" s="24">
        <v>2475835</v>
      </c>
      <c r="H531" s="23">
        <v>5.0000000000000001E-3</v>
      </c>
      <c r="I531" s="39">
        <v>44378</v>
      </c>
      <c r="J531" s="39">
        <v>44391</v>
      </c>
      <c r="K531" s="24">
        <v>14</v>
      </c>
      <c r="L531" s="24">
        <v>475</v>
      </c>
      <c r="M531" s="24">
        <v>2416886</v>
      </c>
    </row>
    <row r="532" spans="1:13" s="5" customFormat="1" outlineLevel="2">
      <c r="A532" s="39" t="s">
        <v>235</v>
      </c>
      <c r="B532" s="40" t="s">
        <v>64</v>
      </c>
      <c r="C532" s="41" t="s">
        <v>17</v>
      </c>
      <c r="D532" s="40"/>
      <c r="E532" s="24"/>
      <c r="F532" s="39"/>
      <c r="G532" s="24">
        <v>2416886</v>
      </c>
      <c r="H532" s="23">
        <v>5.0000000000000001E-3</v>
      </c>
      <c r="I532" s="39">
        <v>44392</v>
      </c>
      <c r="J532" s="39">
        <v>44408</v>
      </c>
      <c r="K532" s="24">
        <v>17</v>
      </c>
      <c r="L532" s="24">
        <v>563</v>
      </c>
      <c r="M532" s="24"/>
    </row>
    <row r="533" spans="1:13" s="5" customFormat="1" outlineLevel="1">
      <c r="A533" s="42" t="s">
        <v>236</v>
      </c>
      <c r="B533" s="43"/>
      <c r="C533" s="44"/>
      <c r="D533" s="43"/>
      <c r="E533" s="45">
        <v>111621784</v>
      </c>
      <c r="F533" s="46"/>
      <c r="G533" s="45"/>
      <c r="H533" s="47"/>
      <c r="I533" s="46"/>
      <c r="J533" s="46"/>
      <c r="K533" s="45"/>
      <c r="L533" s="45">
        <v>34310</v>
      </c>
      <c r="M533" s="45">
        <v>79913491</v>
      </c>
    </row>
    <row r="534" spans="1:13" s="5" customFormat="1" outlineLevel="2">
      <c r="A534" s="39" t="s">
        <v>237</v>
      </c>
      <c r="B534" s="40" t="s">
        <v>16</v>
      </c>
      <c r="C534" s="41" t="s">
        <v>45</v>
      </c>
      <c r="D534" s="40" t="s">
        <v>46</v>
      </c>
      <c r="E534" s="24">
        <v>4300000</v>
      </c>
      <c r="F534" s="39">
        <v>43966</v>
      </c>
      <c r="G534" s="24">
        <v>4300000</v>
      </c>
      <c r="H534" s="23">
        <v>5.0000000000000001E-3</v>
      </c>
      <c r="I534" s="39">
        <v>44378</v>
      </c>
      <c r="J534" s="39">
        <v>44408</v>
      </c>
      <c r="K534" s="24">
        <v>31</v>
      </c>
      <c r="L534" s="24">
        <v>1826</v>
      </c>
      <c r="M534" s="24">
        <v>4300000</v>
      </c>
    </row>
    <row r="535" spans="1:13" s="5" customFormat="1" outlineLevel="2">
      <c r="A535" s="39" t="s">
        <v>237</v>
      </c>
      <c r="B535" s="40" t="s">
        <v>39</v>
      </c>
      <c r="C535" s="41" t="s">
        <v>66</v>
      </c>
      <c r="D535" s="40" t="s">
        <v>67</v>
      </c>
      <c r="E535" s="24">
        <v>120000000</v>
      </c>
      <c r="F535" s="39">
        <v>44060</v>
      </c>
      <c r="G535" s="24">
        <v>120000000</v>
      </c>
      <c r="H535" s="23">
        <v>5.0000000000000001E-3</v>
      </c>
      <c r="I535" s="39">
        <v>44378</v>
      </c>
      <c r="J535" s="39">
        <v>44408</v>
      </c>
      <c r="K535" s="24">
        <v>31</v>
      </c>
      <c r="L535" s="24">
        <v>50959</v>
      </c>
      <c r="M535" s="24">
        <v>120000000</v>
      </c>
    </row>
    <row r="536" spans="1:13" s="5" customFormat="1" outlineLevel="1">
      <c r="A536" s="42" t="s">
        <v>238</v>
      </c>
      <c r="B536" s="43"/>
      <c r="C536" s="44"/>
      <c r="D536" s="43"/>
      <c r="E536" s="45">
        <v>124300000</v>
      </c>
      <c r="F536" s="46"/>
      <c r="G536" s="45"/>
      <c r="H536" s="47"/>
      <c r="I536" s="46"/>
      <c r="J536" s="46"/>
      <c r="K536" s="45"/>
      <c r="L536" s="45">
        <v>52785</v>
      </c>
      <c r="M536" s="45">
        <v>124300000</v>
      </c>
    </row>
    <row r="537" spans="1:13" s="5" customFormat="1" outlineLevel="2">
      <c r="A537" s="39" t="s">
        <v>239</v>
      </c>
      <c r="B537" s="40" t="s">
        <v>16</v>
      </c>
      <c r="C537" s="41" t="s">
        <v>109</v>
      </c>
      <c r="D537" s="40" t="s">
        <v>110</v>
      </c>
      <c r="E537" s="24">
        <v>38650000</v>
      </c>
      <c r="F537" s="39">
        <v>43986</v>
      </c>
      <c r="G537" s="24">
        <v>38650000</v>
      </c>
      <c r="H537" s="23">
        <v>5.0000000000000001E-3</v>
      </c>
      <c r="I537" s="39">
        <v>44378</v>
      </c>
      <c r="J537" s="39">
        <v>44408</v>
      </c>
      <c r="K537" s="24">
        <v>31</v>
      </c>
      <c r="L537" s="24">
        <v>16413</v>
      </c>
      <c r="M537" s="24">
        <v>38650000</v>
      </c>
    </row>
    <row r="538" spans="1:13" s="5" customFormat="1" outlineLevel="2">
      <c r="A538" s="39" t="s">
        <v>239</v>
      </c>
      <c r="B538" s="40" t="s">
        <v>19</v>
      </c>
      <c r="C538" s="41" t="s">
        <v>125</v>
      </c>
      <c r="D538" s="40" t="s">
        <v>126</v>
      </c>
      <c r="E538" s="24">
        <v>23000000</v>
      </c>
      <c r="F538" s="39">
        <v>44155</v>
      </c>
      <c r="G538" s="24">
        <v>23000000</v>
      </c>
      <c r="H538" s="23">
        <v>5.0000000000000001E-3</v>
      </c>
      <c r="I538" s="39">
        <v>44378</v>
      </c>
      <c r="J538" s="39">
        <v>44408</v>
      </c>
      <c r="K538" s="24">
        <v>31</v>
      </c>
      <c r="L538" s="24">
        <v>9767</v>
      </c>
      <c r="M538" s="24">
        <v>23000000</v>
      </c>
    </row>
    <row r="539" spans="1:13" s="5" customFormat="1" outlineLevel="2">
      <c r="A539" s="39" t="s">
        <v>239</v>
      </c>
      <c r="B539" s="40" t="s">
        <v>22</v>
      </c>
      <c r="C539" s="41" t="s">
        <v>125</v>
      </c>
      <c r="D539" s="40" t="s">
        <v>126</v>
      </c>
      <c r="E539" s="24">
        <v>1000000</v>
      </c>
      <c r="F539" s="39">
        <v>44160</v>
      </c>
      <c r="G539" s="24">
        <v>1000000</v>
      </c>
      <c r="H539" s="23">
        <v>5.0000000000000001E-3</v>
      </c>
      <c r="I539" s="39">
        <v>44378</v>
      </c>
      <c r="J539" s="39">
        <v>44408</v>
      </c>
      <c r="K539" s="24">
        <v>31</v>
      </c>
      <c r="L539" s="24">
        <v>425</v>
      </c>
      <c r="M539" s="24">
        <v>1000000</v>
      </c>
    </row>
    <row r="540" spans="1:13" s="5" customFormat="1" outlineLevel="2">
      <c r="A540" s="39" t="s">
        <v>239</v>
      </c>
      <c r="B540" s="40" t="s">
        <v>25</v>
      </c>
      <c r="C540" s="41" t="s">
        <v>95</v>
      </c>
      <c r="D540" s="40" t="s">
        <v>96</v>
      </c>
      <c r="E540" s="24">
        <v>6030000</v>
      </c>
      <c r="F540" s="39">
        <v>44145</v>
      </c>
      <c r="G540" s="24">
        <v>6030000</v>
      </c>
      <c r="H540" s="23">
        <v>5.0000000000000001E-3</v>
      </c>
      <c r="I540" s="39">
        <v>44378</v>
      </c>
      <c r="J540" s="39">
        <v>44408</v>
      </c>
      <c r="K540" s="24">
        <v>31</v>
      </c>
      <c r="L540" s="24">
        <v>2561</v>
      </c>
      <c r="M540" s="24">
        <v>6030000</v>
      </c>
    </row>
    <row r="541" spans="1:13" s="5" customFormat="1" outlineLevel="2">
      <c r="A541" s="39" t="s">
        <v>239</v>
      </c>
      <c r="B541" s="40" t="s">
        <v>26</v>
      </c>
      <c r="C541" s="41" t="s">
        <v>240</v>
      </c>
      <c r="D541" s="40" t="s">
        <v>241</v>
      </c>
      <c r="E541" s="24">
        <v>16018839</v>
      </c>
      <c r="F541" s="39">
        <v>44188</v>
      </c>
      <c r="G541" s="24">
        <v>16018839</v>
      </c>
      <c r="H541" s="23">
        <v>5.0000000000000001E-3</v>
      </c>
      <c r="I541" s="39">
        <v>44378</v>
      </c>
      <c r="J541" s="39">
        <v>44408</v>
      </c>
      <c r="K541" s="24">
        <v>31</v>
      </c>
      <c r="L541" s="24">
        <v>6803</v>
      </c>
      <c r="M541" s="24">
        <v>16018839</v>
      </c>
    </row>
    <row r="542" spans="1:13" s="5" customFormat="1" outlineLevel="2">
      <c r="A542" s="39" t="s">
        <v>239</v>
      </c>
      <c r="B542" s="40" t="s">
        <v>29</v>
      </c>
      <c r="C542" s="41" t="s">
        <v>240</v>
      </c>
      <c r="D542" s="40" t="s">
        <v>241</v>
      </c>
      <c r="E542" s="24">
        <v>31481161</v>
      </c>
      <c r="F542" s="39">
        <v>44188</v>
      </c>
      <c r="G542" s="24">
        <v>31481161</v>
      </c>
      <c r="H542" s="23">
        <v>5.0000000000000001E-3</v>
      </c>
      <c r="I542" s="39">
        <v>44378</v>
      </c>
      <c r="J542" s="39">
        <v>44408</v>
      </c>
      <c r="K542" s="24">
        <v>31</v>
      </c>
      <c r="L542" s="24">
        <v>13369</v>
      </c>
      <c r="M542" s="24">
        <v>31481161</v>
      </c>
    </row>
    <row r="543" spans="1:13" s="5" customFormat="1" outlineLevel="2">
      <c r="A543" s="39" t="s">
        <v>239</v>
      </c>
      <c r="B543" s="40" t="s">
        <v>32</v>
      </c>
      <c r="C543" s="41" t="s">
        <v>242</v>
      </c>
      <c r="D543" s="40" t="s">
        <v>243</v>
      </c>
      <c r="E543" s="24">
        <v>10000000</v>
      </c>
      <c r="F543" s="39">
        <v>44172</v>
      </c>
      <c r="G543" s="24">
        <v>10000000</v>
      </c>
      <c r="H543" s="23">
        <v>5.0000000000000001E-3</v>
      </c>
      <c r="I543" s="39">
        <v>44378</v>
      </c>
      <c r="J543" s="39">
        <v>44408</v>
      </c>
      <c r="K543" s="24">
        <v>31</v>
      </c>
      <c r="L543" s="24">
        <v>4247</v>
      </c>
      <c r="M543" s="24">
        <v>10000000</v>
      </c>
    </row>
    <row r="544" spans="1:13" s="5" customFormat="1" outlineLevel="2">
      <c r="A544" s="39" t="s">
        <v>239</v>
      </c>
      <c r="B544" s="40" t="s">
        <v>33</v>
      </c>
      <c r="C544" s="41" t="s">
        <v>242</v>
      </c>
      <c r="D544" s="40" t="s">
        <v>243</v>
      </c>
      <c r="E544" s="24">
        <v>10000000</v>
      </c>
      <c r="F544" s="39">
        <v>44181</v>
      </c>
      <c r="G544" s="24">
        <v>10000000</v>
      </c>
      <c r="H544" s="23">
        <v>5.0000000000000001E-3</v>
      </c>
      <c r="I544" s="39">
        <v>44378</v>
      </c>
      <c r="J544" s="39">
        <v>44408</v>
      </c>
      <c r="K544" s="24">
        <v>31</v>
      </c>
      <c r="L544" s="24">
        <v>4247</v>
      </c>
      <c r="M544" s="24">
        <v>10000000</v>
      </c>
    </row>
    <row r="545" spans="1:13" s="5" customFormat="1" outlineLevel="2">
      <c r="A545" s="39" t="s">
        <v>239</v>
      </c>
      <c r="B545" s="40" t="s">
        <v>34</v>
      </c>
      <c r="C545" s="41" t="s">
        <v>244</v>
      </c>
      <c r="D545" s="40" t="s">
        <v>245</v>
      </c>
      <c r="E545" s="24">
        <v>210000000</v>
      </c>
      <c r="F545" s="39">
        <v>44172</v>
      </c>
      <c r="G545" s="24">
        <v>210000000</v>
      </c>
      <c r="H545" s="23">
        <v>5.0000000000000001E-3</v>
      </c>
      <c r="I545" s="39">
        <v>44378</v>
      </c>
      <c r="J545" s="39">
        <v>44408</v>
      </c>
      <c r="K545" s="24">
        <v>31</v>
      </c>
      <c r="L545" s="24">
        <v>89178</v>
      </c>
      <c r="M545" s="24">
        <v>210000000</v>
      </c>
    </row>
    <row r="546" spans="1:13" s="5" customFormat="1" outlineLevel="2">
      <c r="A546" s="39" t="s">
        <v>239</v>
      </c>
      <c r="B546" s="40" t="s">
        <v>35</v>
      </c>
      <c r="C546" s="41" t="s">
        <v>246</v>
      </c>
      <c r="D546" s="40" t="s">
        <v>247</v>
      </c>
      <c r="E546" s="24">
        <v>3000000</v>
      </c>
      <c r="F546" s="39">
        <v>44167</v>
      </c>
      <c r="G546" s="24">
        <v>3000000</v>
      </c>
      <c r="H546" s="23">
        <v>5.0000000000000001E-3</v>
      </c>
      <c r="I546" s="39">
        <v>44378</v>
      </c>
      <c r="J546" s="39">
        <v>44408</v>
      </c>
      <c r="K546" s="24">
        <v>31</v>
      </c>
      <c r="L546" s="24">
        <v>1274</v>
      </c>
      <c r="M546" s="24">
        <v>3000000</v>
      </c>
    </row>
    <row r="547" spans="1:13" s="5" customFormat="1" outlineLevel="2">
      <c r="A547" s="39" t="s">
        <v>239</v>
      </c>
      <c r="B547" s="40" t="s">
        <v>36</v>
      </c>
      <c r="C547" s="41" t="s">
        <v>95</v>
      </c>
      <c r="D547" s="40" t="s">
        <v>96</v>
      </c>
      <c r="E547" s="24">
        <v>5530000</v>
      </c>
      <c r="F547" s="39">
        <v>44168</v>
      </c>
      <c r="G547" s="24">
        <v>5530000</v>
      </c>
      <c r="H547" s="23">
        <v>5.0000000000000001E-3</v>
      </c>
      <c r="I547" s="39">
        <v>44378</v>
      </c>
      <c r="J547" s="39">
        <v>44408</v>
      </c>
      <c r="K547" s="24">
        <v>31</v>
      </c>
      <c r="L547" s="24">
        <v>2348</v>
      </c>
      <c r="M547" s="24">
        <v>5530000</v>
      </c>
    </row>
    <row r="548" spans="1:13" s="5" customFormat="1" outlineLevel="2">
      <c r="A548" s="39" t="s">
        <v>239</v>
      </c>
      <c r="B548" s="40" t="s">
        <v>39</v>
      </c>
      <c r="C548" s="41" t="s">
        <v>248</v>
      </c>
      <c r="D548" s="40" t="s">
        <v>249</v>
      </c>
      <c r="E548" s="24">
        <v>23530000</v>
      </c>
      <c r="F548" s="39">
        <v>44013</v>
      </c>
      <c r="G548" s="24">
        <v>23530000</v>
      </c>
      <c r="H548" s="23">
        <v>5.0000000000000001E-3</v>
      </c>
      <c r="I548" s="39">
        <v>44378</v>
      </c>
      <c r="J548" s="39">
        <v>44408</v>
      </c>
      <c r="K548" s="24">
        <v>31</v>
      </c>
      <c r="L548" s="24">
        <v>9992</v>
      </c>
      <c r="M548" s="24">
        <v>23530000</v>
      </c>
    </row>
    <row r="549" spans="1:13" s="5" customFormat="1" outlineLevel="2">
      <c r="A549" s="39" t="s">
        <v>239</v>
      </c>
      <c r="B549" s="40" t="s">
        <v>40</v>
      </c>
      <c r="C549" s="41" t="s">
        <v>242</v>
      </c>
      <c r="D549" s="40" t="s">
        <v>243</v>
      </c>
      <c r="E549" s="24">
        <v>10000000</v>
      </c>
      <c r="F549" s="39">
        <v>44208</v>
      </c>
      <c r="G549" s="24">
        <v>10000000</v>
      </c>
      <c r="H549" s="23">
        <v>5.0000000000000001E-3</v>
      </c>
      <c r="I549" s="39">
        <v>44378</v>
      </c>
      <c r="J549" s="39">
        <v>44408</v>
      </c>
      <c r="K549" s="24">
        <v>31</v>
      </c>
      <c r="L549" s="24">
        <v>4247</v>
      </c>
      <c r="M549" s="24">
        <v>10000000</v>
      </c>
    </row>
    <row r="550" spans="1:13" s="5" customFormat="1" outlineLevel="2">
      <c r="A550" s="39" t="s">
        <v>239</v>
      </c>
      <c r="B550" s="40" t="s">
        <v>41</v>
      </c>
      <c r="C550" s="41" t="s">
        <v>125</v>
      </c>
      <c r="D550" s="40" t="s">
        <v>126</v>
      </c>
      <c r="E550" s="24">
        <v>28000000</v>
      </c>
      <c r="F550" s="39">
        <v>44217</v>
      </c>
      <c r="G550" s="24">
        <v>28000000</v>
      </c>
      <c r="H550" s="23">
        <v>5.0000000000000001E-3</v>
      </c>
      <c r="I550" s="39">
        <v>44378</v>
      </c>
      <c r="J550" s="39">
        <v>44408</v>
      </c>
      <c r="K550" s="24">
        <v>31</v>
      </c>
      <c r="L550" s="24">
        <v>11890</v>
      </c>
      <c r="M550" s="24">
        <v>28000000</v>
      </c>
    </row>
    <row r="551" spans="1:13" s="5" customFormat="1" outlineLevel="2">
      <c r="A551" s="39" t="s">
        <v>239</v>
      </c>
      <c r="B551" s="40" t="s">
        <v>42</v>
      </c>
      <c r="C551" s="41" t="s">
        <v>250</v>
      </c>
      <c r="D551" s="40" t="s">
        <v>251</v>
      </c>
      <c r="E551" s="24">
        <v>22500000</v>
      </c>
      <c r="F551" s="39">
        <v>44215</v>
      </c>
      <c r="G551" s="24">
        <v>20625000</v>
      </c>
      <c r="H551" s="23">
        <v>5.0000000000000001E-3</v>
      </c>
      <c r="I551" s="39">
        <v>44378</v>
      </c>
      <c r="J551" s="39">
        <v>44391</v>
      </c>
      <c r="K551" s="24">
        <v>14</v>
      </c>
      <c r="L551" s="24">
        <v>3955</v>
      </c>
      <c r="M551" s="24">
        <v>20250000</v>
      </c>
    </row>
    <row r="552" spans="1:13" s="5" customFormat="1" outlineLevel="2">
      <c r="A552" s="39" t="s">
        <v>239</v>
      </c>
      <c r="B552" s="40" t="s">
        <v>42</v>
      </c>
      <c r="C552" s="41" t="s">
        <v>250</v>
      </c>
      <c r="D552" s="40"/>
      <c r="E552" s="24"/>
      <c r="F552" s="39"/>
      <c r="G552" s="24">
        <v>20250000</v>
      </c>
      <c r="H552" s="23">
        <v>5.0000000000000001E-3</v>
      </c>
      <c r="I552" s="39">
        <v>44392</v>
      </c>
      <c r="J552" s="39">
        <v>44408</v>
      </c>
      <c r="K552" s="24">
        <v>17</v>
      </c>
      <c r="L552" s="24">
        <v>4716</v>
      </c>
      <c r="M552" s="24"/>
    </row>
    <row r="553" spans="1:13" s="5" customFormat="1" outlineLevel="2">
      <c r="A553" s="39" t="s">
        <v>239</v>
      </c>
      <c r="B553" s="40" t="s">
        <v>43</v>
      </c>
      <c r="C553" s="41" t="s">
        <v>250</v>
      </c>
      <c r="D553" s="40" t="s">
        <v>251</v>
      </c>
      <c r="E553" s="24">
        <v>4950000</v>
      </c>
      <c r="F553" s="39">
        <v>44215</v>
      </c>
      <c r="G553" s="24">
        <v>4537500</v>
      </c>
      <c r="H553" s="23">
        <v>5.0000000000000001E-3</v>
      </c>
      <c r="I553" s="39">
        <v>44378</v>
      </c>
      <c r="J553" s="39">
        <v>44391</v>
      </c>
      <c r="K553" s="24">
        <v>14</v>
      </c>
      <c r="L553" s="24">
        <v>870</v>
      </c>
      <c r="M553" s="24">
        <v>4455000</v>
      </c>
    </row>
    <row r="554" spans="1:13" s="5" customFormat="1" outlineLevel="2">
      <c r="A554" s="39" t="s">
        <v>239</v>
      </c>
      <c r="B554" s="40" t="s">
        <v>43</v>
      </c>
      <c r="C554" s="41" t="s">
        <v>250</v>
      </c>
      <c r="D554" s="40"/>
      <c r="E554" s="24"/>
      <c r="F554" s="39"/>
      <c r="G554" s="24">
        <v>4455000</v>
      </c>
      <c r="H554" s="23">
        <v>5.0000000000000001E-3</v>
      </c>
      <c r="I554" s="39">
        <v>44392</v>
      </c>
      <c r="J554" s="39">
        <v>44408</v>
      </c>
      <c r="K554" s="24">
        <v>17</v>
      </c>
      <c r="L554" s="24">
        <v>1037</v>
      </c>
      <c r="M554" s="24"/>
    </row>
    <row r="555" spans="1:13" s="5" customFormat="1" outlineLevel="2">
      <c r="A555" s="39" t="s">
        <v>239</v>
      </c>
      <c r="B555" s="40" t="s">
        <v>44</v>
      </c>
      <c r="C555" s="41" t="s">
        <v>242</v>
      </c>
      <c r="D555" s="40" t="s">
        <v>243</v>
      </c>
      <c r="E555" s="24">
        <v>10000000</v>
      </c>
      <c r="F555" s="39">
        <v>44244</v>
      </c>
      <c r="G555" s="24">
        <v>10000000</v>
      </c>
      <c r="H555" s="23">
        <v>5.0000000000000001E-3</v>
      </c>
      <c r="I555" s="39">
        <v>44378</v>
      </c>
      <c r="J555" s="39">
        <v>44408</v>
      </c>
      <c r="K555" s="24">
        <v>31</v>
      </c>
      <c r="L555" s="24">
        <v>4247</v>
      </c>
      <c r="M555" s="24">
        <v>10000000</v>
      </c>
    </row>
    <row r="556" spans="1:13" s="5" customFormat="1" outlineLevel="2">
      <c r="A556" s="39" t="s">
        <v>239</v>
      </c>
      <c r="B556" s="40" t="s">
        <v>47</v>
      </c>
      <c r="C556" s="41" t="s">
        <v>242</v>
      </c>
      <c r="D556" s="40" t="s">
        <v>243</v>
      </c>
      <c r="E556" s="24">
        <v>4000000</v>
      </c>
      <c r="F556" s="39">
        <v>44249</v>
      </c>
      <c r="G556" s="24">
        <v>4000000</v>
      </c>
      <c r="H556" s="23">
        <v>5.0000000000000001E-3</v>
      </c>
      <c r="I556" s="39">
        <v>44378</v>
      </c>
      <c r="J556" s="39">
        <v>44408</v>
      </c>
      <c r="K556" s="24">
        <v>31</v>
      </c>
      <c r="L556" s="24">
        <v>1699</v>
      </c>
      <c r="M556" s="24">
        <v>4000000</v>
      </c>
    </row>
    <row r="557" spans="1:13" s="5" customFormat="1" outlineLevel="2">
      <c r="A557" s="39" t="s">
        <v>239</v>
      </c>
      <c r="B557" s="40" t="s">
        <v>50</v>
      </c>
      <c r="C557" s="41" t="s">
        <v>306</v>
      </c>
      <c r="D557" s="40" t="s">
        <v>305</v>
      </c>
      <c r="E557" s="24">
        <v>23949000</v>
      </c>
      <c r="F557" s="39">
        <v>44251</v>
      </c>
      <c r="G557" s="24">
        <v>23949000</v>
      </c>
      <c r="H557" s="23">
        <v>5.0000000000000001E-3</v>
      </c>
      <c r="I557" s="39">
        <v>44378</v>
      </c>
      <c r="J557" s="39">
        <v>44408</v>
      </c>
      <c r="K557" s="24">
        <v>31</v>
      </c>
      <c r="L557" s="24">
        <v>10170</v>
      </c>
      <c r="M557" s="24">
        <v>23949000</v>
      </c>
    </row>
    <row r="558" spans="1:13" s="5" customFormat="1" outlineLevel="2">
      <c r="A558" s="39" t="s">
        <v>239</v>
      </c>
      <c r="B558" s="40" t="s">
        <v>51</v>
      </c>
      <c r="C558" s="41" t="s">
        <v>66</v>
      </c>
      <c r="D558" s="40" t="s">
        <v>67</v>
      </c>
      <c r="E558" s="24">
        <v>40000000</v>
      </c>
      <c r="F558" s="39">
        <v>44235</v>
      </c>
      <c r="G558" s="24">
        <v>40000000</v>
      </c>
      <c r="H558" s="23">
        <v>5.0000000000000001E-3</v>
      </c>
      <c r="I558" s="39">
        <v>44378</v>
      </c>
      <c r="J558" s="39">
        <v>44408</v>
      </c>
      <c r="K558" s="24">
        <v>31</v>
      </c>
      <c r="L558" s="24">
        <v>16986</v>
      </c>
      <c r="M558" s="24">
        <v>40000000</v>
      </c>
    </row>
    <row r="559" spans="1:13" s="5" customFormat="1" outlineLevel="2">
      <c r="A559" s="39" t="s">
        <v>239</v>
      </c>
      <c r="B559" s="40" t="s">
        <v>52</v>
      </c>
      <c r="C559" s="41" t="s">
        <v>244</v>
      </c>
      <c r="D559" s="40" t="s">
        <v>245</v>
      </c>
      <c r="E559" s="24">
        <v>64000000</v>
      </c>
      <c r="F559" s="39">
        <v>44228</v>
      </c>
      <c r="G559" s="24">
        <v>64000000</v>
      </c>
      <c r="H559" s="23">
        <v>5.0000000000000001E-3</v>
      </c>
      <c r="I559" s="39">
        <v>44378</v>
      </c>
      <c r="J559" s="39">
        <v>44408</v>
      </c>
      <c r="K559" s="24">
        <v>31</v>
      </c>
      <c r="L559" s="24">
        <v>27178</v>
      </c>
      <c r="M559" s="24">
        <v>64000000</v>
      </c>
    </row>
    <row r="560" spans="1:13" s="5" customFormat="1" outlineLevel="2">
      <c r="A560" s="39" t="s">
        <v>239</v>
      </c>
      <c r="B560" s="40" t="s">
        <v>53</v>
      </c>
      <c r="C560" s="41" t="s">
        <v>246</v>
      </c>
      <c r="D560" s="40" t="s">
        <v>247</v>
      </c>
      <c r="E560" s="24">
        <v>100000000</v>
      </c>
      <c r="F560" s="39">
        <v>44251</v>
      </c>
      <c r="G560" s="24">
        <v>100000000</v>
      </c>
      <c r="H560" s="23">
        <v>5.0000000000000001E-3</v>
      </c>
      <c r="I560" s="39">
        <v>44378</v>
      </c>
      <c r="J560" s="39">
        <v>44408</v>
      </c>
      <c r="K560" s="24">
        <v>31</v>
      </c>
      <c r="L560" s="24">
        <v>42466</v>
      </c>
      <c r="M560" s="24">
        <v>100000000</v>
      </c>
    </row>
    <row r="561" spans="1:13" s="5" customFormat="1" outlineLevel="2">
      <c r="A561" s="39" t="s">
        <v>239</v>
      </c>
      <c r="B561" s="40" t="s">
        <v>54</v>
      </c>
      <c r="C561" s="41" t="s">
        <v>248</v>
      </c>
      <c r="D561" s="40" t="s">
        <v>249</v>
      </c>
      <c r="E561" s="24">
        <v>47470000</v>
      </c>
      <c r="F561" s="39">
        <v>44013</v>
      </c>
      <c r="G561" s="24">
        <v>47470000</v>
      </c>
      <c r="H561" s="23">
        <v>5.0000000000000001E-3</v>
      </c>
      <c r="I561" s="39">
        <v>44378</v>
      </c>
      <c r="J561" s="39">
        <v>44408</v>
      </c>
      <c r="K561" s="24">
        <v>31</v>
      </c>
      <c r="L561" s="24">
        <v>20158</v>
      </c>
      <c r="M561" s="24">
        <v>47470000</v>
      </c>
    </row>
    <row r="562" spans="1:13" s="5" customFormat="1" outlineLevel="2">
      <c r="A562" s="39" t="s">
        <v>239</v>
      </c>
      <c r="B562" s="40" t="s">
        <v>57</v>
      </c>
      <c r="C562" s="41" t="s">
        <v>246</v>
      </c>
      <c r="D562" s="40" t="s">
        <v>247</v>
      </c>
      <c r="E562" s="24">
        <v>93000000</v>
      </c>
      <c r="F562" s="39">
        <v>44251</v>
      </c>
      <c r="G562" s="24">
        <v>93000000</v>
      </c>
      <c r="H562" s="23">
        <v>5.0000000000000001E-3</v>
      </c>
      <c r="I562" s="39">
        <v>44378</v>
      </c>
      <c r="J562" s="39">
        <v>44408</v>
      </c>
      <c r="K562" s="24">
        <v>31</v>
      </c>
      <c r="L562" s="24">
        <v>39493</v>
      </c>
      <c r="M562" s="24">
        <v>93000000</v>
      </c>
    </row>
    <row r="563" spans="1:13" s="5" customFormat="1" outlineLevel="2">
      <c r="A563" s="39" t="s">
        <v>239</v>
      </c>
      <c r="B563" s="40" t="s">
        <v>99</v>
      </c>
      <c r="C563" s="41" t="s">
        <v>95</v>
      </c>
      <c r="D563" s="40" t="s">
        <v>96</v>
      </c>
      <c r="E563" s="24">
        <v>4840000</v>
      </c>
      <c r="F563" s="39">
        <v>44235</v>
      </c>
      <c r="G563" s="24">
        <v>4840000</v>
      </c>
      <c r="H563" s="23">
        <v>5.0000000000000001E-3</v>
      </c>
      <c r="I563" s="39">
        <v>44378</v>
      </c>
      <c r="J563" s="39">
        <v>44408</v>
      </c>
      <c r="K563" s="24">
        <v>31</v>
      </c>
      <c r="L563" s="24">
        <v>2055</v>
      </c>
      <c r="M563" s="24">
        <v>4840000</v>
      </c>
    </row>
    <row r="564" spans="1:13" s="5" customFormat="1" outlineLevel="2">
      <c r="A564" s="39" t="s">
        <v>239</v>
      </c>
      <c r="B564" s="40" t="s">
        <v>100</v>
      </c>
      <c r="C564" s="41" t="s">
        <v>130</v>
      </c>
      <c r="D564" s="40" t="s">
        <v>131</v>
      </c>
      <c r="E564" s="24">
        <v>10000000</v>
      </c>
      <c r="F564" s="39">
        <v>44284</v>
      </c>
      <c r="G564" s="24">
        <v>5000000</v>
      </c>
      <c r="H564" s="23">
        <v>5.0000000000000001E-3</v>
      </c>
      <c r="I564" s="39">
        <v>44378</v>
      </c>
      <c r="J564" s="39">
        <v>44408</v>
      </c>
      <c r="K564" s="24">
        <v>31</v>
      </c>
      <c r="L564" s="24">
        <v>2123</v>
      </c>
      <c r="M564" s="24">
        <v>5000000</v>
      </c>
    </row>
    <row r="565" spans="1:13" s="5" customFormat="1" outlineLevel="2">
      <c r="A565" s="39" t="s">
        <v>239</v>
      </c>
      <c r="B565" s="40" t="s">
        <v>101</v>
      </c>
      <c r="C565" s="41" t="s">
        <v>244</v>
      </c>
      <c r="D565" s="40" t="s">
        <v>245</v>
      </c>
      <c r="E565" s="24">
        <v>70000000</v>
      </c>
      <c r="F565" s="39">
        <v>44260</v>
      </c>
      <c r="G565" s="24">
        <v>70000000</v>
      </c>
      <c r="H565" s="23">
        <v>5.0000000000000001E-3</v>
      </c>
      <c r="I565" s="39">
        <v>44378</v>
      </c>
      <c r="J565" s="39">
        <v>44408</v>
      </c>
      <c r="K565" s="24">
        <v>31</v>
      </c>
      <c r="L565" s="24">
        <v>29726</v>
      </c>
      <c r="M565" s="24">
        <v>70000000</v>
      </c>
    </row>
    <row r="566" spans="1:13" s="5" customFormat="1" outlineLevel="2">
      <c r="A566" s="39" t="s">
        <v>239</v>
      </c>
      <c r="B566" s="40" t="s">
        <v>102</v>
      </c>
      <c r="C566" s="41" t="s">
        <v>125</v>
      </c>
      <c r="D566" s="40" t="s">
        <v>126</v>
      </c>
      <c r="E566" s="24">
        <v>5000000</v>
      </c>
      <c r="F566" s="39">
        <v>44259</v>
      </c>
      <c r="G566" s="24">
        <v>5000000</v>
      </c>
      <c r="H566" s="23">
        <v>5.0000000000000001E-3</v>
      </c>
      <c r="I566" s="39">
        <v>44378</v>
      </c>
      <c r="J566" s="39">
        <v>44408</v>
      </c>
      <c r="K566" s="24">
        <v>31</v>
      </c>
      <c r="L566" s="24">
        <v>2123</v>
      </c>
      <c r="M566" s="24">
        <v>5000000</v>
      </c>
    </row>
    <row r="567" spans="1:13" s="5" customFormat="1" outlineLevel="2">
      <c r="A567" s="39" t="s">
        <v>239</v>
      </c>
      <c r="B567" s="40" t="s">
        <v>103</v>
      </c>
      <c r="C567" s="41" t="s">
        <v>66</v>
      </c>
      <c r="D567" s="40" t="s">
        <v>67</v>
      </c>
      <c r="E567" s="24">
        <v>49780000</v>
      </c>
      <c r="F567" s="39">
        <v>44306</v>
      </c>
      <c r="G567" s="24">
        <v>49780000</v>
      </c>
      <c r="H567" s="23">
        <v>5.0000000000000001E-3</v>
      </c>
      <c r="I567" s="39">
        <v>44378</v>
      </c>
      <c r="J567" s="39">
        <v>44408</v>
      </c>
      <c r="K567" s="24">
        <v>31</v>
      </c>
      <c r="L567" s="24">
        <v>21139</v>
      </c>
      <c r="M567" s="24">
        <v>49780000</v>
      </c>
    </row>
    <row r="568" spans="1:13" s="5" customFormat="1" outlineLevel="2">
      <c r="A568" s="39" t="s">
        <v>239</v>
      </c>
      <c r="B568" s="40" t="s">
        <v>104</v>
      </c>
      <c r="C568" s="41" t="s">
        <v>244</v>
      </c>
      <c r="D568" s="40" t="s">
        <v>245</v>
      </c>
      <c r="E568" s="24">
        <v>39000000</v>
      </c>
      <c r="F568" s="39">
        <v>44295</v>
      </c>
      <c r="G568" s="24">
        <v>39000000</v>
      </c>
      <c r="H568" s="23">
        <v>5.0000000000000001E-3</v>
      </c>
      <c r="I568" s="39">
        <v>44378</v>
      </c>
      <c r="J568" s="39">
        <v>44408</v>
      </c>
      <c r="K568" s="24">
        <v>31</v>
      </c>
      <c r="L568" s="24">
        <v>16562</v>
      </c>
      <c r="M568" s="24">
        <v>39000000</v>
      </c>
    </row>
    <row r="569" spans="1:13" s="5" customFormat="1" outlineLevel="2">
      <c r="A569" s="39" t="s">
        <v>239</v>
      </c>
      <c r="B569" s="40" t="s">
        <v>105</v>
      </c>
      <c r="C569" s="41" t="s">
        <v>95</v>
      </c>
      <c r="D569" s="40" t="s">
        <v>96</v>
      </c>
      <c r="E569" s="24">
        <v>2600000</v>
      </c>
      <c r="F569" s="39">
        <v>44314</v>
      </c>
      <c r="G569" s="24">
        <v>2600000</v>
      </c>
      <c r="H569" s="23">
        <v>5.0000000000000001E-3</v>
      </c>
      <c r="I569" s="39">
        <v>44378</v>
      </c>
      <c r="J569" s="39">
        <v>44408</v>
      </c>
      <c r="K569" s="24">
        <v>31</v>
      </c>
      <c r="L569" s="24">
        <v>1104</v>
      </c>
      <c r="M569" s="24">
        <v>2600000</v>
      </c>
    </row>
    <row r="570" spans="1:13" s="5" customFormat="1" outlineLevel="2">
      <c r="A570" s="39" t="s">
        <v>239</v>
      </c>
      <c r="B570" s="40" t="s">
        <v>106</v>
      </c>
      <c r="C570" s="41" t="s">
        <v>339</v>
      </c>
      <c r="D570" s="40" t="s">
        <v>338</v>
      </c>
      <c r="E570" s="24">
        <v>1000000</v>
      </c>
      <c r="F570" s="39">
        <v>44292</v>
      </c>
      <c r="G570" s="24">
        <v>1000000</v>
      </c>
      <c r="H570" s="23">
        <v>5.0000000000000001E-3</v>
      </c>
      <c r="I570" s="39">
        <v>44378</v>
      </c>
      <c r="J570" s="39">
        <v>44408</v>
      </c>
      <c r="K570" s="24">
        <v>31</v>
      </c>
      <c r="L570" s="24">
        <v>425</v>
      </c>
      <c r="M570" s="24">
        <v>1000000</v>
      </c>
    </row>
    <row r="571" spans="1:13" s="5" customFormat="1" outlineLevel="2">
      <c r="A571" s="39" t="s">
        <v>239</v>
      </c>
      <c r="B571" s="40" t="s">
        <v>59</v>
      </c>
      <c r="C571" s="41" t="s">
        <v>240</v>
      </c>
      <c r="D571" s="40" t="s">
        <v>241</v>
      </c>
      <c r="E571" s="24">
        <v>6665394</v>
      </c>
      <c r="F571" s="39">
        <v>44029</v>
      </c>
      <c r="G571" s="24">
        <v>6665394</v>
      </c>
      <c r="H571" s="23">
        <v>5.0000000000000001E-3</v>
      </c>
      <c r="I571" s="39">
        <v>44378</v>
      </c>
      <c r="J571" s="39">
        <v>44408</v>
      </c>
      <c r="K571" s="24">
        <v>31</v>
      </c>
      <c r="L571" s="24">
        <v>2831</v>
      </c>
      <c r="M571" s="24">
        <v>6665394</v>
      </c>
    </row>
    <row r="572" spans="1:13" s="5" customFormat="1" outlineLevel="2">
      <c r="A572" s="39" t="s">
        <v>239</v>
      </c>
      <c r="B572" s="40" t="s">
        <v>136</v>
      </c>
      <c r="C572" s="41" t="s">
        <v>345</v>
      </c>
      <c r="D572" s="40" t="s">
        <v>344</v>
      </c>
      <c r="E572" s="24">
        <v>10000000</v>
      </c>
      <c r="F572" s="39">
        <v>44315</v>
      </c>
      <c r="G572" s="24">
        <v>10000000</v>
      </c>
      <c r="H572" s="23">
        <v>3.0000000000000001E-3</v>
      </c>
      <c r="I572" s="39">
        <v>44378</v>
      </c>
      <c r="J572" s="39">
        <v>44408</v>
      </c>
      <c r="K572" s="24">
        <v>31</v>
      </c>
      <c r="L572" s="24">
        <v>2548</v>
      </c>
      <c r="M572" s="24">
        <v>10000000</v>
      </c>
    </row>
    <row r="573" spans="1:13" s="5" customFormat="1" outlineLevel="2">
      <c r="A573" s="39" t="s">
        <v>239</v>
      </c>
      <c r="B573" s="40" t="s">
        <v>137</v>
      </c>
      <c r="C573" s="41" t="s">
        <v>244</v>
      </c>
      <c r="D573" s="40" t="s">
        <v>245</v>
      </c>
      <c r="E573" s="24">
        <v>67000000</v>
      </c>
      <c r="F573" s="39">
        <v>44321</v>
      </c>
      <c r="G573" s="24">
        <v>67000000</v>
      </c>
      <c r="H573" s="23">
        <v>5.0000000000000001E-3</v>
      </c>
      <c r="I573" s="39">
        <v>44378</v>
      </c>
      <c r="J573" s="39">
        <v>44408</v>
      </c>
      <c r="K573" s="24">
        <v>31</v>
      </c>
      <c r="L573" s="24">
        <v>28452</v>
      </c>
      <c r="M573" s="24">
        <v>67000000</v>
      </c>
    </row>
    <row r="574" spans="1:13" s="5" customFormat="1" outlineLevel="2">
      <c r="A574" s="39" t="s">
        <v>239</v>
      </c>
      <c r="B574" s="40" t="s">
        <v>138</v>
      </c>
      <c r="C574" s="41" t="s">
        <v>232</v>
      </c>
      <c r="D574" s="40" t="s">
        <v>233</v>
      </c>
      <c r="E574" s="24">
        <v>287705120</v>
      </c>
      <c r="F574" s="39">
        <v>44327</v>
      </c>
      <c r="G574" s="24">
        <v>287705120</v>
      </c>
      <c r="H574" s="23">
        <v>5.0000000000000001E-3</v>
      </c>
      <c r="I574" s="39">
        <v>44378</v>
      </c>
      <c r="J574" s="39">
        <v>44408</v>
      </c>
      <c r="K574" s="24">
        <v>31</v>
      </c>
      <c r="L574" s="24">
        <v>122176</v>
      </c>
      <c r="M574" s="24">
        <v>287705120</v>
      </c>
    </row>
    <row r="575" spans="1:13" s="5" customFormat="1" outlineLevel="2">
      <c r="A575" s="39" t="s">
        <v>239</v>
      </c>
      <c r="B575" s="40" t="s">
        <v>139</v>
      </c>
      <c r="C575" s="41" t="s">
        <v>367</v>
      </c>
      <c r="D575" s="40" t="s">
        <v>366</v>
      </c>
      <c r="E575" s="24">
        <v>14000000</v>
      </c>
      <c r="F575" s="39">
        <v>44336</v>
      </c>
      <c r="G575" s="24">
        <v>14000000</v>
      </c>
      <c r="H575" s="23">
        <v>5.0000000000000001E-3</v>
      </c>
      <c r="I575" s="39">
        <v>44378</v>
      </c>
      <c r="J575" s="39">
        <v>44408</v>
      </c>
      <c r="K575" s="24">
        <v>31</v>
      </c>
      <c r="L575" s="24">
        <v>5945</v>
      </c>
      <c r="M575" s="24">
        <v>14000000</v>
      </c>
    </row>
    <row r="576" spans="1:13" s="5" customFormat="1" outlineLevel="2">
      <c r="A576" s="39" t="s">
        <v>239</v>
      </c>
      <c r="B576" s="40" t="s">
        <v>140</v>
      </c>
      <c r="C576" s="41" t="s">
        <v>244</v>
      </c>
      <c r="D576" s="40" t="s">
        <v>245</v>
      </c>
      <c r="E576" s="24">
        <v>64000000</v>
      </c>
      <c r="F576" s="39">
        <v>44354</v>
      </c>
      <c r="G576" s="24">
        <v>64000000</v>
      </c>
      <c r="H576" s="23">
        <v>5.0000000000000001E-3</v>
      </c>
      <c r="I576" s="39">
        <v>44378</v>
      </c>
      <c r="J576" s="39">
        <v>44408</v>
      </c>
      <c r="K576" s="24">
        <v>31</v>
      </c>
      <c r="L576" s="24">
        <v>27178</v>
      </c>
      <c r="M576" s="24">
        <v>64000000</v>
      </c>
    </row>
    <row r="577" spans="1:13" s="5" customFormat="1" outlineLevel="2">
      <c r="A577" s="39" t="s">
        <v>239</v>
      </c>
      <c r="B577" s="40" t="s">
        <v>169</v>
      </c>
      <c r="C577" s="41" t="s">
        <v>250</v>
      </c>
      <c r="D577" s="40" t="s">
        <v>251</v>
      </c>
      <c r="E577" s="24">
        <v>33500000</v>
      </c>
      <c r="F577" s="39">
        <v>44362</v>
      </c>
      <c r="G577" s="24">
        <v>33500000</v>
      </c>
      <c r="H577" s="23">
        <v>5.0000000000000001E-3</v>
      </c>
      <c r="I577" s="39">
        <v>44378</v>
      </c>
      <c r="J577" s="39">
        <v>44391</v>
      </c>
      <c r="K577" s="24">
        <v>14</v>
      </c>
      <c r="L577" s="24">
        <v>6425</v>
      </c>
      <c r="M577" s="24">
        <v>32890909</v>
      </c>
    </row>
    <row r="578" spans="1:13" s="5" customFormat="1" outlineLevel="2">
      <c r="A578" s="39" t="s">
        <v>239</v>
      </c>
      <c r="B578" s="40" t="s">
        <v>169</v>
      </c>
      <c r="C578" s="41" t="s">
        <v>250</v>
      </c>
      <c r="D578" s="40"/>
      <c r="E578" s="24"/>
      <c r="F578" s="39"/>
      <c r="G578" s="24">
        <v>32890909</v>
      </c>
      <c r="H578" s="23">
        <v>5.0000000000000001E-3</v>
      </c>
      <c r="I578" s="39">
        <v>44392</v>
      </c>
      <c r="J578" s="39">
        <v>44408</v>
      </c>
      <c r="K578" s="24">
        <v>17</v>
      </c>
      <c r="L578" s="24">
        <v>7660</v>
      </c>
      <c r="M578" s="24"/>
    </row>
    <row r="579" spans="1:13" s="5" customFormat="1" outlineLevel="2">
      <c r="A579" s="39" t="s">
        <v>239</v>
      </c>
      <c r="B579" s="40" t="s">
        <v>170</v>
      </c>
      <c r="C579" s="41" t="s">
        <v>250</v>
      </c>
      <c r="D579" s="40" t="s">
        <v>251</v>
      </c>
      <c r="E579" s="24">
        <v>7400000</v>
      </c>
      <c r="F579" s="39">
        <v>44362</v>
      </c>
      <c r="G579" s="24">
        <v>7400000</v>
      </c>
      <c r="H579" s="23">
        <v>5.0000000000000001E-3</v>
      </c>
      <c r="I579" s="39">
        <v>44378</v>
      </c>
      <c r="J579" s="39">
        <v>44391</v>
      </c>
      <c r="K579" s="24">
        <v>14</v>
      </c>
      <c r="L579" s="24">
        <v>1419</v>
      </c>
      <c r="M579" s="24">
        <v>7265454</v>
      </c>
    </row>
    <row r="580" spans="1:13" s="5" customFormat="1" outlineLevel="2">
      <c r="A580" s="39" t="s">
        <v>239</v>
      </c>
      <c r="B580" s="40" t="s">
        <v>170</v>
      </c>
      <c r="C580" s="41" t="s">
        <v>250</v>
      </c>
      <c r="D580" s="40"/>
      <c r="E580" s="24"/>
      <c r="F580" s="39"/>
      <c r="G580" s="24">
        <v>7265454</v>
      </c>
      <c r="H580" s="23">
        <v>5.0000000000000001E-3</v>
      </c>
      <c r="I580" s="39">
        <v>44392</v>
      </c>
      <c r="J580" s="39">
        <v>44408</v>
      </c>
      <c r="K580" s="24">
        <v>17</v>
      </c>
      <c r="L580" s="24">
        <v>1692</v>
      </c>
      <c r="M580" s="24"/>
    </row>
    <row r="581" spans="1:13" s="5" customFormat="1" outlineLevel="2">
      <c r="A581" s="39" t="s">
        <v>239</v>
      </c>
      <c r="B581" s="40" t="s">
        <v>171</v>
      </c>
      <c r="C581" s="41" t="s">
        <v>66</v>
      </c>
      <c r="D581" s="40" t="s">
        <v>67</v>
      </c>
      <c r="E581" s="24">
        <v>35910000</v>
      </c>
      <c r="F581" s="39">
        <v>44400</v>
      </c>
      <c r="G581" s="24">
        <v>35910000</v>
      </c>
      <c r="H581" s="23">
        <v>5.0000000000000001E-3</v>
      </c>
      <c r="I581" s="39">
        <v>44400</v>
      </c>
      <c r="J581" s="39">
        <v>44408</v>
      </c>
      <c r="K581" s="24">
        <v>9</v>
      </c>
      <c r="L581" s="24">
        <v>4427</v>
      </c>
      <c r="M581" s="24">
        <v>35910000</v>
      </c>
    </row>
    <row r="582" spans="1:13" s="5" customFormat="1" outlineLevel="2">
      <c r="A582" s="39" t="s">
        <v>239</v>
      </c>
      <c r="B582" s="40" t="s">
        <v>172</v>
      </c>
      <c r="C582" s="41" t="s">
        <v>367</v>
      </c>
      <c r="D582" s="40" t="s">
        <v>366</v>
      </c>
      <c r="E582" s="24">
        <v>6552000</v>
      </c>
      <c r="F582" s="39">
        <v>44386</v>
      </c>
      <c r="G582" s="24">
        <v>6552000</v>
      </c>
      <c r="H582" s="23">
        <v>5.0000000000000001E-3</v>
      </c>
      <c r="I582" s="39">
        <v>44386</v>
      </c>
      <c r="J582" s="39">
        <v>44408</v>
      </c>
      <c r="K582" s="24">
        <v>23</v>
      </c>
      <c r="L582" s="24">
        <v>2064</v>
      </c>
      <c r="M582" s="24">
        <v>6552000</v>
      </c>
    </row>
    <row r="583" spans="1:13" s="5" customFormat="1" outlineLevel="2">
      <c r="A583" s="39" t="s">
        <v>239</v>
      </c>
      <c r="B583" s="40" t="s">
        <v>173</v>
      </c>
      <c r="C583" s="41" t="s">
        <v>367</v>
      </c>
      <c r="D583" s="40" t="s">
        <v>366</v>
      </c>
      <c r="E583" s="24">
        <v>7062000</v>
      </c>
      <c r="F583" s="39">
        <v>44405</v>
      </c>
      <c r="G583" s="24">
        <v>7062000</v>
      </c>
      <c r="H583" s="23">
        <v>5.0000000000000001E-3</v>
      </c>
      <c r="I583" s="39">
        <v>44405</v>
      </c>
      <c r="J583" s="39">
        <v>44408</v>
      </c>
      <c r="K583" s="24">
        <v>4</v>
      </c>
      <c r="L583" s="24">
        <v>387</v>
      </c>
      <c r="M583" s="24">
        <v>7062000</v>
      </c>
    </row>
    <row r="584" spans="1:13" s="5" customFormat="1" outlineLevel="2">
      <c r="A584" s="39" t="s">
        <v>239</v>
      </c>
      <c r="B584" s="40" t="s">
        <v>62</v>
      </c>
      <c r="C584" s="41" t="s">
        <v>240</v>
      </c>
      <c r="D584" s="40" t="s">
        <v>241</v>
      </c>
      <c r="E584" s="24">
        <v>12334606</v>
      </c>
      <c r="F584" s="39">
        <v>44029</v>
      </c>
      <c r="G584" s="24">
        <v>12334606</v>
      </c>
      <c r="H584" s="23">
        <v>5.0000000000000001E-3</v>
      </c>
      <c r="I584" s="39">
        <v>44378</v>
      </c>
      <c r="J584" s="39">
        <v>44408</v>
      </c>
      <c r="K584" s="24">
        <v>31</v>
      </c>
      <c r="L584" s="24">
        <v>5238</v>
      </c>
      <c r="M584" s="24">
        <v>12334606</v>
      </c>
    </row>
    <row r="585" spans="1:13" s="5" customFormat="1" outlineLevel="2">
      <c r="A585" s="39" t="s">
        <v>239</v>
      </c>
      <c r="B585" s="40" t="s">
        <v>63</v>
      </c>
      <c r="C585" s="41" t="s">
        <v>252</v>
      </c>
      <c r="D585" s="40" t="s">
        <v>253</v>
      </c>
      <c r="E585" s="24">
        <v>131500000</v>
      </c>
      <c r="F585" s="39">
        <v>44089</v>
      </c>
      <c r="G585" s="24">
        <v>131500000</v>
      </c>
      <c r="H585" s="23">
        <v>5.0000000000000001E-3</v>
      </c>
      <c r="I585" s="39">
        <v>44378</v>
      </c>
      <c r="J585" s="39">
        <v>44408</v>
      </c>
      <c r="K585" s="24">
        <v>31</v>
      </c>
      <c r="L585" s="24">
        <v>55842</v>
      </c>
      <c r="M585" s="24">
        <v>131500000</v>
      </c>
    </row>
    <row r="586" spans="1:13" s="5" customFormat="1" outlineLevel="2">
      <c r="A586" s="39" t="s">
        <v>239</v>
      </c>
      <c r="B586" s="40" t="s">
        <v>64</v>
      </c>
      <c r="C586" s="41" t="s">
        <v>109</v>
      </c>
      <c r="D586" s="40" t="s">
        <v>110</v>
      </c>
      <c r="E586" s="24">
        <v>10400000</v>
      </c>
      <c r="F586" s="39">
        <v>44096</v>
      </c>
      <c r="G586" s="24">
        <v>10400000</v>
      </c>
      <c r="H586" s="23">
        <v>5.0000000000000001E-3</v>
      </c>
      <c r="I586" s="39">
        <v>44378</v>
      </c>
      <c r="J586" s="39">
        <v>44408</v>
      </c>
      <c r="K586" s="24">
        <v>31</v>
      </c>
      <c r="L586" s="24">
        <v>4416</v>
      </c>
      <c r="M586" s="24">
        <v>10400000</v>
      </c>
    </row>
    <row r="587" spans="1:13" s="5" customFormat="1" outlineLevel="2">
      <c r="A587" s="39" t="s">
        <v>239</v>
      </c>
      <c r="B587" s="40" t="s">
        <v>65</v>
      </c>
      <c r="C587" s="41" t="s">
        <v>242</v>
      </c>
      <c r="D587" s="40" t="s">
        <v>243</v>
      </c>
      <c r="E587" s="24">
        <v>10000000</v>
      </c>
      <c r="F587" s="39">
        <v>44139</v>
      </c>
      <c r="G587" s="24">
        <v>10000000</v>
      </c>
      <c r="H587" s="23">
        <v>5.0000000000000001E-3</v>
      </c>
      <c r="I587" s="39">
        <v>44378</v>
      </c>
      <c r="J587" s="39">
        <v>44408</v>
      </c>
      <c r="K587" s="24">
        <v>31</v>
      </c>
      <c r="L587" s="24">
        <v>4247</v>
      </c>
      <c r="M587" s="24">
        <v>10000000</v>
      </c>
    </row>
    <row r="588" spans="1:13" s="5" customFormat="1" outlineLevel="2">
      <c r="A588" s="39" t="s">
        <v>239</v>
      </c>
      <c r="B588" s="40" t="s">
        <v>68</v>
      </c>
      <c r="C588" s="41" t="s">
        <v>242</v>
      </c>
      <c r="D588" s="40" t="s">
        <v>243</v>
      </c>
      <c r="E588" s="24">
        <v>10000000</v>
      </c>
      <c r="F588" s="39">
        <v>44152</v>
      </c>
      <c r="G588" s="24">
        <v>10000000</v>
      </c>
      <c r="H588" s="23">
        <v>5.0000000000000001E-3</v>
      </c>
      <c r="I588" s="39">
        <v>44378</v>
      </c>
      <c r="J588" s="39">
        <v>44408</v>
      </c>
      <c r="K588" s="24">
        <v>31</v>
      </c>
      <c r="L588" s="24">
        <v>4247</v>
      </c>
      <c r="M588" s="24">
        <v>10000000</v>
      </c>
    </row>
    <row r="589" spans="1:13" s="5" customFormat="1" outlineLevel="1">
      <c r="A589" s="42" t="s">
        <v>254</v>
      </c>
      <c r="B589" s="43"/>
      <c r="C589" s="44"/>
      <c r="D589" s="43"/>
      <c r="E589" s="45">
        <v>1722358120</v>
      </c>
      <c r="F589" s="46"/>
      <c r="G589" s="45"/>
      <c r="H589" s="47"/>
      <c r="I589" s="46"/>
      <c r="J589" s="46"/>
      <c r="K589" s="45"/>
      <c r="L589" s="45">
        <v>712187</v>
      </c>
      <c r="M589" s="45">
        <v>1713869483</v>
      </c>
    </row>
    <row r="590" spans="1:13" s="5" customFormat="1" outlineLevel="2">
      <c r="A590" s="39" t="s">
        <v>255</v>
      </c>
      <c r="B590" s="40" t="s">
        <v>16</v>
      </c>
      <c r="C590" s="41" t="s">
        <v>20</v>
      </c>
      <c r="D590" s="40" t="s">
        <v>21</v>
      </c>
      <c r="E590" s="24">
        <v>330000000</v>
      </c>
      <c r="F590" s="39">
        <v>43915</v>
      </c>
      <c r="G590" s="24">
        <v>330000000</v>
      </c>
      <c r="H590" s="23">
        <v>5.0000000000000001E-3</v>
      </c>
      <c r="I590" s="39">
        <v>44378</v>
      </c>
      <c r="J590" s="39">
        <v>44408</v>
      </c>
      <c r="K590" s="24">
        <v>31</v>
      </c>
      <c r="L590" s="24">
        <v>140137</v>
      </c>
      <c r="M590" s="24">
        <v>330000000</v>
      </c>
    </row>
    <row r="591" spans="1:13" s="5" customFormat="1" outlineLevel="2">
      <c r="A591" s="39" t="s">
        <v>255</v>
      </c>
      <c r="B591" s="40" t="s">
        <v>39</v>
      </c>
      <c r="C591" s="41" t="s">
        <v>20</v>
      </c>
      <c r="D591" s="40" t="s">
        <v>21</v>
      </c>
      <c r="E591" s="24">
        <v>93600000</v>
      </c>
      <c r="F591" s="39">
        <v>43955</v>
      </c>
      <c r="G591" s="24">
        <v>93600000</v>
      </c>
      <c r="H591" s="23">
        <v>5.0000000000000001E-3</v>
      </c>
      <c r="I591" s="39">
        <v>44378</v>
      </c>
      <c r="J591" s="39">
        <v>44408</v>
      </c>
      <c r="K591" s="24">
        <v>31</v>
      </c>
      <c r="L591" s="24">
        <v>39748</v>
      </c>
      <c r="M591" s="24">
        <v>93600000</v>
      </c>
    </row>
    <row r="592" spans="1:13" s="5" customFormat="1" outlineLevel="2">
      <c r="A592" s="39" t="s">
        <v>255</v>
      </c>
      <c r="B592" s="40" t="s">
        <v>54</v>
      </c>
      <c r="C592" s="41" t="s">
        <v>20</v>
      </c>
      <c r="D592" s="40" t="s">
        <v>21</v>
      </c>
      <c r="E592" s="24">
        <v>576400000</v>
      </c>
      <c r="F592" s="39">
        <v>44013</v>
      </c>
      <c r="G592" s="24">
        <v>576400000</v>
      </c>
      <c r="H592" s="23">
        <v>5.0000000000000001E-3</v>
      </c>
      <c r="I592" s="39">
        <v>44378</v>
      </c>
      <c r="J592" s="39">
        <v>44408</v>
      </c>
      <c r="K592" s="24">
        <v>31</v>
      </c>
      <c r="L592" s="24">
        <v>244773</v>
      </c>
      <c r="M592" s="24">
        <v>576400000</v>
      </c>
    </row>
    <row r="593" spans="1:13" s="5" customFormat="1" outlineLevel="1">
      <c r="A593" s="42" t="s">
        <v>256</v>
      </c>
      <c r="B593" s="43"/>
      <c r="C593" s="44"/>
      <c r="D593" s="43"/>
      <c r="E593" s="45">
        <v>1000000000</v>
      </c>
      <c r="F593" s="46"/>
      <c r="G593" s="45"/>
      <c r="H593" s="47"/>
      <c r="I593" s="46"/>
      <c r="J593" s="46"/>
      <c r="K593" s="45"/>
      <c r="L593" s="45">
        <v>424658</v>
      </c>
      <c r="M593" s="45">
        <v>1000000000</v>
      </c>
    </row>
    <row r="594" spans="1:13" s="5" customFormat="1" outlineLevel="2">
      <c r="A594" s="39" t="s">
        <v>257</v>
      </c>
      <c r="B594" s="40" t="s">
        <v>16</v>
      </c>
      <c r="C594" s="41" t="s">
        <v>262</v>
      </c>
      <c r="D594" s="40" t="s">
        <v>259</v>
      </c>
      <c r="E594" s="24">
        <v>3400000</v>
      </c>
      <c r="F594" s="39">
        <v>43927</v>
      </c>
      <c r="G594" s="24">
        <v>3400000</v>
      </c>
      <c r="H594" s="23">
        <v>5.0000000000000001E-3</v>
      </c>
      <c r="I594" s="39">
        <v>44378</v>
      </c>
      <c r="J594" s="39">
        <v>44408</v>
      </c>
      <c r="K594" s="24">
        <v>31</v>
      </c>
      <c r="L594" s="24">
        <v>1444</v>
      </c>
      <c r="M594" s="24">
        <v>3400000</v>
      </c>
    </row>
    <row r="595" spans="1:13" s="5" customFormat="1" outlineLevel="2">
      <c r="A595" s="39" t="s">
        <v>257</v>
      </c>
      <c r="B595" s="40" t="s">
        <v>19</v>
      </c>
      <c r="C595" s="41" t="s">
        <v>260</v>
      </c>
      <c r="D595" s="40" t="s">
        <v>261</v>
      </c>
      <c r="E595" s="24">
        <v>620000</v>
      </c>
      <c r="F595" s="39">
        <v>44148</v>
      </c>
      <c r="G595" s="24">
        <v>500000</v>
      </c>
      <c r="H595" s="23">
        <v>5.0000000000000001E-3</v>
      </c>
      <c r="I595" s="39">
        <v>44378</v>
      </c>
      <c r="J595" s="39">
        <v>44391</v>
      </c>
      <c r="K595" s="24">
        <v>14</v>
      </c>
      <c r="L595" s="24">
        <v>96</v>
      </c>
      <c r="M595" s="24">
        <v>490000</v>
      </c>
    </row>
    <row r="596" spans="1:13" s="5" customFormat="1" outlineLevel="2">
      <c r="A596" s="39" t="s">
        <v>257</v>
      </c>
      <c r="B596" s="40" t="s">
        <v>19</v>
      </c>
      <c r="C596" s="41" t="s">
        <v>260</v>
      </c>
      <c r="D596" s="40"/>
      <c r="E596" s="24"/>
      <c r="F596" s="39"/>
      <c r="G596" s="24">
        <v>490000</v>
      </c>
      <c r="H596" s="23">
        <v>5.0000000000000001E-3</v>
      </c>
      <c r="I596" s="39">
        <v>44392</v>
      </c>
      <c r="J596" s="39">
        <v>44408</v>
      </c>
      <c r="K596" s="24">
        <v>17</v>
      </c>
      <c r="L596" s="24">
        <v>114</v>
      </c>
      <c r="M596" s="24"/>
    </row>
    <row r="597" spans="1:13" s="5" customFormat="1" outlineLevel="2">
      <c r="A597" s="39" t="s">
        <v>257</v>
      </c>
      <c r="B597" s="40" t="s">
        <v>22</v>
      </c>
      <c r="C597" s="41" t="s">
        <v>260</v>
      </c>
      <c r="D597" s="40" t="s">
        <v>261</v>
      </c>
      <c r="E597" s="24">
        <v>3910000</v>
      </c>
      <c r="F597" s="39">
        <v>44165</v>
      </c>
      <c r="G597" s="24">
        <v>3400000</v>
      </c>
      <c r="H597" s="23">
        <v>5.0000000000000001E-3</v>
      </c>
      <c r="I597" s="39">
        <v>44378</v>
      </c>
      <c r="J597" s="39">
        <v>44391</v>
      </c>
      <c r="K597" s="24">
        <v>14</v>
      </c>
      <c r="L597" s="24">
        <v>652</v>
      </c>
      <c r="M597" s="24">
        <v>3332000</v>
      </c>
    </row>
    <row r="598" spans="1:13" s="5" customFormat="1" outlineLevel="2">
      <c r="A598" s="39" t="s">
        <v>257</v>
      </c>
      <c r="B598" s="40" t="s">
        <v>22</v>
      </c>
      <c r="C598" s="41" t="s">
        <v>260</v>
      </c>
      <c r="D598" s="40"/>
      <c r="E598" s="24"/>
      <c r="F598" s="39"/>
      <c r="G598" s="24">
        <v>3332000</v>
      </c>
      <c r="H598" s="23">
        <v>5.0000000000000001E-3</v>
      </c>
      <c r="I598" s="39">
        <v>44392</v>
      </c>
      <c r="J598" s="39">
        <v>44408</v>
      </c>
      <c r="K598" s="24">
        <v>17</v>
      </c>
      <c r="L598" s="24">
        <v>776</v>
      </c>
      <c r="M598" s="24"/>
    </row>
    <row r="599" spans="1:13" s="5" customFormat="1" outlineLevel="2">
      <c r="A599" s="39" t="s">
        <v>257</v>
      </c>
      <c r="B599" s="40" t="s">
        <v>25</v>
      </c>
      <c r="C599" s="41" t="s">
        <v>260</v>
      </c>
      <c r="D599" s="40" t="s">
        <v>261</v>
      </c>
      <c r="E599" s="24">
        <v>4030000</v>
      </c>
      <c r="F599" s="39">
        <v>44165</v>
      </c>
      <c r="G599" s="24">
        <v>3500000</v>
      </c>
      <c r="H599" s="23">
        <v>5.0000000000000001E-3</v>
      </c>
      <c r="I599" s="39">
        <v>44378</v>
      </c>
      <c r="J599" s="39">
        <v>44391</v>
      </c>
      <c r="K599" s="24">
        <v>14</v>
      </c>
      <c r="L599" s="24">
        <v>671</v>
      </c>
      <c r="M599" s="24">
        <v>3430000</v>
      </c>
    </row>
    <row r="600" spans="1:13" s="5" customFormat="1" outlineLevel="2">
      <c r="A600" s="39" t="s">
        <v>257</v>
      </c>
      <c r="B600" s="40" t="s">
        <v>25</v>
      </c>
      <c r="C600" s="41" t="s">
        <v>260</v>
      </c>
      <c r="D600" s="40"/>
      <c r="E600" s="24"/>
      <c r="F600" s="39"/>
      <c r="G600" s="24">
        <v>3430000</v>
      </c>
      <c r="H600" s="23">
        <v>5.0000000000000001E-3</v>
      </c>
      <c r="I600" s="39">
        <v>44392</v>
      </c>
      <c r="J600" s="39">
        <v>44408</v>
      </c>
      <c r="K600" s="24">
        <v>17</v>
      </c>
      <c r="L600" s="24">
        <v>799</v>
      </c>
      <c r="M600" s="24"/>
    </row>
    <row r="601" spans="1:13" s="5" customFormat="1" outlineLevel="2">
      <c r="A601" s="39" t="s">
        <v>257</v>
      </c>
      <c r="B601" s="40" t="s">
        <v>26</v>
      </c>
      <c r="C601" s="41" t="s">
        <v>260</v>
      </c>
      <c r="D601" s="40" t="s">
        <v>261</v>
      </c>
      <c r="E601" s="24">
        <v>570000</v>
      </c>
      <c r="F601" s="39">
        <v>44155</v>
      </c>
      <c r="G601" s="24">
        <v>570000</v>
      </c>
      <c r="H601" s="23">
        <v>5.0000000000000001E-3</v>
      </c>
      <c r="I601" s="39">
        <v>44378</v>
      </c>
      <c r="J601" s="39">
        <v>44408</v>
      </c>
      <c r="K601" s="24">
        <v>31</v>
      </c>
      <c r="L601" s="24">
        <v>242</v>
      </c>
      <c r="M601" s="24">
        <v>570000</v>
      </c>
    </row>
    <row r="602" spans="1:13" s="5" customFormat="1" outlineLevel="2">
      <c r="A602" s="39" t="s">
        <v>257</v>
      </c>
      <c r="B602" s="40" t="s">
        <v>29</v>
      </c>
      <c r="C602" s="41" t="s">
        <v>260</v>
      </c>
      <c r="D602" s="40" t="s">
        <v>261</v>
      </c>
      <c r="E602" s="24">
        <v>6000000</v>
      </c>
      <c r="F602" s="39">
        <v>44155</v>
      </c>
      <c r="G602" s="24">
        <v>6000000</v>
      </c>
      <c r="H602" s="23">
        <v>5.0000000000000001E-3</v>
      </c>
      <c r="I602" s="39">
        <v>44378</v>
      </c>
      <c r="J602" s="39">
        <v>44408</v>
      </c>
      <c r="K602" s="24">
        <v>31</v>
      </c>
      <c r="L602" s="24">
        <v>2548</v>
      </c>
      <c r="M602" s="24">
        <v>6000000</v>
      </c>
    </row>
    <row r="603" spans="1:13" s="5" customFormat="1" outlineLevel="2">
      <c r="A603" s="39" t="s">
        <v>257</v>
      </c>
      <c r="B603" s="40" t="s">
        <v>32</v>
      </c>
      <c r="C603" s="41" t="s">
        <v>260</v>
      </c>
      <c r="D603" s="40" t="s">
        <v>261</v>
      </c>
      <c r="E603" s="24">
        <v>270000</v>
      </c>
      <c r="F603" s="39">
        <v>44181</v>
      </c>
      <c r="G603" s="24">
        <v>200000</v>
      </c>
      <c r="H603" s="23">
        <v>5.0000000000000001E-3</v>
      </c>
      <c r="I603" s="39">
        <v>44378</v>
      </c>
      <c r="J603" s="39">
        <v>44391</v>
      </c>
      <c r="K603" s="24">
        <v>14</v>
      </c>
      <c r="L603" s="24">
        <v>38</v>
      </c>
      <c r="M603" s="24">
        <v>196000</v>
      </c>
    </row>
    <row r="604" spans="1:13" s="5" customFormat="1" outlineLevel="2">
      <c r="A604" s="39" t="s">
        <v>257</v>
      </c>
      <c r="B604" s="40" t="s">
        <v>32</v>
      </c>
      <c r="C604" s="41" t="s">
        <v>260</v>
      </c>
      <c r="D604" s="40"/>
      <c r="E604" s="24"/>
      <c r="F604" s="39"/>
      <c r="G604" s="24">
        <v>196000</v>
      </c>
      <c r="H604" s="23">
        <v>5.0000000000000001E-3</v>
      </c>
      <c r="I604" s="39">
        <v>44392</v>
      </c>
      <c r="J604" s="39">
        <v>44408</v>
      </c>
      <c r="K604" s="24">
        <v>17</v>
      </c>
      <c r="L604" s="24">
        <v>46</v>
      </c>
      <c r="M604" s="24"/>
    </row>
    <row r="605" spans="1:13" s="5" customFormat="1" outlineLevel="2">
      <c r="A605" s="39" t="s">
        <v>257</v>
      </c>
      <c r="B605" s="40" t="s">
        <v>33</v>
      </c>
      <c r="C605" s="41" t="s">
        <v>260</v>
      </c>
      <c r="D605" s="40" t="s">
        <v>261</v>
      </c>
      <c r="E605" s="24">
        <v>2400000</v>
      </c>
      <c r="F605" s="39">
        <v>44181</v>
      </c>
      <c r="G605" s="24">
        <v>2400000</v>
      </c>
      <c r="H605" s="23">
        <v>5.0000000000000001E-3</v>
      </c>
      <c r="I605" s="39">
        <v>44378</v>
      </c>
      <c r="J605" s="39">
        <v>44408</v>
      </c>
      <c r="K605" s="24">
        <v>31</v>
      </c>
      <c r="L605" s="24">
        <v>1019</v>
      </c>
      <c r="M605" s="24">
        <v>2400000</v>
      </c>
    </row>
    <row r="606" spans="1:13" s="5" customFormat="1" outlineLevel="2">
      <c r="A606" s="39" t="s">
        <v>257</v>
      </c>
      <c r="B606" s="40" t="s">
        <v>34</v>
      </c>
      <c r="C606" s="41" t="s">
        <v>260</v>
      </c>
      <c r="D606" s="40" t="s">
        <v>261</v>
      </c>
      <c r="E606" s="24">
        <v>11000000</v>
      </c>
      <c r="F606" s="39">
        <v>44181</v>
      </c>
      <c r="G606" s="24">
        <v>11000000</v>
      </c>
      <c r="H606" s="23">
        <v>5.0000000000000001E-3</v>
      </c>
      <c r="I606" s="39">
        <v>44378</v>
      </c>
      <c r="J606" s="39">
        <v>44408</v>
      </c>
      <c r="K606" s="24">
        <v>31</v>
      </c>
      <c r="L606" s="24">
        <v>4671</v>
      </c>
      <c r="M606" s="24">
        <v>11000000</v>
      </c>
    </row>
    <row r="607" spans="1:13" s="5" customFormat="1" outlineLevel="2">
      <c r="A607" s="39" t="s">
        <v>257</v>
      </c>
      <c r="B607" s="40" t="s">
        <v>35</v>
      </c>
      <c r="C607" s="41" t="s">
        <v>260</v>
      </c>
      <c r="D607" s="40" t="s">
        <v>261</v>
      </c>
      <c r="E607" s="24">
        <v>220000</v>
      </c>
      <c r="F607" s="39">
        <v>44215</v>
      </c>
      <c r="G607" s="24">
        <v>200000</v>
      </c>
      <c r="H607" s="23">
        <v>5.0000000000000001E-3</v>
      </c>
      <c r="I607" s="39">
        <v>44378</v>
      </c>
      <c r="J607" s="39">
        <v>44391</v>
      </c>
      <c r="K607" s="24">
        <v>14</v>
      </c>
      <c r="L607" s="24">
        <v>38</v>
      </c>
      <c r="M607" s="24">
        <v>196000</v>
      </c>
    </row>
    <row r="608" spans="1:13" s="5" customFormat="1" outlineLevel="2">
      <c r="A608" s="39" t="s">
        <v>257</v>
      </c>
      <c r="B608" s="40" t="s">
        <v>35</v>
      </c>
      <c r="C608" s="41" t="s">
        <v>260</v>
      </c>
      <c r="D608" s="40"/>
      <c r="E608" s="24"/>
      <c r="F608" s="39"/>
      <c r="G608" s="24">
        <v>196000</v>
      </c>
      <c r="H608" s="23">
        <v>5.0000000000000001E-3</v>
      </c>
      <c r="I608" s="39">
        <v>44392</v>
      </c>
      <c r="J608" s="39">
        <v>44408</v>
      </c>
      <c r="K608" s="24">
        <v>17</v>
      </c>
      <c r="L608" s="24">
        <v>46</v>
      </c>
      <c r="M608" s="24"/>
    </row>
    <row r="609" spans="1:13" s="5" customFormat="1" outlineLevel="2">
      <c r="A609" s="39" t="s">
        <v>257</v>
      </c>
      <c r="B609" s="40" t="s">
        <v>36</v>
      </c>
      <c r="C609" s="41" t="s">
        <v>260</v>
      </c>
      <c r="D609" s="40" t="s">
        <v>261</v>
      </c>
      <c r="E609" s="24">
        <v>1000000</v>
      </c>
      <c r="F609" s="39">
        <v>44215</v>
      </c>
      <c r="G609" s="24">
        <v>900000</v>
      </c>
      <c r="H609" s="23">
        <v>5.0000000000000001E-3</v>
      </c>
      <c r="I609" s="39">
        <v>44378</v>
      </c>
      <c r="J609" s="39">
        <v>44391</v>
      </c>
      <c r="K609" s="24">
        <v>14</v>
      </c>
      <c r="L609" s="24">
        <v>173</v>
      </c>
      <c r="M609" s="24">
        <v>882000</v>
      </c>
    </row>
    <row r="610" spans="1:13" s="5" customFormat="1" outlineLevel="2">
      <c r="A610" s="39" t="s">
        <v>257</v>
      </c>
      <c r="B610" s="40" t="s">
        <v>36</v>
      </c>
      <c r="C610" s="41" t="s">
        <v>260</v>
      </c>
      <c r="D610" s="40"/>
      <c r="E610" s="24"/>
      <c r="F610" s="39"/>
      <c r="G610" s="24">
        <v>882000</v>
      </c>
      <c r="H610" s="23">
        <v>5.0000000000000001E-3</v>
      </c>
      <c r="I610" s="39">
        <v>44392</v>
      </c>
      <c r="J610" s="39">
        <v>44408</v>
      </c>
      <c r="K610" s="24">
        <v>17</v>
      </c>
      <c r="L610" s="24">
        <v>205</v>
      </c>
      <c r="M610" s="24"/>
    </row>
    <row r="611" spans="1:13" s="5" customFormat="1" outlineLevel="2">
      <c r="A611" s="39" t="s">
        <v>257</v>
      </c>
      <c r="B611" s="40" t="s">
        <v>39</v>
      </c>
      <c r="C611" s="41" t="s">
        <v>262</v>
      </c>
      <c r="D611" s="40" t="s">
        <v>259</v>
      </c>
      <c r="E611" s="24">
        <v>70440000</v>
      </c>
      <c r="F611" s="39">
        <v>43951</v>
      </c>
      <c r="G611" s="24">
        <v>70440000</v>
      </c>
      <c r="H611" s="23">
        <v>5.0000000000000001E-3</v>
      </c>
      <c r="I611" s="39">
        <v>44378</v>
      </c>
      <c r="J611" s="39">
        <v>44408</v>
      </c>
      <c r="K611" s="24">
        <v>31</v>
      </c>
      <c r="L611" s="24">
        <v>29913</v>
      </c>
      <c r="M611" s="24">
        <v>70440000</v>
      </c>
    </row>
    <row r="612" spans="1:13" s="5" customFormat="1" outlineLevel="2">
      <c r="A612" s="39" t="s">
        <v>257</v>
      </c>
      <c r="B612" s="40" t="s">
        <v>40</v>
      </c>
      <c r="C612" s="41" t="s">
        <v>262</v>
      </c>
      <c r="D612" s="40" t="s">
        <v>259</v>
      </c>
      <c r="E612" s="24">
        <v>54250000</v>
      </c>
      <c r="F612" s="39">
        <v>44228</v>
      </c>
      <c r="G612" s="24">
        <v>54250000</v>
      </c>
      <c r="H612" s="23">
        <v>5.0000000000000001E-3</v>
      </c>
      <c r="I612" s="39">
        <v>44378</v>
      </c>
      <c r="J612" s="39">
        <v>44408</v>
      </c>
      <c r="K612" s="24">
        <v>31</v>
      </c>
      <c r="L612" s="24">
        <v>23038</v>
      </c>
      <c r="M612" s="24">
        <v>54250000</v>
      </c>
    </row>
    <row r="613" spans="1:13" s="5" customFormat="1" outlineLevel="2">
      <c r="A613" s="39" t="s">
        <v>257</v>
      </c>
      <c r="B613" s="40" t="s">
        <v>41</v>
      </c>
      <c r="C613" s="41" t="s">
        <v>304</v>
      </c>
      <c r="D613" s="40" t="s">
        <v>303</v>
      </c>
      <c r="E613" s="24">
        <v>40000000</v>
      </c>
      <c r="F613" s="39">
        <v>44229</v>
      </c>
      <c r="G613" s="24">
        <v>40000000</v>
      </c>
      <c r="H613" s="23">
        <v>5.0000000000000001E-3</v>
      </c>
      <c r="I613" s="39">
        <v>44378</v>
      </c>
      <c r="J613" s="39">
        <v>44408</v>
      </c>
      <c r="K613" s="24">
        <v>31</v>
      </c>
      <c r="L613" s="24">
        <v>16986</v>
      </c>
      <c r="M613" s="24">
        <v>40000000</v>
      </c>
    </row>
    <row r="614" spans="1:13" s="5" customFormat="1" outlineLevel="2">
      <c r="A614" s="39" t="s">
        <v>257</v>
      </c>
      <c r="B614" s="40" t="s">
        <v>42</v>
      </c>
      <c r="C614" s="41" t="s">
        <v>304</v>
      </c>
      <c r="D614" s="40" t="s">
        <v>303</v>
      </c>
      <c r="E614" s="24">
        <v>38000000</v>
      </c>
      <c r="F614" s="39">
        <v>44245</v>
      </c>
      <c r="G614" s="24">
        <v>38000000</v>
      </c>
      <c r="H614" s="23">
        <v>5.0000000000000001E-3</v>
      </c>
      <c r="I614" s="39">
        <v>44378</v>
      </c>
      <c r="J614" s="39">
        <v>44408</v>
      </c>
      <c r="K614" s="24">
        <v>31</v>
      </c>
      <c r="L614" s="24">
        <v>16137</v>
      </c>
      <c r="M614" s="24">
        <v>38000000</v>
      </c>
    </row>
    <row r="615" spans="1:13" s="5" customFormat="1" outlineLevel="2">
      <c r="A615" s="39" t="s">
        <v>257</v>
      </c>
      <c r="B615" s="40" t="s">
        <v>43</v>
      </c>
      <c r="C615" s="41" t="s">
        <v>89</v>
      </c>
      <c r="D615" s="40" t="s">
        <v>90</v>
      </c>
      <c r="E615" s="24">
        <v>66000000</v>
      </c>
      <c r="F615" s="39">
        <v>44270</v>
      </c>
      <c r="G615" s="24">
        <v>66000000</v>
      </c>
      <c r="H615" s="23">
        <v>5.0000000000000001E-3</v>
      </c>
      <c r="I615" s="39">
        <v>44378</v>
      </c>
      <c r="J615" s="39">
        <v>44408</v>
      </c>
      <c r="K615" s="24">
        <v>31</v>
      </c>
      <c r="L615" s="24">
        <v>28027</v>
      </c>
      <c r="M615" s="24">
        <v>66000000</v>
      </c>
    </row>
    <row r="616" spans="1:13" s="5" customFormat="1" outlineLevel="2">
      <c r="A616" s="39" t="s">
        <v>257</v>
      </c>
      <c r="B616" s="40" t="s">
        <v>44</v>
      </c>
      <c r="C616" s="41" t="s">
        <v>260</v>
      </c>
      <c r="D616" s="40" t="s">
        <v>261</v>
      </c>
      <c r="E616" s="24">
        <v>10800000</v>
      </c>
      <c r="F616" s="39">
        <v>44273</v>
      </c>
      <c r="G616" s="24">
        <v>10800000</v>
      </c>
      <c r="H616" s="23">
        <v>5.0000000000000001E-3</v>
      </c>
      <c r="I616" s="39">
        <v>44378</v>
      </c>
      <c r="J616" s="39">
        <v>44408</v>
      </c>
      <c r="K616" s="24">
        <v>31</v>
      </c>
      <c r="L616" s="24">
        <v>4586</v>
      </c>
      <c r="M616" s="24">
        <v>10800000</v>
      </c>
    </row>
    <row r="617" spans="1:13" s="5" customFormat="1" outlineLevel="2">
      <c r="A617" s="39" t="s">
        <v>257</v>
      </c>
      <c r="B617" s="40" t="s">
        <v>47</v>
      </c>
      <c r="C617" s="41" t="s">
        <v>260</v>
      </c>
      <c r="D617" s="40" t="s">
        <v>261</v>
      </c>
      <c r="E617" s="24">
        <v>1720000</v>
      </c>
      <c r="F617" s="39">
        <v>44285</v>
      </c>
      <c r="G617" s="24">
        <v>1720000</v>
      </c>
      <c r="H617" s="23">
        <v>5.0000000000000001E-3</v>
      </c>
      <c r="I617" s="39">
        <v>44378</v>
      </c>
      <c r="J617" s="39">
        <v>44408</v>
      </c>
      <c r="K617" s="24">
        <v>31</v>
      </c>
      <c r="L617" s="24">
        <v>730</v>
      </c>
      <c r="M617" s="24">
        <v>1720000</v>
      </c>
    </row>
    <row r="618" spans="1:13" s="5" customFormat="1" outlineLevel="2">
      <c r="A618" s="39" t="s">
        <v>257</v>
      </c>
      <c r="B618" s="40" t="s">
        <v>50</v>
      </c>
      <c r="C618" s="41" t="s">
        <v>324</v>
      </c>
      <c r="D618" s="40" t="s">
        <v>323</v>
      </c>
      <c r="E618" s="24">
        <v>28800000</v>
      </c>
      <c r="F618" s="39">
        <v>44271</v>
      </c>
      <c r="G618" s="24">
        <v>28080000</v>
      </c>
      <c r="H618" s="23">
        <v>5.0000000000000001E-3</v>
      </c>
      <c r="I618" s="39">
        <v>44378</v>
      </c>
      <c r="J618" s="39">
        <v>44391</v>
      </c>
      <c r="K618" s="24">
        <v>14</v>
      </c>
      <c r="L618" s="24">
        <v>5385</v>
      </c>
      <c r="M618" s="24">
        <v>27840000</v>
      </c>
    </row>
    <row r="619" spans="1:13" s="5" customFormat="1" outlineLevel="2">
      <c r="A619" s="39" t="s">
        <v>257</v>
      </c>
      <c r="B619" s="40" t="s">
        <v>50</v>
      </c>
      <c r="C619" s="41" t="s">
        <v>324</v>
      </c>
      <c r="D619" s="40"/>
      <c r="E619" s="24"/>
      <c r="F619" s="39"/>
      <c r="G619" s="24">
        <v>27840000</v>
      </c>
      <c r="H619" s="23">
        <v>5.0000000000000001E-3</v>
      </c>
      <c r="I619" s="39">
        <v>44392</v>
      </c>
      <c r="J619" s="39">
        <v>44408</v>
      </c>
      <c r="K619" s="24">
        <v>17</v>
      </c>
      <c r="L619" s="24">
        <v>6483</v>
      </c>
      <c r="M619" s="24"/>
    </row>
    <row r="620" spans="1:13" s="5" customFormat="1" outlineLevel="2">
      <c r="A620" s="39" t="s">
        <v>257</v>
      </c>
      <c r="B620" s="40" t="s">
        <v>51</v>
      </c>
      <c r="C620" s="41" t="s">
        <v>324</v>
      </c>
      <c r="D620" s="40" t="s">
        <v>323</v>
      </c>
      <c r="E620" s="24">
        <v>45270000</v>
      </c>
      <c r="F620" s="39">
        <v>44271</v>
      </c>
      <c r="G620" s="24">
        <v>44138250</v>
      </c>
      <c r="H620" s="23">
        <v>5.0000000000000001E-3</v>
      </c>
      <c r="I620" s="39">
        <v>44378</v>
      </c>
      <c r="J620" s="39">
        <v>44391</v>
      </c>
      <c r="K620" s="24">
        <v>14</v>
      </c>
      <c r="L620" s="24">
        <v>8465</v>
      </c>
      <c r="M620" s="24">
        <v>43761000</v>
      </c>
    </row>
    <row r="621" spans="1:13" s="5" customFormat="1" outlineLevel="2">
      <c r="A621" s="39" t="s">
        <v>257</v>
      </c>
      <c r="B621" s="40" t="s">
        <v>51</v>
      </c>
      <c r="C621" s="41" t="s">
        <v>324</v>
      </c>
      <c r="D621" s="40"/>
      <c r="E621" s="24"/>
      <c r="F621" s="39"/>
      <c r="G621" s="24">
        <v>43761000</v>
      </c>
      <c r="H621" s="23">
        <v>5.0000000000000001E-3</v>
      </c>
      <c r="I621" s="39">
        <v>44392</v>
      </c>
      <c r="J621" s="39">
        <v>44408</v>
      </c>
      <c r="K621" s="24">
        <v>17</v>
      </c>
      <c r="L621" s="24">
        <v>10191</v>
      </c>
      <c r="M621" s="24"/>
    </row>
    <row r="622" spans="1:13" s="5" customFormat="1" outlineLevel="2">
      <c r="A622" s="39" t="s">
        <v>257</v>
      </c>
      <c r="B622" s="40" t="s">
        <v>52</v>
      </c>
      <c r="C622" s="41" t="s">
        <v>324</v>
      </c>
      <c r="D622" s="40" t="s">
        <v>323</v>
      </c>
      <c r="E622" s="24">
        <v>32000000</v>
      </c>
      <c r="F622" s="39">
        <v>44271</v>
      </c>
      <c r="G622" s="24">
        <v>30857144</v>
      </c>
      <c r="H622" s="23">
        <v>5.0000000000000001E-3</v>
      </c>
      <c r="I622" s="39">
        <v>44378</v>
      </c>
      <c r="J622" s="39">
        <v>44391</v>
      </c>
      <c r="K622" s="24">
        <v>14</v>
      </c>
      <c r="L622" s="24">
        <v>5918</v>
      </c>
      <c r="M622" s="24">
        <v>30476192</v>
      </c>
    </row>
    <row r="623" spans="1:13" s="5" customFormat="1" outlineLevel="2">
      <c r="A623" s="39" t="s">
        <v>257</v>
      </c>
      <c r="B623" s="40" t="s">
        <v>52</v>
      </c>
      <c r="C623" s="41" t="s">
        <v>324</v>
      </c>
      <c r="D623" s="40"/>
      <c r="E623" s="24"/>
      <c r="F623" s="39"/>
      <c r="G623" s="24">
        <v>30476192</v>
      </c>
      <c r="H623" s="23">
        <v>5.0000000000000001E-3</v>
      </c>
      <c r="I623" s="39">
        <v>44392</v>
      </c>
      <c r="J623" s="39">
        <v>44408</v>
      </c>
      <c r="K623" s="24">
        <v>17</v>
      </c>
      <c r="L623" s="24">
        <v>7097</v>
      </c>
      <c r="M623" s="24"/>
    </row>
    <row r="624" spans="1:13" s="5" customFormat="1" outlineLevel="2">
      <c r="A624" s="39" t="s">
        <v>257</v>
      </c>
      <c r="B624" s="40" t="s">
        <v>53</v>
      </c>
      <c r="C624" s="41" t="s">
        <v>262</v>
      </c>
      <c r="D624" s="40" t="s">
        <v>259</v>
      </c>
      <c r="E624" s="24">
        <v>21700000</v>
      </c>
      <c r="F624" s="39">
        <v>44287</v>
      </c>
      <c r="G624" s="24">
        <v>21700000</v>
      </c>
      <c r="H624" s="23">
        <v>5.0000000000000001E-3</v>
      </c>
      <c r="I624" s="39">
        <v>44378</v>
      </c>
      <c r="J624" s="39">
        <v>44408</v>
      </c>
      <c r="K624" s="24">
        <v>31</v>
      </c>
      <c r="L624" s="24">
        <v>9215</v>
      </c>
      <c r="M624" s="24">
        <v>21700000</v>
      </c>
    </row>
    <row r="625" spans="1:13" s="5" customFormat="1" outlineLevel="2">
      <c r="A625" s="39" t="s">
        <v>257</v>
      </c>
      <c r="B625" s="40" t="s">
        <v>54</v>
      </c>
      <c r="C625" s="41" t="s">
        <v>248</v>
      </c>
      <c r="D625" s="40" t="s">
        <v>249</v>
      </c>
      <c r="E625" s="24">
        <v>182300000</v>
      </c>
      <c r="F625" s="39">
        <v>43959</v>
      </c>
      <c r="G625" s="24">
        <v>177100000</v>
      </c>
      <c r="H625" s="23">
        <v>5.0000000000000001E-3</v>
      </c>
      <c r="I625" s="39">
        <v>44378</v>
      </c>
      <c r="J625" s="39">
        <v>44391</v>
      </c>
      <c r="K625" s="24">
        <v>14</v>
      </c>
      <c r="L625" s="24">
        <v>33964</v>
      </c>
      <c r="M625" s="24">
        <v>174570000</v>
      </c>
    </row>
    <row r="626" spans="1:13" s="5" customFormat="1" outlineLevel="2">
      <c r="A626" s="39" t="s">
        <v>257</v>
      </c>
      <c r="B626" s="40" t="s">
        <v>54</v>
      </c>
      <c r="C626" s="41" t="s">
        <v>248</v>
      </c>
      <c r="D626" s="40"/>
      <c r="E626" s="24"/>
      <c r="F626" s="39"/>
      <c r="G626" s="24">
        <v>174570000</v>
      </c>
      <c r="H626" s="23">
        <v>5.0000000000000001E-3</v>
      </c>
      <c r="I626" s="39">
        <v>44392</v>
      </c>
      <c r="J626" s="39">
        <v>44408</v>
      </c>
      <c r="K626" s="24">
        <v>17</v>
      </c>
      <c r="L626" s="24">
        <v>40653</v>
      </c>
      <c r="M626" s="24"/>
    </row>
    <row r="627" spans="1:13" s="5" customFormat="1" outlineLevel="2">
      <c r="A627" s="39" t="s">
        <v>257</v>
      </c>
      <c r="B627" s="40" t="s">
        <v>57</v>
      </c>
      <c r="C627" s="41" t="s">
        <v>260</v>
      </c>
      <c r="D627" s="40" t="s">
        <v>261</v>
      </c>
      <c r="E627" s="24">
        <v>20900000</v>
      </c>
      <c r="F627" s="39">
        <v>44300</v>
      </c>
      <c r="G627" s="24">
        <v>19500000</v>
      </c>
      <c r="H627" s="23">
        <v>5.0000000000000001E-3</v>
      </c>
      <c r="I627" s="39">
        <v>44378</v>
      </c>
      <c r="J627" s="39">
        <v>44391</v>
      </c>
      <c r="K627" s="24">
        <v>14</v>
      </c>
      <c r="L627" s="24">
        <v>3740</v>
      </c>
      <c r="M627" s="24">
        <v>19110000</v>
      </c>
    </row>
    <row r="628" spans="1:13" s="5" customFormat="1" outlineLevel="2">
      <c r="A628" s="39" t="s">
        <v>257</v>
      </c>
      <c r="B628" s="40" t="s">
        <v>57</v>
      </c>
      <c r="C628" s="41" t="s">
        <v>260</v>
      </c>
      <c r="D628" s="40"/>
      <c r="E628" s="24"/>
      <c r="F628" s="39"/>
      <c r="G628" s="24">
        <v>19110000</v>
      </c>
      <c r="H628" s="23">
        <v>5.0000000000000001E-3</v>
      </c>
      <c r="I628" s="39">
        <v>44392</v>
      </c>
      <c r="J628" s="39">
        <v>44408</v>
      </c>
      <c r="K628" s="24">
        <v>17</v>
      </c>
      <c r="L628" s="24">
        <v>4450</v>
      </c>
      <c r="M628" s="24"/>
    </row>
    <row r="629" spans="1:13" s="5" customFormat="1" outlineLevel="2">
      <c r="A629" s="39" t="s">
        <v>257</v>
      </c>
      <c r="B629" s="40" t="s">
        <v>58</v>
      </c>
      <c r="C629" s="41" t="s">
        <v>262</v>
      </c>
      <c r="D629" s="40" t="s">
        <v>259</v>
      </c>
      <c r="E629" s="24">
        <v>21700000</v>
      </c>
      <c r="F629" s="39">
        <v>44319</v>
      </c>
      <c r="G629" s="24">
        <v>21700000</v>
      </c>
      <c r="H629" s="23">
        <v>5.0000000000000001E-3</v>
      </c>
      <c r="I629" s="39">
        <v>44378</v>
      </c>
      <c r="J629" s="39">
        <v>44408</v>
      </c>
      <c r="K629" s="24">
        <v>31</v>
      </c>
      <c r="L629" s="24">
        <v>9215</v>
      </c>
      <c r="M629" s="24">
        <v>21700000</v>
      </c>
    </row>
    <row r="630" spans="1:13" s="5" customFormat="1" outlineLevel="2">
      <c r="A630" s="39" t="s">
        <v>257</v>
      </c>
      <c r="B630" s="40" t="s">
        <v>99</v>
      </c>
      <c r="C630" s="41" t="s">
        <v>262</v>
      </c>
      <c r="D630" s="40" t="s">
        <v>259</v>
      </c>
      <c r="E630" s="24">
        <v>21700000</v>
      </c>
      <c r="F630" s="39">
        <v>44333</v>
      </c>
      <c r="G630" s="24">
        <v>21700000</v>
      </c>
      <c r="H630" s="23">
        <v>5.0000000000000001E-3</v>
      </c>
      <c r="I630" s="39">
        <v>44378</v>
      </c>
      <c r="J630" s="39">
        <v>44408</v>
      </c>
      <c r="K630" s="24">
        <v>31</v>
      </c>
      <c r="L630" s="24">
        <v>9215</v>
      </c>
      <c r="M630" s="24">
        <v>21700000</v>
      </c>
    </row>
    <row r="631" spans="1:13" s="5" customFormat="1" outlineLevel="2">
      <c r="A631" s="39" t="s">
        <v>257</v>
      </c>
      <c r="B631" s="40" t="s">
        <v>100</v>
      </c>
      <c r="C631" s="41" t="s">
        <v>260</v>
      </c>
      <c r="D631" s="40" t="s">
        <v>261</v>
      </c>
      <c r="E631" s="24">
        <v>12860000</v>
      </c>
      <c r="F631" s="39">
        <v>44326</v>
      </c>
      <c r="G631" s="24">
        <v>12350000</v>
      </c>
      <c r="H631" s="23">
        <v>5.0000000000000001E-3</v>
      </c>
      <c r="I631" s="39">
        <v>44378</v>
      </c>
      <c r="J631" s="39">
        <v>44391</v>
      </c>
      <c r="K631" s="24">
        <v>14</v>
      </c>
      <c r="L631" s="24">
        <v>2368</v>
      </c>
      <c r="M631" s="24">
        <v>12103000</v>
      </c>
    </row>
    <row r="632" spans="1:13" s="5" customFormat="1" outlineLevel="2">
      <c r="A632" s="39" t="s">
        <v>257</v>
      </c>
      <c r="B632" s="40" t="s">
        <v>100</v>
      </c>
      <c r="C632" s="41" t="s">
        <v>260</v>
      </c>
      <c r="D632" s="40"/>
      <c r="E632" s="24"/>
      <c r="F632" s="39"/>
      <c r="G632" s="24">
        <v>12103000</v>
      </c>
      <c r="H632" s="23">
        <v>5.0000000000000001E-3</v>
      </c>
      <c r="I632" s="39">
        <v>44392</v>
      </c>
      <c r="J632" s="39">
        <v>44408</v>
      </c>
      <c r="K632" s="24">
        <v>17</v>
      </c>
      <c r="L632" s="24">
        <v>2819</v>
      </c>
      <c r="M632" s="24"/>
    </row>
    <row r="633" spans="1:13" s="5" customFormat="1" outlineLevel="2">
      <c r="A633" s="39" t="s">
        <v>257</v>
      </c>
      <c r="B633" s="40" t="s">
        <v>101</v>
      </c>
      <c r="C633" s="41" t="s">
        <v>304</v>
      </c>
      <c r="D633" s="40" t="s">
        <v>303</v>
      </c>
      <c r="E633" s="24">
        <v>37500000</v>
      </c>
      <c r="F633" s="39">
        <v>44377</v>
      </c>
      <c r="G633" s="24">
        <v>37500000</v>
      </c>
      <c r="H633" s="23">
        <v>5.0000000000000001E-3</v>
      </c>
      <c r="I633" s="39">
        <v>44378</v>
      </c>
      <c r="J633" s="39">
        <v>44408</v>
      </c>
      <c r="K633" s="24">
        <v>31</v>
      </c>
      <c r="L633" s="24">
        <v>15925</v>
      </c>
      <c r="M633" s="24">
        <v>37500000</v>
      </c>
    </row>
    <row r="634" spans="1:13" s="5" customFormat="1" outlineLevel="2">
      <c r="A634" s="39" t="s">
        <v>257</v>
      </c>
      <c r="B634" s="40" t="s">
        <v>102</v>
      </c>
      <c r="C634" s="41" t="s">
        <v>260</v>
      </c>
      <c r="D634" s="40" t="s">
        <v>261</v>
      </c>
      <c r="E634" s="24">
        <v>3350000</v>
      </c>
      <c r="F634" s="39">
        <v>44355</v>
      </c>
      <c r="G634" s="24">
        <v>3250000</v>
      </c>
      <c r="H634" s="23">
        <v>5.0000000000000001E-3</v>
      </c>
      <c r="I634" s="39">
        <v>44378</v>
      </c>
      <c r="J634" s="39">
        <v>44391</v>
      </c>
      <c r="K634" s="24">
        <v>14</v>
      </c>
      <c r="L634" s="24">
        <v>623</v>
      </c>
      <c r="M634" s="24">
        <v>3185000</v>
      </c>
    </row>
    <row r="635" spans="1:13" s="5" customFormat="1" outlineLevel="2">
      <c r="A635" s="39" t="s">
        <v>257</v>
      </c>
      <c r="B635" s="40" t="s">
        <v>102</v>
      </c>
      <c r="C635" s="41" t="s">
        <v>260</v>
      </c>
      <c r="D635" s="40"/>
      <c r="E635" s="24"/>
      <c r="F635" s="39"/>
      <c r="G635" s="24">
        <v>3185000</v>
      </c>
      <c r="H635" s="23">
        <v>5.0000000000000001E-3</v>
      </c>
      <c r="I635" s="39">
        <v>44392</v>
      </c>
      <c r="J635" s="39">
        <v>44408</v>
      </c>
      <c r="K635" s="24">
        <v>17</v>
      </c>
      <c r="L635" s="24">
        <v>742</v>
      </c>
      <c r="M635" s="24"/>
    </row>
    <row r="636" spans="1:13" s="5" customFormat="1" outlineLevel="2">
      <c r="A636" s="39" t="s">
        <v>257</v>
      </c>
      <c r="B636" s="40" t="s">
        <v>103</v>
      </c>
      <c r="C636" s="41" t="s">
        <v>262</v>
      </c>
      <c r="D636" s="40" t="s">
        <v>259</v>
      </c>
      <c r="E636" s="24">
        <v>680000</v>
      </c>
      <c r="F636" s="39">
        <v>44364</v>
      </c>
      <c r="G636" s="24">
        <v>680000</v>
      </c>
      <c r="H636" s="23">
        <v>5.0000000000000001E-3</v>
      </c>
      <c r="I636" s="39">
        <v>44378</v>
      </c>
      <c r="J636" s="39">
        <v>44408</v>
      </c>
      <c r="K636" s="24">
        <v>31</v>
      </c>
      <c r="L636" s="24">
        <v>289</v>
      </c>
      <c r="M636" s="24">
        <v>680000</v>
      </c>
    </row>
    <row r="637" spans="1:13" s="5" customFormat="1" outlineLevel="2">
      <c r="A637" s="39" t="s">
        <v>257</v>
      </c>
      <c r="B637" s="40" t="s">
        <v>104</v>
      </c>
      <c r="C637" s="41" t="s">
        <v>262</v>
      </c>
      <c r="D637" s="40" t="s">
        <v>259</v>
      </c>
      <c r="E637" s="24">
        <v>18080000</v>
      </c>
      <c r="F637" s="39">
        <v>44364</v>
      </c>
      <c r="G637" s="24">
        <v>18080000</v>
      </c>
      <c r="H637" s="23">
        <v>5.0000000000000001E-3</v>
      </c>
      <c r="I637" s="39">
        <v>44378</v>
      </c>
      <c r="J637" s="39">
        <v>44408</v>
      </c>
      <c r="K637" s="24">
        <v>31</v>
      </c>
      <c r="L637" s="24">
        <v>7678</v>
      </c>
      <c r="M637" s="24">
        <v>18080000</v>
      </c>
    </row>
    <row r="638" spans="1:13" s="5" customFormat="1" outlineLevel="2">
      <c r="A638" s="39" t="s">
        <v>257</v>
      </c>
      <c r="B638" s="40" t="s">
        <v>105</v>
      </c>
      <c r="C638" s="41" t="s">
        <v>262</v>
      </c>
      <c r="D638" s="40" t="s">
        <v>259</v>
      </c>
      <c r="E638" s="24">
        <v>5790000</v>
      </c>
      <c r="F638" s="39">
        <v>44364</v>
      </c>
      <c r="G638" s="24">
        <v>5790000</v>
      </c>
      <c r="H638" s="23">
        <v>5.0000000000000001E-3</v>
      </c>
      <c r="I638" s="39">
        <v>44378</v>
      </c>
      <c r="J638" s="39">
        <v>44408</v>
      </c>
      <c r="K638" s="24">
        <v>31</v>
      </c>
      <c r="L638" s="24">
        <v>2459</v>
      </c>
      <c r="M638" s="24">
        <v>5790000</v>
      </c>
    </row>
    <row r="639" spans="1:13" s="5" customFormat="1" outlineLevel="2">
      <c r="A639" s="39" t="s">
        <v>257</v>
      </c>
      <c r="B639" s="40" t="s">
        <v>106</v>
      </c>
      <c r="C639" s="41" t="s">
        <v>248</v>
      </c>
      <c r="D639" s="40" t="s">
        <v>249</v>
      </c>
      <c r="E639" s="24">
        <v>120000000</v>
      </c>
      <c r="F639" s="39">
        <v>44399</v>
      </c>
      <c r="G639" s="24">
        <v>120000000</v>
      </c>
      <c r="H639" s="23">
        <v>5.0000000000000001E-3</v>
      </c>
      <c r="I639" s="39">
        <v>44399</v>
      </c>
      <c r="J639" s="39">
        <v>44408</v>
      </c>
      <c r="K639" s="24">
        <v>10</v>
      </c>
      <c r="L639" s="24">
        <v>16438</v>
      </c>
      <c r="M639" s="24">
        <v>120000000</v>
      </c>
    </row>
    <row r="640" spans="1:13" s="5" customFormat="1" outlineLevel="2">
      <c r="A640" s="39" t="s">
        <v>257</v>
      </c>
      <c r="B640" s="40" t="s">
        <v>59</v>
      </c>
      <c r="C640" s="41" t="s">
        <v>260</v>
      </c>
      <c r="D640" s="40" t="s">
        <v>261</v>
      </c>
      <c r="E640" s="24">
        <v>610000</v>
      </c>
      <c r="F640" s="39">
        <v>44085</v>
      </c>
      <c r="G640" s="24">
        <v>500000</v>
      </c>
      <c r="H640" s="23">
        <v>5.0000000000000001E-3</v>
      </c>
      <c r="I640" s="39">
        <v>44378</v>
      </c>
      <c r="J640" s="39">
        <v>44391</v>
      </c>
      <c r="K640" s="24">
        <v>14</v>
      </c>
      <c r="L640" s="24">
        <v>96</v>
      </c>
      <c r="M640" s="24">
        <v>490000</v>
      </c>
    </row>
    <row r="641" spans="1:13" s="5" customFormat="1" outlineLevel="2">
      <c r="A641" s="39" t="s">
        <v>257</v>
      </c>
      <c r="B641" s="40" t="s">
        <v>59</v>
      </c>
      <c r="C641" s="41" t="s">
        <v>260</v>
      </c>
      <c r="D641" s="40"/>
      <c r="E641" s="24"/>
      <c r="F641" s="39"/>
      <c r="G641" s="24">
        <v>490000</v>
      </c>
      <c r="H641" s="23">
        <v>5.0000000000000001E-3</v>
      </c>
      <c r="I641" s="39">
        <v>44392</v>
      </c>
      <c r="J641" s="39">
        <v>44408</v>
      </c>
      <c r="K641" s="24">
        <v>17</v>
      </c>
      <c r="L641" s="24">
        <v>114</v>
      </c>
      <c r="M641" s="24"/>
    </row>
    <row r="642" spans="1:13" s="5" customFormat="1" outlineLevel="2">
      <c r="A642" s="39" t="s">
        <v>257</v>
      </c>
      <c r="B642" s="40" t="s">
        <v>62</v>
      </c>
      <c r="C642" s="41" t="s">
        <v>262</v>
      </c>
      <c r="D642" s="40" t="s">
        <v>259</v>
      </c>
      <c r="E642" s="24">
        <v>18080000</v>
      </c>
      <c r="F642" s="39">
        <v>44102</v>
      </c>
      <c r="G642" s="24">
        <v>18080000</v>
      </c>
      <c r="H642" s="23">
        <v>5.0000000000000001E-3</v>
      </c>
      <c r="I642" s="39">
        <v>44378</v>
      </c>
      <c r="J642" s="39">
        <v>44408</v>
      </c>
      <c r="K642" s="24">
        <v>31</v>
      </c>
      <c r="L642" s="24">
        <v>7678</v>
      </c>
      <c r="M642" s="24">
        <v>18080000</v>
      </c>
    </row>
    <row r="643" spans="1:13" s="5" customFormat="1" outlineLevel="2">
      <c r="A643" s="39" t="s">
        <v>257</v>
      </c>
      <c r="B643" s="40" t="s">
        <v>63</v>
      </c>
      <c r="C643" s="41" t="s">
        <v>262</v>
      </c>
      <c r="D643" s="40" t="s">
        <v>259</v>
      </c>
      <c r="E643" s="24">
        <v>50630000</v>
      </c>
      <c r="F643" s="39">
        <v>44131</v>
      </c>
      <c r="G643" s="24">
        <v>50630000</v>
      </c>
      <c r="H643" s="23">
        <v>5.0000000000000001E-3</v>
      </c>
      <c r="I643" s="39">
        <v>44378</v>
      </c>
      <c r="J643" s="39">
        <v>44408</v>
      </c>
      <c r="K643" s="24">
        <v>31</v>
      </c>
      <c r="L643" s="24">
        <v>21500</v>
      </c>
      <c r="M643" s="24">
        <v>50630000</v>
      </c>
    </row>
    <row r="644" spans="1:13" s="5" customFormat="1" outlineLevel="2">
      <c r="A644" s="39" t="s">
        <v>257</v>
      </c>
      <c r="B644" s="40" t="s">
        <v>64</v>
      </c>
      <c r="C644" s="41" t="s">
        <v>260</v>
      </c>
      <c r="D644" s="40" t="s">
        <v>261</v>
      </c>
      <c r="E644" s="24">
        <v>710000</v>
      </c>
      <c r="F644" s="39">
        <v>44110</v>
      </c>
      <c r="G644" s="24">
        <v>600000</v>
      </c>
      <c r="H644" s="23">
        <v>5.0000000000000001E-3</v>
      </c>
      <c r="I644" s="39">
        <v>44378</v>
      </c>
      <c r="J644" s="39">
        <v>44391</v>
      </c>
      <c r="K644" s="24">
        <v>14</v>
      </c>
      <c r="L644" s="24">
        <v>115</v>
      </c>
      <c r="M644" s="24">
        <v>588000</v>
      </c>
    </row>
    <row r="645" spans="1:13" s="5" customFormat="1" outlineLevel="2">
      <c r="A645" s="39" t="s">
        <v>257</v>
      </c>
      <c r="B645" s="40" t="s">
        <v>64</v>
      </c>
      <c r="C645" s="41" t="s">
        <v>260</v>
      </c>
      <c r="D645" s="40"/>
      <c r="E645" s="24"/>
      <c r="F645" s="39"/>
      <c r="G645" s="24">
        <v>588000</v>
      </c>
      <c r="H645" s="23">
        <v>5.0000000000000001E-3</v>
      </c>
      <c r="I645" s="39">
        <v>44392</v>
      </c>
      <c r="J645" s="39">
        <v>44408</v>
      </c>
      <c r="K645" s="24">
        <v>17</v>
      </c>
      <c r="L645" s="24">
        <v>137</v>
      </c>
      <c r="M645" s="24"/>
    </row>
    <row r="646" spans="1:13" s="5" customFormat="1" outlineLevel="2">
      <c r="A646" s="39" t="s">
        <v>257</v>
      </c>
      <c r="B646" s="40" t="s">
        <v>65</v>
      </c>
      <c r="C646" s="41" t="s">
        <v>260</v>
      </c>
      <c r="D646" s="40" t="s">
        <v>261</v>
      </c>
      <c r="E646" s="24">
        <v>830000</v>
      </c>
      <c r="F646" s="39">
        <v>44137</v>
      </c>
      <c r="G646" s="24">
        <v>700000</v>
      </c>
      <c r="H646" s="23">
        <v>5.0000000000000001E-3</v>
      </c>
      <c r="I646" s="39">
        <v>44378</v>
      </c>
      <c r="J646" s="39">
        <v>44391</v>
      </c>
      <c r="K646" s="24">
        <v>14</v>
      </c>
      <c r="L646" s="24">
        <v>134</v>
      </c>
      <c r="M646" s="24">
        <v>686000</v>
      </c>
    </row>
    <row r="647" spans="1:13" s="5" customFormat="1" outlineLevel="2">
      <c r="A647" s="39" t="s">
        <v>257</v>
      </c>
      <c r="B647" s="40" t="s">
        <v>65</v>
      </c>
      <c r="C647" s="41" t="s">
        <v>260</v>
      </c>
      <c r="D647" s="40"/>
      <c r="E647" s="24"/>
      <c r="F647" s="39"/>
      <c r="G647" s="24">
        <v>686000</v>
      </c>
      <c r="H647" s="23">
        <v>5.0000000000000001E-3</v>
      </c>
      <c r="I647" s="39">
        <v>44392</v>
      </c>
      <c r="J647" s="39">
        <v>44408</v>
      </c>
      <c r="K647" s="24">
        <v>17</v>
      </c>
      <c r="L647" s="24">
        <v>160</v>
      </c>
      <c r="M647" s="24"/>
    </row>
    <row r="648" spans="1:13" s="5" customFormat="1" outlineLevel="2">
      <c r="A648" s="39" t="s">
        <v>257</v>
      </c>
      <c r="B648" s="40" t="s">
        <v>68</v>
      </c>
      <c r="C648" s="41" t="s">
        <v>260</v>
      </c>
      <c r="D648" s="40" t="s">
        <v>261</v>
      </c>
      <c r="E648" s="24">
        <v>180000</v>
      </c>
      <c r="F648" s="39">
        <v>44141</v>
      </c>
      <c r="G648" s="24">
        <v>150000</v>
      </c>
      <c r="H648" s="23">
        <v>5.0000000000000001E-3</v>
      </c>
      <c r="I648" s="39">
        <v>44378</v>
      </c>
      <c r="J648" s="39">
        <v>44391</v>
      </c>
      <c r="K648" s="24">
        <v>14</v>
      </c>
      <c r="L648" s="24">
        <v>29</v>
      </c>
      <c r="M648" s="24">
        <v>147000</v>
      </c>
    </row>
    <row r="649" spans="1:13" s="5" customFormat="1" outlineLevel="2">
      <c r="A649" s="39" t="s">
        <v>257</v>
      </c>
      <c r="B649" s="40" t="s">
        <v>68</v>
      </c>
      <c r="C649" s="41" t="s">
        <v>260</v>
      </c>
      <c r="D649" s="40"/>
      <c r="E649" s="24"/>
      <c r="F649" s="39"/>
      <c r="G649" s="24">
        <v>147000</v>
      </c>
      <c r="H649" s="23">
        <v>5.0000000000000001E-3</v>
      </c>
      <c r="I649" s="39">
        <v>44392</v>
      </c>
      <c r="J649" s="39">
        <v>44408</v>
      </c>
      <c r="K649" s="24">
        <v>17</v>
      </c>
      <c r="L649" s="24">
        <v>34</v>
      </c>
      <c r="M649" s="24"/>
    </row>
    <row r="650" spans="1:13" s="5" customFormat="1" outlineLevel="1">
      <c r="A650" s="42" t="s">
        <v>263</v>
      </c>
      <c r="B650" s="43"/>
      <c r="C650" s="44"/>
      <c r="D650" s="43"/>
      <c r="E650" s="45">
        <v>958300000</v>
      </c>
      <c r="F650" s="46"/>
      <c r="G650" s="45"/>
      <c r="H650" s="47"/>
      <c r="I650" s="46"/>
      <c r="J650" s="46"/>
      <c r="K650" s="45"/>
      <c r="L650" s="45">
        <v>366324</v>
      </c>
      <c r="M650" s="45">
        <v>941922192</v>
      </c>
    </row>
    <row r="651" spans="1:13" s="5" customFormat="1" outlineLevel="2">
      <c r="A651" s="39" t="s">
        <v>264</v>
      </c>
      <c r="B651" s="40" t="s">
        <v>16</v>
      </c>
      <c r="C651" s="41" t="s">
        <v>27</v>
      </c>
      <c r="D651" s="40" t="s">
        <v>28</v>
      </c>
      <c r="E651" s="24">
        <v>26000000</v>
      </c>
      <c r="F651" s="39">
        <v>44140</v>
      </c>
      <c r="G651" s="24">
        <v>26000000</v>
      </c>
      <c r="H651" s="23">
        <v>5.0000000000000001E-3</v>
      </c>
      <c r="I651" s="39">
        <v>44378</v>
      </c>
      <c r="J651" s="39">
        <v>44408</v>
      </c>
      <c r="K651" s="24">
        <v>31</v>
      </c>
      <c r="L651" s="24">
        <v>11041</v>
      </c>
      <c r="M651" s="24">
        <v>26000000</v>
      </c>
    </row>
    <row r="652" spans="1:13" s="5" customFormat="1" outlineLevel="2">
      <c r="A652" s="39" t="s">
        <v>264</v>
      </c>
      <c r="B652" s="40" t="s">
        <v>39</v>
      </c>
      <c r="C652" s="41" t="s">
        <v>27</v>
      </c>
      <c r="D652" s="40" t="s">
        <v>28</v>
      </c>
      <c r="E652" s="24">
        <v>10250000</v>
      </c>
      <c r="F652" s="39">
        <v>44140</v>
      </c>
      <c r="G652" s="24">
        <v>10250000</v>
      </c>
      <c r="H652" s="23">
        <v>5.0000000000000001E-3</v>
      </c>
      <c r="I652" s="39">
        <v>44378</v>
      </c>
      <c r="J652" s="39">
        <v>44408</v>
      </c>
      <c r="K652" s="24">
        <v>31</v>
      </c>
      <c r="L652" s="24">
        <v>4353</v>
      </c>
      <c r="M652" s="24">
        <v>10250000</v>
      </c>
    </row>
    <row r="653" spans="1:13" s="5" customFormat="1" outlineLevel="2">
      <c r="A653" s="39" t="s">
        <v>264</v>
      </c>
      <c r="B653" s="40" t="s">
        <v>54</v>
      </c>
      <c r="C653" s="41" t="s">
        <v>27</v>
      </c>
      <c r="D653" s="40" t="s">
        <v>28</v>
      </c>
      <c r="E653" s="24">
        <v>3960000</v>
      </c>
      <c r="F653" s="39">
        <v>44148</v>
      </c>
      <c r="G653" s="24">
        <v>3960000</v>
      </c>
      <c r="H653" s="23">
        <v>5.0000000000000001E-3</v>
      </c>
      <c r="I653" s="39">
        <v>44378</v>
      </c>
      <c r="J653" s="39">
        <v>44408</v>
      </c>
      <c r="K653" s="24">
        <v>31</v>
      </c>
      <c r="L653" s="24">
        <v>1682</v>
      </c>
      <c r="M653" s="24">
        <v>3960000</v>
      </c>
    </row>
    <row r="654" spans="1:13" s="5" customFormat="1" outlineLevel="2">
      <c r="A654" s="39" t="s">
        <v>264</v>
      </c>
      <c r="B654" s="40" t="s">
        <v>59</v>
      </c>
      <c r="C654" s="41" t="s">
        <v>27</v>
      </c>
      <c r="D654" s="40" t="s">
        <v>28</v>
      </c>
      <c r="E654" s="24">
        <v>8000000</v>
      </c>
      <c r="F654" s="39">
        <v>44244</v>
      </c>
      <c r="G654" s="24">
        <v>8000000</v>
      </c>
      <c r="H654" s="23">
        <v>5.0000000000000001E-3</v>
      </c>
      <c r="I654" s="39">
        <v>44378</v>
      </c>
      <c r="J654" s="39">
        <v>44408</v>
      </c>
      <c r="K654" s="24">
        <v>31</v>
      </c>
      <c r="L654" s="24">
        <v>3397</v>
      </c>
      <c r="M654" s="24">
        <v>8000000</v>
      </c>
    </row>
    <row r="655" spans="1:13" s="5" customFormat="1" outlineLevel="2">
      <c r="A655" s="39" t="s">
        <v>264</v>
      </c>
      <c r="B655" s="40" t="s">
        <v>62</v>
      </c>
      <c r="C655" s="41" t="s">
        <v>27</v>
      </c>
      <c r="D655" s="40" t="s">
        <v>28</v>
      </c>
      <c r="E655" s="24">
        <v>28560000</v>
      </c>
      <c r="F655" s="39">
        <v>44403</v>
      </c>
      <c r="G655" s="24">
        <v>28560000</v>
      </c>
      <c r="H655" s="23">
        <v>5.0000000000000001E-3</v>
      </c>
      <c r="I655" s="39">
        <v>44403</v>
      </c>
      <c r="J655" s="39">
        <v>44408</v>
      </c>
      <c r="K655" s="24">
        <v>6</v>
      </c>
      <c r="L655" s="24">
        <v>2347</v>
      </c>
      <c r="M655" s="24">
        <v>28560000</v>
      </c>
    </row>
    <row r="656" spans="1:13" s="5" customFormat="1" outlineLevel="1">
      <c r="A656" s="42" t="s">
        <v>265</v>
      </c>
      <c r="B656" s="43"/>
      <c r="C656" s="44"/>
      <c r="D656" s="43"/>
      <c r="E656" s="45">
        <v>76770000</v>
      </c>
      <c r="F656" s="46"/>
      <c r="G656" s="45"/>
      <c r="H656" s="47"/>
      <c r="I656" s="46"/>
      <c r="J656" s="46"/>
      <c r="K656" s="45"/>
      <c r="L656" s="45">
        <v>22820</v>
      </c>
      <c r="M656" s="45">
        <v>76770000</v>
      </c>
    </row>
    <row r="657" spans="1:13" s="5" customFormat="1" outlineLevel="2">
      <c r="A657" s="39" t="s">
        <v>266</v>
      </c>
      <c r="B657" s="40" t="s">
        <v>16</v>
      </c>
      <c r="C657" s="41" t="s">
        <v>128</v>
      </c>
      <c r="D657" s="40" t="s">
        <v>129</v>
      </c>
      <c r="E657" s="24">
        <v>50000000</v>
      </c>
      <c r="F657" s="39">
        <v>44099</v>
      </c>
      <c r="G657" s="24">
        <v>50000000</v>
      </c>
      <c r="H657" s="23">
        <v>5.0000000000000001E-3</v>
      </c>
      <c r="I657" s="39">
        <v>44378</v>
      </c>
      <c r="J657" s="39">
        <v>44408</v>
      </c>
      <c r="K657" s="24">
        <v>31</v>
      </c>
      <c r="L657" s="24">
        <v>21233</v>
      </c>
      <c r="M657" s="24">
        <v>50000000</v>
      </c>
    </row>
    <row r="658" spans="1:13" s="5" customFormat="1" outlineLevel="2">
      <c r="A658" s="39" t="s">
        <v>266</v>
      </c>
      <c r="B658" s="40" t="s">
        <v>39</v>
      </c>
      <c r="C658" s="41" t="s">
        <v>128</v>
      </c>
      <c r="D658" s="40" t="s">
        <v>129</v>
      </c>
      <c r="E658" s="24">
        <v>30000000</v>
      </c>
      <c r="F658" s="39">
        <v>44232</v>
      </c>
      <c r="G658" s="24">
        <v>30000000</v>
      </c>
      <c r="H658" s="23">
        <v>5.0000000000000001E-3</v>
      </c>
      <c r="I658" s="39">
        <v>44378</v>
      </c>
      <c r="J658" s="39">
        <v>44408</v>
      </c>
      <c r="K658" s="24">
        <v>31</v>
      </c>
      <c r="L658" s="24">
        <v>12740</v>
      </c>
      <c r="M658" s="24">
        <v>30000000</v>
      </c>
    </row>
    <row r="659" spans="1:13" s="5" customFormat="1" outlineLevel="1">
      <c r="A659" s="42" t="s">
        <v>267</v>
      </c>
      <c r="B659" s="43"/>
      <c r="C659" s="44"/>
      <c r="D659" s="43"/>
      <c r="E659" s="45">
        <v>80000000</v>
      </c>
      <c r="F659" s="46"/>
      <c r="G659" s="45"/>
      <c r="H659" s="47"/>
      <c r="I659" s="46"/>
      <c r="J659" s="46"/>
      <c r="K659" s="45"/>
      <c r="L659" s="45">
        <v>33973</v>
      </c>
      <c r="M659" s="45">
        <v>80000000</v>
      </c>
    </row>
    <row r="660" spans="1:13" s="5" customFormat="1" outlineLevel="2">
      <c r="A660" s="39" t="s">
        <v>268</v>
      </c>
      <c r="B660" s="40" t="s">
        <v>16</v>
      </c>
      <c r="C660" s="41" t="s">
        <v>20</v>
      </c>
      <c r="D660" s="40" t="s">
        <v>21</v>
      </c>
      <c r="E660" s="24">
        <v>43200000</v>
      </c>
      <c r="F660" s="39">
        <v>43937</v>
      </c>
      <c r="G660" s="24">
        <v>43200000</v>
      </c>
      <c r="H660" s="23">
        <v>3.0000000000000001E-3</v>
      </c>
      <c r="I660" s="39">
        <v>44378</v>
      </c>
      <c r="J660" s="39">
        <v>44408</v>
      </c>
      <c r="K660" s="24">
        <v>31</v>
      </c>
      <c r="L660" s="24">
        <v>11007</v>
      </c>
      <c r="M660" s="24">
        <v>43200000</v>
      </c>
    </row>
    <row r="661" spans="1:13" s="5" customFormat="1" outlineLevel="2">
      <c r="A661" s="39" t="s">
        <v>268</v>
      </c>
      <c r="B661" s="40" t="s">
        <v>39</v>
      </c>
      <c r="C661" s="41" t="s">
        <v>20</v>
      </c>
      <c r="D661" s="40" t="s">
        <v>21</v>
      </c>
      <c r="E661" s="24">
        <v>330000000</v>
      </c>
      <c r="F661" s="39">
        <v>44013</v>
      </c>
      <c r="G661" s="24">
        <v>330000000</v>
      </c>
      <c r="H661" s="23">
        <v>3.0000000000000001E-3</v>
      </c>
      <c r="I661" s="39">
        <v>44378</v>
      </c>
      <c r="J661" s="39">
        <v>44408</v>
      </c>
      <c r="K661" s="24">
        <v>31</v>
      </c>
      <c r="L661" s="24">
        <v>84082</v>
      </c>
      <c r="M661" s="24">
        <v>330000000</v>
      </c>
    </row>
    <row r="662" spans="1:13" s="5" customFormat="1" outlineLevel="2">
      <c r="A662" s="39" t="s">
        <v>268</v>
      </c>
      <c r="B662" s="40" t="s">
        <v>54</v>
      </c>
      <c r="C662" s="41" t="s">
        <v>20</v>
      </c>
      <c r="D662" s="40" t="s">
        <v>21</v>
      </c>
      <c r="E662" s="24">
        <v>120000000</v>
      </c>
      <c r="F662" s="39">
        <v>44049</v>
      </c>
      <c r="G662" s="24">
        <v>120000000</v>
      </c>
      <c r="H662" s="23">
        <v>3.0000000000000001E-3</v>
      </c>
      <c r="I662" s="39">
        <v>44378</v>
      </c>
      <c r="J662" s="39">
        <v>44408</v>
      </c>
      <c r="K662" s="24">
        <v>31</v>
      </c>
      <c r="L662" s="24">
        <v>30575</v>
      </c>
      <c r="M662" s="24">
        <v>120000000</v>
      </c>
    </row>
    <row r="663" spans="1:13" s="5" customFormat="1" outlineLevel="2">
      <c r="A663" s="39" t="s">
        <v>268</v>
      </c>
      <c r="B663" s="40" t="s">
        <v>59</v>
      </c>
      <c r="C663" s="41" t="s">
        <v>20</v>
      </c>
      <c r="D663" s="40" t="s">
        <v>21</v>
      </c>
      <c r="E663" s="24">
        <v>39840000</v>
      </c>
      <c r="F663" s="39">
        <v>44111</v>
      </c>
      <c r="G663" s="24">
        <v>39840000</v>
      </c>
      <c r="H663" s="23">
        <v>3.0000000000000001E-3</v>
      </c>
      <c r="I663" s="39">
        <v>44378</v>
      </c>
      <c r="J663" s="39">
        <v>44408</v>
      </c>
      <c r="K663" s="24">
        <v>31</v>
      </c>
      <c r="L663" s="24">
        <v>10151</v>
      </c>
      <c r="M663" s="24">
        <v>39840000</v>
      </c>
    </row>
    <row r="664" spans="1:13" s="5" customFormat="1" outlineLevel="2">
      <c r="A664" s="39" t="s">
        <v>268</v>
      </c>
      <c r="B664" s="40" t="s">
        <v>62</v>
      </c>
      <c r="C664" s="41" t="s">
        <v>20</v>
      </c>
      <c r="D664" s="40" t="s">
        <v>21</v>
      </c>
      <c r="E664" s="24">
        <v>252000000</v>
      </c>
      <c r="F664" s="39">
        <v>44231</v>
      </c>
      <c r="G664" s="24">
        <v>252000000</v>
      </c>
      <c r="H664" s="23">
        <v>3.0000000000000001E-3</v>
      </c>
      <c r="I664" s="39">
        <v>44378</v>
      </c>
      <c r="J664" s="39">
        <v>44408</v>
      </c>
      <c r="K664" s="24">
        <v>31</v>
      </c>
      <c r="L664" s="24">
        <v>64208</v>
      </c>
      <c r="M664" s="24">
        <v>252000000</v>
      </c>
    </row>
    <row r="665" spans="1:13" s="5" customFormat="1" outlineLevel="2">
      <c r="A665" s="39" t="s">
        <v>268</v>
      </c>
      <c r="B665" s="40" t="s">
        <v>63</v>
      </c>
      <c r="C665" s="41" t="s">
        <v>280</v>
      </c>
      <c r="D665" s="40" t="s">
        <v>281</v>
      </c>
      <c r="E665" s="24">
        <v>250000000</v>
      </c>
      <c r="F665" s="39">
        <v>44228</v>
      </c>
      <c r="G665" s="24">
        <v>250000000</v>
      </c>
      <c r="H665" s="23">
        <v>3.0000000000000001E-3</v>
      </c>
      <c r="I665" s="39">
        <v>44378</v>
      </c>
      <c r="J665" s="39">
        <v>44408</v>
      </c>
      <c r="K665" s="24">
        <v>31</v>
      </c>
      <c r="L665" s="24">
        <v>63699</v>
      </c>
      <c r="M665" s="24">
        <v>250000000</v>
      </c>
    </row>
    <row r="666" spans="1:13" s="5" customFormat="1" outlineLevel="2">
      <c r="A666" s="39" t="s">
        <v>268</v>
      </c>
      <c r="B666" s="40" t="s">
        <v>64</v>
      </c>
      <c r="C666" s="41" t="s">
        <v>280</v>
      </c>
      <c r="D666" s="40" t="s">
        <v>281</v>
      </c>
      <c r="E666" s="24">
        <v>50000000</v>
      </c>
      <c r="F666" s="39">
        <v>44347</v>
      </c>
      <c r="G666" s="24">
        <v>50000000</v>
      </c>
      <c r="H666" s="23">
        <v>3.0000000000000001E-3</v>
      </c>
      <c r="I666" s="39">
        <v>44378</v>
      </c>
      <c r="J666" s="39">
        <v>44408</v>
      </c>
      <c r="K666" s="24">
        <v>31</v>
      </c>
      <c r="L666" s="24">
        <v>12740</v>
      </c>
      <c r="M666" s="24">
        <v>50000000</v>
      </c>
    </row>
    <row r="667" spans="1:13" s="5" customFormat="1" outlineLevel="1">
      <c r="A667" s="42" t="s">
        <v>269</v>
      </c>
      <c r="B667" s="43"/>
      <c r="C667" s="44"/>
      <c r="D667" s="43"/>
      <c r="E667" s="45">
        <v>1085040000</v>
      </c>
      <c r="F667" s="46"/>
      <c r="G667" s="45"/>
      <c r="H667" s="47"/>
      <c r="I667" s="46"/>
      <c r="J667" s="46"/>
      <c r="K667" s="45"/>
      <c r="L667" s="45">
        <v>276462</v>
      </c>
      <c r="M667" s="45">
        <v>1085040000</v>
      </c>
    </row>
    <row r="668" spans="1:13" s="5" customFormat="1" outlineLevel="2">
      <c r="A668" s="39" t="s">
        <v>343</v>
      </c>
      <c r="B668" s="40" t="s">
        <v>16</v>
      </c>
      <c r="C668" s="41" t="s">
        <v>246</v>
      </c>
      <c r="D668" s="40" t="s">
        <v>247</v>
      </c>
      <c r="E668" s="24">
        <v>1230000</v>
      </c>
      <c r="F668" s="39">
        <v>44308</v>
      </c>
      <c r="G668" s="24">
        <v>1230000</v>
      </c>
      <c r="H668" s="23">
        <v>5.0000000000000001E-3</v>
      </c>
      <c r="I668" s="39">
        <v>44378</v>
      </c>
      <c r="J668" s="39">
        <v>44408</v>
      </c>
      <c r="K668" s="24">
        <v>31</v>
      </c>
      <c r="L668" s="24">
        <v>522</v>
      </c>
      <c r="M668" s="24">
        <v>1230000</v>
      </c>
    </row>
    <row r="669" spans="1:13" s="5" customFormat="1" outlineLevel="1">
      <c r="A669" s="42" t="s">
        <v>342</v>
      </c>
      <c r="B669" s="43"/>
      <c r="C669" s="44"/>
      <c r="D669" s="43"/>
      <c r="E669" s="45">
        <v>1230000</v>
      </c>
      <c r="F669" s="46"/>
      <c r="G669" s="45"/>
      <c r="H669" s="47"/>
      <c r="I669" s="46"/>
      <c r="J669" s="46"/>
      <c r="K669" s="45"/>
      <c r="L669" s="45">
        <v>522</v>
      </c>
      <c r="M669" s="45">
        <v>1230000</v>
      </c>
    </row>
    <row r="670" spans="1:13" s="5" customFormat="1" outlineLevel="2">
      <c r="A670" s="39" t="s">
        <v>270</v>
      </c>
      <c r="B670" s="40" t="s">
        <v>16</v>
      </c>
      <c r="C670" s="41" t="s">
        <v>273</v>
      </c>
      <c r="D670" s="40" t="s">
        <v>272</v>
      </c>
      <c r="E670" s="24">
        <v>126000000</v>
      </c>
      <c r="F670" s="39">
        <v>43804</v>
      </c>
      <c r="G670" s="24">
        <v>126000000</v>
      </c>
      <c r="H670" s="23">
        <v>5.0000000000000001E-3</v>
      </c>
      <c r="I670" s="39">
        <v>44378</v>
      </c>
      <c r="J670" s="39">
        <v>44408</v>
      </c>
      <c r="K670" s="24">
        <v>31</v>
      </c>
      <c r="L670" s="24">
        <v>53507</v>
      </c>
      <c r="M670" s="24">
        <v>126000000</v>
      </c>
    </row>
    <row r="671" spans="1:13" s="5" customFormat="1" outlineLevel="2">
      <c r="A671" s="39" t="s">
        <v>270</v>
      </c>
      <c r="B671" s="40" t="s">
        <v>19</v>
      </c>
      <c r="C671" s="41" t="s">
        <v>273</v>
      </c>
      <c r="D671" s="40" t="s">
        <v>272</v>
      </c>
      <c r="E671" s="24">
        <v>46600000</v>
      </c>
      <c r="F671" s="39">
        <v>43866</v>
      </c>
      <c r="G671" s="24">
        <v>46600000</v>
      </c>
      <c r="H671" s="23">
        <v>5.0000000000000001E-3</v>
      </c>
      <c r="I671" s="39">
        <v>44378</v>
      </c>
      <c r="J671" s="39">
        <v>44408</v>
      </c>
      <c r="K671" s="24">
        <v>31</v>
      </c>
      <c r="L671" s="24">
        <v>19789</v>
      </c>
      <c r="M671" s="24">
        <v>46600000</v>
      </c>
    </row>
    <row r="672" spans="1:13" s="5" customFormat="1" outlineLevel="2">
      <c r="A672" s="39" t="s">
        <v>270</v>
      </c>
      <c r="B672" s="40" t="s">
        <v>145</v>
      </c>
      <c r="C672" s="41" t="s">
        <v>115</v>
      </c>
      <c r="D672" s="40" t="s">
        <v>116</v>
      </c>
      <c r="E672" s="24">
        <v>41000000</v>
      </c>
      <c r="F672" s="39">
        <v>44337</v>
      </c>
      <c r="G672" s="24">
        <v>41000000</v>
      </c>
      <c r="H672" s="23">
        <v>5.0000000000000001E-3</v>
      </c>
      <c r="I672" s="39">
        <v>44378</v>
      </c>
      <c r="J672" s="39">
        <v>44408</v>
      </c>
      <c r="K672" s="24">
        <v>31</v>
      </c>
      <c r="L672" s="24">
        <v>17411</v>
      </c>
      <c r="M672" s="24">
        <v>41000000</v>
      </c>
    </row>
    <row r="673" spans="1:13" s="5" customFormat="1" outlineLevel="2">
      <c r="A673" s="39" t="s">
        <v>270</v>
      </c>
      <c r="B673" s="40" t="s">
        <v>148</v>
      </c>
      <c r="C673" s="41" t="s">
        <v>143</v>
      </c>
      <c r="D673" s="40" t="s">
        <v>144</v>
      </c>
      <c r="E673" s="24">
        <v>2900000</v>
      </c>
      <c r="F673" s="39">
        <v>44319</v>
      </c>
      <c r="G673" s="24">
        <v>2900000</v>
      </c>
      <c r="H673" s="23">
        <v>5.0000000000000001E-3</v>
      </c>
      <c r="I673" s="39">
        <v>44378</v>
      </c>
      <c r="J673" s="39">
        <v>44408</v>
      </c>
      <c r="K673" s="24">
        <v>31</v>
      </c>
      <c r="L673" s="24">
        <v>1232</v>
      </c>
      <c r="M673" s="24">
        <v>2900000</v>
      </c>
    </row>
    <row r="674" spans="1:13" s="5" customFormat="1" outlineLevel="2">
      <c r="A674" s="39" t="s">
        <v>270</v>
      </c>
      <c r="B674" s="40" t="s">
        <v>151</v>
      </c>
      <c r="C674" s="41" t="s">
        <v>143</v>
      </c>
      <c r="D674" s="40" t="s">
        <v>144</v>
      </c>
      <c r="E674" s="24">
        <v>6800000</v>
      </c>
      <c r="F674" s="39">
        <v>44327</v>
      </c>
      <c r="G674" s="24">
        <v>6800000</v>
      </c>
      <c r="H674" s="23">
        <v>5.0000000000000001E-3</v>
      </c>
      <c r="I674" s="39">
        <v>44378</v>
      </c>
      <c r="J674" s="39">
        <v>44408</v>
      </c>
      <c r="K674" s="24">
        <v>31</v>
      </c>
      <c r="L674" s="24">
        <v>2888</v>
      </c>
      <c r="M674" s="24">
        <v>6800000</v>
      </c>
    </row>
    <row r="675" spans="1:13" s="5" customFormat="1" outlineLevel="2">
      <c r="A675" s="39" t="s">
        <v>270</v>
      </c>
      <c r="B675" s="40" t="s">
        <v>152</v>
      </c>
      <c r="C675" s="41" t="s">
        <v>143</v>
      </c>
      <c r="D675" s="40" t="s">
        <v>144</v>
      </c>
      <c r="E675" s="24">
        <v>1620000</v>
      </c>
      <c r="F675" s="39">
        <v>44347</v>
      </c>
      <c r="G675" s="24">
        <v>1620000</v>
      </c>
      <c r="H675" s="23">
        <v>5.0000000000000001E-3</v>
      </c>
      <c r="I675" s="39">
        <v>44378</v>
      </c>
      <c r="J675" s="39">
        <v>44408</v>
      </c>
      <c r="K675" s="24">
        <v>31</v>
      </c>
      <c r="L675" s="24">
        <v>688</v>
      </c>
      <c r="M675" s="24">
        <v>1620000</v>
      </c>
    </row>
    <row r="676" spans="1:13" s="5" customFormat="1" outlineLevel="2">
      <c r="A676" s="39" t="s">
        <v>270</v>
      </c>
      <c r="B676" s="40" t="s">
        <v>153</v>
      </c>
      <c r="C676" s="41" t="s">
        <v>273</v>
      </c>
      <c r="D676" s="40" t="s">
        <v>272</v>
      </c>
      <c r="E676" s="24">
        <v>1500000</v>
      </c>
      <c r="F676" s="39">
        <v>44321</v>
      </c>
      <c r="G676" s="24">
        <v>1500000</v>
      </c>
      <c r="H676" s="23">
        <v>5.0000000000000001E-3</v>
      </c>
      <c r="I676" s="39">
        <v>44378</v>
      </c>
      <c r="J676" s="39">
        <v>44408</v>
      </c>
      <c r="K676" s="24">
        <v>31</v>
      </c>
      <c r="L676" s="24">
        <v>637</v>
      </c>
      <c r="M676" s="24">
        <v>1500000</v>
      </c>
    </row>
    <row r="677" spans="1:13" s="5" customFormat="1" outlineLevel="2">
      <c r="A677" s="39" t="s">
        <v>270</v>
      </c>
      <c r="B677" s="40" t="s">
        <v>154</v>
      </c>
      <c r="C677" s="41" t="s">
        <v>273</v>
      </c>
      <c r="D677" s="40" t="s">
        <v>272</v>
      </c>
      <c r="E677" s="24">
        <v>18000000</v>
      </c>
      <c r="F677" s="39">
        <v>44321</v>
      </c>
      <c r="G677" s="24">
        <v>18000000</v>
      </c>
      <c r="H677" s="23">
        <v>5.0000000000000001E-3</v>
      </c>
      <c r="I677" s="39">
        <v>44378</v>
      </c>
      <c r="J677" s="39">
        <v>44408</v>
      </c>
      <c r="K677" s="24">
        <v>31</v>
      </c>
      <c r="L677" s="24">
        <v>7644</v>
      </c>
      <c r="M677" s="24">
        <v>18000000</v>
      </c>
    </row>
    <row r="678" spans="1:13" s="5" customFormat="1" outlineLevel="2">
      <c r="A678" s="39" t="s">
        <v>270</v>
      </c>
      <c r="B678" s="40" t="s">
        <v>157</v>
      </c>
      <c r="C678" s="41" t="s">
        <v>75</v>
      </c>
      <c r="D678" s="40" t="s">
        <v>76</v>
      </c>
      <c r="E678" s="24">
        <v>38590000</v>
      </c>
      <c r="F678" s="39">
        <v>44321</v>
      </c>
      <c r="G678" s="24">
        <v>38590000</v>
      </c>
      <c r="H678" s="23">
        <v>5.0000000000000001E-3</v>
      </c>
      <c r="I678" s="39">
        <v>44378</v>
      </c>
      <c r="J678" s="39">
        <v>44408</v>
      </c>
      <c r="K678" s="24">
        <v>31</v>
      </c>
      <c r="L678" s="24">
        <v>16388</v>
      </c>
      <c r="M678" s="24">
        <v>38590000</v>
      </c>
    </row>
    <row r="679" spans="1:13" s="5" customFormat="1" outlineLevel="2">
      <c r="A679" s="39" t="s">
        <v>270</v>
      </c>
      <c r="B679" s="40" t="s">
        <v>158</v>
      </c>
      <c r="C679" s="41" t="s">
        <v>322</v>
      </c>
      <c r="D679" s="40" t="s">
        <v>321</v>
      </c>
      <c r="E679" s="24">
        <v>4163250</v>
      </c>
      <c r="F679" s="39">
        <v>44377</v>
      </c>
      <c r="G679" s="24">
        <v>4163250</v>
      </c>
      <c r="H679" s="23">
        <v>5.0000000000000001E-3</v>
      </c>
      <c r="I679" s="39">
        <v>44378</v>
      </c>
      <c r="J679" s="39">
        <v>44408</v>
      </c>
      <c r="K679" s="24">
        <v>31</v>
      </c>
      <c r="L679" s="24">
        <v>1768</v>
      </c>
      <c r="M679" s="24">
        <v>4163250</v>
      </c>
    </row>
    <row r="680" spans="1:13" s="5" customFormat="1" outlineLevel="2">
      <c r="A680" s="39" t="s">
        <v>270</v>
      </c>
      <c r="B680" s="40" t="s">
        <v>159</v>
      </c>
      <c r="C680" s="41" t="s">
        <v>274</v>
      </c>
      <c r="D680" s="40" t="s">
        <v>275</v>
      </c>
      <c r="E680" s="24">
        <v>18388440</v>
      </c>
      <c r="F680" s="39">
        <v>44356</v>
      </c>
      <c r="G680" s="24">
        <v>18388440</v>
      </c>
      <c r="H680" s="23">
        <v>5.0000000000000001E-3</v>
      </c>
      <c r="I680" s="39">
        <v>44378</v>
      </c>
      <c r="J680" s="39">
        <v>44408</v>
      </c>
      <c r="K680" s="24">
        <v>31</v>
      </c>
      <c r="L680" s="24">
        <v>7809</v>
      </c>
      <c r="M680" s="24">
        <v>18388440</v>
      </c>
    </row>
    <row r="681" spans="1:13" s="5" customFormat="1" outlineLevel="2">
      <c r="A681" s="39" t="s">
        <v>270</v>
      </c>
      <c r="B681" s="40" t="s">
        <v>320</v>
      </c>
      <c r="C681" s="41" t="s">
        <v>274</v>
      </c>
      <c r="D681" s="40" t="s">
        <v>275</v>
      </c>
      <c r="E681" s="24">
        <v>21892380</v>
      </c>
      <c r="F681" s="39">
        <v>44356</v>
      </c>
      <c r="G681" s="24">
        <v>21892380</v>
      </c>
      <c r="H681" s="23">
        <v>5.0000000000000001E-3</v>
      </c>
      <c r="I681" s="39">
        <v>44378</v>
      </c>
      <c r="J681" s="39">
        <v>44408</v>
      </c>
      <c r="K681" s="24">
        <v>31</v>
      </c>
      <c r="L681" s="24">
        <v>9297</v>
      </c>
      <c r="M681" s="24">
        <v>21892380</v>
      </c>
    </row>
    <row r="682" spans="1:13" s="5" customFormat="1" outlineLevel="2">
      <c r="A682" s="39" t="s">
        <v>270</v>
      </c>
      <c r="B682" s="40" t="s">
        <v>22</v>
      </c>
      <c r="C682" s="41" t="s">
        <v>273</v>
      </c>
      <c r="D682" s="40" t="s">
        <v>272</v>
      </c>
      <c r="E682" s="24">
        <v>1300000</v>
      </c>
      <c r="F682" s="39">
        <v>43866</v>
      </c>
      <c r="G682" s="24">
        <v>1300000</v>
      </c>
      <c r="H682" s="23">
        <v>5.0000000000000001E-3</v>
      </c>
      <c r="I682" s="39">
        <v>44378</v>
      </c>
      <c r="J682" s="39">
        <v>44408</v>
      </c>
      <c r="K682" s="24">
        <v>31</v>
      </c>
      <c r="L682" s="24">
        <v>552</v>
      </c>
      <c r="M682" s="24">
        <v>1300000</v>
      </c>
    </row>
    <row r="683" spans="1:13" s="5" customFormat="1" outlineLevel="2">
      <c r="A683" s="39" t="s">
        <v>270</v>
      </c>
      <c r="B683" s="40" t="s">
        <v>319</v>
      </c>
      <c r="C683" s="41" t="s">
        <v>143</v>
      </c>
      <c r="D683" s="40" t="s">
        <v>144</v>
      </c>
      <c r="E683" s="24">
        <v>900000</v>
      </c>
      <c r="F683" s="39">
        <v>44368</v>
      </c>
      <c r="G683" s="24">
        <v>900000</v>
      </c>
      <c r="H683" s="23">
        <v>5.0000000000000001E-3</v>
      </c>
      <c r="I683" s="39">
        <v>44378</v>
      </c>
      <c r="J683" s="39">
        <v>44408</v>
      </c>
      <c r="K683" s="24">
        <v>31</v>
      </c>
      <c r="L683" s="24">
        <v>382</v>
      </c>
      <c r="M683" s="24">
        <v>900000</v>
      </c>
    </row>
    <row r="684" spans="1:13" s="5" customFormat="1" outlineLevel="2">
      <c r="A684" s="39" t="s">
        <v>270</v>
      </c>
      <c r="B684" s="40" t="s">
        <v>318</v>
      </c>
      <c r="C684" s="41" t="s">
        <v>273</v>
      </c>
      <c r="D684" s="40" t="s">
        <v>272</v>
      </c>
      <c r="E684" s="24">
        <v>13700000</v>
      </c>
      <c r="F684" s="39">
        <v>44351</v>
      </c>
      <c r="G684" s="24">
        <v>13700000</v>
      </c>
      <c r="H684" s="23">
        <v>5.0000000000000001E-3</v>
      </c>
      <c r="I684" s="39">
        <v>44378</v>
      </c>
      <c r="J684" s="39">
        <v>44408</v>
      </c>
      <c r="K684" s="24">
        <v>31</v>
      </c>
      <c r="L684" s="24">
        <v>5818</v>
      </c>
      <c r="M684" s="24">
        <v>13700000</v>
      </c>
    </row>
    <row r="685" spans="1:13" s="5" customFormat="1" outlineLevel="2">
      <c r="A685" s="39" t="s">
        <v>270</v>
      </c>
      <c r="B685" s="40" t="s">
        <v>317</v>
      </c>
      <c r="C685" s="41" t="s">
        <v>274</v>
      </c>
      <c r="D685" s="40" t="s">
        <v>275</v>
      </c>
      <c r="E685" s="24">
        <v>21892380</v>
      </c>
      <c r="F685" s="39">
        <v>44391</v>
      </c>
      <c r="G685" s="24">
        <v>21892380</v>
      </c>
      <c r="H685" s="23">
        <v>5.0000000000000001E-3</v>
      </c>
      <c r="I685" s="39">
        <v>44391</v>
      </c>
      <c r="J685" s="39">
        <v>44408</v>
      </c>
      <c r="K685" s="24">
        <v>18</v>
      </c>
      <c r="L685" s="24">
        <v>5398</v>
      </c>
      <c r="M685" s="24">
        <v>21892380</v>
      </c>
    </row>
    <row r="686" spans="1:13" s="5" customFormat="1" outlineLevel="2">
      <c r="A686" s="39" t="s">
        <v>270</v>
      </c>
      <c r="B686" s="40" t="s">
        <v>316</v>
      </c>
      <c r="C686" s="41" t="s">
        <v>274</v>
      </c>
      <c r="D686" s="40" t="s">
        <v>275</v>
      </c>
      <c r="E686" s="24">
        <v>14303880</v>
      </c>
      <c r="F686" s="39">
        <v>44391</v>
      </c>
      <c r="G686" s="24">
        <v>14303880</v>
      </c>
      <c r="H686" s="23">
        <v>5.0000000000000001E-3</v>
      </c>
      <c r="I686" s="39">
        <v>44391</v>
      </c>
      <c r="J686" s="39">
        <v>44408</v>
      </c>
      <c r="K686" s="24">
        <v>18</v>
      </c>
      <c r="L686" s="24">
        <v>3527</v>
      </c>
      <c r="M686" s="24">
        <v>14303880</v>
      </c>
    </row>
    <row r="687" spans="1:13" s="5" customFormat="1" outlineLevel="2">
      <c r="A687" s="39" t="s">
        <v>270</v>
      </c>
      <c r="B687" s="40" t="s">
        <v>315</v>
      </c>
      <c r="C687" s="41" t="s">
        <v>115</v>
      </c>
      <c r="D687" s="40" t="s">
        <v>116</v>
      </c>
      <c r="E687" s="24">
        <v>18650000</v>
      </c>
      <c r="F687" s="39">
        <v>44384</v>
      </c>
      <c r="G687" s="24">
        <v>18650000</v>
      </c>
      <c r="H687" s="23">
        <v>5.0000000000000001E-3</v>
      </c>
      <c r="I687" s="39">
        <v>44384</v>
      </c>
      <c r="J687" s="39">
        <v>44408</v>
      </c>
      <c r="K687" s="24">
        <v>25</v>
      </c>
      <c r="L687" s="24">
        <v>6387</v>
      </c>
      <c r="M687" s="24">
        <v>18650000</v>
      </c>
    </row>
    <row r="688" spans="1:13" s="5" customFormat="1" outlineLevel="2">
      <c r="A688" s="39" t="s">
        <v>270</v>
      </c>
      <c r="B688" s="40" t="s">
        <v>314</v>
      </c>
      <c r="C688" s="41" t="s">
        <v>273</v>
      </c>
      <c r="D688" s="40" t="s">
        <v>272</v>
      </c>
      <c r="E688" s="24">
        <v>16800000</v>
      </c>
      <c r="F688" s="39">
        <v>44382</v>
      </c>
      <c r="G688" s="24">
        <v>16800000</v>
      </c>
      <c r="H688" s="23">
        <v>5.0000000000000001E-3</v>
      </c>
      <c r="I688" s="39">
        <v>44382</v>
      </c>
      <c r="J688" s="39">
        <v>44408</v>
      </c>
      <c r="K688" s="24">
        <v>27</v>
      </c>
      <c r="L688" s="24">
        <v>6214</v>
      </c>
      <c r="M688" s="24">
        <v>16800000</v>
      </c>
    </row>
    <row r="689" spans="1:13" s="5" customFormat="1" outlineLevel="2">
      <c r="A689" s="39" t="s">
        <v>270</v>
      </c>
      <c r="B689" s="40" t="s">
        <v>313</v>
      </c>
      <c r="C689" s="41" t="s">
        <v>273</v>
      </c>
      <c r="D689" s="40" t="s">
        <v>272</v>
      </c>
      <c r="E689" s="24">
        <v>8400000</v>
      </c>
      <c r="F689" s="39">
        <v>44382</v>
      </c>
      <c r="G689" s="24">
        <v>8400000</v>
      </c>
      <c r="H689" s="23">
        <v>5.0000000000000001E-3</v>
      </c>
      <c r="I689" s="39">
        <v>44382</v>
      </c>
      <c r="J689" s="39">
        <v>44408</v>
      </c>
      <c r="K689" s="24">
        <v>27</v>
      </c>
      <c r="L689" s="24">
        <v>3107</v>
      </c>
      <c r="M689" s="24">
        <v>8400000</v>
      </c>
    </row>
    <row r="690" spans="1:13" s="5" customFormat="1" outlineLevel="2">
      <c r="A690" s="39" t="s">
        <v>270</v>
      </c>
      <c r="B690" s="40" t="s">
        <v>312</v>
      </c>
      <c r="C690" s="41" t="s">
        <v>273</v>
      </c>
      <c r="D690" s="40" t="s">
        <v>272</v>
      </c>
      <c r="E690" s="24">
        <v>14100000</v>
      </c>
      <c r="F690" s="39">
        <v>44382</v>
      </c>
      <c r="G690" s="24">
        <v>14100000</v>
      </c>
      <c r="H690" s="23">
        <v>5.0000000000000001E-3</v>
      </c>
      <c r="I690" s="39">
        <v>44382</v>
      </c>
      <c r="J690" s="39">
        <v>44408</v>
      </c>
      <c r="K690" s="24">
        <v>27</v>
      </c>
      <c r="L690" s="24">
        <v>5215</v>
      </c>
      <c r="M690" s="24">
        <v>14100000</v>
      </c>
    </row>
    <row r="691" spans="1:13" s="5" customFormat="1" outlineLevel="2">
      <c r="A691" s="39" t="s">
        <v>270</v>
      </c>
      <c r="B691" s="40" t="s">
        <v>311</v>
      </c>
      <c r="C691" s="41" t="s">
        <v>75</v>
      </c>
      <c r="D691" s="40" t="s">
        <v>76</v>
      </c>
      <c r="E691" s="24">
        <v>44280000</v>
      </c>
      <c r="F691" s="39">
        <v>44378</v>
      </c>
      <c r="G691" s="24">
        <v>44280000</v>
      </c>
      <c r="H691" s="23">
        <v>5.0000000000000001E-3</v>
      </c>
      <c r="I691" s="39">
        <v>44378</v>
      </c>
      <c r="J691" s="39">
        <v>44408</v>
      </c>
      <c r="K691" s="24">
        <v>31</v>
      </c>
      <c r="L691" s="24">
        <v>18804</v>
      </c>
      <c r="M691" s="24">
        <v>44280000</v>
      </c>
    </row>
    <row r="692" spans="1:13" s="5" customFormat="1" outlineLevel="2">
      <c r="A692" s="39" t="s">
        <v>270</v>
      </c>
      <c r="B692" s="40" t="s">
        <v>25</v>
      </c>
      <c r="C692" s="41" t="s">
        <v>274</v>
      </c>
      <c r="D692" s="40" t="s">
        <v>275</v>
      </c>
      <c r="E692" s="24">
        <v>9087600</v>
      </c>
      <c r="F692" s="39">
        <v>43901</v>
      </c>
      <c r="G692" s="24">
        <v>9087600</v>
      </c>
      <c r="H692" s="23">
        <v>5.0000000000000001E-3</v>
      </c>
      <c r="I692" s="39">
        <v>44378</v>
      </c>
      <c r="J692" s="39">
        <v>44408</v>
      </c>
      <c r="K692" s="24">
        <v>31</v>
      </c>
      <c r="L692" s="24">
        <v>3859</v>
      </c>
      <c r="M692" s="24">
        <v>9087600</v>
      </c>
    </row>
    <row r="693" spans="1:13" s="5" customFormat="1" outlineLevel="2">
      <c r="A693" s="39" t="s">
        <v>270</v>
      </c>
      <c r="B693" s="40" t="s">
        <v>26</v>
      </c>
      <c r="C693" s="41" t="s">
        <v>274</v>
      </c>
      <c r="D693" s="40" t="s">
        <v>275</v>
      </c>
      <c r="E693" s="24">
        <v>7270080</v>
      </c>
      <c r="F693" s="39">
        <v>43901</v>
      </c>
      <c r="G693" s="24">
        <v>7270080</v>
      </c>
      <c r="H693" s="23">
        <v>5.0000000000000001E-3</v>
      </c>
      <c r="I693" s="39">
        <v>44378</v>
      </c>
      <c r="J693" s="39">
        <v>44408</v>
      </c>
      <c r="K693" s="24">
        <v>31</v>
      </c>
      <c r="L693" s="24">
        <v>3087</v>
      </c>
      <c r="M693" s="24">
        <v>7270080</v>
      </c>
    </row>
    <row r="694" spans="1:13" s="5" customFormat="1" outlineLevel="2">
      <c r="A694" s="39" t="s">
        <v>270</v>
      </c>
      <c r="B694" s="40" t="s">
        <v>29</v>
      </c>
      <c r="C694" s="41" t="s">
        <v>273</v>
      </c>
      <c r="D694" s="40" t="s">
        <v>272</v>
      </c>
      <c r="E694" s="24">
        <v>99400000</v>
      </c>
      <c r="F694" s="39">
        <v>43917</v>
      </c>
      <c r="G694" s="24">
        <v>99400000</v>
      </c>
      <c r="H694" s="23">
        <v>5.0000000000000001E-3</v>
      </c>
      <c r="I694" s="39">
        <v>44378</v>
      </c>
      <c r="J694" s="39">
        <v>44408</v>
      </c>
      <c r="K694" s="24">
        <v>31</v>
      </c>
      <c r="L694" s="24">
        <v>42211</v>
      </c>
      <c r="M694" s="24">
        <v>99400000</v>
      </c>
    </row>
    <row r="695" spans="1:13" s="5" customFormat="1" outlineLevel="2">
      <c r="A695" s="39" t="s">
        <v>270</v>
      </c>
      <c r="B695" s="40" t="s">
        <v>32</v>
      </c>
      <c r="C695" s="41" t="s">
        <v>274</v>
      </c>
      <c r="D695" s="40" t="s">
        <v>275</v>
      </c>
      <c r="E695" s="24">
        <v>9087600</v>
      </c>
      <c r="F695" s="39">
        <v>43929</v>
      </c>
      <c r="G695" s="24">
        <v>9087600</v>
      </c>
      <c r="H695" s="23">
        <v>5.0000000000000001E-3</v>
      </c>
      <c r="I695" s="39">
        <v>44378</v>
      </c>
      <c r="J695" s="39">
        <v>44408</v>
      </c>
      <c r="K695" s="24">
        <v>31</v>
      </c>
      <c r="L695" s="24">
        <v>3859</v>
      </c>
      <c r="M695" s="24">
        <v>9087600</v>
      </c>
    </row>
    <row r="696" spans="1:13" s="5" customFormat="1" outlineLevel="2">
      <c r="A696" s="39" t="s">
        <v>270</v>
      </c>
      <c r="B696" s="40" t="s">
        <v>33</v>
      </c>
      <c r="C696" s="41" t="s">
        <v>274</v>
      </c>
      <c r="D696" s="40" t="s">
        <v>275</v>
      </c>
      <c r="E696" s="24">
        <v>13007640</v>
      </c>
      <c r="F696" s="39">
        <v>43929</v>
      </c>
      <c r="G696" s="24">
        <v>13007640</v>
      </c>
      <c r="H696" s="23">
        <v>5.0000000000000001E-3</v>
      </c>
      <c r="I696" s="39">
        <v>44378</v>
      </c>
      <c r="J696" s="39">
        <v>44408</v>
      </c>
      <c r="K696" s="24">
        <v>31</v>
      </c>
      <c r="L696" s="24">
        <v>5524</v>
      </c>
      <c r="M696" s="24">
        <v>13007640</v>
      </c>
    </row>
    <row r="697" spans="1:13" s="5" customFormat="1" outlineLevel="2">
      <c r="A697" s="39" t="s">
        <v>270</v>
      </c>
      <c r="B697" s="40" t="s">
        <v>34</v>
      </c>
      <c r="C697" s="41" t="s">
        <v>276</v>
      </c>
      <c r="D697" s="40" t="s">
        <v>277</v>
      </c>
      <c r="E697" s="24">
        <v>61668037</v>
      </c>
      <c r="F697" s="39">
        <v>43949</v>
      </c>
      <c r="G697" s="24">
        <v>61668037</v>
      </c>
      <c r="H697" s="23">
        <v>5.0000000000000001E-3</v>
      </c>
      <c r="I697" s="39">
        <v>44378</v>
      </c>
      <c r="J697" s="39">
        <v>44408</v>
      </c>
      <c r="K697" s="24">
        <v>31</v>
      </c>
      <c r="L697" s="24">
        <v>26188</v>
      </c>
      <c r="M697" s="24">
        <v>61668037</v>
      </c>
    </row>
    <row r="698" spans="1:13" s="5" customFormat="1" outlineLevel="2">
      <c r="A698" s="39" t="s">
        <v>270</v>
      </c>
      <c r="B698" s="40" t="s">
        <v>35</v>
      </c>
      <c r="C698" s="41" t="s">
        <v>274</v>
      </c>
      <c r="D698" s="40" t="s">
        <v>275</v>
      </c>
      <c r="E698" s="24">
        <v>13007640</v>
      </c>
      <c r="F698" s="39">
        <v>43964</v>
      </c>
      <c r="G698" s="24">
        <v>13007640</v>
      </c>
      <c r="H698" s="23">
        <v>5.0000000000000001E-3</v>
      </c>
      <c r="I698" s="39">
        <v>44378</v>
      </c>
      <c r="J698" s="39">
        <v>44408</v>
      </c>
      <c r="K698" s="24">
        <v>31</v>
      </c>
      <c r="L698" s="24">
        <v>5524</v>
      </c>
      <c r="M698" s="24">
        <v>13007640</v>
      </c>
    </row>
    <row r="699" spans="1:13" s="5" customFormat="1" outlineLevel="2">
      <c r="A699" s="39" t="s">
        <v>270</v>
      </c>
      <c r="B699" s="40" t="s">
        <v>36</v>
      </c>
      <c r="C699" s="41" t="s">
        <v>274</v>
      </c>
      <c r="D699" s="40" t="s">
        <v>275</v>
      </c>
      <c r="E699" s="24">
        <v>6361320</v>
      </c>
      <c r="F699" s="39">
        <v>43964</v>
      </c>
      <c r="G699" s="24">
        <v>6361320</v>
      </c>
      <c r="H699" s="23">
        <v>5.0000000000000001E-3</v>
      </c>
      <c r="I699" s="39">
        <v>44378</v>
      </c>
      <c r="J699" s="39">
        <v>44408</v>
      </c>
      <c r="K699" s="24">
        <v>31</v>
      </c>
      <c r="L699" s="24">
        <v>2701</v>
      </c>
      <c r="M699" s="24">
        <v>6361320</v>
      </c>
    </row>
    <row r="700" spans="1:13" s="5" customFormat="1" outlineLevel="2">
      <c r="A700" s="39" t="s">
        <v>270</v>
      </c>
      <c r="B700" s="40" t="s">
        <v>39</v>
      </c>
      <c r="C700" s="41" t="s">
        <v>274</v>
      </c>
      <c r="D700" s="40" t="s">
        <v>275</v>
      </c>
      <c r="E700" s="24">
        <v>5452560</v>
      </c>
      <c r="F700" s="39">
        <v>43810</v>
      </c>
      <c r="G700" s="24">
        <v>5452560</v>
      </c>
      <c r="H700" s="23">
        <v>5.0000000000000001E-3</v>
      </c>
      <c r="I700" s="39">
        <v>44378</v>
      </c>
      <c r="J700" s="39">
        <v>44408</v>
      </c>
      <c r="K700" s="24">
        <v>31</v>
      </c>
      <c r="L700" s="24">
        <v>2315</v>
      </c>
      <c r="M700" s="24">
        <v>5452560</v>
      </c>
    </row>
    <row r="701" spans="1:13" s="5" customFormat="1" outlineLevel="2">
      <c r="A701" s="39" t="s">
        <v>270</v>
      </c>
      <c r="B701" s="40" t="s">
        <v>40</v>
      </c>
      <c r="C701" s="41" t="s">
        <v>273</v>
      </c>
      <c r="D701" s="40" t="s">
        <v>272</v>
      </c>
      <c r="E701" s="24">
        <v>69800000</v>
      </c>
      <c r="F701" s="39">
        <v>43956</v>
      </c>
      <c r="G701" s="24">
        <v>69800000</v>
      </c>
      <c r="H701" s="23">
        <v>5.0000000000000001E-3</v>
      </c>
      <c r="I701" s="39">
        <v>44378</v>
      </c>
      <c r="J701" s="39">
        <v>44408</v>
      </c>
      <c r="K701" s="24">
        <v>31</v>
      </c>
      <c r="L701" s="24">
        <v>29641</v>
      </c>
      <c r="M701" s="24">
        <v>69800000</v>
      </c>
    </row>
    <row r="702" spans="1:13" s="5" customFormat="1" outlineLevel="2">
      <c r="A702" s="39" t="s">
        <v>270</v>
      </c>
      <c r="B702" s="40" t="s">
        <v>41</v>
      </c>
      <c r="C702" s="41" t="s">
        <v>273</v>
      </c>
      <c r="D702" s="40" t="s">
        <v>272</v>
      </c>
      <c r="E702" s="24">
        <v>1500000</v>
      </c>
      <c r="F702" s="39">
        <v>43956</v>
      </c>
      <c r="G702" s="24">
        <v>1500000</v>
      </c>
      <c r="H702" s="23">
        <v>5.0000000000000001E-3</v>
      </c>
      <c r="I702" s="39">
        <v>44378</v>
      </c>
      <c r="J702" s="39">
        <v>44408</v>
      </c>
      <c r="K702" s="24">
        <v>31</v>
      </c>
      <c r="L702" s="24">
        <v>637</v>
      </c>
      <c r="M702" s="24">
        <v>1500000</v>
      </c>
    </row>
    <row r="703" spans="1:13" s="5" customFormat="1" outlineLevel="2">
      <c r="A703" s="39" t="s">
        <v>270</v>
      </c>
      <c r="B703" s="40" t="s">
        <v>42</v>
      </c>
      <c r="C703" s="41" t="s">
        <v>30</v>
      </c>
      <c r="D703" s="40" t="s">
        <v>31</v>
      </c>
      <c r="E703" s="24">
        <v>50000000</v>
      </c>
      <c r="F703" s="39">
        <v>43976</v>
      </c>
      <c r="G703" s="24">
        <v>50000000</v>
      </c>
      <c r="H703" s="23">
        <v>5.0000000000000001E-3</v>
      </c>
      <c r="I703" s="39">
        <v>44378</v>
      </c>
      <c r="J703" s="39">
        <v>44408</v>
      </c>
      <c r="K703" s="24">
        <v>31</v>
      </c>
      <c r="L703" s="24">
        <v>21233</v>
      </c>
      <c r="M703" s="24">
        <v>50000000</v>
      </c>
    </row>
    <row r="704" spans="1:13" s="5" customFormat="1" outlineLevel="2">
      <c r="A704" s="39" t="s">
        <v>270</v>
      </c>
      <c r="B704" s="40" t="s">
        <v>43</v>
      </c>
      <c r="C704" s="41" t="s">
        <v>274</v>
      </c>
      <c r="D704" s="40" t="s">
        <v>275</v>
      </c>
      <c r="E704" s="24">
        <v>6657720</v>
      </c>
      <c r="F704" s="39">
        <v>43992</v>
      </c>
      <c r="G704" s="24">
        <v>6657720</v>
      </c>
      <c r="H704" s="23">
        <v>5.0000000000000001E-3</v>
      </c>
      <c r="I704" s="39">
        <v>44378</v>
      </c>
      <c r="J704" s="39">
        <v>44408</v>
      </c>
      <c r="K704" s="24">
        <v>31</v>
      </c>
      <c r="L704" s="24">
        <v>2827</v>
      </c>
      <c r="M704" s="24">
        <v>6657720</v>
      </c>
    </row>
    <row r="705" spans="1:13" s="5" customFormat="1" outlineLevel="2">
      <c r="A705" s="39" t="s">
        <v>270</v>
      </c>
      <c r="B705" s="40" t="s">
        <v>44</v>
      </c>
      <c r="C705" s="41" t="s">
        <v>274</v>
      </c>
      <c r="D705" s="40" t="s">
        <v>275</v>
      </c>
      <c r="E705" s="24">
        <v>6361320</v>
      </c>
      <c r="F705" s="39">
        <v>43992</v>
      </c>
      <c r="G705" s="24">
        <v>6361320</v>
      </c>
      <c r="H705" s="23">
        <v>5.0000000000000001E-3</v>
      </c>
      <c r="I705" s="39">
        <v>44378</v>
      </c>
      <c r="J705" s="39">
        <v>44408</v>
      </c>
      <c r="K705" s="24">
        <v>31</v>
      </c>
      <c r="L705" s="24">
        <v>2701</v>
      </c>
      <c r="M705" s="24">
        <v>6361320</v>
      </c>
    </row>
    <row r="706" spans="1:13" s="5" customFormat="1" outlineLevel="2">
      <c r="A706" s="39" t="s">
        <v>270</v>
      </c>
      <c r="B706" s="40" t="s">
        <v>47</v>
      </c>
      <c r="C706" s="41" t="s">
        <v>273</v>
      </c>
      <c r="D706" s="40" t="s">
        <v>272</v>
      </c>
      <c r="E706" s="24">
        <v>41200000</v>
      </c>
      <c r="F706" s="39">
        <v>43987</v>
      </c>
      <c r="G706" s="24">
        <v>41200000</v>
      </c>
      <c r="H706" s="23">
        <v>5.0000000000000001E-3</v>
      </c>
      <c r="I706" s="39">
        <v>44378</v>
      </c>
      <c r="J706" s="39">
        <v>44408</v>
      </c>
      <c r="K706" s="24">
        <v>31</v>
      </c>
      <c r="L706" s="24">
        <v>17496</v>
      </c>
      <c r="M706" s="24">
        <v>41200000</v>
      </c>
    </row>
    <row r="707" spans="1:13" s="5" customFormat="1" outlineLevel="2">
      <c r="A707" s="39" t="s">
        <v>270</v>
      </c>
      <c r="B707" s="40" t="s">
        <v>50</v>
      </c>
      <c r="C707" s="41" t="s">
        <v>274</v>
      </c>
      <c r="D707" s="40" t="s">
        <v>275</v>
      </c>
      <c r="E707" s="24">
        <v>6657720</v>
      </c>
      <c r="F707" s="39">
        <v>44020</v>
      </c>
      <c r="G707" s="24">
        <v>6657720</v>
      </c>
      <c r="H707" s="23">
        <v>5.0000000000000001E-3</v>
      </c>
      <c r="I707" s="39">
        <v>44378</v>
      </c>
      <c r="J707" s="39">
        <v>44408</v>
      </c>
      <c r="K707" s="24">
        <v>31</v>
      </c>
      <c r="L707" s="24">
        <v>2827</v>
      </c>
      <c r="M707" s="24">
        <v>6657720</v>
      </c>
    </row>
    <row r="708" spans="1:13" s="5" customFormat="1" outlineLevel="2">
      <c r="A708" s="39" t="s">
        <v>270</v>
      </c>
      <c r="B708" s="40" t="s">
        <v>51</v>
      </c>
      <c r="C708" s="41" t="s">
        <v>274</v>
      </c>
      <c r="D708" s="40" t="s">
        <v>275</v>
      </c>
      <c r="E708" s="24">
        <v>6657720</v>
      </c>
      <c r="F708" s="39">
        <v>44020</v>
      </c>
      <c r="G708" s="24">
        <v>6657720</v>
      </c>
      <c r="H708" s="23">
        <v>5.0000000000000001E-3</v>
      </c>
      <c r="I708" s="39">
        <v>44378</v>
      </c>
      <c r="J708" s="39">
        <v>44408</v>
      </c>
      <c r="K708" s="24">
        <v>31</v>
      </c>
      <c r="L708" s="24">
        <v>2827</v>
      </c>
      <c r="M708" s="24">
        <v>6657720</v>
      </c>
    </row>
    <row r="709" spans="1:13" s="5" customFormat="1" outlineLevel="2">
      <c r="A709" s="39" t="s">
        <v>270</v>
      </c>
      <c r="B709" s="40" t="s">
        <v>52</v>
      </c>
      <c r="C709" s="41" t="s">
        <v>273</v>
      </c>
      <c r="D709" s="40" t="s">
        <v>272</v>
      </c>
      <c r="E709" s="24">
        <v>11800000</v>
      </c>
      <c r="F709" s="39">
        <v>44015</v>
      </c>
      <c r="G709" s="24">
        <v>11800000</v>
      </c>
      <c r="H709" s="23">
        <v>5.0000000000000001E-3</v>
      </c>
      <c r="I709" s="39">
        <v>44378</v>
      </c>
      <c r="J709" s="39">
        <v>44408</v>
      </c>
      <c r="K709" s="24">
        <v>31</v>
      </c>
      <c r="L709" s="24">
        <v>5011</v>
      </c>
      <c r="M709" s="24">
        <v>11800000</v>
      </c>
    </row>
    <row r="710" spans="1:13" s="5" customFormat="1" outlineLevel="2">
      <c r="A710" s="39" t="s">
        <v>270</v>
      </c>
      <c r="B710" s="40" t="s">
        <v>53</v>
      </c>
      <c r="C710" s="41" t="s">
        <v>273</v>
      </c>
      <c r="D710" s="40" t="s">
        <v>272</v>
      </c>
      <c r="E710" s="24">
        <v>2600000</v>
      </c>
      <c r="F710" s="39">
        <v>44015</v>
      </c>
      <c r="G710" s="24">
        <v>2600000</v>
      </c>
      <c r="H710" s="23">
        <v>5.0000000000000001E-3</v>
      </c>
      <c r="I710" s="39">
        <v>44378</v>
      </c>
      <c r="J710" s="39">
        <v>44408</v>
      </c>
      <c r="K710" s="24">
        <v>31</v>
      </c>
      <c r="L710" s="24">
        <v>1104</v>
      </c>
      <c r="M710" s="24">
        <v>2600000</v>
      </c>
    </row>
    <row r="711" spans="1:13" s="5" customFormat="1" outlineLevel="2">
      <c r="A711" s="39" t="s">
        <v>270</v>
      </c>
      <c r="B711" s="40" t="s">
        <v>54</v>
      </c>
      <c r="C711" s="41" t="s">
        <v>278</v>
      </c>
      <c r="D711" s="40" t="s">
        <v>279</v>
      </c>
      <c r="E711" s="24">
        <v>220000000</v>
      </c>
      <c r="F711" s="39">
        <v>43815</v>
      </c>
      <c r="G711" s="24">
        <v>220000000</v>
      </c>
      <c r="H711" s="23">
        <v>5.0000000000000001E-3</v>
      </c>
      <c r="I711" s="39">
        <v>44378</v>
      </c>
      <c r="J711" s="39">
        <v>44408</v>
      </c>
      <c r="K711" s="24">
        <v>31</v>
      </c>
      <c r="L711" s="24">
        <v>93425</v>
      </c>
      <c r="M711" s="24">
        <v>220000000</v>
      </c>
    </row>
    <row r="712" spans="1:13" s="5" customFormat="1" outlineLevel="2">
      <c r="A712" s="39" t="s">
        <v>270</v>
      </c>
      <c r="B712" s="40" t="s">
        <v>57</v>
      </c>
      <c r="C712" s="41" t="s">
        <v>143</v>
      </c>
      <c r="D712" s="40" t="s">
        <v>144</v>
      </c>
      <c r="E712" s="24">
        <v>10400000</v>
      </c>
      <c r="F712" s="39">
        <v>44033</v>
      </c>
      <c r="G712" s="24">
        <v>10400000</v>
      </c>
      <c r="H712" s="23">
        <v>5.0000000000000001E-3</v>
      </c>
      <c r="I712" s="39">
        <v>44378</v>
      </c>
      <c r="J712" s="39">
        <v>44408</v>
      </c>
      <c r="K712" s="24">
        <v>31</v>
      </c>
      <c r="L712" s="24">
        <v>4416</v>
      </c>
      <c r="M712" s="24">
        <v>10400000</v>
      </c>
    </row>
    <row r="713" spans="1:13" s="5" customFormat="1" outlineLevel="2">
      <c r="A713" s="39" t="s">
        <v>270</v>
      </c>
      <c r="B713" s="40" t="s">
        <v>58</v>
      </c>
      <c r="C713" s="41" t="s">
        <v>97</v>
      </c>
      <c r="D713" s="40" t="s">
        <v>98</v>
      </c>
      <c r="E713" s="24">
        <v>28200000</v>
      </c>
      <c r="F713" s="39">
        <v>44027</v>
      </c>
      <c r="G713" s="24">
        <v>28200000</v>
      </c>
      <c r="H713" s="23">
        <v>5.0000000000000001E-3</v>
      </c>
      <c r="I713" s="39">
        <v>44378</v>
      </c>
      <c r="J713" s="39">
        <v>44408</v>
      </c>
      <c r="K713" s="24">
        <v>31</v>
      </c>
      <c r="L713" s="24">
        <v>11975</v>
      </c>
      <c r="M713" s="24">
        <v>28200000</v>
      </c>
    </row>
    <row r="714" spans="1:13" s="5" customFormat="1" outlineLevel="2">
      <c r="A714" s="39" t="s">
        <v>270</v>
      </c>
      <c r="B714" s="40" t="s">
        <v>99</v>
      </c>
      <c r="C714" s="41" t="s">
        <v>274</v>
      </c>
      <c r="D714" s="40" t="s">
        <v>275</v>
      </c>
      <c r="E714" s="24">
        <v>6657720</v>
      </c>
      <c r="F714" s="39">
        <v>44055</v>
      </c>
      <c r="G714" s="24">
        <v>6657720</v>
      </c>
      <c r="H714" s="23">
        <v>5.0000000000000001E-3</v>
      </c>
      <c r="I714" s="39">
        <v>44378</v>
      </c>
      <c r="J714" s="39">
        <v>44408</v>
      </c>
      <c r="K714" s="24">
        <v>31</v>
      </c>
      <c r="L714" s="24">
        <v>2827</v>
      </c>
      <c r="M714" s="24">
        <v>6657720</v>
      </c>
    </row>
    <row r="715" spans="1:13" s="5" customFormat="1" outlineLevel="2">
      <c r="A715" s="39" t="s">
        <v>270</v>
      </c>
      <c r="B715" s="40" t="s">
        <v>100</v>
      </c>
      <c r="C715" s="41" t="s">
        <v>274</v>
      </c>
      <c r="D715" s="40" t="s">
        <v>275</v>
      </c>
      <c r="E715" s="24">
        <v>6714720</v>
      </c>
      <c r="F715" s="39">
        <v>44055</v>
      </c>
      <c r="G715" s="24">
        <v>6714720</v>
      </c>
      <c r="H715" s="23">
        <v>5.0000000000000001E-3</v>
      </c>
      <c r="I715" s="39">
        <v>44378</v>
      </c>
      <c r="J715" s="39">
        <v>44408</v>
      </c>
      <c r="K715" s="24">
        <v>31</v>
      </c>
      <c r="L715" s="24">
        <v>2851</v>
      </c>
      <c r="M715" s="24">
        <v>6714720</v>
      </c>
    </row>
    <row r="716" spans="1:13" s="5" customFormat="1" outlineLevel="2">
      <c r="A716" s="39" t="s">
        <v>270</v>
      </c>
      <c r="B716" s="40" t="s">
        <v>101</v>
      </c>
      <c r="C716" s="41" t="s">
        <v>273</v>
      </c>
      <c r="D716" s="40" t="s">
        <v>272</v>
      </c>
      <c r="E716" s="24">
        <v>47630000</v>
      </c>
      <c r="F716" s="39">
        <v>44048</v>
      </c>
      <c r="G716" s="24">
        <v>47630000</v>
      </c>
      <c r="H716" s="23">
        <v>5.0000000000000001E-3</v>
      </c>
      <c r="I716" s="39">
        <v>44378</v>
      </c>
      <c r="J716" s="39">
        <v>44408</v>
      </c>
      <c r="K716" s="24">
        <v>31</v>
      </c>
      <c r="L716" s="24">
        <v>20226</v>
      </c>
      <c r="M716" s="24">
        <v>47630000</v>
      </c>
    </row>
    <row r="717" spans="1:13" s="5" customFormat="1" outlineLevel="2">
      <c r="A717" s="39" t="s">
        <v>270</v>
      </c>
      <c r="B717" s="40" t="s">
        <v>102</v>
      </c>
      <c r="C717" s="41" t="s">
        <v>273</v>
      </c>
      <c r="D717" s="40" t="s">
        <v>272</v>
      </c>
      <c r="E717" s="24">
        <v>1970000</v>
      </c>
      <c r="F717" s="39">
        <v>44048</v>
      </c>
      <c r="G717" s="24">
        <v>1970000</v>
      </c>
      <c r="H717" s="23">
        <v>5.0000000000000001E-3</v>
      </c>
      <c r="I717" s="39">
        <v>44378</v>
      </c>
      <c r="J717" s="39">
        <v>44408</v>
      </c>
      <c r="K717" s="24">
        <v>31</v>
      </c>
      <c r="L717" s="24">
        <v>837</v>
      </c>
      <c r="M717" s="24">
        <v>1970000</v>
      </c>
    </row>
    <row r="718" spans="1:13" s="5" customFormat="1" outlineLevel="2">
      <c r="A718" s="39" t="s">
        <v>270</v>
      </c>
      <c r="B718" s="40" t="s">
        <v>103</v>
      </c>
      <c r="C718" s="41" t="s">
        <v>252</v>
      </c>
      <c r="D718" s="40" t="s">
        <v>253</v>
      </c>
      <c r="E718" s="24">
        <v>27700000</v>
      </c>
      <c r="F718" s="39">
        <v>44071</v>
      </c>
      <c r="G718" s="24">
        <v>27700000</v>
      </c>
      <c r="H718" s="23">
        <v>5.0000000000000001E-3</v>
      </c>
      <c r="I718" s="39">
        <v>44378</v>
      </c>
      <c r="J718" s="39">
        <v>44408</v>
      </c>
      <c r="K718" s="24">
        <v>31</v>
      </c>
      <c r="L718" s="24">
        <v>11763</v>
      </c>
      <c r="M718" s="24">
        <v>27700000</v>
      </c>
    </row>
    <row r="719" spans="1:13" s="5" customFormat="1" outlineLevel="2">
      <c r="A719" s="39" t="s">
        <v>270</v>
      </c>
      <c r="B719" s="40" t="s">
        <v>104</v>
      </c>
      <c r="C719" s="41" t="s">
        <v>274</v>
      </c>
      <c r="D719" s="40" t="s">
        <v>275</v>
      </c>
      <c r="E719" s="24">
        <v>6714720</v>
      </c>
      <c r="F719" s="39">
        <v>44083</v>
      </c>
      <c r="G719" s="24">
        <v>6714720</v>
      </c>
      <c r="H719" s="23">
        <v>5.0000000000000001E-3</v>
      </c>
      <c r="I719" s="39">
        <v>44378</v>
      </c>
      <c r="J719" s="39">
        <v>44408</v>
      </c>
      <c r="K719" s="24">
        <v>31</v>
      </c>
      <c r="L719" s="24">
        <v>2851</v>
      </c>
      <c r="M719" s="24">
        <v>6714720</v>
      </c>
    </row>
    <row r="720" spans="1:13" s="5" customFormat="1" outlineLevel="2">
      <c r="A720" s="39" t="s">
        <v>270</v>
      </c>
      <c r="B720" s="40" t="s">
        <v>105</v>
      </c>
      <c r="C720" s="41" t="s">
        <v>274</v>
      </c>
      <c r="D720" s="40" t="s">
        <v>275</v>
      </c>
      <c r="E720" s="24">
        <v>5805960</v>
      </c>
      <c r="F720" s="39">
        <v>44083</v>
      </c>
      <c r="G720" s="24">
        <v>5805960</v>
      </c>
      <c r="H720" s="23">
        <v>5.0000000000000001E-3</v>
      </c>
      <c r="I720" s="39">
        <v>44378</v>
      </c>
      <c r="J720" s="39">
        <v>44408</v>
      </c>
      <c r="K720" s="24">
        <v>31</v>
      </c>
      <c r="L720" s="24">
        <v>2466</v>
      </c>
      <c r="M720" s="24">
        <v>5805960</v>
      </c>
    </row>
    <row r="721" spans="1:13" s="5" customFormat="1" outlineLevel="2">
      <c r="A721" s="39" t="s">
        <v>270</v>
      </c>
      <c r="B721" s="40" t="s">
        <v>106</v>
      </c>
      <c r="C721" s="41" t="s">
        <v>273</v>
      </c>
      <c r="D721" s="40" t="s">
        <v>272</v>
      </c>
      <c r="E721" s="24">
        <v>19100000</v>
      </c>
      <c r="F721" s="39">
        <v>44078</v>
      </c>
      <c r="G721" s="24">
        <v>19100000</v>
      </c>
      <c r="H721" s="23">
        <v>5.0000000000000001E-3</v>
      </c>
      <c r="I721" s="39">
        <v>44378</v>
      </c>
      <c r="J721" s="39">
        <v>44408</v>
      </c>
      <c r="K721" s="24">
        <v>31</v>
      </c>
      <c r="L721" s="24">
        <v>8111</v>
      </c>
      <c r="M721" s="24">
        <v>19100000</v>
      </c>
    </row>
    <row r="722" spans="1:13" s="5" customFormat="1" outlineLevel="2">
      <c r="A722" s="39" t="s">
        <v>270</v>
      </c>
      <c r="B722" s="40" t="s">
        <v>59</v>
      </c>
      <c r="C722" s="41" t="s">
        <v>274</v>
      </c>
      <c r="D722" s="40" t="s">
        <v>275</v>
      </c>
      <c r="E722" s="24">
        <v>5452560</v>
      </c>
      <c r="F722" s="39">
        <v>43838</v>
      </c>
      <c r="G722" s="24">
        <v>5452560</v>
      </c>
      <c r="H722" s="23">
        <v>5.0000000000000001E-3</v>
      </c>
      <c r="I722" s="39">
        <v>44378</v>
      </c>
      <c r="J722" s="39">
        <v>44408</v>
      </c>
      <c r="K722" s="24">
        <v>31</v>
      </c>
      <c r="L722" s="24">
        <v>2315</v>
      </c>
      <c r="M722" s="24">
        <v>5452560</v>
      </c>
    </row>
    <row r="723" spans="1:13" s="5" customFormat="1" outlineLevel="2">
      <c r="A723" s="39" t="s">
        <v>270</v>
      </c>
      <c r="B723" s="40" t="s">
        <v>136</v>
      </c>
      <c r="C723" s="41" t="s">
        <v>30</v>
      </c>
      <c r="D723" s="40" t="s">
        <v>31</v>
      </c>
      <c r="E723" s="24">
        <v>31000000</v>
      </c>
      <c r="F723" s="39">
        <v>44102</v>
      </c>
      <c r="G723" s="24">
        <v>31000000</v>
      </c>
      <c r="H723" s="23">
        <v>5.0000000000000001E-3</v>
      </c>
      <c r="I723" s="39">
        <v>44378</v>
      </c>
      <c r="J723" s="39">
        <v>44408</v>
      </c>
      <c r="K723" s="24">
        <v>31</v>
      </c>
      <c r="L723" s="24">
        <v>13164</v>
      </c>
      <c r="M723" s="24">
        <v>31000000</v>
      </c>
    </row>
    <row r="724" spans="1:13" s="5" customFormat="1" outlineLevel="2">
      <c r="A724" s="39" t="s">
        <v>270</v>
      </c>
      <c r="B724" s="40" t="s">
        <v>137</v>
      </c>
      <c r="C724" s="41" t="s">
        <v>143</v>
      </c>
      <c r="D724" s="40" t="s">
        <v>144</v>
      </c>
      <c r="E724" s="24">
        <v>10700000</v>
      </c>
      <c r="F724" s="39">
        <v>44104</v>
      </c>
      <c r="G724" s="24">
        <v>10700000</v>
      </c>
      <c r="H724" s="23">
        <v>5.0000000000000001E-3</v>
      </c>
      <c r="I724" s="39">
        <v>44378</v>
      </c>
      <c r="J724" s="39">
        <v>44408</v>
      </c>
      <c r="K724" s="24">
        <v>31</v>
      </c>
      <c r="L724" s="24">
        <v>4544</v>
      </c>
      <c r="M724" s="24">
        <v>10700000</v>
      </c>
    </row>
    <row r="725" spans="1:13" s="5" customFormat="1" outlineLevel="2">
      <c r="A725" s="39" t="s">
        <v>270</v>
      </c>
      <c r="B725" s="40" t="s">
        <v>138</v>
      </c>
      <c r="C725" s="41" t="s">
        <v>280</v>
      </c>
      <c r="D725" s="40" t="s">
        <v>281</v>
      </c>
      <c r="E725" s="24">
        <v>1000000000</v>
      </c>
      <c r="F725" s="39">
        <v>44102</v>
      </c>
      <c r="G725" s="24">
        <v>1000000000</v>
      </c>
      <c r="H725" s="23">
        <v>5.0000000000000001E-3</v>
      </c>
      <c r="I725" s="39">
        <v>44378</v>
      </c>
      <c r="J725" s="39">
        <v>44408</v>
      </c>
      <c r="K725" s="24">
        <v>31</v>
      </c>
      <c r="L725" s="24">
        <v>424658</v>
      </c>
      <c r="M725" s="24">
        <v>1000000000</v>
      </c>
    </row>
    <row r="726" spans="1:13" s="5" customFormat="1" outlineLevel="2">
      <c r="A726" s="39" t="s">
        <v>270</v>
      </c>
      <c r="B726" s="40" t="s">
        <v>139</v>
      </c>
      <c r="C726" s="41" t="s">
        <v>274</v>
      </c>
      <c r="D726" s="40" t="s">
        <v>275</v>
      </c>
      <c r="E726" s="24">
        <v>5805960</v>
      </c>
      <c r="F726" s="39">
        <v>44111</v>
      </c>
      <c r="G726" s="24">
        <v>5805960</v>
      </c>
      <c r="H726" s="23">
        <v>5.0000000000000001E-3</v>
      </c>
      <c r="I726" s="39">
        <v>44378</v>
      </c>
      <c r="J726" s="39">
        <v>44408</v>
      </c>
      <c r="K726" s="24">
        <v>31</v>
      </c>
      <c r="L726" s="24">
        <v>2466</v>
      </c>
      <c r="M726" s="24">
        <v>5805960</v>
      </c>
    </row>
    <row r="727" spans="1:13" s="5" customFormat="1" outlineLevel="2">
      <c r="A727" s="39" t="s">
        <v>270</v>
      </c>
      <c r="B727" s="40" t="s">
        <v>140</v>
      </c>
      <c r="C727" s="41" t="s">
        <v>274</v>
      </c>
      <c r="D727" s="40" t="s">
        <v>275</v>
      </c>
      <c r="E727" s="24">
        <v>5805960</v>
      </c>
      <c r="F727" s="39">
        <v>44111</v>
      </c>
      <c r="G727" s="24">
        <v>5805960</v>
      </c>
      <c r="H727" s="23">
        <v>5.0000000000000001E-3</v>
      </c>
      <c r="I727" s="39">
        <v>44378</v>
      </c>
      <c r="J727" s="39">
        <v>44408</v>
      </c>
      <c r="K727" s="24">
        <v>31</v>
      </c>
      <c r="L727" s="24">
        <v>2466</v>
      </c>
      <c r="M727" s="24">
        <v>5805960</v>
      </c>
    </row>
    <row r="728" spans="1:13" s="5" customFormat="1" outlineLevel="2">
      <c r="A728" s="39" t="s">
        <v>270</v>
      </c>
      <c r="B728" s="40" t="s">
        <v>169</v>
      </c>
      <c r="C728" s="41" t="s">
        <v>273</v>
      </c>
      <c r="D728" s="40" t="s">
        <v>272</v>
      </c>
      <c r="E728" s="24">
        <v>18400000</v>
      </c>
      <c r="F728" s="39">
        <v>44109</v>
      </c>
      <c r="G728" s="24">
        <v>18400000</v>
      </c>
      <c r="H728" s="23">
        <v>5.0000000000000001E-3</v>
      </c>
      <c r="I728" s="39">
        <v>44378</v>
      </c>
      <c r="J728" s="39">
        <v>44408</v>
      </c>
      <c r="K728" s="24">
        <v>31</v>
      </c>
      <c r="L728" s="24">
        <v>7814</v>
      </c>
      <c r="M728" s="24">
        <v>18400000</v>
      </c>
    </row>
    <row r="729" spans="1:13" s="5" customFormat="1" outlineLevel="2">
      <c r="A729" s="39" t="s">
        <v>270</v>
      </c>
      <c r="B729" s="40" t="s">
        <v>170</v>
      </c>
      <c r="C729" s="41" t="s">
        <v>273</v>
      </c>
      <c r="D729" s="40" t="s">
        <v>272</v>
      </c>
      <c r="E729" s="24">
        <v>1500000</v>
      </c>
      <c r="F729" s="39">
        <v>44109</v>
      </c>
      <c r="G729" s="24">
        <v>1500000</v>
      </c>
      <c r="H729" s="23">
        <v>5.0000000000000001E-3</v>
      </c>
      <c r="I729" s="39">
        <v>44378</v>
      </c>
      <c r="J729" s="39">
        <v>44408</v>
      </c>
      <c r="K729" s="24">
        <v>31</v>
      </c>
      <c r="L729" s="24">
        <v>637</v>
      </c>
      <c r="M729" s="24">
        <v>1500000</v>
      </c>
    </row>
    <row r="730" spans="1:13" s="5" customFormat="1" outlineLevel="2">
      <c r="A730" s="39" t="s">
        <v>270</v>
      </c>
      <c r="B730" s="40" t="s">
        <v>171</v>
      </c>
      <c r="C730" s="41" t="s">
        <v>125</v>
      </c>
      <c r="D730" s="40" t="s">
        <v>126</v>
      </c>
      <c r="E730" s="24">
        <v>3480000</v>
      </c>
      <c r="F730" s="39">
        <v>44125</v>
      </c>
      <c r="G730" s="24">
        <v>3480000</v>
      </c>
      <c r="H730" s="23">
        <v>5.0000000000000001E-3</v>
      </c>
      <c r="I730" s="39">
        <v>44378</v>
      </c>
      <c r="J730" s="39">
        <v>44408</v>
      </c>
      <c r="K730" s="24">
        <v>31</v>
      </c>
      <c r="L730" s="24">
        <v>1478</v>
      </c>
      <c r="M730" s="24">
        <v>3480000</v>
      </c>
    </row>
    <row r="731" spans="1:13" s="5" customFormat="1" outlineLevel="2">
      <c r="A731" s="39" t="s">
        <v>270</v>
      </c>
      <c r="B731" s="40" t="s">
        <v>172</v>
      </c>
      <c r="C731" s="41" t="s">
        <v>276</v>
      </c>
      <c r="D731" s="40" t="s">
        <v>277</v>
      </c>
      <c r="E731" s="24">
        <v>32000000</v>
      </c>
      <c r="F731" s="39">
        <v>44133</v>
      </c>
      <c r="G731" s="24">
        <v>32000000</v>
      </c>
      <c r="H731" s="23">
        <v>5.0000000000000001E-3</v>
      </c>
      <c r="I731" s="39">
        <v>44378</v>
      </c>
      <c r="J731" s="39">
        <v>44408</v>
      </c>
      <c r="K731" s="24">
        <v>31</v>
      </c>
      <c r="L731" s="24">
        <v>13589</v>
      </c>
      <c r="M731" s="24">
        <v>32000000</v>
      </c>
    </row>
    <row r="732" spans="1:13" s="5" customFormat="1" outlineLevel="2">
      <c r="A732" s="39" t="s">
        <v>270</v>
      </c>
      <c r="B732" s="40" t="s">
        <v>173</v>
      </c>
      <c r="C732" s="41" t="s">
        <v>274</v>
      </c>
      <c r="D732" s="40" t="s">
        <v>275</v>
      </c>
      <c r="E732" s="24">
        <v>5805960</v>
      </c>
      <c r="F732" s="39">
        <v>44146</v>
      </c>
      <c r="G732" s="24">
        <v>5805960</v>
      </c>
      <c r="H732" s="23">
        <v>5.0000000000000001E-3</v>
      </c>
      <c r="I732" s="39">
        <v>44378</v>
      </c>
      <c r="J732" s="39">
        <v>44408</v>
      </c>
      <c r="K732" s="24">
        <v>31</v>
      </c>
      <c r="L732" s="24">
        <v>2466</v>
      </c>
      <c r="M732" s="24">
        <v>5805960</v>
      </c>
    </row>
    <row r="733" spans="1:13" s="5" customFormat="1" outlineLevel="2">
      <c r="A733" s="39" t="s">
        <v>270</v>
      </c>
      <c r="B733" s="40" t="s">
        <v>62</v>
      </c>
      <c r="C733" s="41" t="s">
        <v>274</v>
      </c>
      <c r="D733" s="40" t="s">
        <v>275</v>
      </c>
      <c r="E733" s="24">
        <v>5452560</v>
      </c>
      <c r="F733" s="39">
        <v>43838</v>
      </c>
      <c r="G733" s="24">
        <v>5452560</v>
      </c>
      <c r="H733" s="23">
        <v>5.0000000000000001E-3</v>
      </c>
      <c r="I733" s="39">
        <v>44378</v>
      </c>
      <c r="J733" s="39">
        <v>44408</v>
      </c>
      <c r="K733" s="24">
        <v>31</v>
      </c>
      <c r="L733" s="24">
        <v>2315</v>
      </c>
      <c r="M733" s="24">
        <v>5452560</v>
      </c>
    </row>
    <row r="734" spans="1:13" s="5" customFormat="1" outlineLevel="2">
      <c r="A734" s="39" t="s">
        <v>270</v>
      </c>
      <c r="B734" s="40" t="s">
        <v>174</v>
      </c>
      <c r="C734" s="41" t="s">
        <v>274</v>
      </c>
      <c r="D734" s="40" t="s">
        <v>275</v>
      </c>
      <c r="E734" s="24">
        <v>14338200</v>
      </c>
      <c r="F734" s="39">
        <v>44146</v>
      </c>
      <c r="G734" s="24">
        <v>14338200</v>
      </c>
      <c r="H734" s="23">
        <v>5.0000000000000001E-3</v>
      </c>
      <c r="I734" s="39">
        <v>44378</v>
      </c>
      <c r="J734" s="39">
        <v>44408</v>
      </c>
      <c r="K734" s="24">
        <v>31</v>
      </c>
      <c r="L734" s="24">
        <v>6089</v>
      </c>
      <c r="M734" s="24">
        <v>14338200</v>
      </c>
    </row>
    <row r="735" spans="1:13" s="5" customFormat="1" outlineLevel="2">
      <c r="A735" s="39" t="s">
        <v>270</v>
      </c>
      <c r="B735" s="40" t="s">
        <v>175</v>
      </c>
      <c r="C735" s="41" t="s">
        <v>273</v>
      </c>
      <c r="D735" s="40" t="s">
        <v>272</v>
      </c>
      <c r="E735" s="24">
        <v>31500000</v>
      </c>
      <c r="F735" s="39">
        <v>44140</v>
      </c>
      <c r="G735" s="24">
        <v>31500000</v>
      </c>
      <c r="H735" s="23">
        <v>5.0000000000000001E-3</v>
      </c>
      <c r="I735" s="39">
        <v>44378</v>
      </c>
      <c r="J735" s="39">
        <v>44408</v>
      </c>
      <c r="K735" s="24">
        <v>31</v>
      </c>
      <c r="L735" s="24">
        <v>13377</v>
      </c>
      <c r="M735" s="24">
        <v>31500000</v>
      </c>
    </row>
    <row r="736" spans="1:13" s="5" customFormat="1" outlineLevel="2">
      <c r="A736" s="39" t="s">
        <v>270</v>
      </c>
      <c r="B736" s="40" t="s">
        <v>176</v>
      </c>
      <c r="C736" s="41" t="s">
        <v>125</v>
      </c>
      <c r="D736" s="40" t="s">
        <v>126</v>
      </c>
      <c r="E736" s="24">
        <v>2500000</v>
      </c>
      <c r="F736" s="39">
        <v>44146</v>
      </c>
      <c r="G736" s="24">
        <v>2500000</v>
      </c>
      <c r="H736" s="23">
        <v>5.0000000000000001E-3</v>
      </c>
      <c r="I736" s="39">
        <v>44378</v>
      </c>
      <c r="J736" s="39">
        <v>44408</v>
      </c>
      <c r="K736" s="24">
        <v>31</v>
      </c>
      <c r="L736" s="24">
        <v>1062</v>
      </c>
      <c r="M736" s="24">
        <v>2500000</v>
      </c>
    </row>
    <row r="737" spans="1:13" s="5" customFormat="1" outlineLevel="2">
      <c r="A737" s="39" t="s">
        <v>270</v>
      </c>
      <c r="B737" s="40" t="s">
        <v>177</v>
      </c>
      <c r="C737" s="41" t="s">
        <v>276</v>
      </c>
      <c r="D737" s="40" t="s">
        <v>277</v>
      </c>
      <c r="E737" s="24">
        <v>30000000</v>
      </c>
      <c r="F737" s="39">
        <v>44140</v>
      </c>
      <c r="G737" s="24">
        <v>30000000</v>
      </c>
      <c r="H737" s="23">
        <v>5.0000000000000001E-3</v>
      </c>
      <c r="I737" s="39">
        <v>44378</v>
      </c>
      <c r="J737" s="39">
        <v>44408</v>
      </c>
      <c r="K737" s="24">
        <v>31</v>
      </c>
      <c r="L737" s="24">
        <v>12740</v>
      </c>
      <c r="M737" s="24">
        <v>30000000</v>
      </c>
    </row>
    <row r="738" spans="1:13" s="5" customFormat="1" outlineLevel="2">
      <c r="A738" s="39" t="s">
        <v>270</v>
      </c>
      <c r="B738" s="40" t="s">
        <v>178</v>
      </c>
      <c r="C738" s="41" t="s">
        <v>115</v>
      </c>
      <c r="D738" s="40" t="s">
        <v>116</v>
      </c>
      <c r="E738" s="24">
        <v>6100000</v>
      </c>
      <c r="F738" s="39">
        <v>44138</v>
      </c>
      <c r="G738" s="24">
        <v>6100000</v>
      </c>
      <c r="H738" s="23">
        <v>5.0000000000000001E-3</v>
      </c>
      <c r="I738" s="39">
        <v>44378</v>
      </c>
      <c r="J738" s="39">
        <v>44408</v>
      </c>
      <c r="K738" s="24">
        <v>31</v>
      </c>
      <c r="L738" s="24">
        <v>2590</v>
      </c>
      <c r="M738" s="24">
        <v>6100000</v>
      </c>
    </row>
    <row r="739" spans="1:13" s="5" customFormat="1" outlineLevel="2">
      <c r="A739" s="39" t="s">
        <v>270</v>
      </c>
      <c r="B739" s="40" t="s">
        <v>179</v>
      </c>
      <c r="C739" s="41" t="s">
        <v>278</v>
      </c>
      <c r="D739" s="40" t="s">
        <v>279</v>
      </c>
      <c r="E739" s="24">
        <v>82036355</v>
      </c>
      <c r="F739" s="39">
        <v>44137</v>
      </c>
      <c r="G739" s="24">
        <v>82036355</v>
      </c>
      <c r="H739" s="23">
        <v>5.0000000000000001E-3</v>
      </c>
      <c r="I739" s="39">
        <v>44378</v>
      </c>
      <c r="J739" s="39">
        <v>44408</v>
      </c>
      <c r="K739" s="24">
        <v>31</v>
      </c>
      <c r="L739" s="24">
        <v>34837</v>
      </c>
      <c r="M739" s="24">
        <v>82036355</v>
      </c>
    </row>
    <row r="740" spans="1:13" s="5" customFormat="1" outlineLevel="2">
      <c r="A740" s="39" t="s">
        <v>270</v>
      </c>
      <c r="B740" s="40" t="s">
        <v>180</v>
      </c>
      <c r="C740" s="41" t="s">
        <v>280</v>
      </c>
      <c r="D740" s="40" t="s">
        <v>281</v>
      </c>
      <c r="E740" s="24">
        <v>1000000000</v>
      </c>
      <c r="F740" s="39">
        <v>44162</v>
      </c>
      <c r="G740" s="24">
        <v>1000000000</v>
      </c>
      <c r="H740" s="23">
        <v>5.0000000000000001E-3</v>
      </c>
      <c r="I740" s="39">
        <v>44378</v>
      </c>
      <c r="J740" s="39">
        <v>44408</v>
      </c>
      <c r="K740" s="24">
        <v>31</v>
      </c>
      <c r="L740" s="24">
        <v>424658</v>
      </c>
      <c r="M740" s="24">
        <v>1000000000</v>
      </c>
    </row>
    <row r="741" spans="1:13" s="5" customFormat="1" outlineLevel="2">
      <c r="A741" s="39" t="s">
        <v>270</v>
      </c>
      <c r="B741" s="40" t="s">
        <v>181</v>
      </c>
      <c r="C741" s="41" t="s">
        <v>75</v>
      </c>
      <c r="D741" s="40" t="s">
        <v>76</v>
      </c>
      <c r="E741" s="24">
        <v>47490000</v>
      </c>
      <c r="F741" s="39">
        <v>44137</v>
      </c>
      <c r="G741" s="24">
        <v>47490000</v>
      </c>
      <c r="H741" s="23">
        <v>5.0000000000000001E-3</v>
      </c>
      <c r="I741" s="39">
        <v>44378</v>
      </c>
      <c r="J741" s="39">
        <v>44408</v>
      </c>
      <c r="K741" s="24">
        <v>31</v>
      </c>
      <c r="L741" s="24">
        <v>20167</v>
      </c>
      <c r="M741" s="24">
        <v>47490000</v>
      </c>
    </row>
    <row r="742" spans="1:13" s="5" customFormat="1" outlineLevel="2">
      <c r="A742" s="39" t="s">
        <v>270</v>
      </c>
      <c r="B742" s="40" t="s">
        <v>182</v>
      </c>
      <c r="C742" s="41" t="s">
        <v>143</v>
      </c>
      <c r="D742" s="40" t="s">
        <v>144</v>
      </c>
      <c r="E742" s="24">
        <v>5300000</v>
      </c>
      <c r="F742" s="39">
        <v>44145</v>
      </c>
      <c r="G742" s="24">
        <v>5300000</v>
      </c>
      <c r="H742" s="23">
        <v>5.0000000000000001E-3</v>
      </c>
      <c r="I742" s="39">
        <v>44378</v>
      </c>
      <c r="J742" s="39">
        <v>44408</v>
      </c>
      <c r="K742" s="24">
        <v>31</v>
      </c>
      <c r="L742" s="24">
        <v>2251</v>
      </c>
      <c r="M742" s="24">
        <v>5300000</v>
      </c>
    </row>
    <row r="743" spans="1:13" s="5" customFormat="1" outlineLevel="2">
      <c r="A743" s="39" t="s">
        <v>270</v>
      </c>
      <c r="B743" s="40" t="s">
        <v>183</v>
      </c>
      <c r="C743" s="41" t="s">
        <v>143</v>
      </c>
      <c r="D743" s="40" t="s">
        <v>144</v>
      </c>
      <c r="E743" s="24">
        <v>4130000</v>
      </c>
      <c r="F743" s="39">
        <v>44151</v>
      </c>
      <c r="G743" s="24">
        <v>4130000</v>
      </c>
      <c r="H743" s="23">
        <v>5.0000000000000001E-3</v>
      </c>
      <c r="I743" s="39">
        <v>44378</v>
      </c>
      <c r="J743" s="39">
        <v>44408</v>
      </c>
      <c r="K743" s="24">
        <v>31</v>
      </c>
      <c r="L743" s="24">
        <v>1754</v>
      </c>
      <c r="M743" s="24">
        <v>4130000</v>
      </c>
    </row>
    <row r="744" spans="1:13" s="5" customFormat="1" outlineLevel="2">
      <c r="A744" s="39" t="s">
        <v>270</v>
      </c>
      <c r="B744" s="40" t="s">
        <v>63</v>
      </c>
      <c r="C744" s="41" t="s">
        <v>273</v>
      </c>
      <c r="D744" s="40" t="s">
        <v>272</v>
      </c>
      <c r="E744" s="24">
        <v>55600000</v>
      </c>
      <c r="F744" s="39">
        <v>43833</v>
      </c>
      <c r="G744" s="24">
        <v>55600000</v>
      </c>
      <c r="H744" s="23">
        <v>5.0000000000000001E-3</v>
      </c>
      <c r="I744" s="39">
        <v>44378</v>
      </c>
      <c r="J744" s="39">
        <v>44408</v>
      </c>
      <c r="K744" s="24">
        <v>31</v>
      </c>
      <c r="L744" s="24">
        <v>23611</v>
      </c>
      <c r="M744" s="24">
        <v>55600000</v>
      </c>
    </row>
    <row r="745" spans="1:13" s="5" customFormat="1" outlineLevel="2">
      <c r="A745" s="39" t="s">
        <v>270</v>
      </c>
      <c r="B745" s="40" t="s">
        <v>184</v>
      </c>
      <c r="C745" s="41" t="s">
        <v>143</v>
      </c>
      <c r="D745" s="40" t="s">
        <v>144</v>
      </c>
      <c r="E745" s="24">
        <v>6450000</v>
      </c>
      <c r="F745" s="39">
        <v>44165</v>
      </c>
      <c r="G745" s="24">
        <v>6450000</v>
      </c>
      <c r="H745" s="23">
        <v>5.0000000000000001E-3</v>
      </c>
      <c r="I745" s="39">
        <v>44378</v>
      </c>
      <c r="J745" s="39">
        <v>44408</v>
      </c>
      <c r="K745" s="24">
        <v>31</v>
      </c>
      <c r="L745" s="24">
        <v>2739</v>
      </c>
      <c r="M745" s="24">
        <v>6450000</v>
      </c>
    </row>
    <row r="746" spans="1:13" s="5" customFormat="1" outlineLevel="2">
      <c r="A746" s="39" t="s">
        <v>270</v>
      </c>
      <c r="B746" s="40" t="s">
        <v>185</v>
      </c>
      <c r="C746" s="41" t="s">
        <v>55</v>
      </c>
      <c r="D746" s="40" t="s">
        <v>56</v>
      </c>
      <c r="E746" s="24">
        <v>31466520</v>
      </c>
      <c r="F746" s="39">
        <v>44189</v>
      </c>
      <c r="G746" s="24">
        <v>31466520</v>
      </c>
      <c r="H746" s="23">
        <v>5.0000000000000001E-3</v>
      </c>
      <c r="I746" s="39">
        <v>44378</v>
      </c>
      <c r="J746" s="39">
        <v>44408</v>
      </c>
      <c r="K746" s="24">
        <v>31</v>
      </c>
      <c r="L746" s="24">
        <v>13362</v>
      </c>
      <c r="M746" s="24">
        <v>31466520</v>
      </c>
    </row>
    <row r="747" spans="1:13" s="5" customFormat="1" outlineLevel="2">
      <c r="A747" s="39" t="s">
        <v>270</v>
      </c>
      <c r="B747" s="40" t="s">
        <v>186</v>
      </c>
      <c r="C747" s="41" t="s">
        <v>274</v>
      </c>
      <c r="D747" s="40" t="s">
        <v>275</v>
      </c>
      <c r="E747" s="24">
        <v>14338200</v>
      </c>
      <c r="F747" s="39">
        <v>44174</v>
      </c>
      <c r="G747" s="24">
        <v>14338200</v>
      </c>
      <c r="H747" s="23">
        <v>5.0000000000000001E-3</v>
      </c>
      <c r="I747" s="39">
        <v>44378</v>
      </c>
      <c r="J747" s="39">
        <v>44408</v>
      </c>
      <c r="K747" s="24">
        <v>31</v>
      </c>
      <c r="L747" s="24">
        <v>6089</v>
      </c>
      <c r="M747" s="24">
        <v>14338200</v>
      </c>
    </row>
    <row r="748" spans="1:13" s="5" customFormat="1" outlineLevel="2">
      <c r="A748" s="39" t="s">
        <v>270</v>
      </c>
      <c r="B748" s="40" t="s">
        <v>189</v>
      </c>
      <c r="C748" s="41" t="s">
        <v>274</v>
      </c>
      <c r="D748" s="40" t="s">
        <v>275</v>
      </c>
      <c r="E748" s="24">
        <v>4977000</v>
      </c>
      <c r="F748" s="39">
        <v>44174</v>
      </c>
      <c r="G748" s="24">
        <v>4977000</v>
      </c>
      <c r="H748" s="23">
        <v>5.0000000000000001E-3</v>
      </c>
      <c r="I748" s="39">
        <v>44378</v>
      </c>
      <c r="J748" s="39">
        <v>44408</v>
      </c>
      <c r="K748" s="24">
        <v>31</v>
      </c>
      <c r="L748" s="24">
        <v>2114</v>
      </c>
      <c r="M748" s="24">
        <v>4977000</v>
      </c>
    </row>
    <row r="749" spans="1:13" s="5" customFormat="1" outlineLevel="2">
      <c r="A749" s="39" t="s">
        <v>270</v>
      </c>
      <c r="B749" s="40" t="s">
        <v>190</v>
      </c>
      <c r="C749" s="41" t="s">
        <v>115</v>
      </c>
      <c r="D749" s="40" t="s">
        <v>116</v>
      </c>
      <c r="E749" s="24">
        <v>40000000</v>
      </c>
      <c r="F749" s="39">
        <v>44193</v>
      </c>
      <c r="G749" s="24">
        <v>40000000</v>
      </c>
      <c r="H749" s="23">
        <v>5.0000000000000001E-3</v>
      </c>
      <c r="I749" s="39">
        <v>44378</v>
      </c>
      <c r="J749" s="39">
        <v>44408</v>
      </c>
      <c r="K749" s="24">
        <v>31</v>
      </c>
      <c r="L749" s="24">
        <v>16986</v>
      </c>
      <c r="M749" s="24">
        <v>40000000</v>
      </c>
    </row>
    <row r="750" spans="1:13" s="5" customFormat="1" outlineLevel="2">
      <c r="A750" s="39" t="s">
        <v>270</v>
      </c>
      <c r="B750" s="40" t="s">
        <v>191</v>
      </c>
      <c r="C750" s="41" t="s">
        <v>143</v>
      </c>
      <c r="D750" s="40" t="s">
        <v>144</v>
      </c>
      <c r="E750" s="24">
        <v>8890000</v>
      </c>
      <c r="F750" s="39">
        <v>44175</v>
      </c>
      <c r="G750" s="24">
        <v>8890000</v>
      </c>
      <c r="H750" s="23">
        <v>5.0000000000000001E-3</v>
      </c>
      <c r="I750" s="39">
        <v>44378</v>
      </c>
      <c r="J750" s="39">
        <v>44408</v>
      </c>
      <c r="K750" s="24">
        <v>31</v>
      </c>
      <c r="L750" s="24">
        <v>3775</v>
      </c>
      <c r="M750" s="24">
        <v>8890000</v>
      </c>
    </row>
    <row r="751" spans="1:13" s="5" customFormat="1" outlineLevel="2">
      <c r="A751" s="39" t="s">
        <v>270</v>
      </c>
      <c r="B751" s="40" t="s">
        <v>192</v>
      </c>
      <c r="C751" s="41" t="s">
        <v>143</v>
      </c>
      <c r="D751" s="40" t="s">
        <v>144</v>
      </c>
      <c r="E751" s="24">
        <v>4020000</v>
      </c>
      <c r="F751" s="39">
        <v>44196</v>
      </c>
      <c r="G751" s="24">
        <v>4020000</v>
      </c>
      <c r="H751" s="23">
        <v>5.0000000000000001E-3</v>
      </c>
      <c r="I751" s="39">
        <v>44378</v>
      </c>
      <c r="J751" s="39">
        <v>44408</v>
      </c>
      <c r="K751" s="24">
        <v>31</v>
      </c>
      <c r="L751" s="24">
        <v>1707</v>
      </c>
      <c r="M751" s="24">
        <v>4020000</v>
      </c>
    </row>
    <row r="752" spans="1:13" s="5" customFormat="1" outlineLevel="2">
      <c r="A752" s="39" t="s">
        <v>270</v>
      </c>
      <c r="B752" s="40" t="s">
        <v>193</v>
      </c>
      <c r="C752" s="41" t="s">
        <v>273</v>
      </c>
      <c r="D752" s="40" t="s">
        <v>272</v>
      </c>
      <c r="E752" s="24">
        <v>86700000</v>
      </c>
      <c r="F752" s="39">
        <v>44169</v>
      </c>
      <c r="G752" s="24">
        <v>86700000</v>
      </c>
      <c r="H752" s="23">
        <v>5.0000000000000001E-3</v>
      </c>
      <c r="I752" s="39">
        <v>44378</v>
      </c>
      <c r="J752" s="39">
        <v>44408</v>
      </c>
      <c r="K752" s="24">
        <v>31</v>
      </c>
      <c r="L752" s="24">
        <v>36818</v>
      </c>
      <c r="M752" s="24">
        <v>86700000</v>
      </c>
    </row>
    <row r="753" spans="1:13" s="5" customFormat="1" outlineLevel="2">
      <c r="A753" s="39" t="s">
        <v>270</v>
      </c>
      <c r="B753" s="40" t="s">
        <v>194</v>
      </c>
      <c r="C753" s="41" t="s">
        <v>274</v>
      </c>
      <c r="D753" s="40" t="s">
        <v>275</v>
      </c>
      <c r="E753" s="24">
        <v>4977000</v>
      </c>
      <c r="F753" s="39">
        <v>44209</v>
      </c>
      <c r="G753" s="24">
        <v>4977000</v>
      </c>
      <c r="H753" s="23">
        <v>5.0000000000000001E-3</v>
      </c>
      <c r="I753" s="39">
        <v>44378</v>
      </c>
      <c r="J753" s="39">
        <v>44408</v>
      </c>
      <c r="K753" s="24">
        <v>31</v>
      </c>
      <c r="L753" s="24">
        <v>2114</v>
      </c>
      <c r="M753" s="24">
        <v>4977000</v>
      </c>
    </row>
    <row r="754" spans="1:13" s="5" customFormat="1" outlineLevel="2">
      <c r="A754" s="39" t="s">
        <v>270</v>
      </c>
      <c r="B754" s="40" t="s">
        <v>195</v>
      </c>
      <c r="C754" s="41" t="s">
        <v>274</v>
      </c>
      <c r="D754" s="40" t="s">
        <v>275</v>
      </c>
      <c r="E754" s="24">
        <v>9862800</v>
      </c>
      <c r="F754" s="39">
        <v>44209</v>
      </c>
      <c r="G754" s="24">
        <v>9862800</v>
      </c>
      <c r="H754" s="23">
        <v>5.0000000000000001E-3</v>
      </c>
      <c r="I754" s="39">
        <v>44378</v>
      </c>
      <c r="J754" s="39">
        <v>44408</v>
      </c>
      <c r="K754" s="24">
        <v>31</v>
      </c>
      <c r="L754" s="24">
        <v>4188</v>
      </c>
      <c r="M754" s="24">
        <v>9862800</v>
      </c>
    </row>
    <row r="755" spans="1:13" s="5" customFormat="1" outlineLevel="2">
      <c r="A755" s="39" t="s">
        <v>270</v>
      </c>
      <c r="B755" s="40" t="s">
        <v>64</v>
      </c>
      <c r="C755" s="41" t="s">
        <v>273</v>
      </c>
      <c r="D755" s="40" t="s">
        <v>272</v>
      </c>
      <c r="E755" s="24">
        <v>28400000</v>
      </c>
      <c r="F755" s="39">
        <v>43833</v>
      </c>
      <c r="G755" s="24">
        <v>28400000</v>
      </c>
      <c r="H755" s="23">
        <v>5.0000000000000001E-3</v>
      </c>
      <c r="I755" s="39">
        <v>44378</v>
      </c>
      <c r="J755" s="39">
        <v>44408</v>
      </c>
      <c r="K755" s="24">
        <v>31</v>
      </c>
      <c r="L755" s="24">
        <v>12060</v>
      </c>
      <c r="M755" s="24">
        <v>28400000</v>
      </c>
    </row>
    <row r="756" spans="1:13" s="5" customFormat="1" outlineLevel="2">
      <c r="A756" s="39" t="s">
        <v>270</v>
      </c>
      <c r="B756" s="40" t="s">
        <v>196</v>
      </c>
      <c r="C756" s="41" t="s">
        <v>143</v>
      </c>
      <c r="D756" s="40" t="s">
        <v>144</v>
      </c>
      <c r="E756" s="24">
        <v>3620000</v>
      </c>
      <c r="F756" s="39">
        <v>44207</v>
      </c>
      <c r="G756" s="24">
        <v>3620000</v>
      </c>
      <c r="H756" s="23">
        <v>5.0000000000000001E-3</v>
      </c>
      <c r="I756" s="39">
        <v>44378</v>
      </c>
      <c r="J756" s="39">
        <v>44408</v>
      </c>
      <c r="K756" s="24">
        <v>31</v>
      </c>
      <c r="L756" s="24">
        <v>1537</v>
      </c>
      <c r="M756" s="24">
        <v>3620000</v>
      </c>
    </row>
    <row r="757" spans="1:13" s="5" customFormat="1" outlineLevel="2">
      <c r="A757" s="39" t="s">
        <v>270</v>
      </c>
      <c r="B757" s="40" t="s">
        <v>197</v>
      </c>
      <c r="C757" s="41" t="s">
        <v>273</v>
      </c>
      <c r="D757" s="40" t="s">
        <v>272</v>
      </c>
      <c r="E757" s="24">
        <v>20600000</v>
      </c>
      <c r="F757" s="39">
        <v>44201</v>
      </c>
      <c r="G757" s="24">
        <v>20600000</v>
      </c>
      <c r="H757" s="23">
        <v>5.0000000000000001E-3</v>
      </c>
      <c r="I757" s="39">
        <v>44378</v>
      </c>
      <c r="J757" s="39">
        <v>44408</v>
      </c>
      <c r="K757" s="24">
        <v>31</v>
      </c>
      <c r="L757" s="24">
        <v>8748</v>
      </c>
      <c r="M757" s="24">
        <v>20600000</v>
      </c>
    </row>
    <row r="758" spans="1:13" s="5" customFormat="1" outlineLevel="2">
      <c r="A758" s="39" t="s">
        <v>270</v>
      </c>
      <c r="B758" s="40" t="s">
        <v>198</v>
      </c>
      <c r="C758" s="41" t="s">
        <v>75</v>
      </c>
      <c r="D758" s="40" t="s">
        <v>76</v>
      </c>
      <c r="E758" s="24">
        <v>53640000</v>
      </c>
      <c r="F758" s="39">
        <v>44203</v>
      </c>
      <c r="G758" s="24">
        <v>53640000</v>
      </c>
      <c r="H758" s="23">
        <v>5.0000000000000001E-3</v>
      </c>
      <c r="I758" s="39">
        <v>44378</v>
      </c>
      <c r="J758" s="39">
        <v>44408</v>
      </c>
      <c r="K758" s="24">
        <v>31</v>
      </c>
      <c r="L758" s="24">
        <v>22779</v>
      </c>
      <c r="M758" s="24">
        <v>53640000</v>
      </c>
    </row>
    <row r="759" spans="1:13" s="5" customFormat="1" outlineLevel="2">
      <c r="A759" s="39" t="s">
        <v>270</v>
      </c>
      <c r="B759" s="40" t="s">
        <v>199</v>
      </c>
      <c r="C759" s="41" t="s">
        <v>302</v>
      </c>
      <c r="D759" s="40" t="s">
        <v>301</v>
      </c>
      <c r="E759" s="24">
        <v>40160000</v>
      </c>
      <c r="F759" s="39">
        <v>44232</v>
      </c>
      <c r="G759" s="24">
        <v>40160000</v>
      </c>
      <c r="H759" s="23">
        <v>5.0000000000000001E-3</v>
      </c>
      <c r="I759" s="39">
        <v>44378</v>
      </c>
      <c r="J759" s="39">
        <v>44408</v>
      </c>
      <c r="K759" s="24">
        <v>31</v>
      </c>
      <c r="L759" s="24">
        <v>17054</v>
      </c>
      <c r="M759" s="24">
        <v>40160000</v>
      </c>
    </row>
    <row r="760" spans="1:13" s="5" customFormat="1" outlineLevel="2">
      <c r="A760" s="39" t="s">
        <v>270</v>
      </c>
      <c r="B760" s="40" t="s">
        <v>200</v>
      </c>
      <c r="C760" s="41" t="s">
        <v>274</v>
      </c>
      <c r="D760" s="40" t="s">
        <v>275</v>
      </c>
      <c r="E760" s="24">
        <v>3655380</v>
      </c>
      <c r="F760" s="39">
        <v>44230</v>
      </c>
      <c r="G760" s="24">
        <v>3655380</v>
      </c>
      <c r="H760" s="23">
        <v>5.0000000000000001E-3</v>
      </c>
      <c r="I760" s="39">
        <v>44378</v>
      </c>
      <c r="J760" s="39">
        <v>44408</v>
      </c>
      <c r="K760" s="24">
        <v>31</v>
      </c>
      <c r="L760" s="24">
        <v>1552</v>
      </c>
      <c r="M760" s="24">
        <v>3655380</v>
      </c>
    </row>
    <row r="761" spans="1:13" s="5" customFormat="1" outlineLevel="2">
      <c r="A761" s="39" t="s">
        <v>270</v>
      </c>
      <c r="B761" s="40" t="s">
        <v>201</v>
      </c>
      <c r="C761" s="41" t="s">
        <v>274</v>
      </c>
      <c r="D761" s="40" t="s">
        <v>275</v>
      </c>
      <c r="E761" s="24">
        <v>9862800</v>
      </c>
      <c r="F761" s="39">
        <v>44230</v>
      </c>
      <c r="G761" s="24">
        <v>9862800</v>
      </c>
      <c r="H761" s="23">
        <v>5.0000000000000001E-3</v>
      </c>
      <c r="I761" s="39">
        <v>44378</v>
      </c>
      <c r="J761" s="39">
        <v>44408</v>
      </c>
      <c r="K761" s="24">
        <v>31</v>
      </c>
      <c r="L761" s="24">
        <v>4188</v>
      </c>
      <c r="M761" s="24">
        <v>9862800</v>
      </c>
    </row>
    <row r="762" spans="1:13" s="5" customFormat="1" outlineLevel="2">
      <c r="A762" s="39" t="s">
        <v>270</v>
      </c>
      <c r="B762" s="40" t="s">
        <v>202</v>
      </c>
      <c r="C762" s="41" t="s">
        <v>125</v>
      </c>
      <c r="D762" s="40" t="s">
        <v>126</v>
      </c>
      <c r="E762" s="24">
        <v>32000000</v>
      </c>
      <c r="F762" s="39">
        <v>44250</v>
      </c>
      <c r="G762" s="24">
        <v>32000000</v>
      </c>
      <c r="H762" s="23">
        <v>5.0000000000000001E-3</v>
      </c>
      <c r="I762" s="39">
        <v>44378</v>
      </c>
      <c r="J762" s="39">
        <v>44408</v>
      </c>
      <c r="K762" s="24">
        <v>31</v>
      </c>
      <c r="L762" s="24">
        <v>13589</v>
      </c>
      <c r="M762" s="24">
        <v>32000000</v>
      </c>
    </row>
    <row r="763" spans="1:13" s="5" customFormat="1" outlineLevel="2">
      <c r="A763" s="39" t="s">
        <v>270</v>
      </c>
      <c r="B763" s="40" t="s">
        <v>203</v>
      </c>
      <c r="C763" s="41" t="s">
        <v>143</v>
      </c>
      <c r="D763" s="40" t="s">
        <v>144</v>
      </c>
      <c r="E763" s="24">
        <v>2390000</v>
      </c>
      <c r="F763" s="39">
        <v>44228</v>
      </c>
      <c r="G763" s="24">
        <v>2390000</v>
      </c>
      <c r="H763" s="23">
        <v>5.0000000000000001E-3</v>
      </c>
      <c r="I763" s="39">
        <v>44378</v>
      </c>
      <c r="J763" s="39">
        <v>44408</v>
      </c>
      <c r="K763" s="24">
        <v>31</v>
      </c>
      <c r="L763" s="24">
        <v>1015</v>
      </c>
      <c r="M763" s="24">
        <v>2390000</v>
      </c>
    </row>
    <row r="764" spans="1:13" s="5" customFormat="1" outlineLevel="2">
      <c r="A764" s="39" t="s">
        <v>270</v>
      </c>
      <c r="B764" s="40" t="s">
        <v>204</v>
      </c>
      <c r="C764" s="41" t="s">
        <v>273</v>
      </c>
      <c r="D764" s="40" t="s">
        <v>272</v>
      </c>
      <c r="E764" s="24">
        <v>43200000</v>
      </c>
      <c r="F764" s="39">
        <v>44232</v>
      </c>
      <c r="G764" s="24">
        <v>43200000</v>
      </c>
      <c r="H764" s="23">
        <v>5.0000000000000001E-3</v>
      </c>
      <c r="I764" s="39">
        <v>44378</v>
      </c>
      <c r="J764" s="39">
        <v>44408</v>
      </c>
      <c r="K764" s="24">
        <v>31</v>
      </c>
      <c r="L764" s="24">
        <v>18345</v>
      </c>
      <c r="M764" s="24">
        <v>43200000</v>
      </c>
    </row>
    <row r="765" spans="1:13" s="5" customFormat="1" outlineLevel="2">
      <c r="A765" s="39" t="s">
        <v>270</v>
      </c>
      <c r="B765" s="40" t="s">
        <v>205</v>
      </c>
      <c r="C765" s="41" t="s">
        <v>273</v>
      </c>
      <c r="D765" s="40" t="s">
        <v>272</v>
      </c>
      <c r="E765" s="24">
        <v>4600000</v>
      </c>
      <c r="F765" s="39">
        <v>44232</v>
      </c>
      <c r="G765" s="24">
        <v>4600000</v>
      </c>
      <c r="H765" s="23">
        <v>5.0000000000000001E-3</v>
      </c>
      <c r="I765" s="39">
        <v>44378</v>
      </c>
      <c r="J765" s="39">
        <v>44408</v>
      </c>
      <c r="K765" s="24">
        <v>31</v>
      </c>
      <c r="L765" s="24">
        <v>1953</v>
      </c>
      <c r="M765" s="24">
        <v>4600000</v>
      </c>
    </row>
    <row r="766" spans="1:13" s="5" customFormat="1" outlineLevel="2">
      <c r="A766" s="39" t="s">
        <v>270</v>
      </c>
      <c r="B766" s="40" t="s">
        <v>65</v>
      </c>
      <c r="C766" s="41" t="s">
        <v>274</v>
      </c>
      <c r="D766" s="40" t="s">
        <v>275</v>
      </c>
      <c r="E766" s="24">
        <v>5452560</v>
      </c>
      <c r="F766" s="39">
        <v>43873</v>
      </c>
      <c r="G766" s="24">
        <v>5452560</v>
      </c>
      <c r="H766" s="23">
        <v>5.0000000000000001E-3</v>
      </c>
      <c r="I766" s="39">
        <v>44378</v>
      </c>
      <c r="J766" s="39">
        <v>44408</v>
      </c>
      <c r="K766" s="24">
        <v>31</v>
      </c>
      <c r="L766" s="24">
        <v>2315</v>
      </c>
      <c r="M766" s="24">
        <v>5452560</v>
      </c>
    </row>
    <row r="767" spans="1:13" s="5" customFormat="1" outlineLevel="2">
      <c r="A767" s="39" t="s">
        <v>270</v>
      </c>
      <c r="B767" s="40" t="s">
        <v>206</v>
      </c>
      <c r="C767" s="41" t="s">
        <v>302</v>
      </c>
      <c r="D767" s="40" t="s">
        <v>301</v>
      </c>
      <c r="E767" s="24">
        <v>40660000</v>
      </c>
      <c r="F767" s="39">
        <v>44272</v>
      </c>
      <c r="G767" s="24">
        <v>40660000</v>
      </c>
      <c r="H767" s="23">
        <v>5.0000000000000001E-3</v>
      </c>
      <c r="I767" s="39">
        <v>44378</v>
      </c>
      <c r="J767" s="39">
        <v>44408</v>
      </c>
      <c r="K767" s="24">
        <v>31</v>
      </c>
      <c r="L767" s="24">
        <v>17267</v>
      </c>
      <c r="M767" s="24">
        <v>40660000</v>
      </c>
    </row>
    <row r="768" spans="1:13" s="5" customFormat="1" outlineLevel="2">
      <c r="A768" s="39" t="s">
        <v>270</v>
      </c>
      <c r="B768" s="40" t="s">
        <v>207</v>
      </c>
      <c r="C768" s="41" t="s">
        <v>322</v>
      </c>
      <c r="D768" s="40" t="s">
        <v>321</v>
      </c>
      <c r="E768" s="24">
        <v>13800000</v>
      </c>
      <c r="F768" s="39">
        <v>44264</v>
      </c>
      <c r="G768" s="24">
        <v>13800000</v>
      </c>
      <c r="H768" s="23">
        <v>5.0000000000000001E-3</v>
      </c>
      <c r="I768" s="39">
        <v>44378</v>
      </c>
      <c r="J768" s="39">
        <v>44408</v>
      </c>
      <c r="K768" s="24">
        <v>31</v>
      </c>
      <c r="L768" s="24">
        <v>5860</v>
      </c>
      <c r="M768" s="24">
        <v>13800000</v>
      </c>
    </row>
    <row r="769" spans="1:13" s="5" customFormat="1" outlineLevel="2">
      <c r="A769" s="39" t="s">
        <v>270</v>
      </c>
      <c r="B769" s="40" t="s">
        <v>208</v>
      </c>
      <c r="C769" s="41" t="s">
        <v>274</v>
      </c>
      <c r="D769" s="40" t="s">
        <v>275</v>
      </c>
      <c r="E769" s="24">
        <v>8641320</v>
      </c>
      <c r="F769" s="39">
        <v>44265</v>
      </c>
      <c r="G769" s="24">
        <v>8641320</v>
      </c>
      <c r="H769" s="23">
        <v>5.0000000000000001E-3</v>
      </c>
      <c r="I769" s="39">
        <v>44378</v>
      </c>
      <c r="J769" s="39">
        <v>44408</v>
      </c>
      <c r="K769" s="24">
        <v>31</v>
      </c>
      <c r="L769" s="24">
        <v>3670</v>
      </c>
      <c r="M769" s="24">
        <v>8641320</v>
      </c>
    </row>
    <row r="770" spans="1:13" s="5" customFormat="1" outlineLevel="2">
      <c r="A770" s="39" t="s">
        <v>270</v>
      </c>
      <c r="B770" s="40" t="s">
        <v>209</v>
      </c>
      <c r="C770" s="41" t="s">
        <v>274</v>
      </c>
      <c r="D770" s="40" t="s">
        <v>275</v>
      </c>
      <c r="E770" s="24">
        <v>3655380</v>
      </c>
      <c r="F770" s="39">
        <v>44265</v>
      </c>
      <c r="G770" s="24">
        <v>3655380</v>
      </c>
      <c r="H770" s="23">
        <v>5.0000000000000001E-3</v>
      </c>
      <c r="I770" s="39">
        <v>44378</v>
      </c>
      <c r="J770" s="39">
        <v>44408</v>
      </c>
      <c r="K770" s="24">
        <v>31</v>
      </c>
      <c r="L770" s="24">
        <v>1552</v>
      </c>
      <c r="M770" s="24">
        <v>3655380</v>
      </c>
    </row>
    <row r="771" spans="1:13" s="5" customFormat="1" outlineLevel="2">
      <c r="A771" s="39" t="s">
        <v>270</v>
      </c>
      <c r="B771" s="40" t="s">
        <v>210</v>
      </c>
      <c r="C771" s="41" t="s">
        <v>274</v>
      </c>
      <c r="D771" s="40" t="s">
        <v>275</v>
      </c>
      <c r="E771" s="24">
        <v>13280000</v>
      </c>
      <c r="F771" s="39">
        <v>44272</v>
      </c>
      <c r="G771" s="24">
        <v>13280000</v>
      </c>
      <c r="H771" s="23">
        <v>5.0000000000000001E-3</v>
      </c>
      <c r="I771" s="39">
        <v>44378</v>
      </c>
      <c r="J771" s="39">
        <v>44408</v>
      </c>
      <c r="K771" s="24">
        <v>31</v>
      </c>
      <c r="L771" s="24">
        <v>5639</v>
      </c>
      <c r="M771" s="24">
        <v>13280000</v>
      </c>
    </row>
    <row r="772" spans="1:13" s="5" customFormat="1" outlineLevel="2">
      <c r="A772" s="39" t="s">
        <v>270</v>
      </c>
      <c r="B772" s="40" t="s">
        <v>211</v>
      </c>
      <c r="C772" s="41" t="s">
        <v>115</v>
      </c>
      <c r="D772" s="40" t="s">
        <v>116</v>
      </c>
      <c r="E772" s="24">
        <v>47000000</v>
      </c>
      <c r="F772" s="39">
        <v>44284</v>
      </c>
      <c r="G772" s="24">
        <v>47000000</v>
      </c>
      <c r="H772" s="23">
        <v>5.0000000000000001E-3</v>
      </c>
      <c r="I772" s="39">
        <v>44378</v>
      </c>
      <c r="J772" s="39">
        <v>44408</v>
      </c>
      <c r="K772" s="24">
        <v>31</v>
      </c>
      <c r="L772" s="24">
        <v>19959</v>
      </c>
      <c r="M772" s="24">
        <v>47000000</v>
      </c>
    </row>
    <row r="773" spans="1:13" s="5" customFormat="1" outlineLevel="2">
      <c r="A773" s="39" t="s">
        <v>270</v>
      </c>
      <c r="B773" s="40" t="s">
        <v>212</v>
      </c>
      <c r="C773" s="41" t="s">
        <v>143</v>
      </c>
      <c r="D773" s="40" t="s">
        <v>144</v>
      </c>
      <c r="E773" s="24">
        <v>5840000</v>
      </c>
      <c r="F773" s="39">
        <v>44257</v>
      </c>
      <c r="G773" s="24">
        <v>5840000</v>
      </c>
      <c r="H773" s="23">
        <v>5.0000000000000001E-3</v>
      </c>
      <c r="I773" s="39">
        <v>44378</v>
      </c>
      <c r="J773" s="39">
        <v>44408</v>
      </c>
      <c r="K773" s="24">
        <v>31</v>
      </c>
      <c r="L773" s="24">
        <v>2480</v>
      </c>
      <c r="M773" s="24">
        <v>5840000</v>
      </c>
    </row>
    <row r="774" spans="1:13" s="5" customFormat="1" outlineLevel="2">
      <c r="A774" s="39" t="s">
        <v>270</v>
      </c>
      <c r="B774" s="40" t="s">
        <v>213</v>
      </c>
      <c r="C774" s="41" t="s">
        <v>143</v>
      </c>
      <c r="D774" s="40" t="s">
        <v>144</v>
      </c>
      <c r="E774" s="24">
        <v>3570000</v>
      </c>
      <c r="F774" s="39">
        <v>44286</v>
      </c>
      <c r="G774" s="24">
        <v>3570000</v>
      </c>
      <c r="H774" s="23">
        <v>5.0000000000000001E-3</v>
      </c>
      <c r="I774" s="39">
        <v>44378</v>
      </c>
      <c r="J774" s="39">
        <v>44408</v>
      </c>
      <c r="K774" s="24">
        <v>31</v>
      </c>
      <c r="L774" s="24">
        <v>1516</v>
      </c>
      <c r="M774" s="24">
        <v>3570000</v>
      </c>
    </row>
    <row r="775" spans="1:13" s="5" customFormat="1" outlineLevel="2">
      <c r="A775" s="39" t="s">
        <v>270</v>
      </c>
      <c r="B775" s="40" t="s">
        <v>214</v>
      </c>
      <c r="C775" s="41" t="s">
        <v>273</v>
      </c>
      <c r="D775" s="40" t="s">
        <v>272</v>
      </c>
      <c r="E775" s="24">
        <v>63400000</v>
      </c>
      <c r="F775" s="39">
        <v>44260</v>
      </c>
      <c r="G775" s="24">
        <v>63400000</v>
      </c>
      <c r="H775" s="23">
        <v>5.0000000000000001E-3</v>
      </c>
      <c r="I775" s="39">
        <v>44378</v>
      </c>
      <c r="J775" s="39">
        <v>44408</v>
      </c>
      <c r="K775" s="24">
        <v>31</v>
      </c>
      <c r="L775" s="24">
        <v>26923</v>
      </c>
      <c r="M775" s="24">
        <v>63400000</v>
      </c>
    </row>
    <row r="776" spans="1:13" s="5" customFormat="1" outlineLevel="2">
      <c r="A776" s="39" t="s">
        <v>270</v>
      </c>
      <c r="B776" s="40" t="s">
        <v>215</v>
      </c>
      <c r="C776" s="41" t="s">
        <v>273</v>
      </c>
      <c r="D776" s="40" t="s">
        <v>272</v>
      </c>
      <c r="E776" s="24">
        <v>2800000</v>
      </c>
      <c r="F776" s="39">
        <v>44260</v>
      </c>
      <c r="G776" s="24">
        <v>2800000</v>
      </c>
      <c r="H776" s="23">
        <v>5.0000000000000001E-3</v>
      </c>
      <c r="I776" s="39">
        <v>44378</v>
      </c>
      <c r="J776" s="39">
        <v>44408</v>
      </c>
      <c r="K776" s="24">
        <v>31</v>
      </c>
      <c r="L776" s="24">
        <v>1189</v>
      </c>
      <c r="M776" s="24">
        <v>2800000</v>
      </c>
    </row>
    <row r="777" spans="1:13" s="5" customFormat="1" outlineLevel="2">
      <c r="A777" s="39" t="s">
        <v>270</v>
      </c>
      <c r="B777" s="40" t="s">
        <v>68</v>
      </c>
      <c r="C777" s="41" t="s">
        <v>274</v>
      </c>
      <c r="D777" s="40" t="s">
        <v>275</v>
      </c>
      <c r="E777" s="24">
        <v>7270080</v>
      </c>
      <c r="F777" s="39">
        <v>43873</v>
      </c>
      <c r="G777" s="24">
        <v>7270080</v>
      </c>
      <c r="H777" s="23">
        <v>5.0000000000000001E-3</v>
      </c>
      <c r="I777" s="39">
        <v>44378</v>
      </c>
      <c r="J777" s="39">
        <v>44408</v>
      </c>
      <c r="K777" s="24">
        <v>31</v>
      </c>
      <c r="L777" s="24">
        <v>3087</v>
      </c>
      <c r="M777" s="24">
        <v>7270080</v>
      </c>
    </row>
    <row r="778" spans="1:13" s="5" customFormat="1" outlineLevel="2">
      <c r="A778" s="39" t="s">
        <v>270</v>
      </c>
      <c r="B778" s="40" t="s">
        <v>216</v>
      </c>
      <c r="C778" s="41" t="s">
        <v>75</v>
      </c>
      <c r="D778" s="40" t="s">
        <v>76</v>
      </c>
      <c r="E778" s="24">
        <v>48420000</v>
      </c>
      <c r="F778" s="39">
        <v>44280</v>
      </c>
      <c r="G778" s="24">
        <v>48420000</v>
      </c>
      <c r="H778" s="23">
        <v>5.0000000000000001E-3</v>
      </c>
      <c r="I778" s="39">
        <v>44378</v>
      </c>
      <c r="J778" s="39">
        <v>44408</v>
      </c>
      <c r="K778" s="24">
        <v>31</v>
      </c>
      <c r="L778" s="24">
        <v>20562</v>
      </c>
      <c r="M778" s="24">
        <v>48420000</v>
      </c>
    </row>
    <row r="779" spans="1:13" s="5" customFormat="1" outlineLevel="2">
      <c r="A779" s="39" t="s">
        <v>270</v>
      </c>
      <c r="B779" s="40" t="s">
        <v>217</v>
      </c>
      <c r="C779" s="41" t="s">
        <v>274</v>
      </c>
      <c r="D779" s="40" t="s">
        <v>275</v>
      </c>
      <c r="E779" s="24">
        <v>8641320</v>
      </c>
      <c r="F779" s="39">
        <v>44293</v>
      </c>
      <c r="G779" s="24">
        <v>8641320</v>
      </c>
      <c r="H779" s="23">
        <v>5.0000000000000001E-3</v>
      </c>
      <c r="I779" s="39">
        <v>44378</v>
      </c>
      <c r="J779" s="39">
        <v>44408</v>
      </c>
      <c r="K779" s="24">
        <v>31</v>
      </c>
      <c r="L779" s="24">
        <v>3670</v>
      </c>
      <c r="M779" s="24">
        <v>8641320</v>
      </c>
    </row>
    <row r="780" spans="1:13" s="5" customFormat="1" outlineLevel="2">
      <c r="A780" s="39" t="s">
        <v>270</v>
      </c>
      <c r="B780" s="40" t="s">
        <v>218</v>
      </c>
      <c r="C780" s="41" t="s">
        <v>274</v>
      </c>
      <c r="D780" s="40" t="s">
        <v>275</v>
      </c>
      <c r="E780" s="24">
        <v>10475040</v>
      </c>
      <c r="F780" s="39">
        <v>44293</v>
      </c>
      <c r="G780" s="24">
        <v>10475040</v>
      </c>
      <c r="H780" s="23">
        <v>5.0000000000000001E-3</v>
      </c>
      <c r="I780" s="39">
        <v>44378</v>
      </c>
      <c r="J780" s="39">
        <v>44408</v>
      </c>
      <c r="K780" s="24">
        <v>31</v>
      </c>
      <c r="L780" s="24">
        <v>4448</v>
      </c>
      <c r="M780" s="24">
        <v>10475040</v>
      </c>
    </row>
    <row r="781" spans="1:13" s="5" customFormat="1" outlineLevel="2">
      <c r="A781" s="39" t="s">
        <v>270</v>
      </c>
      <c r="B781" s="40" t="s">
        <v>221</v>
      </c>
      <c r="C781" s="41" t="s">
        <v>143</v>
      </c>
      <c r="D781" s="40" t="s">
        <v>144</v>
      </c>
      <c r="E781" s="24">
        <v>2890000</v>
      </c>
      <c r="F781" s="39">
        <v>44298</v>
      </c>
      <c r="G781" s="24">
        <v>2890000</v>
      </c>
      <c r="H781" s="23">
        <v>5.0000000000000001E-3</v>
      </c>
      <c r="I781" s="39">
        <v>44378</v>
      </c>
      <c r="J781" s="39">
        <v>44408</v>
      </c>
      <c r="K781" s="24">
        <v>31</v>
      </c>
      <c r="L781" s="24">
        <v>1227</v>
      </c>
      <c r="M781" s="24">
        <v>2890000</v>
      </c>
    </row>
    <row r="782" spans="1:13" s="5" customFormat="1" outlineLevel="2">
      <c r="A782" s="39" t="s">
        <v>270</v>
      </c>
      <c r="B782" s="40" t="s">
        <v>222</v>
      </c>
      <c r="C782" s="41" t="s">
        <v>273</v>
      </c>
      <c r="D782" s="40" t="s">
        <v>272</v>
      </c>
      <c r="E782" s="24">
        <v>5600000</v>
      </c>
      <c r="F782" s="39">
        <v>44287</v>
      </c>
      <c r="G782" s="24">
        <v>5600000</v>
      </c>
      <c r="H782" s="23">
        <v>5.0000000000000001E-3</v>
      </c>
      <c r="I782" s="39">
        <v>44378</v>
      </c>
      <c r="J782" s="39">
        <v>44408</v>
      </c>
      <c r="K782" s="24">
        <v>31</v>
      </c>
      <c r="L782" s="24">
        <v>2378</v>
      </c>
      <c r="M782" s="24">
        <v>5600000</v>
      </c>
    </row>
    <row r="783" spans="1:13" s="5" customFormat="1" outlineLevel="2">
      <c r="A783" s="39" t="s">
        <v>270</v>
      </c>
      <c r="B783" s="40" t="s">
        <v>223</v>
      </c>
      <c r="C783" s="41" t="s">
        <v>273</v>
      </c>
      <c r="D783" s="40" t="s">
        <v>272</v>
      </c>
      <c r="E783" s="24">
        <v>24000000</v>
      </c>
      <c r="F783" s="39">
        <v>44287</v>
      </c>
      <c r="G783" s="24">
        <v>24000000</v>
      </c>
      <c r="H783" s="23">
        <v>5.0000000000000001E-3</v>
      </c>
      <c r="I783" s="39">
        <v>44378</v>
      </c>
      <c r="J783" s="39">
        <v>44408</v>
      </c>
      <c r="K783" s="24">
        <v>31</v>
      </c>
      <c r="L783" s="24">
        <v>10192</v>
      </c>
      <c r="M783" s="24">
        <v>24000000</v>
      </c>
    </row>
    <row r="784" spans="1:13" s="5" customFormat="1" outlineLevel="2">
      <c r="A784" s="39" t="s">
        <v>270</v>
      </c>
      <c r="B784" s="40" t="s">
        <v>224</v>
      </c>
      <c r="C784" s="41" t="s">
        <v>341</v>
      </c>
      <c r="D784" s="40" t="s">
        <v>340</v>
      </c>
      <c r="E784" s="24">
        <v>19600000</v>
      </c>
      <c r="F784" s="39">
        <v>44314</v>
      </c>
      <c r="G784" s="24">
        <v>19600000</v>
      </c>
      <c r="H784" s="23">
        <v>5.0000000000000001E-3</v>
      </c>
      <c r="I784" s="39">
        <v>44378</v>
      </c>
      <c r="J784" s="39">
        <v>44408</v>
      </c>
      <c r="K784" s="24">
        <v>31</v>
      </c>
      <c r="L784" s="24">
        <v>8323</v>
      </c>
      <c r="M784" s="24">
        <v>19600000</v>
      </c>
    </row>
    <row r="785" spans="1:13" s="5" customFormat="1" outlineLevel="2">
      <c r="A785" s="39" t="s">
        <v>270</v>
      </c>
      <c r="B785" s="40" t="s">
        <v>225</v>
      </c>
      <c r="C785" s="41" t="s">
        <v>341</v>
      </c>
      <c r="D785" s="40" t="s">
        <v>340</v>
      </c>
      <c r="E785" s="24">
        <v>46800000</v>
      </c>
      <c r="F785" s="39">
        <v>44314</v>
      </c>
      <c r="G785" s="24">
        <v>46800000</v>
      </c>
      <c r="H785" s="23">
        <v>5.0000000000000001E-3</v>
      </c>
      <c r="I785" s="39">
        <v>44378</v>
      </c>
      <c r="J785" s="39">
        <v>44408</v>
      </c>
      <c r="K785" s="24">
        <v>31</v>
      </c>
      <c r="L785" s="24">
        <v>19874</v>
      </c>
      <c r="M785" s="24">
        <v>46800000</v>
      </c>
    </row>
    <row r="786" spans="1:13" s="5" customFormat="1" outlineLevel="2">
      <c r="A786" s="39" t="s">
        <v>270</v>
      </c>
      <c r="B786" s="40" t="s">
        <v>226</v>
      </c>
      <c r="C786" s="41" t="s">
        <v>274</v>
      </c>
      <c r="D786" s="40" t="s">
        <v>275</v>
      </c>
      <c r="E786" s="24">
        <v>10475040</v>
      </c>
      <c r="F786" s="39">
        <v>44328</v>
      </c>
      <c r="G786" s="24">
        <v>10475040</v>
      </c>
      <c r="H786" s="23">
        <v>5.0000000000000001E-3</v>
      </c>
      <c r="I786" s="39">
        <v>44378</v>
      </c>
      <c r="J786" s="39">
        <v>44408</v>
      </c>
      <c r="K786" s="24">
        <v>31</v>
      </c>
      <c r="L786" s="24">
        <v>4448</v>
      </c>
      <c r="M786" s="24">
        <v>10475040</v>
      </c>
    </row>
    <row r="787" spans="1:13" s="5" customFormat="1" outlineLevel="2">
      <c r="A787" s="39" t="s">
        <v>270</v>
      </c>
      <c r="B787" s="40" t="s">
        <v>227</v>
      </c>
      <c r="C787" s="41" t="s">
        <v>274</v>
      </c>
      <c r="D787" s="40" t="s">
        <v>275</v>
      </c>
      <c r="E787" s="24">
        <v>18388440</v>
      </c>
      <c r="F787" s="39">
        <v>44328</v>
      </c>
      <c r="G787" s="24">
        <v>18388440</v>
      </c>
      <c r="H787" s="23">
        <v>5.0000000000000001E-3</v>
      </c>
      <c r="I787" s="39">
        <v>44378</v>
      </c>
      <c r="J787" s="39">
        <v>44408</v>
      </c>
      <c r="K787" s="24">
        <v>31</v>
      </c>
      <c r="L787" s="24">
        <v>7809</v>
      </c>
      <c r="M787" s="24">
        <v>18388440</v>
      </c>
    </row>
    <row r="788" spans="1:13" s="5" customFormat="1" outlineLevel="1">
      <c r="A788" s="42" t="s">
        <v>282</v>
      </c>
      <c r="B788" s="43"/>
      <c r="C788" s="44"/>
      <c r="D788" s="43"/>
      <c r="E788" s="45">
        <v>4559116842</v>
      </c>
      <c r="F788" s="46"/>
      <c r="G788" s="45"/>
      <c r="H788" s="47"/>
      <c r="I788" s="46"/>
      <c r="J788" s="46"/>
      <c r="K788" s="45"/>
      <c r="L788" s="45">
        <v>1925930</v>
      </c>
      <c r="M788" s="45">
        <v>4559116842</v>
      </c>
    </row>
    <row r="789" spans="1:13" s="5" customFormat="1" outlineLevel="2">
      <c r="A789" s="39" t="s">
        <v>283</v>
      </c>
      <c r="B789" s="40" t="s">
        <v>16</v>
      </c>
      <c r="C789" s="41" t="s">
        <v>284</v>
      </c>
      <c r="D789" s="40" t="s">
        <v>285</v>
      </c>
      <c r="E789" s="24">
        <v>50000000</v>
      </c>
      <c r="F789" s="39">
        <v>44211</v>
      </c>
      <c r="G789" s="24">
        <v>50000000</v>
      </c>
      <c r="H789" s="23">
        <v>5.0000000000000001E-3</v>
      </c>
      <c r="I789" s="39">
        <v>44378</v>
      </c>
      <c r="J789" s="39">
        <v>44408</v>
      </c>
      <c r="K789" s="24">
        <v>31</v>
      </c>
      <c r="L789" s="24">
        <v>21233</v>
      </c>
      <c r="M789" s="24">
        <v>50000000</v>
      </c>
    </row>
    <row r="790" spans="1:13" s="5" customFormat="1" outlineLevel="1">
      <c r="A790" s="42" t="s">
        <v>286</v>
      </c>
      <c r="B790" s="43"/>
      <c r="C790" s="44"/>
      <c r="D790" s="43"/>
      <c r="E790" s="45">
        <v>50000000</v>
      </c>
      <c r="F790" s="46"/>
      <c r="G790" s="45"/>
      <c r="H790" s="47"/>
      <c r="I790" s="46"/>
      <c r="J790" s="46"/>
      <c r="K790" s="45"/>
      <c r="L790" s="45">
        <v>21233</v>
      </c>
      <c r="M790" s="45">
        <v>50000000</v>
      </c>
    </row>
    <row r="791" spans="1:13" s="5" customFormat="1" outlineLevel="2">
      <c r="A791" s="39" t="s">
        <v>287</v>
      </c>
      <c r="B791" s="40" t="s">
        <v>16</v>
      </c>
      <c r="C791" s="41" t="s">
        <v>30</v>
      </c>
      <c r="D791" s="40" t="s">
        <v>31</v>
      </c>
      <c r="E791" s="24">
        <v>20000000</v>
      </c>
      <c r="F791" s="39">
        <v>43985</v>
      </c>
      <c r="G791" s="24">
        <v>20000000</v>
      </c>
      <c r="H791" s="23">
        <v>5.0000000000000001E-3</v>
      </c>
      <c r="I791" s="39">
        <v>44378</v>
      </c>
      <c r="J791" s="39">
        <v>44408</v>
      </c>
      <c r="K791" s="24">
        <v>31</v>
      </c>
      <c r="L791" s="24">
        <v>8493</v>
      </c>
      <c r="M791" s="24">
        <v>20000000</v>
      </c>
    </row>
    <row r="792" spans="1:13" s="5" customFormat="1" outlineLevel="2">
      <c r="A792" s="39" t="s">
        <v>287</v>
      </c>
      <c r="B792" s="40" t="s">
        <v>39</v>
      </c>
      <c r="C792" s="41" t="s">
        <v>30</v>
      </c>
      <c r="D792" s="40" t="s">
        <v>31</v>
      </c>
      <c r="E792" s="24">
        <v>13800000</v>
      </c>
      <c r="F792" s="39">
        <v>44034</v>
      </c>
      <c r="G792" s="24">
        <v>13800000</v>
      </c>
      <c r="H792" s="23">
        <v>5.0000000000000001E-3</v>
      </c>
      <c r="I792" s="39">
        <v>44378</v>
      </c>
      <c r="J792" s="39">
        <v>44408</v>
      </c>
      <c r="K792" s="24">
        <v>31</v>
      </c>
      <c r="L792" s="24">
        <v>5860</v>
      </c>
      <c r="M792" s="24">
        <v>13800000</v>
      </c>
    </row>
    <row r="793" spans="1:13" s="5" customFormat="1" outlineLevel="2">
      <c r="A793" s="39" t="s">
        <v>287</v>
      </c>
      <c r="B793" s="40" t="s">
        <v>54</v>
      </c>
      <c r="C793" s="41" t="s">
        <v>30</v>
      </c>
      <c r="D793" s="40" t="s">
        <v>31</v>
      </c>
      <c r="E793" s="24">
        <v>25000000</v>
      </c>
      <c r="F793" s="39">
        <v>44102</v>
      </c>
      <c r="G793" s="24">
        <v>25000000</v>
      </c>
      <c r="H793" s="23">
        <v>5.0000000000000001E-3</v>
      </c>
      <c r="I793" s="39">
        <v>44378</v>
      </c>
      <c r="J793" s="39">
        <v>44408</v>
      </c>
      <c r="K793" s="24">
        <v>31</v>
      </c>
      <c r="L793" s="24">
        <v>10616</v>
      </c>
      <c r="M793" s="24">
        <v>25000000</v>
      </c>
    </row>
    <row r="794" spans="1:13" s="5" customFormat="1" outlineLevel="2">
      <c r="A794" s="39" t="s">
        <v>287</v>
      </c>
      <c r="B794" s="40" t="s">
        <v>59</v>
      </c>
      <c r="C794" s="41" t="s">
        <v>30</v>
      </c>
      <c r="D794" s="40" t="s">
        <v>31</v>
      </c>
      <c r="E794" s="24">
        <v>5600000</v>
      </c>
      <c r="F794" s="39">
        <v>44103</v>
      </c>
      <c r="G794" s="24">
        <v>5600000</v>
      </c>
      <c r="H794" s="23">
        <v>5.0000000000000001E-3</v>
      </c>
      <c r="I794" s="39">
        <v>44378</v>
      </c>
      <c r="J794" s="39">
        <v>44408</v>
      </c>
      <c r="K794" s="24">
        <v>31</v>
      </c>
      <c r="L794" s="24">
        <v>2378</v>
      </c>
      <c r="M794" s="24">
        <v>5600000</v>
      </c>
    </row>
    <row r="795" spans="1:13" s="5" customFormat="1" outlineLevel="1">
      <c r="A795" s="42" t="s">
        <v>288</v>
      </c>
      <c r="B795" s="43"/>
      <c r="C795" s="44"/>
      <c r="D795" s="43"/>
      <c r="E795" s="45">
        <v>64400000</v>
      </c>
      <c r="F795" s="46"/>
      <c r="G795" s="45"/>
      <c r="H795" s="47"/>
      <c r="I795" s="46"/>
      <c r="J795" s="46"/>
      <c r="K795" s="45"/>
      <c r="L795" s="45">
        <v>27347</v>
      </c>
      <c r="M795" s="45">
        <v>64400000</v>
      </c>
    </row>
    <row r="796" spans="1:13" s="5" customFormat="1" outlineLevel="2">
      <c r="A796" s="39" t="s">
        <v>289</v>
      </c>
      <c r="B796" s="40" t="s">
        <v>16</v>
      </c>
      <c r="C796" s="41" t="s">
        <v>121</v>
      </c>
      <c r="D796" s="40" t="s">
        <v>122</v>
      </c>
      <c r="E796" s="24">
        <v>72000000</v>
      </c>
      <c r="F796" s="39">
        <v>43917</v>
      </c>
      <c r="G796" s="24">
        <v>72000000</v>
      </c>
      <c r="H796" s="23">
        <v>5.0000000000000001E-3</v>
      </c>
      <c r="I796" s="39">
        <v>44378</v>
      </c>
      <c r="J796" s="39">
        <v>44408</v>
      </c>
      <c r="K796" s="24">
        <v>31</v>
      </c>
      <c r="L796" s="24">
        <v>30575</v>
      </c>
      <c r="M796" s="24">
        <v>72000000</v>
      </c>
    </row>
    <row r="797" spans="1:13" s="5" customFormat="1" outlineLevel="2">
      <c r="A797" s="39" t="s">
        <v>289</v>
      </c>
      <c r="B797" s="40" t="s">
        <v>39</v>
      </c>
      <c r="C797" s="41" t="s">
        <v>121</v>
      </c>
      <c r="D797" s="40" t="s">
        <v>122</v>
      </c>
      <c r="E797" s="24">
        <v>144000000</v>
      </c>
      <c r="F797" s="39">
        <v>44018</v>
      </c>
      <c r="G797" s="24">
        <v>144000000</v>
      </c>
      <c r="H797" s="23">
        <v>5.0000000000000001E-3</v>
      </c>
      <c r="I797" s="39">
        <v>44378</v>
      </c>
      <c r="J797" s="39">
        <v>44408</v>
      </c>
      <c r="K797" s="24">
        <v>31</v>
      </c>
      <c r="L797" s="24">
        <v>61151</v>
      </c>
      <c r="M797" s="24">
        <v>144000000</v>
      </c>
    </row>
    <row r="798" spans="1:13" s="5" customFormat="1" outlineLevel="2">
      <c r="A798" s="39" t="s">
        <v>289</v>
      </c>
      <c r="B798" s="40" t="s">
        <v>54</v>
      </c>
      <c r="C798" s="41" t="s">
        <v>290</v>
      </c>
      <c r="D798" s="40" t="s">
        <v>291</v>
      </c>
      <c r="E798" s="24">
        <v>6820000</v>
      </c>
      <c r="F798" s="39">
        <v>44092</v>
      </c>
      <c r="G798" s="24">
        <v>5796997</v>
      </c>
      <c r="H798" s="23">
        <v>5.0000000000000001E-3</v>
      </c>
      <c r="I798" s="39">
        <v>44378</v>
      </c>
      <c r="J798" s="39">
        <v>44391</v>
      </c>
      <c r="K798" s="24">
        <v>14</v>
      </c>
      <c r="L798" s="24">
        <v>1112</v>
      </c>
      <c r="M798" s="24">
        <v>5683330</v>
      </c>
    </row>
    <row r="799" spans="1:13" s="5" customFormat="1" outlineLevel="2">
      <c r="A799" s="39" t="s">
        <v>289</v>
      </c>
      <c r="B799" s="40" t="s">
        <v>54</v>
      </c>
      <c r="C799" s="41" t="s">
        <v>290</v>
      </c>
      <c r="D799" s="40"/>
      <c r="E799" s="24"/>
      <c r="F799" s="39"/>
      <c r="G799" s="24">
        <v>5683330</v>
      </c>
      <c r="H799" s="23">
        <v>5.0000000000000001E-3</v>
      </c>
      <c r="I799" s="39">
        <v>44392</v>
      </c>
      <c r="J799" s="39">
        <v>44408</v>
      </c>
      <c r="K799" s="24">
        <v>17</v>
      </c>
      <c r="L799" s="24">
        <v>1324</v>
      </c>
      <c r="M799" s="24"/>
    </row>
    <row r="800" spans="1:13" s="5" customFormat="1" outlineLevel="2">
      <c r="A800" s="39" t="s">
        <v>289</v>
      </c>
      <c r="B800" s="40" t="s">
        <v>59</v>
      </c>
      <c r="C800" s="41" t="s">
        <v>290</v>
      </c>
      <c r="D800" s="40" t="s">
        <v>291</v>
      </c>
      <c r="E800" s="24">
        <v>17380000</v>
      </c>
      <c r="F800" s="39">
        <v>44092</v>
      </c>
      <c r="G800" s="24">
        <v>13034998</v>
      </c>
      <c r="H800" s="23">
        <v>5.0000000000000001E-3</v>
      </c>
      <c r="I800" s="39">
        <v>44378</v>
      </c>
      <c r="J800" s="39">
        <v>44391</v>
      </c>
      <c r="K800" s="24">
        <v>14</v>
      </c>
      <c r="L800" s="24">
        <v>2500</v>
      </c>
      <c r="M800" s="24">
        <v>12552220</v>
      </c>
    </row>
    <row r="801" spans="1:13" s="5" customFormat="1" outlineLevel="2">
      <c r="A801" s="39" t="s">
        <v>289</v>
      </c>
      <c r="B801" s="40" t="s">
        <v>59</v>
      </c>
      <c r="C801" s="41" t="s">
        <v>290</v>
      </c>
      <c r="D801" s="40"/>
      <c r="E801" s="24"/>
      <c r="F801" s="39"/>
      <c r="G801" s="24">
        <v>12552220</v>
      </c>
      <c r="H801" s="23">
        <v>5.0000000000000001E-3</v>
      </c>
      <c r="I801" s="39">
        <v>44392</v>
      </c>
      <c r="J801" s="39">
        <v>44408</v>
      </c>
      <c r="K801" s="24">
        <v>17</v>
      </c>
      <c r="L801" s="24">
        <v>2923</v>
      </c>
      <c r="M801" s="24"/>
    </row>
    <row r="802" spans="1:13" s="5" customFormat="1" outlineLevel="2">
      <c r="A802" s="39" t="s">
        <v>289</v>
      </c>
      <c r="B802" s="40" t="s">
        <v>62</v>
      </c>
      <c r="C802" s="41" t="s">
        <v>121</v>
      </c>
      <c r="D802" s="40" t="s">
        <v>122</v>
      </c>
      <c r="E802" s="24">
        <v>41000000</v>
      </c>
      <c r="F802" s="39">
        <v>44140</v>
      </c>
      <c r="G802" s="24">
        <v>41000000</v>
      </c>
      <c r="H802" s="23">
        <v>5.0000000000000001E-3</v>
      </c>
      <c r="I802" s="39">
        <v>44378</v>
      </c>
      <c r="J802" s="39">
        <v>44408</v>
      </c>
      <c r="K802" s="24">
        <v>31</v>
      </c>
      <c r="L802" s="24">
        <v>17411</v>
      </c>
      <c r="M802" s="24">
        <v>41000000</v>
      </c>
    </row>
    <row r="803" spans="1:13" s="5" customFormat="1" outlineLevel="2">
      <c r="A803" s="39" t="s">
        <v>289</v>
      </c>
      <c r="B803" s="40" t="s">
        <v>63</v>
      </c>
      <c r="C803" s="41" t="s">
        <v>290</v>
      </c>
      <c r="D803" s="40" t="s">
        <v>291</v>
      </c>
      <c r="E803" s="24">
        <v>3220000</v>
      </c>
      <c r="F803" s="39">
        <v>44161</v>
      </c>
      <c r="G803" s="24">
        <v>2831381</v>
      </c>
      <c r="H803" s="23">
        <v>5.0000000000000001E-3</v>
      </c>
      <c r="I803" s="39">
        <v>44378</v>
      </c>
      <c r="J803" s="39">
        <v>44391</v>
      </c>
      <c r="K803" s="24">
        <v>14</v>
      </c>
      <c r="L803" s="24">
        <v>543</v>
      </c>
      <c r="M803" s="24">
        <v>2775864</v>
      </c>
    </row>
    <row r="804" spans="1:13" s="5" customFormat="1" outlineLevel="2">
      <c r="A804" s="39" t="s">
        <v>289</v>
      </c>
      <c r="B804" s="40" t="s">
        <v>63</v>
      </c>
      <c r="C804" s="41" t="s">
        <v>290</v>
      </c>
      <c r="D804" s="40"/>
      <c r="E804" s="24"/>
      <c r="F804" s="39"/>
      <c r="G804" s="24">
        <v>2775864</v>
      </c>
      <c r="H804" s="23">
        <v>5.0000000000000001E-3</v>
      </c>
      <c r="I804" s="39">
        <v>44392</v>
      </c>
      <c r="J804" s="39">
        <v>44408</v>
      </c>
      <c r="K804" s="24">
        <v>17</v>
      </c>
      <c r="L804" s="24">
        <v>646</v>
      </c>
      <c r="M804" s="24"/>
    </row>
    <row r="805" spans="1:13" s="5" customFormat="1" outlineLevel="2">
      <c r="A805" s="39" t="s">
        <v>289</v>
      </c>
      <c r="B805" s="40" t="s">
        <v>64</v>
      </c>
      <c r="C805" s="41" t="s">
        <v>121</v>
      </c>
      <c r="D805" s="40" t="s">
        <v>122</v>
      </c>
      <c r="E805" s="24">
        <v>50000000</v>
      </c>
      <c r="F805" s="39">
        <v>44189</v>
      </c>
      <c r="G805" s="24">
        <v>50000000</v>
      </c>
      <c r="H805" s="23">
        <v>5.0000000000000001E-3</v>
      </c>
      <c r="I805" s="39">
        <v>44378</v>
      </c>
      <c r="J805" s="39">
        <v>44408</v>
      </c>
      <c r="K805" s="24">
        <v>31</v>
      </c>
      <c r="L805" s="24">
        <v>21233</v>
      </c>
      <c r="M805" s="24">
        <v>50000000</v>
      </c>
    </row>
    <row r="806" spans="1:13" s="5" customFormat="1" outlineLevel="2">
      <c r="A806" s="39" t="s">
        <v>289</v>
      </c>
      <c r="B806" s="40" t="s">
        <v>65</v>
      </c>
      <c r="C806" s="41" t="s">
        <v>121</v>
      </c>
      <c r="D806" s="40" t="s">
        <v>122</v>
      </c>
      <c r="E806" s="24">
        <v>15000000</v>
      </c>
      <c r="F806" s="39">
        <v>44189</v>
      </c>
      <c r="G806" s="24">
        <v>15000000</v>
      </c>
      <c r="H806" s="23">
        <v>5.0000000000000001E-3</v>
      </c>
      <c r="I806" s="39">
        <v>44378</v>
      </c>
      <c r="J806" s="39">
        <v>44408</v>
      </c>
      <c r="K806" s="24">
        <v>31</v>
      </c>
      <c r="L806" s="24">
        <v>6370</v>
      </c>
      <c r="M806" s="24">
        <v>15000000</v>
      </c>
    </row>
    <row r="807" spans="1:13" s="5" customFormat="1" outlineLevel="2">
      <c r="A807" s="39" t="s">
        <v>289</v>
      </c>
      <c r="B807" s="40" t="s">
        <v>68</v>
      </c>
      <c r="C807" s="41" t="s">
        <v>121</v>
      </c>
      <c r="D807" s="40" t="s">
        <v>122</v>
      </c>
      <c r="E807" s="24">
        <v>850000</v>
      </c>
      <c r="F807" s="39">
        <v>44253</v>
      </c>
      <c r="G807" s="24">
        <v>850000</v>
      </c>
      <c r="H807" s="23">
        <v>5.0000000000000001E-3</v>
      </c>
      <c r="I807" s="39">
        <v>44378</v>
      </c>
      <c r="J807" s="39">
        <v>44408</v>
      </c>
      <c r="K807" s="24">
        <v>31</v>
      </c>
      <c r="L807" s="24">
        <v>361</v>
      </c>
      <c r="M807" s="24">
        <v>850000</v>
      </c>
    </row>
    <row r="808" spans="1:13" s="5" customFormat="1" outlineLevel="1">
      <c r="A808" s="42" t="s">
        <v>292</v>
      </c>
      <c r="B808" s="43"/>
      <c r="C808" s="44"/>
      <c r="D808" s="43"/>
      <c r="E808" s="45">
        <v>350270000</v>
      </c>
      <c r="F808" s="46"/>
      <c r="G808" s="45"/>
      <c r="H808" s="47"/>
      <c r="I808" s="46"/>
      <c r="J808" s="46"/>
      <c r="K808" s="45"/>
      <c r="L808" s="45">
        <v>146149</v>
      </c>
      <c r="M808" s="45">
        <v>343861414</v>
      </c>
    </row>
    <row r="809" spans="1:13" s="5" customFormat="1" outlineLevel="2">
      <c r="A809" s="39" t="s">
        <v>293</v>
      </c>
      <c r="B809" s="40" t="s">
        <v>16</v>
      </c>
      <c r="C809" s="41" t="s">
        <v>121</v>
      </c>
      <c r="D809" s="40" t="s">
        <v>122</v>
      </c>
      <c r="E809" s="24">
        <v>190000000</v>
      </c>
      <c r="F809" s="39">
        <v>43797</v>
      </c>
      <c r="G809" s="24">
        <v>190000000</v>
      </c>
      <c r="H809" s="23">
        <v>5.0000000000000001E-3</v>
      </c>
      <c r="I809" s="39">
        <v>44378</v>
      </c>
      <c r="J809" s="39">
        <v>44408</v>
      </c>
      <c r="K809" s="24">
        <v>31</v>
      </c>
      <c r="L809" s="24">
        <v>80685</v>
      </c>
      <c r="M809" s="24">
        <v>190000000</v>
      </c>
    </row>
    <row r="810" spans="1:13" s="5" customFormat="1" outlineLevel="2">
      <c r="A810" s="39" t="s">
        <v>293</v>
      </c>
      <c r="B810" s="40" t="s">
        <v>19</v>
      </c>
      <c r="C810" s="41" t="s">
        <v>55</v>
      </c>
      <c r="D810" s="40" t="s">
        <v>56</v>
      </c>
      <c r="E810" s="24">
        <v>1310400</v>
      </c>
      <c r="F810" s="39">
        <v>44043</v>
      </c>
      <c r="G810" s="24">
        <v>1048325</v>
      </c>
      <c r="H810" s="23">
        <v>5.0000000000000001E-3</v>
      </c>
      <c r="I810" s="39">
        <v>44378</v>
      </c>
      <c r="J810" s="39">
        <v>44391</v>
      </c>
      <c r="K810" s="24">
        <v>14</v>
      </c>
      <c r="L810" s="24">
        <v>201</v>
      </c>
      <c r="M810" s="24">
        <v>1024500</v>
      </c>
    </row>
    <row r="811" spans="1:13" s="5" customFormat="1" outlineLevel="2">
      <c r="A811" s="39" t="s">
        <v>293</v>
      </c>
      <c r="B811" s="40" t="s">
        <v>19</v>
      </c>
      <c r="C811" s="41" t="s">
        <v>55</v>
      </c>
      <c r="D811" s="40"/>
      <c r="E811" s="24"/>
      <c r="F811" s="39"/>
      <c r="G811" s="24">
        <v>1024500</v>
      </c>
      <c r="H811" s="23">
        <v>5.0000000000000001E-3</v>
      </c>
      <c r="I811" s="39">
        <v>44392</v>
      </c>
      <c r="J811" s="39">
        <v>44408</v>
      </c>
      <c r="K811" s="24">
        <v>17</v>
      </c>
      <c r="L811" s="24">
        <v>239</v>
      </c>
      <c r="M811" s="24"/>
    </row>
    <row r="812" spans="1:13" s="5" customFormat="1" outlineLevel="2">
      <c r="A812" s="39" t="s">
        <v>293</v>
      </c>
      <c r="B812" s="40" t="s">
        <v>22</v>
      </c>
      <c r="C812" s="41" t="s">
        <v>20</v>
      </c>
      <c r="D812" s="40" t="s">
        <v>21</v>
      </c>
      <c r="E812" s="24">
        <v>201600000</v>
      </c>
      <c r="F812" s="39">
        <v>44028</v>
      </c>
      <c r="G812" s="24">
        <v>201600000</v>
      </c>
      <c r="H812" s="23">
        <v>3.0000000000000001E-3</v>
      </c>
      <c r="I812" s="39">
        <v>44378</v>
      </c>
      <c r="J812" s="39">
        <v>44408</v>
      </c>
      <c r="K812" s="24">
        <v>31</v>
      </c>
      <c r="L812" s="24">
        <v>51367</v>
      </c>
      <c r="M812" s="24">
        <v>201600000</v>
      </c>
    </row>
    <row r="813" spans="1:13" s="5" customFormat="1" outlineLevel="2">
      <c r="A813" s="39" t="s">
        <v>293</v>
      </c>
      <c r="B813" s="40" t="s">
        <v>25</v>
      </c>
      <c r="C813" s="41" t="s">
        <v>294</v>
      </c>
      <c r="D813" s="40" t="s">
        <v>295</v>
      </c>
      <c r="E813" s="24">
        <v>67678400</v>
      </c>
      <c r="F813" s="39">
        <v>44041</v>
      </c>
      <c r="G813" s="24">
        <v>67678400</v>
      </c>
      <c r="H813" s="23">
        <v>5.0000000000000001E-3</v>
      </c>
      <c r="I813" s="39">
        <v>44378</v>
      </c>
      <c r="J813" s="39">
        <v>44408</v>
      </c>
      <c r="K813" s="24">
        <v>31</v>
      </c>
      <c r="L813" s="24">
        <v>28740</v>
      </c>
      <c r="M813" s="24">
        <v>67678400</v>
      </c>
    </row>
    <row r="814" spans="1:13" s="5" customFormat="1" outlineLevel="2">
      <c r="A814" s="39" t="s">
        <v>293</v>
      </c>
      <c r="B814" s="40" t="s">
        <v>26</v>
      </c>
      <c r="C814" s="41" t="s">
        <v>294</v>
      </c>
      <c r="D814" s="40" t="s">
        <v>295</v>
      </c>
      <c r="E814" s="24">
        <v>56400000</v>
      </c>
      <c r="F814" s="39">
        <v>44060</v>
      </c>
      <c r="G814" s="24">
        <v>56400000</v>
      </c>
      <c r="H814" s="23">
        <v>5.0000000000000001E-3</v>
      </c>
      <c r="I814" s="39">
        <v>44378</v>
      </c>
      <c r="J814" s="39">
        <v>44408</v>
      </c>
      <c r="K814" s="24">
        <v>31</v>
      </c>
      <c r="L814" s="24">
        <v>23951</v>
      </c>
      <c r="M814" s="24">
        <v>56400000</v>
      </c>
    </row>
    <row r="815" spans="1:13" s="5" customFormat="1" outlineLevel="2">
      <c r="A815" s="39" t="s">
        <v>293</v>
      </c>
      <c r="B815" s="40" t="s">
        <v>29</v>
      </c>
      <c r="C815" s="41" t="s">
        <v>294</v>
      </c>
      <c r="D815" s="40" t="s">
        <v>295</v>
      </c>
      <c r="E815" s="24">
        <v>56400000</v>
      </c>
      <c r="F815" s="39">
        <v>44089</v>
      </c>
      <c r="G815" s="24">
        <v>56400000</v>
      </c>
      <c r="H815" s="23">
        <v>5.0000000000000001E-3</v>
      </c>
      <c r="I815" s="39">
        <v>44378</v>
      </c>
      <c r="J815" s="39">
        <v>44408</v>
      </c>
      <c r="K815" s="24">
        <v>31</v>
      </c>
      <c r="L815" s="24">
        <v>23951</v>
      </c>
      <c r="M815" s="24">
        <v>56400000</v>
      </c>
    </row>
    <row r="816" spans="1:13" s="5" customFormat="1" outlineLevel="2">
      <c r="A816" s="39" t="s">
        <v>293</v>
      </c>
      <c r="B816" s="40" t="s">
        <v>32</v>
      </c>
      <c r="C816" s="41" t="s">
        <v>294</v>
      </c>
      <c r="D816" s="40" t="s">
        <v>295</v>
      </c>
      <c r="E816" s="24">
        <v>56400000</v>
      </c>
      <c r="F816" s="39">
        <v>44119</v>
      </c>
      <c r="G816" s="24">
        <v>56400000</v>
      </c>
      <c r="H816" s="23">
        <v>5.0000000000000001E-3</v>
      </c>
      <c r="I816" s="39">
        <v>44378</v>
      </c>
      <c r="J816" s="39">
        <v>44408</v>
      </c>
      <c r="K816" s="24">
        <v>31</v>
      </c>
      <c r="L816" s="24">
        <v>23951</v>
      </c>
      <c r="M816" s="24">
        <v>56400000</v>
      </c>
    </row>
    <row r="817" spans="1:13" s="5" customFormat="1" outlineLevel="2">
      <c r="A817" s="39" t="s">
        <v>293</v>
      </c>
      <c r="B817" s="40" t="s">
        <v>33</v>
      </c>
      <c r="C817" s="41" t="s">
        <v>55</v>
      </c>
      <c r="D817" s="40" t="s">
        <v>56</v>
      </c>
      <c r="E817" s="24">
        <v>1169666</v>
      </c>
      <c r="F817" s="39">
        <v>44134</v>
      </c>
      <c r="G817" s="24">
        <v>989714</v>
      </c>
      <c r="H817" s="23">
        <v>5.0000000000000001E-3</v>
      </c>
      <c r="I817" s="39">
        <v>44378</v>
      </c>
      <c r="J817" s="39">
        <v>44391</v>
      </c>
      <c r="K817" s="24">
        <v>14</v>
      </c>
      <c r="L817" s="24">
        <v>190</v>
      </c>
      <c r="M817" s="24">
        <v>967220</v>
      </c>
    </row>
    <row r="818" spans="1:13" s="5" customFormat="1" outlineLevel="2">
      <c r="A818" s="39" t="s">
        <v>293</v>
      </c>
      <c r="B818" s="40" t="s">
        <v>33</v>
      </c>
      <c r="C818" s="41" t="s">
        <v>55</v>
      </c>
      <c r="D818" s="40"/>
      <c r="E818" s="24"/>
      <c r="F818" s="39"/>
      <c r="G818" s="24">
        <v>967220</v>
      </c>
      <c r="H818" s="23">
        <v>5.0000000000000001E-3</v>
      </c>
      <c r="I818" s="39">
        <v>44392</v>
      </c>
      <c r="J818" s="39">
        <v>44408</v>
      </c>
      <c r="K818" s="24">
        <v>17</v>
      </c>
      <c r="L818" s="24">
        <v>225</v>
      </c>
      <c r="M818" s="24"/>
    </row>
    <row r="819" spans="1:13" s="5" customFormat="1" outlineLevel="2">
      <c r="A819" s="39" t="s">
        <v>293</v>
      </c>
      <c r="B819" s="40" t="s">
        <v>34</v>
      </c>
      <c r="C819" s="41" t="s">
        <v>294</v>
      </c>
      <c r="D819" s="40" t="s">
        <v>295</v>
      </c>
      <c r="E819" s="24">
        <v>56400000</v>
      </c>
      <c r="F819" s="39">
        <v>44151</v>
      </c>
      <c r="G819" s="24">
        <v>56400000</v>
      </c>
      <c r="H819" s="23">
        <v>5.0000000000000001E-3</v>
      </c>
      <c r="I819" s="39">
        <v>44378</v>
      </c>
      <c r="J819" s="39">
        <v>44408</v>
      </c>
      <c r="K819" s="24">
        <v>31</v>
      </c>
      <c r="L819" s="24">
        <v>23951</v>
      </c>
      <c r="M819" s="24">
        <v>56400000</v>
      </c>
    </row>
    <row r="820" spans="1:13" s="5" customFormat="1" outlineLevel="2">
      <c r="A820" s="39" t="s">
        <v>293</v>
      </c>
      <c r="B820" s="40" t="s">
        <v>35</v>
      </c>
      <c r="C820" s="41" t="s">
        <v>115</v>
      </c>
      <c r="D820" s="40" t="s">
        <v>116</v>
      </c>
      <c r="E820" s="24">
        <v>2230000</v>
      </c>
      <c r="F820" s="39">
        <v>44138</v>
      </c>
      <c r="G820" s="24">
        <v>2230000</v>
      </c>
      <c r="H820" s="23">
        <v>5.0000000000000001E-3</v>
      </c>
      <c r="I820" s="39">
        <v>44378</v>
      </c>
      <c r="J820" s="39">
        <v>44408</v>
      </c>
      <c r="K820" s="24">
        <v>31</v>
      </c>
      <c r="L820" s="24">
        <v>947</v>
      </c>
      <c r="M820" s="24">
        <v>2230000</v>
      </c>
    </row>
    <row r="821" spans="1:13" s="5" customFormat="1" outlineLevel="2">
      <c r="A821" s="39" t="s">
        <v>293</v>
      </c>
      <c r="B821" s="40" t="s">
        <v>36</v>
      </c>
      <c r="C821" s="41" t="s">
        <v>294</v>
      </c>
      <c r="D821" s="40" t="s">
        <v>295</v>
      </c>
      <c r="E821" s="24">
        <v>112800000</v>
      </c>
      <c r="F821" s="39">
        <v>44180</v>
      </c>
      <c r="G821" s="24">
        <v>112800000</v>
      </c>
      <c r="H821" s="23">
        <v>5.0000000000000001E-3</v>
      </c>
      <c r="I821" s="39">
        <v>44378</v>
      </c>
      <c r="J821" s="39">
        <v>44408</v>
      </c>
      <c r="K821" s="24">
        <v>31</v>
      </c>
      <c r="L821" s="24">
        <v>47901</v>
      </c>
      <c r="M821" s="24">
        <v>112800000</v>
      </c>
    </row>
    <row r="822" spans="1:13" s="5" customFormat="1" outlineLevel="2">
      <c r="A822" s="39" t="s">
        <v>293</v>
      </c>
      <c r="B822" s="40" t="s">
        <v>39</v>
      </c>
      <c r="C822" s="41" t="s">
        <v>121</v>
      </c>
      <c r="D822" s="40" t="s">
        <v>122</v>
      </c>
      <c r="E822" s="24">
        <v>37000000</v>
      </c>
      <c r="F822" s="39">
        <v>43829</v>
      </c>
      <c r="G822" s="24">
        <v>37000000</v>
      </c>
      <c r="H822" s="23">
        <v>5.0000000000000001E-3</v>
      </c>
      <c r="I822" s="39">
        <v>44378</v>
      </c>
      <c r="J822" s="39">
        <v>44408</v>
      </c>
      <c r="K822" s="24">
        <v>31</v>
      </c>
      <c r="L822" s="24">
        <v>15712</v>
      </c>
      <c r="M822" s="24">
        <v>37000000</v>
      </c>
    </row>
    <row r="823" spans="1:13" s="5" customFormat="1" outlineLevel="2">
      <c r="A823" s="39" t="s">
        <v>293</v>
      </c>
      <c r="B823" s="40" t="s">
        <v>40</v>
      </c>
      <c r="C823" s="41" t="s">
        <v>294</v>
      </c>
      <c r="D823" s="40" t="s">
        <v>295</v>
      </c>
      <c r="E823" s="24">
        <v>3667200</v>
      </c>
      <c r="F823" s="39">
        <v>44180</v>
      </c>
      <c r="G823" s="24">
        <v>3667200</v>
      </c>
      <c r="H823" s="23">
        <v>5.0000000000000001E-3</v>
      </c>
      <c r="I823" s="39">
        <v>44378</v>
      </c>
      <c r="J823" s="39">
        <v>44408</v>
      </c>
      <c r="K823" s="24">
        <v>31</v>
      </c>
      <c r="L823" s="24">
        <v>1557</v>
      </c>
      <c r="M823" s="24">
        <v>3667200</v>
      </c>
    </row>
    <row r="824" spans="1:13" s="5" customFormat="1" outlineLevel="2">
      <c r="A824" s="39" t="s">
        <v>293</v>
      </c>
      <c r="B824" s="40" t="s">
        <v>41</v>
      </c>
      <c r="C824" s="41" t="s">
        <v>132</v>
      </c>
      <c r="D824" s="40" t="s">
        <v>133</v>
      </c>
      <c r="E824" s="24">
        <v>30870000</v>
      </c>
      <c r="F824" s="39">
        <v>44175</v>
      </c>
      <c r="G824" s="24">
        <v>30870000</v>
      </c>
      <c r="H824" s="23">
        <v>5.0000000000000001E-3</v>
      </c>
      <c r="I824" s="39">
        <v>44378</v>
      </c>
      <c r="J824" s="39">
        <v>44408</v>
      </c>
      <c r="K824" s="24">
        <v>31</v>
      </c>
      <c r="L824" s="24">
        <v>13109</v>
      </c>
      <c r="M824" s="24">
        <v>30870000</v>
      </c>
    </row>
    <row r="825" spans="1:13" s="5" customFormat="1" outlineLevel="2">
      <c r="A825" s="39" t="s">
        <v>293</v>
      </c>
      <c r="B825" s="40" t="s">
        <v>42</v>
      </c>
      <c r="C825" s="41" t="s">
        <v>294</v>
      </c>
      <c r="D825" s="40" t="s">
        <v>295</v>
      </c>
      <c r="E825" s="24">
        <v>57011200</v>
      </c>
      <c r="F825" s="39">
        <v>44211</v>
      </c>
      <c r="G825" s="24">
        <v>57011200</v>
      </c>
      <c r="H825" s="23">
        <v>5.0000000000000001E-3</v>
      </c>
      <c r="I825" s="39">
        <v>44378</v>
      </c>
      <c r="J825" s="39">
        <v>44408</v>
      </c>
      <c r="K825" s="24">
        <v>31</v>
      </c>
      <c r="L825" s="24">
        <v>24210</v>
      </c>
      <c r="M825" s="24">
        <v>57011200</v>
      </c>
    </row>
    <row r="826" spans="1:13" s="5" customFormat="1" outlineLevel="2">
      <c r="A826" s="39" t="s">
        <v>293</v>
      </c>
      <c r="B826" s="40" t="s">
        <v>43</v>
      </c>
      <c r="C826" s="41" t="s">
        <v>115</v>
      </c>
      <c r="D826" s="40" t="s">
        <v>116</v>
      </c>
      <c r="E826" s="24">
        <v>10000000</v>
      </c>
      <c r="F826" s="39">
        <v>44225</v>
      </c>
      <c r="G826" s="24">
        <v>10000000</v>
      </c>
      <c r="H826" s="23">
        <v>5.0000000000000001E-3</v>
      </c>
      <c r="I826" s="39">
        <v>44378</v>
      </c>
      <c r="J826" s="39">
        <v>44408</v>
      </c>
      <c r="K826" s="24">
        <v>31</v>
      </c>
      <c r="L826" s="24">
        <v>4247</v>
      </c>
      <c r="M826" s="24">
        <v>10000000</v>
      </c>
    </row>
    <row r="827" spans="1:13" s="5" customFormat="1" outlineLevel="2">
      <c r="A827" s="39" t="s">
        <v>293</v>
      </c>
      <c r="B827" s="40" t="s">
        <v>44</v>
      </c>
      <c r="C827" s="41" t="s">
        <v>132</v>
      </c>
      <c r="D827" s="40" t="s">
        <v>133</v>
      </c>
      <c r="E827" s="24">
        <v>5880000</v>
      </c>
      <c r="F827" s="39">
        <v>44207</v>
      </c>
      <c r="G827" s="24">
        <v>5880000</v>
      </c>
      <c r="H827" s="23">
        <v>5.0000000000000001E-3</v>
      </c>
      <c r="I827" s="39">
        <v>44378</v>
      </c>
      <c r="J827" s="39">
        <v>44408</v>
      </c>
      <c r="K827" s="24">
        <v>31</v>
      </c>
      <c r="L827" s="24">
        <v>2497</v>
      </c>
      <c r="M827" s="24">
        <v>5880000</v>
      </c>
    </row>
    <row r="828" spans="1:13" s="5" customFormat="1" outlineLevel="2">
      <c r="A828" s="39" t="s">
        <v>293</v>
      </c>
      <c r="B828" s="40" t="s">
        <v>47</v>
      </c>
      <c r="C828" s="41" t="s">
        <v>132</v>
      </c>
      <c r="D828" s="40" t="s">
        <v>133</v>
      </c>
      <c r="E828" s="24">
        <v>660000</v>
      </c>
      <c r="F828" s="39">
        <v>44221</v>
      </c>
      <c r="G828" s="24">
        <v>660000</v>
      </c>
      <c r="H828" s="23">
        <v>5.0000000000000001E-3</v>
      </c>
      <c r="I828" s="39">
        <v>44378</v>
      </c>
      <c r="J828" s="39">
        <v>44408</v>
      </c>
      <c r="K828" s="24">
        <v>31</v>
      </c>
      <c r="L828" s="24">
        <v>280</v>
      </c>
      <c r="M828" s="24">
        <v>660000</v>
      </c>
    </row>
    <row r="829" spans="1:13" s="5" customFormat="1" outlineLevel="2">
      <c r="A829" s="39" t="s">
        <v>293</v>
      </c>
      <c r="B829" s="40" t="s">
        <v>50</v>
      </c>
      <c r="C829" s="41" t="s">
        <v>132</v>
      </c>
      <c r="D829" s="40" t="s">
        <v>133</v>
      </c>
      <c r="E829" s="24">
        <v>4160000</v>
      </c>
      <c r="F829" s="39">
        <v>44207</v>
      </c>
      <c r="G829" s="24">
        <v>4160000</v>
      </c>
      <c r="H829" s="23">
        <v>5.0000000000000001E-3</v>
      </c>
      <c r="I829" s="39">
        <v>44378</v>
      </c>
      <c r="J829" s="39">
        <v>44408</v>
      </c>
      <c r="K829" s="24">
        <v>31</v>
      </c>
      <c r="L829" s="24">
        <v>1767</v>
      </c>
      <c r="M829" s="24">
        <v>4160000</v>
      </c>
    </row>
    <row r="830" spans="1:13" s="5" customFormat="1" outlineLevel="2">
      <c r="A830" s="39" t="s">
        <v>293</v>
      </c>
      <c r="B830" s="40" t="s">
        <v>51</v>
      </c>
      <c r="C830" s="41" t="s">
        <v>294</v>
      </c>
      <c r="D830" s="40" t="s">
        <v>295</v>
      </c>
      <c r="E830" s="24">
        <v>64400000</v>
      </c>
      <c r="F830" s="39">
        <v>44236</v>
      </c>
      <c r="G830" s="24">
        <v>64400000</v>
      </c>
      <c r="H830" s="23">
        <v>5.0000000000000001E-3</v>
      </c>
      <c r="I830" s="39">
        <v>44378</v>
      </c>
      <c r="J830" s="39">
        <v>44408</v>
      </c>
      <c r="K830" s="24">
        <v>31</v>
      </c>
      <c r="L830" s="24">
        <v>27348</v>
      </c>
      <c r="M830" s="24">
        <v>64400000</v>
      </c>
    </row>
    <row r="831" spans="1:13" s="5" customFormat="1" outlineLevel="2">
      <c r="A831" s="39" t="s">
        <v>293</v>
      </c>
      <c r="B831" s="40" t="s">
        <v>52</v>
      </c>
      <c r="C831" s="41" t="s">
        <v>294</v>
      </c>
      <c r="D831" s="40" t="s">
        <v>295</v>
      </c>
      <c r="E831" s="24">
        <v>57011200</v>
      </c>
      <c r="F831" s="39">
        <v>44245</v>
      </c>
      <c r="G831" s="24">
        <v>57011200</v>
      </c>
      <c r="H831" s="23">
        <v>5.0000000000000001E-3</v>
      </c>
      <c r="I831" s="39">
        <v>44378</v>
      </c>
      <c r="J831" s="39">
        <v>44408</v>
      </c>
      <c r="K831" s="24">
        <v>31</v>
      </c>
      <c r="L831" s="24">
        <v>24210</v>
      </c>
      <c r="M831" s="24">
        <v>57011200</v>
      </c>
    </row>
    <row r="832" spans="1:13" s="5" customFormat="1" outlineLevel="2">
      <c r="A832" s="39" t="s">
        <v>293</v>
      </c>
      <c r="B832" s="40" t="s">
        <v>53</v>
      </c>
      <c r="C832" s="41" t="s">
        <v>132</v>
      </c>
      <c r="D832" s="40" t="s">
        <v>133</v>
      </c>
      <c r="E832" s="24">
        <v>3640000</v>
      </c>
      <c r="F832" s="39">
        <v>44244</v>
      </c>
      <c r="G832" s="24">
        <v>3640000</v>
      </c>
      <c r="H832" s="23">
        <v>5.0000000000000001E-3</v>
      </c>
      <c r="I832" s="39">
        <v>44378</v>
      </c>
      <c r="J832" s="39">
        <v>44408</v>
      </c>
      <c r="K832" s="24">
        <v>31</v>
      </c>
      <c r="L832" s="24">
        <v>1546</v>
      </c>
      <c r="M832" s="24">
        <v>3640000</v>
      </c>
    </row>
    <row r="833" spans="1:13" s="5" customFormat="1" outlineLevel="2">
      <c r="A833" s="39" t="s">
        <v>293</v>
      </c>
      <c r="B833" s="40" t="s">
        <v>54</v>
      </c>
      <c r="C833" s="41" t="s">
        <v>55</v>
      </c>
      <c r="D833" s="40" t="s">
        <v>56</v>
      </c>
      <c r="E833" s="24">
        <v>17276700</v>
      </c>
      <c r="F833" s="39">
        <v>43878</v>
      </c>
      <c r="G833" s="24">
        <v>12669580</v>
      </c>
      <c r="H833" s="23">
        <v>5.0000000000000001E-3</v>
      </c>
      <c r="I833" s="39">
        <v>44378</v>
      </c>
      <c r="J833" s="39">
        <v>44391</v>
      </c>
      <c r="K833" s="24">
        <v>14</v>
      </c>
      <c r="L833" s="24">
        <v>2430</v>
      </c>
      <c r="M833" s="24">
        <v>12381635</v>
      </c>
    </row>
    <row r="834" spans="1:13" s="5" customFormat="1" outlineLevel="2">
      <c r="A834" s="39" t="s">
        <v>293</v>
      </c>
      <c r="B834" s="40" t="s">
        <v>54</v>
      </c>
      <c r="C834" s="41" t="s">
        <v>55</v>
      </c>
      <c r="D834" s="40"/>
      <c r="E834" s="24"/>
      <c r="F834" s="39"/>
      <c r="G834" s="24">
        <v>12381635</v>
      </c>
      <c r="H834" s="23">
        <v>5.0000000000000001E-3</v>
      </c>
      <c r="I834" s="39">
        <v>44392</v>
      </c>
      <c r="J834" s="39">
        <v>44408</v>
      </c>
      <c r="K834" s="24">
        <v>17</v>
      </c>
      <c r="L834" s="24">
        <v>2883</v>
      </c>
      <c r="M834" s="24"/>
    </row>
    <row r="835" spans="1:13" s="5" customFormat="1" outlineLevel="2">
      <c r="A835" s="39" t="s">
        <v>293</v>
      </c>
      <c r="B835" s="40" t="s">
        <v>57</v>
      </c>
      <c r="C835" s="41" t="s">
        <v>132</v>
      </c>
      <c r="D835" s="40" t="s">
        <v>133</v>
      </c>
      <c r="E835" s="24">
        <v>7500000</v>
      </c>
      <c r="F835" s="39">
        <v>44228</v>
      </c>
      <c r="G835" s="24">
        <v>7500000</v>
      </c>
      <c r="H835" s="23">
        <v>5.0000000000000001E-3</v>
      </c>
      <c r="I835" s="39">
        <v>44378</v>
      </c>
      <c r="J835" s="39">
        <v>44408</v>
      </c>
      <c r="K835" s="24">
        <v>31</v>
      </c>
      <c r="L835" s="24">
        <v>3185</v>
      </c>
      <c r="M835" s="24">
        <v>7500000</v>
      </c>
    </row>
    <row r="836" spans="1:13" s="5" customFormat="1" outlineLevel="2">
      <c r="A836" s="39" t="s">
        <v>293</v>
      </c>
      <c r="B836" s="40" t="s">
        <v>58</v>
      </c>
      <c r="C836" s="41" t="s">
        <v>132</v>
      </c>
      <c r="D836" s="40" t="s">
        <v>133</v>
      </c>
      <c r="E836" s="24">
        <v>7490000</v>
      </c>
      <c r="F836" s="39">
        <v>44235</v>
      </c>
      <c r="G836" s="24">
        <v>7490000</v>
      </c>
      <c r="H836" s="23">
        <v>5.0000000000000001E-3</v>
      </c>
      <c r="I836" s="39">
        <v>44378</v>
      </c>
      <c r="J836" s="39">
        <v>44408</v>
      </c>
      <c r="K836" s="24">
        <v>31</v>
      </c>
      <c r="L836" s="24">
        <v>3181</v>
      </c>
      <c r="M836" s="24">
        <v>7490000</v>
      </c>
    </row>
    <row r="837" spans="1:13" s="5" customFormat="1" outlineLevel="2">
      <c r="A837" s="39" t="s">
        <v>293</v>
      </c>
      <c r="B837" s="40" t="s">
        <v>99</v>
      </c>
      <c r="C837" s="41" t="s">
        <v>132</v>
      </c>
      <c r="D837" s="40" t="s">
        <v>133</v>
      </c>
      <c r="E837" s="24">
        <v>6670000</v>
      </c>
      <c r="F837" s="39">
        <v>44252</v>
      </c>
      <c r="G837" s="24">
        <v>6670000</v>
      </c>
      <c r="H837" s="23">
        <v>5.0000000000000001E-3</v>
      </c>
      <c r="I837" s="39">
        <v>44378</v>
      </c>
      <c r="J837" s="39">
        <v>44408</v>
      </c>
      <c r="K837" s="24">
        <v>31</v>
      </c>
      <c r="L837" s="24">
        <v>2832</v>
      </c>
      <c r="M837" s="24">
        <v>6670000</v>
      </c>
    </row>
    <row r="838" spans="1:13" s="5" customFormat="1" outlineLevel="2">
      <c r="A838" s="39" t="s">
        <v>293</v>
      </c>
      <c r="B838" s="40" t="s">
        <v>100</v>
      </c>
      <c r="C838" s="41" t="s">
        <v>20</v>
      </c>
      <c r="D838" s="40" t="s">
        <v>21</v>
      </c>
      <c r="E838" s="24">
        <v>199200000</v>
      </c>
      <c r="F838" s="39">
        <v>44259</v>
      </c>
      <c r="G838" s="24">
        <v>199200000</v>
      </c>
      <c r="H838" s="23">
        <v>3.0000000000000001E-3</v>
      </c>
      <c r="I838" s="39">
        <v>44378</v>
      </c>
      <c r="J838" s="39">
        <v>44408</v>
      </c>
      <c r="K838" s="24">
        <v>31</v>
      </c>
      <c r="L838" s="24">
        <v>50755</v>
      </c>
      <c r="M838" s="24">
        <v>199200000</v>
      </c>
    </row>
    <row r="839" spans="1:13" s="5" customFormat="1" outlineLevel="2">
      <c r="A839" s="39" t="s">
        <v>293</v>
      </c>
      <c r="B839" s="40" t="s">
        <v>101</v>
      </c>
      <c r="C839" s="41" t="s">
        <v>294</v>
      </c>
      <c r="D839" s="40" t="s">
        <v>295</v>
      </c>
      <c r="E839" s="24">
        <v>39703444</v>
      </c>
      <c r="F839" s="39">
        <v>44270</v>
      </c>
      <c r="G839" s="24">
        <v>39703444</v>
      </c>
      <c r="H839" s="23">
        <v>5.0000000000000001E-3</v>
      </c>
      <c r="I839" s="39">
        <v>44378</v>
      </c>
      <c r="J839" s="39">
        <v>44408</v>
      </c>
      <c r="K839" s="24">
        <v>31</v>
      </c>
      <c r="L839" s="24">
        <v>16860</v>
      </c>
      <c r="M839" s="24">
        <v>39703444</v>
      </c>
    </row>
    <row r="840" spans="1:13" s="5" customFormat="1" outlineLevel="2">
      <c r="A840" s="39" t="s">
        <v>293</v>
      </c>
      <c r="B840" s="40" t="s">
        <v>102</v>
      </c>
      <c r="C840" s="41" t="s">
        <v>115</v>
      </c>
      <c r="D840" s="40" t="s">
        <v>116</v>
      </c>
      <c r="E840" s="24">
        <v>27770000</v>
      </c>
      <c r="F840" s="39">
        <v>44273</v>
      </c>
      <c r="G840" s="24">
        <v>27770000</v>
      </c>
      <c r="H840" s="23">
        <v>5.0000000000000001E-3</v>
      </c>
      <c r="I840" s="39">
        <v>44378</v>
      </c>
      <c r="J840" s="39">
        <v>44408</v>
      </c>
      <c r="K840" s="24">
        <v>31</v>
      </c>
      <c r="L840" s="24">
        <v>11793</v>
      </c>
      <c r="M840" s="24">
        <v>27770000</v>
      </c>
    </row>
    <row r="841" spans="1:13" s="5" customFormat="1" outlineLevel="2">
      <c r="A841" s="39" t="s">
        <v>293</v>
      </c>
      <c r="B841" s="40" t="s">
        <v>103</v>
      </c>
      <c r="C841" s="41" t="s">
        <v>132</v>
      </c>
      <c r="D841" s="40" t="s">
        <v>133</v>
      </c>
      <c r="E841" s="24">
        <v>2620000</v>
      </c>
      <c r="F841" s="39">
        <v>44280</v>
      </c>
      <c r="G841" s="24">
        <v>2620000</v>
      </c>
      <c r="H841" s="23">
        <v>5.0000000000000001E-3</v>
      </c>
      <c r="I841" s="39">
        <v>44378</v>
      </c>
      <c r="J841" s="39">
        <v>44408</v>
      </c>
      <c r="K841" s="24">
        <v>31</v>
      </c>
      <c r="L841" s="24">
        <v>1113</v>
      </c>
      <c r="M841" s="24">
        <v>2620000</v>
      </c>
    </row>
    <row r="842" spans="1:13" s="5" customFormat="1" outlineLevel="2">
      <c r="A842" s="39" t="s">
        <v>293</v>
      </c>
      <c r="B842" s="40" t="s">
        <v>104</v>
      </c>
      <c r="C842" s="41" t="s">
        <v>132</v>
      </c>
      <c r="D842" s="40" t="s">
        <v>133</v>
      </c>
      <c r="E842" s="24">
        <v>6350000</v>
      </c>
      <c r="F842" s="39">
        <v>44265</v>
      </c>
      <c r="G842" s="24">
        <v>6350000</v>
      </c>
      <c r="H842" s="23">
        <v>5.0000000000000001E-3</v>
      </c>
      <c r="I842" s="39">
        <v>44378</v>
      </c>
      <c r="J842" s="39">
        <v>44408</v>
      </c>
      <c r="K842" s="24">
        <v>31</v>
      </c>
      <c r="L842" s="24">
        <v>2697</v>
      </c>
      <c r="M842" s="24">
        <v>6350000</v>
      </c>
    </row>
    <row r="843" spans="1:13" s="5" customFormat="1" outlineLevel="2">
      <c r="A843" s="39" t="s">
        <v>293</v>
      </c>
      <c r="B843" s="40" t="s">
        <v>105</v>
      </c>
      <c r="C843" s="41" t="s">
        <v>132</v>
      </c>
      <c r="D843" s="40" t="s">
        <v>133</v>
      </c>
      <c r="E843" s="24">
        <v>1870000</v>
      </c>
      <c r="F843" s="39">
        <v>44280</v>
      </c>
      <c r="G843" s="24">
        <v>1870000</v>
      </c>
      <c r="H843" s="23">
        <v>5.0000000000000001E-3</v>
      </c>
      <c r="I843" s="39">
        <v>44378</v>
      </c>
      <c r="J843" s="39">
        <v>44408</v>
      </c>
      <c r="K843" s="24">
        <v>31</v>
      </c>
      <c r="L843" s="24">
        <v>794</v>
      </c>
      <c r="M843" s="24">
        <v>1870000</v>
      </c>
    </row>
    <row r="844" spans="1:13" s="5" customFormat="1" outlineLevel="2">
      <c r="A844" s="39" t="s">
        <v>293</v>
      </c>
      <c r="B844" s="40" t="s">
        <v>106</v>
      </c>
      <c r="C844" s="41" t="s">
        <v>294</v>
      </c>
      <c r="D844" s="40" t="s">
        <v>295</v>
      </c>
      <c r="E844" s="24">
        <v>72291200</v>
      </c>
      <c r="F844" s="39">
        <v>44301</v>
      </c>
      <c r="G844" s="24">
        <v>72291200</v>
      </c>
      <c r="H844" s="23">
        <v>5.0000000000000001E-3</v>
      </c>
      <c r="I844" s="39">
        <v>44378</v>
      </c>
      <c r="J844" s="39">
        <v>44408</v>
      </c>
      <c r="K844" s="24">
        <v>31</v>
      </c>
      <c r="L844" s="24">
        <v>30699</v>
      </c>
      <c r="M844" s="24">
        <v>72291200</v>
      </c>
    </row>
    <row r="845" spans="1:13" s="5" customFormat="1" outlineLevel="2">
      <c r="A845" s="39" t="s">
        <v>293</v>
      </c>
      <c r="B845" s="40" t="s">
        <v>59</v>
      </c>
      <c r="C845" s="41" t="s">
        <v>121</v>
      </c>
      <c r="D845" s="40" t="s">
        <v>122</v>
      </c>
      <c r="E845" s="24">
        <v>73000000</v>
      </c>
      <c r="F845" s="39">
        <v>43896</v>
      </c>
      <c r="G845" s="24">
        <v>73000000</v>
      </c>
      <c r="H845" s="23">
        <v>5.0000000000000001E-3</v>
      </c>
      <c r="I845" s="39">
        <v>44378</v>
      </c>
      <c r="J845" s="39">
        <v>44408</v>
      </c>
      <c r="K845" s="24">
        <v>31</v>
      </c>
      <c r="L845" s="24">
        <v>31000</v>
      </c>
      <c r="M845" s="24">
        <v>73000000</v>
      </c>
    </row>
    <row r="846" spans="1:13" s="5" customFormat="1" outlineLevel="2">
      <c r="A846" s="39" t="s">
        <v>293</v>
      </c>
      <c r="B846" s="40" t="s">
        <v>136</v>
      </c>
      <c r="C846" s="41" t="s">
        <v>132</v>
      </c>
      <c r="D846" s="40" t="s">
        <v>133</v>
      </c>
      <c r="E846" s="24">
        <v>750000</v>
      </c>
      <c r="F846" s="39">
        <v>44301</v>
      </c>
      <c r="G846" s="24">
        <v>750000</v>
      </c>
      <c r="H846" s="23">
        <v>5.0000000000000001E-3</v>
      </c>
      <c r="I846" s="39">
        <v>44378</v>
      </c>
      <c r="J846" s="39">
        <v>44408</v>
      </c>
      <c r="K846" s="24">
        <v>31</v>
      </c>
      <c r="L846" s="24">
        <v>318</v>
      </c>
      <c r="M846" s="24">
        <v>750000</v>
      </c>
    </row>
    <row r="847" spans="1:13" s="5" customFormat="1" outlineLevel="2">
      <c r="A847" s="39" t="s">
        <v>293</v>
      </c>
      <c r="B847" s="40" t="s">
        <v>137</v>
      </c>
      <c r="C847" s="41" t="s">
        <v>132</v>
      </c>
      <c r="D847" s="40" t="s">
        <v>133</v>
      </c>
      <c r="E847" s="24">
        <v>4560000</v>
      </c>
      <c r="F847" s="39">
        <v>44298</v>
      </c>
      <c r="G847" s="24">
        <v>4560000</v>
      </c>
      <c r="H847" s="23">
        <v>5.0000000000000001E-3</v>
      </c>
      <c r="I847" s="39">
        <v>44378</v>
      </c>
      <c r="J847" s="39">
        <v>44408</v>
      </c>
      <c r="K847" s="24">
        <v>31</v>
      </c>
      <c r="L847" s="24">
        <v>1936</v>
      </c>
      <c r="M847" s="24">
        <v>4560000</v>
      </c>
    </row>
    <row r="848" spans="1:13" s="5" customFormat="1" outlineLevel="2">
      <c r="A848" s="39" t="s">
        <v>293</v>
      </c>
      <c r="B848" s="40" t="s">
        <v>138</v>
      </c>
      <c r="C848" s="41" t="s">
        <v>132</v>
      </c>
      <c r="D848" s="40" t="s">
        <v>133</v>
      </c>
      <c r="E848" s="24">
        <v>10770000</v>
      </c>
      <c r="F848" s="39">
        <v>44312</v>
      </c>
      <c r="G848" s="24">
        <v>10770000</v>
      </c>
      <c r="H848" s="23">
        <v>5.0000000000000001E-3</v>
      </c>
      <c r="I848" s="39">
        <v>44378</v>
      </c>
      <c r="J848" s="39">
        <v>44408</v>
      </c>
      <c r="K848" s="24">
        <v>31</v>
      </c>
      <c r="L848" s="24">
        <v>4574</v>
      </c>
      <c r="M848" s="24">
        <v>10770000</v>
      </c>
    </row>
    <row r="849" spans="1:13" s="5" customFormat="1" outlineLevel="2">
      <c r="A849" s="39" t="s">
        <v>293</v>
      </c>
      <c r="B849" s="40" t="s">
        <v>139</v>
      </c>
      <c r="C849" s="41" t="s">
        <v>339</v>
      </c>
      <c r="D849" s="40" t="s">
        <v>338</v>
      </c>
      <c r="E849" s="24">
        <v>500000</v>
      </c>
      <c r="F849" s="39">
        <v>44293</v>
      </c>
      <c r="G849" s="24">
        <v>500000</v>
      </c>
      <c r="H849" s="23">
        <v>5.0000000000000001E-3</v>
      </c>
      <c r="I849" s="39">
        <v>44378</v>
      </c>
      <c r="J849" s="39">
        <v>44408</v>
      </c>
      <c r="K849" s="24">
        <v>31</v>
      </c>
      <c r="L849" s="24">
        <v>212</v>
      </c>
      <c r="M849" s="24">
        <v>500000</v>
      </c>
    </row>
    <row r="850" spans="1:13" s="5" customFormat="1" outlineLevel="2">
      <c r="A850" s="39" t="s">
        <v>293</v>
      </c>
      <c r="B850" s="40" t="s">
        <v>140</v>
      </c>
      <c r="C850" s="41" t="s">
        <v>294</v>
      </c>
      <c r="D850" s="40" t="s">
        <v>295</v>
      </c>
      <c r="E850" s="24">
        <v>83384000</v>
      </c>
      <c r="F850" s="39">
        <v>44333</v>
      </c>
      <c r="G850" s="24">
        <v>83384000</v>
      </c>
      <c r="H850" s="23">
        <v>5.0000000000000001E-3</v>
      </c>
      <c r="I850" s="39">
        <v>44378</v>
      </c>
      <c r="J850" s="39">
        <v>44408</v>
      </c>
      <c r="K850" s="24">
        <v>31</v>
      </c>
      <c r="L850" s="24">
        <v>35410</v>
      </c>
      <c r="M850" s="24">
        <v>83384000</v>
      </c>
    </row>
    <row r="851" spans="1:13" s="5" customFormat="1" outlineLevel="2">
      <c r="A851" s="39" t="s">
        <v>293</v>
      </c>
      <c r="B851" s="40" t="s">
        <v>169</v>
      </c>
      <c r="C851" s="41" t="s">
        <v>294</v>
      </c>
      <c r="D851" s="40" t="s">
        <v>295</v>
      </c>
      <c r="E851" s="24">
        <v>11904000</v>
      </c>
      <c r="F851" s="39">
        <v>44347</v>
      </c>
      <c r="G851" s="24">
        <v>11904000</v>
      </c>
      <c r="H851" s="23">
        <v>5.0000000000000001E-3</v>
      </c>
      <c r="I851" s="39">
        <v>44378</v>
      </c>
      <c r="J851" s="39">
        <v>44408</v>
      </c>
      <c r="K851" s="24">
        <v>31</v>
      </c>
      <c r="L851" s="24">
        <v>5055</v>
      </c>
      <c r="M851" s="24">
        <v>11904000</v>
      </c>
    </row>
    <row r="852" spans="1:13" s="5" customFormat="1" outlineLevel="2">
      <c r="A852" s="39" t="s">
        <v>293</v>
      </c>
      <c r="B852" s="40" t="s">
        <v>170</v>
      </c>
      <c r="C852" s="41" t="s">
        <v>132</v>
      </c>
      <c r="D852" s="40" t="s">
        <v>133</v>
      </c>
      <c r="E852" s="24">
        <v>1470000</v>
      </c>
      <c r="F852" s="39">
        <v>44319</v>
      </c>
      <c r="G852" s="24">
        <v>1470000</v>
      </c>
      <c r="H852" s="23">
        <v>5.0000000000000001E-3</v>
      </c>
      <c r="I852" s="39">
        <v>44378</v>
      </c>
      <c r="J852" s="39">
        <v>44408</v>
      </c>
      <c r="K852" s="24">
        <v>31</v>
      </c>
      <c r="L852" s="24">
        <v>624</v>
      </c>
      <c r="M852" s="24">
        <v>1470000</v>
      </c>
    </row>
    <row r="853" spans="1:13" s="5" customFormat="1" outlineLevel="2">
      <c r="A853" s="39" t="s">
        <v>293</v>
      </c>
      <c r="B853" s="40" t="s">
        <v>171</v>
      </c>
      <c r="C853" s="41" t="s">
        <v>132</v>
      </c>
      <c r="D853" s="40" t="s">
        <v>133</v>
      </c>
      <c r="E853" s="24">
        <v>1480000</v>
      </c>
      <c r="F853" s="39">
        <v>44341</v>
      </c>
      <c r="G853" s="24">
        <v>1480000</v>
      </c>
      <c r="H853" s="23">
        <v>5.0000000000000001E-3</v>
      </c>
      <c r="I853" s="39">
        <v>44378</v>
      </c>
      <c r="J853" s="39">
        <v>44408</v>
      </c>
      <c r="K853" s="24">
        <v>31</v>
      </c>
      <c r="L853" s="24">
        <v>628</v>
      </c>
      <c r="M853" s="24">
        <v>1480000</v>
      </c>
    </row>
    <row r="854" spans="1:13" s="5" customFormat="1" outlineLevel="2">
      <c r="A854" s="39" t="s">
        <v>293</v>
      </c>
      <c r="B854" s="40" t="s">
        <v>172</v>
      </c>
      <c r="C854" s="41" t="s">
        <v>132</v>
      </c>
      <c r="D854" s="40" t="s">
        <v>133</v>
      </c>
      <c r="E854" s="24">
        <v>6090000</v>
      </c>
      <c r="F854" s="39">
        <v>44326</v>
      </c>
      <c r="G854" s="24">
        <v>6090000</v>
      </c>
      <c r="H854" s="23">
        <v>5.0000000000000001E-3</v>
      </c>
      <c r="I854" s="39">
        <v>44378</v>
      </c>
      <c r="J854" s="39">
        <v>44408</v>
      </c>
      <c r="K854" s="24">
        <v>31</v>
      </c>
      <c r="L854" s="24">
        <v>2586</v>
      </c>
      <c r="M854" s="24">
        <v>6090000</v>
      </c>
    </row>
    <row r="855" spans="1:13" s="5" customFormat="1" outlineLevel="2">
      <c r="A855" s="39" t="s">
        <v>293</v>
      </c>
      <c r="B855" s="40" t="s">
        <v>173</v>
      </c>
      <c r="C855" s="41" t="s">
        <v>132</v>
      </c>
      <c r="D855" s="40" t="s">
        <v>133</v>
      </c>
      <c r="E855" s="24">
        <v>9220000</v>
      </c>
      <c r="F855" s="39">
        <v>44341</v>
      </c>
      <c r="G855" s="24">
        <v>9220000</v>
      </c>
      <c r="H855" s="23">
        <v>5.0000000000000001E-3</v>
      </c>
      <c r="I855" s="39">
        <v>44378</v>
      </c>
      <c r="J855" s="39">
        <v>44408</v>
      </c>
      <c r="K855" s="24">
        <v>31</v>
      </c>
      <c r="L855" s="24">
        <v>3915</v>
      </c>
      <c r="M855" s="24">
        <v>9220000</v>
      </c>
    </row>
    <row r="856" spans="1:13" s="5" customFormat="1" outlineLevel="2">
      <c r="A856" s="39" t="s">
        <v>293</v>
      </c>
      <c r="B856" s="40" t="s">
        <v>62</v>
      </c>
      <c r="C856" s="41" t="s">
        <v>55</v>
      </c>
      <c r="D856" s="40" t="s">
        <v>56</v>
      </c>
      <c r="E856" s="24">
        <v>19997321</v>
      </c>
      <c r="F856" s="39">
        <v>43948</v>
      </c>
      <c r="G856" s="24">
        <v>19997321</v>
      </c>
      <c r="H856" s="23">
        <v>5.0000000000000001E-3</v>
      </c>
      <c r="I856" s="39">
        <v>44378</v>
      </c>
      <c r="J856" s="39">
        <v>44408</v>
      </c>
      <c r="K856" s="24">
        <v>31</v>
      </c>
      <c r="L856" s="24">
        <v>8492</v>
      </c>
      <c r="M856" s="24">
        <v>19997321</v>
      </c>
    </row>
    <row r="857" spans="1:13" s="5" customFormat="1" outlineLevel="2">
      <c r="A857" s="39" t="s">
        <v>293</v>
      </c>
      <c r="B857" s="40" t="s">
        <v>174</v>
      </c>
      <c r="C857" s="41" t="s">
        <v>294</v>
      </c>
      <c r="D857" s="40" t="s">
        <v>295</v>
      </c>
      <c r="E857" s="24">
        <v>4424000</v>
      </c>
      <c r="F857" s="39">
        <v>44362</v>
      </c>
      <c r="G857" s="24">
        <v>4424000</v>
      </c>
      <c r="H857" s="23">
        <v>5.0000000000000001E-3</v>
      </c>
      <c r="I857" s="39">
        <v>44378</v>
      </c>
      <c r="J857" s="39">
        <v>44408</v>
      </c>
      <c r="K857" s="24">
        <v>31</v>
      </c>
      <c r="L857" s="24">
        <v>1879</v>
      </c>
      <c r="M857" s="24">
        <v>4424000</v>
      </c>
    </row>
    <row r="858" spans="1:13" s="5" customFormat="1" outlineLevel="2">
      <c r="A858" s="39" t="s">
        <v>293</v>
      </c>
      <c r="B858" s="40" t="s">
        <v>175</v>
      </c>
      <c r="C858" s="41" t="s">
        <v>115</v>
      </c>
      <c r="D858" s="40" t="s">
        <v>116</v>
      </c>
      <c r="E858" s="24">
        <v>17000000</v>
      </c>
      <c r="F858" s="39">
        <v>44370</v>
      </c>
      <c r="G858" s="24">
        <v>17000000</v>
      </c>
      <c r="H858" s="23">
        <v>5.0000000000000001E-3</v>
      </c>
      <c r="I858" s="39">
        <v>44378</v>
      </c>
      <c r="J858" s="39">
        <v>44408</v>
      </c>
      <c r="K858" s="24">
        <v>31</v>
      </c>
      <c r="L858" s="24">
        <v>7219</v>
      </c>
      <c r="M858" s="24">
        <v>17000000</v>
      </c>
    </row>
    <row r="859" spans="1:13" s="5" customFormat="1" outlineLevel="2">
      <c r="A859" s="39" t="s">
        <v>293</v>
      </c>
      <c r="B859" s="40" t="s">
        <v>176</v>
      </c>
      <c r="C859" s="41" t="s">
        <v>132</v>
      </c>
      <c r="D859" s="40" t="s">
        <v>133</v>
      </c>
      <c r="E859" s="24">
        <v>1420000</v>
      </c>
      <c r="F859" s="39">
        <v>44368</v>
      </c>
      <c r="G859" s="24">
        <v>1420000</v>
      </c>
      <c r="H859" s="23">
        <v>5.0000000000000001E-3</v>
      </c>
      <c r="I859" s="39">
        <v>44378</v>
      </c>
      <c r="J859" s="39">
        <v>44408</v>
      </c>
      <c r="K859" s="24">
        <v>31</v>
      </c>
      <c r="L859" s="24">
        <v>603</v>
      </c>
      <c r="M859" s="24">
        <v>1420000</v>
      </c>
    </row>
    <row r="860" spans="1:13" s="5" customFormat="1" outlineLevel="2">
      <c r="A860" s="39" t="s">
        <v>293</v>
      </c>
      <c r="B860" s="40" t="s">
        <v>177</v>
      </c>
      <c r="C860" s="41" t="s">
        <v>132</v>
      </c>
      <c r="D860" s="40" t="s">
        <v>133</v>
      </c>
      <c r="E860" s="24">
        <v>6000000</v>
      </c>
      <c r="F860" s="39">
        <v>44357</v>
      </c>
      <c r="G860" s="24">
        <v>6000000</v>
      </c>
      <c r="H860" s="23">
        <v>5.0000000000000001E-3</v>
      </c>
      <c r="I860" s="39">
        <v>44378</v>
      </c>
      <c r="J860" s="39">
        <v>44408</v>
      </c>
      <c r="K860" s="24">
        <v>31</v>
      </c>
      <c r="L860" s="24">
        <v>2548</v>
      </c>
      <c r="M860" s="24">
        <v>6000000</v>
      </c>
    </row>
    <row r="861" spans="1:13" s="5" customFormat="1" outlineLevel="2">
      <c r="A861" s="39" t="s">
        <v>293</v>
      </c>
      <c r="B861" s="40" t="s">
        <v>178</v>
      </c>
      <c r="C861" s="41" t="s">
        <v>132</v>
      </c>
      <c r="D861" s="40" t="s">
        <v>133</v>
      </c>
      <c r="E861" s="24">
        <v>760000</v>
      </c>
      <c r="F861" s="39">
        <v>44372</v>
      </c>
      <c r="G861" s="24">
        <v>760000</v>
      </c>
      <c r="H861" s="23">
        <v>5.0000000000000001E-3</v>
      </c>
      <c r="I861" s="39">
        <v>44378</v>
      </c>
      <c r="J861" s="39">
        <v>44408</v>
      </c>
      <c r="K861" s="24">
        <v>31</v>
      </c>
      <c r="L861" s="24">
        <v>323</v>
      </c>
      <c r="M861" s="24">
        <v>760000</v>
      </c>
    </row>
    <row r="862" spans="1:13" s="5" customFormat="1" outlineLevel="2">
      <c r="A862" s="39" t="s">
        <v>293</v>
      </c>
      <c r="B862" s="40" t="s">
        <v>179</v>
      </c>
      <c r="C862" s="41" t="s">
        <v>294</v>
      </c>
      <c r="D862" s="40" t="s">
        <v>295</v>
      </c>
      <c r="E862" s="24">
        <v>35516244</v>
      </c>
      <c r="F862" s="39">
        <v>44392</v>
      </c>
      <c r="G862" s="24">
        <v>35516244</v>
      </c>
      <c r="H862" s="23">
        <v>5.0000000000000001E-3</v>
      </c>
      <c r="I862" s="39">
        <v>44392</v>
      </c>
      <c r="J862" s="39">
        <v>44408</v>
      </c>
      <c r="K862" s="24">
        <v>17</v>
      </c>
      <c r="L862" s="24">
        <v>8271</v>
      </c>
      <c r="M862" s="24">
        <v>35516244</v>
      </c>
    </row>
    <row r="863" spans="1:13" s="5" customFormat="1" outlineLevel="2">
      <c r="A863" s="39" t="s">
        <v>293</v>
      </c>
      <c r="B863" s="40" t="s">
        <v>180</v>
      </c>
      <c r="C863" s="41" t="s">
        <v>132</v>
      </c>
      <c r="D863" s="40" t="s">
        <v>133</v>
      </c>
      <c r="E863" s="24">
        <v>3890000</v>
      </c>
      <c r="F863" s="39">
        <v>44382</v>
      </c>
      <c r="G863" s="24">
        <v>3890000</v>
      </c>
      <c r="H863" s="23">
        <v>5.0000000000000001E-3</v>
      </c>
      <c r="I863" s="39">
        <v>44382</v>
      </c>
      <c r="J863" s="39">
        <v>44408</v>
      </c>
      <c r="K863" s="24">
        <v>27</v>
      </c>
      <c r="L863" s="24">
        <v>1439</v>
      </c>
      <c r="M863" s="24">
        <v>3890000</v>
      </c>
    </row>
    <row r="864" spans="1:13" s="5" customFormat="1" outlineLevel="2">
      <c r="A864" s="39" t="s">
        <v>293</v>
      </c>
      <c r="B864" s="40" t="s">
        <v>181</v>
      </c>
      <c r="C864" s="41" t="s">
        <v>132</v>
      </c>
      <c r="D864" s="40" t="s">
        <v>133</v>
      </c>
      <c r="E864" s="24">
        <v>1360000</v>
      </c>
      <c r="F864" s="39">
        <v>44389</v>
      </c>
      <c r="G864" s="24">
        <v>1360000</v>
      </c>
      <c r="H864" s="23">
        <v>5.0000000000000001E-3</v>
      </c>
      <c r="I864" s="39">
        <v>44389</v>
      </c>
      <c r="J864" s="39">
        <v>44408</v>
      </c>
      <c r="K864" s="24">
        <v>20</v>
      </c>
      <c r="L864" s="24">
        <v>373</v>
      </c>
      <c r="M864" s="24">
        <v>1360000</v>
      </c>
    </row>
    <row r="865" spans="1:13" s="5" customFormat="1" outlineLevel="2">
      <c r="A865" s="39" t="s">
        <v>293</v>
      </c>
      <c r="B865" s="40" t="s">
        <v>182</v>
      </c>
      <c r="C865" s="41" t="s">
        <v>132</v>
      </c>
      <c r="D865" s="40" t="s">
        <v>133</v>
      </c>
      <c r="E865" s="24">
        <v>7190000</v>
      </c>
      <c r="F865" s="39">
        <v>44389</v>
      </c>
      <c r="G865" s="24">
        <v>7190000</v>
      </c>
      <c r="H865" s="23">
        <v>5.0000000000000001E-3</v>
      </c>
      <c r="I865" s="39">
        <v>44389</v>
      </c>
      <c r="J865" s="39">
        <v>44408</v>
      </c>
      <c r="K865" s="24">
        <v>20</v>
      </c>
      <c r="L865" s="24">
        <v>1970</v>
      </c>
      <c r="M865" s="24">
        <v>7190000</v>
      </c>
    </row>
    <row r="866" spans="1:13" s="5" customFormat="1" outlineLevel="2">
      <c r="A866" s="39" t="s">
        <v>293</v>
      </c>
      <c r="B866" s="40" t="s">
        <v>183</v>
      </c>
      <c r="C866" s="41" t="s">
        <v>132</v>
      </c>
      <c r="D866" s="40" t="s">
        <v>133</v>
      </c>
      <c r="E866" s="24">
        <v>3120000</v>
      </c>
      <c r="F866" s="39">
        <v>44403</v>
      </c>
      <c r="G866" s="24">
        <v>3120000</v>
      </c>
      <c r="H866" s="23">
        <v>5.0000000000000001E-3</v>
      </c>
      <c r="I866" s="39">
        <v>44403</v>
      </c>
      <c r="J866" s="39">
        <v>44408</v>
      </c>
      <c r="K866" s="24">
        <v>6</v>
      </c>
      <c r="L866" s="24">
        <v>256</v>
      </c>
      <c r="M866" s="24">
        <v>3120000</v>
      </c>
    </row>
    <row r="867" spans="1:13" s="5" customFormat="1" outlineLevel="2">
      <c r="A867" s="39" t="s">
        <v>293</v>
      </c>
      <c r="B867" s="40" t="s">
        <v>63</v>
      </c>
      <c r="C867" s="41" t="s">
        <v>20</v>
      </c>
      <c r="D867" s="40" t="s">
        <v>21</v>
      </c>
      <c r="E867" s="24">
        <v>242400000</v>
      </c>
      <c r="F867" s="39">
        <v>43930</v>
      </c>
      <c r="G867" s="24">
        <v>242400000</v>
      </c>
      <c r="H867" s="23">
        <v>3.0000000000000001E-3</v>
      </c>
      <c r="I867" s="39">
        <v>44378</v>
      </c>
      <c r="J867" s="39">
        <v>44408</v>
      </c>
      <c r="K867" s="24">
        <v>31</v>
      </c>
      <c r="L867" s="24">
        <v>61762</v>
      </c>
      <c r="M867" s="24">
        <v>242400000</v>
      </c>
    </row>
    <row r="868" spans="1:13" s="5" customFormat="1" outlineLevel="2">
      <c r="A868" s="39" t="s">
        <v>293</v>
      </c>
      <c r="B868" s="40" t="s">
        <v>64</v>
      </c>
      <c r="C868" s="41" t="s">
        <v>20</v>
      </c>
      <c r="D868" s="40" t="s">
        <v>21</v>
      </c>
      <c r="E868" s="24">
        <v>156000000</v>
      </c>
      <c r="F868" s="39">
        <v>43958</v>
      </c>
      <c r="G868" s="24">
        <v>156000000</v>
      </c>
      <c r="H868" s="23">
        <v>3.0000000000000001E-3</v>
      </c>
      <c r="I868" s="39">
        <v>44378</v>
      </c>
      <c r="J868" s="39">
        <v>44408</v>
      </c>
      <c r="K868" s="24">
        <v>31</v>
      </c>
      <c r="L868" s="24">
        <v>39748</v>
      </c>
      <c r="M868" s="24">
        <v>156000000</v>
      </c>
    </row>
    <row r="869" spans="1:13" s="5" customFormat="1" outlineLevel="2">
      <c r="A869" s="39" t="s">
        <v>293</v>
      </c>
      <c r="B869" s="40" t="s">
        <v>65</v>
      </c>
      <c r="C869" s="41" t="s">
        <v>294</v>
      </c>
      <c r="D869" s="40" t="s">
        <v>295</v>
      </c>
      <c r="E869" s="24">
        <v>33840000</v>
      </c>
      <c r="F869" s="39">
        <v>43986</v>
      </c>
      <c r="G869" s="24">
        <v>33840000</v>
      </c>
      <c r="H869" s="23">
        <v>5.0000000000000001E-3</v>
      </c>
      <c r="I869" s="39">
        <v>44378</v>
      </c>
      <c r="J869" s="39">
        <v>44408</v>
      </c>
      <c r="K869" s="24">
        <v>31</v>
      </c>
      <c r="L869" s="24">
        <v>14370</v>
      </c>
      <c r="M869" s="24">
        <v>33840000</v>
      </c>
    </row>
    <row r="870" spans="1:13" s="5" customFormat="1" outlineLevel="2">
      <c r="A870" s="39" t="s">
        <v>293</v>
      </c>
      <c r="B870" s="40" t="s">
        <v>68</v>
      </c>
      <c r="C870" s="41" t="s">
        <v>294</v>
      </c>
      <c r="D870" s="40" t="s">
        <v>295</v>
      </c>
      <c r="E870" s="24">
        <v>134396612</v>
      </c>
      <c r="F870" s="39">
        <v>43986</v>
      </c>
      <c r="G870" s="24">
        <v>134396612</v>
      </c>
      <c r="H870" s="23">
        <v>5.0000000000000001E-3</v>
      </c>
      <c r="I870" s="39">
        <v>44378</v>
      </c>
      <c r="J870" s="39">
        <v>44408</v>
      </c>
      <c r="K870" s="24">
        <v>31</v>
      </c>
      <c r="L870" s="24">
        <v>57073</v>
      </c>
      <c r="M870" s="24">
        <v>134396612</v>
      </c>
    </row>
    <row r="871" spans="1:13" s="5" customFormat="1" outlineLevel="1">
      <c r="A871" s="42" t="s">
        <v>296</v>
      </c>
      <c r="B871" s="43"/>
      <c r="C871" s="44"/>
      <c r="D871" s="43"/>
      <c r="E871" s="45">
        <v>2335871587</v>
      </c>
      <c r="F871" s="46"/>
      <c r="G871" s="45"/>
      <c r="H871" s="47"/>
      <c r="I871" s="46"/>
      <c r="J871" s="46"/>
      <c r="K871" s="45"/>
      <c r="L871" s="45">
        <v>844588</v>
      </c>
      <c r="M871" s="45">
        <v>2330488176</v>
      </c>
    </row>
    <row r="872" spans="1:13" s="17" customFormat="1" ht="19.5" outlineLevel="1">
      <c r="A872" s="11"/>
      <c r="B872" s="12"/>
      <c r="C872" s="13"/>
      <c r="D872" s="12"/>
      <c r="E872" s="14"/>
      <c r="F872" s="15"/>
      <c r="G872" s="14"/>
      <c r="H872" s="16"/>
      <c r="I872" s="15"/>
      <c r="J872" s="15"/>
      <c r="K872" s="14"/>
      <c r="L872" s="14"/>
      <c r="M872" s="14"/>
    </row>
    <row r="873" spans="1:13" s="5" customFormat="1" ht="19.5">
      <c r="A873" s="9" t="s">
        <v>297</v>
      </c>
      <c r="B873" s="6"/>
      <c r="C873" s="7"/>
      <c r="D873" s="6"/>
      <c r="E873" s="8">
        <v>30936926170</v>
      </c>
      <c r="F873" s="9"/>
      <c r="G873" s="8"/>
      <c r="H873" s="10"/>
      <c r="I873" s="9"/>
      <c r="J873" s="9"/>
      <c r="K873" s="8"/>
      <c r="L873" s="8">
        <v>12027931</v>
      </c>
      <c r="M873" s="8">
        <v>30621752147</v>
      </c>
    </row>
    <row r="875" spans="1:13" ht="19.5">
      <c r="A875" s="18" t="s">
        <v>298</v>
      </c>
      <c r="B875" s="18"/>
      <c r="E875" s="19" t="s">
        <v>299</v>
      </c>
      <c r="G875" s="1"/>
      <c r="H875" s="20" t="s">
        <v>300</v>
      </c>
      <c r="I875" s="21"/>
    </row>
  </sheetData>
  <autoFilter ref="A3:M871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BA0E-3C6C-4509-9BE4-4A60B960CA2F}">
  <dimension ref="A1:M930"/>
  <sheetViews>
    <sheetView zoomScaleNormal="100" workbookViewId="0">
      <selection activeCell="C5" sqref="C5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8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6384" width="5.375" style="1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>
      <c r="A2" s="27"/>
      <c r="B2" s="28" t="s">
        <v>0</v>
      </c>
      <c r="C2" s="29">
        <v>44439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</row>
    <row r="3" spans="1:13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</row>
    <row r="4" spans="1:13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44409</v>
      </c>
      <c r="J4" s="39">
        <v>44439</v>
      </c>
      <c r="K4" s="24">
        <f t="shared" ref="K4:K46" si="0">J4-I4+1</f>
        <v>31</v>
      </c>
      <c r="L4" s="24">
        <f t="shared" ref="L4:L46" si="1">ROUND(G4*H4*K4/365,0)</f>
        <v>69007</v>
      </c>
      <c r="M4" s="24">
        <v>162500000</v>
      </c>
    </row>
    <row r="5" spans="1:13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44409</v>
      </c>
      <c r="J5" s="39">
        <v>44439</v>
      </c>
      <c r="K5" s="24">
        <f t="shared" si="0"/>
        <v>31</v>
      </c>
      <c r="L5" s="24">
        <f t="shared" si="1"/>
        <v>612</v>
      </c>
      <c r="M5" s="24">
        <v>2400000</v>
      </c>
    </row>
    <row r="6" spans="1:13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44409</v>
      </c>
      <c r="J6" s="39">
        <v>44439</v>
      </c>
      <c r="K6" s="24">
        <f t="shared" si="0"/>
        <v>31</v>
      </c>
      <c r="L6" s="24">
        <f t="shared" si="1"/>
        <v>3130</v>
      </c>
      <c r="M6" s="24">
        <v>7370000</v>
      </c>
    </row>
    <row r="7" spans="1:13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44409</v>
      </c>
      <c r="J7" s="39">
        <v>44439</v>
      </c>
      <c r="K7" s="24">
        <f t="shared" si="0"/>
        <v>31</v>
      </c>
      <c r="L7" s="24">
        <f t="shared" si="1"/>
        <v>2501</v>
      </c>
      <c r="M7" s="24">
        <v>5890000</v>
      </c>
    </row>
    <row r="8" spans="1:13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44409</v>
      </c>
      <c r="J8" s="39">
        <v>44439</v>
      </c>
      <c r="K8" s="24">
        <f t="shared" si="0"/>
        <v>31</v>
      </c>
      <c r="L8" s="24">
        <f t="shared" si="1"/>
        <v>1282</v>
      </c>
      <c r="M8" s="24">
        <v>3020000</v>
      </c>
    </row>
    <row r="9" spans="1:13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44409</v>
      </c>
      <c r="J9" s="39">
        <v>44439</v>
      </c>
      <c r="K9" s="24">
        <f t="shared" si="0"/>
        <v>31</v>
      </c>
      <c r="L9" s="24">
        <f t="shared" si="1"/>
        <v>35926</v>
      </c>
      <c r="M9" s="24">
        <v>84600000</v>
      </c>
    </row>
    <row r="10" spans="1:13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44409</v>
      </c>
      <c r="J10" s="39">
        <v>44439</v>
      </c>
      <c r="K10" s="24">
        <f t="shared" si="0"/>
        <v>31</v>
      </c>
      <c r="L10" s="24">
        <f t="shared" si="1"/>
        <v>25479</v>
      </c>
      <c r="M10" s="24">
        <v>60000000</v>
      </c>
    </row>
    <row r="11" spans="1:13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44409</v>
      </c>
      <c r="J11" s="39">
        <v>44439</v>
      </c>
      <c r="K11" s="24">
        <f t="shared" si="0"/>
        <v>31</v>
      </c>
      <c r="L11" s="24">
        <f t="shared" si="1"/>
        <v>41277</v>
      </c>
      <c r="M11" s="24">
        <v>162000000</v>
      </c>
    </row>
    <row r="12" spans="1:13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44409</v>
      </c>
      <c r="J12" s="39">
        <v>44439</v>
      </c>
      <c r="K12" s="24">
        <f t="shared" si="0"/>
        <v>31</v>
      </c>
      <c r="L12" s="24">
        <f t="shared" si="1"/>
        <v>1761</v>
      </c>
      <c r="M12" s="24">
        <v>4147000</v>
      </c>
    </row>
    <row r="13" spans="1:13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44409</v>
      </c>
      <c r="J13" s="39">
        <v>44439</v>
      </c>
      <c r="K13" s="24">
        <f t="shared" si="0"/>
        <v>31</v>
      </c>
      <c r="L13" s="24">
        <f t="shared" si="1"/>
        <v>314</v>
      </c>
      <c r="M13" s="24">
        <v>740000</v>
      </c>
    </row>
    <row r="14" spans="1:13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44409</v>
      </c>
      <c r="J14" s="39">
        <v>44439</v>
      </c>
      <c r="K14" s="24">
        <f t="shared" si="0"/>
        <v>31</v>
      </c>
      <c r="L14" s="24">
        <f t="shared" si="1"/>
        <v>74838</v>
      </c>
      <c r="M14" s="24">
        <v>176232000</v>
      </c>
    </row>
    <row r="15" spans="1:13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44409</v>
      </c>
      <c r="J15" s="39">
        <v>44439</v>
      </c>
      <c r="K15" s="24">
        <f t="shared" si="0"/>
        <v>31</v>
      </c>
      <c r="L15" s="24">
        <f t="shared" si="1"/>
        <v>2731</v>
      </c>
      <c r="M15" s="24">
        <v>6430000</v>
      </c>
    </row>
    <row r="16" spans="1:13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44409</v>
      </c>
      <c r="J16" s="39">
        <v>44439</v>
      </c>
      <c r="K16" s="24">
        <f t="shared" si="0"/>
        <v>31</v>
      </c>
      <c r="L16" s="24">
        <f t="shared" si="1"/>
        <v>2293</v>
      </c>
      <c r="M16" s="24">
        <v>5400000</v>
      </c>
    </row>
    <row r="17" spans="1:13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44409</v>
      </c>
      <c r="J17" s="39">
        <v>44439</v>
      </c>
      <c r="K17" s="24">
        <f t="shared" si="0"/>
        <v>31</v>
      </c>
      <c r="L17" s="24">
        <f t="shared" si="1"/>
        <v>161</v>
      </c>
      <c r="M17" s="24">
        <v>380000</v>
      </c>
    </row>
    <row r="18" spans="1:13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44409</v>
      </c>
      <c r="J18" s="39">
        <v>44439</v>
      </c>
      <c r="K18" s="24">
        <f t="shared" si="0"/>
        <v>31</v>
      </c>
      <c r="L18" s="24">
        <f t="shared" si="1"/>
        <v>1019</v>
      </c>
      <c r="M18" s="24">
        <v>2400000</v>
      </c>
    </row>
    <row r="19" spans="1:13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44409</v>
      </c>
      <c r="J19" s="39">
        <v>44439</v>
      </c>
      <c r="K19" s="24">
        <f t="shared" si="0"/>
        <v>31</v>
      </c>
      <c r="L19" s="24">
        <f t="shared" si="1"/>
        <v>425</v>
      </c>
      <c r="M19" s="24">
        <v>1000000</v>
      </c>
    </row>
    <row r="20" spans="1:13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44409</v>
      </c>
      <c r="J20" s="39">
        <v>44439</v>
      </c>
      <c r="K20" s="24">
        <f t="shared" si="0"/>
        <v>31</v>
      </c>
      <c r="L20" s="24">
        <f t="shared" si="1"/>
        <v>4247</v>
      </c>
      <c r="M20" s="24">
        <v>10000000</v>
      </c>
    </row>
    <row r="21" spans="1:13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44409</v>
      </c>
      <c r="J21" s="39">
        <v>44439</v>
      </c>
      <c r="K21" s="24">
        <f t="shared" si="0"/>
        <v>31</v>
      </c>
      <c r="L21" s="24">
        <f t="shared" si="1"/>
        <v>106164</v>
      </c>
      <c r="M21" s="24">
        <v>250000000</v>
      </c>
    </row>
    <row r="22" spans="1:13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44409</v>
      </c>
      <c r="J22" s="39">
        <v>44439</v>
      </c>
      <c r="K22" s="24">
        <f t="shared" si="0"/>
        <v>31</v>
      </c>
      <c r="L22" s="24">
        <f t="shared" si="1"/>
        <v>84932</v>
      </c>
      <c r="M22" s="24">
        <v>200000000</v>
      </c>
    </row>
    <row r="23" spans="1:13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44409</v>
      </c>
      <c r="J23" s="39">
        <v>44439</v>
      </c>
      <c r="K23" s="24">
        <f t="shared" si="0"/>
        <v>31</v>
      </c>
      <c r="L23" s="24">
        <f t="shared" si="1"/>
        <v>3652</v>
      </c>
      <c r="M23" s="24">
        <v>8600000</v>
      </c>
    </row>
    <row r="24" spans="1:13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44409</v>
      </c>
      <c r="J24" s="39">
        <v>44439</v>
      </c>
      <c r="K24" s="24">
        <f t="shared" si="0"/>
        <v>31</v>
      </c>
      <c r="L24" s="24">
        <f t="shared" si="1"/>
        <v>704</v>
      </c>
      <c r="M24" s="24">
        <v>1657000</v>
      </c>
    </row>
    <row r="25" spans="1:13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44409</v>
      </c>
      <c r="J25" s="39">
        <v>44439</v>
      </c>
      <c r="K25" s="24">
        <f t="shared" si="0"/>
        <v>31</v>
      </c>
      <c r="L25" s="24">
        <f t="shared" si="1"/>
        <v>849</v>
      </c>
      <c r="M25" s="24">
        <v>2000000</v>
      </c>
    </row>
    <row r="26" spans="1:13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44409</v>
      </c>
      <c r="J26" s="39">
        <v>44439</v>
      </c>
      <c r="K26" s="24">
        <f t="shared" si="0"/>
        <v>31</v>
      </c>
      <c r="L26" s="24">
        <f t="shared" si="1"/>
        <v>12145</v>
      </c>
      <c r="M26" s="24">
        <v>28600000</v>
      </c>
    </row>
    <row r="27" spans="1:13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44409</v>
      </c>
      <c r="J27" s="39">
        <v>44439</v>
      </c>
      <c r="K27" s="24">
        <f t="shared" si="0"/>
        <v>31</v>
      </c>
      <c r="L27" s="24">
        <f t="shared" si="1"/>
        <v>255</v>
      </c>
      <c r="M27" s="24">
        <v>600000</v>
      </c>
    </row>
    <row r="28" spans="1:13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44409</v>
      </c>
      <c r="J28" s="39">
        <v>44439</v>
      </c>
      <c r="K28" s="24">
        <f t="shared" si="0"/>
        <v>31</v>
      </c>
      <c r="L28" s="24">
        <f t="shared" si="1"/>
        <v>15288</v>
      </c>
      <c r="M28" s="24">
        <v>60000000</v>
      </c>
    </row>
    <row r="29" spans="1:13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44409</v>
      </c>
      <c r="J29" s="39">
        <v>44439</v>
      </c>
      <c r="K29" s="24">
        <f t="shared" si="0"/>
        <v>31</v>
      </c>
      <c r="L29" s="24">
        <f t="shared" si="1"/>
        <v>33973</v>
      </c>
      <c r="M29" s="24">
        <v>80000000</v>
      </c>
    </row>
    <row r="30" spans="1:13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44409</v>
      </c>
      <c r="J30" s="39">
        <v>44439</v>
      </c>
      <c r="K30" s="24">
        <f t="shared" si="0"/>
        <v>31</v>
      </c>
      <c r="L30" s="24">
        <f t="shared" si="1"/>
        <v>55205</v>
      </c>
      <c r="M30" s="24">
        <v>130000000</v>
      </c>
    </row>
    <row r="31" spans="1:13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44409</v>
      </c>
      <c r="J31" s="39">
        <v>44439</v>
      </c>
      <c r="K31" s="24">
        <f t="shared" si="0"/>
        <v>31</v>
      </c>
      <c r="L31" s="24">
        <f t="shared" si="1"/>
        <v>35633</v>
      </c>
      <c r="M31" s="24">
        <v>83911000</v>
      </c>
    </row>
    <row r="32" spans="1:13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13762711</v>
      </c>
      <c r="H32" s="23">
        <v>5.0000000000000001E-3</v>
      </c>
      <c r="I32" s="39">
        <v>44409</v>
      </c>
      <c r="J32" s="39">
        <v>44423</v>
      </c>
      <c r="K32" s="24">
        <f t="shared" si="0"/>
        <v>15</v>
      </c>
      <c r="L32" s="24">
        <f t="shared" si="1"/>
        <v>2828</v>
      </c>
      <c r="M32" s="24">
        <v>13516948</v>
      </c>
    </row>
    <row r="33" spans="1:13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13516948</v>
      </c>
      <c r="H33" s="23">
        <v>5.0000000000000001E-3</v>
      </c>
      <c r="I33" s="39">
        <v>44424</v>
      </c>
      <c r="J33" s="39">
        <v>44439</v>
      </c>
      <c r="K33" s="24">
        <f t="shared" si="0"/>
        <v>16</v>
      </c>
      <c r="L33" s="24">
        <f t="shared" si="1"/>
        <v>2963</v>
      </c>
      <c r="M33" s="24"/>
    </row>
    <row r="34" spans="1:13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44409</v>
      </c>
      <c r="J34" s="39">
        <v>44439</v>
      </c>
      <c r="K34" s="24">
        <f t="shared" si="0"/>
        <v>31</v>
      </c>
      <c r="L34" s="24">
        <f t="shared" si="1"/>
        <v>52590</v>
      </c>
      <c r="M34" s="24">
        <v>206400000</v>
      </c>
    </row>
    <row r="35" spans="1:13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44409</v>
      </c>
      <c r="J35" s="39">
        <v>44439</v>
      </c>
      <c r="K35" s="24">
        <f t="shared" si="0"/>
        <v>31</v>
      </c>
      <c r="L35" s="24">
        <f t="shared" si="1"/>
        <v>8319</v>
      </c>
      <c r="M35" s="24">
        <v>19590000</v>
      </c>
    </row>
    <row r="36" spans="1:13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44409</v>
      </c>
      <c r="J36" s="39">
        <v>44439</v>
      </c>
      <c r="K36" s="24">
        <f t="shared" si="0"/>
        <v>31</v>
      </c>
      <c r="L36" s="24">
        <f t="shared" si="1"/>
        <v>7219</v>
      </c>
      <c r="M36" s="24">
        <v>17000000</v>
      </c>
    </row>
    <row r="37" spans="1:13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44409</v>
      </c>
      <c r="J37" s="39">
        <v>44439</v>
      </c>
      <c r="K37" s="24">
        <f t="shared" si="0"/>
        <v>31</v>
      </c>
      <c r="L37" s="24">
        <f t="shared" si="1"/>
        <v>13547</v>
      </c>
      <c r="M37" s="24">
        <v>31900000</v>
      </c>
    </row>
    <row r="38" spans="1:13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44409</v>
      </c>
      <c r="J38" s="39">
        <v>44439</v>
      </c>
      <c r="K38" s="24">
        <f t="shared" si="0"/>
        <v>31</v>
      </c>
      <c r="L38" s="24">
        <f t="shared" si="1"/>
        <v>8493</v>
      </c>
      <c r="M38" s="24">
        <v>20000000</v>
      </c>
    </row>
    <row r="39" spans="1:13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44409</v>
      </c>
      <c r="J39" s="39">
        <v>44439</v>
      </c>
      <c r="K39" s="24">
        <f t="shared" si="0"/>
        <v>31</v>
      </c>
      <c r="L39" s="24">
        <f t="shared" si="1"/>
        <v>1851</v>
      </c>
      <c r="M39" s="24">
        <v>4359000</v>
      </c>
    </row>
    <row r="40" spans="1:13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44409</v>
      </c>
      <c r="J40" s="39">
        <v>44439</v>
      </c>
      <c r="K40" s="24">
        <f t="shared" si="0"/>
        <v>31</v>
      </c>
      <c r="L40" s="24">
        <f t="shared" si="1"/>
        <v>33021</v>
      </c>
      <c r="M40" s="24">
        <v>129600000</v>
      </c>
    </row>
    <row r="41" spans="1:13" s="5" customFormat="1" outlineLevel="2">
      <c r="A41" s="39" t="s">
        <v>15</v>
      </c>
      <c r="B41" s="40" t="s">
        <v>138</v>
      </c>
      <c r="C41" s="41" t="s">
        <v>45</v>
      </c>
      <c r="D41" s="40" t="s">
        <v>46</v>
      </c>
      <c r="E41" s="24">
        <v>50000000</v>
      </c>
      <c r="F41" s="39">
        <v>44432</v>
      </c>
      <c r="G41" s="24">
        <v>50000000</v>
      </c>
      <c r="H41" s="23">
        <v>5.0000000000000001E-3</v>
      </c>
      <c r="I41" s="39">
        <v>44432</v>
      </c>
      <c r="J41" s="39">
        <v>44439</v>
      </c>
      <c r="K41" s="24">
        <f t="shared" si="0"/>
        <v>8</v>
      </c>
      <c r="L41" s="24">
        <f t="shared" si="1"/>
        <v>5479</v>
      </c>
      <c r="M41" s="24">
        <v>50000000</v>
      </c>
    </row>
    <row r="42" spans="1:13" s="5" customFormat="1" outlineLevel="2">
      <c r="A42" s="39" t="s">
        <v>15</v>
      </c>
      <c r="B42" s="40" t="s">
        <v>62</v>
      </c>
      <c r="C42" s="41" t="s">
        <v>55</v>
      </c>
      <c r="D42" s="40" t="s">
        <v>56</v>
      </c>
      <c r="E42" s="24">
        <v>10000000</v>
      </c>
      <c r="F42" s="39">
        <v>43934</v>
      </c>
      <c r="G42" s="24">
        <v>10000000</v>
      </c>
      <c r="H42" s="23">
        <v>5.0000000000000001E-3</v>
      </c>
      <c r="I42" s="39">
        <v>44409</v>
      </c>
      <c r="J42" s="39">
        <v>44439</v>
      </c>
      <c r="K42" s="24">
        <f t="shared" si="0"/>
        <v>31</v>
      </c>
      <c r="L42" s="24">
        <f t="shared" si="1"/>
        <v>4247</v>
      </c>
      <c r="M42" s="24">
        <v>10000000</v>
      </c>
    </row>
    <row r="43" spans="1:13" s="5" customFormat="1" outlineLevel="2">
      <c r="A43" s="39" t="s">
        <v>15</v>
      </c>
      <c r="B43" s="40" t="s">
        <v>63</v>
      </c>
      <c r="C43" s="41" t="s">
        <v>55</v>
      </c>
      <c r="D43" s="40" t="s">
        <v>56</v>
      </c>
      <c r="E43" s="24">
        <v>30000000</v>
      </c>
      <c r="F43" s="39">
        <v>43937</v>
      </c>
      <c r="G43" s="24">
        <v>30000000</v>
      </c>
      <c r="H43" s="23">
        <v>5.0000000000000001E-3</v>
      </c>
      <c r="I43" s="39">
        <v>44409</v>
      </c>
      <c r="J43" s="39">
        <v>44439</v>
      </c>
      <c r="K43" s="24">
        <f t="shared" si="0"/>
        <v>31</v>
      </c>
      <c r="L43" s="24">
        <f t="shared" si="1"/>
        <v>12740</v>
      </c>
      <c r="M43" s="24">
        <v>30000000</v>
      </c>
    </row>
    <row r="44" spans="1:13" s="5" customFormat="1" outlineLevel="2">
      <c r="A44" s="39" t="s">
        <v>15</v>
      </c>
      <c r="B44" s="40" t="s">
        <v>64</v>
      </c>
      <c r="C44" s="41" t="s">
        <v>55</v>
      </c>
      <c r="D44" s="40" t="s">
        <v>56</v>
      </c>
      <c r="E44" s="24">
        <v>58360000</v>
      </c>
      <c r="F44" s="39">
        <v>43929</v>
      </c>
      <c r="G44" s="24">
        <v>58360000</v>
      </c>
      <c r="H44" s="23">
        <v>5.0000000000000001E-3</v>
      </c>
      <c r="I44" s="39">
        <v>44409</v>
      </c>
      <c r="J44" s="39">
        <v>44439</v>
      </c>
      <c r="K44" s="24">
        <f t="shared" si="0"/>
        <v>31</v>
      </c>
      <c r="L44" s="24">
        <f t="shared" si="1"/>
        <v>24783</v>
      </c>
      <c r="M44" s="24">
        <v>58360000</v>
      </c>
    </row>
    <row r="45" spans="1:13" s="5" customFormat="1" outlineLevel="2">
      <c r="A45" s="39" t="s">
        <v>15</v>
      </c>
      <c r="B45" s="40" t="s">
        <v>65</v>
      </c>
      <c r="C45" s="41" t="s">
        <v>66</v>
      </c>
      <c r="D45" s="40" t="s">
        <v>67</v>
      </c>
      <c r="E45" s="24">
        <v>64000000</v>
      </c>
      <c r="F45" s="39">
        <v>43966</v>
      </c>
      <c r="G45" s="24">
        <v>64000000</v>
      </c>
      <c r="H45" s="23">
        <v>5.0000000000000001E-3</v>
      </c>
      <c r="I45" s="39">
        <v>44409</v>
      </c>
      <c r="J45" s="39">
        <v>44439</v>
      </c>
      <c r="K45" s="24">
        <f t="shared" si="0"/>
        <v>31</v>
      </c>
      <c r="L45" s="24">
        <f t="shared" si="1"/>
        <v>27178</v>
      </c>
      <c r="M45" s="24">
        <v>64000000</v>
      </c>
    </row>
    <row r="46" spans="1:13" s="5" customFormat="1" outlineLevel="2">
      <c r="A46" s="39" t="s">
        <v>15</v>
      </c>
      <c r="B46" s="40" t="s">
        <v>68</v>
      </c>
      <c r="C46" s="41" t="s">
        <v>55</v>
      </c>
      <c r="D46" s="40" t="s">
        <v>56</v>
      </c>
      <c r="E46" s="24">
        <v>11400000</v>
      </c>
      <c r="F46" s="39">
        <v>43962</v>
      </c>
      <c r="G46" s="24">
        <v>11400000</v>
      </c>
      <c r="H46" s="23">
        <v>5.0000000000000001E-3</v>
      </c>
      <c r="I46" s="39">
        <v>44409</v>
      </c>
      <c r="J46" s="39">
        <v>44439</v>
      </c>
      <c r="K46" s="24">
        <f t="shared" si="0"/>
        <v>31</v>
      </c>
      <c r="L46" s="24">
        <f t="shared" si="1"/>
        <v>4841</v>
      </c>
      <c r="M46" s="24">
        <v>11400000</v>
      </c>
    </row>
    <row r="47" spans="1:13" s="5" customFormat="1" outlineLevel="1">
      <c r="A47" s="42" t="s">
        <v>69</v>
      </c>
      <c r="B47" s="43"/>
      <c r="C47" s="44"/>
      <c r="D47" s="43"/>
      <c r="E47" s="45">
        <f>SUBTOTAL(9,E4:E46)</f>
        <v>2206986000</v>
      </c>
      <c r="F47" s="46"/>
      <c r="G47" s="45"/>
      <c r="H47" s="47"/>
      <c r="I47" s="46"/>
      <c r="J47" s="46"/>
      <c r="K47" s="45"/>
      <c r="L47" s="45">
        <f>SUBTOTAL(9,L4:L46)</f>
        <v>825902</v>
      </c>
      <c r="M47" s="45">
        <f>SUBTOTAL(9,M4:M46)</f>
        <v>2206002948</v>
      </c>
    </row>
    <row r="48" spans="1:13" s="5" customFormat="1" outlineLevel="2">
      <c r="A48" s="39" t="s">
        <v>70</v>
      </c>
      <c r="B48" s="40" t="s">
        <v>16</v>
      </c>
      <c r="C48" s="41" t="s">
        <v>27</v>
      </c>
      <c r="D48" s="40" t="s">
        <v>28</v>
      </c>
      <c r="E48" s="24">
        <v>21330000</v>
      </c>
      <c r="F48" s="39">
        <v>44046</v>
      </c>
      <c r="G48" s="24">
        <v>21330000</v>
      </c>
      <c r="H48" s="23">
        <v>5.0000000000000001E-3</v>
      </c>
      <c r="I48" s="39">
        <v>44409</v>
      </c>
      <c r="J48" s="39">
        <v>44439</v>
      </c>
      <c r="K48" s="24">
        <f t="shared" ref="K48:K53" si="2">J48-I48+1</f>
        <v>31</v>
      </c>
      <c r="L48" s="24">
        <f t="shared" ref="L48:L53" si="3">ROUND(G48*H48*K48/365,0)</f>
        <v>9058</v>
      </c>
      <c r="M48" s="24">
        <v>21330000</v>
      </c>
    </row>
    <row r="49" spans="1:13" s="5" customFormat="1" outlineLevel="2">
      <c r="A49" s="39" t="s">
        <v>70</v>
      </c>
      <c r="B49" s="40" t="s">
        <v>39</v>
      </c>
      <c r="C49" s="41" t="s">
        <v>27</v>
      </c>
      <c r="D49" s="40" t="s">
        <v>28</v>
      </c>
      <c r="E49" s="24">
        <v>8670000</v>
      </c>
      <c r="F49" s="39">
        <v>44060</v>
      </c>
      <c r="G49" s="24">
        <v>8670000</v>
      </c>
      <c r="H49" s="23">
        <v>5.0000000000000001E-3</v>
      </c>
      <c r="I49" s="39">
        <v>44409</v>
      </c>
      <c r="J49" s="39">
        <v>44439</v>
      </c>
      <c r="K49" s="24">
        <f t="shared" si="2"/>
        <v>31</v>
      </c>
      <c r="L49" s="24">
        <f t="shared" si="3"/>
        <v>3682</v>
      </c>
      <c r="M49" s="24">
        <v>8670000</v>
      </c>
    </row>
    <row r="50" spans="1:13" s="5" customFormat="1" outlineLevel="2">
      <c r="A50" s="39" t="s">
        <v>70</v>
      </c>
      <c r="B50" s="40" t="s">
        <v>54</v>
      </c>
      <c r="C50" s="41" t="s">
        <v>71</v>
      </c>
      <c r="D50" s="40" t="s">
        <v>72</v>
      </c>
      <c r="E50" s="24">
        <v>10600000</v>
      </c>
      <c r="F50" s="39">
        <v>44085</v>
      </c>
      <c r="G50" s="24">
        <v>10600000</v>
      </c>
      <c r="H50" s="23">
        <v>5.0000000000000001E-3</v>
      </c>
      <c r="I50" s="39">
        <v>44409</v>
      </c>
      <c r="J50" s="39">
        <v>44439</v>
      </c>
      <c r="K50" s="24">
        <f t="shared" si="2"/>
        <v>31</v>
      </c>
      <c r="L50" s="24">
        <f t="shared" si="3"/>
        <v>4501</v>
      </c>
      <c r="M50" s="24">
        <v>10600000</v>
      </c>
    </row>
    <row r="51" spans="1:13" s="5" customFormat="1" outlineLevel="2">
      <c r="A51" s="39" t="s">
        <v>70</v>
      </c>
      <c r="B51" s="40" t="s">
        <v>59</v>
      </c>
      <c r="C51" s="41" t="s">
        <v>73</v>
      </c>
      <c r="D51" s="40" t="s">
        <v>74</v>
      </c>
      <c r="E51" s="24">
        <v>40170000</v>
      </c>
      <c r="F51" s="39">
        <v>44172</v>
      </c>
      <c r="G51" s="24">
        <v>40170000</v>
      </c>
      <c r="H51" s="23">
        <v>5.0000000000000001E-3</v>
      </c>
      <c r="I51" s="39">
        <v>44409</v>
      </c>
      <c r="J51" s="39">
        <v>44439</v>
      </c>
      <c r="K51" s="24">
        <f t="shared" si="2"/>
        <v>31</v>
      </c>
      <c r="L51" s="24">
        <f t="shared" si="3"/>
        <v>17058</v>
      </c>
      <c r="M51" s="24">
        <v>40170000</v>
      </c>
    </row>
    <row r="52" spans="1:13" s="5" customFormat="1" outlineLevel="2">
      <c r="A52" s="39" t="s">
        <v>70</v>
      </c>
      <c r="B52" s="40" t="s">
        <v>62</v>
      </c>
      <c r="C52" s="41" t="s">
        <v>75</v>
      </c>
      <c r="D52" s="40" t="s">
        <v>76</v>
      </c>
      <c r="E52" s="24">
        <v>5170000</v>
      </c>
      <c r="F52" s="39">
        <v>44166</v>
      </c>
      <c r="G52" s="24">
        <v>5170000</v>
      </c>
      <c r="H52" s="23">
        <v>5.0000000000000001E-3</v>
      </c>
      <c r="I52" s="39">
        <v>44409</v>
      </c>
      <c r="J52" s="39">
        <v>44439</v>
      </c>
      <c r="K52" s="24">
        <f t="shared" si="2"/>
        <v>31</v>
      </c>
      <c r="L52" s="24">
        <f t="shared" si="3"/>
        <v>2195</v>
      </c>
      <c r="M52" s="24">
        <v>5170000</v>
      </c>
    </row>
    <row r="53" spans="1:13" s="5" customFormat="1" outlineLevel="2">
      <c r="A53" s="39" t="s">
        <v>70</v>
      </c>
      <c r="B53" s="40" t="s">
        <v>63</v>
      </c>
      <c r="C53" s="41" t="s">
        <v>242</v>
      </c>
      <c r="D53" s="40" t="s">
        <v>243</v>
      </c>
      <c r="E53" s="24">
        <v>22400000</v>
      </c>
      <c r="F53" s="39">
        <v>44433</v>
      </c>
      <c r="G53" s="24">
        <v>22400000</v>
      </c>
      <c r="H53" s="23">
        <v>5.0000000000000001E-3</v>
      </c>
      <c r="I53" s="39">
        <v>44433</v>
      </c>
      <c r="J53" s="39">
        <v>44439</v>
      </c>
      <c r="K53" s="24">
        <f t="shared" si="2"/>
        <v>7</v>
      </c>
      <c r="L53" s="24">
        <f t="shared" si="3"/>
        <v>2148</v>
      </c>
      <c r="M53" s="24">
        <v>22400000</v>
      </c>
    </row>
    <row r="54" spans="1:13" s="5" customFormat="1" outlineLevel="1">
      <c r="A54" s="42" t="s">
        <v>77</v>
      </c>
      <c r="B54" s="43"/>
      <c r="C54" s="44"/>
      <c r="D54" s="43"/>
      <c r="E54" s="45">
        <f>SUBTOTAL(9,E48:E53)</f>
        <v>108340000</v>
      </c>
      <c r="F54" s="46"/>
      <c r="G54" s="45"/>
      <c r="H54" s="47"/>
      <c r="I54" s="46"/>
      <c r="J54" s="46"/>
      <c r="K54" s="45"/>
      <c r="L54" s="45">
        <f>SUBTOTAL(9,L48:L53)</f>
        <v>38642</v>
      </c>
      <c r="M54" s="45">
        <f>SUBTOTAL(9,M48:M53)</f>
        <v>108340000</v>
      </c>
    </row>
    <row r="55" spans="1:13" s="5" customFormat="1" outlineLevel="2">
      <c r="A55" s="39" t="s">
        <v>78</v>
      </c>
      <c r="B55" s="40" t="s">
        <v>16</v>
      </c>
      <c r="C55" s="41" t="s">
        <v>55</v>
      </c>
      <c r="D55" s="40" t="s">
        <v>56</v>
      </c>
      <c r="E55" s="24">
        <v>26500000</v>
      </c>
      <c r="F55" s="39">
        <v>43907</v>
      </c>
      <c r="G55" s="24">
        <v>21452384</v>
      </c>
      <c r="H55" s="23">
        <v>5.0000000000000001E-3</v>
      </c>
      <c r="I55" s="39">
        <v>44409</v>
      </c>
      <c r="J55" s="39">
        <v>44423</v>
      </c>
      <c r="K55" s="24">
        <f t="shared" ref="K55:K86" si="4">J55-I55+1</f>
        <v>15</v>
      </c>
      <c r="L55" s="24">
        <f t="shared" ref="L55:L86" si="5">ROUND(G55*H55*K55/365,0)</f>
        <v>4408</v>
      </c>
      <c r="M55" s="24">
        <v>21136908</v>
      </c>
    </row>
    <row r="56" spans="1:13" s="5" customFormat="1" outlineLevel="2">
      <c r="A56" s="39" t="s">
        <v>78</v>
      </c>
      <c r="B56" s="40" t="s">
        <v>16</v>
      </c>
      <c r="C56" s="41" t="s">
        <v>55</v>
      </c>
      <c r="D56" s="40"/>
      <c r="E56" s="24"/>
      <c r="F56" s="39"/>
      <c r="G56" s="24">
        <v>21136908</v>
      </c>
      <c r="H56" s="23">
        <v>5.0000000000000001E-3</v>
      </c>
      <c r="I56" s="39">
        <v>44424</v>
      </c>
      <c r="J56" s="39">
        <v>44439</v>
      </c>
      <c r="K56" s="24">
        <f t="shared" si="4"/>
        <v>16</v>
      </c>
      <c r="L56" s="24">
        <f t="shared" si="5"/>
        <v>4633</v>
      </c>
      <c r="M56" s="24"/>
    </row>
    <row r="57" spans="1:13" s="5" customFormat="1" outlineLevel="2">
      <c r="A57" s="39" t="s">
        <v>78</v>
      </c>
      <c r="B57" s="40" t="s">
        <v>19</v>
      </c>
      <c r="C57" s="41" t="s">
        <v>79</v>
      </c>
      <c r="D57" s="40" t="s">
        <v>80</v>
      </c>
      <c r="E57" s="24">
        <v>130000000</v>
      </c>
      <c r="F57" s="39">
        <v>44013</v>
      </c>
      <c r="G57" s="24">
        <v>130000000</v>
      </c>
      <c r="H57" s="23">
        <v>5.0000000000000001E-3</v>
      </c>
      <c r="I57" s="39">
        <v>44409</v>
      </c>
      <c r="J57" s="39">
        <v>44439</v>
      </c>
      <c r="K57" s="24">
        <f t="shared" si="4"/>
        <v>31</v>
      </c>
      <c r="L57" s="24">
        <f t="shared" si="5"/>
        <v>55205</v>
      </c>
      <c r="M57" s="24">
        <v>130000000</v>
      </c>
    </row>
    <row r="58" spans="1:13" s="5" customFormat="1" outlineLevel="2">
      <c r="A58" s="39" t="s">
        <v>78</v>
      </c>
      <c r="B58" s="40" t="s">
        <v>22</v>
      </c>
      <c r="C58" s="41" t="s">
        <v>81</v>
      </c>
      <c r="D58" s="40" t="s">
        <v>82</v>
      </c>
      <c r="E58" s="24">
        <v>3400000</v>
      </c>
      <c r="F58" s="39">
        <v>44063</v>
      </c>
      <c r="G58" s="24">
        <v>2755180</v>
      </c>
      <c r="H58" s="23">
        <v>5.0000000000000001E-3</v>
      </c>
      <c r="I58" s="39">
        <v>44409</v>
      </c>
      <c r="J58" s="39">
        <v>44423</v>
      </c>
      <c r="K58" s="24">
        <f t="shared" si="4"/>
        <v>15</v>
      </c>
      <c r="L58" s="24">
        <f t="shared" si="5"/>
        <v>566</v>
      </c>
      <c r="M58" s="24">
        <v>2696560</v>
      </c>
    </row>
    <row r="59" spans="1:13" s="5" customFormat="1" outlineLevel="2">
      <c r="A59" s="39" t="s">
        <v>78</v>
      </c>
      <c r="B59" s="40" t="s">
        <v>22</v>
      </c>
      <c r="C59" s="41" t="s">
        <v>81</v>
      </c>
      <c r="D59" s="40"/>
      <c r="E59" s="24"/>
      <c r="F59" s="39"/>
      <c r="G59" s="24">
        <v>2696560</v>
      </c>
      <c r="H59" s="23">
        <v>5.0000000000000001E-3</v>
      </c>
      <c r="I59" s="39">
        <v>44424</v>
      </c>
      <c r="J59" s="39">
        <v>44439</v>
      </c>
      <c r="K59" s="24">
        <f t="shared" si="4"/>
        <v>16</v>
      </c>
      <c r="L59" s="24">
        <f t="shared" si="5"/>
        <v>591</v>
      </c>
      <c r="M59" s="24"/>
    </row>
    <row r="60" spans="1:13" s="5" customFormat="1" outlineLevel="2">
      <c r="A60" s="39" t="s">
        <v>78</v>
      </c>
      <c r="B60" s="40" t="s">
        <v>25</v>
      </c>
      <c r="C60" s="41" t="s">
        <v>81</v>
      </c>
      <c r="D60" s="40" t="s">
        <v>82</v>
      </c>
      <c r="E60" s="24">
        <v>9800000</v>
      </c>
      <c r="F60" s="39">
        <v>44071</v>
      </c>
      <c r="G60" s="24">
        <v>7941363</v>
      </c>
      <c r="H60" s="23">
        <v>5.0000000000000001E-3</v>
      </c>
      <c r="I60" s="39">
        <v>44409</v>
      </c>
      <c r="J60" s="39">
        <v>44423</v>
      </c>
      <c r="K60" s="24">
        <f t="shared" si="4"/>
        <v>15</v>
      </c>
      <c r="L60" s="24">
        <f t="shared" si="5"/>
        <v>1632</v>
      </c>
      <c r="M60" s="24">
        <v>7772396</v>
      </c>
    </row>
    <row r="61" spans="1:13" s="5" customFormat="1" outlineLevel="2">
      <c r="A61" s="39" t="s">
        <v>78</v>
      </c>
      <c r="B61" s="40" t="s">
        <v>25</v>
      </c>
      <c r="C61" s="41" t="s">
        <v>81</v>
      </c>
      <c r="D61" s="40"/>
      <c r="E61" s="24"/>
      <c r="F61" s="39"/>
      <c r="G61" s="24">
        <v>7772396</v>
      </c>
      <c r="H61" s="23">
        <v>5.0000000000000001E-3</v>
      </c>
      <c r="I61" s="39">
        <v>44424</v>
      </c>
      <c r="J61" s="39">
        <v>44439</v>
      </c>
      <c r="K61" s="24">
        <f t="shared" si="4"/>
        <v>16</v>
      </c>
      <c r="L61" s="24">
        <f t="shared" si="5"/>
        <v>1704</v>
      </c>
      <c r="M61" s="24"/>
    </row>
    <row r="62" spans="1:13" s="5" customFormat="1" outlineLevel="2">
      <c r="A62" s="39" t="s">
        <v>78</v>
      </c>
      <c r="B62" s="40" t="s">
        <v>26</v>
      </c>
      <c r="C62" s="41" t="s">
        <v>83</v>
      </c>
      <c r="D62" s="40" t="s">
        <v>84</v>
      </c>
      <c r="E62" s="24">
        <v>201000000</v>
      </c>
      <c r="F62" s="39">
        <v>44064</v>
      </c>
      <c r="G62" s="24">
        <v>201000000</v>
      </c>
      <c r="H62" s="23">
        <v>5.0000000000000001E-3</v>
      </c>
      <c r="I62" s="39">
        <v>44409</v>
      </c>
      <c r="J62" s="39">
        <v>44439</v>
      </c>
      <c r="K62" s="24">
        <f t="shared" si="4"/>
        <v>31</v>
      </c>
      <c r="L62" s="24">
        <f t="shared" si="5"/>
        <v>85356</v>
      </c>
      <c r="M62" s="24">
        <v>201000000</v>
      </c>
    </row>
    <row r="63" spans="1:13" s="5" customFormat="1" outlineLevel="2">
      <c r="A63" s="39" t="s">
        <v>78</v>
      </c>
      <c r="B63" s="40" t="s">
        <v>29</v>
      </c>
      <c r="C63" s="41" t="s">
        <v>85</v>
      </c>
      <c r="D63" s="40" t="s">
        <v>86</v>
      </c>
      <c r="E63" s="24">
        <v>211550000</v>
      </c>
      <c r="F63" s="39">
        <v>44078</v>
      </c>
      <c r="G63" s="24">
        <v>211550000</v>
      </c>
      <c r="H63" s="23">
        <v>5.0000000000000001E-3</v>
      </c>
      <c r="I63" s="39">
        <v>44409</v>
      </c>
      <c r="J63" s="39">
        <v>44439</v>
      </c>
      <c r="K63" s="24">
        <f t="shared" si="4"/>
        <v>31</v>
      </c>
      <c r="L63" s="24">
        <f t="shared" si="5"/>
        <v>89836</v>
      </c>
      <c r="M63" s="24">
        <v>211550000</v>
      </c>
    </row>
    <row r="64" spans="1:13" s="5" customFormat="1" outlineLevel="2">
      <c r="A64" s="39" t="s">
        <v>78</v>
      </c>
      <c r="B64" s="40" t="s">
        <v>32</v>
      </c>
      <c r="C64" s="41" t="s">
        <v>85</v>
      </c>
      <c r="D64" s="40" t="s">
        <v>86</v>
      </c>
      <c r="E64" s="24">
        <v>91330000</v>
      </c>
      <c r="F64" s="39">
        <v>44120</v>
      </c>
      <c r="G64" s="24">
        <v>91330000</v>
      </c>
      <c r="H64" s="23">
        <v>5.0000000000000001E-3</v>
      </c>
      <c r="I64" s="39">
        <v>44409</v>
      </c>
      <c r="J64" s="39">
        <v>44439</v>
      </c>
      <c r="K64" s="24">
        <f t="shared" si="4"/>
        <v>31</v>
      </c>
      <c r="L64" s="24">
        <f t="shared" si="5"/>
        <v>38784</v>
      </c>
      <c r="M64" s="24">
        <v>91330000</v>
      </c>
    </row>
    <row r="65" spans="1:13" s="5" customFormat="1" outlineLevel="2">
      <c r="A65" s="39" t="s">
        <v>78</v>
      </c>
      <c r="B65" s="40" t="s">
        <v>33</v>
      </c>
      <c r="C65" s="41" t="s">
        <v>45</v>
      </c>
      <c r="D65" s="40" t="s">
        <v>46</v>
      </c>
      <c r="E65" s="24">
        <v>10000000</v>
      </c>
      <c r="F65" s="39">
        <v>44120</v>
      </c>
      <c r="G65" s="24">
        <v>10000000</v>
      </c>
      <c r="H65" s="23">
        <v>5.0000000000000001E-3</v>
      </c>
      <c r="I65" s="39">
        <v>44409</v>
      </c>
      <c r="J65" s="39">
        <v>44439</v>
      </c>
      <c r="K65" s="24">
        <f t="shared" si="4"/>
        <v>31</v>
      </c>
      <c r="L65" s="24">
        <f t="shared" si="5"/>
        <v>4247</v>
      </c>
      <c r="M65" s="24">
        <v>10000000</v>
      </c>
    </row>
    <row r="66" spans="1:13" s="5" customFormat="1" outlineLevel="2">
      <c r="A66" s="39" t="s">
        <v>78</v>
      </c>
      <c r="B66" s="40" t="s">
        <v>34</v>
      </c>
      <c r="C66" s="41" t="s">
        <v>87</v>
      </c>
      <c r="D66" s="40" t="s">
        <v>88</v>
      </c>
      <c r="E66" s="24">
        <v>40000000</v>
      </c>
      <c r="F66" s="39">
        <v>44131</v>
      </c>
      <c r="G66" s="24">
        <v>40000000</v>
      </c>
      <c r="H66" s="23">
        <v>5.0000000000000001E-3</v>
      </c>
      <c r="I66" s="39">
        <v>44409</v>
      </c>
      <c r="J66" s="39">
        <v>44439</v>
      </c>
      <c r="K66" s="24">
        <f t="shared" si="4"/>
        <v>31</v>
      </c>
      <c r="L66" s="24">
        <f t="shared" si="5"/>
        <v>16986</v>
      </c>
      <c r="M66" s="24">
        <v>40000000</v>
      </c>
    </row>
    <row r="67" spans="1:13" s="5" customFormat="1" outlineLevel="2">
      <c r="A67" s="39" t="s">
        <v>78</v>
      </c>
      <c r="B67" s="40" t="s">
        <v>35</v>
      </c>
      <c r="C67" s="41" t="s">
        <v>89</v>
      </c>
      <c r="D67" s="40" t="s">
        <v>90</v>
      </c>
      <c r="E67" s="24">
        <v>88000000</v>
      </c>
      <c r="F67" s="39">
        <v>44119</v>
      </c>
      <c r="G67" s="24">
        <v>88000000</v>
      </c>
      <c r="H67" s="23">
        <v>5.0000000000000001E-3</v>
      </c>
      <c r="I67" s="39">
        <v>44409</v>
      </c>
      <c r="J67" s="39">
        <v>44439</v>
      </c>
      <c r="K67" s="24">
        <f t="shared" si="4"/>
        <v>31</v>
      </c>
      <c r="L67" s="24">
        <f t="shared" si="5"/>
        <v>37370</v>
      </c>
      <c r="M67" s="24">
        <v>88000000</v>
      </c>
    </row>
    <row r="68" spans="1:13" s="5" customFormat="1" outlineLevel="2">
      <c r="A68" s="39" t="s">
        <v>78</v>
      </c>
      <c r="B68" s="40" t="s">
        <v>36</v>
      </c>
      <c r="C68" s="41" t="s">
        <v>91</v>
      </c>
      <c r="D68" s="40" t="s">
        <v>92</v>
      </c>
      <c r="E68" s="24">
        <v>65800000</v>
      </c>
      <c r="F68" s="39">
        <v>44119</v>
      </c>
      <c r="G68" s="24">
        <v>65800000</v>
      </c>
      <c r="H68" s="23">
        <v>5.0000000000000001E-3</v>
      </c>
      <c r="I68" s="39">
        <v>44409</v>
      </c>
      <c r="J68" s="39">
        <v>44439</v>
      </c>
      <c r="K68" s="24">
        <f t="shared" si="4"/>
        <v>31</v>
      </c>
      <c r="L68" s="24">
        <f t="shared" si="5"/>
        <v>27942</v>
      </c>
      <c r="M68" s="24">
        <v>65800000</v>
      </c>
    </row>
    <row r="69" spans="1:13" s="5" customFormat="1" outlineLevel="2">
      <c r="A69" s="39" t="s">
        <v>78</v>
      </c>
      <c r="B69" s="40" t="s">
        <v>39</v>
      </c>
      <c r="C69" s="41" t="s">
        <v>60</v>
      </c>
      <c r="D69" s="40" t="s">
        <v>61</v>
      </c>
      <c r="E69" s="24">
        <v>90000000</v>
      </c>
      <c r="F69" s="39">
        <v>43913</v>
      </c>
      <c r="G69" s="24">
        <v>82500000</v>
      </c>
      <c r="H69" s="23">
        <v>5.0000000000000001E-3</v>
      </c>
      <c r="I69" s="39">
        <v>44409</v>
      </c>
      <c r="J69" s="39">
        <v>44423</v>
      </c>
      <c r="K69" s="24">
        <f t="shared" si="4"/>
        <v>15</v>
      </c>
      <c r="L69" s="24">
        <f t="shared" si="5"/>
        <v>16952</v>
      </c>
      <c r="M69" s="24">
        <v>80625000</v>
      </c>
    </row>
    <row r="70" spans="1:13" s="5" customFormat="1" outlineLevel="2">
      <c r="A70" s="39" t="s">
        <v>78</v>
      </c>
      <c r="B70" s="40" t="s">
        <v>39</v>
      </c>
      <c r="C70" s="41" t="s">
        <v>60</v>
      </c>
      <c r="D70" s="40"/>
      <c r="E70" s="24"/>
      <c r="F70" s="39"/>
      <c r="G70" s="24">
        <v>80625000</v>
      </c>
      <c r="H70" s="23">
        <v>5.0000000000000001E-3</v>
      </c>
      <c r="I70" s="39">
        <v>44424</v>
      </c>
      <c r="J70" s="39">
        <v>44439</v>
      </c>
      <c r="K70" s="24">
        <f t="shared" si="4"/>
        <v>16</v>
      </c>
      <c r="L70" s="24">
        <f t="shared" si="5"/>
        <v>17671</v>
      </c>
      <c r="M70" s="24"/>
    </row>
    <row r="71" spans="1:13" s="5" customFormat="1" outlineLevel="2">
      <c r="A71" s="39" t="s">
        <v>78</v>
      </c>
      <c r="B71" s="40" t="s">
        <v>40</v>
      </c>
      <c r="C71" s="41" t="s">
        <v>93</v>
      </c>
      <c r="D71" s="40" t="s">
        <v>94</v>
      </c>
      <c r="E71" s="24">
        <v>7611996</v>
      </c>
      <c r="F71" s="39">
        <v>44151</v>
      </c>
      <c r="G71" s="24">
        <v>7611996</v>
      </c>
      <c r="H71" s="23">
        <v>5.0000000000000001E-3</v>
      </c>
      <c r="I71" s="39">
        <v>44409</v>
      </c>
      <c r="J71" s="39">
        <v>44439</v>
      </c>
      <c r="K71" s="24">
        <f t="shared" si="4"/>
        <v>31</v>
      </c>
      <c r="L71" s="24">
        <f t="shared" si="5"/>
        <v>3232</v>
      </c>
      <c r="M71" s="24">
        <v>7611996</v>
      </c>
    </row>
    <row r="72" spans="1:13" s="5" customFormat="1" outlineLevel="2">
      <c r="A72" s="39" t="s">
        <v>78</v>
      </c>
      <c r="B72" s="40" t="s">
        <v>41</v>
      </c>
      <c r="C72" s="41" t="s">
        <v>93</v>
      </c>
      <c r="D72" s="40" t="s">
        <v>94</v>
      </c>
      <c r="E72" s="24">
        <v>4900000</v>
      </c>
      <c r="F72" s="39">
        <v>44151</v>
      </c>
      <c r="G72" s="24">
        <v>4900000</v>
      </c>
      <c r="H72" s="23">
        <v>5.0000000000000001E-3</v>
      </c>
      <c r="I72" s="39">
        <v>44409</v>
      </c>
      <c r="J72" s="39">
        <v>44439</v>
      </c>
      <c r="K72" s="24">
        <f t="shared" si="4"/>
        <v>31</v>
      </c>
      <c r="L72" s="24">
        <f t="shared" si="5"/>
        <v>2081</v>
      </c>
      <c r="M72" s="24">
        <v>4900000</v>
      </c>
    </row>
    <row r="73" spans="1:13" s="5" customFormat="1" outlineLevel="2">
      <c r="A73" s="39" t="s">
        <v>78</v>
      </c>
      <c r="B73" s="40" t="s">
        <v>42</v>
      </c>
      <c r="C73" s="41" t="s">
        <v>93</v>
      </c>
      <c r="D73" s="40" t="s">
        <v>94</v>
      </c>
      <c r="E73" s="24">
        <v>21838392</v>
      </c>
      <c r="F73" s="39">
        <v>44151</v>
      </c>
      <c r="G73" s="24">
        <v>21838392</v>
      </c>
      <c r="H73" s="23">
        <v>5.0000000000000001E-3</v>
      </c>
      <c r="I73" s="39">
        <v>44409</v>
      </c>
      <c r="J73" s="39">
        <v>44439</v>
      </c>
      <c r="K73" s="24">
        <f t="shared" si="4"/>
        <v>31</v>
      </c>
      <c r="L73" s="24">
        <f t="shared" si="5"/>
        <v>9274</v>
      </c>
      <c r="M73" s="24">
        <v>21838392</v>
      </c>
    </row>
    <row r="74" spans="1:13" s="5" customFormat="1" outlineLevel="2">
      <c r="A74" s="39" t="s">
        <v>78</v>
      </c>
      <c r="B74" s="40" t="s">
        <v>43</v>
      </c>
      <c r="C74" s="41" t="s">
        <v>95</v>
      </c>
      <c r="D74" s="40" t="s">
        <v>96</v>
      </c>
      <c r="E74" s="24">
        <v>41950000</v>
      </c>
      <c r="F74" s="39">
        <v>44154</v>
      </c>
      <c r="G74" s="24">
        <v>41950000</v>
      </c>
      <c r="H74" s="23">
        <v>5.0000000000000001E-3</v>
      </c>
      <c r="I74" s="39">
        <v>44409</v>
      </c>
      <c r="J74" s="39">
        <v>44439</v>
      </c>
      <c r="K74" s="24">
        <f t="shared" si="4"/>
        <v>31</v>
      </c>
      <c r="L74" s="24">
        <f t="shared" si="5"/>
        <v>17814</v>
      </c>
      <c r="M74" s="24">
        <v>41950000</v>
      </c>
    </row>
    <row r="75" spans="1:13" s="5" customFormat="1" outlineLevel="2">
      <c r="A75" s="39" t="s">
        <v>78</v>
      </c>
      <c r="B75" s="40" t="s">
        <v>44</v>
      </c>
      <c r="C75" s="41" t="s">
        <v>95</v>
      </c>
      <c r="D75" s="40" t="s">
        <v>96</v>
      </c>
      <c r="E75" s="24">
        <v>30000000</v>
      </c>
      <c r="F75" s="39">
        <v>44154</v>
      </c>
      <c r="G75" s="24">
        <v>27142856</v>
      </c>
      <c r="H75" s="23">
        <v>5.0000000000000001E-3</v>
      </c>
      <c r="I75" s="39">
        <v>44409</v>
      </c>
      <c r="J75" s="39">
        <v>44423</v>
      </c>
      <c r="K75" s="24">
        <f t="shared" si="4"/>
        <v>15</v>
      </c>
      <c r="L75" s="24">
        <f t="shared" si="5"/>
        <v>5577</v>
      </c>
      <c r="M75" s="24">
        <v>26785713</v>
      </c>
    </row>
    <row r="76" spans="1:13" s="5" customFormat="1" outlineLevel="2">
      <c r="A76" s="39" t="s">
        <v>78</v>
      </c>
      <c r="B76" s="40" t="s">
        <v>44</v>
      </c>
      <c r="C76" s="41" t="s">
        <v>95</v>
      </c>
      <c r="D76" s="40"/>
      <c r="E76" s="24"/>
      <c r="F76" s="39"/>
      <c r="G76" s="24">
        <v>26785713</v>
      </c>
      <c r="H76" s="23">
        <v>5.0000000000000001E-3</v>
      </c>
      <c r="I76" s="39">
        <v>44424</v>
      </c>
      <c r="J76" s="39">
        <v>44439</v>
      </c>
      <c r="K76" s="24">
        <f t="shared" si="4"/>
        <v>16</v>
      </c>
      <c r="L76" s="24">
        <f t="shared" si="5"/>
        <v>5871</v>
      </c>
      <c r="M76" s="24"/>
    </row>
    <row r="77" spans="1:13" s="5" customFormat="1" outlineLevel="2">
      <c r="A77" s="39" t="s">
        <v>78</v>
      </c>
      <c r="B77" s="40" t="s">
        <v>47</v>
      </c>
      <c r="C77" s="41" t="s">
        <v>81</v>
      </c>
      <c r="D77" s="40" t="s">
        <v>82</v>
      </c>
      <c r="E77" s="24">
        <v>3490000</v>
      </c>
      <c r="F77" s="39">
        <v>44138</v>
      </c>
      <c r="G77" s="24">
        <v>2982360</v>
      </c>
      <c r="H77" s="23">
        <v>5.0000000000000001E-3</v>
      </c>
      <c r="I77" s="39">
        <v>44409</v>
      </c>
      <c r="J77" s="39">
        <v>44423</v>
      </c>
      <c r="K77" s="24">
        <f t="shared" si="4"/>
        <v>15</v>
      </c>
      <c r="L77" s="24">
        <f t="shared" si="5"/>
        <v>613</v>
      </c>
      <c r="M77" s="24">
        <v>2918905</v>
      </c>
    </row>
    <row r="78" spans="1:13" s="5" customFormat="1" outlineLevel="2">
      <c r="A78" s="39" t="s">
        <v>78</v>
      </c>
      <c r="B78" s="40" t="s">
        <v>47</v>
      </c>
      <c r="C78" s="41" t="s">
        <v>81</v>
      </c>
      <c r="D78" s="40"/>
      <c r="E78" s="24"/>
      <c r="F78" s="39"/>
      <c r="G78" s="24">
        <v>2918905</v>
      </c>
      <c r="H78" s="23">
        <v>5.0000000000000001E-3</v>
      </c>
      <c r="I78" s="39">
        <v>44424</v>
      </c>
      <c r="J78" s="39">
        <v>44439</v>
      </c>
      <c r="K78" s="24">
        <f t="shared" si="4"/>
        <v>16</v>
      </c>
      <c r="L78" s="24">
        <f t="shared" si="5"/>
        <v>640</v>
      </c>
      <c r="M78" s="24"/>
    </row>
    <row r="79" spans="1:13" s="5" customFormat="1" outlineLevel="2">
      <c r="A79" s="39" t="s">
        <v>78</v>
      </c>
      <c r="B79" s="40" t="s">
        <v>50</v>
      </c>
      <c r="C79" s="41" t="s">
        <v>81</v>
      </c>
      <c r="D79" s="40" t="s">
        <v>82</v>
      </c>
      <c r="E79" s="24">
        <v>1970000</v>
      </c>
      <c r="F79" s="39">
        <v>44147</v>
      </c>
      <c r="G79" s="24">
        <v>1683448</v>
      </c>
      <c r="H79" s="23">
        <v>5.0000000000000001E-3</v>
      </c>
      <c r="I79" s="39">
        <v>44409</v>
      </c>
      <c r="J79" s="39">
        <v>44423</v>
      </c>
      <c r="K79" s="24">
        <f t="shared" si="4"/>
        <v>15</v>
      </c>
      <c r="L79" s="24">
        <f t="shared" si="5"/>
        <v>346</v>
      </c>
      <c r="M79" s="24">
        <v>1647629</v>
      </c>
    </row>
    <row r="80" spans="1:13" s="5" customFormat="1" outlineLevel="2">
      <c r="A80" s="39" t="s">
        <v>78</v>
      </c>
      <c r="B80" s="40" t="s">
        <v>50</v>
      </c>
      <c r="C80" s="41" t="s">
        <v>81</v>
      </c>
      <c r="D80" s="40"/>
      <c r="E80" s="24"/>
      <c r="F80" s="39"/>
      <c r="G80" s="24">
        <v>1647629</v>
      </c>
      <c r="H80" s="23">
        <v>5.0000000000000001E-3</v>
      </c>
      <c r="I80" s="39">
        <v>44424</v>
      </c>
      <c r="J80" s="39">
        <v>44439</v>
      </c>
      <c r="K80" s="24">
        <f t="shared" si="4"/>
        <v>16</v>
      </c>
      <c r="L80" s="24">
        <f t="shared" si="5"/>
        <v>361</v>
      </c>
      <c r="M80" s="24"/>
    </row>
    <row r="81" spans="1:13" s="5" customFormat="1" outlineLevel="2">
      <c r="A81" s="39" t="s">
        <v>78</v>
      </c>
      <c r="B81" s="40" t="s">
        <v>51</v>
      </c>
      <c r="C81" s="41" t="s">
        <v>93</v>
      </c>
      <c r="D81" s="40" t="s">
        <v>94</v>
      </c>
      <c r="E81" s="24">
        <v>20979731</v>
      </c>
      <c r="F81" s="39">
        <v>44167</v>
      </c>
      <c r="G81" s="24">
        <v>20979731</v>
      </c>
      <c r="H81" s="23">
        <v>5.0000000000000001E-3</v>
      </c>
      <c r="I81" s="39">
        <v>44409</v>
      </c>
      <c r="J81" s="39">
        <v>44439</v>
      </c>
      <c r="K81" s="24">
        <f t="shared" si="4"/>
        <v>31</v>
      </c>
      <c r="L81" s="24">
        <f t="shared" si="5"/>
        <v>8909</v>
      </c>
      <c r="M81" s="24">
        <v>20979731</v>
      </c>
    </row>
    <row r="82" spans="1:13" s="5" customFormat="1" outlineLevel="2">
      <c r="A82" s="39" t="s">
        <v>78</v>
      </c>
      <c r="B82" s="40" t="s">
        <v>52</v>
      </c>
      <c r="C82" s="41" t="s">
        <v>93</v>
      </c>
      <c r="D82" s="40" t="s">
        <v>94</v>
      </c>
      <c r="E82" s="24">
        <v>15036832</v>
      </c>
      <c r="F82" s="39">
        <v>44181</v>
      </c>
      <c r="G82" s="24">
        <v>15036832</v>
      </c>
      <c r="H82" s="23">
        <v>5.0000000000000001E-3</v>
      </c>
      <c r="I82" s="39">
        <v>44409</v>
      </c>
      <c r="J82" s="39">
        <v>44439</v>
      </c>
      <c r="K82" s="24">
        <f t="shared" si="4"/>
        <v>31</v>
      </c>
      <c r="L82" s="24">
        <f t="shared" si="5"/>
        <v>6386</v>
      </c>
      <c r="M82" s="24">
        <v>15036832</v>
      </c>
    </row>
    <row r="83" spans="1:13" s="5" customFormat="1" outlineLevel="2">
      <c r="A83" s="39" t="s">
        <v>78</v>
      </c>
      <c r="B83" s="40" t="s">
        <v>53</v>
      </c>
      <c r="C83" s="41" t="s">
        <v>93</v>
      </c>
      <c r="D83" s="40" t="s">
        <v>94</v>
      </c>
      <c r="E83" s="24">
        <v>2070415</v>
      </c>
      <c r="F83" s="39">
        <v>44193</v>
      </c>
      <c r="G83" s="24">
        <v>2070415</v>
      </c>
      <c r="H83" s="23">
        <v>5.0000000000000001E-3</v>
      </c>
      <c r="I83" s="39">
        <v>44409</v>
      </c>
      <c r="J83" s="39">
        <v>44439</v>
      </c>
      <c r="K83" s="24">
        <f t="shared" si="4"/>
        <v>31</v>
      </c>
      <c r="L83" s="24">
        <f t="shared" si="5"/>
        <v>879</v>
      </c>
      <c r="M83" s="24">
        <v>2070415</v>
      </c>
    </row>
    <row r="84" spans="1:13" s="5" customFormat="1" outlineLevel="2">
      <c r="A84" s="39" t="s">
        <v>78</v>
      </c>
      <c r="B84" s="40" t="s">
        <v>54</v>
      </c>
      <c r="C84" s="41" t="s">
        <v>55</v>
      </c>
      <c r="D84" s="40" t="s">
        <v>56</v>
      </c>
      <c r="E84" s="24">
        <v>23500000</v>
      </c>
      <c r="F84" s="39">
        <v>43928</v>
      </c>
      <c r="G84" s="24">
        <v>19023792</v>
      </c>
      <c r="H84" s="23">
        <v>5.0000000000000001E-3</v>
      </c>
      <c r="I84" s="39">
        <v>44409</v>
      </c>
      <c r="J84" s="39">
        <v>44423</v>
      </c>
      <c r="K84" s="24">
        <f t="shared" si="4"/>
        <v>15</v>
      </c>
      <c r="L84" s="24">
        <f t="shared" si="5"/>
        <v>3909</v>
      </c>
      <c r="M84" s="24">
        <v>18744029</v>
      </c>
    </row>
    <row r="85" spans="1:13" s="5" customFormat="1" outlineLevel="2">
      <c r="A85" s="39" t="s">
        <v>78</v>
      </c>
      <c r="B85" s="40" t="s">
        <v>54</v>
      </c>
      <c r="C85" s="41" t="s">
        <v>55</v>
      </c>
      <c r="D85" s="40"/>
      <c r="E85" s="24"/>
      <c r="F85" s="39"/>
      <c r="G85" s="24">
        <v>18744029</v>
      </c>
      <c r="H85" s="23">
        <v>5.0000000000000001E-3</v>
      </c>
      <c r="I85" s="39">
        <v>44424</v>
      </c>
      <c r="J85" s="39">
        <v>44439</v>
      </c>
      <c r="K85" s="24">
        <f t="shared" si="4"/>
        <v>16</v>
      </c>
      <c r="L85" s="24">
        <f t="shared" si="5"/>
        <v>4108</v>
      </c>
      <c r="M85" s="24"/>
    </row>
    <row r="86" spans="1:13" s="5" customFormat="1" outlineLevel="2">
      <c r="A86" s="39" t="s">
        <v>78</v>
      </c>
      <c r="B86" s="40" t="s">
        <v>57</v>
      </c>
      <c r="C86" s="41" t="s">
        <v>83</v>
      </c>
      <c r="D86" s="40" t="s">
        <v>84</v>
      </c>
      <c r="E86" s="24">
        <v>125000000</v>
      </c>
      <c r="F86" s="39">
        <v>44189</v>
      </c>
      <c r="G86" s="24">
        <v>125000000</v>
      </c>
      <c r="H86" s="23">
        <v>5.0000000000000001E-3</v>
      </c>
      <c r="I86" s="39">
        <v>44409</v>
      </c>
      <c r="J86" s="39">
        <v>44439</v>
      </c>
      <c r="K86" s="24">
        <f t="shared" si="4"/>
        <v>31</v>
      </c>
      <c r="L86" s="24">
        <f t="shared" si="5"/>
        <v>53082</v>
      </c>
      <c r="M86" s="24">
        <v>125000000</v>
      </c>
    </row>
    <row r="87" spans="1:13" s="5" customFormat="1" outlineLevel="2">
      <c r="A87" s="39" t="s">
        <v>78</v>
      </c>
      <c r="B87" s="40" t="s">
        <v>58</v>
      </c>
      <c r="C87" s="41" t="s">
        <v>97</v>
      </c>
      <c r="D87" s="40" t="s">
        <v>98</v>
      </c>
      <c r="E87" s="24">
        <v>51800000</v>
      </c>
      <c r="F87" s="39">
        <v>44180</v>
      </c>
      <c r="G87" s="24">
        <v>51800000</v>
      </c>
      <c r="H87" s="23">
        <v>5.0000000000000001E-3</v>
      </c>
      <c r="I87" s="39">
        <v>44409</v>
      </c>
      <c r="J87" s="39">
        <v>44439</v>
      </c>
      <c r="K87" s="24">
        <f t="shared" ref="K87:K118" si="6">J87-I87+1</f>
        <v>31</v>
      </c>
      <c r="L87" s="24">
        <f t="shared" ref="L87:L118" si="7">ROUND(G87*H87*K87/365,0)</f>
        <v>21997</v>
      </c>
      <c r="M87" s="24">
        <v>51800000</v>
      </c>
    </row>
    <row r="88" spans="1:13" s="5" customFormat="1" outlineLevel="2">
      <c r="A88" s="39" t="s">
        <v>78</v>
      </c>
      <c r="B88" s="40" t="s">
        <v>99</v>
      </c>
      <c r="C88" s="41" t="s">
        <v>91</v>
      </c>
      <c r="D88" s="40" t="s">
        <v>92</v>
      </c>
      <c r="E88" s="24">
        <v>25000000</v>
      </c>
      <c r="F88" s="39">
        <v>44180</v>
      </c>
      <c r="G88" s="24">
        <v>25000000</v>
      </c>
      <c r="H88" s="23">
        <v>5.0000000000000001E-3</v>
      </c>
      <c r="I88" s="39">
        <v>44409</v>
      </c>
      <c r="J88" s="39">
        <v>44439</v>
      </c>
      <c r="K88" s="24">
        <f t="shared" si="6"/>
        <v>31</v>
      </c>
      <c r="L88" s="24">
        <f t="shared" si="7"/>
        <v>10616</v>
      </c>
      <c r="M88" s="24">
        <v>25000000</v>
      </c>
    </row>
    <row r="89" spans="1:13" s="5" customFormat="1" outlineLevel="2">
      <c r="A89" s="39" t="s">
        <v>78</v>
      </c>
      <c r="B89" s="40" t="s">
        <v>100</v>
      </c>
      <c r="C89" s="41" t="s">
        <v>91</v>
      </c>
      <c r="D89" s="40" t="s">
        <v>92</v>
      </c>
      <c r="E89" s="24">
        <v>44000000</v>
      </c>
      <c r="F89" s="39">
        <v>44180</v>
      </c>
      <c r="G89" s="24">
        <v>44000000</v>
      </c>
      <c r="H89" s="23">
        <v>5.0000000000000001E-3</v>
      </c>
      <c r="I89" s="39">
        <v>44409</v>
      </c>
      <c r="J89" s="39">
        <v>44439</v>
      </c>
      <c r="K89" s="24">
        <f t="shared" si="6"/>
        <v>31</v>
      </c>
      <c r="L89" s="24">
        <f t="shared" si="7"/>
        <v>18685</v>
      </c>
      <c r="M89" s="24">
        <v>44000000</v>
      </c>
    </row>
    <row r="90" spans="1:13" s="5" customFormat="1" outlineLevel="2">
      <c r="A90" s="39" t="s">
        <v>78</v>
      </c>
      <c r="B90" s="40" t="s">
        <v>101</v>
      </c>
      <c r="C90" s="41" t="s">
        <v>95</v>
      </c>
      <c r="D90" s="40" t="s">
        <v>96</v>
      </c>
      <c r="E90" s="24">
        <v>129650000</v>
      </c>
      <c r="F90" s="39">
        <v>44195</v>
      </c>
      <c r="G90" s="24">
        <v>129650000</v>
      </c>
      <c r="H90" s="23">
        <v>5.0000000000000001E-3</v>
      </c>
      <c r="I90" s="39">
        <v>44409</v>
      </c>
      <c r="J90" s="39">
        <v>44439</v>
      </c>
      <c r="K90" s="24">
        <f t="shared" si="6"/>
        <v>31</v>
      </c>
      <c r="L90" s="24">
        <f t="shared" si="7"/>
        <v>55057</v>
      </c>
      <c r="M90" s="24">
        <v>129650000</v>
      </c>
    </row>
    <row r="91" spans="1:13" s="5" customFormat="1" outlineLevel="2">
      <c r="A91" s="39" t="s">
        <v>78</v>
      </c>
      <c r="B91" s="40" t="s">
        <v>102</v>
      </c>
      <c r="C91" s="41" t="s">
        <v>95</v>
      </c>
      <c r="D91" s="40" t="s">
        <v>96</v>
      </c>
      <c r="E91" s="24">
        <v>12000000</v>
      </c>
      <c r="F91" s="39">
        <v>44195</v>
      </c>
      <c r="G91" s="24">
        <v>10987947</v>
      </c>
      <c r="H91" s="23">
        <v>5.0000000000000001E-3</v>
      </c>
      <c r="I91" s="39">
        <v>44409</v>
      </c>
      <c r="J91" s="39">
        <v>44423</v>
      </c>
      <c r="K91" s="24">
        <f t="shared" si="6"/>
        <v>15</v>
      </c>
      <c r="L91" s="24">
        <f t="shared" si="7"/>
        <v>2258</v>
      </c>
      <c r="M91" s="24">
        <v>10843368</v>
      </c>
    </row>
    <row r="92" spans="1:13" s="5" customFormat="1" outlineLevel="2">
      <c r="A92" s="39" t="s">
        <v>78</v>
      </c>
      <c r="B92" s="40" t="s">
        <v>102</v>
      </c>
      <c r="C92" s="41" t="s">
        <v>95</v>
      </c>
      <c r="D92" s="40"/>
      <c r="E92" s="24"/>
      <c r="F92" s="39"/>
      <c r="G92" s="24">
        <v>10843368</v>
      </c>
      <c r="H92" s="23">
        <v>5.0000000000000001E-3</v>
      </c>
      <c r="I92" s="39">
        <v>44424</v>
      </c>
      <c r="J92" s="39">
        <v>44439</v>
      </c>
      <c r="K92" s="24">
        <f t="shared" si="6"/>
        <v>16</v>
      </c>
      <c r="L92" s="24">
        <f t="shared" si="7"/>
        <v>2377</v>
      </c>
      <c r="M92" s="24"/>
    </row>
    <row r="93" spans="1:13" s="5" customFormat="1" outlineLevel="2">
      <c r="A93" s="39" t="s">
        <v>78</v>
      </c>
      <c r="B93" s="40" t="s">
        <v>103</v>
      </c>
      <c r="C93" s="41" t="s">
        <v>66</v>
      </c>
      <c r="D93" s="40" t="s">
        <v>67</v>
      </c>
      <c r="E93" s="24">
        <v>144000000</v>
      </c>
      <c r="F93" s="39">
        <v>44196</v>
      </c>
      <c r="G93" s="24">
        <v>144000000</v>
      </c>
      <c r="H93" s="23">
        <v>5.0000000000000001E-3</v>
      </c>
      <c r="I93" s="39">
        <v>44409</v>
      </c>
      <c r="J93" s="39">
        <v>44439</v>
      </c>
      <c r="K93" s="24">
        <f t="shared" si="6"/>
        <v>31</v>
      </c>
      <c r="L93" s="24">
        <f t="shared" si="7"/>
        <v>61151</v>
      </c>
      <c r="M93" s="24">
        <v>144000000</v>
      </c>
    </row>
    <row r="94" spans="1:13" s="5" customFormat="1" outlineLevel="2">
      <c r="A94" s="39" t="s">
        <v>78</v>
      </c>
      <c r="B94" s="40" t="s">
        <v>104</v>
      </c>
      <c r="C94" s="41" t="s">
        <v>91</v>
      </c>
      <c r="D94" s="40" t="s">
        <v>92</v>
      </c>
      <c r="E94" s="24">
        <v>45000000</v>
      </c>
      <c r="F94" s="39">
        <v>44211</v>
      </c>
      <c r="G94" s="24">
        <v>45000000</v>
      </c>
      <c r="H94" s="23">
        <v>5.0000000000000001E-3</v>
      </c>
      <c r="I94" s="39">
        <v>44409</v>
      </c>
      <c r="J94" s="39">
        <v>44439</v>
      </c>
      <c r="K94" s="24">
        <f t="shared" si="6"/>
        <v>31</v>
      </c>
      <c r="L94" s="24">
        <f t="shared" si="7"/>
        <v>19110</v>
      </c>
      <c r="M94" s="24">
        <v>45000000</v>
      </c>
    </row>
    <row r="95" spans="1:13" s="5" customFormat="1" outlineLevel="2">
      <c r="A95" s="39" t="s">
        <v>78</v>
      </c>
      <c r="B95" s="40" t="s">
        <v>105</v>
      </c>
      <c r="C95" s="41" t="s">
        <v>91</v>
      </c>
      <c r="D95" s="40" t="s">
        <v>92</v>
      </c>
      <c r="E95" s="24">
        <v>31000000</v>
      </c>
      <c r="F95" s="39">
        <v>44211</v>
      </c>
      <c r="G95" s="24">
        <v>31000000</v>
      </c>
      <c r="H95" s="23">
        <v>5.0000000000000001E-3</v>
      </c>
      <c r="I95" s="39">
        <v>44409</v>
      </c>
      <c r="J95" s="39">
        <v>44439</v>
      </c>
      <c r="K95" s="24">
        <f t="shared" si="6"/>
        <v>31</v>
      </c>
      <c r="L95" s="24">
        <f t="shared" si="7"/>
        <v>13164</v>
      </c>
      <c r="M95" s="24">
        <v>31000000</v>
      </c>
    </row>
    <row r="96" spans="1:13" s="5" customFormat="1" outlineLevel="2">
      <c r="A96" s="39" t="s">
        <v>78</v>
      </c>
      <c r="B96" s="40" t="s">
        <v>106</v>
      </c>
      <c r="C96" s="41" t="s">
        <v>93</v>
      </c>
      <c r="D96" s="40" t="s">
        <v>94</v>
      </c>
      <c r="E96" s="24">
        <v>7174630</v>
      </c>
      <c r="F96" s="39">
        <v>44203</v>
      </c>
      <c r="G96" s="24">
        <v>7174630</v>
      </c>
      <c r="H96" s="23">
        <v>5.0000000000000001E-3</v>
      </c>
      <c r="I96" s="39">
        <v>44409</v>
      </c>
      <c r="J96" s="39">
        <v>44439</v>
      </c>
      <c r="K96" s="24">
        <f t="shared" si="6"/>
        <v>31</v>
      </c>
      <c r="L96" s="24">
        <f t="shared" si="7"/>
        <v>3047</v>
      </c>
      <c r="M96" s="24">
        <v>7174630</v>
      </c>
    </row>
    <row r="97" spans="1:13" s="5" customFormat="1" outlineLevel="2">
      <c r="A97" s="39" t="s">
        <v>78</v>
      </c>
      <c r="B97" s="40" t="s">
        <v>59</v>
      </c>
      <c r="C97" s="41" t="s">
        <v>81</v>
      </c>
      <c r="D97" s="40" t="s">
        <v>82</v>
      </c>
      <c r="E97" s="24">
        <v>7000000</v>
      </c>
      <c r="F97" s="39">
        <v>44004</v>
      </c>
      <c r="G97" s="24">
        <v>5483329</v>
      </c>
      <c r="H97" s="23">
        <v>5.0000000000000001E-3</v>
      </c>
      <c r="I97" s="39">
        <v>44409</v>
      </c>
      <c r="J97" s="39">
        <v>44423</v>
      </c>
      <c r="K97" s="24">
        <f t="shared" si="6"/>
        <v>15</v>
      </c>
      <c r="L97" s="24">
        <f t="shared" si="7"/>
        <v>1127</v>
      </c>
      <c r="M97" s="24">
        <v>5366662</v>
      </c>
    </row>
    <row r="98" spans="1:13" s="5" customFormat="1" outlineLevel="2">
      <c r="A98" s="39" t="s">
        <v>78</v>
      </c>
      <c r="B98" s="40" t="s">
        <v>59</v>
      </c>
      <c r="C98" s="41" t="s">
        <v>81</v>
      </c>
      <c r="D98" s="40"/>
      <c r="E98" s="24"/>
      <c r="F98" s="39"/>
      <c r="G98" s="24">
        <v>5366662</v>
      </c>
      <c r="H98" s="23">
        <v>5.0000000000000001E-3</v>
      </c>
      <c r="I98" s="39">
        <v>44424</v>
      </c>
      <c r="J98" s="39">
        <v>44439</v>
      </c>
      <c r="K98" s="24">
        <f t="shared" si="6"/>
        <v>16</v>
      </c>
      <c r="L98" s="24">
        <f t="shared" si="7"/>
        <v>1176</v>
      </c>
      <c r="M98" s="24"/>
    </row>
    <row r="99" spans="1:13" s="5" customFormat="1" outlineLevel="2">
      <c r="A99" s="39" t="s">
        <v>78</v>
      </c>
      <c r="B99" s="40" t="s">
        <v>136</v>
      </c>
      <c r="C99" s="41" t="s">
        <v>95</v>
      </c>
      <c r="D99" s="40" t="s">
        <v>96</v>
      </c>
      <c r="E99" s="24">
        <v>3650000</v>
      </c>
      <c r="F99" s="39">
        <v>44246</v>
      </c>
      <c r="G99" s="24">
        <v>3650000</v>
      </c>
      <c r="H99" s="23">
        <v>5.0000000000000001E-3</v>
      </c>
      <c r="I99" s="39">
        <v>44409</v>
      </c>
      <c r="J99" s="39">
        <v>44439</v>
      </c>
      <c r="K99" s="24">
        <f t="shared" si="6"/>
        <v>31</v>
      </c>
      <c r="L99" s="24">
        <f t="shared" si="7"/>
        <v>1550</v>
      </c>
      <c r="M99" s="24">
        <v>3650000</v>
      </c>
    </row>
    <row r="100" spans="1:13" s="5" customFormat="1" outlineLevel="2">
      <c r="A100" s="39" t="s">
        <v>78</v>
      </c>
      <c r="B100" s="40" t="s">
        <v>137</v>
      </c>
      <c r="C100" s="41" t="s">
        <v>93</v>
      </c>
      <c r="D100" s="40" t="s">
        <v>94</v>
      </c>
      <c r="E100" s="24">
        <v>1028354</v>
      </c>
      <c r="F100" s="39">
        <v>44236</v>
      </c>
      <c r="G100" s="24">
        <v>1028354</v>
      </c>
      <c r="H100" s="23">
        <v>5.0000000000000001E-3</v>
      </c>
      <c r="I100" s="39">
        <v>44409</v>
      </c>
      <c r="J100" s="39">
        <v>44439</v>
      </c>
      <c r="K100" s="24">
        <f t="shared" si="6"/>
        <v>31</v>
      </c>
      <c r="L100" s="24">
        <f t="shared" si="7"/>
        <v>437</v>
      </c>
      <c r="M100" s="24">
        <v>1028354</v>
      </c>
    </row>
    <row r="101" spans="1:13" s="5" customFormat="1" outlineLevel="2">
      <c r="A101" s="39" t="s">
        <v>78</v>
      </c>
      <c r="B101" s="40" t="s">
        <v>138</v>
      </c>
      <c r="C101" s="41" t="s">
        <v>93</v>
      </c>
      <c r="D101" s="40" t="s">
        <v>94</v>
      </c>
      <c r="E101" s="24">
        <v>1983370</v>
      </c>
      <c r="F101" s="39">
        <v>44246</v>
      </c>
      <c r="G101" s="24">
        <v>1983370</v>
      </c>
      <c r="H101" s="23">
        <v>5.0000000000000001E-3</v>
      </c>
      <c r="I101" s="39">
        <v>44409</v>
      </c>
      <c r="J101" s="39">
        <v>44439</v>
      </c>
      <c r="K101" s="24">
        <f t="shared" si="6"/>
        <v>31</v>
      </c>
      <c r="L101" s="24">
        <f t="shared" si="7"/>
        <v>842</v>
      </c>
      <c r="M101" s="24">
        <v>1983370</v>
      </c>
    </row>
    <row r="102" spans="1:13" s="5" customFormat="1" outlineLevel="2">
      <c r="A102" s="39" t="s">
        <v>78</v>
      </c>
      <c r="B102" s="40" t="s">
        <v>139</v>
      </c>
      <c r="C102" s="41" t="s">
        <v>306</v>
      </c>
      <c r="D102" s="40" t="s">
        <v>305</v>
      </c>
      <c r="E102" s="24">
        <v>10000000</v>
      </c>
      <c r="F102" s="39">
        <v>44252</v>
      </c>
      <c r="G102" s="24">
        <v>10000000</v>
      </c>
      <c r="H102" s="23">
        <v>5.0000000000000001E-3</v>
      </c>
      <c r="I102" s="39">
        <v>44409</v>
      </c>
      <c r="J102" s="39">
        <v>44439</v>
      </c>
      <c r="K102" s="24">
        <f t="shared" si="6"/>
        <v>31</v>
      </c>
      <c r="L102" s="24">
        <f t="shared" si="7"/>
        <v>4247</v>
      </c>
      <c r="M102" s="24">
        <v>10000000</v>
      </c>
    </row>
    <row r="103" spans="1:13" s="5" customFormat="1" outlineLevel="2">
      <c r="A103" s="39" t="s">
        <v>78</v>
      </c>
      <c r="B103" s="40" t="s">
        <v>140</v>
      </c>
      <c r="C103" s="41" t="s">
        <v>85</v>
      </c>
      <c r="D103" s="40" t="s">
        <v>86</v>
      </c>
      <c r="E103" s="24">
        <v>67620000</v>
      </c>
      <c r="F103" s="39">
        <v>44253</v>
      </c>
      <c r="G103" s="24">
        <v>67620000</v>
      </c>
      <c r="H103" s="23">
        <v>5.0000000000000001E-3</v>
      </c>
      <c r="I103" s="39">
        <v>44409</v>
      </c>
      <c r="J103" s="39">
        <v>44439</v>
      </c>
      <c r="K103" s="24">
        <f t="shared" si="6"/>
        <v>31</v>
      </c>
      <c r="L103" s="24">
        <f t="shared" si="7"/>
        <v>28715</v>
      </c>
      <c r="M103" s="24">
        <v>67620000</v>
      </c>
    </row>
    <row r="104" spans="1:13" s="5" customFormat="1" outlineLevel="2">
      <c r="A104" s="39" t="s">
        <v>78</v>
      </c>
      <c r="B104" s="40" t="s">
        <v>169</v>
      </c>
      <c r="C104" s="41" t="s">
        <v>91</v>
      </c>
      <c r="D104" s="40" t="s">
        <v>92</v>
      </c>
      <c r="E104" s="24">
        <v>33000000</v>
      </c>
      <c r="F104" s="39">
        <v>44270</v>
      </c>
      <c r="G104" s="24">
        <v>33000000</v>
      </c>
      <c r="H104" s="23">
        <v>5.0000000000000001E-3</v>
      </c>
      <c r="I104" s="39">
        <v>44409</v>
      </c>
      <c r="J104" s="39">
        <v>44439</v>
      </c>
      <c r="K104" s="24">
        <f t="shared" si="6"/>
        <v>31</v>
      </c>
      <c r="L104" s="24">
        <f t="shared" si="7"/>
        <v>14014</v>
      </c>
      <c r="M104" s="24">
        <v>33000000</v>
      </c>
    </row>
    <row r="105" spans="1:13" s="5" customFormat="1" outlineLevel="2">
      <c r="A105" s="39" t="s">
        <v>78</v>
      </c>
      <c r="B105" s="40" t="s">
        <v>170</v>
      </c>
      <c r="C105" s="41" t="s">
        <v>91</v>
      </c>
      <c r="D105" s="40" t="s">
        <v>92</v>
      </c>
      <c r="E105" s="24">
        <v>38900000</v>
      </c>
      <c r="F105" s="39">
        <v>44270</v>
      </c>
      <c r="G105" s="24">
        <v>38900000</v>
      </c>
      <c r="H105" s="23">
        <v>5.0000000000000001E-3</v>
      </c>
      <c r="I105" s="39">
        <v>44409</v>
      </c>
      <c r="J105" s="39">
        <v>44439</v>
      </c>
      <c r="K105" s="24">
        <f t="shared" si="6"/>
        <v>31</v>
      </c>
      <c r="L105" s="24">
        <f t="shared" si="7"/>
        <v>16519</v>
      </c>
      <c r="M105" s="24">
        <v>38900000</v>
      </c>
    </row>
    <row r="106" spans="1:13" s="5" customFormat="1" outlineLevel="2">
      <c r="A106" s="39" t="s">
        <v>78</v>
      </c>
      <c r="B106" s="40" t="s">
        <v>171</v>
      </c>
      <c r="C106" s="41" t="s">
        <v>81</v>
      </c>
      <c r="D106" s="40" t="s">
        <v>82</v>
      </c>
      <c r="E106" s="24">
        <v>6800000</v>
      </c>
      <c r="F106" s="39">
        <v>44272</v>
      </c>
      <c r="G106" s="24">
        <v>6266664</v>
      </c>
      <c r="H106" s="23">
        <v>5.0000000000000001E-3</v>
      </c>
      <c r="I106" s="39">
        <v>44409</v>
      </c>
      <c r="J106" s="39">
        <v>44423</v>
      </c>
      <c r="K106" s="24">
        <f t="shared" si="6"/>
        <v>15</v>
      </c>
      <c r="L106" s="24">
        <f t="shared" si="7"/>
        <v>1288</v>
      </c>
      <c r="M106" s="24">
        <v>6133330</v>
      </c>
    </row>
    <row r="107" spans="1:13" s="5" customFormat="1" outlineLevel="2">
      <c r="A107" s="39" t="s">
        <v>78</v>
      </c>
      <c r="B107" s="40" t="s">
        <v>171</v>
      </c>
      <c r="C107" s="41" t="s">
        <v>81</v>
      </c>
      <c r="D107" s="40"/>
      <c r="E107" s="24"/>
      <c r="F107" s="39"/>
      <c r="G107" s="24">
        <v>6133330</v>
      </c>
      <c r="H107" s="23">
        <v>5.0000000000000001E-3</v>
      </c>
      <c r="I107" s="39">
        <v>44424</v>
      </c>
      <c r="J107" s="39">
        <v>44439</v>
      </c>
      <c r="K107" s="24">
        <f t="shared" si="6"/>
        <v>16</v>
      </c>
      <c r="L107" s="24">
        <f t="shared" si="7"/>
        <v>1344</v>
      </c>
      <c r="M107" s="24"/>
    </row>
    <row r="108" spans="1:13" s="5" customFormat="1" outlineLevel="2">
      <c r="A108" s="39" t="s">
        <v>78</v>
      </c>
      <c r="B108" s="40" t="s">
        <v>172</v>
      </c>
      <c r="C108" s="41" t="s">
        <v>81</v>
      </c>
      <c r="D108" s="40" t="s">
        <v>82</v>
      </c>
      <c r="E108" s="24">
        <v>5540000</v>
      </c>
      <c r="F108" s="39">
        <v>44285</v>
      </c>
      <c r="G108" s="24">
        <v>5105488</v>
      </c>
      <c r="H108" s="23">
        <v>5.0000000000000001E-3</v>
      </c>
      <c r="I108" s="39">
        <v>44409</v>
      </c>
      <c r="J108" s="39">
        <v>44423</v>
      </c>
      <c r="K108" s="24">
        <f t="shared" si="6"/>
        <v>15</v>
      </c>
      <c r="L108" s="24">
        <f t="shared" si="7"/>
        <v>1049</v>
      </c>
      <c r="M108" s="24">
        <v>4996860</v>
      </c>
    </row>
    <row r="109" spans="1:13" s="5" customFormat="1" outlineLevel="2">
      <c r="A109" s="39" t="s">
        <v>78</v>
      </c>
      <c r="B109" s="40" t="s">
        <v>172</v>
      </c>
      <c r="C109" s="41" t="s">
        <v>81</v>
      </c>
      <c r="D109" s="40"/>
      <c r="E109" s="24"/>
      <c r="F109" s="39"/>
      <c r="G109" s="24">
        <v>4996860</v>
      </c>
      <c r="H109" s="23">
        <v>5.0000000000000001E-3</v>
      </c>
      <c r="I109" s="39">
        <v>44424</v>
      </c>
      <c r="J109" s="39">
        <v>44439</v>
      </c>
      <c r="K109" s="24">
        <f t="shared" si="6"/>
        <v>16</v>
      </c>
      <c r="L109" s="24">
        <f t="shared" si="7"/>
        <v>1095</v>
      </c>
      <c r="M109" s="24"/>
    </row>
    <row r="110" spans="1:13" s="5" customFormat="1" outlineLevel="2">
      <c r="A110" s="39" t="s">
        <v>78</v>
      </c>
      <c r="B110" s="40" t="s">
        <v>173</v>
      </c>
      <c r="C110" s="41" t="s">
        <v>337</v>
      </c>
      <c r="D110" s="40" t="s">
        <v>336</v>
      </c>
      <c r="E110" s="24">
        <v>30000000</v>
      </c>
      <c r="F110" s="39">
        <v>44286</v>
      </c>
      <c r="G110" s="24">
        <v>28000000</v>
      </c>
      <c r="H110" s="23">
        <v>5.0000000000000001E-3</v>
      </c>
      <c r="I110" s="39">
        <v>44409</v>
      </c>
      <c r="J110" s="39">
        <v>44423</v>
      </c>
      <c r="K110" s="24">
        <f t="shared" si="6"/>
        <v>15</v>
      </c>
      <c r="L110" s="24">
        <f t="shared" si="7"/>
        <v>5753</v>
      </c>
      <c r="M110" s="24">
        <v>27500000</v>
      </c>
    </row>
    <row r="111" spans="1:13" s="5" customFormat="1" outlineLevel="2">
      <c r="A111" s="39" t="s">
        <v>78</v>
      </c>
      <c r="B111" s="40" t="s">
        <v>173</v>
      </c>
      <c r="C111" s="41" t="s">
        <v>337</v>
      </c>
      <c r="D111" s="40"/>
      <c r="E111" s="24"/>
      <c r="F111" s="39"/>
      <c r="G111" s="24">
        <v>27500000</v>
      </c>
      <c r="H111" s="23">
        <v>5.0000000000000001E-3</v>
      </c>
      <c r="I111" s="39">
        <v>44424</v>
      </c>
      <c r="J111" s="39">
        <v>44439</v>
      </c>
      <c r="K111" s="24">
        <f t="shared" si="6"/>
        <v>16</v>
      </c>
      <c r="L111" s="24">
        <f t="shared" si="7"/>
        <v>6027</v>
      </c>
      <c r="M111" s="24"/>
    </row>
    <row r="112" spans="1:13" s="5" customFormat="1" outlineLevel="2">
      <c r="A112" s="39" t="s">
        <v>78</v>
      </c>
      <c r="B112" s="40" t="s">
        <v>62</v>
      </c>
      <c r="C112" s="41" t="s">
        <v>83</v>
      </c>
      <c r="D112" s="40" t="s">
        <v>84</v>
      </c>
      <c r="E112" s="24">
        <v>298410000</v>
      </c>
      <c r="F112" s="39">
        <v>44006</v>
      </c>
      <c r="G112" s="24">
        <v>298410000</v>
      </c>
      <c r="H112" s="23">
        <v>5.0000000000000001E-3</v>
      </c>
      <c r="I112" s="39">
        <v>44409</v>
      </c>
      <c r="J112" s="39">
        <v>44439</v>
      </c>
      <c r="K112" s="24">
        <f t="shared" si="6"/>
        <v>31</v>
      </c>
      <c r="L112" s="24">
        <f t="shared" si="7"/>
        <v>126722</v>
      </c>
      <c r="M112" s="24">
        <v>298410000</v>
      </c>
    </row>
    <row r="113" spans="1:13" s="5" customFormat="1" outlineLevel="2">
      <c r="A113" s="39" t="s">
        <v>78</v>
      </c>
      <c r="B113" s="40" t="s">
        <v>174</v>
      </c>
      <c r="C113" s="41" t="s">
        <v>155</v>
      </c>
      <c r="D113" s="40" t="s">
        <v>156</v>
      </c>
      <c r="E113" s="24">
        <v>120000000</v>
      </c>
      <c r="F113" s="39">
        <v>44270</v>
      </c>
      <c r="G113" s="24">
        <v>120000000</v>
      </c>
      <c r="H113" s="23">
        <v>5.0000000000000001E-3</v>
      </c>
      <c r="I113" s="39">
        <v>44409</v>
      </c>
      <c r="J113" s="39">
        <v>44439</v>
      </c>
      <c r="K113" s="24">
        <f t="shared" si="6"/>
        <v>31</v>
      </c>
      <c r="L113" s="24">
        <f t="shared" si="7"/>
        <v>50959</v>
      </c>
      <c r="M113" s="24">
        <v>120000000</v>
      </c>
    </row>
    <row r="114" spans="1:13" s="5" customFormat="1" outlineLevel="2">
      <c r="A114" s="39" t="s">
        <v>78</v>
      </c>
      <c r="B114" s="40" t="s">
        <v>175</v>
      </c>
      <c r="C114" s="41" t="s">
        <v>91</v>
      </c>
      <c r="D114" s="40" t="s">
        <v>92</v>
      </c>
      <c r="E114" s="24">
        <v>30400000</v>
      </c>
      <c r="F114" s="39">
        <v>44301</v>
      </c>
      <c r="G114" s="24">
        <v>30400000</v>
      </c>
      <c r="H114" s="23">
        <v>5.0000000000000001E-3</v>
      </c>
      <c r="I114" s="39">
        <v>44409</v>
      </c>
      <c r="J114" s="39">
        <v>44439</v>
      </c>
      <c r="K114" s="24">
        <f t="shared" si="6"/>
        <v>31</v>
      </c>
      <c r="L114" s="24">
        <f t="shared" si="7"/>
        <v>12910</v>
      </c>
      <c r="M114" s="24">
        <v>30400000</v>
      </c>
    </row>
    <row r="115" spans="1:13" s="5" customFormat="1" outlineLevel="2">
      <c r="A115" s="39" t="s">
        <v>78</v>
      </c>
      <c r="B115" s="40" t="s">
        <v>176</v>
      </c>
      <c r="C115" s="41" t="s">
        <v>337</v>
      </c>
      <c r="D115" s="40" t="s">
        <v>336</v>
      </c>
      <c r="E115" s="24">
        <v>20000000</v>
      </c>
      <c r="F115" s="39">
        <v>44315</v>
      </c>
      <c r="G115" s="24">
        <v>18983051</v>
      </c>
      <c r="H115" s="23">
        <v>5.0000000000000001E-3</v>
      </c>
      <c r="I115" s="39">
        <v>44409</v>
      </c>
      <c r="J115" s="39">
        <v>44423</v>
      </c>
      <c r="K115" s="24">
        <f t="shared" si="6"/>
        <v>15</v>
      </c>
      <c r="L115" s="24">
        <f t="shared" si="7"/>
        <v>3901</v>
      </c>
      <c r="M115" s="24">
        <v>18644068</v>
      </c>
    </row>
    <row r="116" spans="1:13" s="5" customFormat="1" outlineLevel="2">
      <c r="A116" s="39" t="s">
        <v>78</v>
      </c>
      <c r="B116" s="40" t="s">
        <v>176</v>
      </c>
      <c r="C116" s="41" t="s">
        <v>337</v>
      </c>
      <c r="D116" s="40"/>
      <c r="E116" s="24"/>
      <c r="F116" s="39"/>
      <c r="G116" s="24">
        <v>18644068</v>
      </c>
      <c r="H116" s="23">
        <v>5.0000000000000001E-3</v>
      </c>
      <c r="I116" s="39">
        <v>44424</v>
      </c>
      <c r="J116" s="39">
        <v>44439</v>
      </c>
      <c r="K116" s="24">
        <f t="shared" si="6"/>
        <v>16</v>
      </c>
      <c r="L116" s="24">
        <f t="shared" si="7"/>
        <v>4086</v>
      </c>
      <c r="M116" s="24"/>
    </row>
    <row r="117" spans="1:13" s="5" customFormat="1" outlineLevel="2">
      <c r="A117" s="39" t="s">
        <v>78</v>
      </c>
      <c r="B117" s="40" t="s">
        <v>177</v>
      </c>
      <c r="C117" s="41" t="s">
        <v>85</v>
      </c>
      <c r="D117" s="40" t="s">
        <v>86</v>
      </c>
      <c r="E117" s="24">
        <v>50000000</v>
      </c>
      <c r="F117" s="39">
        <v>44315</v>
      </c>
      <c r="G117" s="24">
        <v>50000000</v>
      </c>
      <c r="H117" s="23">
        <v>5.0000000000000001E-3</v>
      </c>
      <c r="I117" s="39">
        <v>44409</v>
      </c>
      <c r="J117" s="39">
        <v>44439</v>
      </c>
      <c r="K117" s="24">
        <f t="shared" si="6"/>
        <v>31</v>
      </c>
      <c r="L117" s="24">
        <f t="shared" si="7"/>
        <v>21233</v>
      </c>
      <c r="M117" s="24">
        <v>50000000</v>
      </c>
    </row>
    <row r="118" spans="1:13" s="5" customFormat="1" outlineLevel="2">
      <c r="A118" s="39" t="s">
        <v>78</v>
      </c>
      <c r="B118" s="40" t="s">
        <v>178</v>
      </c>
      <c r="C118" s="41" t="s">
        <v>351</v>
      </c>
      <c r="D118" s="40" t="s">
        <v>350</v>
      </c>
      <c r="E118" s="24">
        <v>8600000</v>
      </c>
      <c r="F118" s="39">
        <v>44312</v>
      </c>
      <c r="G118" s="24">
        <v>8600000</v>
      </c>
      <c r="H118" s="23">
        <v>5.0000000000000001E-3</v>
      </c>
      <c r="I118" s="39">
        <v>44409</v>
      </c>
      <c r="J118" s="39">
        <v>44439</v>
      </c>
      <c r="K118" s="24">
        <f t="shared" si="6"/>
        <v>31</v>
      </c>
      <c r="L118" s="24">
        <f t="shared" si="7"/>
        <v>3652</v>
      </c>
      <c r="M118" s="24">
        <v>8600000</v>
      </c>
    </row>
    <row r="119" spans="1:13" s="5" customFormat="1" outlineLevel="2">
      <c r="A119" s="39" t="s">
        <v>78</v>
      </c>
      <c r="B119" s="40" t="s">
        <v>179</v>
      </c>
      <c r="C119" s="41" t="s">
        <v>93</v>
      </c>
      <c r="D119" s="40" t="s">
        <v>94</v>
      </c>
      <c r="E119" s="24">
        <v>6174000</v>
      </c>
      <c r="F119" s="39">
        <v>44326</v>
      </c>
      <c r="G119" s="24">
        <v>6174000</v>
      </c>
      <c r="H119" s="23">
        <v>5.0000000000000001E-3</v>
      </c>
      <c r="I119" s="39">
        <v>44409</v>
      </c>
      <c r="J119" s="39">
        <v>44439</v>
      </c>
      <c r="K119" s="24">
        <f t="shared" ref="K119:K150" si="8">J119-I119+1</f>
        <v>31</v>
      </c>
      <c r="L119" s="24">
        <f t="shared" ref="L119:L150" si="9">ROUND(G119*H119*K119/365,0)</f>
        <v>2622</v>
      </c>
      <c r="M119" s="24">
        <v>6174000</v>
      </c>
    </row>
    <row r="120" spans="1:13" s="5" customFormat="1" outlineLevel="2">
      <c r="A120" s="39" t="s">
        <v>78</v>
      </c>
      <c r="B120" s="40" t="s">
        <v>180</v>
      </c>
      <c r="C120" s="41" t="s">
        <v>91</v>
      </c>
      <c r="D120" s="40" t="s">
        <v>92</v>
      </c>
      <c r="E120" s="24">
        <v>50700000</v>
      </c>
      <c r="F120" s="39">
        <v>44333</v>
      </c>
      <c r="G120" s="24">
        <v>50700000</v>
      </c>
      <c r="H120" s="23">
        <v>5.0000000000000001E-3</v>
      </c>
      <c r="I120" s="39">
        <v>44409</v>
      </c>
      <c r="J120" s="39">
        <v>44439</v>
      </c>
      <c r="K120" s="24">
        <f t="shared" si="8"/>
        <v>31</v>
      </c>
      <c r="L120" s="24">
        <f t="shared" si="9"/>
        <v>21530</v>
      </c>
      <c r="M120" s="24">
        <v>50700000</v>
      </c>
    </row>
    <row r="121" spans="1:13" s="5" customFormat="1" outlineLevel="2">
      <c r="A121" s="39" t="s">
        <v>78</v>
      </c>
      <c r="B121" s="40" t="s">
        <v>181</v>
      </c>
      <c r="C121" s="41" t="s">
        <v>91</v>
      </c>
      <c r="D121" s="40" t="s">
        <v>92</v>
      </c>
      <c r="E121" s="24">
        <v>1700000</v>
      </c>
      <c r="F121" s="39">
        <v>44333</v>
      </c>
      <c r="G121" s="24">
        <v>1700000</v>
      </c>
      <c r="H121" s="23">
        <v>5.0000000000000001E-3</v>
      </c>
      <c r="I121" s="39">
        <v>44409</v>
      </c>
      <c r="J121" s="39">
        <v>44439</v>
      </c>
      <c r="K121" s="24">
        <f t="shared" si="8"/>
        <v>31</v>
      </c>
      <c r="L121" s="24">
        <f t="shared" si="9"/>
        <v>722</v>
      </c>
      <c r="M121" s="24">
        <v>1700000</v>
      </c>
    </row>
    <row r="122" spans="1:13" s="5" customFormat="1" outlineLevel="2">
      <c r="A122" s="39" t="s">
        <v>78</v>
      </c>
      <c r="B122" s="40" t="s">
        <v>182</v>
      </c>
      <c r="C122" s="41" t="s">
        <v>351</v>
      </c>
      <c r="D122" s="40" t="s">
        <v>350</v>
      </c>
      <c r="E122" s="24">
        <v>6000000</v>
      </c>
      <c r="F122" s="39">
        <v>44335</v>
      </c>
      <c r="G122" s="24">
        <v>6000000</v>
      </c>
      <c r="H122" s="23">
        <v>5.0000000000000001E-3</v>
      </c>
      <c r="I122" s="39">
        <v>44409</v>
      </c>
      <c r="J122" s="39">
        <v>44439</v>
      </c>
      <c r="K122" s="24">
        <f t="shared" si="8"/>
        <v>31</v>
      </c>
      <c r="L122" s="24">
        <f t="shared" si="9"/>
        <v>2548</v>
      </c>
      <c r="M122" s="24">
        <v>6000000</v>
      </c>
    </row>
    <row r="123" spans="1:13" s="5" customFormat="1" outlineLevel="2">
      <c r="A123" s="39" t="s">
        <v>78</v>
      </c>
      <c r="B123" s="40" t="s">
        <v>183</v>
      </c>
      <c r="C123" s="41" t="s">
        <v>89</v>
      </c>
      <c r="D123" s="40" t="s">
        <v>90</v>
      </c>
      <c r="E123" s="24">
        <v>30200000</v>
      </c>
      <c r="F123" s="39">
        <v>44323</v>
      </c>
      <c r="G123" s="24">
        <v>30200000</v>
      </c>
      <c r="H123" s="23">
        <v>5.0000000000000001E-3</v>
      </c>
      <c r="I123" s="39">
        <v>44409</v>
      </c>
      <c r="J123" s="39">
        <v>44439</v>
      </c>
      <c r="K123" s="24">
        <f t="shared" si="8"/>
        <v>31</v>
      </c>
      <c r="L123" s="24">
        <f t="shared" si="9"/>
        <v>12825</v>
      </c>
      <c r="M123" s="24">
        <v>30200000</v>
      </c>
    </row>
    <row r="124" spans="1:13" s="5" customFormat="1" outlineLevel="2">
      <c r="A124" s="39" t="s">
        <v>78</v>
      </c>
      <c r="B124" s="40" t="s">
        <v>63</v>
      </c>
      <c r="C124" s="41" t="s">
        <v>83</v>
      </c>
      <c r="D124" s="40" t="s">
        <v>84</v>
      </c>
      <c r="E124" s="24">
        <v>95370000</v>
      </c>
      <c r="F124" s="39">
        <v>44006</v>
      </c>
      <c r="G124" s="24">
        <v>95370000</v>
      </c>
      <c r="H124" s="23">
        <v>5.0000000000000001E-3</v>
      </c>
      <c r="I124" s="39">
        <v>44409</v>
      </c>
      <c r="J124" s="39">
        <v>44439</v>
      </c>
      <c r="K124" s="24">
        <f t="shared" si="8"/>
        <v>31</v>
      </c>
      <c r="L124" s="24">
        <f t="shared" si="9"/>
        <v>40500</v>
      </c>
      <c r="M124" s="24">
        <v>95370000</v>
      </c>
    </row>
    <row r="125" spans="1:13" s="5" customFormat="1" outlineLevel="2">
      <c r="A125" s="39" t="s">
        <v>78</v>
      </c>
      <c r="B125" s="40" t="s">
        <v>184</v>
      </c>
      <c r="C125" s="41" t="s">
        <v>337</v>
      </c>
      <c r="D125" s="40" t="s">
        <v>336</v>
      </c>
      <c r="E125" s="24">
        <v>15000000</v>
      </c>
      <c r="F125" s="39">
        <v>44347</v>
      </c>
      <c r="G125" s="24">
        <v>14482758</v>
      </c>
      <c r="H125" s="23">
        <v>5.0000000000000001E-3</v>
      </c>
      <c r="I125" s="39">
        <v>44409</v>
      </c>
      <c r="J125" s="39">
        <v>44423</v>
      </c>
      <c r="K125" s="24">
        <f t="shared" si="8"/>
        <v>15</v>
      </c>
      <c r="L125" s="24">
        <f t="shared" si="9"/>
        <v>2976</v>
      </c>
      <c r="M125" s="24">
        <v>14224137</v>
      </c>
    </row>
    <row r="126" spans="1:13" s="5" customFormat="1" outlineLevel="2">
      <c r="A126" s="39" t="s">
        <v>78</v>
      </c>
      <c r="B126" s="40" t="s">
        <v>184</v>
      </c>
      <c r="C126" s="41" t="s">
        <v>337</v>
      </c>
      <c r="D126" s="40"/>
      <c r="E126" s="24"/>
      <c r="F126" s="39"/>
      <c r="G126" s="24">
        <v>14224137</v>
      </c>
      <c r="H126" s="23">
        <v>5.0000000000000001E-3</v>
      </c>
      <c r="I126" s="39">
        <v>44424</v>
      </c>
      <c r="J126" s="39">
        <v>44439</v>
      </c>
      <c r="K126" s="24">
        <f t="shared" si="8"/>
        <v>16</v>
      </c>
      <c r="L126" s="24">
        <f t="shared" si="9"/>
        <v>3118</v>
      </c>
      <c r="M126" s="24"/>
    </row>
    <row r="127" spans="1:13" s="5" customFormat="1" outlineLevel="2">
      <c r="A127" s="39" t="s">
        <v>78</v>
      </c>
      <c r="B127" s="40" t="s">
        <v>185</v>
      </c>
      <c r="C127" s="41" t="s">
        <v>83</v>
      </c>
      <c r="D127" s="40" t="s">
        <v>84</v>
      </c>
      <c r="E127" s="24">
        <v>388000000</v>
      </c>
      <c r="F127" s="39">
        <v>44344</v>
      </c>
      <c r="G127" s="24">
        <v>388000000</v>
      </c>
      <c r="H127" s="23">
        <v>3.0000000000000001E-3</v>
      </c>
      <c r="I127" s="39">
        <v>44409</v>
      </c>
      <c r="J127" s="39">
        <v>44439</v>
      </c>
      <c r="K127" s="24">
        <f t="shared" si="8"/>
        <v>31</v>
      </c>
      <c r="L127" s="24">
        <f t="shared" si="9"/>
        <v>98860</v>
      </c>
      <c r="M127" s="24">
        <v>388000000</v>
      </c>
    </row>
    <row r="128" spans="1:13" s="5" customFormat="1" outlineLevel="2">
      <c r="A128" s="39" t="s">
        <v>78</v>
      </c>
      <c r="B128" s="40" t="s">
        <v>186</v>
      </c>
      <c r="C128" s="41" t="s">
        <v>85</v>
      </c>
      <c r="D128" s="40" t="s">
        <v>86</v>
      </c>
      <c r="E128" s="24">
        <v>50000000</v>
      </c>
      <c r="F128" s="39">
        <v>44330</v>
      </c>
      <c r="G128" s="24">
        <v>50000000</v>
      </c>
      <c r="H128" s="23">
        <v>5.0000000000000001E-3</v>
      </c>
      <c r="I128" s="39">
        <v>44409</v>
      </c>
      <c r="J128" s="39">
        <v>44439</v>
      </c>
      <c r="K128" s="24">
        <f t="shared" si="8"/>
        <v>31</v>
      </c>
      <c r="L128" s="24">
        <f t="shared" si="9"/>
        <v>21233</v>
      </c>
      <c r="M128" s="24">
        <v>50000000</v>
      </c>
    </row>
    <row r="129" spans="1:13" s="5" customFormat="1" outlineLevel="2">
      <c r="A129" s="39" t="s">
        <v>78</v>
      </c>
      <c r="B129" s="40" t="s">
        <v>189</v>
      </c>
      <c r="C129" s="41" t="s">
        <v>85</v>
      </c>
      <c r="D129" s="40" t="s">
        <v>86</v>
      </c>
      <c r="E129" s="24">
        <v>50000000</v>
      </c>
      <c r="F129" s="39">
        <v>44344</v>
      </c>
      <c r="G129" s="24">
        <v>50000000</v>
      </c>
      <c r="H129" s="23">
        <v>5.0000000000000001E-3</v>
      </c>
      <c r="I129" s="39">
        <v>44409</v>
      </c>
      <c r="J129" s="39">
        <v>44439</v>
      </c>
      <c r="K129" s="24">
        <f t="shared" si="8"/>
        <v>31</v>
      </c>
      <c r="L129" s="24">
        <f t="shared" si="9"/>
        <v>21233</v>
      </c>
      <c r="M129" s="24">
        <v>50000000</v>
      </c>
    </row>
    <row r="130" spans="1:13" s="5" customFormat="1" outlineLevel="2">
      <c r="A130" s="39" t="s">
        <v>78</v>
      </c>
      <c r="B130" s="40" t="s">
        <v>190</v>
      </c>
      <c r="C130" s="41" t="s">
        <v>93</v>
      </c>
      <c r="D130" s="40" t="s">
        <v>94</v>
      </c>
      <c r="E130" s="24">
        <v>1351689</v>
      </c>
      <c r="F130" s="39">
        <v>44358</v>
      </c>
      <c r="G130" s="24">
        <v>1351689</v>
      </c>
      <c r="H130" s="23">
        <v>5.0000000000000001E-3</v>
      </c>
      <c r="I130" s="39">
        <v>44409</v>
      </c>
      <c r="J130" s="39">
        <v>44439</v>
      </c>
      <c r="K130" s="24">
        <f t="shared" si="8"/>
        <v>31</v>
      </c>
      <c r="L130" s="24">
        <f t="shared" si="9"/>
        <v>574</v>
      </c>
      <c r="M130" s="24">
        <v>1351689</v>
      </c>
    </row>
    <row r="131" spans="1:13" s="5" customFormat="1" outlineLevel="2">
      <c r="A131" s="39" t="s">
        <v>78</v>
      </c>
      <c r="B131" s="40" t="s">
        <v>191</v>
      </c>
      <c r="C131" s="41" t="s">
        <v>93</v>
      </c>
      <c r="D131" s="40" t="s">
        <v>94</v>
      </c>
      <c r="E131" s="24">
        <v>20000000</v>
      </c>
      <c r="F131" s="39">
        <v>44370</v>
      </c>
      <c r="G131" s="24">
        <v>20000000</v>
      </c>
      <c r="H131" s="23">
        <v>5.0000000000000001E-3</v>
      </c>
      <c r="I131" s="39">
        <v>44409</v>
      </c>
      <c r="J131" s="39">
        <v>44439</v>
      </c>
      <c r="K131" s="24">
        <f t="shared" si="8"/>
        <v>31</v>
      </c>
      <c r="L131" s="24">
        <f t="shared" si="9"/>
        <v>8493</v>
      </c>
      <c r="M131" s="24">
        <v>20000000</v>
      </c>
    </row>
    <row r="132" spans="1:13" s="5" customFormat="1" outlineLevel="2">
      <c r="A132" s="39" t="s">
        <v>78</v>
      </c>
      <c r="B132" s="40" t="s">
        <v>192</v>
      </c>
      <c r="C132" s="41" t="s">
        <v>93</v>
      </c>
      <c r="D132" s="40" t="s">
        <v>94</v>
      </c>
      <c r="E132" s="24">
        <v>8000000</v>
      </c>
      <c r="F132" s="39">
        <v>44370</v>
      </c>
      <c r="G132" s="24">
        <v>8000000</v>
      </c>
      <c r="H132" s="23">
        <v>5.0000000000000001E-3</v>
      </c>
      <c r="I132" s="39">
        <v>44409</v>
      </c>
      <c r="J132" s="39">
        <v>44439</v>
      </c>
      <c r="K132" s="24">
        <f t="shared" si="8"/>
        <v>31</v>
      </c>
      <c r="L132" s="24">
        <f t="shared" si="9"/>
        <v>3397</v>
      </c>
      <c r="M132" s="24">
        <v>8000000</v>
      </c>
    </row>
    <row r="133" spans="1:13" s="5" customFormat="1" outlineLevel="2">
      <c r="A133" s="39" t="s">
        <v>78</v>
      </c>
      <c r="B133" s="40" t="s">
        <v>193</v>
      </c>
      <c r="C133" s="41" t="s">
        <v>337</v>
      </c>
      <c r="D133" s="40" t="s">
        <v>336</v>
      </c>
      <c r="E133" s="24">
        <v>5000000</v>
      </c>
      <c r="F133" s="39">
        <v>44368</v>
      </c>
      <c r="G133" s="24">
        <v>4912280</v>
      </c>
      <c r="H133" s="23">
        <v>5.0000000000000001E-3</v>
      </c>
      <c r="I133" s="39">
        <v>44409</v>
      </c>
      <c r="J133" s="39">
        <v>44423</v>
      </c>
      <c r="K133" s="24">
        <f t="shared" si="8"/>
        <v>15</v>
      </c>
      <c r="L133" s="24">
        <f t="shared" si="9"/>
        <v>1009</v>
      </c>
      <c r="M133" s="24">
        <v>4824560</v>
      </c>
    </row>
    <row r="134" spans="1:13" s="5" customFormat="1" outlineLevel="2">
      <c r="A134" s="39" t="s">
        <v>78</v>
      </c>
      <c r="B134" s="40" t="s">
        <v>193</v>
      </c>
      <c r="C134" s="41" t="s">
        <v>337</v>
      </c>
      <c r="D134" s="40"/>
      <c r="E134" s="24"/>
      <c r="F134" s="39"/>
      <c r="G134" s="24">
        <v>4824560</v>
      </c>
      <c r="H134" s="23">
        <v>5.0000000000000001E-3</v>
      </c>
      <c r="I134" s="39">
        <v>44424</v>
      </c>
      <c r="J134" s="39">
        <v>44439</v>
      </c>
      <c r="K134" s="24">
        <f t="shared" si="8"/>
        <v>16</v>
      </c>
      <c r="L134" s="24">
        <f t="shared" si="9"/>
        <v>1057</v>
      </c>
      <c r="M134" s="24"/>
    </row>
    <row r="135" spans="1:13" s="5" customFormat="1" outlineLevel="2">
      <c r="A135" s="39" t="s">
        <v>78</v>
      </c>
      <c r="B135" s="40" t="s">
        <v>194</v>
      </c>
      <c r="C135" s="41" t="s">
        <v>337</v>
      </c>
      <c r="D135" s="40" t="s">
        <v>336</v>
      </c>
      <c r="E135" s="24">
        <v>38000000</v>
      </c>
      <c r="F135" s="39">
        <v>44377</v>
      </c>
      <c r="G135" s="24">
        <v>37333333</v>
      </c>
      <c r="H135" s="23">
        <v>5.0000000000000001E-3</v>
      </c>
      <c r="I135" s="39">
        <v>44409</v>
      </c>
      <c r="J135" s="39">
        <v>44423</v>
      </c>
      <c r="K135" s="24">
        <f t="shared" si="8"/>
        <v>15</v>
      </c>
      <c r="L135" s="24">
        <f t="shared" si="9"/>
        <v>7671</v>
      </c>
      <c r="M135" s="24">
        <v>36666666</v>
      </c>
    </row>
    <row r="136" spans="1:13" s="5" customFormat="1" outlineLevel="2">
      <c r="A136" s="39" t="s">
        <v>78</v>
      </c>
      <c r="B136" s="40" t="s">
        <v>194</v>
      </c>
      <c r="C136" s="41" t="s">
        <v>337</v>
      </c>
      <c r="D136" s="40"/>
      <c r="E136" s="24"/>
      <c r="F136" s="39"/>
      <c r="G136" s="24">
        <v>36666666</v>
      </c>
      <c r="H136" s="23">
        <v>5.0000000000000001E-3</v>
      </c>
      <c r="I136" s="39">
        <v>44424</v>
      </c>
      <c r="J136" s="39">
        <v>44439</v>
      </c>
      <c r="K136" s="24">
        <f t="shared" si="8"/>
        <v>16</v>
      </c>
      <c r="L136" s="24">
        <f t="shared" si="9"/>
        <v>8037</v>
      </c>
      <c r="M136" s="24"/>
    </row>
    <row r="137" spans="1:13" s="5" customFormat="1" outlineLevel="2">
      <c r="A137" s="39" t="s">
        <v>78</v>
      </c>
      <c r="B137" s="40" t="s">
        <v>195</v>
      </c>
      <c r="C137" s="41" t="s">
        <v>85</v>
      </c>
      <c r="D137" s="40" t="s">
        <v>86</v>
      </c>
      <c r="E137" s="24">
        <v>50000000</v>
      </c>
      <c r="F137" s="39">
        <v>44349</v>
      </c>
      <c r="G137" s="24">
        <v>50000000</v>
      </c>
      <c r="H137" s="23">
        <v>5.0000000000000001E-3</v>
      </c>
      <c r="I137" s="39">
        <v>44409</v>
      </c>
      <c r="J137" s="39">
        <v>44439</v>
      </c>
      <c r="K137" s="24">
        <f t="shared" si="8"/>
        <v>31</v>
      </c>
      <c r="L137" s="24">
        <f t="shared" si="9"/>
        <v>21233</v>
      </c>
      <c r="M137" s="24">
        <v>50000000</v>
      </c>
    </row>
    <row r="138" spans="1:13" s="5" customFormat="1" outlineLevel="2">
      <c r="A138" s="39" t="s">
        <v>78</v>
      </c>
      <c r="B138" s="40" t="s">
        <v>64</v>
      </c>
      <c r="C138" s="41" t="s">
        <v>83</v>
      </c>
      <c r="D138" s="40" t="s">
        <v>84</v>
      </c>
      <c r="E138" s="24">
        <v>73910000</v>
      </c>
      <c r="F138" s="39">
        <v>44032</v>
      </c>
      <c r="G138" s="24">
        <v>73910000</v>
      </c>
      <c r="H138" s="23">
        <v>5.0000000000000001E-3</v>
      </c>
      <c r="I138" s="39">
        <v>44409</v>
      </c>
      <c r="J138" s="39">
        <v>44439</v>
      </c>
      <c r="K138" s="24">
        <f t="shared" si="8"/>
        <v>31</v>
      </c>
      <c r="L138" s="24">
        <f t="shared" si="9"/>
        <v>31386</v>
      </c>
      <c r="M138" s="24">
        <v>73910000</v>
      </c>
    </row>
    <row r="139" spans="1:13" s="5" customFormat="1" outlineLevel="2">
      <c r="A139" s="39" t="s">
        <v>78</v>
      </c>
      <c r="B139" s="40" t="s">
        <v>196</v>
      </c>
      <c r="C139" s="41" t="s">
        <v>91</v>
      </c>
      <c r="D139" s="40" t="s">
        <v>92</v>
      </c>
      <c r="E139" s="24">
        <v>23000000</v>
      </c>
      <c r="F139" s="39">
        <v>44365</v>
      </c>
      <c r="G139" s="24">
        <v>23000000</v>
      </c>
      <c r="H139" s="23">
        <v>5.0000000000000001E-3</v>
      </c>
      <c r="I139" s="39">
        <v>44409</v>
      </c>
      <c r="J139" s="39">
        <v>44439</v>
      </c>
      <c r="K139" s="24">
        <f t="shared" si="8"/>
        <v>31</v>
      </c>
      <c r="L139" s="24">
        <f t="shared" si="9"/>
        <v>9767</v>
      </c>
      <c r="M139" s="24">
        <v>23000000</v>
      </c>
    </row>
    <row r="140" spans="1:13" s="5" customFormat="1" outlineLevel="2">
      <c r="A140" s="39" t="s">
        <v>78</v>
      </c>
      <c r="B140" s="40" t="s">
        <v>197</v>
      </c>
      <c r="C140" s="41" t="s">
        <v>93</v>
      </c>
      <c r="D140" s="40" t="s">
        <v>94</v>
      </c>
      <c r="E140" s="24">
        <v>20000000</v>
      </c>
      <c r="F140" s="39">
        <v>44378</v>
      </c>
      <c r="G140" s="24">
        <v>20000000</v>
      </c>
      <c r="H140" s="23">
        <v>5.0000000000000001E-3</v>
      </c>
      <c r="I140" s="39">
        <v>44409</v>
      </c>
      <c r="J140" s="39">
        <v>44439</v>
      </c>
      <c r="K140" s="24">
        <f t="shared" si="8"/>
        <v>31</v>
      </c>
      <c r="L140" s="24">
        <f t="shared" si="9"/>
        <v>8493</v>
      </c>
      <c r="M140" s="24">
        <v>20000000</v>
      </c>
    </row>
    <row r="141" spans="1:13" s="5" customFormat="1" outlineLevel="2">
      <c r="A141" s="39" t="s">
        <v>78</v>
      </c>
      <c r="B141" s="40" t="s">
        <v>198</v>
      </c>
      <c r="C141" s="41" t="s">
        <v>91</v>
      </c>
      <c r="D141" s="40" t="s">
        <v>92</v>
      </c>
      <c r="E141" s="24">
        <v>81100000</v>
      </c>
      <c r="F141" s="39">
        <v>44392</v>
      </c>
      <c r="G141" s="24">
        <v>81100000</v>
      </c>
      <c r="H141" s="23">
        <v>5.0000000000000001E-3</v>
      </c>
      <c r="I141" s="39">
        <v>44409</v>
      </c>
      <c r="J141" s="39">
        <v>44439</v>
      </c>
      <c r="K141" s="24">
        <f t="shared" si="8"/>
        <v>31</v>
      </c>
      <c r="L141" s="24">
        <f t="shared" si="9"/>
        <v>34440</v>
      </c>
      <c r="M141" s="24">
        <v>81100000</v>
      </c>
    </row>
    <row r="142" spans="1:13" s="5" customFormat="1" outlineLevel="2">
      <c r="A142" s="39" t="s">
        <v>78</v>
      </c>
      <c r="B142" s="40" t="s">
        <v>199</v>
      </c>
      <c r="C142" s="41" t="s">
        <v>91</v>
      </c>
      <c r="D142" s="40" t="s">
        <v>92</v>
      </c>
      <c r="E142" s="24">
        <v>34200000</v>
      </c>
      <c r="F142" s="39">
        <v>44392</v>
      </c>
      <c r="G142" s="24">
        <v>34200000</v>
      </c>
      <c r="H142" s="23">
        <v>5.0000000000000001E-3</v>
      </c>
      <c r="I142" s="39">
        <v>44409</v>
      </c>
      <c r="J142" s="39">
        <v>44439</v>
      </c>
      <c r="K142" s="24">
        <f t="shared" si="8"/>
        <v>31</v>
      </c>
      <c r="L142" s="24">
        <f t="shared" si="9"/>
        <v>14523</v>
      </c>
      <c r="M142" s="24">
        <v>34200000</v>
      </c>
    </row>
    <row r="143" spans="1:13" s="5" customFormat="1" outlineLevel="2">
      <c r="A143" s="39" t="s">
        <v>78</v>
      </c>
      <c r="B143" s="40" t="s">
        <v>200</v>
      </c>
      <c r="C143" s="41" t="s">
        <v>93</v>
      </c>
      <c r="D143" s="40" t="s">
        <v>94</v>
      </c>
      <c r="E143" s="24">
        <v>656620</v>
      </c>
      <c r="F143" s="39">
        <v>44418</v>
      </c>
      <c r="G143" s="24">
        <v>656620</v>
      </c>
      <c r="H143" s="23">
        <v>5.0000000000000001E-3</v>
      </c>
      <c r="I143" s="39">
        <v>44418</v>
      </c>
      <c r="J143" s="39">
        <v>44439</v>
      </c>
      <c r="K143" s="24">
        <f t="shared" si="8"/>
        <v>22</v>
      </c>
      <c r="L143" s="24">
        <f t="shared" si="9"/>
        <v>198</v>
      </c>
      <c r="M143" s="24">
        <v>656620</v>
      </c>
    </row>
    <row r="144" spans="1:13" s="5" customFormat="1" outlineLevel="2">
      <c r="A144" s="39" t="s">
        <v>78</v>
      </c>
      <c r="B144" s="40" t="s">
        <v>201</v>
      </c>
      <c r="C144" s="41" t="s">
        <v>93</v>
      </c>
      <c r="D144" s="40" t="s">
        <v>94</v>
      </c>
      <c r="E144" s="24">
        <v>1901460</v>
      </c>
      <c r="F144" s="39">
        <v>44433</v>
      </c>
      <c r="G144" s="24">
        <v>1901460</v>
      </c>
      <c r="H144" s="23">
        <v>5.0000000000000001E-3</v>
      </c>
      <c r="I144" s="39">
        <v>44433</v>
      </c>
      <c r="J144" s="39">
        <v>44439</v>
      </c>
      <c r="K144" s="24">
        <f t="shared" si="8"/>
        <v>7</v>
      </c>
      <c r="L144" s="24">
        <f t="shared" si="9"/>
        <v>182</v>
      </c>
      <c r="M144" s="24">
        <v>1901460</v>
      </c>
    </row>
    <row r="145" spans="1:13" s="5" customFormat="1" outlineLevel="2">
      <c r="A145" s="39" t="s">
        <v>78</v>
      </c>
      <c r="B145" s="40" t="s">
        <v>202</v>
      </c>
      <c r="C145" s="41" t="s">
        <v>93</v>
      </c>
      <c r="D145" s="40" t="s">
        <v>94</v>
      </c>
      <c r="E145" s="24">
        <v>217052</v>
      </c>
      <c r="F145" s="39">
        <v>44435</v>
      </c>
      <c r="G145" s="24">
        <v>217052</v>
      </c>
      <c r="H145" s="23">
        <v>5.0000000000000001E-3</v>
      </c>
      <c r="I145" s="39">
        <v>44435</v>
      </c>
      <c r="J145" s="39">
        <v>44439</v>
      </c>
      <c r="K145" s="24">
        <f t="shared" si="8"/>
        <v>5</v>
      </c>
      <c r="L145" s="24">
        <f t="shared" si="9"/>
        <v>15</v>
      </c>
      <c r="M145" s="24">
        <v>217052</v>
      </c>
    </row>
    <row r="146" spans="1:13" s="5" customFormat="1" outlineLevel="2">
      <c r="A146" s="39" t="s">
        <v>78</v>
      </c>
      <c r="B146" s="40" t="s">
        <v>203</v>
      </c>
      <c r="C146" s="41" t="s">
        <v>93</v>
      </c>
      <c r="D146" s="40" t="s">
        <v>94</v>
      </c>
      <c r="E146" s="24">
        <v>270720</v>
      </c>
      <c r="F146" s="39">
        <v>44435</v>
      </c>
      <c r="G146" s="24">
        <v>270720</v>
      </c>
      <c r="H146" s="23">
        <v>5.0000000000000001E-3</v>
      </c>
      <c r="I146" s="39">
        <v>44435</v>
      </c>
      <c r="J146" s="39">
        <v>44439</v>
      </c>
      <c r="K146" s="24">
        <f t="shared" si="8"/>
        <v>5</v>
      </c>
      <c r="L146" s="24">
        <f t="shared" si="9"/>
        <v>19</v>
      </c>
      <c r="M146" s="24">
        <v>270720</v>
      </c>
    </row>
    <row r="147" spans="1:13" s="5" customFormat="1" outlineLevel="2">
      <c r="A147" s="39" t="s">
        <v>78</v>
      </c>
      <c r="B147" s="40" t="s">
        <v>204</v>
      </c>
      <c r="C147" s="41" t="s">
        <v>93</v>
      </c>
      <c r="D147" s="40" t="s">
        <v>94</v>
      </c>
      <c r="E147" s="24">
        <v>6174000</v>
      </c>
      <c r="F147" s="39">
        <v>44428</v>
      </c>
      <c r="G147" s="24">
        <v>6174000</v>
      </c>
      <c r="H147" s="23">
        <v>5.0000000000000001E-3</v>
      </c>
      <c r="I147" s="39">
        <v>44428</v>
      </c>
      <c r="J147" s="39">
        <v>44439</v>
      </c>
      <c r="K147" s="24">
        <f t="shared" si="8"/>
        <v>12</v>
      </c>
      <c r="L147" s="24">
        <f t="shared" si="9"/>
        <v>1015</v>
      </c>
      <c r="M147" s="24">
        <v>6174000</v>
      </c>
    </row>
    <row r="148" spans="1:13" s="5" customFormat="1" outlineLevel="2">
      <c r="A148" s="39" t="s">
        <v>78</v>
      </c>
      <c r="B148" s="40" t="s">
        <v>205</v>
      </c>
      <c r="C148" s="41" t="s">
        <v>89</v>
      </c>
      <c r="D148" s="40" t="s">
        <v>90</v>
      </c>
      <c r="E148" s="24">
        <v>90000000</v>
      </c>
      <c r="F148" s="39">
        <v>44424</v>
      </c>
      <c r="G148" s="24">
        <v>90000000</v>
      </c>
      <c r="H148" s="23">
        <v>5.0000000000000001E-3</v>
      </c>
      <c r="I148" s="39">
        <v>44424</v>
      </c>
      <c r="J148" s="39">
        <v>44439</v>
      </c>
      <c r="K148" s="24">
        <f t="shared" si="8"/>
        <v>16</v>
      </c>
      <c r="L148" s="24">
        <f t="shared" si="9"/>
        <v>19726</v>
      </c>
      <c r="M148" s="24">
        <v>90000000</v>
      </c>
    </row>
    <row r="149" spans="1:13" s="5" customFormat="1" outlineLevel="2">
      <c r="A149" s="39" t="s">
        <v>78</v>
      </c>
      <c r="B149" s="40" t="s">
        <v>65</v>
      </c>
      <c r="C149" s="41" t="s">
        <v>83</v>
      </c>
      <c r="D149" s="40" t="s">
        <v>84</v>
      </c>
      <c r="E149" s="24">
        <v>291200000</v>
      </c>
      <c r="F149" s="39">
        <v>44032</v>
      </c>
      <c r="G149" s="24">
        <v>291200000</v>
      </c>
      <c r="H149" s="23">
        <v>3.0000000000000001E-3</v>
      </c>
      <c r="I149" s="39">
        <v>44409</v>
      </c>
      <c r="J149" s="39">
        <v>44439</v>
      </c>
      <c r="K149" s="24">
        <f t="shared" si="8"/>
        <v>31</v>
      </c>
      <c r="L149" s="24">
        <f t="shared" si="9"/>
        <v>74196</v>
      </c>
      <c r="M149" s="24">
        <v>291200000</v>
      </c>
    </row>
    <row r="150" spans="1:13" s="5" customFormat="1" outlineLevel="2">
      <c r="A150" s="39" t="s">
        <v>78</v>
      </c>
      <c r="B150" s="40" t="s">
        <v>206</v>
      </c>
      <c r="C150" s="41" t="s">
        <v>91</v>
      </c>
      <c r="D150" s="40" t="s">
        <v>92</v>
      </c>
      <c r="E150" s="24">
        <v>55900000</v>
      </c>
      <c r="F150" s="39">
        <v>44428</v>
      </c>
      <c r="G150" s="24">
        <v>55900000</v>
      </c>
      <c r="H150" s="23">
        <v>5.0000000000000001E-3</v>
      </c>
      <c r="I150" s="39">
        <v>44428</v>
      </c>
      <c r="J150" s="39">
        <v>44439</v>
      </c>
      <c r="K150" s="24">
        <f t="shared" si="8"/>
        <v>12</v>
      </c>
      <c r="L150" s="24">
        <f t="shared" si="9"/>
        <v>9189</v>
      </c>
      <c r="M150" s="24">
        <v>55900000</v>
      </c>
    </row>
    <row r="151" spans="1:13" s="5" customFormat="1" outlineLevel="2">
      <c r="A151" s="39" t="s">
        <v>78</v>
      </c>
      <c r="B151" s="40" t="s">
        <v>207</v>
      </c>
      <c r="C151" s="41" t="s">
        <v>97</v>
      </c>
      <c r="D151" s="40" t="s">
        <v>98</v>
      </c>
      <c r="E151" s="24">
        <v>16000000</v>
      </c>
      <c r="F151" s="39">
        <v>44413</v>
      </c>
      <c r="G151" s="24">
        <v>16000000</v>
      </c>
      <c r="H151" s="23">
        <v>5.0000000000000001E-3</v>
      </c>
      <c r="I151" s="39">
        <v>44413</v>
      </c>
      <c r="J151" s="39">
        <v>44439</v>
      </c>
      <c r="K151" s="24">
        <f t="shared" ref="K151:K182" si="10">J151-I151+1</f>
        <v>27</v>
      </c>
      <c r="L151" s="24">
        <f t="shared" ref="L151:L182" si="11">ROUND(G151*H151*K151/365,0)</f>
        <v>5918</v>
      </c>
      <c r="M151" s="24">
        <v>16000000</v>
      </c>
    </row>
    <row r="152" spans="1:13" s="5" customFormat="1" outlineLevel="2">
      <c r="A152" s="39" t="s">
        <v>78</v>
      </c>
      <c r="B152" s="40" t="s">
        <v>208</v>
      </c>
      <c r="C152" s="41" t="s">
        <v>85</v>
      </c>
      <c r="D152" s="40" t="s">
        <v>86</v>
      </c>
      <c r="E152" s="24">
        <v>35280000</v>
      </c>
      <c r="F152" s="39">
        <v>44411</v>
      </c>
      <c r="G152" s="24">
        <v>35280000</v>
      </c>
      <c r="H152" s="23">
        <v>5.0000000000000001E-3</v>
      </c>
      <c r="I152" s="39">
        <v>44411</v>
      </c>
      <c r="J152" s="39">
        <v>44439</v>
      </c>
      <c r="K152" s="24">
        <f t="shared" si="10"/>
        <v>29</v>
      </c>
      <c r="L152" s="24">
        <f t="shared" si="11"/>
        <v>14015</v>
      </c>
      <c r="M152" s="24">
        <v>35280000</v>
      </c>
    </row>
    <row r="153" spans="1:13" s="5" customFormat="1" outlineLevel="2">
      <c r="A153" s="39" t="s">
        <v>78</v>
      </c>
      <c r="B153" s="40" t="s">
        <v>209</v>
      </c>
      <c r="C153" s="41" t="s">
        <v>337</v>
      </c>
      <c r="D153" s="40" t="s">
        <v>336</v>
      </c>
      <c r="E153" s="24">
        <v>18000000</v>
      </c>
      <c r="F153" s="39">
        <v>44410</v>
      </c>
      <c r="G153" s="24">
        <v>18000000</v>
      </c>
      <c r="H153" s="23">
        <v>5.0000000000000001E-3</v>
      </c>
      <c r="I153" s="39">
        <v>44410</v>
      </c>
      <c r="J153" s="39">
        <v>44423</v>
      </c>
      <c r="K153" s="24">
        <f t="shared" si="10"/>
        <v>14</v>
      </c>
      <c r="L153" s="24">
        <f t="shared" si="11"/>
        <v>3452</v>
      </c>
      <c r="M153" s="24">
        <v>17678571</v>
      </c>
    </row>
    <row r="154" spans="1:13" s="5" customFormat="1" outlineLevel="2">
      <c r="A154" s="39" t="s">
        <v>78</v>
      </c>
      <c r="B154" s="40" t="s">
        <v>209</v>
      </c>
      <c r="C154" s="41" t="s">
        <v>337</v>
      </c>
      <c r="D154" s="40"/>
      <c r="E154" s="24"/>
      <c r="F154" s="39"/>
      <c r="G154" s="24">
        <v>17678571</v>
      </c>
      <c r="H154" s="23">
        <v>5.0000000000000001E-3</v>
      </c>
      <c r="I154" s="39">
        <v>44424</v>
      </c>
      <c r="J154" s="39">
        <v>44439</v>
      </c>
      <c r="K154" s="24">
        <f t="shared" si="10"/>
        <v>16</v>
      </c>
      <c r="L154" s="24">
        <f t="shared" si="11"/>
        <v>3875</v>
      </c>
      <c r="M154" s="24"/>
    </row>
    <row r="155" spans="1:13" s="5" customFormat="1" outlineLevel="2">
      <c r="A155" s="39" t="s">
        <v>78</v>
      </c>
      <c r="B155" s="40" t="s">
        <v>210</v>
      </c>
      <c r="C155" s="41" t="s">
        <v>337</v>
      </c>
      <c r="D155" s="40" t="s">
        <v>336</v>
      </c>
      <c r="E155" s="24">
        <v>20000000</v>
      </c>
      <c r="F155" s="39">
        <v>44439</v>
      </c>
      <c r="G155" s="24">
        <v>20000000</v>
      </c>
      <c r="H155" s="23">
        <v>5.0000000000000001E-3</v>
      </c>
      <c r="I155" s="39">
        <v>44439</v>
      </c>
      <c r="J155" s="39">
        <v>44439</v>
      </c>
      <c r="K155" s="24">
        <f t="shared" si="10"/>
        <v>1</v>
      </c>
      <c r="L155" s="24">
        <f t="shared" si="11"/>
        <v>274</v>
      </c>
      <c r="M155" s="24">
        <v>20000000</v>
      </c>
    </row>
    <row r="156" spans="1:13" s="5" customFormat="1" outlineLevel="2">
      <c r="A156" s="39" t="s">
        <v>78</v>
      </c>
      <c r="B156" s="40" t="s">
        <v>68</v>
      </c>
      <c r="C156" s="41" t="s">
        <v>81</v>
      </c>
      <c r="D156" s="40" t="s">
        <v>82</v>
      </c>
      <c r="E156" s="24">
        <v>10000000</v>
      </c>
      <c r="F156" s="39">
        <v>44025</v>
      </c>
      <c r="G156" s="24">
        <v>7966096</v>
      </c>
      <c r="H156" s="23">
        <v>5.0000000000000001E-3</v>
      </c>
      <c r="I156" s="39">
        <v>44409</v>
      </c>
      <c r="J156" s="39">
        <v>44423</v>
      </c>
      <c r="K156" s="24">
        <f t="shared" si="10"/>
        <v>15</v>
      </c>
      <c r="L156" s="24">
        <f t="shared" si="11"/>
        <v>1637</v>
      </c>
      <c r="M156" s="24">
        <v>7796604</v>
      </c>
    </row>
    <row r="157" spans="1:13" s="5" customFormat="1" outlineLevel="2">
      <c r="A157" s="39" t="s">
        <v>78</v>
      </c>
      <c r="B157" s="40" t="s">
        <v>68</v>
      </c>
      <c r="C157" s="41" t="s">
        <v>81</v>
      </c>
      <c r="D157" s="40"/>
      <c r="E157" s="24"/>
      <c r="F157" s="39"/>
      <c r="G157" s="24">
        <v>7796604</v>
      </c>
      <c r="H157" s="23">
        <v>5.0000000000000001E-3</v>
      </c>
      <c r="I157" s="39">
        <v>44424</v>
      </c>
      <c r="J157" s="39">
        <v>44439</v>
      </c>
      <c r="K157" s="24">
        <f t="shared" si="10"/>
        <v>16</v>
      </c>
      <c r="L157" s="24">
        <f t="shared" si="11"/>
        <v>1709</v>
      </c>
      <c r="M157" s="24"/>
    </row>
    <row r="158" spans="1:13" s="5" customFormat="1" outlineLevel="1">
      <c r="A158" s="42" t="s">
        <v>107</v>
      </c>
      <c r="B158" s="43"/>
      <c r="C158" s="44"/>
      <c r="D158" s="43"/>
      <c r="E158" s="45">
        <f>SUBTOTAL(9,E55:E157)</f>
        <v>4081589261</v>
      </c>
      <c r="F158" s="46"/>
      <c r="G158" s="45"/>
      <c r="H158" s="47"/>
      <c r="I158" s="46"/>
      <c r="J158" s="46"/>
      <c r="K158" s="45"/>
      <c r="L158" s="45">
        <f>SUBTOTAL(9,L55:L157)</f>
        <v>1556740</v>
      </c>
      <c r="M158" s="45">
        <f>SUBTOTAL(9,M55:M157)</f>
        <v>4042591227</v>
      </c>
    </row>
    <row r="159" spans="1:13" s="5" customFormat="1" outlineLevel="2">
      <c r="A159" s="39" t="s">
        <v>108</v>
      </c>
      <c r="B159" s="40" t="s">
        <v>16</v>
      </c>
      <c r="C159" s="41" t="s">
        <v>109</v>
      </c>
      <c r="D159" s="40" t="s">
        <v>110</v>
      </c>
      <c r="E159" s="24">
        <v>81465386</v>
      </c>
      <c r="F159" s="39">
        <v>43900</v>
      </c>
      <c r="G159" s="24">
        <v>81465386</v>
      </c>
      <c r="H159" s="23">
        <v>5.0000000000000001E-3</v>
      </c>
      <c r="I159" s="39">
        <v>44409</v>
      </c>
      <c r="J159" s="39">
        <v>44439</v>
      </c>
      <c r="K159" s="24">
        <f t="shared" ref="K159:K190" si="12">J159-I159+1</f>
        <v>31</v>
      </c>
      <c r="L159" s="24">
        <f t="shared" ref="L159:L190" si="13">ROUND(G159*H159*K159/365,0)</f>
        <v>34595</v>
      </c>
      <c r="M159" s="24">
        <v>81465386</v>
      </c>
    </row>
    <row r="160" spans="1:13" s="5" customFormat="1" outlineLevel="2">
      <c r="A160" s="39" t="s">
        <v>108</v>
      </c>
      <c r="B160" s="40" t="s">
        <v>19</v>
      </c>
      <c r="C160" s="41" t="s">
        <v>111</v>
      </c>
      <c r="D160" s="40" t="s">
        <v>112</v>
      </c>
      <c r="E160" s="24">
        <v>8860000</v>
      </c>
      <c r="F160" s="39">
        <v>43997</v>
      </c>
      <c r="G160" s="24">
        <v>8860000</v>
      </c>
      <c r="H160" s="23">
        <v>5.0000000000000001E-3</v>
      </c>
      <c r="I160" s="39">
        <v>44409</v>
      </c>
      <c r="J160" s="39">
        <v>44439</v>
      </c>
      <c r="K160" s="24">
        <f t="shared" si="12"/>
        <v>31</v>
      </c>
      <c r="L160" s="24">
        <f t="shared" si="13"/>
        <v>3762</v>
      </c>
      <c r="M160" s="24">
        <v>8860000</v>
      </c>
    </row>
    <row r="161" spans="1:13" s="5" customFormat="1" outlineLevel="2">
      <c r="A161" s="39" t="s">
        <v>108</v>
      </c>
      <c r="B161" s="40" t="s">
        <v>22</v>
      </c>
      <c r="C161" s="41" t="s">
        <v>113</v>
      </c>
      <c r="D161" s="40" t="s">
        <v>114</v>
      </c>
      <c r="E161" s="24">
        <v>20390000</v>
      </c>
      <c r="F161" s="39">
        <v>43997</v>
      </c>
      <c r="G161" s="24">
        <v>17157446</v>
      </c>
      <c r="H161" s="23">
        <v>5.0000000000000001E-3</v>
      </c>
      <c r="I161" s="39">
        <v>44409</v>
      </c>
      <c r="J161" s="39">
        <v>44423</v>
      </c>
      <c r="K161" s="24">
        <f t="shared" si="12"/>
        <v>15</v>
      </c>
      <c r="L161" s="24">
        <f t="shared" si="13"/>
        <v>3526</v>
      </c>
      <c r="M161" s="24">
        <v>16908788</v>
      </c>
    </row>
    <row r="162" spans="1:13" s="5" customFormat="1" outlineLevel="2">
      <c r="A162" s="39" t="s">
        <v>108</v>
      </c>
      <c r="B162" s="40" t="s">
        <v>22</v>
      </c>
      <c r="C162" s="41" t="s">
        <v>113</v>
      </c>
      <c r="D162" s="40"/>
      <c r="E162" s="24"/>
      <c r="F162" s="39"/>
      <c r="G162" s="24">
        <v>16908788</v>
      </c>
      <c r="H162" s="23">
        <v>5.0000000000000001E-3</v>
      </c>
      <c r="I162" s="39">
        <v>44424</v>
      </c>
      <c r="J162" s="39">
        <v>44439</v>
      </c>
      <c r="K162" s="24">
        <f t="shared" si="12"/>
        <v>16</v>
      </c>
      <c r="L162" s="24">
        <f t="shared" si="13"/>
        <v>3706</v>
      </c>
      <c r="M162" s="24"/>
    </row>
    <row r="163" spans="1:13" s="5" customFormat="1" outlineLevel="2">
      <c r="A163" s="39" t="s">
        <v>108</v>
      </c>
      <c r="B163" s="40" t="s">
        <v>25</v>
      </c>
      <c r="C163" s="41" t="s">
        <v>113</v>
      </c>
      <c r="D163" s="40" t="s">
        <v>114</v>
      </c>
      <c r="E163" s="24">
        <v>69600000</v>
      </c>
      <c r="F163" s="39">
        <v>43997</v>
      </c>
      <c r="G163" s="24">
        <v>62060000</v>
      </c>
      <c r="H163" s="23">
        <v>5.0000000000000001E-3</v>
      </c>
      <c r="I163" s="39">
        <v>44409</v>
      </c>
      <c r="J163" s="39">
        <v>44423</v>
      </c>
      <c r="K163" s="24">
        <f t="shared" si="12"/>
        <v>15</v>
      </c>
      <c r="L163" s="24">
        <f t="shared" si="13"/>
        <v>12752</v>
      </c>
      <c r="M163" s="24">
        <v>61480000</v>
      </c>
    </row>
    <row r="164" spans="1:13" s="5" customFormat="1" outlineLevel="2">
      <c r="A164" s="39" t="s">
        <v>108</v>
      </c>
      <c r="B164" s="40" t="s">
        <v>25</v>
      </c>
      <c r="C164" s="41" t="s">
        <v>113</v>
      </c>
      <c r="D164" s="40"/>
      <c r="E164" s="24"/>
      <c r="F164" s="39"/>
      <c r="G164" s="24">
        <v>61480000</v>
      </c>
      <c r="H164" s="23">
        <v>5.0000000000000001E-3</v>
      </c>
      <c r="I164" s="39">
        <v>44424</v>
      </c>
      <c r="J164" s="39">
        <v>44439</v>
      </c>
      <c r="K164" s="24">
        <f t="shared" si="12"/>
        <v>16</v>
      </c>
      <c r="L164" s="24">
        <f t="shared" si="13"/>
        <v>13475</v>
      </c>
      <c r="M164" s="24"/>
    </row>
    <row r="165" spans="1:13" s="5" customFormat="1" outlineLevel="2">
      <c r="A165" s="39" t="s">
        <v>108</v>
      </c>
      <c r="B165" s="40" t="s">
        <v>26</v>
      </c>
      <c r="C165" s="41" t="s">
        <v>109</v>
      </c>
      <c r="D165" s="40" t="s">
        <v>110</v>
      </c>
      <c r="E165" s="24">
        <v>16630000</v>
      </c>
      <c r="F165" s="39">
        <v>44011</v>
      </c>
      <c r="G165" s="24">
        <v>16630000</v>
      </c>
      <c r="H165" s="23">
        <v>5.0000000000000001E-3</v>
      </c>
      <c r="I165" s="39">
        <v>44409</v>
      </c>
      <c r="J165" s="39">
        <v>44439</v>
      </c>
      <c r="K165" s="24">
        <f t="shared" si="12"/>
        <v>31</v>
      </c>
      <c r="L165" s="24">
        <f t="shared" si="13"/>
        <v>7062</v>
      </c>
      <c r="M165" s="24">
        <v>16630000</v>
      </c>
    </row>
    <row r="166" spans="1:13" s="5" customFormat="1" outlineLevel="2">
      <c r="A166" s="39" t="s">
        <v>108</v>
      </c>
      <c r="B166" s="40" t="s">
        <v>29</v>
      </c>
      <c r="C166" s="41" t="s">
        <v>111</v>
      </c>
      <c r="D166" s="40" t="s">
        <v>112</v>
      </c>
      <c r="E166" s="24">
        <v>4650000</v>
      </c>
      <c r="F166" s="39">
        <v>44027</v>
      </c>
      <c r="G166" s="24">
        <v>4650000</v>
      </c>
      <c r="H166" s="23">
        <v>5.0000000000000001E-3</v>
      </c>
      <c r="I166" s="39">
        <v>44409</v>
      </c>
      <c r="J166" s="39">
        <v>44439</v>
      </c>
      <c r="K166" s="24">
        <f t="shared" si="12"/>
        <v>31</v>
      </c>
      <c r="L166" s="24">
        <f t="shared" si="13"/>
        <v>1975</v>
      </c>
      <c r="M166" s="24">
        <v>4650000</v>
      </c>
    </row>
    <row r="167" spans="1:13" s="5" customFormat="1" outlineLevel="2">
      <c r="A167" s="39" t="s">
        <v>108</v>
      </c>
      <c r="B167" s="40" t="s">
        <v>32</v>
      </c>
      <c r="C167" s="41" t="s">
        <v>113</v>
      </c>
      <c r="D167" s="40" t="s">
        <v>114</v>
      </c>
      <c r="E167" s="24">
        <v>10860000</v>
      </c>
      <c r="F167" s="39">
        <v>44027</v>
      </c>
      <c r="G167" s="24">
        <v>9251112</v>
      </c>
      <c r="H167" s="23">
        <v>5.0000000000000001E-3</v>
      </c>
      <c r="I167" s="39">
        <v>44409</v>
      </c>
      <c r="J167" s="39">
        <v>44423</v>
      </c>
      <c r="K167" s="24">
        <f t="shared" si="12"/>
        <v>15</v>
      </c>
      <c r="L167" s="24">
        <f t="shared" si="13"/>
        <v>1901</v>
      </c>
      <c r="M167" s="24">
        <v>9117038</v>
      </c>
    </row>
    <row r="168" spans="1:13" s="5" customFormat="1" outlineLevel="2">
      <c r="A168" s="39" t="s">
        <v>108</v>
      </c>
      <c r="B168" s="40" t="s">
        <v>32</v>
      </c>
      <c r="C168" s="41" t="s">
        <v>113</v>
      </c>
      <c r="D168" s="40"/>
      <c r="E168" s="24"/>
      <c r="F168" s="39"/>
      <c r="G168" s="24">
        <v>9117038</v>
      </c>
      <c r="H168" s="23">
        <v>5.0000000000000001E-3</v>
      </c>
      <c r="I168" s="39">
        <v>44424</v>
      </c>
      <c r="J168" s="39">
        <v>44439</v>
      </c>
      <c r="K168" s="24">
        <f t="shared" si="12"/>
        <v>16</v>
      </c>
      <c r="L168" s="24">
        <f t="shared" si="13"/>
        <v>1998</v>
      </c>
      <c r="M168" s="24"/>
    </row>
    <row r="169" spans="1:13" s="5" customFormat="1" outlineLevel="2">
      <c r="A169" s="39" t="s">
        <v>108</v>
      </c>
      <c r="B169" s="40" t="s">
        <v>33</v>
      </c>
      <c r="C169" s="41" t="s">
        <v>113</v>
      </c>
      <c r="D169" s="40" t="s">
        <v>114</v>
      </c>
      <c r="E169" s="24">
        <v>11600000</v>
      </c>
      <c r="F169" s="39">
        <v>44027</v>
      </c>
      <c r="G169" s="24">
        <v>10430264</v>
      </c>
      <c r="H169" s="23">
        <v>5.0000000000000001E-3</v>
      </c>
      <c r="I169" s="39">
        <v>44409</v>
      </c>
      <c r="J169" s="39">
        <v>44423</v>
      </c>
      <c r="K169" s="24">
        <f t="shared" si="12"/>
        <v>15</v>
      </c>
      <c r="L169" s="24">
        <f t="shared" si="13"/>
        <v>2143</v>
      </c>
      <c r="M169" s="24">
        <v>10332786</v>
      </c>
    </row>
    <row r="170" spans="1:13" s="5" customFormat="1" outlineLevel="2">
      <c r="A170" s="39" t="s">
        <v>108</v>
      </c>
      <c r="B170" s="40" t="s">
        <v>33</v>
      </c>
      <c r="C170" s="41" t="s">
        <v>113</v>
      </c>
      <c r="D170" s="40"/>
      <c r="E170" s="24"/>
      <c r="F170" s="39"/>
      <c r="G170" s="24">
        <v>10332786</v>
      </c>
      <c r="H170" s="23">
        <v>5.0000000000000001E-3</v>
      </c>
      <c r="I170" s="39">
        <v>44424</v>
      </c>
      <c r="J170" s="39">
        <v>44439</v>
      </c>
      <c r="K170" s="24">
        <f t="shared" si="12"/>
        <v>16</v>
      </c>
      <c r="L170" s="24">
        <f t="shared" si="13"/>
        <v>2265</v>
      </c>
      <c r="M170" s="24"/>
    </row>
    <row r="171" spans="1:13" s="5" customFormat="1" outlineLevel="2">
      <c r="A171" s="39" t="s">
        <v>108</v>
      </c>
      <c r="B171" s="40" t="s">
        <v>34</v>
      </c>
      <c r="C171" s="41" t="s">
        <v>23</v>
      </c>
      <c r="D171" s="40" t="s">
        <v>24</v>
      </c>
      <c r="E171" s="24">
        <v>18700000</v>
      </c>
      <c r="F171" s="39">
        <v>44032</v>
      </c>
      <c r="G171" s="24">
        <v>18700000</v>
      </c>
      <c r="H171" s="23">
        <v>5.0000000000000001E-3</v>
      </c>
      <c r="I171" s="39">
        <v>44409</v>
      </c>
      <c r="J171" s="39">
        <v>44439</v>
      </c>
      <c r="K171" s="24">
        <f t="shared" si="12"/>
        <v>31</v>
      </c>
      <c r="L171" s="24">
        <f t="shared" si="13"/>
        <v>7941</v>
      </c>
      <c r="M171" s="24">
        <v>18700000</v>
      </c>
    </row>
    <row r="172" spans="1:13" s="5" customFormat="1" outlineLevel="2">
      <c r="A172" s="39" t="s">
        <v>108</v>
      </c>
      <c r="B172" s="40" t="s">
        <v>35</v>
      </c>
      <c r="C172" s="41" t="s">
        <v>111</v>
      </c>
      <c r="D172" s="40" t="s">
        <v>112</v>
      </c>
      <c r="E172" s="24">
        <v>2950000</v>
      </c>
      <c r="F172" s="39">
        <v>44060</v>
      </c>
      <c r="G172" s="24">
        <v>2950000</v>
      </c>
      <c r="H172" s="23">
        <v>5.0000000000000001E-3</v>
      </c>
      <c r="I172" s="39">
        <v>44409</v>
      </c>
      <c r="J172" s="39">
        <v>44439</v>
      </c>
      <c r="K172" s="24">
        <f t="shared" si="12"/>
        <v>31</v>
      </c>
      <c r="L172" s="24">
        <f t="shared" si="13"/>
        <v>1253</v>
      </c>
      <c r="M172" s="24">
        <v>2950000</v>
      </c>
    </row>
    <row r="173" spans="1:13" s="5" customFormat="1" outlineLevel="2">
      <c r="A173" s="39" t="s">
        <v>108</v>
      </c>
      <c r="B173" s="40" t="s">
        <v>36</v>
      </c>
      <c r="C173" s="41" t="s">
        <v>109</v>
      </c>
      <c r="D173" s="40" t="s">
        <v>110</v>
      </c>
      <c r="E173" s="24">
        <v>15120000</v>
      </c>
      <c r="F173" s="39">
        <v>44091</v>
      </c>
      <c r="G173" s="24">
        <v>15120000</v>
      </c>
      <c r="H173" s="23">
        <v>5.0000000000000001E-3</v>
      </c>
      <c r="I173" s="39">
        <v>44409</v>
      </c>
      <c r="J173" s="39">
        <v>44439</v>
      </c>
      <c r="K173" s="24">
        <f t="shared" si="12"/>
        <v>31</v>
      </c>
      <c r="L173" s="24">
        <f t="shared" si="13"/>
        <v>6421</v>
      </c>
      <c r="M173" s="24">
        <v>15120000</v>
      </c>
    </row>
    <row r="174" spans="1:13" s="5" customFormat="1" outlineLevel="2">
      <c r="A174" s="39" t="s">
        <v>108</v>
      </c>
      <c r="B174" s="40" t="s">
        <v>39</v>
      </c>
      <c r="C174" s="41" t="s">
        <v>111</v>
      </c>
      <c r="D174" s="40" t="s">
        <v>112</v>
      </c>
      <c r="E174" s="24">
        <v>6200000</v>
      </c>
      <c r="F174" s="39">
        <v>43929</v>
      </c>
      <c r="G174" s="24">
        <v>6200000</v>
      </c>
      <c r="H174" s="23">
        <v>5.0000000000000001E-3</v>
      </c>
      <c r="I174" s="39">
        <v>44409</v>
      </c>
      <c r="J174" s="39">
        <v>44439</v>
      </c>
      <c r="K174" s="24">
        <f t="shared" si="12"/>
        <v>31</v>
      </c>
      <c r="L174" s="24">
        <f t="shared" si="13"/>
        <v>2633</v>
      </c>
      <c r="M174" s="24">
        <v>6200000</v>
      </c>
    </row>
    <row r="175" spans="1:13" s="5" customFormat="1" outlineLevel="2">
      <c r="A175" s="39" t="s">
        <v>108</v>
      </c>
      <c r="B175" s="40" t="s">
        <v>40</v>
      </c>
      <c r="C175" s="41" t="s">
        <v>27</v>
      </c>
      <c r="D175" s="40" t="s">
        <v>28</v>
      </c>
      <c r="E175" s="24">
        <v>10000000</v>
      </c>
      <c r="F175" s="39">
        <v>44111</v>
      </c>
      <c r="G175" s="24">
        <v>8333340</v>
      </c>
      <c r="H175" s="23">
        <v>5.0000000000000001E-3</v>
      </c>
      <c r="I175" s="39">
        <v>44409</v>
      </c>
      <c r="J175" s="39">
        <v>44423</v>
      </c>
      <c r="K175" s="24">
        <f t="shared" si="12"/>
        <v>15</v>
      </c>
      <c r="L175" s="24">
        <f t="shared" si="13"/>
        <v>1712</v>
      </c>
      <c r="M175" s="24">
        <v>8166674</v>
      </c>
    </row>
    <row r="176" spans="1:13" s="5" customFormat="1" outlineLevel="2">
      <c r="A176" s="39" t="s">
        <v>108</v>
      </c>
      <c r="B176" s="40" t="s">
        <v>40</v>
      </c>
      <c r="C176" s="41" t="s">
        <v>27</v>
      </c>
      <c r="D176" s="40"/>
      <c r="E176" s="24"/>
      <c r="F176" s="39"/>
      <c r="G176" s="24">
        <v>8166674</v>
      </c>
      <c r="H176" s="23">
        <v>5.0000000000000001E-3</v>
      </c>
      <c r="I176" s="39">
        <v>44424</v>
      </c>
      <c r="J176" s="39">
        <v>44439</v>
      </c>
      <c r="K176" s="24">
        <f t="shared" si="12"/>
        <v>16</v>
      </c>
      <c r="L176" s="24">
        <f t="shared" si="13"/>
        <v>1790</v>
      </c>
      <c r="M176" s="24"/>
    </row>
    <row r="177" spans="1:13" s="5" customFormat="1" outlineLevel="2">
      <c r="A177" s="39" t="s">
        <v>108</v>
      </c>
      <c r="B177" s="40" t="s">
        <v>41</v>
      </c>
      <c r="C177" s="41" t="s">
        <v>27</v>
      </c>
      <c r="D177" s="40" t="s">
        <v>28</v>
      </c>
      <c r="E177" s="24">
        <v>24450000</v>
      </c>
      <c r="F177" s="39">
        <v>44120</v>
      </c>
      <c r="G177" s="24">
        <v>20720346</v>
      </c>
      <c r="H177" s="23">
        <v>5.0000000000000001E-3</v>
      </c>
      <c r="I177" s="39">
        <v>44409</v>
      </c>
      <c r="J177" s="39">
        <v>44423</v>
      </c>
      <c r="K177" s="24">
        <f t="shared" si="12"/>
        <v>15</v>
      </c>
      <c r="L177" s="24">
        <f t="shared" si="13"/>
        <v>4258</v>
      </c>
      <c r="M177" s="24">
        <v>20305940</v>
      </c>
    </row>
    <row r="178" spans="1:13" s="5" customFormat="1" outlineLevel="2">
      <c r="A178" s="39" t="s">
        <v>108</v>
      </c>
      <c r="B178" s="40" t="s">
        <v>41</v>
      </c>
      <c r="C178" s="41" t="s">
        <v>27</v>
      </c>
      <c r="D178" s="40"/>
      <c r="E178" s="24"/>
      <c r="F178" s="39"/>
      <c r="G178" s="24">
        <v>20305940</v>
      </c>
      <c r="H178" s="23">
        <v>5.0000000000000001E-3</v>
      </c>
      <c r="I178" s="39">
        <v>44424</v>
      </c>
      <c r="J178" s="39">
        <v>44439</v>
      </c>
      <c r="K178" s="24">
        <f t="shared" si="12"/>
        <v>16</v>
      </c>
      <c r="L178" s="24">
        <f t="shared" si="13"/>
        <v>4451</v>
      </c>
      <c r="M178" s="24"/>
    </row>
    <row r="179" spans="1:13" s="5" customFormat="1" outlineLevel="2">
      <c r="A179" s="39" t="s">
        <v>108</v>
      </c>
      <c r="B179" s="40" t="s">
        <v>42</v>
      </c>
      <c r="C179" s="41" t="s">
        <v>23</v>
      </c>
      <c r="D179" s="40" t="s">
        <v>24</v>
      </c>
      <c r="E179" s="24">
        <v>26100000</v>
      </c>
      <c r="F179" s="39">
        <v>44124</v>
      </c>
      <c r="G179" s="24">
        <v>26100000</v>
      </c>
      <c r="H179" s="23">
        <v>5.0000000000000001E-3</v>
      </c>
      <c r="I179" s="39">
        <v>44409</v>
      </c>
      <c r="J179" s="39">
        <v>44439</v>
      </c>
      <c r="K179" s="24">
        <f t="shared" si="12"/>
        <v>31</v>
      </c>
      <c r="L179" s="24">
        <f t="shared" si="13"/>
        <v>11084</v>
      </c>
      <c r="M179" s="24">
        <v>26100000</v>
      </c>
    </row>
    <row r="180" spans="1:13" s="5" customFormat="1" outlineLevel="2">
      <c r="A180" s="39" t="s">
        <v>108</v>
      </c>
      <c r="B180" s="40" t="s">
        <v>43</v>
      </c>
      <c r="C180" s="41" t="s">
        <v>27</v>
      </c>
      <c r="D180" s="40" t="s">
        <v>28</v>
      </c>
      <c r="E180" s="24">
        <v>25800000</v>
      </c>
      <c r="F180" s="39">
        <v>44137</v>
      </c>
      <c r="G180" s="24">
        <v>21864408</v>
      </c>
      <c r="H180" s="23">
        <v>5.0000000000000001E-3</v>
      </c>
      <c r="I180" s="39">
        <v>44409</v>
      </c>
      <c r="J180" s="39">
        <v>44423</v>
      </c>
      <c r="K180" s="24">
        <f t="shared" si="12"/>
        <v>15</v>
      </c>
      <c r="L180" s="24">
        <f t="shared" si="13"/>
        <v>4493</v>
      </c>
      <c r="M180" s="24">
        <v>21427120</v>
      </c>
    </row>
    <row r="181" spans="1:13" s="5" customFormat="1" outlineLevel="2">
      <c r="A181" s="39" t="s">
        <v>108</v>
      </c>
      <c r="B181" s="40" t="s">
        <v>43</v>
      </c>
      <c r="C181" s="41" t="s">
        <v>27</v>
      </c>
      <c r="D181" s="40"/>
      <c r="E181" s="24"/>
      <c r="F181" s="39"/>
      <c r="G181" s="24">
        <v>21427120</v>
      </c>
      <c r="H181" s="23">
        <v>5.0000000000000001E-3</v>
      </c>
      <c r="I181" s="39">
        <v>44424</v>
      </c>
      <c r="J181" s="39">
        <v>44439</v>
      </c>
      <c r="K181" s="24">
        <f t="shared" si="12"/>
        <v>16</v>
      </c>
      <c r="L181" s="24">
        <f t="shared" si="13"/>
        <v>4696</v>
      </c>
      <c r="M181" s="24"/>
    </row>
    <row r="182" spans="1:13" s="5" customFormat="1" outlineLevel="2">
      <c r="A182" s="39" t="s">
        <v>108</v>
      </c>
      <c r="B182" s="40" t="s">
        <v>44</v>
      </c>
      <c r="C182" s="41" t="s">
        <v>115</v>
      </c>
      <c r="D182" s="40" t="s">
        <v>116</v>
      </c>
      <c r="E182" s="24">
        <v>1200000</v>
      </c>
      <c r="F182" s="39">
        <v>44138</v>
      </c>
      <c r="G182" s="24">
        <v>1200000</v>
      </c>
      <c r="H182" s="23">
        <v>5.0000000000000001E-3</v>
      </c>
      <c r="I182" s="39">
        <v>44409</v>
      </c>
      <c r="J182" s="39">
        <v>44439</v>
      </c>
      <c r="K182" s="24">
        <f t="shared" si="12"/>
        <v>31</v>
      </c>
      <c r="L182" s="24">
        <f t="shared" si="13"/>
        <v>510</v>
      </c>
      <c r="M182" s="24">
        <v>1200000</v>
      </c>
    </row>
    <row r="183" spans="1:13" s="5" customFormat="1" outlineLevel="2">
      <c r="A183" s="39" t="s">
        <v>108</v>
      </c>
      <c r="B183" s="40" t="s">
        <v>47</v>
      </c>
      <c r="C183" s="41" t="s">
        <v>115</v>
      </c>
      <c r="D183" s="40" t="s">
        <v>116</v>
      </c>
      <c r="E183" s="24">
        <v>2350000</v>
      </c>
      <c r="F183" s="39">
        <v>44138</v>
      </c>
      <c r="G183" s="24">
        <v>2350000</v>
      </c>
      <c r="H183" s="23">
        <v>5.0000000000000001E-3</v>
      </c>
      <c r="I183" s="39">
        <v>44409</v>
      </c>
      <c r="J183" s="39">
        <v>44439</v>
      </c>
      <c r="K183" s="24">
        <f t="shared" si="12"/>
        <v>31</v>
      </c>
      <c r="L183" s="24">
        <f t="shared" si="13"/>
        <v>998</v>
      </c>
      <c r="M183" s="24">
        <v>2350000</v>
      </c>
    </row>
    <row r="184" spans="1:13" s="5" customFormat="1" outlineLevel="2">
      <c r="A184" s="39" t="s">
        <v>108</v>
      </c>
      <c r="B184" s="40" t="s">
        <v>50</v>
      </c>
      <c r="C184" s="41" t="s">
        <v>113</v>
      </c>
      <c r="D184" s="40" t="s">
        <v>114</v>
      </c>
      <c r="E184" s="24">
        <v>23200000</v>
      </c>
      <c r="F184" s="39">
        <v>44151</v>
      </c>
      <c r="G184" s="24">
        <v>21586088</v>
      </c>
      <c r="H184" s="23">
        <v>5.0000000000000001E-3</v>
      </c>
      <c r="I184" s="39">
        <v>44409</v>
      </c>
      <c r="J184" s="39">
        <v>44423</v>
      </c>
      <c r="K184" s="24">
        <f t="shared" si="12"/>
        <v>15</v>
      </c>
      <c r="L184" s="24">
        <f t="shared" si="13"/>
        <v>4435</v>
      </c>
      <c r="M184" s="24">
        <v>21384349</v>
      </c>
    </row>
    <row r="185" spans="1:13" s="5" customFormat="1" outlineLevel="2">
      <c r="A185" s="39" t="s">
        <v>108</v>
      </c>
      <c r="B185" s="40" t="s">
        <v>50</v>
      </c>
      <c r="C185" s="41" t="s">
        <v>113</v>
      </c>
      <c r="D185" s="40"/>
      <c r="E185" s="24"/>
      <c r="F185" s="39"/>
      <c r="G185" s="24">
        <v>21384349</v>
      </c>
      <c r="H185" s="23">
        <v>5.0000000000000001E-3</v>
      </c>
      <c r="I185" s="39">
        <v>44424</v>
      </c>
      <c r="J185" s="39">
        <v>44439</v>
      </c>
      <c r="K185" s="24">
        <f t="shared" si="12"/>
        <v>16</v>
      </c>
      <c r="L185" s="24">
        <f t="shared" si="13"/>
        <v>4687</v>
      </c>
      <c r="M185" s="24"/>
    </row>
    <row r="186" spans="1:13" s="5" customFormat="1" outlineLevel="2">
      <c r="A186" s="39" t="s">
        <v>108</v>
      </c>
      <c r="B186" s="40" t="s">
        <v>51</v>
      </c>
      <c r="C186" s="41" t="s">
        <v>111</v>
      </c>
      <c r="D186" s="40" t="s">
        <v>112</v>
      </c>
      <c r="E186" s="24">
        <v>5910000</v>
      </c>
      <c r="F186" s="39">
        <v>44151</v>
      </c>
      <c r="G186" s="24">
        <v>5910000</v>
      </c>
      <c r="H186" s="23">
        <v>5.0000000000000001E-3</v>
      </c>
      <c r="I186" s="39">
        <v>44409</v>
      </c>
      <c r="J186" s="39">
        <v>44439</v>
      </c>
      <c r="K186" s="24">
        <f t="shared" si="12"/>
        <v>31</v>
      </c>
      <c r="L186" s="24">
        <f t="shared" si="13"/>
        <v>2510</v>
      </c>
      <c r="M186" s="24">
        <v>5910000</v>
      </c>
    </row>
    <row r="187" spans="1:13" s="5" customFormat="1" outlineLevel="2">
      <c r="A187" s="39" t="s">
        <v>108</v>
      </c>
      <c r="B187" s="40" t="s">
        <v>52</v>
      </c>
      <c r="C187" s="41" t="s">
        <v>117</v>
      </c>
      <c r="D187" s="40" t="s">
        <v>118</v>
      </c>
      <c r="E187" s="24">
        <v>26000000</v>
      </c>
      <c r="F187" s="39">
        <v>44162</v>
      </c>
      <c r="G187" s="24">
        <v>24159296</v>
      </c>
      <c r="H187" s="23">
        <v>5.0000000000000001E-3</v>
      </c>
      <c r="I187" s="39">
        <v>44409</v>
      </c>
      <c r="J187" s="39">
        <v>44423</v>
      </c>
      <c r="K187" s="24">
        <f t="shared" si="12"/>
        <v>15</v>
      </c>
      <c r="L187" s="24">
        <f t="shared" si="13"/>
        <v>4964</v>
      </c>
      <c r="M187" s="24">
        <v>23929208</v>
      </c>
    </row>
    <row r="188" spans="1:13" s="5" customFormat="1" outlineLevel="2">
      <c r="A188" s="39" t="s">
        <v>108</v>
      </c>
      <c r="B188" s="40" t="s">
        <v>52</v>
      </c>
      <c r="C188" s="41" t="s">
        <v>117</v>
      </c>
      <c r="D188" s="40"/>
      <c r="E188" s="24"/>
      <c r="F188" s="39"/>
      <c r="G188" s="24">
        <v>23929208</v>
      </c>
      <c r="H188" s="23">
        <v>5.0000000000000001E-3</v>
      </c>
      <c r="I188" s="39">
        <v>44424</v>
      </c>
      <c r="J188" s="39">
        <v>44439</v>
      </c>
      <c r="K188" s="24">
        <f t="shared" si="12"/>
        <v>16</v>
      </c>
      <c r="L188" s="24">
        <f t="shared" si="13"/>
        <v>5245</v>
      </c>
      <c r="M188" s="24"/>
    </row>
    <row r="189" spans="1:13" s="5" customFormat="1" outlineLevel="2">
      <c r="A189" s="39" t="s">
        <v>108</v>
      </c>
      <c r="B189" s="40" t="s">
        <v>53</v>
      </c>
      <c r="C189" s="41" t="s">
        <v>27</v>
      </c>
      <c r="D189" s="40" t="s">
        <v>28</v>
      </c>
      <c r="E189" s="24">
        <v>9280000</v>
      </c>
      <c r="F189" s="39">
        <v>44167</v>
      </c>
      <c r="G189" s="24">
        <v>8000000</v>
      </c>
      <c r="H189" s="23">
        <v>5.0000000000000001E-3</v>
      </c>
      <c r="I189" s="39">
        <v>44409</v>
      </c>
      <c r="J189" s="39">
        <v>44423</v>
      </c>
      <c r="K189" s="24">
        <f t="shared" si="12"/>
        <v>15</v>
      </c>
      <c r="L189" s="24">
        <f t="shared" si="13"/>
        <v>1644</v>
      </c>
      <c r="M189" s="24">
        <v>7840000</v>
      </c>
    </row>
    <row r="190" spans="1:13" s="5" customFormat="1" outlineLevel="2">
      <c r="A190" s="39" t="s">
        <v>108</v>
      </c>
      <c r="B190" s="40" t="s">
        <v>53</v>
      </c>
      <c r="C190" s="41" t="s">
        <v>27</v>
      </c>
      <c r="D190" s="40"/>
      <c r="E190" s="24"/>
      <c r="F190" s="39"/>
      <c r="G190" s="24">
        <v>7840000</v>
      </c>
      <c r="H190" s="23">
        <v>5.0000000000000001E-3</v>
      </c>
      <c r="I190" s="39">
        <v>44424</v>
      </c>
      <c r="J190" s="39">
        <v>44439</v>
      </c>
      <c r="K190" s="24">
        <f t="shared" si="12"/>
        <v>16</v>
      </c>
      <c r="L190" s="24">
        <f t="shared" si="13"/>
        <v>1718</v>
      </c>
      <c r="M190" s="24"/>
    </row>
    <row r="191" spans="1:13" s="5" customFormat="1" outlineLevel="2">
      <c r="A191" s="39" t="s">
        <v>108</v>
      </c>
      <c r="B191" s="40" t="s">
        <v>54</v>
      </c>
      <c r="C191" s="41" t="s">
        <v>111</v>
      </c>
      <c r="D191" s="40" t="s">
        <v>112</v>
      </c>
      <c r="E191" s="24">
        <v>23630000</v>
      </c>
      <c r="F191" s="39">
        <v>43936</v>
      </c>
      <c r="G191" s="24">
        <v>23630000</v>
      </c>
      <c r="H191" s="23">
        <v>5.0000000000000001E-3</v>
      </c>
      <c r="I191" s="39">
        <v>44409</v>
      </c>
      <c r="J191" s="39">
        <v>44439</v>
      </c>
      <c r="K191" s="24">
        <f t="shared" ref="K191:K222" si="14">J191-I191+1</f>
        <v>31</v>
      </c>
      <c r="L191" s="24">
        <f t="shared" ref="L191:L222" si="15">ROUND(G191*H191*K191/365,0)</f>
        <v>10035</v>
      </c>
      <c r="M191" s="24">
        <v>23630000</v>
      </c>
    </row>
    <row r="192" spans="1:13" s="5" customFormat="1" outlineLevel="2">
      <c r="A192" s="39" t="s">
        <v>108</v>
      </c>
      <c r="B192" s="40" t="s">
        <v>57</v>
      </c>
      <c r="C192" s="41" t="s">
        <v>27</v>
      </c>
      <c r="D192" s="40" t="s">
        <v>28</v>
      </c>
      <c r="E192" s="24">
        <v>10470000</v>
      </c>
      <c r="F192" s="39">
        <v>44181</v>
      </c>
      <c r="G192" s="24">
        <v>9184212</v>
      </c>
      <c r="H192" s="23">
        <v>5.0000000000000001E-3</v>
      </c>
      <c r="I192" s="39">
        <v>44409</v>
      </c>
      <c r="J192" s="39">
        <v>44423</v>
      </c>
      <c r="K192" s="24">
        <f t="shared" si="14"/>
        <v>15</v>
      </c>
      <c r="L192" s="24">
        <f t="shared" si="15"/>
        <v>1887</v>
      </c>
      <c r="M192" s="24">
        <v>9000528</v>
      </c>
    </row>
    <row r="193" spans="1:13" s="5" customFormat="1" outlineLevel="2">
      <c r="A193" s="39" t="s">
        <v>108</v>
      </c>
      <c r="B193" s="40" t="s">
        <v>57</v>
      </c>
      <c r="C193" s="41" t="s">
        <v>27</v>
      </c>
      <c r="D193" s="40"/>
      <c r="E193" s="24"/>
      <c r="F193" s="39"/>
      <c r="G193" s="24">
        <v>9000528</v>
      </c>
      <c r="H193" s="23">
        <v>5.0000000000000001E-3</v>
      </c>
      <c r="I193" s="39">
        <v>44424</v>
      </c>
      <c r="J193" s="39">
        <v>44439</v>
      </c>
      <c r="K193" s="24">
        <f t="shared" si="14"/>
        <v>16</v>
      </c>
      <c r="L193" s="24">
        <f t="shared" si="15"/>
        <v>1973</v>
      </c>
      <c r="M193" s="24"/>
    </row>
    <row r="194" spans="1:13" s="5" customFormat="1" outlineLevel="2">
      <c r="A194" s="39" t="s">
        <v>108</v>
      </c>
      <c r="B194" s="40" t="s">
        <v>58</v>
      </c>
      <c r="C194" s="41" t="s">
        <v>111</v>
      </c>
      <c r="D194" s="40" t="s">
        <v>112</v>
      </c>
      <c r="E194" s="24">
        <v>2950000</v>
      </c>
      <c r="F194" s="39">
        <v>44180</v>
      </c>
      <c r="G194" s="24">
        <v>2950000</v>
      </c>
      <c r="H194" s="23">
        <v>5.0000000000000001E-3</v>
      </c>
      <c r="I194" s="39">
        <v>44409</v>
      </c>
      <c r="J194" s="39">
        <v>44439</v>
      </c>
      <c r="K194" s="24">
        <f t="shared" si="14"/>
        <v>31</v>
      </c>
      <c r="L194" s="24">
        <f t="shared" si="15"/>
        <v>1253</v>
      </c>
      <c r="M194" s="24">
        <v>2950000</v>
      </c>
    </row>
    <row r="195" spans="1:13" s="5" customFormat="1" outlineLevel="2">
      <c r="A195" s="39" t="s">
        <v>108</v>
      </c>
      <c r="B195" s="40" t="s">
        <v>99</v>
      </c>
      <c r="C195" s="41" t="s">
        <v>115</v>
      </c>
      <c r="D195" s="40" t="s">
        <v>116</v>
      </c>
      <c r="E195" s="24">
        <v>24400000</v>
      </c>
      <c r="F195" s="39">
        <v>44193</v>
      </c>
      <c r="G195" s="24">
        <v>24400000</v>
      </c>
      <c r="H195" s="23">
        <v>5.0000000000000001E-3</v>
      </c>
      <c r="I195" s="39">
        <v>44409</v>
      </c>
      <c r="J195" s="39">
        <v>44439</v>
      </c>
      <c r="K195" s="24">
        <f t="shared" si="14"/>
        <v>31</v>
      </c>
      <c r="L195" s="24">
        <f t="shared" si="15"/>
        <v>10362</v>
      </c>
      <c r="M195" s="24">
        <v>24400000</v>
      </c>
    </row>
    <row r="196" spans="1:13" s="5" customFormat="1" outlineLevel="2">
      <c r="A196" s="39" t="s">
        <v>108</v>
      </c>
      <c r="B196" s="40" t="s">
        <v>100</v>
      </c>
      <c r="C196" s="41" t="s">
        <v>115</v>
      </c>
      <c r="D196" s="40" t="s">
        <v>116</v>
      </c>
      <c r="E196" s="24">
        <v>5500000</v>
      </c>
      <c r="F196" s="39">
        <v>44193</v>
      </c>
      <c r="G196" s="24">
        <v>5500000</v>
      </c>
      <c r="H196" s="23">
        <v>5.0000000000000001E-3</v>
      </c>
      <c r="I196" s="39">
        <v>44409</v>
      </c>
      <c r="J196" s="39">
        <v>44439</v>
      </c>
      <c r="K196" s="24">
        <f t="shared" si="14"/>
        <v>31</v>
      </c>
      <c r="L196" s="24">
        <f t="shared" si="15"/>
        <v>2336</v>
      </c>
      <c r="M196" s="24">
        <v>5500000</v>
      </c>
    </row>
    <row r="197" spans="1:13" s="5" customFormat="1" outlineLevel="2">
      <c r="A197" s="39" t="s">
        <v>108</v>
      </c>
      <c r="B197" s="40" t="s">
        <v>101</v>
      </c>
      <c r="C197" s="41" t="s">
        <v>115</v>
      </c>
      <c r="D197" s="40" t="s">
        <v>116</v>
      </c>
      <c r="E197" s="24">
        <v>28050000</v>
      </c>
      <c r="F197" s="39">
        <v>44193</v>
      </c>
      <c r="G197" s="24">
        <v>28050000</v>
      </c>
      <c r="H197" s="23">
        <v>5.0000000000000001E-3</v>
      </c>
      <c r="I197" s="39">
        <v>44409</v>
      </c>
      <c r="J197" s="39">
        <v>44439</v>
      </c>
      <c r="K197" s="24">
        <f t="shared" si="14"/>
        <v>31</v>
      </c>
      <c r="L197" s="24">
        <f t="shared" si="15"/>
        <v>11912</v>
      </c>
      <c r="M197" s="24">
        <v>28050000</v>
      </c>
    </row>
    <row r="198" spans="1:13" s="5" customFormat="1" outlineLevel="2">
      <c r="A198" s="39" t="s">
        <v>108</v>
      </c>
      <c r="B198" s="40" t="s">
        <v>102</v>
      </c>
      <c r="C198" s="41" t="s">
        <v>115</v>
      </c>
      <c r="D198" s="40" t="s">
        <v>116</v>
      </c>
      <c r="E198" s="24">
        <v>5000000</v>
      </c>
      <c r="F198" s="39">
        <v>44193</v>
      </c>
      <c r="G198" s="24">
        <v>5000000</v>
      </c>
      <c r="H198" s="23">
        <v>5.0000000000000001E-3</v>
      </c>
      <c r="I198" s="39">
        <v>44409</v>
      </c>
      <c r="J198" s="39">
        <v>44439</v>
      </c>
      <c r="K198" s="24">
        <f t="shared" si="14"/>
        <v>31</v>
      </c>
      <c r="L198" s="24">
        <f t="shared" si="15"/>
        <v>2123</v>
      </c>
      <c r="M198" s="24">
        <v>5000000</v>
      </c>
    </row>
    <row r="199" spans="1:13" s="5" customFormat="1" outlineLevel="2">
      <c r="A199" s="39" t="s">
        <v>108</v>
      </c>
      <c r="B199" s="40" t="s">
        <v>103</v>
      </c>
      <c r="C199" s="41" t="s">
        <v>111</v>
      </c>
      <c r="D199" s="40" t="s">
        <v>112</v>
      </c>
      <c r="E199" s="24">
        <v>4920000</v>
      </c>
      <c r="F199" s="39">
        <v>44211</v>
      </c>
      <c r="G199" s="24">
        <v>4920000</v>
      </c>
      <c r="H199" s="23">
        <v>5.0000000000000001E-3</v>
      </c>
      <c r="I199" s="39">
        <v>44409</v>
      </c>
      <c r="J199" s="39">
        <v>44439</v>
      </c>
      <c r="K199" s="24">
        <f t="shared" si="14"/>
        <v>31</v>
      </c>
      <c r="L199" s="24">
        <f t="shared" si="15"/>
        <v>2089</v>
      </c>
      <c r="M199" s="24">
        <v>4920000</v>
      </c>
    </row>
    <row r="200" spans="1:13" s="5" customFormat="1" outlineLevel="2">
      <c r="A200" s="39" t="s">
        <v>108</v>
      </c>
      <c r="B200" s="40" t="s">
        <v>104</v>
      </c>
      <c r="C200" s="41" t="s">
        <v>115</v>
      </c>
      <c r="D200" s="40" t="s">
        <v>116</v>
      </c>
      <c r="E200" s="24">
        <v>7300000</v>
      </c>
      <c r="F200" s="39">
        <v>44224</v>
      </c>
      <c r="G200" s="24">
        <v>7300000</v>
      </c>
      <c r="H200" s="23">
        <v>5.0000000000000001E-3</v>
      </c>
      <c r="I200" s="39">
        <v>44409</v>
      </c>
      <c r="J200" s="39">
        <v>44439</v>
      </c>
      <c r="K200" s="24">
        <f t="shared" si="14"/>
        <v>31</v>
      </c>
      <c r="L200" s="24">
        <f t="shared" si="15"/>
        <v>3100</v>
      </c>
      <c r="M200" s="24">
        <v>7300000</v>
      </c>
    </row>
    <row r="201" spans="1:13" s="5" customFormat="1" outlineLevel="2">
      <c r="A201" s="39" t="s">
        <v>108</v>
      </c>
      <c r="B201" s="40" t="s">
        <v>105</v>
      </c>
      <c r="C201" s="41" t="s">
        <v>115</v>
      </c>
      <c r="D201" s="40" t="s">
        <v>116</v>
      </c>
      <c r="E201" s="24">
        <v>15000000</v>
      </c>
      <c r="F201" s="39">
        <v>44224</v>
      </c>
      <c r="G201" s="24">
        <v>15000000</v>
      </c>
      <c r="H201" s="23">
        <v>5.0000000000000001E-3</v>
      </c>
      <c r="I201" s="39">
        <v>44409</v>
      </c>
      <c r="J201" s="39">
        <v>44439</v>
      </c>
      <c r="K201" s="24">
        <f t="shared" si="14"/>
        <v>31</v>
      </c>
      <c r="L201" s="24">
        <f t="shared" si="15"/>
        <v>6370</v>
      </c>
      <c r="M201" s="24">
        <v>15000000</v>
      </c>
    </row>
    <row r="202" spans="1:13" s="5" customFormat="1" outlineLevel="2">
      <c r="A202" s="39" t="s">
        <v>108</v>
      </c>
      <c r="B202" s="40" t="s">
        <v>106</v>
      </c>
      <c r="C202" s="41" t="s">
        <v>113</v>
      </c>
      <c r="D202" s="40" t="s">
        <v>114</v>
      </c>
      <c r="E202" s="24">
        <v>23200000</v>
      </c>
      <c r="F202" s="39">
        <v>44229</v>
      </c>
      <c r="G202" s="24">
        <v>21968146</v>
      </c>
      <c r="H202" s="23">
        <v>5.0000000000000001E-3</v>
      </c>
      <c r="I202" s="39">
        <v>44409</v>
      </c>
      <c r="J202" s="39">
        <v>44423</v>
      </c>
      <c r="K202" s="24">
        <f t="shared" si="14"/>
        <v>15</v>
      </c>
      <c r="L202" s="24">
        <f t="shared" si="15"/>
        <v>4514</v>
      </c>
      <c r="M202" s="24">
        <v>21762837</v>
      </c>
    </row>
    <row r="203" spans="1:13" s="5" customFormat="1" outlineLevel="2">
      <c r="A203" s="39" t="s">
        <v>108</v>
      </c>
      <c r="B203" s="40" t="s">
        <v>106</v>
      </c>
      <c r="C203" s="41" t="s">
        <v>113</v>
      </c>
      <c r="D203" s="40"/>
      <c r="E203" s="24"/>
      <c r="F203" s="39"/>
      <c r="G203" s="24">
        <v>21762837</v>
      </c>
      <c r="H203" s="23">
        <v>5.0000000000000001E-3</v>
      </c>
      <c r="I203" s="39">
        <v>44424</v>
      </c>
      <c r="J203" s="39">
        <v>44439</v>
      </c>
      <c r="K203" s="24">
        <f t="shared" si="14"/>
        <v>16</v>
      </c>
      <c r="L203" s="24">
        <f t="shared" si="15"/>
        <v>4770</v>
      </c>
      <c r="M203" s="24"/>
    </row>
    <row r="204" spans="1:13" s="5" customFormat="1" outlineLevel="2">
      <c r="A204" s="39" t="s">
        <v>108</v>
      </c>
      <c r="B204" s="40" t="s">
        <v>59</v>
      </c>
      <c r="C204" s="41" t="s">
        <v>117</v>
      </c>
      <c r="D204" s="40" t="s">
        <v>118</v>
      </c>
      <c r="E204" s="24">
        <v>24000000</v>
      </c>
      <c r="F204" s="39">
        <v>43937</v>
      </c>
      <c r="G204" s="24">
        <v>21000000</v>
      </c>
      <c r="H204" s="23">
        <v>5.0000000000000001E-3</v>
      </c>
      <c r="I204" s="39">
        <v>44409</v>
      </c>
      <c r="J204" s="39">
        <v>44423</v>
      </c>
      <c r="K204" s="24">
        <f t="shared" si="14"/>
        <v>15</v>
      </c>
      <c r="L204" s="24">
        <f t="shared" si="15"/>
        <v>4315</v>
      </c>
      <c r="M204" s="24">
        <v>20800000</v>
      </c>
    </row>
    <row r="205" spans="1:13" s="5" customFormat="1" outlineLevel="2">
      <c r="A205" s="39" t="s">
        <v>108</v>
      </c>
      <c r="B205" s="40" t="s">
        <v>59</v>
      </c>
      <c r="C205" s="41" t="s">
        <v>117</v>
      </c>
      <c r="D205" s="40"/>
      <c r="E205" s="24"/>
      <c r="F205" s="39"/>
      <c r="G205" s="24">
        <v>20800000</v>
      </c>
      <c r="H205" s="23">
        <v>5.0000000000000001E-3</v>
      </c>
      <c r="I205" s="39">
        <v>44424</v>
      </c>
      <c r="J205" s="39">
        <v>44439</v>
      </c>
      <c r="K205" s="24">
        <f t="shared" si="14"/>
        <v>16</v>
      </c>
      <c r="L205" s="24">
        <f t="shared" si="15"/>
        <v>4559</v>
      </c>
      <c r="M205" s="24"/>
    </row>
    <row r="206" spans="1:13" s="5" customFormat="1" outlineLevel="2">
      <c r="A206" s="39" t="s">
        <v>108</v>
      </c>
      <c r="B206" s="40" t="s">
        <v>136</v>
      </c>
      <c r="C206" s="41" t="s">
        <v>111</v>
      </c>
      <c r="D206" s="40" t="s">
        <v>112</v>
      </c>
      <c r="E206" s="24">
        <v>3410000</v>
      </c>
      <c r="F206" s="39">
        <v>44270</v>
      </c>
      <c r="G206" s="24">
        <v>3410000</v>
      </c>
      <c r="H206" s="23">
        <v>5.0000000000000001E-3</v>
      </c>
      <c r="I206" s="39">
        <v>44409</v>
      </c>
      <c r="J206" s="39">
        <v>44439</v>
      </c>
      <c r="K206" s="24">
        <f t="shared" si="14"/>
        <v>31</v>
      </c>
      <c r="L206" s="24">
        <f t="shared" si="15"/>
        <v>1448</v>
      </c>
      <c r="M206" s="24">
        <v>3410000</v>
      </c>
    </row>
    <row r="207" spans="1:13" s="5" customFormat="1" outlineLevel="2">
      <c r="A207" s="39" t="s">
        <v>108</v>
      </c>
      <c r="B207" s="40" t="s">
        <v>137</v>
      </c>
      <c r="C207" s="41" t="s">
        <v>117</v>
      </c>
      <c r="D207" s="40" t="s">
        <v>118</v>
      </c>
      <c r="E207" s="24">
        <v>10000000</v>
      </c>
      <c r="F207" s="39">
        <v>44277</v>
      </c>
      <c r="G207" s="24">
        <v>9633028</v>
      </c>
      <c r="H207" s="23">
        <v>5.0000000000000001E-3</v>
      </c>
      <c r="I207" s="39">
        <v>44409</v>
      </c>
      <c r="J207" s="39">
        <v>44423</v>
      </c>
      <c r="K207" s="24">
        <f t="shared" si="14"/>
        <v>15</v>
      </c>
      <c r="L207" s="24">
        <f t="shared" si="15"/>
        <v>1979</v>
      </c>
      <c r="M207" s="24">
        <v>9541285</v>
      </c>
    </row>
    <row r="208" spans="1:13" s="5" customFormat="1" outlineLevel="2">
      <c r="A208" s="39" t="s">
        <v>108</v>
      </c>
      <c r="B208" s="40" t="s">
        <v>137</v>
      </c>
      <c r="C208" s="41" t="s">
        <v>117</v>
      </c>
      <c r="D208" s="40"/>
      <c r="E208" s="24"/>
      <c r="F208" s="39"/>
      <c r="G208" s="24">
        <v>9541285</v>
      </c>
      <c r="H208" s="23">
        <v>5.0000000000000001E-3</v>
      </c>
      <c r="I208" s="39">
        <v>44424</v>
      </c>
      <c r="J208" s="39">
        <v>44439</v>
      </c>
      <c r="K208" s="24">
        <f t="shared" si="14"/>
        <v>16</v>
      </c>
      <c r="L208" s="24">
        <f t="shared" si="15"/>
        <v>2091</v>
      </c>
      <c r="M208" s="24"/>
    </row>
    <row r="209" spans="1:13" s="5" customFormat="1" outlineLevel="2">
      <c r="A209" s="39" t="s">
        <v>108</v>
      </c>
      <c r="B209" s="40" t="s">
        <v>138</v>
      </c>
      <c r="C209" s="41" t="s">
        <v>123</v>
      </c>
      <c r="D209" s="40" t="s">
        <v>124</v>
      </c>
      <c r="E209" s="24">
        <v>51000000</v>
      </c>
      <c r="F209" s="39">
        <v>44294</v>
      </c>
      <c r="G209" s="24">
        <v>51000000</v>
      </c>
      <c r="H209" s="23">
        <v>5.0000000000000001E-3</v>
      </c>
      <c r="I209" s="39">
        <v>44409</v>
      </c>
      <c r="J209" s="39">
        <v>44439</v>
      </c>
      <c r="K209" s="24">
        <f t="shared" si="14"/>
        <v>31</v>
      </c>
      <c r="L209" s="24">
        <f t="shared" si="15"/>
        <v>21658</v>
      </c>
      <c r="M209" s="24">
        <v>51000000</v>
      </c>
    </row>
    <row r="210" spans="1:13" s="5" customFormat="1" outlineLevel="2">
      <c r="A210" s="39" t="s">
        <v>108</v>
      </c>
      <c r="B210" s="40" t="s">
        <v>139</v>
      </c>
      <c r="C210" s="41" t="s">
        <v>115</v>
      </c>
      <c r="D210" s="40" t="s">
        <v>116</v>
      </c>
      <c r="E210" s="24">
        <v>12000000</v>
      </c>
      <c r="F210" s="39">
        <v>44321</v>
      </c>
      <c r="G210" s="24">
        <v>12000000</v>
      </c>
      <c r="H210" s="23">
        <v>5.0000000000000001E-3</v>
      </c>
      <c r="I210" s="39">
        <v>44409</v>
      </c>
      <c r="J210" s="39">
        <v>44439</v>
      </c>
      <c r="K210" s="24">
        <f t="shared" si="14"/>
        <v>31</v>
      </c>
      <c r="L210" s="24">
        <f t="shared" si="15"/>
        <v>5096</v>
      </c>
      <c r="M210" s="24">
        <v>12000000</v>
      </c>
    </row>
    <row r="211" spans="1:13" s="5" customFormat="1" outlineLevel="2">
      <c r="A211" s="39" t="s">
        <v>108</v>
      </c>
      <c r="B211" s="40" t="s">
        <v>140</v>
      </c>
      <c r="C211" s="41" t="s">
        <v>115</v>
      </c>
      <c r="D211" s="40" t="s">
        <v>116</v>
      </c>
      <c r="E211" s="24">
        <v>21000000</v>
      </c>
      <c r="F211" s="39">
        <v>44330</v>
      </c>
      <c r="G211" s="24">
        <v>21000000</v>
      </c>
      <c r="H211" s="23">
        <v>5.0000000000000001E-3</v>
      </c>
      <c r="I211" s="39">
        <v>44409</v>
      </c>
      <c r="J211" s="39">
        <v>44439</v>
      </c>
      <c r="K211" s="24">
        <f t="shared" si="14"/>
        <v>31</v>
      </c>
      <c r="L211" s="24">
        <f t="shared" si="15"/>
        <v>8918</v>
      </c>
      <c r="M211" s="24">
        <v>21000000</v>
      </c>
    </row>
    <row r="212" spans="1:13" s="5" customFormat="1" outlineLevel="2">
      <c r="A212" s="39" t="s">
        <v>108</v>
      </c>
      <c r="B212" s="40" t="s">
        <v>169</v>
      </c>
      <c r="C212" s="41" t="s">
        <v>79</v>
      </c>
      <c r="D212" s="40" t="s">
        <v>80</v>
      </c>
      <c r="E212" s="24">
        <v>39150000</v>
      </c>
      <c r="F212" s="39">
        <v>44336</v>
      </c>
      <c r="G212" s="24">
        <v>39150000</v>
      </c>
      <c r="H212" s="23">
        <v>5.0000000000000001E-3</v>
      </c>
      <c r="I212" s="39">
        <v>44409</v>
      </c>
      <c r="J212" s="39">
        <v>44439</v>
      </c>
      <c r="K212" s="24">
        <f t="shared" si="14"/>
        <v>31</v>
      </c>
      <c r="L212" s="24">
        <f t="shared" si="15"/>
        <v>16625</v>
      </c>
      <c r="M212" s="24">
        <v>39150000</v>
      </c>
    </row>
    <row r="213" spans="1:13" s="5" customFormat="1" outlineLevel="2">
      <c r="A213" s="39" t="s">
        <v>108</v>
      </c>
      <c r="B213" s="40" t="s">
        <v>170</v>
      </c>
      <c r="C213" s="41" t="s">
        <v>123</v>
      </c>
      <c r="D213" s="40" t="s">
        <v>124</v>
      </c>
      <c r="E213" s="24">
        <v>92500000</v>
      </c>
      <c r="F213" s="39">
        <v>44341</v>
      </c>
      <c r="G213" s="24">
        <v>92500000</v>
      </c>
      <c r="H213" s="23">
        <v>5.0000000000000001E-3</v>
      </c>
      <c r="I213" s="39">
        <v>44409</v>
      </c>
      <c r="J213" s="39">
        <v>44439</v>
      </c>
      <c r="K213" s="24">
        <f t="shared" si="14"/>
        <v>31</v>
      </c>
      <c r="L213" s="24">
        <f t="shared" si="15"/>
        <v>39281</v>
      </c>
      <c r="M213" s="24">
        <v>92500000</v>
      </c>
    </row>
    <row r="214" spans="1:13" s="5" customFormat="1" outlineLevel="2">
      <c r="A214" s="39" t="s">
        <v>108</v>
      </c>
      <c r="B214" s="40" t="s">
        <v>171</v>
      </c>
      <c r="C214" s="41" t="s">
        <v>123</v>
      </c>
      <c r="D214" s="40" t="s">
        <v>124</v>
      </c>
      <c r="E214" s="24">
        <v>33500000</v>
      </c>
      <c r="F214" s="39">
        <v>44354</v>
      </c>
      <c r="G214" s="24">
        <v>33500000</v>
      </c>
      <c r="H214" s="23">
        <v>5.0000000000000001E-3</v>
      </c>
      <c r="I214" s="39">
        <v>44409</v>
      </c>
      <c r="J214" s="39">
        <v>44439</v>
      </c>
      <c r="K214" s="24">
        <f t="shared" si="14"/>
        <v>31</v>
      </c>
      <c r="L214" s="24">
        <f t="shared" si="15"/>
        <v>14226</v>
      </c>
      <c r="M214" s="24">
        <v>33500000</v>
      </c>
    </row>
    <row r="215" spans="1:13" s="5" customFormat="1" outlineLevel="2">
      <c r="A215" s="39" t="s">
        <v>108</v>
      </c>
      <c r="B215" s="40" t="s">
        <v>172</v>
      </c>
      <c r="C215" s="41" t="s">
        <v>111</v>
      </c>
      <c r="D215" s="40" t="s">
        <v>112</v>
      </c>
      <c r="E215" s="24">
        <v>810000</v>
      </c>
      <c r="F215" s="39">
        <v>44362</v>
      </c>
      <c r="G215" s="24">
        <v>810000</v>
      </c>
      <c r="H215" s="23">
        <v>5.0000000000000001E-3</v>
      </c>
      <c r="I215" s="39">
        <v>44409</v>
      </c>
      <c r="J215" s="39">
        <v>44439</v>
      </c>
      <c r="K215" s="24">
        <f t="shared" si="14"/>
        <v>31</v>
      </c>
      <c r="L215" s="24">
        <f t="shared" si="15"/>
        <v>344</v>
      </c>
      <c r="M215" s="24">
        <v>810000</v>
      </c>
    </row>
    <row r="216" spans="1:13" s="5" customFormat="1" outlineLevel="2">
      <c r="A216" s="39" t="s">
        <v>108</v>
      </c>
      <c r="B216" s="40" t="s">
        <v>173</v>
      </c>
      <c r="C216" s="41" t="s">
        <v>111</v>
      </c>
      <c r="D216" s="40" t="s">
        <v>112</v>
      </c>
      <c r="E216" s="24">
        <v>3800000</v>
      </c>
      <c r="F216" s="39">
        <v>44362</v>
      </c>
      <c r="G216" s="24">
        <v>3800000</v>
      </c>
      <c r="H216" s="23">
        <v>5.0000000000000001E-3</v>
      </c>
      <c r="I216" s="39">
        <v>44409</v>
      </c>
      <c r="J216" s="39">
        <v>44439</v>
      </c>
      <c r="K216" s="24">
        <f t="shared" si="14"/>
        <v>31</v>
      </c>
      <c r="L216" s="24">
        <f t="shared" si="15"/>
        <v>1614</v>
      </c>
      <c r="M216" s="24">
        <v>3800000</v>
      </c>
    </row>
    <row r="217" spans="1:13" s="5" customFormat="1" outlineLevel="2">
      <c r="A217" s="39" t="s">
        <v>108</v>
      </c>
      <c r="B217" s="40" t="s">
        <v>62</v>
      </c>
      <c r="C217" s="41" t="s">
        <v>113</v>
      </c>
      <c r="D217" s="40" t="s">
        <v>114</v>
      </c>
      <c r="E217" s="24">
        <v>28240000</v>
      </c>
      <c r="F217" s="39">
        <v>43951</v>
      </c>
      <c r="G217" s="24">
        <v>23197150</v>
      </c>
      <c r="H217" s="23">
        <v>5.0000000000000001E-3</v>
      </c>
      <c r="I217" s="39">
        <v>44409</v>
      </c>
      <c r="J217" s="39">
        <v>44423</v>
      </c>
      <c r="K217" s="24">
        <f t="shared" si="14"/>
        <v>15</v>
      </c>
      <c r="L217" s="24">
        <f t="shared" si="15"/>
        <v>4767</v>
      </c>
      <c r="M217" s="24">
        <v>22860960</v>
      </c>
    </row>
    <row r="218" spans="1:13" s="5" customFormat="1" outlineLevel="2">
      <c r="A218" s="39" t="s">
        <v>108</v>
      </c>
      <c r="B218" s="40" t="s">
        <v>62</v>
      </c>
      <c r="C218" s="41" t="s">
        <v>113</v>
      </c>
      <c r="D218" s="40"/>
      <c r="E218" s="24"/>
      <c r="F218" s="39"/>
      <c r="G218" s="24">
        <v>22860960</v>
      </c>
      <c r="H218" s="23">
        <v>5.0000000000000001E-3</v>
      </c>
      <c r="I218" s="39">
        <v>44424</v>
      </c>
      <c r="J218" s="39">
        <v>44439</v>
      </c>
      <c r="K218" s="24">
        <f t="shared" si="14"/>
        <v>16</v>
      </c>
      <c r="L218" s="24">
        <f t="shared" si="15"/>
        <v>5011</v>
      </c>
      <c r="M218" s="24"/>
    </row>
    <row r="219" spans="1:13" s="5" customFormat="1" outlineLevel="2">
      <c r="A219" s="39" t="s">
        <v>108</v>
      </c>
      <c r="B219" s="40" t="s">
        <v>174</v>
      </c>
      <c r="C219" s="41" t="s">
        <v>117</v>
      </c>
      <c r="D219" s="40" t="s">
        <v>118</v>
      </c>
      <c r="E219" s="24">
        <v>10000000</v>
      </c>
      <c r="F219" s="39">
        <v>44372</v>
      </c>
      <c r="G219" s="24">
        <v>9905661</v>
      </c>
      <c r="H219" s="23">
        <v>5.0000000000000001E-3</v>
      </c>
      <c r="I219" s="39">
        <v>44409</v>
      </c>
      <c r="J219" s="39">
        <v>44423</v>
      </c>
      <c r="K219" s="24">
        <f t="shared" si="14"/>
        <v>15</v>
      </c>
      <c r="L219" s="24">
        <f t="shared" si="15"/>
        <v>2035</v>
      </c>
      <c r="M219" s="24">
        <v>9811322</v>
      </c>
    </row>
    <row r="220" spans="1:13" s="5" customFormat="1" outlineLevel="2">
      <c r="A220" s="39" t="s">
        <v>108</v>
      </c>
      <c r="B220" s="40" t="s">
        <v>174</v>
      </c>
      <c r="C220" s="41" t="s">
        <v>117</v>
      </c>
      <c r="D220" s="40"/>
      <c r="E220" s="24"/>
      <c r="F220" s="39"/>
      <c r="G220" s="24">
        <v>9811322</v>
      </c>
      <c r="H220" s="23">
        <v>5.0000000000000001E-3</v>
      </c>
      <c r="I220" s="39">
        <v>44424</v>
      </c>
      <c r="J220" s="39">
        <v>44439</v>
      </c>
      <c r="K220" s="24">
        <f t="shared" si="14"/>
        <v>16</v>
      </c>
      <c r="L220" s="24">
        <f t="shared" si="15"/>
        <v>2150</v>
      </c>
      <c r="M220" s="24"/>
    </row>
    <row r="221" spans="1:13" s="5" customFormat="1" outlineLevel="2">
      <c r="A221" s="39" t="s">
        <v>108</v>
      </c>
      <c r="B221" s="40" t="s">
        <v>175</v>
      </c>
      <c r="C221" s="41" t="s">
        <v>123</v>
      </c>
      <c r="D221" s="40" t="s">
        <v>124</v>
      </c>
      <c r="E221" s="24">
        <v>41700000</v>
      </c>
      <c r="F221" s="39">
        <v>44379</v>
      </c>
      <c r="G221" s="24">
        <v>41700000</v>
      </c>
      <c r="H221" s="23">
        <v>5.0000000000000001E-3</v>
      </c>
      <c r="I221" s="39">
        <v>44409</v>
      </c>
      <c r="J221" s="39">
        <v>44439</v>
      </c>
      <c r="K221" s="24">
        <f t="shared" si="14"/>
        <v>31</v>
      </c>
      <c r="L221" s="24">
        <f t="shared" si="15"/>
        <v>17708</v>
      </c>
      <c r="M221" s="24">
        <v>41700000</v>
      </c>
    </row>
    <row r="222" spans="1:13" s="5" customFormat="1" outlineLevel="2">
      <c r="A222" s="39" t="s">
        <v>108</v>
      </c>
      <c r="B222" s="40" t="s">
        <v>176</v>
      </c>
      <c r="C222" s="41" t="s">
        <v>113</v>
      </c>
      <c r="D222" s="40" t="s">
        <v>114</v>
      </c>
      <c r="E222" s="24">
        <v>23200000</v>
      </c>
      <c r="F222" s="39">
        <v>44392</v>
      </c>
      <c r="G222" s="24">
        <v>23200000</v>
      </c>
      <c r="H222" s="23">
        <v>5.0000000000000001E-3</v>
      </c>
      <c r="I222" s="39">
        <v>44409</v>
      </c>
      <c r="J222" s="39">
        <v>44423</v>
      </c>
      <c r="K222" s="24">
        <f t="shared" si="14"/>
        <v>15</v>
      </c>
      <c r="L222" s="24">
        <f t="shared" si="15"/>
        <v>4767</v>
      </c>
      <c r="M222" s="24">
        <v>22983178</v>
      </c>
    </row>
    <row r="223" spans="1:13" s="5" customFormat="1" outlineLevel="2">
      <c r="A223" s="39" t="s">
        <v>108</v>
      </c>
      <c r="B223" s="40" t="s">
        <v>176</v>
      </c>
      <c r="C223" s="41" t="s">
        <v>113</v>
      </c>
      <c r="D223" s="40"/>
      <c r="E223" s="24"/>
      <c r="F223" s="39"/>
      <c r="G223" s="24">
        <v>22983178</v>
      </c>
      <c r="H223" s="23">
        <v>5.0000000000000001E-3</v>
      </c>
      <c r="I223" s="39">
        <v>44424</v>
      </c>
      <c r="J223" s="39">
        <v>44439</v>
      </c>
      <c r="K223" s="24">
        <f t="shared" ref="K223:K254" si="16">J223-I223+1</f>
        <v>16</v>
      </c>
      <c r="L223" s="24">
        <f t="shared" ref="L223:L254" si="17">ROUND(G223*H223*K223/365,0)</f>
        <v>5037</v>
      </c>
      <c r="M223" s="24"/>
    </row>
    <row r="224" spans="1:13" s="5" customFormat="1" outlineLevel="2">
      <c r="A224" s="39" t="s">
        <v>108</v>
      </c>
      <c r="B224" s="40" t="s">
        <v>177</v>
      </c>
      <c r="C224" s="41" t="s">
        <v>406</v>
      </c>
      <c r="D224" s="40" t="s">
        <v>405</v>
      </c>
      <c r="E224" s="24">
        <v>920000</v>
      </c>
      <c r="F224" s="39">
        <v>44420</v>
      </c>
      <c r="G224" s="24">
        <v>920000</v>
      </c>
      <c r="H224" s="23">
        <v>5.0000000000000001E-3</v>
      </c>
      <c r="I224" s="39">
        <v>44420</v>
      </c>
      <c r="J224" s="39">
        <v>44439</v>
      </c>
      <c r="K224" s="24">
        <f t="shared" si="16"/>
        <v>20</v>
      </c>
      <c r="L224" s="24">
        <f t="shared" si="17"/>
        <v>252</v>
      </c>
      <c r="M224" s="24">
        <v>920000</v>
      </c>
    </row>
    <row r="225" spans="1:13" s="5" customFormat="1" outlineLevel="2">
      <c r="A225" s="39" t="s">
        <v>108</v>
      </c>
      <c r="B225" s="40" t="s">
        <v>178</v>
      </c>
      <c r="C225" s="41" t="s">
        <v>406</v>
      </c>
      <c r="D225" s="40" t="s">
        <v>405</v>
      </c>
      <c r="E225" s="24">
        <v>4360000</v>
      </c>
      <c r="F225" s="39">
        <v>44420</v>
      </c>
      <c r="G225" s="24">
        <v>4360000</v>
      </c>
      <c r="H225" s="23">
        <v>5.0000000000000001E-3</v>
      </c>
      <c r="I225" s="39">
        <v>44420</v>
      </c>
      <c r="J225" s="39">
        <v>44439</v>
      </c>
      <c r="K225" s="24">
        <f t="shared" si="16"/>
        <v>20</v>
      </c>
      <c r="L225" s="24">
        <f t="shared" si="17"/>
        <v>1195</v>
      </c>
      <c r="M225" s="24">
        <v>4360000</v>
      </c>
    </row>
    <row r="226" spans="1:13" s="5" customFormat="1" outlineLevel="2">
      <c r="A226" s="39" t="s">
        <v>108</v>
      </c>
      <c r="B226" s="40" t="s">
        <v>179</v>
      </c>
      <c r="C226" s="41" t="s">
        <v>406</v>
      </c>
      <c r="D226" s="40" t="s">
        <v>405</v>
      </c>
      <c r="E226" s="24">
        <v>1740000</v>
      </c>
      <c r="F226" s="39">
        <v>44420</v>
      </c>
      <c r="G226" s="24">
        <v>1740000</v>
      </c>
      <c r="H226" s="23">
        <v>5.0000000000000001E-3</v>
      </c>
      <c r="I226" s="39">
        <v>44420</v>
      </c>
      <c r="J226" s="39">
        <v>44439</v>
      </c>
      <c r="K226" s="24">
        <f t="shared" si="16"/>
        <v>20</v>
      </c>
      <c r="L226" s="24">
        <f t="shared" si="17"/>
        <v>477</v>
      </c>
      <c r="M226" s="24">
        <v>1740000</v>
      </c>
    </row>
    <row r="227" spans="1:13" s="5" customFormat="1" outlineLevel="2">
      <c r="A227" s="39" t="s">
        <v>108</v>
      </c>
      <c r="B227" s="40" t="s">
        <v>180</v>
      </c>
      <c r="C227" s="41" t="s">
        <v>406</v>
      </c>
      <c r="D227" s="40" t="s">
        <v>405</v>
      </c>
      <c r="E227" s="24">
        <v>25280000</v>
      </c>
      <c r="F227" s="39">
        <v>44420</v>
      </c>
      <c r="G227" s="24">
        <v>25280000</v>
      </c>
      <c r="H227" s="23">
        <v>5.0000000000000001E-3</v>
      </c>
      <c r="I227" s="39">
        <v>44420</v>
      </c>
      <c r="J227" s="39">
        <v>44439</v>
      </c>
      <c r="K227" s="24">
        <f t="shared" si="16"/>
        <v>20</v>
      </c>
      <c r="L227" s="24">
        <f t="shared" si="17"/>
        <v>6926</v>
      </c>
      <c r="M227" s="24">
        <v>25280000</v>
      </c>
    </row>
    <row r="228" spans="1:13" s="5" customFormat="1" outlineLevel="2">
      <c r="A228" s="39" t="s">
        <v>108</v>
      </c>
      <c r="B228" s="40" t="s">
        <v>181</v>
      </c>
      <c r="C228" s="41" t="s">
        <v>406</v>
      </c>
      <c r="D228" s="40" t="s">
        <v>405</v>
      </c>
      <c r="E228" s="24">
        <v>6500000</v>
      </c>
      <c r="F228" s="39">
        <v>44420</v>
      </c>
      <c r="G228" s="24">
        <v>6500000</v>
      </c>
      <c r="H228" s="23">
        <v>5.0000000000000001E-3</v>
      </c>
      <c r="I228" s="39">
        <v>44420</v>
      </c>
      <c r="J228" s="39">
        <v>44439</v>
      </c>
      <c r="K228" s="24">
        <f t="shared" si="16"/>
        <v>20</v>
      </c>
      <c r="L228" s="24">
        <f t="shared" si="17"/>
        <v>1781</v>
      </c>
      <c r="M228" s="24">
        <v>6500000</v>
      </c>
    </row>
    <row r="229" spans="1:13" s="5" customFormat="1" outlineLevel="2">
      <c r="A229" s="39" t="s">
        <v>108</v>
      </c>
      <c r="B229" s="40" t="s">
        <v>182</v>
      </c>
      <c r="C229" s="41" t="s">
        <v>406</v>
      </c>
      <c r="D229" s="40" t="s">
        <v>405</v>
      </c>
      <c r="E229" s="24">
        <v>4790000</v>
      </c>
      <c r="F229" s="39">
        <v>44420</v>
      </c>
      <c r="G229" s="24">
        <v>4790000</v>
      </c>
      <c r="H229" s="23">
        <v>5.0000000000000001E-3</v>
      </c>
      <c r="I229" s="39">
        <v>44420</v>
      </c>
      <c r="J229" s="39">
        <v>44439</v>
      </c>
      <c r="K229" s="24">
        <f t="shared" si="16"/>
        <v>20</v>
      </c>
      <c r="L229" s="24">
        <f t="shared" si="17"/>
        <v>1312</v>
      </c>
      <c r="M229" s="24">
        <v>4790000</v>
      </c>
    </row>
    <row r="230" spans="1:13" s="5" customFormat="1" outlineLevel="2">
      <c r="A230" s="39" t="s">
        <v>108</v>
      </c>
      <c r="B230" s="40" t="s">
        <v>183</v>
      </c>
      <c r="C230" s="41" t="s">
        <v>115</v>
      </c>
      <c r="D230" s="40" t="s">
        <v>116</v>
      </c>
      <c r="E230" s="24">
        <v>4240000</v>
      </c>
      <c r="F230" s="39">
        <v>44427</v>
      </c>
      <c r="G230" s="24">
        <v>4240000</v>
      </c>
      <c r="H230" s="23">
        <v>5.0000000000000001E-3</v>
      </c>
      <c r="I230" s="39">
        <v>44427</v>
      </c>
      <c r="J230" s="39">
        <v>44439</v>
      </c>
      <c r="K230" s="24">
        <f t="shared" si="16"/>
        <v>13</v>
      </c>
      <c r="L230" s="24">
        <f t="shared" si="17"/>
        <v>755</v>
      </c>
      <c r="M230" s="24">
        <v>4240000</v>
      </c>
    </row>
    <row r="231" spans="1:13" s="5" customFormat="1" outlineLevel="2">
      <c r="A231" s="39" t="s">
        <v>108</v>
      </c>
      <c r="B231" s="40" t="s">
        <v>63</v>
      </c>
      <c r="C231" s="41" t="s">
        <v>111</v>
      </c>
      <c r="D231" s="40" t="s">
        <v>112</v>
      </c>
      <c r="E231" s="24">
        <v>8000000</v>
      </c>
      <c r="F231" s="39">
        <v>43957</v>
      </c>
      <c r="G231" s="24">
        <v>6000005</v>
      </c>
      <c r="H231" s="23">
        <v>5.0000000000000001E-3</v>
      </c>
      <c r="I231" s="39">
        <v>44409</v>
      </c>
      <c r="J231" s="39">
        <v>44423</v>
      </c>
      <c r="K231" s="24">
        <f t="shared" si="16"/>
        <v>15</v>
      </c>
      <c r="L231" s="24">
        <f t="shared" si="17"/>
        <v>1233</v>
      </c>
      <c r="M231" s="24">
        <v>5866672</v>
      </c>
    </row>
    <row r="232" spans="1:13" s="5" customFormat="1" outlineLevel="2">
      <c r="A232" s="39" t="s">
        <v>108</v>
      </c>
      <c r="B232" s="40" t="s">
        <v>63</v>
      </c>
      <c r="C232" s="41" t="s">
        <v>111</v>
      </c>
      <c r="D232" s="40"/>
      <c r="E232" s="24"/>
      <c r="F232" s="39"/>
      <c r="G232" s="24">
        <v>5866672</v>
      </c>
      <c r="H232" s="23">
        <v>5.0000000000000001E-3</v>
      </c>
      <c r="I232" s="39">
        <v>44424</v>
      </c>
      <c r="J232" s="39">
        <v>44439</v>
      </c>
      <c r="K232" s="24">
        <f t="shared" si="16"/>
        <v>16</v>
      </c>
      <c r="L232" s="24">
        <f t="shared" si="17"/>
        <v>1286</v>
      </c>
      <c r="M232" s="24"/>
    </row>
    <row r="233" spans="1:13" s="5" customFormat="1" outlineLevel="2">
      <c r="A233" s="39" t="s">
        <v>108</v>
      </c>
      <c r="B233" s="40" t="s">
        <v>184</v>
      </c>
      <c r="C233" s="41" t="s">
        <v>123</v>
      </c>
      <c r="D233" s="40" t="s">
        <v>124</v>
      </c>
      <c r="E233" s="24">
        <v>19800000</v>
      </c>
      <c r="F233" s="39">
        <v>44410</v>
      </c>
      <c r="G233" s="24">
        <v>19800000</v>
      </c>
      <c r="H233" s="23">
        <v>5.0000000000000001E-3</v>
      </c>
      <c r="I233" s="39">
        <v>44410</v>
      </c>
      <c r="J233" s="39">
        <v>44439</v>
      </c>
      <c r="K233" s="24">
        <f t="shared" si="16"/>
        <v>30</v>
      </c>
      <c r="L233" s="24">
        <f t="shared" si="17"/>
        <v>8137</v>
      </c>
      <c r="M233" s="24">
        <v>19800000</v>
      </c>
    </row>
    <row r="234" spans="1:13" s="5" customFormat="1" outlineLevel="2">
      <c r="A234" s="39" t="s">
        <v>108</v>
      </c>
      <c r="B234" s="40" t="s">
        <v>64</v>
      </c>
      <c r="C234" s="41" t="s">
        <v>111</v>
      </c>
      <c r="D234" s="40" t="s">
        <v>112</v>
      </c>
      <c r="E234" s="24">
        <v>5910000</v>
      </c>
      <c r="F234" s="39">
        <v>43966</v>
      </c>
      <c r="G234" s="24">
        <v>5910000</v>
      </c>
      <c r="H234" s="23">
        <v>5.0000000000000001E-3</v>
      </c>
      <c r="I234" s="39">
        <v>44409</v>
      </c>
      <c r="J234" s="39">
        <v>44439</v>
      </c>
      <c r="K234" s="24">
        <f t="shared" si="16"/>
        <v>31</v>
      </c>
      <c r="L234" s="24">
        <f t="shared" si="17"/>
        <v>2510</v>
      </c>
      <c r="M234" s="24">
        <v>5910000</v>
      </c>
    </row>
    <row r="235" spans="1:13" s="5" customFormat="1" outlineLevel="2">
      <c r="A235" s="39" t="s">
        <v>108</v>
      </c>
      <c r="B235" s="40" t="s">
        <v>65</v>
      </c>
      <c r="C235" s="41" t="s">
        <v>113</v>
      </c>
      <c r="D235" s="40" t="s">
        <v>114</v>
      </c>
      <c r="E235" s="24">
        <v>20510000</v>
      </c>
      <c r="F235" s="39">
        <v>43966</v>
      </c>
      <c r="G235" s="24">
        <v>17050488</v>
      </c>
      <c r="H235" s="23">
        <v>5.0000000000000001E-3</v>
      </c>
      <c r="I235" s="39">
        <v>44409</v>
      </c>
      <c r="J235" s="39">
        <v>44423</v>
      </c>
      <c r="K235" s="24">
        <f t="shared" si="16"/>
        <v>15</v>
      </c>
      <c r="L235" s="24">
        <f t="shared" si="17"/>
        <v>3504</v>
      </c>
      <c r="M235" s="24">
        <v>16803380</v>
      </c>
    </row>
    <row r="236" spans="1:13" s="5" customFormat="1" outlineLevel="2">
      <c r="A236" s="39" t="s">
        <v>108</v>
      </c>
      <c r="B236" s="40" t="s">
        <v>65</v>
      </c>
      <c r="C236" s="41" t="s">
        <v>113</v>
      </c>
      <c r="D236" s="40"/>
      <c r="E236" s="24"/>
      <c r="F236" s="39"/>
      <c r="G236" s="24">
        <v>16803380</v>
      </c>
      <c r="H236" s="23">
        <v>5.0000000000000001E-3</v>
      </c>
      <c r="I236" s="39">
        <v>44424</v>
      </c>
      <c r="J236" s="39">
        <v>44439</v>
      </c>
      <c r="K236" s="24">
        <f t="shared" si="16"/>
        <v>16</v>
      </c>
      <c r="L236" s="24">
        <f t="shared" si="17"/>
        <v>3683</v>
      </c>
      <c r="M236" s="24"/>
    </row>
    <row r="237" spans="1:13" s="5" customFormat="1" outlineLevel="2">
      <c r="A237" s="39" t="s">
        <v>108</v>
      </c>
      <c r="B237" s="40" t="s">
        <v>68</v>
      </c>
      <c r="C237" s="41" t="s">
        <v>109</v>
      </c>
      <c r="D237" s="40" t="s">
        <v>110</v>
      </c>
      <c r="E237" s="24">
        <v>33960000</v>
      </c>
      <c r="F237" s="39">
        <v>43978</v>
      </c>
      <c r="G237" s="24">
        <v>33960000</v>
      </c>
      <c r="H237" s="23">
        <v>5.0000000000000001E-3</v>
      </c>
      <c r="I237" s="39">
        <v>44409</v>
      </c>
      <c r="J237" s="39">
        <v>44439</v>
      </c>
      <c r="K237" s="24">
        <f t="shared" si="16"/>
        <v>31</v>
      </c>
      <c r="L237" s="24">
        <f t="shared" si="17"/>
        <v>14421</v>
      </c>
      <c r="M237" s="24">
        <v>33960000</v>
      </c>
    </row>
    <row r="238" spans="1:13" s="5" customFormat="1" outlineLevel="1">
      <c r="A238" s="42" t="s">
        <v>119</v>
      </c>
      <c r="B238" s="43"/>
      <c r="C238" s="44"/>
      <c r="D238" s="43"/>
      <c r="E238" s="45">
        <f>SUBTOTAL(9,E159:E237)</f>
        <v>1102055386</v>
      </c>
      <c r="F238" s="46"/>
      <c r="G238" s="45"/>
      <c r="H238" s="47"/>
      <c r="I238" s="46"/>
      <c r="J238" s="46"/>
      <c r="K238" s="45"/>
      <c r="L238" s="45">
        <f>SUBTOTAL(9,L159:L237)</f>
        <v>440428</v>
      </c>
      <c r="M238" s="45">
        <f>SUBTOTAL(9,M159:M237)</f>
        <v>1053577451</v>
      </c>
    </row>
    <row r="239" spans="1:13" s="5" customFormat="1" outlineLevel="2">
      <c r="A239" s="39" t="s">
        <v>120</v>
      </c>
      <c r="B239" s="40" t="s">
        <v>16</v>
      </c>
      <c r="C239" s="41" t="s">
        <v>121</v>
      </c>
      <c r="D239" s="40" t="s">
        <v>122</v>
      </c>
      <c r="E239" s="24">
        <v>69000000</v>
      </c>
      <c r="F239" s="39">
        <v>43822</v>
      </c>
      <c r="G239" s="24">
        <v>69000000</v>
      </c>
      <c r="H239" s="23">
        <v>5.0000000000000001E-3</v>
      </c>
      <c r="I239" s="39">
        <v>44409</v>
      </c>
      <c r="J239" s="39">
        <v>44439</v>
      </c>
      <c r="K239" s="24">
        <f t="shared" ref="K239:K270" si="18">J239-I239+1</f>
        <v>31</v>
      </c>
      <c r="L239" s="24">
        <f t="shared" ref="L239:L270" si="19">ROUND(G239*H239*K239/365,0)</f>
        <v>29301</v>
      </c>
      <c r="M239" s="24">
        <v>69000000</v>
      </c>
    </row>
    <row r="240" spans="1:13" s="5" customFormat="1" outlineLevel="2">
      <c r="A240" s="39" t="s">
        <v>120</v>
      </c>
      <c r="B240" s="40" t="s">
        <v>19</v>
      </c>
      <c r="C240" s="41" t="s">
        <v>37</v>
      </c>
      <c r="D240" s="40" t="s">
        <v>38</v>
      </c>
      <c r="E240" s="24">
        <v>247700000</v>
      </c>
      <c r="F240" s="39">
        <v>43985</v>
      </c>
      <c r="G240" s="24">
        <v>247700000</v>
      </c>
      <c r="H240" s="23">
        <v>5.0000000000000001E-3</v>
      </c>
      <c r="I240" s="39">
        <v>44409</v>
      </c>
      <c r="J240" s="39">
        <v>44439</v>
      </c>
      <c r="K240" s="24">
        <f t="shared" si="18"/>
        <v>31</v>
      </c>
      <c r="L240" s="24">
        <f t="shared" si="19"/>
        <v>105188</v>
      </c>
      <c r="M240" s="24">
        <v>247700000</v>
      </c>
    </row>
    <row r="241" spans="1:13" s="5" customFormat="1" outlineLevel="2">
      <c r="A241" s="39" t="s">
        <v>120</v>
      </c>
      <c r="B241" s="40" t="s">
        <v>22</v>
      </c>
      <c r="C241" s="41" t="s">
        <v>123</v>
      </c>
      <c r="D241" s="40" t="s">
        <v>124</v>
      </c>
      <c r="E241" s="24">
        <v>18612000</v>
      </c>
      <c r="F241" s="39">
        <v>43997</v>
      </c>
      <c r="G241" s="24">
        <v>3722400</v>
      </c>
      <c r="H241" s="23">
        <v>5.0000000000000001E-3</v>
      </c>
      <c r="I241" s="39">
        <v>44409</v>
      </c>
      <c r="J241" s="39">
        <v>44439</v>
      </c>
      <c r="K241" s="24">
        <f t="shared" si="18"/>
        <v>31</v>
      </c>
      <c r="L241" s="24">
        <f t="shared" si="19"/>
        <v>1581</v>
      </c>
      <c r="M241" s="24">
        <v>3722400</v>
      </c>
    </row>
    <row r="242" spans="1:13" s="5" customFormat="1" outlineLevel="2">
      <c r="A242" s="39" t="s">
        <v>120</v>
      </c>
      <c r="B242" s="40" t="s">
        <v>25</v>
      </c>
      <c r="C242" s="41" t="s">
        <v>20</v>
      </c>
      <c r="D242" s="40" t="s">
        <v>21</v>
      </c>
      <c r="E242" s="24">
        <v>624000000</v>
      </c>
      <c r="F242" s="39">
        <v>44014</v>
      </c>
      <c r="G242" s="24">
        <v>624000000</v>
      </c>
      <c r="H242" s="23">
        <v>5.0000000000000001E-3</v>
      </c>
      <c r="I242" s="39">
        <v>44409</v>
      </c>
      <c r="J242" s="39">
        <v>44439</v>
      </c>
      <c r="K242" s="24">
        <f t="shared" si="18"/>
        <v>31</v>
      </c>
      <c r="L242" s="24">
        <f t="shared" si="19"/>
        <v>264986</v>
      </c>
      <c r="M242" s="24">
        <v>624000000</v>
      </c>
    </row>
    <row r="243" spans="1:13" s="5" customFormat="1" outlineLevel="2">
      <c r="A243" s="39" t="s">
        <v>120</v>
      </c>
      <c r="B243" s="40" t="s">
        <v>26</v>
      </c>
      <c r="C243" s="41" t="s">
        <v>20</v>
      </c>
      <c r="D243" s="40" t="s">
        <v>21</v>
      </c>
      <c r="E243" s="24">
        <v>82000000</v>
      </c>
      <c r="F243" s="39">
        <v>44042</v>
      </c>
      <c r="G243" s="24">
        <v>82000000</v>
      </c>
      <c r="H243" s="23">
        <v>5.0000000000000001E-3</v>
      </c>
      <c r="I243" s="39">
        <v>44409</v>
      </c>
      <c r="J243" s="39">
        <v>44439</v>
      </c>
      <c r="K243" s="24">
        <f t="shared" si="18"/>
        <v>31</v>
      </c>
      <c r="L243" s="24">
        <f t="shared" si="19"/>
        <v>34822</v>
      </c>
      <c r="M243" s="24">
        <v>82000000</v>
      </c>
    </row>
    <row r="244" spans="1:13" s="5" customFormat="1" outlineLevel="2">
      <c r="A244" s="39" t="s">
        <v>120</v>
      </c>
      <c r="B244" s="40" t="s">
        <v>29</v>
      </c>
      <c r="C244" s="41" t="s">
        <v>20</v>
      </c>
      <c r="D244" s="40" t="s">
        <v>21</v>
      </c>
      <c r="E244" s="24">
        <v>406400000</v>
      </c>
      <c r="F244" s="39">
        <v>44042</v>
      </c>
      <c r="G244" s="24">
        <v>406400000</v>
      </c>
      <c r="H244" s="23">
        <v>3.0000000000000001E-3</v>
      </c>
      <c r="I244" s="39">
        <v>44409</v>
      </c>
      <c r="J244" s="39">
        <v>44439</v>
      </c>
      <c r="K244" s="24">
        <f t="shared" si="18"/>
        <v>31</v>
      </c>
      <c r="L244" s="24">
        <f t="shared" si="19"/>
        <v>103548</v>
      </c>
      <c r="M244" s="24">
        <v>406400000</v>
      </c>
    </row>
    <row r="245" spans="1:13" s="5" customFormat="1" outlineLevel="2">
      <c r="A245" s="39" t="s">
        <v>120</v>
      </c>
      <c r="B245" s="40" t="s">
        <v>32</v>
      </c>
      <c r="C245" s="41" t="s">
        <v>20</v>
      </c>
      <c r="D245" s="40" t="s">
        <v>21</v>
      </c>
      <c r="E245" s="24">
        <v>51600000</v>
      </c>
      <c r="F245" s="39">
        <v>44042</v>
      </c>
      <c r="G245" s="24">
        <v>51600000</v>
      </c>
      <c r="H245" s="23">
        <v>3.0000000000000001E-3</v>
      </c>
      <c r="I245" s="39">
        <v>44409</v>
      </c>
      <c r="J245" s="39">
        <v>44439</v>
      </c>
      <c r="K245" s="24">
        <f t="shared" si="18"/>
        <v>31</v>
      </c>
      <c r="L245" s="24">
        <f t="shared" si="19"/>
        <v>13147</v>
      </c>
      <c r="M245" s="24">
        <v>51600000</v>
      </c>
    </row>
    <row r="246" spans="1:13" s="5" customFormat="1" outlineLevel="2">
      <c r="A246" s="39" t="s">
        <v>120</v>
      </c>
      <c r="B246" s="40" t="s">
        <v>33</v>
      </c>
      <c r="C246" s="41" t="s">
        <v>125</v>
      </c>
      <c r="D246" s="40" t="s">
        <v>126</v>
      </c>
      <c r="E246" s="24">
        <v>1850000</v>
      </c>
      <c r="F246" s="39">
        <v>44018</v>
      </c>
      <c r="G246" s="24">
        <v>1850000</v>
      </c>
      <c r="H246" s="23">
        <v>5.0000000000000001E-3</v>
      </c>
      <c r="I246" s="39">
        <v>44409</v>
      </c>
      <c r="J246" s="39">
        <v>44439</v>
      </c>
      <c r="K246" s="24">
        <f t="shared" si="18"/>
        <v>31</v>
      </c>
      <c r="L246" s="24">
        <f t="shared" si="19"/>
        <v>786</v>
      </c>
      <c r="M246" s="24">
        <v>1850000</v>
      </c>
    </row>
    <row r="247" spans="1:13" s="5" customFormat="1" outlineLevel="2">
      <c r="A247" s="39" t="s">
        <v>120</v>
      </c>
      <c r="B247" s="40" t="s">
        <v>34</v>
      </c>
      <c r="C247" s="41" t="s">
        <v>125</v>
      </c>
      <c r="D247" s="40" t="s">
        <v>126</v>
      </c>
      <c r="E247" s="24">
        <v>5400000</v>
      </c>
      <c r="F247" s="39">
        <v>44019</v>
      </c>
      <c r="G247" s="24">
        <v>5400000</v>
      </c>
      <c r="H247" s="23">
        <v>5.0000000000000001E-3</v>
      </c>
      <c r="I247" s="39">
        <v>44409</v>
      </c>
      <c r="J247" s="39">
        <v>44439</v>
      </c>
      <c r="K247" s="24">
        <f t="shared" si="18"/>
        <v>31</v>
      </c>
      <c r="L247" s="24">
        <f t="shared" si="19"/>
        <v>2293</v>
      </c>
      <c r="M247" s="24">
        <v>5400000</v>
      </c>
    </row>
    <row r="248" spans="1:13" s="5" customFormat="1" outlineLevel="2">
      <c r="A248" s="39" t="s">
        <v>120</v>
      </c>
      <c r="B248" s="40" t="s">
        <v>35</v>
      </c>
      <c r="C248" s="41" t="s">
        <v>125</v>
      </c>
      <c r="D248" s="40" t="s">
        <v>126</v>
      </c>
      <c r="E248" s="24">
        <v>2300000</v>
      </c>
      <c r="F248" s="39">
        <v>44027</v>
      </c>
      <c r="G248" s="24">
        <v>2300000</v>
      </c>
      <c r="H248" s="23">
        <v>5.0000000000000001E-3</v>
      </c>
      <c r="I248" s="39">
        <v>44409</v>
      </c>
      <c r="J248" s="39">
        <v>44439</v>
      </c>
      <c r="K248" s="24">
        <f t="shared" si="18"/>
        <v>31</v>
      </c>
      <c r="L248" s="24">
        <f t="shared" si="19"/>
        <v>977</v>
      </c>
      <c r="M248" s="24">
        <v>2300000</v>
      </c>
    </row>
    <row r="249" spans="1:13" s="5" customFormat="1" outlineLevel="2">
      <c r="A249" s="39" t="s">
        <v>120</v>
      </c>
      <c r="B249" s="40" t="s">
        <v>36</v>
      </c>
      <c r="C249" s="41" t="s">
        <v>125</v>
      </c>
      <c r="D249" s="40" t="s">
        <v>126</v>
      </c>
      <c r="E249" s="24">
        <v>16280000</v>
      </c>
      <c r="F249" s="39">
        <v>44041</v>
      </c>
      <c r="G249" s="24">
        <v>16280000</v>
      </c>
      <c r="H249" s="23">
        <v>5.0000000000000001E-3</v>
      </c>
      <c r="I249" s="39">
        <v>44409</v>
      </c>
      <c r="J249" s="39">
        <v>44439</v>
      </c>
      <c r="K249" s="24">
        <f t="shared" si="18"/>
        <v>31</v>
      </c>
      <c r="L249" s="24">
        <f t="shared" si="19"/>
        <v>6913</v>
      </c>
      <c r="M249" s="24">
        <v>16280000</v>
      </c>
    </row>
    <row r="250" spans="1:13" s="5" customFormat="1" outlineLevel="2">
      <c r="A250" s="39" t="s">
        <v>120</v>
      </c>
      <c r="B250" s="40" t="s">
        <v>39</v>
      </c>
      <c r="C250" s="41" t="s">
        <v>17</v>
      </c>
      <c r="D250" s="40" t="s">
        <v>18</v>
      </c>
      <c r="E250" s="24">
        <v>162300000</v>
      </c>
      <c r="F250" s="39">
        <v>43829</v>
      </c>
      <c r="G250" s="24">
        <v>110905000</v>
      </c>
      <c r="H250" s="23">
        <v>5.0000000000000001E-3</v>
      </c>
      <c r="I250" s="39">
        <v>44409</v>
      </c>
      <c r="J250" s="39">
        <v>44423</v>
      </c>
      <c r="K250" s="24">
        <f t="shared" si="18"/>
        <v>15</v>
      </c>
      <c r="L250" s="24">
        <f t="shared" si="19"/>
        <v>22789</v>
      </c>
      <c r="M250" s="24">
        <v>108200000</v>
      </c>
    </row>
    <row r="251" spans="1:13" s="5" customFormat="1" outlineLevel="2">
      <c r="A251" s="39" t="s">
        <v>120</v>
      </c>
      <c r="B251" s="40" t="s">
        <v>39</v>
      </c>
      <c r="C251" s="41" t="s">
        <v>17</v>
      </c>
      <c r="D251" s="40"/>
      <c r="E251" s="24"/>
      <c r="F251" s="39"/>
      <c r="G251" s="24">
        <v>108200000</v>
      </c>
      <c r="H251" s="23">
        <v>5.0000000000000001E-3</v>
      </c>
      <c r="I251" s="39">
        <v>44424</v>
      </c>
      <c r="J251" s="39">
        <v>44439</v>
      </c>
      <c r="K251" s="24">
        <f t="shared" si="18"/>
        <v>16</v>
      </c>
      <c r="L251" s="24">
        <f t="shared" si="19"/>
        <v>23715</v>
      </c>
      <c r="M251" s="24"/>
    </row>
    <row r="252" spans="1:13" s="5" customFormat="1" outlineLevel="2">
      <c r="A252" s="39" t="s">
        <v>120</v>
      </c>
      <c r="B252" s="40" t="s">
        <v>40</v>
      </c>
      <c r="C252" s="41" t="s">
        <v>71</v>
      </c>
      <c r="D252" s="40" t="s">
        <v>72</v>
      </c>
      <c r="E252" s="24">
        <v>30000000</v>
      </c>
      <c r="F252" s="39">
        <v>44020</v>
      </c>
      <c r="G252" s="24">
        <v>30000000</v>
      </c>
      <c r="H252" s="23">
        <v>5.0000000000000001E-3</v>
      </c>
      <c r="I252" s="39">
        <v>44409</v>
      </c>
      <c r="J252" s="39">
        <v>44439</v>
      </c>
      <c r="K252" s="24">
        <f t="shared" si="18"/>
        <v>31</v>
      </c>
      <c r="L252" s="24">
        <f t="shared" si="19"/>
        <v>12740</v>
      </c>
      <c r="M252" s="24">
        <v>30000000</v>
      </c>
    </row>
    <row r="253" spans="1:13" s="5" customFormat="1" outlineLevel="2">
      <c r="A253" s="39" t="s">
        <v>120</v>
      </c>
      <c r="B253" s="40" t="s">
        <v>41</v>
      </c>
      <c r="C253" s="41" t="s">
        <v>27</v>
      </c>
      <c r="D253" s="40" t="s">
        <v>28</v>
      </c>
      <c r="E253" s="24">
        <v>35100000</v>
      </c>
      <c r="F253" s="39">
        <v>44013</v>
      </c>
      <c r="G253" s="24">
        <v>34368750</v>
      </c>
      <c r="H253" s="23">
        <v>5.0000000000000001E-3</v>
      </c>
      <c r="I253" s="39">
        <v>44409</v>
      </c>
      <c r="J253" s="39">
        <v>44423</v>
      </c>
      <c r="K253" s="24">
        <f t="shared" si="18"/>
        <v>15</v>
      </c>
      <c r="L253" s="24">
        <f t="shared" si="19"/>
        <v>7062</v>
      </c>
      <c r="M253" s="24">
        <v>33637500</v>
      </c>
    </row>
    <row r="254" spans="1:13" s="5" customFormat="1" outlineLevel="2">
      <c r="A254" s="39" t="s">
        <v>120</v>
      </c>
      <c r="B254" s="40" t="s">
        <v>41</v>
      </c>
      <c r="C254" s="41" t="s">
        <v>27</v>
      </c>
      <c r="D254" s="40"/>
      <c r="E254" s="24"/>
      <c r="F254" s="39"/>
      <c r="G254" s="24">
        <v>33637500</v>
      </c>
      <c r="H254" s="23">
        <v>5.0000000000000001E-3</v>
      </c>
      <c r="I254" s="39">
        <v>44424</v>
      </c>
      <c r="J254" s="39">
        <v>44439</v>
      </c>
      <c r="K254" s="24">
        <f t="shared" si="18"/>
        <v>16</v>
      </c>
      <c r="L254" s="24">
        <f t="shared" si="19"/>
        <v>7373</v>
      </c>
      <c r="M254" s="24"/>
    </row>
    <row r="255" spans="1:13" s="5" customFormat="1" outlineLevel="2">
      <c r="A255" s="39" t="s">
        <v>120</v>
      </c>
      <c r="B255" s="40" t="s">
        <v>42</v>
      </c>
      <c r="C255" s="41" t="s">
        <v>27</v>
      </c>
      <c r="D255" s="40" t="s">
        <v>28</v>
      </c>
      <c r="E255" s="24">
        <v>14900000</v>
      </c>
      <c r="F255" s="39">
        <v>44021</v>
      </c>
      <c r="G255" s="24">
        <v>14589584</v>
      </c>
      <c r="H255" s="23">
        <v>5.0000000000000001E-3</v>
      </c>
      <c r="I255" s="39">
        <v>44409</v>
      </c>
      <c r="J255" s="39">
        <v>44423</v>
      </c>
      <c r="K255" s="24">
        <f t="shared" si="18"/>
        <v>15</v>
      </c>
      <c r="L255" s="24">
        <f t="shared" si="19"/>
        <v>2998</v>
      </c>
      <c r="M255" s="24">
        <v>14279168</v>
      </c>
    </row>
    <row r="256" spans="1:13" s="5" customFormat="1" outlineLevel="2">
      <c r="A256" s="39" t="s">
        <v>120</v>
      </c>
      <c r="B256" s="40" t="s">
        <v>42</v>
      </c>
      <c r="C256" s="41" t="s">
        <v>27</v>
      </c>
      <c r="D256" s="40"/>
      <c r="E256" s="24"/>
      <c r="F256" s="39"/>
      <c r="G256" s="24">
        <v>14279168</v>
      </c>
      <c r="H256" s="23">
        <v>5.0000000000000001E-3</v>
      </c>
      <c r="I256" s="39">
        <v>44424</v>
      </c>
      <c r="J256" s="39">
        <v>44439</v>
      </c>
      <c r="K256" s="24">
        <f t="shared" si="18"/>
        <v>16</v>
      </c>
      <c r="L256" s="24">
        <f t="shared" si="19"/>
        <v>3130</v>
      </c>
      <c r="M256" s="24"/>
    </row>
    <row r="257" spans="1:13" s="5" customFormat="1" outlineLevel="2">
      <c r="A257" s="39" t="s">
        <v>120</v>
      </c>
      <c r="B257" s="40" t="s">
        <v>43</v>
      </c>
      <c r="C257" s="41" t="s">
        <v>71</v>
      </c>
      <c r="D257" s="40" t="s">
        <v>72</v>
      </c>
      <c r="E257" s="24">
        <v>30000000</v>
      </c>
      <c r="F257" s="39">
        <v>44050</v>
      </c>
      <c r="G257" s="24">
        <v>30000000</v>
      </c>
      <c r="H257" s="23">
        <v>5.0000000000000001E-3</v>
      </c>
      <c r="I257" s="39">
        <v>44409</v>
      </c>
      <c r="J257" s="39">
        <v>44439</v>
      </c>
      <c r="K257" s="24">
        <f t="shared" si="18"/>
        <v>31</v>
      </c>
      <c r="L257" s="24">
        <f t="shared" si="19"/>
        <v>12740</v>
      </c>
      <c r="M257" s="24">
        <v>30000000</v>
      </c>
    </row>
    <row r="258" spans="1:13" s="5" customFormat="1" outlineLevel="2">
      <c r="A258" s="39" t="s">
        <v>120</v>
      </c>
      <c r="B258" s="40" t="s">
        <v>44</v>
      </c>
      <c r="C258" s="41" t="s">
        <v>83</v>
      </c>
      <c r="D258" s="40" t="s">
        <v>84</v>
      </c>
      <c r="E258" s="24">
        <v>72450000</v>
      </c>
      <c r="F258" s="39">
        <v>44064</v>
      </c>
      <c r="G258" s="24">
        <v>72450000</v>
      </c>
      <c r="H258" s="23">
        <v>5.0000000000000001E-3</v>
      </c>
      <c r="I258" s="39">
        <v>44409</v>
      </c>
      <c r="J258" s="39">
        <v>44439</v>
      </c>
      <c r="K258" s="24">
        <f t="shared" si="18"/>
        <v>31</v>
      </c>
      <c r="L258" s="24">
        <f t="shared" si="19"/>
        <v>30766</v>
      </c>
      <c r="M258" s="24">
        <v>72450000</v>
      </c>
    </row>
    <row r="259" spans="1:13" s="5" customFormat="1" outlineLevel="2">
      <c r="A259" s="39" t="s">
        <v>120</v>
      </c>
      <c r="B259" s="40" t="s">
        <v>47</v>
      </c>
      <c r="C259" s="41" t="s">
        <v>97</v>
      </c>
      <c r="D259" s="40" t="s">
        <v>98</v>
      </c>
      <c r="E259" s="24">
        <v>77500000</v>
      </c>
      <c r="F259" s="39">
        <v>44060</v>
      </c>
      <c r="G259" s="24">
        <v>77500000</v>
      </c>
      <c r="H259" s="23">
        <v>5.0000000000000001E-3</v>
      </c>
      <c r="I259" s="39">
        <v>44409</v>
      </c>
      <c r="J259" s="39">
        <v>44439</v>
      </c>
      <c r="K259" s="24">
        <f t="shared" si="18"/>
        <v>31</v>
      </c>
      <c r="L259" s="24">
        <f t="shared" si="19"/>
        <v>32911</v>
      </c>
      <c r="M259" s="24">
        <v>77500000</v>
      </c>
    </row>
    <row r="260" spans="1:13" s="5" customFormat="1" outlineLevel="2">
      <c r="A260" s="39" t="s">
        <v>120</v>
      </c>
      <c r="B260" s="40" t="s">
        <v>50</v>
      </c>
      <c r="C260" s="41" t="s">
        <v>83</v>
      </c>
      <c r="D260" s="40" t="s">
        <v>84</v>
      </c>
      <c r="E260" s="24">
        <v>160000000</v>
      </c>
      <c r="F260" s="39">
        <v>44098</v>
      </c>
      <c r="G260" s="24">
        <v>160000000</v>
      </c>
      <c r="H260" s="23">
        <v>5.0000000000000001E-3</v>
      </c>
      <c r="I260" s="39">
        <v>44409</v>
      </c>
      <c r="J260" s="39">
        <v>44439</v>
      </c>
      <c r="K260" s="24">
        <f t="shared" si="18"/>
        <v>31</v>
      </c>
      <c r="L260" s="24">
        <f t="shared" si="19"/>
        <v>67945</v>
      </c>
      <c r="M260" s="24">
        <v>160000000</v>
      </c>
    </row>
    <row r="261" spans="1:13" s="5" customFormat="1" outlineLevel="2">
      <c r="A261" s="39" t="s">
        <v>120</v>
      </c>
      <c r="B261" s="40" t="s">
        <v>51</v>
      </c>
      <c r="C261" s="41" t="s">
        <v>128</v>
      </c>
      <c r="D261" s="40" t="s">
        <v>129</v>
      </c>
      <c r="E261" s="24">
        <v>73100000</v>
      </c>
      <c r="F261" s="39">
        <v>44095</v>
      </c>
      <c r="G261" s="24">
        <v>73100000</v>
      </c>
      <c r="H261" s="23">
        <v>5.0000000000000001E-3</v>
      </c>
      <c r="I261" s="39">
        <v>44409</v>
      </c>
      <c r="J261" s="39">
        <v>44439</v>
      </c>
      <c r="K261" s="24">
        <f t="shared" si="18"/>
        <v>31</v>
      </c>
      <c r="L261" s="24">
        <f t="shared" si="19"/>
        <v>31042</v>
      </c>
      <c r="M261" s="24">
        <v>73100000</v>
      </c>
    </row>
    <row r="262" spans="1:13" s="5" customFormat="1" outlineLevel="2">
      <c r="A262" s="39" t="s">
        <v>120</v>
      </c>
      <c r="B262" s="40" t="s">
        <v>52</v>
      </c>
      <c r="C262" s="41" t="s">
        <v>125</v>
      </c>
      <c r="D262" s="40" t="s">
        <v>126</v>
      </c>
      <c r="E262" s="24">
        <v>3000000</v>
      </c>
      <c r="F262" s="39">
        <v>44132</v>
      </c>
      <c r="G262" s="24">
        <v>3000000</v>
      </c>
      <c r="H262" s="23">
        <v>5.0000000000000001E-3</v>
      </c>
      <c r="I262" s="39">
        <v>44409</v>
      </c>
      <c r="J262" s="39">
        <v>44439</v>
      </c>
      <c r="K262" s="24">
        <f t="shared" si="18"/>
        <v>31</v>
      </c>
      <c r="L262" s="24">
        <f t="shared" si="19"/>
        <v>1274</v>
      </c>
      <c r="M262" s="24">
        <v>3000000</v>
      </c>
    </row>
    <row r="263" spans="1:13" s="5" customFormat="1" outlineLevel="2">
      <c r="A263" s="39" t="s">
        <v>120</v>
      </c>
      <c r="B263" s="40" t="s">
        <v>53</v>
      </c>
      <c r="C263" s="41" t="s">
        <v>97</v>
      </c>
      <c r="D263" s="40" t="s">
        <v>98</v>
      </c>
      <c r="E263" s="24">
        <v>141000000</v>
      </c>
      <c r="F263" s="39">
        <v>44119</v>
      </c>
      <c r="G263" s="24">
        <v>141000000</v>
      </c>
      <c r="H263" s="23">
        <v>5.0000000000000001E-3</v>
      </c>
      <c r="I263" s="39">
        <v>44409</v>
      </c>
      <c r="J263" s="39">
        <v>44439</v>
      </c>
      <c r="K263" s="24">
        <f t="shared" si="18"/>
        <v>31</v>
      </c>
      <c r="L263" s="24">
        <f t="shared" si="19"/>
        <v>59877</v>
      </c>
      <c r="M263" s="24">
        <v>141000000</v>
      </c>
    </row>
    <row r="264" spans="1:13" s="5" customFormat="1" outlineLevel="2">
      <c r="A264" s="39" t="s">
        <v>120</v>
      </c>
      <c r="B264" s="40" t="s">
        <v>54</v>
      </c>
      <c r="C264" s="41" t="s">
        <v>20</v>
      </c>
      <c r="D264" s="40" t="s">
        <v>21</v>
      </c>
      <c r="E264" s="24">
        <v>60000000</v>
      </c>
      <c r="F264" s="39">
        <v>43922</v>
      </c>
      <c r="G264" s="24">
        <v>60000000</v>
      </c>
      <c r="H264" s="23">
        <v>3.0000000000000001E-3</v>
      </c>
      <c r="I264" s="39">
        <v>44409</v>
      </c>
      <c r="J264" s="39">
        <v>44439</v>
      </c>
      <c r="K264" s="24">
        <f t="shared" si="18"/>
        <v>31</v>
      </c>
      <c r="L264" s="24">
        <f t="shared" si="19"/>
        <v>15288</v>
      </c>
      <c r="M264" s="24">
        <v>60000000</v>
      </c>
    </row>
    <row r="265" spans="1:13" s="5" customFormat="1" outlineLevel="2">
      <c r="A265" s="39" t="s">
        <v>120</v>
      </c>
      <c r="B265" s="40" t="s">
        <v>57</v>
      </c>
      <c r="C265" s="41" t="s">
        <v>125</v>
      </c>
      <c r="D265" s="40" t="s">
        <v>126</v>
      </c>
      <c r="E265" s="24">
        <v>2500000</v>
      </c>
      <c r="F265" s="39">
        <v>44146</v>
      </c>
      <c r="G265" s="24">
        <v>2500000</v>
      </c>
      <c r="H265" s="23">
        <v>5.0000000000000001E-3</v>
      </c>
      <c r="I265" s="39">
        <v>44409</v>
      </c>
      <c r="J265" s="39">
        <v>44439</v>
      </c>
      <c r="K265" s="24">
        <f t="shared" si="18"/>
        <v>31</v>
      </c>
      <c r="L265" s="24">
        <f t="shared" si="19"/>
        <v>1062</v>
      </c>
      <c r="M265" s="24">
        <v>2500000</v>
      </c>
    </row>
    <row r="266" spans="1:13" s="5" customFormat="1" outlineLevel="2">
      <c r="A266" s="39" t="s">
        <v>120</v>
      </c>
      <c r="B266" s="40" t="s">
        <v>58</v>
      </c>
      <c r="C266" s="41" t="s">
        <v>71</v>
      </c>
      <c r="D266" s="40" t="s">
        <v>72</v>
      </c>
      <c r="E266" s="24">
        <v>11610900</v>
      </c>
      <c r="F266" s="39">
        <v>44137</v>
      </c>
      <c r="G266" s="24">
        <v>11610900</v>
      </c>
      <c r="H266" s="23">
        <v>5.0000000000000001E-3</v>
      </c>
      <c r="I266" s="39">
        <v>44409</v>
      </c>
      <c r="J266" s="39">
        <v>44439</v>
      </c>
      <c r="K266" s="24">
        <f t="shared" si="18"/>
        <v>31</v>
      </c>
      <c r="L266" s="24">
        <f t="shared" si="19"/>
        <v>4931</v>
      </c>
      <c r="M266" s="24">
        <v>11610900</v>
      </c>
    </row>
    <row r="267" spans="1:13" s="5" customFormat="1" outlineLevel="2">
      <c r="A267" s="39" t="s">
        <v>120</v>
      </c>
      <c r="B267" s="40" t="s">
        <v>99</v>
      </c>
      <c r="C267" s="41" t="s">
        <v>130</v>
      </c>
      <c r="D267" s="40" t="s">
        <v>131</v>
      </c>
      <c r="E267" s="24">
        <v>12000000</v>
      </c>
      <c r="F267" s="39">
        <v>44145</v>
      </c>
      <c r="G267" s="24">
        <v>7000000</v>
      </c>
      <c r="H267" s="23">
        <v>5.0000000000000001E-3</v>
      </c>
      <c r="I267" s="39">
        <v>44409</v>
      </c>
      <c r="J267" s="39">
        <v>44439</v>
      </c>
      <c r="K267" s="24">
        <f t="shared" si="18"/>
        <v>31</v>
      </c>
      <c r="L267" s="24">
        <f t="shared" si="19"/>
        <v>2973</v>
      </c>
      <c r="M267" s="24">
        <v>7000000</v>
      </c>
    </row>
    <row r="268" spans="1:13" s="5" customFormat="1" outlineLevel="2">
      <c r="A268" s="39" t="s">
        <v>120</v>
      </c>
      <c r="B268" s="40" t="s">
        <v>100</v>
      </c>
      <c r="C268" s="41" t="s">
        <v>132</v>
      </c>
      <c r="D268" s="40" t="s">
        <v>133</v>
      </c>
      <c r="E268" s="24">
        <v>23000000</v>
      </c>
      <c r="F268" s="39">
        <v>44137</v>
      </c>
      <c r="G268" s="24">
        <v>19550003</v>
      </c>
      <c r="H268" s="23">
        <v>5.0000000000000001E-3</v>
      </c>
      <c r="I268" s="39">
        <v>44409</v>
      </c>
      <c r="J268" s="39">
        <v>44423</v>
      </c>
      <c r="K268" s="24">
        <f t="shared" si="18"/>
        <v>15</v>
      </c>
      <c r="L268" s="24">
        <f t="shared" si="19"/>
        <v>4017</v>
      </c>
      <c r="M268" s="24">
        <v>19166670</v>
      </c>
    </row>
    <row r="269" spans="1:13" s="5" customFormat="1" outlineLevel="2">
      <c r="A269" s="39" t="s">
        <v>120</v>
      </c>
      <c r="B269" s="40" t="s">
        <v>100</v>
      </c>
      <c r="C269" s="41" t="s">
        <v>132</v>
      </c>
      <c r="D269" s="40"/>
      <c r="E269" s="24"/>
      <c r="F269" s="39"/>
      <c r="G269" s="24">
        <v>19166670</v>
      </c>
      <c r="H269" s="23">
        <v>5.0000000000000001E-3</v>
      </c>
      <c r="I269" s="39">
        <v>44424</v>
      </c>
      <c r="J269" s="39">
        <v>44439</v>
      </c>
      <c r="K269" s="24">
        <f t="shared" si="18"/>
        <v>16</v>
      </c>
      <c r="L269" s="24">
        <f t="shared" si="19"/>
        <v>4201</v>
      </c>
      <c r="M269" s="24"/>
    </row>
    <row r="270" spans="1:13" s="5" customFormat="1" outlineLevel="2">
      <c r="A270" s="39" t="s">
        <v>120</v>
      </c>
      <c r="B270" s="40" t="s">
        <v>101</v>
      </c>
      <c r="C270" s="41" t="s">
        <v>132</v>
      </c>
      <c r="D270" s="40" t="s">
        <v>133</v>
      </c>
      <c r="E270" s="24">
        <v>17000000</v>
      </c>
      <c r="F270" s="39">
        <v>44145</v>
      </c>
      <c r="G270" s="24">
        <v>14450003</v>
      </c>
      <c r="H270" s="23">
        <v>5.0000000000000001E-3</v>
      </c>
      <c r="I270" s="39">
        <v>44409</v>
      </c>
      <c r="J270" s="39">
        <v>44423</v>
      </c>
      <c r="K270" s="24">
        <f t="shared" si="18"/>
        <v>15</v>
      </c>
      <c r="L270" s="24">
        <f t="shared" si="19"/>
        <v>2969</v>
      </c>
      <c r="M270" s="24">
        <v>14166670</v>
      </c>
    </row>
    <row r="271" spans="1:13" s="5" customFormat="1" outlineLevel="2">
      <c r="A271" s="39" t="s">
        <v>120</v>
      </c>
      <c r="B271" s="40" t="s">
        <v>101</v>
      </c>
      <c r="C271" s="41" t="s">
        <v>132</v>
      </c>
      <c r="D271" s="40"/>
      <c r="E271" s="24"/>
      <c r="F271" s="39"/>
      <c r="G271" s="24">
        <v>14166670</v>
      </c>
      <c r="H271" s="23">
        <v>5.0000000000000001E-3</v>
      </c>
      <c r="I271" s="39">
        <v>44424</v>
      </c>
      <c r="J271" s="39">
        <v>44439</v>
      </c>
      <c r="K271" s="24">
        <f t="shared" ref="K271:K302" si="20">J271-I271+1</f>
        <v>16</v>
      </c>
      <c r="L271" s="24">
        <f t="shared" ref="L271:L302" si="21">ROUND(G271*H271*K271/365,0)</f>
        <v>3105</v>
      </c>
      <c r="M271" s="24"/>
    </row>
    <row r="272" spans="1:13" s="5" customFormat="1" outlineLevel="2">
      <c r="A272" s="39" t="s">
        <v>120</v>
      </c>
      <c r="B272" s="40" t="s">
        <v>102</v>
      </c>
      <c r="C272" s="41" t="s">
        <v>17</v>
      </c>
      <c r="D272" s="40" t="s">
        <v>18</v>
      </c>
      <c r="E272" s="24">
        <v>4591000</v>
      </c>
      <c r="F272" s="39">
        <v>44160</v>
      </c>
      <c r="G272" s="24">
        <v>3978864</v>
      </c>
      <c r="H272" s="23">
        <v>5.0000000000000001E-3</v>
      </c>
      <c r="I272" s="39">
        <v>44409</v>
      </c>
      <c r="J272" s="39">
        <v>44423</v>
      </c>
      <c r="K272" s="24">
        <f t="shared" si="20"/>
        <v>15</v>
      </c>
      <c r="L272" s="24">
        <f t="shared" si="21"/>
        <v>818</v>
      </c>
      <c r="M272" s="24">
        <v>3902347</v>
      </c>
    </row>
    <row r="273" spans="1:13" s="5" customFormat="1" outlineLevel="2">
      <c r="A273" s="39" t="s">
        <v>120</v>
      </c>
      <c r="B273" s="40" t="s">
        <v>102</v>
      </c>
      <c r="C273" s="41" t="s">
        <v>17</v>
      </c>
      <c r="D273" s="40"/>
      <c r="E273" s="24"/>
      <c r="F273" s="39"/>
      <c r="G273" s="24">
        <v>3902347</v>
      </c>
      <c r="H273" s="23">
        <v>5.0000000000000001E-3</v>
      </c>
      <c r="I273" s="39">
        <v>44424</v>
      </c>
      <c r="J273" s="39">
        <v>44439</v>
      </c>
      <c r="K273" s="24">
        <f t="shared" si="20"/>
        <v>16</v>
      </c>
      <c r="L273" s="24">
        <f t="shared" si="21"/>
        <v>855</v>
      </c>
      <c r="M273" s="24"/>
    </row>
    <row r="274" spans="1:13" s="5" customFormat="1" outlineLevel="2">
      <c r="A274" s="39" t="s">
        <v>120</v>
      </c>
      <c r="B274" s="40" t="s">
        <v>103</v>
      </c>
      <c r="C274" s="41" t="s">
        <v>83</v>
      </c>
      <c r="D274" s="40" t="s">
        <v>84</v>
      </c>
      <c r="E274" s="24">
        <v>238000000</v>
      </c>
      <c r="F274" s="39">
        <v>44189</v>
      </c>
      <c r="G274" s="24">
        <v>238000000</v>
      </c>
      <c r="H274" s="23">
        <v>5.0000000000000001E-3</v>
      </c>
      <c r="I274" s="39">
        <v>44409</v>
      </c>
      <c r="J274" s="39">
        <v>44439</v>
      </c>
      <c r="K274" s="24">
        <f t="shared" si="20"/>
        <v>31</v>
      </c>
      <c r="L274" s="24">
        <f t="shared" si="21"/>
        <v>101068</v>
      </c>
      <c r="M274" s="24">
        <v>238000000</v>
      </c>
    </row>
    <row r="275" spans="1:13" s="5" customFormat="1" outlineLevel="2">
      <c r="A275" s="39" t="s">
        <v>120</v>
      </c>
      <c r="B275" s="40" t="s">
        <v>104</v>
      </c>
      <c r="C275" s="41" t="s">
        <v>97</v>
      </c>
      <c r="D275" s="40" t="s">
        <v>98</v>
      </c>
      <c r="E275" s="24">
        <v>17000000</v>
      </c>
      <c r="F275" s="39">
        <v>44180</v>
      </c>
      <c r="G275" s="24">
        <v>17000000</v>
      </c>
      <c r="H275" s="23">
        <v>5.0000000000000001E-3</v>
      </c>
      <c r="I275" s="39">
        <v>44409</v>
      </c>
      <c r="J275" s="39">
        <v>44439</v>
      </c>
      <c r="K275" s="24">
        <f t="shared" si="20"/>
        <v>31</v>
      </c>
      <c r="L275" s="24">
        <f t="shared" si="21"/>
        <v>7219</v>
      </c>
      <c r="M275" s="24">
        <v>17000000</v>
      </c>
    </row>
    <row r="276" spans="1:13" s="5" customFormat="1" outlineLevel="2">
      <c r="A276" s="39" t="s">
        <v>120</v>
      </c>
      <c r="B276" s="40" t="s">
        <v>105</v>
      </c>
      <c r="C276" s="41" t="s">
        <v>134</v>
      </c>
      <c r="D276" s="40" t="s">
        <v>135</v>
      </c>
      <c r="E276" s="24">
        <v>8000000</v>
      </c>
      <c r="F276" s="39">
        <v>44169</v>
      </c>
      <c r="G276" s="24">
        <v>8000000</v>
      </c>
      <c r="H276" s="23">
        <v>5.0000000000000001E-3</v>
      </c>
      <c r="I276" s="39">
        <v>44409</v>
      </c>
      <c r="J276" s="39">
        <v>44439</v>
      </c>
      <c r="K276" s="24">
        <f t="shared" si="20"/>
        <v>31</v>
      </c>
      <c r="L276" s="24">
        <f t="shared" si="21"/>
        <v>3397</v>
      </c>
      <c r="M276" s="24">
        <v>8000000</v>
      </c>
    </row>
    <row r="277" spans="1:13" s="5" customFormat="1" outlineLevel="2">
      <c r="A277" s="39" t="s">
        <v>120</v>
      </c>
      <c r="B277" s="40" t="s">
        <v>106</v>
      </c>
      <c r="C277" s="41" t="s">
        <v>134</v>
      </c>
      <c r="D277" s="40" t="s">
        <v>135</v>
      </c>
      <c r="E277" s="24">
        <v>15000000</v>
      </c>
      <c r="F277" s="39">
        <v>44169</v>
      </c>
      <c r="G277" s="24">
        <v>15000000</v>
      </c>
      <c r="H277" s="23">
        <v>5.0000000000000001E-3</v>
      </c>
      <c r="I277" s="39">
        <v>44409</v>
      </c>
      <c r="J277" s="39">
        <v>44439</v>
      </c>
      <c r="K277" s="24">
        <f t="shared" si="20"/>
        <v>31</v>
      </c>
      <c r="L277" s="24">
        <f t="shared" si="21"/>
        <v>6370</v>
      </c>
      <c r="M277" s="24">
        <v>15000000</v>
      </c>
    </row>
    <row r="278" spans="1:13" s="5" customFormat="1" outlineLevel="2">
      <c r="A278" s="39" t="s">
        <v>120</v>
      </c>
      <c r="B278" s="40" t="s">
        <v>59</v>
      </c>
      <c r="C278" s="41" t="s">
        <v>20</v>
      </c>
      <c r="D278" s="40" t="s">
        <v>21</v>
      </c>
      <c r="E278" s="24">
        <v>144000000</v>
      </c>
      <c r="F278" s="39">
        <v>43922</v>
      </c>
      <c r="G278" s="24">
        <v>144000000</v>
      </c>
      <c r="H278" s="23">
        <v>5.0000000000000001E-3</v>
      </c>
      <c r="I278" s="39">
        <v>44409</v>
      </c>
      <c r="J278" s="39">
        <v>44439</v>
      </c>
      <c r="K278" s="24">
        <f t="shared" si="20"/>
        <v>31</v>
      </c>
      <c r="L278" s="24">
        <f t="shared" si="21"/>
        <v>61151</v>
      </c>
      <c r="M278" s="24">
        <v>144000000</v>
      </c>
    </row>
    <row r="279" spans="1:13" s="5" customFormat="1" outlineLevel="2">
      <c r="A279" s="39" t="s">
        <v>120</v>
      </c>
      <c r="B279" s="40" t="s">
        <v>136</v>
      </c>
      <c r="C279" s="41" t="s">
        <v>125</v>
      </c>
      <c r="D279" s="40" t="s">
        <v>126</v>
      </c>
      <c r="E279" s="24">
        <v>7000000</v>
      </c>
      <c r="F279" s="39">
        <v>44202</v>
      </c>
      <c r="G279" s="24">
        <v>7000000</v>
      </c>
      <c r="H279" s="23">
        <v>5.0000000000000001E-3</v>
      </c>
      <c r="I279" s="39">
        <v>44409</v>
      </c>
      <c r="J279" s="39">
        <v>44439</v>
      </c>
      <c r="K279" s="24">
        <f t="shared" si="20"/>
        <v>31</v>
      </c>
      <c r="L279" s="24">
        <f t="shared" si="21"/>
        <v>2973</v>
      </c>
      <c r="M279" s="24">
        <v>7000000</v>
      </c>
    </row>
    <row r="280" spans="1:13" s="5" customFormat="1" outlineLevel="2">
      <c r="A280" s="39" t="s">
        <v>120</v>
      </c>
      <c r="B280" s="40" t="s">
        <v>137</v>
      </c>
      <c r="C280" s="41" t="s">
        <v>125</v>
      </c>
      <c r="D280" s="40" t="s">
        <v>126</v>
      </c>
      <c r="E280" s="24">
        <v>26000000</v>
      </c>
      <c r="F280" s="39">
        <v>44218</v>
      </c>
      <c r="G280" s="24">
        <v>26000000</v>
      </c>
      <c r="H280" s="23">
        <v>5.0000000000000001E-3</v>
      </c>
      <c r="I280" s="39">
        <v>44409</v>
      </c>
      <c r="J280" s="39">
        <v>44439</v>
      </c>
      <c r="K280" s="24">
        <f t="shared" si="20"/>
        <v>31</v>
      </c>
      <c r="L280" s="24">
        <f t="shared" si="21"/>
        <v>11041</v>
      </c>
      <c r="M280" s="24">
        <v>26000000</v>
      </c>
    </row>
    <row r="281" spans="1:13" s="5" customFormat="1" outlineLevel="2">
      <c r="A281" s="39" t="s">
        <v>120</v>
      </c>
      <c r="B281" s="40" t="s">
        <v>138</v>
      </c>
      <c r="C281" s="41" t="s">
        <v>134</v>
      </c>
      <c r="D281" s="40" t="s">
        <v>135</v>
      </c>
      <c r="E281" s="24">
        <v>15000000</v>
      </c>
      <c r="F281" s="39">
        <v>44200</v>
      </c>
      <c r="G281" s="24">
        <v>15000000</v>
      </c>
      <c r="H281" s="23">
        <v>5.0000000000000001E-3</v>
      </c>
      <c r="I281" s="39">
        <v>44409</v>
      </c>
      <c r="J281" s="39">
        <v>44439</v>
      </c>
      <c r="K281" s="24">
        <f t="shared" si="20"/>
        <v>31</v>
      </c>
      <c r="L281" s="24">
        <f t="shared" si="21"/>
        <v>6370</v>
      </c>
      <c r="M281" s="24">
        <v>15000000</v>
      </c>
    </row>
    <row r="282" spans="1:13" s="5" customFormat="1" outlineLevel="2">
      <c r="A282" s="39" t="s">
        <v>120</v>
      </c>
      <c r="B282" s="40" t="s">
        <v>139</v>
      </c>
      <c r="C282" s="41" t="s">
        <v>134</v>
      </c>
      <c r="D282" s="40" t="s">
        <v>135</v>
      </c>
      <c r="E282" s="24">
        <v>6000000</v>
      </c>
      <c r="F282" s="39">
        <v>44203</v>
      </c>
      <c r="G282" s="24">
        <v>6000000</v>
      </c>
      <c r="H282" s="23">
        <v>5.0000000000000001E-3</v>
      </c>
      <c r="I282" s="39">
        <v>44409</v>
      </c>
      <c r="J282" s="39">
        <v>44439</v>
      </c>
      <c r="K282" s="24">
        <f t="shared" si="20"/>
        <v>31</v>
      </c>
      <c r="L282" s="24">
        <f t="shared" si="21"/>
        <v>2548</v>
      </c>
      <c r="M282" s="24">
        <v>6000000</v>
      </c>
    </row>
    <row r="283" spans="1:13" s="5" customFormat="1" outlineLevel="2">
      <c r="A283" s="39" t="s">
        <v>120</v>
      </c>
      <c r="B283" s="40" t="s">
        <v>140</v>
      </c>
      <c r="C283" s="41" t="s">
        <v>134</v>
      </c>
      <c r="D283" s="40" t="s">
        <v>135</v>
      </c>
      <c r="E283" s="24">
        <v>9000000</v>
      </c>
      <c r="F283" s="39">
        <v>44216</v>
      </c>
      <c r="G283" s="24">
        <v>9000000</v>
      </c>
      <c r="H283" s="23">
        <v>5.0000000000000001E-3</v>
      </c>
      <c r="I283" s="39">
        <v>44409</v>
      </c>
      <c r="J283" s="39">
        <v>44439</v>
      </c>
      <c r="K283" s="24">
        <f t="shared" si="20"/>
        <v>31</v>
      </c>
      <c r="L283" s="24">
        <f t="shared" si="21"/>
        <v>3822</v>
      </c>
      <c r="M283" s="24">
        <v>9000000</v>
      </c>
    </row>
    <row r="284" spans="1:13" s="5" customFormat="1" outlineLevel="2">
      <c r="A284" s="39" t="s">
        <v>120</v>
      </c>
      <c r="B284" s="40" t="s">
        <v>169</v>
      </c>
      <c r="C284" s="41" t="s">
        <v>20</v>
      </c>
      <c r="D284" s="40" t="s">
        <v>21</v>
      </c>
      <c r="E284" s="24">
        <v>150000000</v>
      </c>
      <c r="F284" s="39">
        <v>44231</v>
      </c>
      <c r="G284" s="24">
        <v>150000000</v>
      </c>
      <c r="H284" s="23">
        <v>3.0000000000000001E-3</v>
      </c>
      <c r="I284" s="39">
        <v>44409</v>
      </c>
      <c r="J284" s="39">
        <v>44439</v>
      </c>
      <c r="K284" s="24">
        <f t="shared" si="20"/>
        <v>31</v>
      </c>
      <c r="L284" s="24">
        <f t="shared" si="21"/>
        <v>38219</v>
      </c>
      <c r="M284" s="24">
        <v>150000000</v>
      </c>
    </row>
    <row r="285" spans="1:13" s="5" customFormat="1" outlineLevel="2">
      <c r="A285" s="39" t="s">
        <v>120</v>
      </c>
      <c r="B285" s="40" t="s">
        <v>170</v>
      </c>
      <c r="C285" s="41" t="s">
        <v>134</v>
      </c>
      <c r="D285" s="40" t="s">
        <v>135</v>
      </c>
      <c r="E285" s="24">
        <v>2000000</v>
      </c>
      <c r="F285" s="39">
        <v>44228</v>
      </c>
      <c r="G285" s="24">
        <v>2000000</v>
      </c>
      <c r="H285" s="23">
        <v>5.0000000000000001E-3</v>
      </c>
      <c r="I285" s="39">
        <v>44409</v>
      </c>
      <c r="J285" s="39">
        <v>44439</v>
      </c>
      <c r="K285" s="24">
        <f t="shared" si="20"/>
        <v>31</v>
      </c>
      <c r="L285" s="24">
        <f t="shared" si="21"/>
        <v>849</v>
      </c>
      <c r="M285" s="24">
        <v>2000000</v>
      </c>
    </row>
    <row r="286" spans="1:13" s="5" customFormat="1" outlineLevel="2">
      <c r="A286" s="39" t="s">
        <v>120</v>
      </c>
      <c r="B286" s="40" t="s">
        <v>171</v>
      </c>
      <c r="C286" s="41" t="s">
        <v>134</v>
      </c>
      <c r="D286" s="40" t="s">
        <v>135</v>
      </c>
      <c r="E286" s="24">
        <v>13000000</v>
      </c>
      <c r="F286" s="39">
        <v>44231</v>
      </c>
      <c r="G286" s="24">
        <v>13000000</v>
      </c>
      <c r="H286" s="23">
        <v>5.0000000000000001E-3</v>
      </c>
      <c r="I286" s="39">
        <v>44409</v>
      </c>
      <c r="J286" s="39">
        <v>44439</v>
      </c>
      <c r="K286" s="24">
        <f t="shared" si="20"/>
        <v>31</v>
      </c>
      <c r="L286" s="24">
        <f t="shared" si="21"/>
        <v>5521</v>
      </c>
      <c r="M286" s="24">
        <v>13000000</v>
      </c>
    </row>
    <row r="287" spans="1:13" s="5" customFormat="1" outlineLevel="2">
      <c r="A287" s="39" t="s">
        <v>120</v>
      </c>
      <c r="B287" s="40" t="s">
        <v>172</v>
      </c>
      <c r="C287" s="41" t="s">
        <v>134</v>
      </c>
      <c r="D287" s="40" t="s">
        <v>135</v>
      </c>
      <c r="E287" s="24">
        <v>8000000</v>
      </c>
      <c r="F287" s="39">
        <v>44235</v>
      </c>
      <c r="G287" s="24">
        <v>8000000</v>
      </c>
      <c r="H287" s="23">
        <v>5.0000000000000001E-3</v>
      </c>
      <c r="I287" s="39">
        <v>44409</v>
      </c>
      <c r="J287" s="39">
        <v>44439</v>
      </c>
      <c r="K287" s="24">
        <f t="shared" si="20"/>
        <v>31</v>
      </c>
      <c r="L287" s="24">
        <f t="shared" si="21"/>
        <v>3397</v>
      </c>
      <c r="M287" s="24">
        <v>8000000</v>
      </c>
    </row>
    <row r="288" spans="1:13" s="5" customFormat="1" outlineLevel="2">
      <c r="A288" s="39" t="s">
        <v>120</v>
      </c>
      <c r="B288" s="40" t="s">
        <v>173</v>
      </c>
      <c r="C288" s="41" t="s">
        <v>134</v>
      </c>
      <c r="D288" s="40" t="s">
        <v>135</v>
      </c>
      <c r="E288" s="24">
        <v>6000000</v>
      </c>
      <c r="F288" s="39">
        <v>44231</v>
      </c>
      <c r="G288" s="24">
        <v>6000000</v>
      </c>
      <c r="H288" s="23">
        <v>5.0000000000000001E-3</v>
      </c>
      <c r="I288" s="39">
        <v>44409</v>
      </c>
      <c r="J288" s="39">
        <v>44439</v>
      </c>
      <c r="K288" s="24">
        <f t="shared" si="20"/>
        <v>31</v>
      </c>
      <c r="L288" s="24">
        <f t="shared" si="21"/>
        <v>2548</v>
      </c>
      <c r="M288" s="24">
        <v>6000000</v>
      </c>
    </row>
    <row r="289" spans="1:13" s="5" customFormat="1" outlineLevel="2">
      <c r="A289" s="39" t="s">
        <v>120</v>
      </c>
      <c r="B289" s="40" t="s">
        <v>62</v>
      </c>
      <c r="C289" s="41" t="s">
        <v>125</v>
      </c>
      <c r="D289" s="40" t="s">
        <v>126</v>
      </c>
      <c r="E289" s="24">
        <v>34480000</v>
      </c>
      <c r="F289" s="39">
        <v>43980</v>
      </c>
      <c r="G289" s="24">
        <v>34480000</v>
      </c>
      <c r="H289" s="23">
        <v>5.0000000000000001E-3</v>
      </c>
      <c r="I289" s="39">
        <v>44409</v>
      </c>
      <c r="J289" s="39">
        <v>44439</v>
      </c>
      <c r="K289" s="24">
        <f t="shared" si="20"/>
        <v>31</v>
      </c>
      <c r="L289" s="24">
        <f t="shared" si="21"/>
        <v>14642</v>
      </c>
      <c r="M289" s="24">
        <v>34480000</v>
      </c>
    </row>
    <row r="290" spans="1:13" s="5" customFormat="1" outlineLevel="2">
      <c r="A290" s="39" t="s">
        <v>120</v>
      </c>
      <c r="B290" s="40" t="s">
        <v>174</v>
      </c>
      <c r="C290" s="41" t="s">
        <v>246</v>
      </c>
      <c r="D290" s="40" t="s">
        <v>247</v>
      </c>
      <c r="E290" s="24">
        <v>11000000</v>
      </c>
      <c r="F290" s="39">
        <v>44235</v>
      </c>
      <c r="G290" s="24">
        <v>11000000</v>
      </c>
      <c r="H290" s="23">
        <v>5.0000000000000001E-3</v>
      </c>
      <c r="I290" s="39">
        <v>44409</v>
      </c>
      <c r="J290" s="39">
        <v>44439</v>
      </c>
      <c r="K290" s="24">
        <f t="shared" si="20"/>
        <v>31</v>
      </c>
      <c r="L290" s="24">
        <f t="shared" si="21"/>
        <v>4671</v>
      </c>
      <c r="M290" s="24">
        <v>11000000</v>
      </c>
    </row>
    <row r="291" spans="1:13" s="5" customFormat="1" outlineLevel="2">
      <c r="A291" s="39" t="s">
        <v>120</v>
      </c>
      <c r="B291" s="40" t="s">
        <v>175</v>
      </c>
      <c r="C291" s="41" t="s">
        <v>246</v>
      </c>
      <c r="D291" s="40" t="s">
        <v>247</v>
      </c>
      <c r="E291" s="24">
        <v>67000000</v>
      </c>
      <c r="F291" s="39">
        <v>44251</v>
      </c>
      <c r="G291" s="24">
        <v>67000000</v>
      </c>
      <c r="H291" s="23">
        <v>5.0000000000000001E-3</v>
      </c>
      <c r="I291" s="39">
        <v>44409</v>
      </c>
      <c r="J291" s="39">
        <v>44439</v>
      </c>
      <c r="K291" s="24">
        <f t="shared" si="20"/>
        <v>31</v>
      </c>
      <c r="L291" s="24">
        <f t="shared" si="21"/>
        <v>28452</v>
      </c>
      <c r="M291" s="24">
        <v>67000000</v>
      </c>
    </row>
    <row r="292" spans="1:13" s="5" customFormat="1" outlineLevel="2">
      <c r="A292" s="39" t="s">
        <v>120</v>
      </c>
      <c r="B292" s="40" t="s">
        <v>176</v>
      </c>
      <c r="C292" s="41" t="s">
        <v>306</v>
      </c>
      <c r="D292" s="40" t="s">
        <v>305</v>
      </c>
      <c r="E292" s="24">
        <v>320000000</v>
      </c>
      <c r="F292" s="39">
        <v>44228</v>
      </c>
      <c r="G292" s="24">
        <v>320000000</v>
      </c>
      <c r="H292" s="23">
        <v>5.0000000000000001E-3</v>
      </c>
      <c r="I292" s="39">
        <v>44409</v>
      </c>
      <c r="J292" s="39">
        <v>44439</v>
      </c>
      <c r="K292" s="24">
        <f t="shared" si="20"/>
        <v>31</v>
      </c>
      <c r="L292" s="24">
        <f t="shared" si="21"/>
        <v>135890</v>
      </c>
      <c r="M292" s="24">
        <v>320000000</v>
      </c>
    </row>
    <row r="293" spans="1:13" s="5" customFormat="1" outlineLevel="2">
      <c r="A293" s="39" t="s">
        <v>120</v>
      </c>
      <c r="B293" s="40" t="s">
        <v>177</v>
      </c>
      <c r="C293" s="41" t="s">
        <v>306</v>
      </c>
      <c r="D293" s="40" t="s">
        <v>305</v>
      </c>
      <c r="E293" s="24">
        <v>17000000</v>
      </c>
      <c r="F293" s="39">
        <v>44246</v>
      </c>
      <c r="G293" s="24">
        <v>17000000</v>
      </c>
      <c r="H293" s="23">
        <v>5.0000000000000001E-3</v>
      </c>
      <c r="I293" s="39">
        <v>44409</v>
      </c>
      <c r="J293" s="39">
        <v>44439</v>
      </c>
      <c r="K293" s="24">
        <f t="shared" si="20"/>
        <v>31</v>
      </c>
      <c r="L293" s="24">
        <f t="shared" si="21"/>
        <v>7219</v>
      </c>
      <c r="M293" s="24">
        <v>17000000</v>
      </c>
    </row>
    <row r="294" spans="1:13" s="5" customFormat="1" outlineLevel="2">
      <c r="A294" s="39" t="s">
        <v>120</v>
      </c>
      <c r="B294" s="40" t="s">
        <v>178</v>
      </c>
      <c r="C294" s="41" t="s">
        <v>71</v>
      </c>
      <c r="D294" s="40" t="s">
        <v>72</v>
      </c>
      <c r="E294" s="24">
        <v>19980000</v>
      </c>
      <c r="F294" s="39">
        <v>44252</v>
      </c>
      <c r="G294" s="24">
        <v>19980000</v>
      </c>
      <c r="H294" s="23">
        <v>5.0000000000000001E-3</v>
      </c>
      <c r="I294" s="39">
        <v>44409</v>
      </c>
      <c r="J294" s="39">
        <v>44439</v>
      </c>
      <c r="K294" s="24">
        <f t="shared" si="20"/>
        <v>31</v>
      </c>
      <c r="L294" s="24">
        <f t="shared" si="21"/>
        <v>8485</v>
      </c>
      <c r="M294" s="24">
        <v>19980000</v>
      </c>
    </row>
    <row r="295" spans="1:13" s="5" customFormat="1" outlineLevel="2">
      <c r="A295" s="39" t="s">
        <v>120</v>
      </c>
      <c r="B295" s="40" t="s">
        <v>179</v>
      </c>
      <c r="C295" s="41" t="s">
        <v>219</v>
      </c>
      <c r="D295" s="40" t="s">
        <v>220</v>
      </c>
      <c r="E295" s="24">
        <v>9000000</v>
      </c>
      <c r="F295" s="39">
        <v>44253</v>
      </c>
      <c r="G295" s="24">
        <v>9000000</v>
      </c>
      <c r="H295" s="23">
        <v>5.0000000000000001E-3</v>
      </c>
      <c r="I295" s="39">
        <v>44409</v>
      </c>
      <c r="J295" s="39">
        <v>44439</v>
      </c>
      <c r="K295" s="24">
        <f t="shared" si="20"/>
        <v>31</v>
      </c>
      <c r="L295" s="24">
        <f t="shared" si="21"/>
        <v>3822</v>
      </c>
      <c r="M295" s="24">
        <v>9000000</v>
      </c>
    </row>
    <row r="296" spans="1:13" s="5" customFormat="1" outlineLevel="2">
      <c r="A296" s="39" t="s">
        <v>120</v>
      </c>
      <c r="B296" s="40" t="s">
        <v>180</v>
      </c>
      <c r="C296" s="41" t="s">
        <v>219</v>
      </c>
      <c r="D296" s="40" t="s">
        <v>220</v>
      </c>
      <c r="E296" s="24">
        <v>17000000</v>
      </c>
      <c r="F296" s="39">
        <v>44253</v>
      </c>
      <c r="G296" s="24">
        <v>17000000</v>
      </c>
      <c r="H296" s="23">
        <v>5.0000000000000001E-3</v>
      </c>
      <c r="I296" s="39">
        <v>44409</v>
      </c>
      <c r="J296" s="39">
        <v>44439</v>
      </c>
      <c r="K296" s="24">
        <f t="shared" si="20"/>
        <v>31</v>
      </c>
      <c r="L296" s="24">
        <f t="shared" si="21"/>
        <v>7219</v>
      </c>
      <c r="M296" s="24">
        <v>17000000</v>
      </c>
    </row>
    <row r="297" spans="1:13" s="5" customFormat="1" outlineLevel="2">
      <c r="A297" s="39" t="s">
        <v>120</v>
      </c>
      <c r="B297" s="40" t="s">
        <v>181</v>
      </c>
      <c r="C297" s="41" t="s">
        <v>37</v>
      </c>
      <c r="D297" s="40" t="s">
        <v>38</v>
      </c>
      <c r="E297" s="24">
        <v>90862000</v>
      </c>
      <c r="F297" s="39">
        <v>44285</v>
      </c>
      <c r="G297" s="24">
        <v>90862000</v>
      </c>
      <c r="H297" s="23">
        <v>5.0000000000000001E-3</v>
      </c>
      <c r="I297" s="39">
        <v>44409</v>
      </c>
      <c r="J297" s="39">
        <v>44439</v>
      </c>
      <c r="K297" s="24">
        <f t="shared" si="20"/>
        <v>31</v>
      </c>
      <c r="L297" s="24">
        <f t="shared" si="21"/>
        <v>38585</v>
      </c>
      <c r="M297" s="24">
        <v>90862000</v>
      </c>
    </row>
    <row r="298" spans="1:13" s="5" customFormat="1" outlineLevel="2">
      <c r="A298" s="39" t="s">
        <v>120</v>
      </c>
      <c r="B298" s="40" t="s">
        <v>182</v>
      </c>
      <c r="C298" s="41" t="s">
        <v>37</v>
      </c>
      <c r="D298" s="40" t="s">
        <v>38</v>
      </c>
      <c r="E298" s="24">
        <v>49390000</v>
      </c>
      <c r="F298" s="39">
        <v>44285</v>
      </c>
      <c r="G298" s="24">
        <v>49390000</v>
      </c>
      <c r="H298" s="23">
        <v>5.0000000000000001E-3</v>
      </c>
      <c r="I298" s="39">
        <v>44409</v>
      </c>
      <c r="J298" s="39">
        <v>44439</v>
      </c>
      <c r="K298" s="24">
        <f t="shared" si="20"/>
        <v>31</v>
      </c>
      <c r="L298" s="24">
        <f t="shared" si="21"/>
        <v>20974</v>
      </c>
      <c r="M298" s="24">
        <v>49390000</v>
      </c>
    </row>
    <row r="299" spans="1:13" s="5" customFormat="1" outlineLevel="2">
      <c r="A299" s="39" t="s">
        <v>120</v>
      </c>
      <c r="B299" s="40" t="s">
        <v>183</v>
      </c>
      <c r="C299" s="41" t="s">
        <v>134</v>
      </c>
      <c r="D299" s="40" t="s">
        <v>135</v>
      </c>
      <c r="E299" s="24">
        <v>9000000</v>
      </c>
      <c r="F299" s="39">
        <v>44285</v>
      </c>
      <c r="G299" s="24">
        <v>9000000</v>
      </c>
      <c r="H299" s="23">
        <v>5.0000000000000001E-3</v>
      </c>
      <c r="I299" s="39">
        <v>44409</v>
      </c>
      <c r="J299" s="39">
        <v>44439</v>
      </c>
      <c r="K299" s="24">
        <f t="shared" si="20"/>
        <v>31</v>
      </c>
      <c r="L299" s="24">
        <f t="shared" si="21"/>
        <v>3822</v>
      </c>
      <c r="M299" s="24">
        <v>9000000</v>
      </c>
    </row>
    <row r="300" spans="1:13" s="5" customFormat="1" outlineLevel="2">
      <c r="A300" s="39" t="s">
        <v>120</v>
      </c>
      <c r="B300" s="40" t="s">
        <v>63</v>
      </c>
      <c r="C300" s="41" t="s">
        <v>66</v>
      </c>
      <c r="D300" s="40" t="s">
        <v>67</v>
      </c>
      <c r="E300" s="24">
        <v>56000000</v>
      </c>
      <c r="F300" s="39">
        <v>43966</v>
      </c>
      <c r="G300" s="24">
        <v>56000000</v>
      </c>
      <c r="H300" s="23">
        <v>5.0000000000000001E-3</v>
      </c>
      <c r="I300" s="39">
        <v>44409</v>
      </c>
      <c r="J300" s="39">
        <v>44439</v>
      </c>
      <c r="K300" s="24">
        <f t="shared" si="20"/>
        <v>31</v>
      </c>
      <c r="L300" s="24">
        <f t="shared" si="21"/>
        <v>23781</v>
      </c>
      <c r="M300" s="24">
        <v>56000000</v>
      </c>
    </row>
    <row r="301" spans="1:13" s="5" customFormat="1" outlineLevel="2">
      <c r="A301" s="39" t="s">
        <v>120</v>
      </c>
      <c r="B301" s="40" t="s">
        <v>184</v>
      </c>
      <c r="C301" s="41" t="s">
        <v>125</v>
      </c>
      <c r="D301" s="40" t="s">
        <v>126</v>
      </c>
      <c r="E301" s="24">
        <v>28000000</v>
      </c>
      <c r="F301" s="39">
        <v>44264</v>
      </c>
      <c r="G301" s="24">
        <v>28000000</v>
      </c>
      <c r="H301" s="23">
        <v>5.0000000000000001E-3</v>
      </c>
      <c r="I301" s="39">
        <v>44409</v>
      </c>
      <c r="J301" s="39">
        <v>44439</v>
      </c>
      <c r="K301" s="24">
        <f t="shared" si="20"/>
        <v>31</v>
      </c>
      <c r="L301" s="24">
        <f t="shared" si="21"/>
        <v>11890</v>
      </c>
      <c r="M301" s="24">
        <v>28000000</v>
      </c>
    </row>
    <row r="302" spans="1:13" s="5" customFormat="1" outlineLevel="2">
      <c r="A302" s="39" t="s">
        <v>120</v>
      </c>
      <c r="B302" s="40" t="s">
        <v>185</v>
      </c>
      <c r="C302" s="41" t="s">
        <v>125</v>
      </c>
      <c r="D302" s="40" t="s">
        <v>126</v>
      </c>
      <c r="E302" s="24">
        <v>26000000</v>
      </c>
      <c r="F302" s="39">
        <v>44264</v>
      </c>
      <c r="G302" s="24">
        <v>26000000</v>
      </c>
      <c r="H302" s="23">
        <v>5.0000000000000001E-3</v>
      </c>
      <c r="I302" s="39">
        <v>44409</v>
      </c>
      <c r="J302" s="39">
        <v>44439</v>
      </c>
      <c r="K302" s="24">
        <f t="shared" si="20"/>
        <v>31</v>
      </c>
      <c r="L302" s="24">
        <f t="shared" si="21"/>
        <v>11041</v>
      </c>
      <c r="M302" s="24">
        <v>26000000</v>
      </c>
    </row>
    <row r="303" spans="1:13" s="5" customFormat="1" outlineLevel="2">
      <c r="A303" s="39" t="s">
        <v>120</v>
      </c>
      <c r="B303" s="40" t="s">
        <v>186</v>
      </c>
      <c r="C303" s="41" t="s">
        <v>30</v>
      </c>
      <c r="D303" s="40" t="s">
        <v>31</v>
      </c>
      <c r="E303" s="24">
        <v>60000000</v>
      </c>
      <c r="F303" s="39">
        <v>44272</v>
      </c>
      <c r="G303" s="24">
        <v>60000000</v>
      </c>
      <c r="H303" s="23">
        <v>5.0000000000000001E-3</v>
      </c>
      <c r="I303" s="39">
        <v>44409</v>
      </c>
      <c r="J303" s="39">
        <v>44439</v>
      </c>
      <c r="K303" s="24">
        <f t="shared" ref="K303:K334" si="22">J303-I303+1</f>
        <v>31</v>
      </c>
      <c r="L303" s="24">
        <f t="shared" ref="L303:L334" si="23">ROUND(G303*H303*K303/365,0)</f>
        <v>25479</v>
      </c>
      <c r="M303" s="24">
        <v>60000000</v>
      </c>
    </row>
    <row r="304" spans="1:13" s="5" customFormat="1" outlineLevel="2">
      <c r="A304" s="39" t="s">
        <v>120</v>
      </c>
      <c r="B304" s="40" t="s">
        <v>189</v>
      </c>
      <c r="C304" s="41" t="s">
        <v>324</v>
      </c>
      <c r="D304" s="40" t="s">
        <v>323</v>
      </c>
      <c r="E304" s="24">
        <v>37000000</v>
      </c>
      <c r="F304" s="39">
        <v>44270</v>
      </c>
      <c r="G304" s="24">
        <v>35766664</v>
      </c>
      <c r="H304" s="23">
        <v>5.0000000000000001E-3</v>
      </c>
      <c r="I304" s="39">
        <v>44409</v>
      </c>
      <c r="J304" s="39">
        <v>44423</v>
      </c>
      <c r="K304" s="24">
        <f t="shared" si="22"/>
        <v>15</v>
      </c>
      <c r="L304" s="24">
        <f t="shared" si="23"/>
        <v>7349</v>
      </c>
      <c r="M304" s="24">
        <v>35458330</v>
      </c>
    </row>
    <row r="305" spans="1:13" s="5" customFormat="1" outlineLevel="2">
      <c r="A305" s="39" t="s">
        <v>120</v>
      </c>
      <c r="B305" s="40" t="s">
        <v>189</v>
      </c>
      <c r="C305" s="41" t="s">
        <v>324</v>
      </c>
      <c r="D305" s="40"/>
      <c r="E305" s="24"/>
      <c r="F305" s="39"/>
      <c r="G305" s="24">
        <v>35458330</v>
      </c>
      <c r="H305" s="23">
        <v>5.0000000000000001E-3</v>
      </c>
      <c r="I305" s="39">
        <v>44424</v>
      </c>
      <c r="J305" s="39">
        <v>44439</v>
      </c>
      <c r="K305" s="24">
        <f t="shared" si="22"/>
        <v>16</v>
      </c>
      <c r="L305" s="24">
        <f t="shared" si="23"/>
        <v>7772</v>
      </c>
      <c r="M305" s="24"/>
    </row>
    <row r="306" spans="1:13" s="5" customFormat="1" outlineLevel="2">
      <c r="A306" s="39" t="s">
        <v>120</v>
      </c>
      <c r="B306" s="40" t="s">
        <v>190</v>
      </c>
      <c r="C306" s="41" t="s">
        <v>324</v>
      </c>
      <c r="D306" s="40" t="s">
        <v>323</v>
      </c>
      <c r="E306" s="24">
        <v>23000000</v>
      </c>
      <c r="F306" s="39">
        <v>44270</v>
      </c>
      <c r="G306" s="24">
        <v>21904760</v>
      </c>
      <c r="H306" s="23">
        <v>5.0000000000000001E-3</v>
      </c>
      <c r="I306" s="39">
        <v>44409</v>
      </c>
      <c r="J306" s="39">
        <v>44423</v>
      </c>
      <c r="K306" s="24">
        <f t="shared" si="22"/>
        <v>15</v>
      </c>
      <c r="L306" s="24">
        <f t="shared" si="23"/>
        <v>4501</v>
      </c>
      <c r="M306" s="24">
        <v>21630950</v>
      </c>
    </row>
    <row r="307" spans="1:13" s="5" customFormat="1" outlineLevel="2">
      <c r="A307" s="39" t="s">
        <v>120</v>
      </c>
      <c r="B307" s="40" t="s">
        <v>190</v>
      </c>
      <c r="C307" s="41" t="s">
        <v>324</v>
      </c>
      <c r="D307" s="40"/>
      <c r="E307" s="24"/>
      <c r="F307" s="39"/>
      <c r="G307" s="24">
        <v>21630950</v>
      </c>
      <c r="H307" s="23">
        <v>5.0000000000000001E-3</v>
      </c>
      <c r="I307" s="39">
        <v>44424</v>
      </c>
      <c r="J307" s="39">
        <v>44439</v>
      </c>
      <c r="K307" s="24">
        <f t="shared" si="22"/>
        <v>16</v>
      </c>
      <c r="L307" s="24">
        <f t="shared" si="23"/>
        <v>4741</v>
      </c>
      <c r="M307" s="24"/>
    </row>
    <row r="308" spans="1:13" s="5" customFormat="1" outlineLevel="2">
      <c r="A308" s="39" t="s">
        <v>120</v>
      </c>
      <c r="B308" s="40" t="s">
        <v>191</v>
      </c>
      <c r="C308" s="41" t="s">
        <v>324</v>
      </c>
      <c r="D308" s="40" t="s">
        <v>323</v>
      </c>
      <c r="E308" s="24">
        <v>30000000</v>
      </c>
      <c r="F308" s="39">
        <v>44270</v>
      </c>
      <c r="G308" s="24">
        <v>28571428</v>
      </c>
      <c r="H308" s="23">
        <v>5.0000000000000001E-3</v>
      </c>
      <c r="I308" s="39">
        <v>44409</v>
      </c>
      <c r="J308" s="39">
        <v>44423</v>
      </c>
      <c r="K308" s="24">
        <f t="shared" si="22"/>
        <v>15</v>
      </c>
      <c r="L308" s="24">
        <f t="shared" si="23"/>
        <v>5871</v>
      </c>
      <c r="M308" s="24">
        <v>28214285</v>
      </c>
    </row>
    <row r="309" spans="1:13" s="5" customFormat="1" outlineLevel="2">
      <c r="A309" s="39" t="s">
        <v>120</v>
      </c>
      <c r="B309" s="40" t="s">
        <v>191</v>
      </c>
      <c r="C309" s="41" t="s">
        <v>324</v>
      </c>
      <c r="D309" s="40"/>
      <c r="E309" s="24"/>
      <c r="F309" s="39"/>
      <c r="G309" s="24">
        <v>28214285</v>
      </c>
      <c r="H309" s="23">
        <v>5.0000000000000001E-3</v>
      </c>
      <c r="I309" s="39">
        <v>44424</v>
      </c>
      <c r="J309" s="39">
        <v>44439</v>
      </c>
      <c r="K309" s="24">
        <f t="shared" si="22"/>
        <v>16</v>
      </c>
      <c r="L309" s="24">
        <f t="shared" si="23"/>
        <v>6184</v>
      </c>
      <c r="M309" s="24"/>
    </row>
    <row r="310" spans="1:13" s="5" customFormat="1" outlineLevel="2">
      <c r="A310" s="39" t="s">
        <v>120</v>
      </c>
      <c r="B310" s="40" t="s">
        <v>192</v>
      </c>
      <c r="C310" s="41" t="s">
        <v>341</v>
      </c>
      <c r="D310" s="40" t="s">
        <v>340</v>
      </c>
      <c r="E310" s="24">
        <v>33600000</v>
      </c>
      <c r="F310" s="39">
        <v>44314</v>
      </c>
      <c r="G310" s="24">
        <v>33600000</v>
      </c>
      <c r="H310" s="23">
        <v>5.0000000000000001E-3</v>
      </c>
      <c r="I310" s="39">
        <v>44409</v>
      </c>
      <c r="J310" s="39">
        <v>44439</v>
      </c>
      <c r="K310" s="24">
        <f t="shared" si="22"/>
        <v>31</v>
      </c>
      <c r="L310" s="24">
        <f t="shared" si="23"/>
        <v>14268</v>
      </c>
      <c r="M310" s="24">
        <v>33600000</v>
      </c>
    </row>
    <row r="311" spans="1:13" s="5" customFormat="1" outlineLevel="2">
      <c r="A311" s="39" t="s">
        <v>120</v>
      </c>
      <c r="B311" s="40" t="s">
        <v>193</v>
      </c>
      <c r="C311" s="41" t="s">
        <v>219</v>
      </c>
      <c r="D311" s="40" t="s">
        <v>220</v>
      </c>
      <c r="E311" s="24">
        <v>22000000</v>
      </c>
      <c r="F311" s="39">
        <v>44314</v>
      </c>
      <c r="G311" s="24">
        <v>22000000</v>
      </c>
      <c r="H311" s="23">
        <v>5.0000000000000001E-3</v>
      </c>
      <c r="I311" s="39">
        <v>44409</v>
      </c>
      <c r="J311" s="39">
        <v>44439</v>
      </c>
      <c r="K311" s="24">
        <f t="shared" si="22"/>
        <v>31</v>
      </c>
      <c r="L311" s="24">
        <f t="shared" si="23"/>
        <v>9342</v>
      </c>
      <c r="M311" s="24">
        <v>22000000</v>
      </c>
    </row>
    <row r="312" spans="1:13" s="5" customFormat="1" outlineLevel="2">
      <c r="A312" s="39" t="s">
        <v>120</v>
      </c>
      <c r="B312" s="40" t="s">
        <v>194</v>
      </c>
      <c r="C312" s="41" t="s">
        <v>345</v>
      </c>
      <c r="D312" s="40" t="s">
        <v>344</v>
      </c>
      <c r="E312" s="24">
        <v>16000000</v>
      </c>
      <c r="F312" s="39">
        <v>44315</v>
      </c>
      <c r="G312" s="24">
        <v>16000000</v>
      </c>
      <c r="H312" s="23">
        <v>3.0000000000000001E-3</v>
      </c>
      <c r="I312" s="39">
        <v>44409</v>
      </c>
      <c r="J312" s="39">
        <v>44439</v>
      </c>
      <c r="K312" s="24">
        <f t="shared" si="22"/>
        <v>31</v>
      </c>
      <c r="L312" s="24">
        <f t="shared" si="23"/>
        <v>4077</v>
      </c>
      <c r="M312" s="24">
        <v>16000000</v>
      </c>
    </row>
    <row r="313" spans="1:13" s="5" customFormat="1" outlineLevel="2">
      <c r="A313" s="39" t="s">
        <v>120</v>
      </c>
      <c r="B313" s="40" t="s">
        <v>195</v>
      </c>
      <c r="C313" s="41" t="s">
        <v>363</v>
      </c>
      <c r="D313" s="40" t="s">
        <v>362</v>
      </c>
      <c r="E313" s="24">
        <v>3800000</v>
      </c>
      <c r="F313" s="39">
        <v>44309</v>
      </c>
      <c r="G313" s="24">
        <v>3800000</v>
      </c>
      <c r="H313" s="23">
        <v>5.0000000000000001E-3</v>
      </c>
      <c r="I313" s="39">
        <v>44409</v>
      </c>
      <c r="J313" s="39">
        <v>44439</v>
      </c>
      <c r="K313" s="24">
        <f t="shared" si="22"/>
        <v>31</v>
      </c>
      <c r="L313" s="24">
        <f t="shared" si="23"/>
        <v>1614</v>
      </c>
      <c r="M313" s="24">
        <v>3800000</v>
      </c>
    </row>
    <row r="314" spans="1:13" s="5" customFormat="1" outlineLevel="2">
      <c r="A314" s="39" t="s">
        <v>120</v>
      </c>
      <c r="B314" s="40" t="s">
        <v>64</v>
      </c>
      <c r="C314" s="41" t="s">
        <v>20</v>
      </c>
      <c r="D314" s="40" t="s">
        <v>21</v>
      </c>
      <c r="E314" s="24">
        <v>150000000</v>
      </c>
      <c r="F314" s="39">
        <v>43958</v>
      </c>
      <c r="G314" s="24">
        <v>150000000</v>
      </c>
      <c r="H314" s="23">
        <v>5.0000000000000001E-3</v>
      </c>
      <c r="I314" s="39">
        <v>44409</v>
      </c>
      <c r="J314" s="39">
        <v>44439</v>
      </c>
      <c r="K314" s="24">
        <f t="shared" si="22"/>
        <v>31</v>
      </c>
      <c r="L314" s="24">
        <f t="shared" si="23"/>
        <v>63699</v>
      </c>
      <c r="M314" s="24">
        <v>150000000</v>
      </c>
    </row>
    <row r="315" spans="1:13" s="5" customFormat="1" outlineLevel="2">
      <c r="A315" s="39" t="s">
        <v>120</v>
      </c>
      <c r="B315" s="40" t="s">
        <v>196</v>
      </c>
      <c r="C315" s="41" t="s">
        <v>17</v>
      </c>
      <c r="D315" s="40" t="s">
        <v>18</v>
      </c>
      <c r="E315" s="24">
        <v>2245530</v>
      </c>
      <c r="F315" s="39">
        <v>44334</v>
      </c>
      <c r="G315" s="24">
        <v>2162362</v>
      </c>
      <c r="H315" s="23">
        <v>5.0000000000000001E-3</v>
      </c>
      <c r="I315" s="39">
        <v>44409</v>
      </c>
      <c r="J315" s="39">
        <v>44423</v>
      </c>
      <c r="K315" s="24">
        <f t="shared" si="22"/>
        <v>15</v>
      </c>
      <c r="L315" s="24">
        <f t="shared" si="23"/>
        <v>444</v>
      </c>
      <c r="M315" s="24">
        <v>2120778</v>
      </c>
    </row>
    <row r="316" spans="1:13" s="5" customFormat="1" outlineLevel="2">
      <c r="A316" s="39" t="s">
        <v>120</v>
      </c>
      <c r="B316" s="40" t="s">
        <v>196</v>
      </c>
      <c r="C316" s="41" t="s">
        <v>17</v>
      </c>
      <c r="D316" s="40"/>
      <c r="E316" s="24"/>
      <c r="F316" s="39"/>
      <c r="G316" s="24">
        <v>2120778</v>
      </c>
      <c r="H316" s="23">
        <v>5.0000000000000001E-3</v>
      </c>
      <c r="I316" s="39">
        <v>44424</v>
      </c>
      <c r="J316" s="39">
        <v>44439</v>
      </c>
      <c r="K316" s="24">
        <f t="shared" si="22"/>
        <v>16</v>
      </c>
      <c r="L316" s="24">
        <f t="shared" si="23"/>
        <v>465</v>
      </c>
      <c r="M316" s="24"/>
    </row>
    <row r="317" spans="1:13" s="5" customFormat="1" outlineLevel="2">
      <c r="A317" s="39" t="s">
        <v>120</v>
      </c>
      <c r="B317" s="40" t="s">
        <v>197</v>
      </c>
      <c r="C317" s="41" t="s">
        <v>134</v>
      </c>
      <c r="D317" s="40" t="s">
        <v>135</v>
      </c>
      <c r="E317" s="24">
        <v>1000000</v>
      </c>
      <c r="F317" s="39">
        <v>44376</v>
      </c>
      <c r="G317" s="24">
        <v>1000000</v>
      </c>
      <c r="H317" s="23">
        <v>5.0000000000000001E-3</v>
      </c>
      <c r="I317" s="39">
        <v>44409</v>
      </c>
      <c r="J317" s="39">
        <v>44439</v>
      </c>
      <c r="K317" s="24">
        <f t="shared" si="22"/>
        <v>31</v>
      </c>
      <c r="L317" s="24">
        <f t="shared" si="23"/>
        <v>425</v>
      </c>
      <c r="M317" s="24">
        <v>1000000</v>
      </c>
    </row>
    <row r="318" spans="1:13" s="5" customFormat="1" outlineLevel="2">
      <c r="A318" s="39" t="s">
        <v>120</v>
      </c>
      <c r="B318" s="40" t="s">
        <v>198</v>
      </c>
      <c r="C318" s="41" t="s">
        <v>134</v>
      </c>
      <c r="D318" s="40" t="s">
        <v>135</v>
      </c>
      <c r="E318" s="24">
        <v>3000000</v>
      </c>
      <c r="F318" s="39">
        <v>44376</v>
      </c>
      <c r="G318" s="24">
        <v>3000000</v>
      </c>
      <c r="H318" s="23">
        <v>5.0000000000000001E-3</v>
      </c>
      <c r="I318" s="39">
        <v>44409</v>
      </c>
      <c r="J318" s="39">
        <v>44439</v>
      </c>
      <c r="K318" s="24">
        <f t="shared" si="22"/>
        <v>31</v>
      </c>
      <c r="L318" s="24">
        <f t="shared" si="23"/>
        <v>1274</v>
      </c>
      <c r="M318" s="24">
        <v>3000000</v>
      </c>
    </row>
    <row r="319" spans="1:13" s="5" customFormat="1" outlineLevel="2">
      <c r="A319" s="39" t="s">
        <v>120</v>
      </c>
      <c r="B319" s="40" t="s">
        <v>199</v>
      </c>
      <c r="C319" s="41" t="s">
        <v>219</v>
      </c>
      <c r="D319" s="40" t="s">
        <v>220</v>
      </c>
      <c r="E319" s="24">
        <v>28000000</v>
      </c>
      <c r="F319" s="39">
        <v>44375</v>
      </c>
      <c r="G319" s="24">
        <v>28000000</v>
      </c>
      <c r="H319" s="23">
        <v>5.0000000000000001E-3</v>
      </c>
      <c r="I319" s="39">
        <v>44409</v>
      </c>
      <c r="J319" s="39">
        <v>44439</v>
      </c>
      <c r="K319" s="24">
        <f t="shared" si="22"/>
        <v>31</v>
      </c>
      <c r="L319" s="24">
        <f t="shared" si="23"/>
        <v>11890</v>
      </c>
      <c r="M319" s="24">
        <v>28000000</v>
      </c>
    </row>
    <row r="320" spans="1:13" s="5" customFormat="1" outlineLevel="2">
      <c r="A320" s="39" t="s">
        <v>120</v>
      </c>
      <c r="B320" s="40" t="s">
        <v>200</v>
      </c>
      <c r="C320" s="41" t="s">
        <v>20</v>
      </c>
      <c r="D320" s="40" t="s">
        <v>21</v>
      </c>
      <c r="E320" s="24">
        <v>79200000</v>
      </c>
      <c r="F320" s="39">
        <v>44405</v>
      </c>
      <c r="G320" s="24">
        <v>79200000</v>
      </c>
      <c r="H320" s="23">
        <v>3.0000000000000001E-3</v>
      </c>
      <c r="I320" s="39">
        <v>44409</v>
      </c>
      <c r="J320" s="39">
        <v>44439</v>
      </c>
      <c r="K320" s="24">
        <f t="shared" si="22"/>
        <v>31</v>
      </c>
      <c r="L320" s="24">
        <f t="shared" si="23"/>
        <v>20180</v>
      </c>
      <c r="M320" s="24">
        <v>79200000</v>
      </c>
    </row>
    <row r="321" spans="1:13" s="5" customFormat="1" outlineLevel="2">
      <c r="A321" s="39" t="s">
        <v>120</v>
      </c>
      <c r="B321" s="40" t="s">
        <v>201</v>
      </c>
      <c r="C321" s="41" t="s">
        <v>125</v>
      </c>
      <c r="D321" s="40" t="s">
        <v>126</v>
      </c>
      <c r="E321" s="24">
        <v>6000000</v>
      </c>
      <c r="F321" s="39">
        <v>44386</v>
      </c>
      <c r="G321" s="24">
        <v>6000000</v>
      </c>
      <c r="H321" s="23">
        <v>5.0000000000000001E-3</v>
      </c>
      <c r="I321" s="39">
        <v>44409</v>
      </c>
      <c r="J321" s="39">
        <v>44439</v>
      </c>
      <c r="K321" s="24">
        <f t="shared" si="22"/>
        <v>31</v>
      </c>
      <c r="L321" s="24">
        <f t="shared" si="23"/>
        <v>2548</v>
      </c>
      <c r="M321" s="24">
        <v>6000000</v>
      </c>
    </row>
    <row r="322" spans="1:13" s="5" customFormat="1" outlineLevel="2">
      <c r="A322" s="39" t="s">
        <v>120</v>
      </c>
      <c r="B322" s="40" t="s">
        <v>202</v>
      </c>
      <c r="C322" s="41" t="s">
        <v>404</v>
      </c>
      <c r="D322" s="40" t="s">
        <v>403</v>
      </c>
      <c r="E322" s="24">
        <v>63360000</v>
      </c>
      <c r="F322" s="39">
        <v>44438</v>
      </c>
      <c r="G322" s="24">
        <v>63360000</v>
      </c>
      <c r="H322" s="23">
        <v>5.0000000000000001E-3</v>
      </c>
      <c r="I322" s="39">
        <v>44438</v>
      </c>
      <c r="J322" s="39">
        <v>44439</v>
      </c>
      <c r="K322" s="24">
        <f t="shared" si="22"/>
        <v>2</v>
      </c>
      <c r="L322" s="24">
        <f t="shared" si="23"/>
        <v>1736</v>
      </c>
      <c r="M322" s="24">
        <v>63360000</v>
      </c>
    </row>
    <row r="323" spans="1:13" s="5" customFormat="1" outlineLevel="2">
      <c r="A323" s="39" t="s">
        <v>120</v>
      </c>
      <c r="B323" s="40" t="s">
        <v>65</v>
      </c>
      <c r="C323" s="41" t="s">
        <v>125</v>
      </c>
      <c r="D323" s="40" t="s">
        <v>126</v>
      </c>
      <c r="E323" s="24">
        <v>5000000</v>
      </c>
      <c r="F323" s="39">
        <v>43998</v>
      </c>
      <c r="G323" s="24">
        <v>5000000</v>
      </c>
      <c r="H323" s="23">
        <v>5.0000000000000001E-3</v>
      </c>
      <c r="I323" s="39">
        <v>44409</v>
      </c>
      <c r="J323" s="39">
        <v>44439</v>
      </c>
      <c r="K323" s="24">
        <f t="shared" si="22"/>
        <v>31</v>
      </c>
      <c r="L323" s="24">
        <f t="shared" si="23"/>
        <v>2123</v>
      </c>
      <c r="M323" s="24">
        <v>5000000</v>
      </c>
    </row>
    <row r="324" spans="1:13" s="5" customFormat="1" outlineLevel="2">
      <c r="A324" s="39" t="s">
        <v>120</v>
      </c>
      <c r="B324" s="40" t="s">
        <v>68</v>
      </c>
      <c r="C324" s="41" t="s">
        <v>125</v>
      </c>
      <c r="D324" s="40" t="s">
        <v>126</v>
      </c>
      <c r="E324" s="24">
        <v>17292000</v>
      </c>
      <c r="F324" s="39">
        <v>44002</v>
      </c>
      <c r="G324" s="24">
        <v>17292000</v>
      </c>
      <c r="H324" s="23">
        <v>5.0000000000000001E-3</v>
      </c>
      <c r="I324" s="39">
        <v>44409</v>
      </c>
      <c r="J324" s="39">
        <v>44439</v>
      </c>
      <c r="K324" s="24">
        <f t="shared" si="22"/>
        <v>31</v>
      </c>
      <c r="L324" s="24">
        <f t="shared" si="23"/>
        <v>7343</v>
      </c>
      <c r="M324" s="24">
        <v>17292000</v>
      </c>
    </row>
    <row r="325" spans="1:13" s="5" customFormat="1" outlineLevel="1">
      <c r="A325" s="42" t="s">
        <v>141</v>
      </c>
      <c r="B325" s="43"/>
      <c r="C325" s="44"/>
      <c r="D325" s="43"/>
      <c r="E325" s="45">
        <f>SUBTOTAL(9,E239:E324)</f>
        <v>4454403430</v>
      </c>
      <c r="F325" s="46"/>
      <c r="G325" s="45"/>
      <c r="H325" s="47"/>
      <c r="I325" s="46"/>
      <c r="J325" s="46"/>
      <c r="K325" s="45"/>
      <c r="L325" s="45">
        <f>SUBTOTAL(9,L239:L324)</f>
        <v>1700434</v>
      </c>
      <c r="M325" s="45">
        <f>SUBTOTAL(9,M239:M324)</f>
        <v>4366153998</v>
      </c>
    </row>
    <row r="326" spans="1:13" s="5" customFormat="1" outlineLevel="2">
      <c r="A326" s="39" t="s">
        <v>142</v>
      </c>
      <c r="B326" s="40" t="s">
        <v>16</v>
      </c>
      <c r="C326" s="41" t="s">
        <v>143</v>
      </c>
      <c r="D326" s="40" t="s">
        <v>144</v>
      </c>
      <c r="E326" s="24">
        <v>38000000</v>
      </c>
      <c r="F326" s="39">
        <v>43762</v>
      </c>
      <c r="G326" s="24">
        <v>38000000</v>
      </c>
      <c r="H326" s="23">
        <v>5.0000000000000001E-3</v>
      </c>
      <c r="I326" s="39">
        <v>44409</v>
      </c>
      <c r="J326" s="39">
        <v>44439</v>
      </c>
      <c r="K326" s="24">
        <f t="shared" ref="K326:K357" si="24">J326-I326+1</f>
        <v>31</v>
      </c>
      <c r="L326" s="24">
        <f t="shared" ref="L326:L357" si="25">ROUND(G326*H326*K326/365,0)</f>
        <v>16137</v>
      </c>
      <c r="M326" s="24">
        <v>38000000</v>
      </c>
    </row>
    <row r="327" spans="1:13" s="5" customFormat="1" outlineLevel="2">
      <c r="A327" s="39" t="s">
        <v>142</v>
      </c>
      <c r="B327" s="40" t="s">
        <v>19</v>
      </c>
      <c r="C327" s="41" t="s">
        <v>60</v>
      </c>
      <c r="D327" s="40" t="s">
        <v>61</v>
      </c>
      <c r="E327" s="24">
        <v>110000000</v>
      </c>
      <c r="F327" s="39">
        <v>43913</v>
      </c>
      <c r="G327" s="24">
        <v>110000000</v>
      </c>
      <c r="H327" s="23">
        <v>5.0000000000000001E-3</v>
      </c>
      <c r="I327" s="39">
        <v>44409</v>
      </c>
      <c r="J327" s="39">
        <v>44439</v>
      </c>
      <c r="K327" s="24">
        <f t="shared" si="24"/>
        <v>31</v>
      </c>
      <c r="L327" s="24">
        <f t="shared" si="25"/>
        <v>46712</v>
      </c>
      <c r="M327" s="24">
        <v>110000000</v>
      </c>
    </row>
    <row r="328" spans="1:13" s="5" customFormat="1" outlineLevel="2">
      <c r="A328" s="39" t="s">
        <v>142</v>
      </c>
      <c r="B328" s="40" t="s">
        <v>145</v>
      </c>
      <c r="C328" s="41" t="s">
        <v>146</v>
      </c>
      <c r="D328" s="40" t="s">
        <v>147</v>
      </c>
      <c r="E328" s="24">
        <v>5000000</v>
      </c>
      <c r="F328" s="39">
        <v>44204</v>
      </c>
      <c r="G328" s="24">
        <v>5000000</v>
      </c>
      <c r="H328" s="23">
        <v>5.0000000000000001E-3</v>
      </c>
      <c r="I328" s="39">
        <v>44409</v>
      </c>
      <c r="J328" s="39">
        <v>44439</v>
      </c>
      <c r="K328" s="24">
        <f t="shared" si="24"/>
        <v>31</v>
      </c>
      <c r="L328" s="24">
        <f t="shared" si="25"/>
        <v>2123</v>
      </c>
      <c r="M328" s="24">
        <v>5000000</v>
      </c>
    </row>
    <row r="329" spans="1:13" s="5" customFormat="1" outlineLevel="2">
      <c r="A329" s="39" t="s">
        <v>142</v>
      </c>
      <c r="B329" s="40" t="s">
        <v>148</v>
      </c>
      <c r="C329" s="41" t="s">
        <v>149</v>
      </c>
      <c r="D329" s="40" t="s">
        <v>150</v>
      </c>
      <c r="E329" s="24">
        <v>3528000</v>
      </c>
      <c r="F329" s="39">
        <v>44207</v>
      </c>
      <c r="G329" s="24">
        <v>3528000</v>
      </c>
      <c r="H329" s="23">
        <v>5.0000000000000001E-3</v>
      </c>
      <c r="I329" s="39">
        <v>44409</v>
      </c>
      <c r="J329" s="39">
        <v>44439</v>
      </c>
      <c r="K329" s="24">
        <f t="shared" si="24"/>
        <v>31</v>
      </c>
      <c r="L329" s="24">
        <f t="shared" si="25"/>
        <v>1498</v>
      </c>
      <c r="M329" s="24">
        <v>3528000</v>
      </c>
    </row>
    <row r="330" spans="1:13" s="5" customFormat="1" outlineLevel="2">
      <c r="A330" s="39" t="s">
        <v>142</v>
      </c>
      <c r="B330" s="40" t="s">
        <v>151</v>
      </c>
      <c r="C330" s="41" t="s">
        <v>149</v>
      </c>
      <c r="D330" s="40" t="s">
        <v>150</v>
      </c>
      <c r="E330" s="24">
        <v>2520000</v>
      </c>
      <c r="F330" s="39">
        <v>44207</v>
      </c>
      <c r="G330" s="24">
        <v>2520000</v>
      </c>
      <c r="H330" s="23">
        <v>5.0000000000000001E-3</v>
      </c>
      <c r="I330" s="39">
        <v>44409</v>
      </c>
      <c r="J330" s="39">
        <v>44439</v>
      </c>
      <c r="K330" s="24">
        <f t="shared" si="24"/>
        <v>31</v>
      </c>
      <c r="L330" s="24">
        <f t="shared" si="25"/>
        <v>1070</v>
      </c>
      <c r="M330" s="24">
        <v>2520000</v>
      </c>
    </row>
    <row r="331" spans="1:13" s="5" customFormat="1" outlineLevel="2">
      <c r="A331" s="39" t="s">
        <v>142</v>
      </c>
      <c r="B331" s="40" t="s">
        <v>152</v>
      </c>
      <c r="C331" s="41" t="s">
        <v>149</v>
      </c>
      <c r="D331" s="40" t="s">
        <v>150</v>
      </c>
      <c r="E331" s="24">
        <v>4368000</v>
      </c>
      <c r="F331" s="39">
        <v>44210</v>
      </c>
      <c r="G331" s="24">
        <v>4368000</v>
      </c>
      <c r="H331" s="23">
        <v>5.0000000000000001E-3</v>
      </c>
      <c r="I331" s="39">
        <v>44409</v>
      </c>
      <c r="J331" s="39">
        <v>44439</v>
      </c>
      <c r="K331" s="24">
        <f t="shared" si="24"/>
        <v>31</v>
      </c>
      <c r="L331" s="24">
        <f t="shared" si="25"/>
        <v>1855</v>
      </c>
      <c r="M331" s="24">
        <v>4368000</v>
      </c>
    </row>
    <row r="332" spans="1:13" s="5" customFormat="1" outlineLevel="2">
      <c r="A332" s="39" t="s">
        <v>142</v>
      </c>
      <c r="B332" s="40" t="s">
        <v>153</v>
      </c>
      <c r="C332" s="41" t="s">
        <v>149</v>
      </c>
      <c r="D332" s="40" t="s">
        <v>150</v>
      </c>
      <c r="E332" s="24">
        <v>95583736</v>
      </c>
      <c r="F332" s="39">
        <v>44225</v>
      </c>
      <c r="G332" s="24">
        <v>95583736</v>
      </c>
      <c r="H332" s="23">
        <v>5.0000000000000001E-3</v>
      </c>
      <c r="I332" s="39">
        <v>44409</v>
      </c>
      <c r="J332" s="39">
        <v>44439</v>
      </c>
      <c r="K332" s="24">
        <f t="shared" si="24"/>
        <v>31</v>
      </c>
      <c r="L332" s="24">
        <f t="shared" si="25"/>
        <v>40590</v>
      </c>
      <c r="M332" s="24">
        <v>95583736</v>
      </c>
    </row>
    <row r="333" spans="1:13" s="5" customFormat="1" outlineLevel="2">
      <c r="A333" s="39" t="s">
        <v>142</v>
      </c>
      <c r="B333" s="40" t="s">
        <v>154</v>
      </c>
      <c r="C333" s="41" t="s">
        <v>155</v>
      </c>
      <c r="D333" s="40" t="s">
        <v>156</v>
      </c>
      <c r="E333" s="24">
        <v>200000000</v>
      </c>
      <c r="F333" s="39">
        <v>44211</v>
      </c>
      <c r="G333" s="24">
        <v>200000000</v>
      </c>
      <c r="H333" s="23">
        <v>5.0000000000000001E-3</v>
      </c>
      <c r="I333" s="39">
        <v>44409</v>
      </c>
      <c r="J333" s="39">
        <v>44439</v>
      </c>
      <c r="K333" s="24">
        <f t="shared" si="24"/>
        <v>31</v>
      </c>
      <c r="L333" s="24">
        <f t="shared" si="25"/>
        <v>84932</v>
      </c>
      <c r="M333" s="24">
        <v>200000000</v>
      </c>
    </row>
    <row r="334" spans="1:13" s="5" customFormat="1" outlineLevel="2">
      <c r="A334" s="39" t="s">
        <v>142</v>
      </c>
      <c r="B334" s="40" t="s">
        <v>157</v>
      </c>
      <c r="C334" s="41" t="s">
        <v>125</v>
      </c>
      <c r="D334" s="40" t="s">
        <v>126</v>
      </c>
      <c r="E334" s="24">
        <v>3000000</v>
      </c>
      <c r="F334" s="39">
        <v>44216</v>
      </c>
      <c r="G334" s="24">
        <v>3000000</v>
      </c>
      <c r="H334" s="23">
        <v>5.0000000000000001E-3</v>
      </c>
      <c r="I334" s="39">
        <v>44409</v>
      </c>
      <c r="J334" s="39">
        <v>44439</v>
      </c>
      <c r="K334" s="24">
        <f t="shared" si="24"/>
        <v>31</v>
      </c>
      <c r="L334" s="24">
        <f t="shared" si="25"/>
        <v>1274</v>
      </c>
      <c r="M334" s="24">
        <v>3000000</v>
      </c>
    </row>
    <row r="335" spans="1:13" s="5" customFormat="1" outlineLevel="2">
      <c r="A335" s="39" t="s">
        <v>142</v>
      </c>
      <c r="B335" s="40" t="s">
        <v>158</v>
      </c>
      <c r="C335" s="41" t="s">
        <v>125</v>
      </c>
      <c r="D335" s="40" t="s">
        <v>126</v>
      </c>
      <c r="E335" s="24">
        <v>10000000</v>
      </c>
      <c r="F335" s="39">
        <v>44216</v>
      </c>
      <c r="G335" s="24">
        <v>10000000</v>
      </c>
      <c r="H335" s="23">
        <v>5.0000000000000001E-3</v>
      </c>
      <c r="I335" s="39">
        <v>44409</v>
      </c>
      <c r="J335" s="39">
        <v>44439</v>
      </c>
      <c r="K335" s="24">
        <f t="shared" si="24"/>
        <v>31</v>
      </c>
      <c r="L335" s="24">
        <f t="shared" si="25"/>
        <v>4247</v>
      </c>
      <c r="M335" s="24">
        <v>10000000</v>
      </c>
    </row>
    <row r="336" spans="1:13" s="5" customFormat="1" outlineLevel="2">
      <c r="A336" s="39" t="s">
        <v>142</v>
      </c>
      <c r="B336" s="40" t="s">
        <v>159</v>
      </c>
      <c r="C336" s="41" t="s">
        <v>87</v>
      </c>
      <c r="D336" s="40" t="s">
        <v>88</v>
      </c>
      <c r="E336" s="24">
        <v>14776161</v>
      </c>
      <c r="F336" s="39">
        <v>44221</v>
      </c>
      <c r="G336" s="24">
        <v>14776161</v>
      </c>
      <c r="H336" s="23">
        <v>5.0000000000000001E-3</v>
      </c>
      <c r="I336" s="39">
        <v>44409</v>
      </c>
      <c r="J336" s="39">
        <v>44439</v>
      </c>
      <c r="K336" s="24">
        <f t="shared" si="24"/>
        <v>31</v>
      </c>
      <c r="L336" s="24">
        <f t="shared" si="25"/>
        <v>6275</v>
      </c>
      <c r="M336" s="24">
        <v>14776161</v>
      </c>
    </row>
    <row r="337" spans="1:13" s="5" customFormat="1" outlineLevel="2">
      <c r="A337" s="39" t="s">
        <v>142</v>
      </c>
      <c r="B337" s="40" t="s">
        <v>320</v>
      </c>
      <c r="C337" s="41" t="s">
        <v>143</v>
      </c>
      <c r="D337" s="40" t="s">
        <v>144</v>
      </c>
      <c r="E337" s="24">
        <v>4100000</v>
      </c>
      <c r="F337" s="39">
        <v>44228</v>
      </c>
      <c r="G337" s="24">
        <v>4100000</v>
      </c>
      <c r="H337" s="23">
        <v>5.0000000000000001E-3</v>
      </c>
      <c r="I337" s="39">
        <v>44409</v>
      </c>
      <c r="J337" s="39">
        <v>44439</v>
      </c>
      <c r="K337" s="24">
        <f t="shared" si="24"/>
        <v>31</v>
      </c>
      <c r="L337" s="24">
        <f t="shared" si="25"/>
        <v>1741</v>
      </c>
      <c r="M337" s="24">
        <v>4100000</v>
      </c>
    </row>
    <row r="338" spans="1:13" s="5" customFormat="1" outlineLevel="2">
      <c r="A338" s="39" t="s">
        <v>142</v>
      </c>
      <c r="B338" s="40" t="s">
        <v>22</v>
      </c>
      <c r="C338" s="41" t="s">
        <v>149</v>
      </c>
      <c r="D338" s="40" t="s">
        <v>150</v>
      </c>
      <c r="E338" s="24">
        <v>95655336</v>
      </c>
      <c r="F338" s="39">
        <v>43951</v>
      </c>
      <c r="G338" s="24">
        <v>95655336</v>
      </c>
      <c r="H338" s="23">
        <v>5.0000000000000001E-3</v>
      </c>
      <c r="I338" s="39">
        <v>44409</v>
      </c>
      <c r="J338" s="39">
        <v>44439</v>
      </c>
      <c r="K338" s="24">
        <f t="shared" si="24"/>
        <v>31</v>
      </c>
      <c r="L338" s="24">
        <f t="shared" si="25"/>
        <v>40621</v>
      </c>
      <c r="M338" s="24">
        <v>95655336</v>
      </c>
    </row>
    <row r="339" spans="1:13" s="5" customFormat="1" outlineLevel="2">
      <c r="A339" s="39" t="s">
        <v>142</v>
      </c>
      <c r="B339" s="40" t="s">
        <v>319</v>
      </c>
      <c r="C339" s="41" t="s">
        <v>149</v>
      </c>
      <c r="D339" s="40" t="s">
        <v>150</v>
      </c>
      <c r="E339" s="24">
        <v>13843200</v>
      </c>
      <c r="F339" s="39">
        <v>44232</v>
      </c>
      <c r="G339" s="24">
        <v>13843200</v>
      </c>
      <c r="H339" s="23">
        <v>5.0000000000000001E-3</v>
      </c>
      <c r="I339" s="39">
        <v>44409</v>
      </c>
      <c r="J339" s="39">
        <v>44439</v>
      </c>
      <c r="K339" s="24">
        <f t="shared" si="24"/>
        <v>31</v>
      </c>
      <c r="L339" s="24">
        <f t="shared" si="25"/>
        <v>5879</v>
      </c>
      <c r="M339" s="24">
        <v>13843200</v>
      </c>
    </row>
    <row r="340" spans="1:13" s="5" customFormat="1" outlineLevel="2">
      <c r="A340" s="39" t="s">
        <v>142</v>
      </c>
      <c r="B340" s="40" t="s">
        <v>318</v>
      </c>
      <c r="C340" s="41" t="s">
        <v>149</v>
      </c>
      <c r="D340" s="40" t="s">
        <v>150</v>
      </c>
      <c r="E340" s="24">
        <v>7056000</v>
      </c>
      <c r="F340" s="39">
        <v>44235</v>
      </c>
      <c r="G340" s="24">
        <v>7056000</v>
      </c>
      <c r="H340" s="23">
        <v>5.0000000000000001E-3</v>
      </c>
      <c r="I340" s="39">
        <v>44409</v>
      </c>
      <c r="J340" s="39">
        <v>44439</v>
      </c>
      <c r="K340" s="24">
        <f t="shared" si="24"/>
        <v>31</v>
      </c>
      <c r="L340" s="24">
        <f t="shared" si="25"/>
        <v>2996</v>
      </c>
      <c r="M340" s="24">
        <v>7056000</v>
      </c>
    </row>
    <row r="341" spans="1:13" s="5" customFormat="1" outlineLevel="2">
      <c r="A341" s="39" t="s">
        <v>142</v>
      </c>
      <c r="B341" s="40" t="s">
        <v>317</v>
      </c>
      <c r="C341" s="41" t="s">
        <v>149</v>
      </c>
      <c r="D341" s="40" t="s">
        <v>150</v>
      </c>
      <c r="E341" s="24">
        <v>2184000</v>
      </c>
      <c r="F341" s="39">
        <v>44235</v>
      </c>
      <c r="G341" s="24">
        <v>2184000</v>
      </c>
      <c r="H341" s="23">
        <v>5.0000000000000001E-3</v>
      </c>
      <c r="I341" s="39">
        <v>44409</v>
      </c>
      <c r="J341" s="39">
        <v>44439</v>
      </c>
      <c r="K341" s="24">
        <f t="shared" si="24"/>
        <v>31</v>
      </c>
      <c r="L341" s="24">
        <f t="shared" si="25"/>
        <v>927</v>
      </c>
      <c r="M341" s="24">
        <v>2184000</v>
      </c>
    </row>
    <row r="342" spans="1:13" s="5" customFormat="1" outlineLevel="2">
      <c r="A342" s="39" t="s">
        <v>142</v>
      </c>
      <c r="B342" s="40" t="s">
        <v>316</v>
      </c>
      <c r="C342" s="41" t="s">
        <v>149</v>
      </c>
      <c r="D342" s="40" t="s">
        <v>150</v>
      </c>
      <c r="E342" s="24">
        <v>5040000</v>
      </c>
      <c r="F342" s="39">
        <v>44235</v>
      </c>
      <c r="G342" s="24">
        <v>5040000</v>
      </c>
      <c r="H342" s="23">
        <v>5.0000000000000001E-3</v>
      </c>
      <c r="I342" s="39">
        <v>44409</v>
      </c>
      <c r="J342" s="39">
        <v>44439</v>
      </c>
      <c r="K342" s="24">
        <f t="shared" si="24"/>
        <v>31</v>
      </c>
      <c r="L342" s="24">
        <f t="shared" si="25"/>
        <v>2140</v>
      </c>
      <c r="M342" s="24">
        <v>5040000</v>
      </c>
    </row>
    <row r="343" spans="1:13" s="5" customFormat="1" outlineLevel="2">
      <c r="A343" s="39" t="s">
        <v>142</v>
      </c>
      <c r="B343" s="40" t="s">
        <v>315</v>
      </c>
      <c r="C343" s="41" t="s">
        <v>149</v>
      </c>
      <c r="D343" s="40" t="s">
        <v>150</v>
      </c>
      <c r="E343" s="24">
        <v>8316000</v>
      </c>
      <c r="F343" s="39">
        <v>44244</v>
      </c>
      <c r="G343" s="24">
        <v>8316000</v>
      </c>
      <c r="H343" s="23">
        <v>5.0000000000000001E-3</v>
      </c>
      <c r="I343" s="39">
        <v>44409</v>
      </c>
      <c r="J343" s="39">
        <v>44439</v>
      </c>
      <c r="K343" s="24">
        <f t="shared" si="24"/>
        <v>31</v>
      </c>
      <c r="L343" s="24">
        <f t="shared" si="25"/>
        <v>3531</v>
      </c>
      <c r="M343" s="24">
        <v>8316000</v>
      </c>
    </row>
    <row r="344" spans="1:13" s="5" customFormat="1" outlineLevel="2">
      <c r="A344" s="39" t="s">
        <v>142</v>
      </c>
      <c r="B344" s="40" t="s">
        <v>314</v>
      </c>
      <c r="C344" s="41" t="s">
        <v>149</v>
      </c>
      <c r="D344" s="40" t="s">
        <v>150</v>
      </c>
      <c r="E344" s="24">
        <v>8547840</v>
      </c>
      <c r="F344" s="39">
        <v>44244</v>
      </c>
      <c r="G344" s="24">
        <v>8547840</v>
      </c>
      <c r="H344" s="23">
        <v>5.0000000000000001E-3</v>
      </c>
      <c r="I344" s="39">
        <v>44409</v>
      </c>
      <c r="J344" s="39">
        <v>44439</v>
      </c>
      <c r="K344" s="24">
        <f t="shared" si="24"/>
        <v>31</v>
      </c>
      <c r="L344" s="24">
        <f t="shared" si="25"/>
        <v>3630</v>
      </c>
      <c r="M344" s="24">
        <v>8547840</v>
      </c>
    </row>
    <row r="345" spans="1:13" s="5" customFormat="1" outlineLevel="2">
      <c r="A345" s="39" t="s">
        <v>142</v>
      </c>
      <c r="B345" s="40" t="s">
        <v>313</v>
      </c>
      <c r="C345" s="41" t="s">
        <v>149</v>
      </c>
      <c r="D345" s="40" t="s">
        <v>150</v>
      </c>
      <c r="E345" s="24">
        <v>6384000</v>
      </c>
      <c r="F345" s="39">
        <v>44244</v>
      </c>
      <c r="G345" s="24">
        <v>6384000</v>
      </c>
      <c r="H345" s="23">
        <v>5.0000000000000001E-3</v>
      </c>
      <c r="I345" s="39">
        <v>44409</v>
      </c>
      <c r="J345" s="39">
        <v>44439</v>
      </c>
      <c r="K345" s="24">
        <f t="shared" si="24"/>
        <v>31</v>
      </c>
      <c r="L345" s="24">
        <f t="shared" si="25"/>
        <v>2711</v>
      </c>
      <c r="M345" s="24">
        <v>6384000</v>
      </c>
    </row>
    <row r="346" spans="1:13" s="5" customFormat="1" outlineLevel="2">
      <c r="A346" s="39" t="s">
        <v>142</v>
      </c>
      <c r="B346" s="40" t="s">
        <v>312</v>
      </c>
      <c r="C346" s="41" t="s">
        <v>149</v>
      </c>
      <c r="D346" s="40" t="s">
        <v>150</v>
      </c>
      <c r="E346" s="24">
        <v>226800</v>
      </c>
      <c r="F346" s="39">
        <v>44244</v>
      </c>
      <c r="G346" s="24">
        <v>226800</v>
      </c>
      <c r="H346" s="23">
        <v>5.0000000000000001E-3</v>
      </c>
      <c r="I346" s="39">
        <v>44409</v>
      </c>
      <c r="J346" s="39">
        <v>44439</v>
      </c>
      <c r="K346" s="24">
        <f t="shared" si="24"/>
        <v>31</v>
      </c>
      <c r="L346" s="24">
        <f t="shared" si="25"/>
        <v>96</v>
      </c>
      <c r="M346" s="24">
        <v>226800</v>
      </c>
    </row>
    <row r="347" spans="1:13" s="5" customFormat="1" outlineLevel="2">
      <c r="A347" s="39" t="s">
        <v>142</v>
      </c>
      <c r="B347" s="40" t="s">
        <v>311</v>
      </c>
      <c r="C347" s="41" t="s">
        <v>155</v>
      </c>
      <c r="D347" s="40" t="s">
        <v>156</v>
      </c>
      <c r="E347" s="24">
        <v>100000000</v>
      </c>
      <c r="F347" s="39">
        <v>44236</v>
      </c>
      <c r="G347" s="24">
        <v>100000000</v>
      </c>
      <c r="H347" s="23">
        <v>5.0000000000000001E-3</v>
      </c>
      <c r="I347" s="39">
        <v>44409</v>
      </c>
      <c r="J347" s="39">
        <v>44439</v>
      </c>
      <c r="K347" s="24">
        <f t="shared" si="24"/>
        <v>31</v>
      </c>
      <c r="L347" s="24">
        <f t="shared" si="25"/>
        <v>42466</v>
      </c>
      <c r="M347" s="24">
        <v>100000000</v>
      </c>
    </row>
    <row r="348" spans="1:13" s="5" customFormat="1" outlineLevel="2">
      <c r="A348" s="39" t="s">
        <v>142</v>
      </c>
      <c r="B348" s="40" t="s">
        <v>310</v>
      </c>
      <c r="C348" s="41" t="s">
        <v>155</v>
      </c>
      <c r="D348" s="40" t="s">
        <v>156</v>
      </c>
      <c r="E348" s="24">
        <v>200000000</v>
      </c>
      <c r="F348" s="39">
        <v>44244</v>
      </c>
      <c r="G348" s="24">
        <v>200000000</v>
      </c>
      <c r="H348" s="23">
        <v>5.0000000000000001E-3</v>
      </c>
      <c r="I348" s="39">
        <v>44409</v>
      </c>
      <c r="J348" s="39">
        <v>44439</v>
      </c>
      <c r="K348" s="24">
        <f t="shared" si="24"/>
        <v>31</v>
      </c>
      <c r="L348" s="24">
        <f t="shared" si="25"/>
        <v>84932</v>
      </c>
      <c r="M348" s="24">
        <v>200000000</v>
      </c>
    </row>
    <row r="349" spans="1:13" s="5" customFormat="1" outlineLevel="2">
      <c r="A349" s="39" t="s">
        <v>142</v>
      </c>
      <c r="B349" s="40" t="s">
        <v>25</v>
      </c>
      <c r="C349" s="41" t="s">
        <v>143</v>
      </c>
      <c r="D349" s="40" t="s">
        <v>144</v>
      </c>
      <c r="E349" s="24">
        <v>38000000</v>
      </c>
      <c r="F349" s="39">
        <v>43962</v>
      </c>
      <c r="G349" s="24">
        <v>38000000</v>
      </c>
      <c r="H349" s="23">
        <v>5.0000000000000001E-3</v>
      </c>
      <c r="I349" s="39">
        <v>44409</v>
      </c>
      <c r="J349" s="39">
        <v>44439</v>
      </c>
      <c r="K349" s="24">
        <f t="shared" si="24"/>
        <v>31</v>
      </c>
      <c r="L349" s="24">
        <f t="shared" si="25"/>
        <v>16137</v>
      </c>
      <c r="M349" s="24">
        <v>38000000</v>
      </c>
    </row>
    <row r="350" spans="1:13" s="5" customFormat="1" outlineLevel="2">
      <c r="A350" s="39" t="s">
        <v>142</v>
      </c>
      <c r="B350" s="40" t="s">
        <v>309</v>
      </c>
      <c r="C350" s="41" t="s">
        <v>219</v>
      </c>
      <c r="D350" s="40" t="s">
        <v>220</v>
      </c>
      <c r="E350" s="24">
        <v>20000000</v>
      </c>
      <c r="F350" s="39">
        <v>44251</v>
      </c>
      <c r="G350" s="24">
        <v>20000000</v>
      </c>
      <c r="H350" s="23">
        <v>5.0000000000000001E-3</v>
      </c>
      <c r="I350" s="39">
        <v>44409</v>
      </c>
      <c r="J350" s="39">
        <v>44439</v>
      </c>
      <c r="K350" s="24">
        <f t="shared" si="24"/>
        <v>31</v>
      </c>
      <c r="L350" s="24">
        <f t="shared" si="25"/>
        <v>8493</v>
      </c>
      <c r="M350" s="24">
        <v>20000000</v>
      </c>
    </row>
    <row r="351" spans="1:13" s="5" customFormat="1" outlineLevel="2">
      <c r="A351" s="39" t="s">
        <v>142</v>
      </c>
      <c r="B351" s="40" t="s">
        <v>308</v>
      </c>
      <c r="C351" s="41" t="s">
        <v>125</v>
      </c>
      <c r="D351" s="40" t="s">
        <v>126</v>
      </c>
      <c r="E351" s="24">
        <v>5000000</v>
      </c>
      <c r="F351" s="39">
        <v>44251</v>
      </c>
      <c r="G351" s="24">
        <v>5000000</v>
      </c>
      <c r="H351" s="23">
        <v>5.0000000000000001E-3</v>
      </c>
      <c r="I351" s="39">
        <v>44409</v>
      </c>
      <c r="J351" s="39">
        <v>44439</v>
      </c>
      <c r="K351" s="24">
        <f t="shared" si="24"/>
        <v>31</v>
      </c>
      <c r="L351" s="24">
        <f t="shared" si="25"/>
        <v>2123</v>
      </c>
      <c r="M351" s="24">
        <v>5000000</v>
      </c>
    </row>
    <row r="352" spans="1:13" s="5" customFormat="1" outlineLevel="2">
      <c r="A352" s="39" t="s">
        <v>142</v>
      </c>
      <c r="B352" s="40" t="s">
        <v>307</v>
      </c>
      <c r="C352" s="41" t="s">
        <v>89</v>
      </c>
      <c r="D352" s="40" t="s">
        <v>90</v>
      </c>
      <c r="E352" s="24">
        <v>80000000</v>
      </c>
      <c r="F352" s="39">
        <v>44253</v>
      </c>
      <c r="G352" s="24">
        <v>80000000</v>
      </c>
      <c r="H352" s="23">
        <v>5.0000000000000001E-3</v>
      </c>
      <c r="I352" s="39">
        <v>44409</v>
      </c>
      <c r="J352" s="39">
        <v>44439</v>
      </c>
      <c r="K352" s="24">
        <f t="shared" si="24"/>
        <v>31</v>
      </c>
      <c r="L352" s="24">
        <f t="shared" si="25"/>
        <v>33973</v>
      </c>
      <c r="M352" s="24">
        <v>80000000</v>
      </c>
    </row>
    <row r="353" spans="1:13" s="5" customFormat="1" outlineLevel="2">
      <c r="A353" s="39" t="s">
        <v>142</v>
      </c>
      <c r="B353" s="40" t="s">
        <v>335</v>
      </c>
      <c r="C353" s="41" t="s">
        <v>143</v>
      </c>
      <c r="D353" s="40" t="s">
        <v>144</v>
      </c>
      <c r="E353" s="24">
        <v>1350000</v>
      </c>
      <c r="F353" s="39">
        <v>44257</v>
      </c>
      <c r="G353" s="24">
        <v>1350000</v>
      </c>
      <c r="H353" s="23">
        <v>5.0000000000000001E-3</v>
      </c>
      <c r="I353" s="39">
        <v>44409</v>
      </c>
      <c r="J353" s="39">
        <v>44439</v>
      </c>
      <c r="K353" s="24">
        <f t="shared" si="24"/>
        <v>31</v>
      </c>
      <c r="L353" s="24">
        <f t="shared" si="25"/>
        <v>573</v>
      </c>
      <c r="M353" s="24">
        <v>1350000</v>
      </c>
    </row>
    <row r="354" spans="1:13" s="5" customFormat="1" outlineLevel="2">
      <c r="A354" s="39" t="s">
        <v>142</v>
      </c>
      <c r="B354" s="40" t="s">
        <v>334</v>
      </c>
      <c r="C354" s="41" t="s">
        <v>143</v>
      </c>
      <c r="D354" s="40" t="s">
        <v>144</v>
      </c>
      <c r="E354" s="24">
        <v>3000000</v>
      </c>
      <c r="F354" s="39">
        <v>44286</v>
      </c>
      <c r="G354" s="24">
        <v>3000000</v>
      </c>
      <c r="H354" s="23">
        <v>5.0000000000000001E-3</v>
      </c>
      <c r="I354" s="39">
        <v>44409</v>
      </c>
      <c r="J354" s="39">
        <v>44439</v>
      </c>
      <c r="K354" s="24">
        <f t="shared" si="24"/>
        <v>31</v>
      </c>
      <c r="L354" s="24">
        <f t="shared" si="25"/>
        <v>1274</v>
      </c>
      <c r="M354" s="24">
        <v>3000000</v>
      </c>
    </row>
    <row r="355" spans="1:13" s="5" customFormat="1" outlineLevel="2">
      <c r="A355" s="39" t="s">
        <v>142</v>
      </c>
      <c r="B355" s="40" t="s">
        <v>333</v>
      </c>
      <c r="C355" s="41" t="s">
        <v>143</v>
      </c>
      <c r="D355" s="40" t="s">
        <v>144</v>
      </c>
      <c r="E355" s="24">
        <v>12800000</v>
      </c>
      <c r="F355" s="39">
        <v>44286</v>
      </c>
      <c r="G355" s="24">
        <v>12800000</v>
      </c>
      <c r="H355" s="23">
        <v>5.0000000000000001E-3</v>
      </c>
      <c r="I355" s="39">
        <v>44409</v>
      </c>
      <c r="J355" s="39">
        <v>44439</v>
      </c>
      <c r="K355" s="24">
        <f t="shared" si="24"/>
        <v>31</v>
      </c>
      <c r="L355" s="24">
        <f t="shared" si="25"/>
        <v>5436</v>
      </c>
      <c r="M355" s="24">
        <v>12800000</v>
      </c>
    </row>
    <row r="356" spans="1:13" s="5" customFormat="1" outlineLevel="2">
      <c r="A356" s="39" t="s">
        <v>142</v>
      </c>
      <c r="B356" s="40" t="s">
        <v>332</v>
      </c>
      <c r="C356" s="41" t="s">
        <v>125</v>
      </c>
      <c r="D356" s="40" t="s">
        <v>126</v>
      </c>
      <c r="E356" s="24">
        <v>29000000</v>
      </c>
      <c r="F356" s="39">
        <v>44257</v>
      </c>
      <c r="G356" s="24">
        <v>29000000</v>
      </c>
      <c r="H356" s="23">
        <v>5.0000000000000001E-3</v>
      </c>
      <c r="I356" s="39">
        <v>44409</v>
      </c>
      <c r="J356" s="39">
        <v>44439</v>
      </c>
      <c r="K356" s="24">
        <f t="shared" si="24"/>
        <v>31</v>
      </c>
      <c r="L356" s="24">
        <f t="shared" si="25"/>
        <v>12315</v>
      </c>
      <c r="M356" s="24">
        <v>29000000</v>
      </c>
    </row>
    <row r="357" spans="1:13" s="5" customFormat="1" outlineLevel="2">
      <c r="A357" s="39" t="s">
        <v>142</v>
      </c>
      <c r="B357" s="40" t="s">
        <v>331</v>
      </c>
      <c r="C357" s="41" t="s">
        <v>125</v>
      </c>
      <c r="D357" s="40" t="s">
        <v>126</v>
      </c>
      <c r="E357" s="24">
        <v>5000000</v>
      </c>
      <c r="F357" s="39">
        <v>44279</v>
      </c>
      <c r="G357" s="24">
        <v>5000000</v>
      </c>
      <c r="H357" s="23">
        <v>5.0000000000000001E-3</v>
      </c>
      <c r="I357" s="39">
        <v>44409</v>
      </c>
      <c r="J357" s="39">
        <v>44439</v>
      </c>
      <c r="K357" s="24">
        <f t="shared" si="24"/>
        <v>31</v>
      </c>
      <c r="L357" s="24">
        <f t="shared" si="25"/>
        <v>2123</v>
      </c>
      <c r="M357" s="24">
        <v>5000000</v>
      </c>
    </row>
    <row r="358" spans="1:13" s="5" customFormat="1" outlineLevel="2">
      <c r="A358" s="39" t="s">
        <v>142</v>
      </c>
      <c r="B358" s="40" t="s">
        <v>330</v>
      </c>
      <c r="C358" s="41" t="s">
        <v>125</v>
      </c>
      <c r="D358" s="40" t="s">
        <v>126</v>
      </c>
      <c r="E358" s="24">
        <v>5000000</v>
      </c>
      <c r="F358" s="39">
        <v>44286</v>
      </c>
      <c r="G358" s="24">
        <v>5000000</v>
      </c>
      <c r="H358" s="23">
        <v>5.0000000000000001E-3</v>
      </c>
      <c r="I358" s="39">
        <v>44409</v>
      </c>
      <c r="J358" s="39">
        <v>44439</v>
      </c>
      <c r="K358" s="24">
        <f t="shared" ref="K358:K389" si="26">J358-I358+1</f>
        <v>31</v>
      </c>
      <c r="L358" s="24">
        <f t="shared" ref="L358:L389" si="27">ROUND(G358*H358*K358/365,0)</f>
        <v>2123</v>
      </c>
      <c r="M358" s="24">
        <v>5000000</v>
      </c>
    </row>
    <row r="359" spans="1:13" s="5" customFormat="1" outlineLevel="2">
      <c r="A359" s="39" t="s">
        <v>142</v>
      </c>
      <c r="B359" s="40" t="s">
        <v>329</v>
      </c>
      <c r="C359" s="41" t="s">
        <v>149</v>
      </c>
      <c r="D359" s="40" t="s">
        <v>150</v>
      </c>
      <c r="E359" s="24">
        <v>1176000</v>
      </c>
      <c r="F359" s="39">
        <v>44270</v>
      </c>
      <c r="G359" s="24">
        <v>1176000</v>
      </c>
      <c r="H359" s="23">
        <v>5.0000000000000001E-3</v>
      </c>
      <c r="I359" s="39">
        <v>44409</v>
      </c>
      <c r="J359" s="39">
        <v>44439</v>
      </c>
      <c r="K359" s="24">
        <f t="shared" si="26"/>
        <v>31</v>
      </c>
      <c r="L359" s="24">
        <f t="shared" si="27"/>
        <v>499</v>
      </c>
      <c r="M359" s="24">
        <v>1176000</v>
      </c>
    </row>
    <row r="360" spans="1:13" s="5" customFormat="1" outlineLevel="2">
      <c r="A360" s="39" t="s">
        <v>142</v>
      </c>
      <c r="B360" s="40" t="s">
        <v>26</v>
      </c>
      <c r="C360" s="41" t="s">
        <v>143</v>
      </c>
      <c r="D360" s="40" t="s">
        <v>144</v>
      </c>
      <c r="E360" s="24">
        <v>10500000</v>
      </c>
      <c r="F360" s="39">
        <v>43962</v>
      </c>
      <c r="G360" s="24">
        <v>10500000</v>
      </c>
      <c r="H360" s="23">
        <v>5.0000000000000001E-3</v>
      </c>
      <c r="I360" s="39">
        <v>44409</v>
      </c>
      <c r="J360" s="39">
        <v>44439</v>
      </c>
      <c r="K360" s="24">
        <f t="shared" si="26"/>
        <v>31</v>
      </c>
      <c r="L360" s="24">
        <f t="shared" si="27"/>
        <v>4459</v>
      </c>
      <c r="M360" s="24">
        <v>10500000</v>
      </c>
    </row>
    <row r="361" spans="1:13" s="5" customFormat="1" outlineLevel="2">
      <c r="A361" s="39" t="s">
        <v>142</v>
      </c>
      <c r="B361" s="40" t="s">
        <v>328</v>
      </c>
      <c r="C361" s="41" t="s">
        <v>149</v>
      </c>
      <c r="D361" s="40" t="s">
        <v>150</v>
      </c>
      <c r="E361" s="24">
        <v>840000</v>
      </c>
      <c r="F361" s="39">
        <v>44270</v>
      </c>
      <c r="G361" s="24">
        <v>840000</v>
      </c>
      <c r="H361" s="23">
        <v>5.0000000000000001E-3</v>
      </c>
      <c r="I361" s="39">
        <v>44409</v>
      </c>
      <c r="J361" s="39">
        <v>44439</v>
      </c>
      <c r="K361" s="24">
        <f t="shared" si="26"/>
        <v>31</v>
      </c>
      <c r="L361" s="24">
        <f t="shared" si="27"/>
        <v>357</v>
      </c>
      <c r="M361" s="24">
        <v>840000</v>
      </c>
    </row>
    <row r="362" spans="1:13" s="5" customFormat="1" outlineLevel="2">
      <c r="A362" s="39" t="s">
        <v>142</v>
      </c>
      <c r="B362" s="40" t="s">
        <v>327</v>
      </c>
      <c r="C362" s="41" t="s">
        <v>187</v>
      </c>
      <c r="D362" s="40" t="s">
        <v>188</v>
      </c>
      <c r="E362" s="24">
        <v>190400000</v>
      </c>
      <c r="F362" s="39">
        <v>44273</v>
      </c>
      <c r="G362" s="24">
        <v>190400000</v>
      </c>
      <c r="H362" s="23">
        <v>5.0000000000000001E-3</v>
      </c>
      <c r="I362" s="39">
        <v>44409</v>
      </c>
      <c r="J362" s="39">
        <v>44439</v>
      </c>
      <c r="K362" s="24">
        <f t="shared" si="26"/>
        <v>31</v>
      </c>
      <c r="L362" s="24">
        <f t="shared" si="27"/>
        <v>80855</v>
      </c>
      <c r="M362" s="24">
        <v>190400000</v>
      </c>
    </row>
    <row r="363" spans="1:13" s="5" customFormat="1" outlineLevel="2">
      <c r="A363" s="39" t="s">
        <v>142</v>
      </c>
      <c r="B363" s="40" t="s">
        <v>326</v>
      </c>
      <c r="C363" s="41" t="s">
        <v>121</v>
      </c>
      <c r="D363" s="40" t="s">
        <v>122</v>
      </c>
      <c r="E363" s="24">
        <v>54000000</v>
      </c>
      <c r="F363" s="39">
        <v>44278</v>
      </c>
      <c r="G363" s="24">
        <v>54000000</v>
      </c>
      <c r="H363" s="23">
        <v>5.0000000000000001E-3</v>
      </c>
      <c r="I363" s="39">
        <v>44409</v>
      </c>
      <c r="J363" s="39">
        <v>44439</v>
      </c>
      <c r="K363" s="24">
        <f t="shared" si="26"/>
        <v>31</v>
      </c>
      <c r="L363" s="24">
        <f t="shared" si="27"/>
        <v>22932</v>
      </c>
      <c r="M363" s="24">
        <v>54000000</v>
      </c>
    </row>
    <row r="364" spans="1:13" s="5" customFormat="1" outlineLevel="2">
      <c r="A364" s="39" t="s">
        <v>142</v>
      </c>
      <c r="B364" s="40" t="s">
        <v>325</v>
      </c>
      <c r="C364" s="41" t="s">
        <v>165</v>
      </c>
      <c r="D364" s="40" t="s">
        <v>166</v>
      </c>
      <c r="E364" s="24">
        <v>24800000</v>
      </c>
      <c r="F364" s="39">
        <v>44284</v>
      </c>
      <c r="G364" s="24">
        <v>24800000</v>
      </c>
      <c r="H364" s="23">
        <v>5.0000000000000001E-3</v>
      </c>
      <c r="I364" s="39">
        <v>44409</v>
      </c>
      <c r="J364" s="39">
        <v>44439</v>
      </c>
      <c r="K364" s="24">
        <f t="shared" si="26"/>
        <v>31</v>
      </c>
      <c r="L364" s="24">
        <f t="shared" si="27"/>
        <v>10532</v>
      </c>
      <c r="M364" s="24">
        <v>24800000</v>
      </c>
    </row>
    <row r="365" spans="1:13" s="5" customFormat="1" outlineLevel="2">
      <c r="A365" s="39" t="s">
        <v>142</v>
      </c>
      <c r="B365" s="40" t="s">
        <v>361</v>
      </c>
      <c r="C365" s="41" t="s">
        <v>85</v>
      </c>
      <c r="D365" s="40" t="s">
        <v>86</v>
      </c>
      <c r="E365" s="24">
        <v>2500000</v>
      </c>
      <c r="F365" s="39">
        <v>44287</v>
      </c>
      <c r="G365" s="24">
        <v>2500000</v>
      </c>
      <c r="H365" s="23">
        <v>5.0000000000000001E-3</v>
      </c>
      <c r="I365" s="39">
        <v>44409</v>
      </c>
      <c r="J365" s="39">
        <v>44439</v>
      </c>
      <c r="K365" s="24">
        <f t="shared" si="26"/>
        <v>31</v>
      </c>
      <c r="L365" s="24">
        <f t="shared" si="27"/>
        <v>1062</v>
      </c>
      <c r="M365" s="24">
        <v>2500000</v>
      </c>
    </row>
    <row r="366" spans="1:13" s="5" customFormat="1" outlineLevel="2">
      <c r="A366" s="39" t="s">
        <v>142</v>
      </c>
      <c r="B366" s="40" t="s">
        <v>360</v>
      </c>
      <c r="C366" s="41" t="s">
        <v>85</v>
      </c>
      <c r="D366" s="40" t="s">
        <v>86</v>
      </c>
      <c r="E366" s="24">
        <v>7500000</v>
      </c>
      <c r="F366" s="39">
        <v>44287</v>
      </c>
      <c r="G366" s="24">
        <v>7500000</v>
      </c>
      <c r="H366" s="23">
        <v>5.0000000000000001E-3</v>
      </c>
      <c r="I366" s="39">
        <v>44409</v>
      </c>
      <c r="J366" s="39">
        <v>44439</v>
      </c>
      <c r="K366" s="24">
        <f t="shared" si="26"/>
        <v>31</v>
      </c>
      <c r="L366" s="24">
        <f t="shared" si="27"/>
        <v>3185</v>
      </c>
      <c r="M366" s="24">
        <v>7500000</v>
      </c>
    </row>
    <row r="367" spans="1:13" s="5" customFormat="1" outlineLevel="2">
      <c r="A367" s="39" t="s">
        <v>142</v>
      </c>
      <c r="B367" s="40" t="s">
        <v>359</v>
      </c>
      <c r="C367" s="41" t="s">
        <v>85</v>
      </c>
      <c r="D367" s="40" t="s">
        <v>86</v>
      </c>
      <c r="E367" s="24">
        <v>4975000</v>
      </c>
      <c r="F367" s="39">
        <v>44306</v>
      </c>
      <c r="G367" s="24">
        <v>4975000</v>
      </c>
      <c r="H367" s="23">
        <v>5.0000000000000001E-3</v>
      </c>
      <c r="I367" s="39">
        <v>44409</v>
      </c>
      <c r="J367" s="39">
        <v>44439</v>
      </c>
      <c r="K367" s="24">
        <f t="shared" si="26"/>
        <v>31</v>
      </c>
      <c r="L367" s="24">
        <f t="shared" si="27"/>
        <v>2113</v>
      </c>
      <c r="M367" s="24">
        <v>4975000</v>
      </c>
    </row>
    <row r="368" spans="1:13" s="5" customFormat="1" outlineLevel="2">
      <c r="A368" s="39" t="s">
        <v>142</v>
      </c>
      <c r="B368" s="40" t="s">
        <v>358</v>
      </c>
      <c r="C368" s="41" t="s">
        <v>85</v>
      </c>
      <c r="D368" s="40" t="s">
        <v>86</v>
      </c>
      <c r="E368" s="24">
        <v>14925000</v>
      </c>
      <c r="F368" s="39">
        <v>44306</v>
      </c>
      <c r="G368" s="24">
        <v>14925000</v>
      </c>
      <c r="H368" s="23">
        <v>5.0000000000000001E-3</v>
      </c>
      <c r="I368" s="39">
        <v>44409</v>
      </c>
      <c r="J368" s="39">
        <v>44439</v>
      </c>
      <c r="K368" s="24">
        <f t="shared" si="26"/>
        <v>31</v>
      </c>
      <c r="L368" s="24">
        <f t="shared" si="27"/>
        <v>6338</v>
      </c>
      <c r="M368" s="24">
        <v>14925000</v>
      </c>
    </row>
    <row r="369" spans="1:13" s="5" customFormat="1" outlineLevel="2">
      <c r="A369" s="39" t="s">
        <v>142</v>
      </c>
      <c r="B369" s="40" t="s">
        <v>357</v>
      </c>
      <c r="C369" s="41" t="s">
        <v>149</v>
      </c>
      <c r="D369" s="40" t="s">
        <v>150</v>
      </c>
      <c r="E369" s="24">
        <v>1663200</v>
      </c>
      <c r="F369" s="39">
        <v>44294</v>
      </c>
      <c r="G369" s="24">
        <v>1663200</v>
      </c>
      <c r="H369" s="23">
        <v>5.0000000000000001E-3</v>
      </c>
      <c r="I369" s="39">
        <v>44409</v>
      </c>
      <c r="J369" s="39">
        <v>44439</v>
      </c>
      <c r="K369" s="24">
        <f t="shared" si="26"/>
        <v>31</v>
      </c>
      <c r="L369" s="24">
        <f t="shared" si="27"/>
        <v>706</v>
      </c>
      <c r="M369" s="24">
        <v>1663200</v>
      </c>
    </row>
    <row r="370" spans="1:13" s="5" customFormat="1" outlineLevel="2">
      <c r="A370" s="39" t="s">
        <v>142</v>
      </c>
      <c r="B370" s="40" t="s">
        <v>356</v>
      </c>
      <c r="C370" s="41" t="s">
        <v>149</v>
      </c>
      <c r="D370" s="40" t="s">
        <v>150</v>
      </c>
      <c r="E370" s="24">
        <v>3528000</v>
      </c>
      <c r="F370" s="39">
        <v>44300</v>
      </c>
      <c r="G370" s="24">
        <v>3528000</v>
      </c>
      <c r="H370" s="23">
        <v>5.0000000000000001E-3</v>
      </c>
      <c r="I370" s="39">
        <v>44409</v>
      </c>
      <c r="J370" s="39">
        <v>44439</v>
      </c>
      <c r="K370" s="24">
        <f t="shared" si="26"/>
        <v>31</v>
      </c>
      <c r="L370" s="24">
        <f t="shared" si="27"/>
        <v>1498</v>
      </c>
      <c r="M370" s="24">
        <v>3528000</v>
      </c>
    </row>
    <row r="371" spans="1:13" s="5" customFormat="1" outlineLevel="2">
      <c r="A371" s="39" t="s">
        <v>142</v>
      </c>
      <c r="B371" s="40" t="s">
        <v>29</v>
      </c>
      <c r="C371" s="41" t="s">
        <v>123</v>
      </c>
      <c r="D371" s="40" t="s">
        <v>124</v>
      </c>
      <c r="E371" s="24">
        <v>160000000</v>
      </c>
      <c r="F371" s="39">
        <v>43970</v>
      </c>
      <c r="G371" s="24">
        <v>160000000</v>
      </c>
      <c r="H371" s="23">
        <v>5.0000000000000001E-3</v>
      </c>
      <c r="I371" s="39">
        <v>44409</v>
      </c>
      <c r="J371" s="39">
        <v>44439</v>
      </c>
      <c r="K371" s="24">
        <f t="shared" si="26"/>
        <v>31</v>
      </c>
      <c r="L371" s="24">
        <f t="shared" si="27"/>
        <v>67945</v>
      </c>
      <c r="M371" s="24">
        <v>160000000</v>
      </c>
    </row>
    <row r="372" spans="1:13" s="5" customFormat="1" outlineLevel="2">
      <c r="A372" s="39" t="s">
        <v>142</v>
      </c>
      <c r="B372" s="40" t="s">
        <v>355</v>
      </c>
      <c r="C372" s="41" t="s">
        <v>149</v>
      </c>
      <c r="D372" s="40" t="s">
        <v>150</v>
      </c>
      <c r="E372" s="24">
        <v>12213027</v>
      </c>
      <c r="F372" s="39">
        <v>44307</v>
      </c>
      <c r="G372" s="24">
        <v>12213027</v>
      </c>
      <c r="H372" s="23">
        <v>5.0000000000000001E-3</v>
      </c>
      <c r="I372" s="39">
        <v>44409</v>
      </c>
      <c r="J372" s="39">
        <v>44439</v>
      </c>
      <c r="K372" s="24">
        <f t="shared" si="26"/>
        <v>31</v>
      </c>
      <c r="L372" s="24">
        <f t="shared" si="27"/>
        <v>5186</v>
      </c>
      <c r="M372" s="24">
        <v>12213027</v>
      </c>
    </row>
    <row r="373" spans="1:13" s="5" customFormat="1" outlineLevel="2">
      <c r="A373" s="39" t="s">
        <v>142</v>
      </c>
      <c r="B373" s="40" t="s">
        <v>354</v>
      </c>
      <c r="C373" s="41" t="s">
        <v>149</v>
      </c>
      <c r="D373" s="40" t="s">
        <v>150</v>
      </c>
      <c r="E373" s="24">
        <v>11337919</v>
      </c>
      <c r="F373" s="39">
        <v>44314</v>
      </c>
      <c r="G373" s="24">
        <v>11337919</v>
      </c>
      <c r="H373" s="23">
        <v>5.0000000000000001E-3</v>
      </c>
      <c r="I373" s="39">
        <v>44409</v>
      </c>
      <c r="J373" s="39">
        <v>44439</v>
      </c>
      <c r="K373" s="24">
        <f t="shared" si="26"/>
        <v>31</v>
      </c>
      <c r="L373" s="24">
        <f t="shared" si="27"/>
        <v>4815</v>
      </c>
      <c r="M373" s="24">
        <v>11337919</v>
      </c>
    </row>
    <row r="374" spans="1:13" s="5" customFormat="1" outlineLevel="2">
      <c r="A374" s="39" t="s">
        <v>142</v>
      </c>
      <c r="B374" s="40" t="s">
        <v>353</v>
      </c>
      <c r="C374" s="41" t="s">
        <v>219</v>
      </c>
      <c r="D374" s="40" t="s">
        <v>220</v>
      </c>
      <c r="E374" s="24">
        <v>20000000</v>
      </c>
      <c r="F374" s="39">
        <v>44308</v>
      </c>
      <c r="G374" s="24">
        <v>20000000</v>
      </c>
      <c r="H374" s="23">
        <v>5.0000000000000001E-3</v>
      </c>
      <c r="I374" s="39">
        <v>44409</v>
      </c>
      <c r="J374" s="39">
        <v>44439</v>
      </c>
      <c r="K374" s="24">
        <f t="shared" si="26"/>
        <v>31</v>
      </c>
      <c r="L374" s="24">
        <f t="shared" si="27"/>
        <v>8493</v>
      </c>
      <c r="M374" s="24">
        <v>20000000</v>
      </c>
    </row>
    <row r="375" spans="1:13" s="5" customFormat="1" outlineLevel="2">
      <c r="A375" s="39" t="s">
        <v>142</v>
      </c>
      <c r="B375" s="40" t="s">
        <v>352</v>
      </c>
      <c r="C375" s="41" t="s">
        <v>351</v>
      </c>
      <c r="D375" s="40" t="s">
        <v>350</v>
      </c>
      <c r="E375" s="24">
        <v>9800000</v>
      </c>
      <c r="F375" s="39">
        <v>44313</v>
      </c>
      <c r="G375" s="24">
        <v>9800000</v>
      </c>
      <c r="H375" s="23">
        <v>5.0000000000000001E-3</v>
      </c>
      <c r="I375" s="39">
        <v>44409</v>
      </c>
      <c r="J375" s="39">
        <v>44439</v>
      </c>
      <c r="K375" s="24">
        <f t="shared" si="26"/>
        <v>31</v>
      </c>
      <c r="L375" s="24">
        <f t="shared" si="27"/>
        <v>4162</v>
      </c>
      <c r="M375" s="24">
        <v>9800000</v>
      </c>
    </row>
    <row r="376" spans="1:13" s="5" customFormat="1" outlineLevel="2">
      <c r="A376" s="39" t="s">
        <v>142</v>
      </c>
      <c r="B376" s="40" t="s">
        <v>349</v>
      </c>
      <c r="C376" s="41" t="s">
        <v>345</v>
      </c>
      <c r="D376" s="40" t="s">
        <v>344</v>
      </c>
      <c r="E376" s="24">
        <v>37000000</v>
      </c>
      <c r="F376" s="39">
        <v>44314</v>
      </c>
      <c r="G376" s="24">
        <v>37000000</v>
      </c>
      <c r="H376" s="23">
        <v>5.0000000000000001E-3</v>
      </c>
      <c r="I376" s="39">
        <v>44409</v>
      </c>
      <c r="J376" s="39">
        <v>44439</v>
      </c>
      <c r="K376" s="24">
        <f t="shared" si="26"/>
        <v>31</v>
      </c>
      <c r="L376" s="24">
        <f t="shared" si="27"/>
        <v>15712</v>
      </c>
      <c r="M376" s="24">
        <v>37000000</v>
      </c>
    </row>
    <row r="377" spans="1:13" s="5" customFormat="1" outlineLevel="2">
      <c r="A377" s="39" t="s">
        <v>142</v>
      </c>
      <c r="B377" s="40" t="s">
        <v>348</v>
      </c>
      <c r="C377" s="41" t="s">
        <v>163</v>
      </c>
      <c r="D377" s="40" t="s">
        <v>164</v>
      </c>
      <c r="E377" s="24">
        <v>70000000</v>
      </c>
      <c r="F377" s="39">
        <v>44315</v>
      </c>
      <c r="G377" s="24">
        <v>68090908</v>
      </c>
      <c r="H377" s="23">
        <v>5.0000000000000001E-3</v>
      </c>
      <c r="I377" s="39">
        <v>44409</v>
      </c>
      <c r="J377" s="39">
        <v>44423</v>
      </c>
      <c r="K377" s="24">
        <f t="shared" si="26"/>
        <v>15</v>
      </c>
      <c r="L377" s="24">
        <f t="shared" si="27"/>
        <v>13991</v>
      </c>
      <c r="M377" s="24">
        <v>67454544</v>
      </c>
    </row>
    <row r="378" spans="1:13" s="5" customFormat="1" outlineLevel="2">
      <c r="A378" s="39" t="s">
        <v>142</v>
      </c>
      <c r="B378" s="40" t="s">
        <v>348</v>
      </c>
      <c r="C378" s="41" t="s">
        <v>163</v>
      </c>
      <c r="D378" s="40"/>
      <c r="E378" s="24"/>
      <c r="F378" s="39"/>
      <c r="G378" s="24">
        <v>67454544</v>
      </c>
      <c r="H378" s="23">
        <v>5.0000000000000001E-3</v>
      </c>
      <c r="I378" s="39">
        <v>44424</v>
      </c>
      <c r="J378" s="39">
        <v>44439</v>
      </c>
      <c r="K378" s="24">
        <f t="shared" si="26"/>
        <v>16</v>
      </c>
      <c r="L378" s="24">
        <f t="shared" si="27"/>
        <v>14785</v>
      </c>
      <c r="M378" s="24"/>
    </row>
    <row r="379" spans="1:13" s="5" customFormat="1" outlineLevel="2">
      <c r="A379" s="39" t="s">
        <v>142</v>
      </c>
      <c r="B379" s="40" t="s">
        <v>347</v>
      </c>
      <c r="C379" s="41" t="s">
        <v>163</v>
      </c>
      <c r="D379" s="40" t="s">
        <v>164</v>
      </c>
      <c r="E379" s="24">
        <v>10000000</v>
      </c>
      <c r="F379" s="39">
        <v>44315</v>
      </c>
      <c r="G379" s="24">
        <v>9642856</v>
      </c>
      <c r="H379" s="23">
        <v>5.0000000000000001E-3</v>
      </c>
      <c r="I379" s="39">
        <v>44409</v>
      </c>
      <c r="J379" s="39">
        <v>44423</v>
      </c>
      <c r="K379" s="24">
        <f t="shared" si="26"/>
        <v>15</v>
      </c>
      <c r="L379" s="24">
        <f t="shared" si="27"/>
        <v>1981</v>
      </c>
      <c r="M379" s="24">
        <v>9523808</v>
      </c>
    </row>
    <row r="380" spans="1:13" s="5" customFormat="1" outlineLevel="2">
      <c r="A380" s="39" t="s">
        <v>142</v>
      </c>
      <c r="B380" s="40" t="s">
        <v>347</v>
      </c>
      <c r="C380" s="41" t="s">
        <v>163</v>
      </c>
      <c r="D380" s="40"/>
      <c r="E380" s="24"/>
      <c r="F380" s="39"/>
      <c r="G380" s="24">
        <v>9523808</v>
      </c>
      <c r="H380" s="23">
        <v>5.0000000000000001E-3</v>
      </c>
      <c r="I380" s="39">
        <v>44424</v>
      </c>
      <c r="J380" s="39">
        <v>44439</v>
      </c>
      <c r="K380" s="24">
        <f t="shared" si="26"/>
        <v>16</v>
      </c>
      <c r="L380" s="24">
        <f t="shared" si="27"/>
        <v>2087</v>
      </c>
      <c r="M380" s="24"/>
    </row>
    <row r="381" spans="1:13" s="5" customFormat="1" outlineLevel="2">
      <c r="A381" s="39" t="s">
        <v>142</v>
      </c>
      <c r="B381" s="40" t="s">
        <v>346</v>
      </c>
      <c r="C381" s="41" t="s">
        <v>163</v>
      </c>
      <c r="D381" s="40" t="s">
        <v>164</v>
      </c>
      <c r="E381" s="24">
        <v>40000000</v>
      </c>
      <c r="F381" s="39">
        <v>44315</v>
      </c>
      <c r="G381" s="24">
        <v>38571430</v>
      </c>
      <c r="H381" s="23">
        <v>5.0000000000000001E-3</v>
      </c>
      <c r="I381" s="39">
        <v>44409</v>
      </c>
      <c r="J381" s="39">
        <v>44423</v>
      </c>
      <c r="K381" s="24">
        <f t="shared" si="26"/>
        <v>15</v>
      </c>
      <c r="L381" s="24">
        <f t="shared" si="27"/>
        <v>7926</v>
      </c>
      <c r="M381" s="24">
        <v>38095240</v>
      </c>
    </row>
    <row r="382" spans="1:13" s="5" customFormat="1" outlineLevel="2">
      <c r="A382" s="39" t="s">
        <v>142</v>
      </c>
      <c r="B382" s="40" t="s">
        <v>346</v>
      </c>
      <c r="C382" s="41" t="s">
        <v>163</v>
      </c>
      <c r="D382" s="40"/>
      <c r="E382" s="24"/>
      <c r="F382" s="39"/>
      <c r="G382" s="24">
        <v>38095240</v>
      </c>
      <c r="H382" s="23">
        <v>5.0000000000000001E-3</v>
      </c>
      <c r="I382" s="39">
        <v>44424</v>
      </c>
      <c r="J382" s="39">
        <v>44439</v>
      </c>
      <c r="K382" s="24">
        <f t="shared" si="26"/>
        <v>16</v>
      </c>
      <c r="L382" s="24">
        <f t="shared" si="27"/>
        <v>8350</v>
      </c>
      <c r="M382" s="24"/>
    </row>
    <row r="383" spans="1:13" s="5" customFormat="1" outlineLevel="2">
      <c r="A383" s="39" t="s">
        <v>142</v>
      </c>
      <c r="B383" s="40" t="s">
        <v>373</v>
      </c>
      <c r="C383" s="41" t="s">
        <v>149</v>
      </c>
      <c r="D383" s="40" t="s">
        <v>150</v>
      </c>
      <c r="E383" s="24">
        <v>10752000</v>
      </c>
      <c r="F383" s="39">
        <v>44320</v>
      </c>
      <c r="G383" s="24">
        <v>10752000</v>
      </c>
      <c r="H383" s="23">
        <v>5.0000000000000001E-3</v>
      </c>
      <c r="I383" s="39">
        <v>44409</v>
      </c>
      <c r="J383" s="39">
        <v>44439</v>
      </c>
      <c r="K383" s="24">
        <f t="shared" si="26"/>
        <v>31</v>
      </c>
      <c r="L383" s="24">
        <f t="shared" si="27"/>
        <v>4566</v>
      </c>
      <c r="M383" s="24">
        <v>10752000</v>
      </c>
    </row>
    <row r="384" spans="1:13" s="5" customFormat="1" outlineLevel="2">
      <c r="A384" s="39" t="s">
        <v>142</v>
      </c>
      <c r="B384" s="40" t="s">
        <v>372</v>
      </c>
      <c r="C384" s="41" t="s">
        <v>149</v>
      </c>
      <c r="D384" s="40" t="s">
        <v>150</v>
      </c>
      <c r="E384" s="24">
        <v>4200000</v>
      </c>
      <c r="F384" s="39">
        <v>44320</v>
      </c>
      <c r="G384" s="24">
        <v>4200000</v>
      </c>
      <c r="H384" s="23">
        <v>5.0000000000000001E-3</v>
      </c>
      <c r="I384" s="39">
        <v>44409</v>
      </c>
      <c r="J384" s="39">
        <v>44439</v>
      </c>
      <c r="K384" s="24">
        <f t="shared" si="26"/>
        <v>31</v>
      </c>
      <c r="L384" s="24">
        <f t="shared" si="27"/>
        <v>1784</v>
      </c>
      <c r="M384" s="24">
        <v>4200000</v>
      </c>
    </row>
    <row r="385" spans="1:13" s="5" customFormat="1" outlineLevel="2">
      <c r="A385" s="39" t="s">
        <v>142</v>
      </c>
      <c r="B385" s="40" t="s">
        <v>32</v>
      </c>
      <c r="C385" s="41" t="s">
        <v>149</v>
      </c>
      <c r="D385" s="40" t="s">
        <v>150</v>
      </c>
      <c r="E385" s="24">
        <v>13104000</v>
      </c>
      <c r="F385" s="39">
        <v>43979</v>
      </c>
      <c r="G385" s="24">
        <v>13104000</v>
      </c>
      <c r="H385" s="23">
        <v>5.0000000000000001E-3</v>
      </c>
      <c r="I385" s="39">
        <v>44409</v>
      </c>
      <c r="J385" s="39">
        <v>44439</v>
      </c>
      <c r="K385" s="24">
        <f t="shared" si="26"/>
        <v>31</v>
      </c>
      <c r="L385" s="24">
        <f t="shared" si="27"/>
        <v>5565</v>
      </c>
      <c r="M385" s="24">
        <v>13104000</v>
      </c>
    </row>
    <row r="386" spans="1:13" s="5" customFormat="1" outlineLevel="2">
      <c r="A386" s="39" t="s">
        <v>142</v>
      </c>
      <c r="B386" s="40" t="s">
        <v>371</v>
      </c>
      <c r="C386" s="41" t="s">
        <v>149</v>
      </c>
      <c r="D386" s="40" t="s">
        <v>150</v>
      </c>
      <c r="E386" s="24">
        <v>4200000</v>
      </c>
      <c r="F386" s="39">
        <v>44320</v>
      </c>
      <c r="G386" s="24">
        <v>4200000</v>
      </c>
      <c r="H386" s="23">
        <v>5.0000000000000001E-3</v>
      </c>
      <c r="I386" s="39">
        <v>44409</v>
      </c>
      <c r="J386" s="39">
        <v>44439</v>
      </c>
      <c r="K386" s="24">
        <f t="shared" si="26"/>
        <v>31</v>
      </c>
      <c r="L386" s="24">
        <f t="shared" si="27"/>
        <v>1784</v>
      </c>
      <c r="M386" s="24">
        <v>4200000</v>
      </c>
    </row>
    <row r="387" spans="1:13" s="5" customFormat="1" outlineLevel="2">
      <c r="A387" s="39" t="s">
        <v>142</v>
      </c>
      <c r="B387" s="40" t="s">
        <v>370</v>
      </c>
      <c r="C387" s="41" t="s">
        <v>351</v>
      </c>
      <c r="D387" s="40" t="s">
        <v>350</v>
      </c>
      <c r="E387" s="24">
        <v>5100000</v>
      </c>
      <c r="F387" s="39">
        <v>44330</v>
      </c>
      <c r="G387" s="24">
        <v>5100000</v>
      </c>
      <c r="H387" s="23">
        <v>5.0000000000000001E-3</v>
      </c>
      <c r="I387" s="39">
        <v>44409</v>
      </c>
      <c r="J387" s="39">
        <v>44439</v>
      </c>
      <c r="K387" s="24">
        <f t="shared" si="26"/>
        <v>31</v>
      </c>
      <c r="L387" s="24">
        <f t="shared" si="27"/>
        <v>2166</v>
      </c>
      <c r="M387" s="24">
        <v>5100000</v>
      </c>
    </row>
    <row r="388" spans="1:13" s="5" customFormat="1" outlineLevel="2">
      <c r="A388" s="39" t="s">
        <v>142</v>
      </c>
      <c r="B388" s="40" t="s">
        <v>369</v>
      </c>
      <c r="C388" s="41" t="s">
        <v>149</v>
      </c>
      <c r="D388" s="40" t="s">
        <v>150</v>
      </c>
      <c r="E388" s="24">
        <v>100000000</v>
      </c>
      <c r="F388" s="39">
        <v>44335</v>
      </c>
      <c r="G388" s="24">
        <v>100000000</v>
      </c>
      <c r="H388" s="23">
        <v>5.0000000000000001E-3</v>
      </c>
      <c r="I388" s="39">
        <v>44409</v>
      </c>
      <c r="J388" s="39">
        <v>44439</v>
      </c>
      <c r="K388" s="24">
        <f t="shared" si="26"/>
        <v>31</v>
      </c>
      <c r="L388" s="24">
        <f t="shared" si="27"/>
        <v>42466</v>
      </c>
      <c r="M388" s="24">
        <v>100000000</v>
      </c>
    </row>
    <row r="389" spans="1:13" s="5" customFormat="1" outlineLevel="2">
      <c r="A389" s="39" t="s">
        <v>142</v>
      </c>
      <c r="B389" s="40" t="s">
        <v>368</v>
      </c>
      <c r="C389" s="41" t="s">
        <v>87</v>
      </c>
      <c r="D389" s="40" t="s">
        <v>88</v>
      </c>
      <c r="E389" s="24">
        <v>9464321</v>
      </c>
      <c r="F389" s="39">
        <v>44337</v>
      </c>
      <c r="G389" s="24">
        <v>9464321</v>
      </c>
      <c r="H389" s="23">
        <v>5.0000000000000001E-3</v>
      </c>
      <c r="I389" s="39">
        <v>44409</v>
      </c>
      <c r="J389" s="39">
        <v>44439</v>
      </c>
      <c r="K389" s="24">
        <f t="shared" si="26"/>
        <v>31</v>
      </c>
      <c r="L389" s="24">
        <f t="shared" si="27"/>
        <v>4019</v>
      </c>
      <c r="M389" s="24">
        <v>9464321</v>
      </c>
    </row>
    <row r="390" spans="1:13" s="5" customFormat="1" outlineLevel="2">
      <c r="A390" s="39" t="s">
        <v>142</v>
      </c>
      <c r="B390" s="40" t="s">
        <v>388</v>
      </c>
      <c r="C390" s="41" t="s">
        <v>149</v>
      </c>
      <c r="D390" s="40" t="s">
        <v>150</v>
      </c>
      <c r="E390" s="24">
        <v>3360000</v>
      </c>
      <c r="F390" s="39">
        <v>44350</v>
      </c>
      <c r="G390" s="24">
        <v>3360000</v>
      </c>
      <c r="H390" s="23">
        <v>5.0000000000000001E-3</v>
      </c>
      <c r="I390" s="39">
        <v>44409</v>
      </c>
      <c r="J390" s="39">
        <v>44439</v>
      </c>
      <c r="K390" s="24">
        <f t="shared" ref="K390:K421" si="28">J390-I390+1</f>
        <v>31</v>
      </c>
      <c r="L390" s="24">
        <f t="shared" ref="L390:L421" si="29">ROUND(G390*H390*K390/365,0)</f>
        <v>1427</v>
      </c>
      <c r="M390" s="24">
        <v>3360000</v>
      </c>
    </row>
    <row r="391" spans="1:13" s="5" customFormat="1" outlineLevel="2">
      <c r="A391" s="39" t="s">
        <v>142</v>
      </c>
      <c r="B391" s="40" t="s">
        <v>387</v>
      </c>
      <c r="C391" s="41" t="s">
        <v>149</v>
      </c>
      <c r="D391" s="40" t="s">
        <v>150</v>
      </c>
      <c r="E391" s="24">
        <v>3360000</v>
      </c>
      <c r="F391" s="39">
        <v>44350</v>
      </c>
      <c r="G391" s="24">
        <v>3360000</v>
      </c>
      <c r="H391" s="23">
        <v>5.0000000000000001E-3</v>
      </c>
      <c r="I391" s="39">
        <v>44409</v>
      </c>
      <c r="J391" s="39">
        <v>44439</v>
      </c>
      <c r="K391" s="24">
        <f t="shared" si="28"/>
        <v>31</v>
      </c>
      <c r="L391" s="24">
        <f t="shared" si="29"/>
        <v>1427</v>
      </c>
      <c r="M391" s="24">
        <v>3360000</v>
      </c>
    </row>
    <row r="392" spans="1:13" s="5" customFormat="1" outlineLevel="2">
      <c r="A392" s="39" t="s">
        <v>142</v>
      </c>
      <c r="B392" s="40" t="s">
        <v>386</v>
      </c>
      <c r="C392" s="41" t="s">
        <v>149</v>
      </c>
      <c r="D392" s="40" t="s">
        <v>150</v>
      </c>
      <c r="E392" s="24">
        <v>3326400</v>
      </c>
      <c r="F392" s="39">
        <v>44351</v>
      </c>
      <c r="G392" s="24">
        <v>3326400</v>
      </c>
      <c r="H392" s="23">
        <v>5.0000000000000001E-3</v>
      </c>
      <c r="I392" s="39">
        <v>44409</v>
      </c>
      <c r="J392" s="39">
        <v>44439</v>
      </c>
      <c r="K392" s="24">
        <f t="shared" si="28"/>
        <v>31</v>
      </c>
      <c r="L392" s="24">
        <f t="shared" si="29"/>
        <v>1413</v>
      </c>
      <c r="M392" s="24">
        <v>3326400</v>
      </c>
    </row>
    <row r="393" spans="1:13" s="5" customFormat="1" outlineLevel="2">
      <c r="A393" s="39" t="s">
        <v>142</v>
      </c>
      <c r="B393" s="40" t="s">
        <v>385</v>
      </c>
      <c r="C393" s="41" t="s">
        <v>149</v>
      </c>
      <c r="D393" s="40" t="s">
        <v>150</v>
      </c>
      <c r="E393" s="24">
        <v>150000000</v>
      </c>
      <c r="F393" s="39">
        <v>44354</v>
      </c>
      <c r="G393" s="24">
        <v>150000000</v>
      </c>
      <c r="H393" s="23">
        <v>5.0000000000000001E-3</v>
      </c>
      <c r="I393" s="39">
        <v>44409</v>
      </c>
      <c r="J393" s="39">
        <v>44439</v>
      </c>
      <c r="K393" s="24">
        <f t="shared" si="28"/>
        <v>31</v>
      </c>
      <c r="L393" s="24">
        <f t="shared" si="29"/>
        <v>63699</v>
      </c>
      <c r="M393" s="24">
        <v>150000000</v>
      </c>
    </row>
    <row r="394" spans="1:13" s="5" customFormat="1" outlineLevel="2">
      <c r="A394" s="39" t="s">
        <v>142</v>
      </c>
      <c r="B394" s="40" t="s">
        <v>384</v>
      </c>
      <c r="C394" s="41" t="s">
        <v>149</v>
      </c>
      <c r="D394" s="40" t="s">
        <v>150</v>
      </c>
      <c r="E394" s="24">
        <v>1663200</v>
      </c>
      <c r="F394" s="39">
        <v>44356</v>
      </c>
      <c r="G394" s="24">
        <v>1663200</v>
      </c>
      <c r="H394" s="23">
        <v>5.0000000000000001E-3</v>
      </c>
      <c r="I394" s="39">
        <v>44409</v>
      </c>
      <c r="J394" s="39">
        <v>44439</v>
      </c>
      <c r="K394" s="24">
        <f t="shared" si="28"/>
        <v>31</v>
      </c>
      <c r="L394" s="24">
        <f t="shared" si="29"/>
        <v>706</v>
      </c>
      <c r="M394" s="24">
        <v>1663200</v>
      </c>
    </row>
    <row r="395" spans="1:13" s="5" customFormat="1" outlineLevel="2">
      <c r="A395" s="39" t="s">
        <v>142</v>
      </c>
      <c r="B395" s="40" t="s">
        <v>383</v>
      </c>
      <c r="C395" s="41" t="s">
        <v>149</v>
      </c>
      <c r="D395" s="40" t="s">
        <v>150</v>
      </c>
      <c r="E395" s="24">
        <v>312002</v>
      </c>
      <c r="F395" s="39">
        <v>44358</v>
      </c>
      <c r="G395" s="24">
        <v>312002</v>
      </c>
      <c r="H395" s="23">
        <v>5.0000000000000001E-3</v>
      </c>
      <c r="I395" s="39">
        <v>44409</v>
      </c>
      <c r="J395" s="39">
        <v>44439</v>
      </c>
      <c r="K395" s="24">
        <f t="shared" si="28"/>
        <v>31</v>
      </c>
      <c r="L395" s="24">
        <f t="shared" si="29"/>
        <v>132</v>
      </c>
      <c r="M395" s="24">
        <v>312002</v>
      </c>
    </row>
    <row r="396" spans="1:13" s="5" customFormat="1" outlineLevel="2">
      <c r="A396" s="39" t="s">
        <v>142</v>
      </c>
      <c r="B396" s="40" t="s">
        <v>33</v>
      </c>
      <c r="C396" s="41" t="s">
        <v>89</v>
      </c>
      <c r="D396" s="40" t="s">
        <v>90</v>
      </c>
      <c r="E396" s="24">
        <v>6550000</v>
      </c>
      <c r="F396" s="39">
        <v>43993</v>
      </c>
      <c r="G396" s="24">
        <v>6550000</v>
      </c>
      <c r="H396" s="23">
        <v>5.0000000000000001E-3</v>
      </c>
      <c r="I396" s="39">
        <v>44409</v>
      </c>
      <c r="J396" s="39">
        <v>44439</v>
      </c>
      <c r="K396" s="24">
        <f t="shared" si="28"/>
        <v>31</v>
      </c>
      <c r="L396" s="24">
        <f t="shared" si="29"/>
        <v>2782</v>
      </c>
      <c r="M396" s="24">
        <v>6550000</v>
      </c>
    </row>
    <row r="397" spans="1:13" s="5" customFormat="1" outlineLevel="2">
      <c r="A397" s="39" t="s">
        <v>142</v>
      </c>
      <c r="B397" s="40" t="s">
        <v>382</v>
      </c>
      <c r="C397" s="41" t="s">
        <v>149</v>
      </c>
      <c r="D397" s="40" t="s">
        <v>150</v>
      </c>
      <c r="E397" s="24">
        <v>478800</v>
      </c>
      <c r="F397" s="39">
        <v>44358</v>
      </c>
      <c r="G397" s="24">
        <v>478800</v>
      </c>
      <c r="H397" s="23">
        <v>5.0000000000000001E-3</v>
      </c>
      <c r="I397" s="39">
        <v>44409</v>
      </c>
      <c r="J397" s="39">
        <v>44439</v>
      </c>
      <c r="K397" s="24">
        <f t="shared" si="28"/>
        <v>31</v>
      </c>
      <c r="L397" s="24">
        <f t="shared" si="29"/>
        <v>203</v>
      </c>
      <c r="M397" s="24">
        <v>478800</v>
      </c>
    </row>
    <row r="398" spans="1:13" s="5" customFormat="1" outlineLevel="2">
      <c r="A398" s="39" t="s">
        <v>142</v>
      </c>
      <c r="B398" s="40" t="s">
        <v>381</v>
      </c>
      <c r="C398" s="41" t="s">
        <v>149</v>
      </c>
      <c r="D398" s="40" t="s">
        <v>150</v>
      </c>
      <c r="E398" s="24">
        <v>70000000</v>
      </c>
      <c r="F398" s="39">
        <v>44362</v>
      </c>
      <c r="G398" s="24">
        <v>70000000</v>
      </c>
      <c r="H398" s="23">
        <v>5.0000000000000001E-3</v>
      </c>
      <c r="I398" s="39">
        <v>44409</v>
      </c>
      <c r="J398" s="39">
        <v>44439</v>
      </c>
      <c r="K398" s="24">
        <f t="shared" si="28"/>
        <v>31</v>
      </c>
      <c r="L398" s="24">
        <f t="shared" si="29"/>
        <v>29726</v>
      </c>
      <c r="M398" s="24">
        <v>70000000</v>
      </c>
    </row>
    <row r="399" spans="1:13" s="5" customFormat="1" outlineLevel="2">
      <c r="A399" s="39" t="s">
        <v>142</v>
      </c>
      <c r="B399" s="40" t="s">
        <v>380</v>
      </c>
      <c r="C399" s="41" t="s">
        <v>149</v>
      </c>
      <c r="D399" s="40" t="s">
        <v>150</v>
      </c>
      <c r="E399" s="24">
        <v>806400</v>
      </c>
      <c r="F399" s="39">
        <v>44376</v>
      </c>
      <c r="G399" s="24">
        <v>806400</v>
      </c>
      <c r="H399" s="23">
        <v>5.0000000000000001E-3</v>
      </c>
      <c r="I399" s="39">
        <v>44409</v>
      </c>
      <c r="J399" s="39">
        <v>44439</v>
      </c>
      <c r="K399" s="24">
        <f t="shared" si="28"/>
        <v>31</v>
      </c>
      <c r="L399" s="24">
        <f t="shared" si="29"/>
        <v>342</v>
      </c>
      <c r="M399" s="24">
        <v>806400</v>
      </c>
    </row>
    <row r="400" spans="1:13" s="5" customFormat="1" outlineLevel="2">
      <c r="A400" s="39" t="s">
        <v>142</v>
      </c>
      <c r="B400" s="40" t="s">
        <v>379</v>
      </c>
      <c r="C400" s="41" t="s">
        <v>89</v>
      </c>
      <c r="D400" s="40" t="s">
        <v>90</v>
      </c>
      <c r="E400" s="24">
        <v>34000000</v>
      </c>
      <c r="F400" s="39">
        <v>44369</v>
      </c>
      <c r="G400" s="24">
        <v>34000000</v>
      </c>
      <c r="H400" s="23">
        <v>5.0000000000000001E-3</v>
      </c>
      <c r="I400" s="39">
        <v>44409</v>
      </c>
      <c r="J400" s="39">
        <v>44439</v>
      </c>
      <c r="K400" s="24">
        <f t="shared" si="28"/>
        <v>31</v>
      </c>
      <c r="L400" s="24">
        <f t="shared" si="29"/>
        <v>14438</v>
      </c>
      <c r="M400" s="24">
        <v>34000000</v>
      </c>
    </row>
    <row r="401" spans="1:13" s="5" customFormat="1" outlineLevel="2">
      <c r="A401" s="39" t="s">
        <v>142</v>
      </c>
      <c r="B401" s="40" t="s">
        <v>378</v>
      </c>
      <c r="C401" s="41" t="s">
        <v>89</v>
      </c>
      <c r="D401" s="40" t="s">
        <v>90</v>
      </c>
      <c r="E401" s="24">
        <v>34000000</v>
      </c>
      <c r="F401" s="39">
        <v>44369</v>
      </c>
      <c r="G401" s="24">
        <v>34000000</v>
      </c>
      <c r="H401" s="23">
        <v>5.0000000000000001E-3</v>
      </c>
      <c r="I401" s="39">
        <v>44409</v>
      </c>
      <c r="J401" s="39">
        <v>44439</v>
      </c>
      <c r="K401" s="24">
        <f t="shared" si="28"/>
        <v>31</v>
      </c>
      <c r="L401" s="24">
        <f t="shared" si="29"/>
        <v>14438</v>
      </c>
      <c r="M401" s="24">
        <v>34000000</v>
      </c>
    </row>
    <row r="402" spans="1:13" s="5" customFormat="1" outlineLevel="2">
      <c r="A402" s="39" t="s">
        <v>142</v>
      </c>
      <c r="B402" s="40" t="s">
        <v>377</v>
      </c>
      <c r="C402" s="41" t="s">
        <v>219</v>
      </c>
      <c r="D402" s="40" t="s">
        <v>220</v>
      </c>
      <c r="E402" s="24">
        <v>35000000</v>
      </c>
      <c r="F402" s="39">
        <v>44371</v>
      </c>
      <c r="G402" s="24">
        <v>35000000</v>
      </c>
      <c r="H402" s="23">
        <v>5.0000000000000001E-3</v>
      </c>
      <c r="I402" s="39">
        <v>44409</v>
      </c>
      <c r="J402" s="39">
        <v>44439</v>
      </c>
      <c r="K402" s="24">
        <f t="shared" si="28"/>
        <v>31</v>
      </c>
      <c r="L402" s="24">
        <f t="shared" si="29"/>
        <v>14863</v>
      </c>
      <c r="M402" s="24">
        <v>35000000</v>
      </c>
    </row>
    <row r="403" spans="1:13" s="5" customFormat="1" outlineLevel="2">
      <c r="A403" s="39" t="s">
        <v>142</v>
      </c>
      <c r="B403" s="40" t="s">
        <v>376</v>
      </c>
      <c r="C403" s="41" t="s">
        <v>87</v>
      </c>
      <c r="D403" s="40" t="s">
        <v>88</v>
      </c>
      <c r="E403" s="24">
        <v>13481921</v>
      </c>
      <c r="F403" s="39">
        <v>44372</v>
      </c>
      <c r="G403" s="24">
        <v>13481921</v>
      </c>
      <c r="H403" s="23">
        <v>5.0000000000000001E-3</v>
      </c>
      <c r="I403" s="39">
        <v>44409</v>
      </c>
      <c r="J403" s="39">
        <v>44439</v>
      </c>
      <c r="K403" s="24">
        <f t="shared" si="28"/>
        <v>31</v>
      </c>
      <c r="L403" s="24">
        <f t="shared" si="29"/>
        <v>5725</v>
      </c>
      <c r="M403" s="24">
        <v>13481921</v>
      </c>
    </row>
    <row r="404" spans="1:13" s="5" customFormat="1" outlineLevel="2">
      <c r="A404" s="39" t="s">
        <v>142</v>
      </c>
      <c r="B404" s="40" t="s">
        <v>375</v>
      </c>
      <c r="C404" s="41" t="s">
        <v>87</v>
      </c>
      <c r="D404" s="40" t="s">
        <v>88</v>
      </c>
      <c r="E404" s="24">
        <v>21053378</v>
      </c>
      <c r="F404" s="39">
        <v>44372</v>
      </c>
      <c r="G404" s="24">
        <v>21053378</v>
      </c>
      <c r="H404" s="23">
        <v>5.0000000000000001E-3</v>
      </c>
      <c r="I404" s="39">
        <v>44409</v>
      </c>
      <c r="J404" s="39">
        <v>44439</v>
      </c>
      <c r="K404" s="24">
        <f t="shared" si="28"/>
        <v>31</v>
      </c>
      <c r="L404" s="24">
        <f t="shared" si="29"/>
        <v>8940</v>
      </c>
      <c r="M404" s="24">
        <v>21053378</v>
      </c>
    </row>
    <row r="405" spans="1:13" s="5" customFormat="1" outlineLevel="2">
      <c r="A405" s="39" t="s">
        <v>142</v>
      </c>
      <c r="B405" s="40" t="s">
        <v>396</v>
      </c>
      <c r="C405" s="41" t="s">
        <v>187</v>
      </c>
      <c r="D405" s="40" t="s">
        <v>188</v>
      </c>
      <c r="E405" s="24">
        <v>66500000</v>
      </c>
      <c r="F405" s="39">
        <v>44379</v>
      </c>
      <c r="G405" s="24">
        <v>66500000</v>
      </c>
      <c r="H405" s="23">
        <v>5.0000000000000001E-3</v>
      </c>
      <c r="I405" s="39">
        <v>44409</v>
      </c>
      <c r="J405" s="39">
        <v>44439</v>
      </c>
      <c r="K405" s="24">
        <f t="shared" si="28"/>
        <v>31</v>
      </c>
      <c r="L405" s="24">
        <f t="shared" si="29"/>
        <v>28240</v>
      </c>
      <c r="M405" s="24">
        <v>66500000</v>
      </c>
    </row>
    <row r="406" spans="1:13" s="5" customFormat="1" outlineLevel="2">
      <c r="A406" s="39" t="s">
        <v>142</v>
      </c>
      <c r="B406" s="40" t="s">
        <v>395</v>
      </c>
      <c r="C406" s="41" t="s">
        <v>149</v>
      </c>
      <c r="D406" s="40" t="s">
        <v>150</v>
      </c>
      <c r="E406" s="24">
        <v>840000</v>
      </c>
      <c r="F406" s="39">
        <v>44379</v>
      </c>
      <c r="G406" s="24">
        <v>840000</v>
      </c>
      <c r="H406" s="23">
        <v>5.0000000000000001E-3</v>
      </c>
      <c r="I406" s="39">
        <v>44409</v>
      </c>
      <c r="J406" s="39">
        <v>44439</v>
      </c>
      <c r="K406" s="24">
        <f t="shared" si="28"/>
        <v>31</v>
      </c>
      <c r="L406" s="24">
        <f t="shared" si="29"/>
        <v>357</v>
      </c>
      <c r="M406" s="24">
        <v>840000</v>
      </c>
    </row>
    <row r="407" spans="1:13" s="5" customFormat="1" outlineLevel="2">
      <c r="A407" s="39" t="s">
        <v>142</v>
      </c>
      <c r="B407" s="40" t="s">
        <v>34</v>
      </c>
      <c r="C407" s="41" t="s">
        <v>89</v>
      </c>
      <c r="D407" s="40" t="s">
        <v>90</v>
      </c>
      <c r="E407" s="24">
        <v>19710000</v>
      </c>
      <c r="F407" s="39">
        <v>43993</v>
      </c>
      <c r="G407" s="24">
        <v>19710000</v>
      </c>
      <c r="H407" s="23">
        <v>5.0000000000000001E-3</v>
      </c>
      <c r="I407" s="39">
        <v>44409</v>
      </c>
      <c r="J407" s="39">
        <v>44439</v>
      </c>
      <c r="K407" s="24">
        <f t="shared" si="28"/>
        <v>31</v>
      </c>
      <c r="L407" s="24">
        <f t="shared" si="29"/>
        <v>8370</v>
      </c>
      <c r="M407" s="24">
        <v>19710000</v>
      </c>
    </row>
    <row r="408" spans="1:13" s="5" customFormat="1" outlineLevel="2">
      <c r="A408" s="39" t="s">
        <v>142</v>
      </c>
      <c r="B408" s="40" t="s">
        <v>394</v>
      </c>
      <c r="C408" s="41" t="s">
        <v>149</v>
      </c>
      <c r="D408" s="40" t="s">
        <v>150</v>
      </c>
      <c r="E408" s="24">
        <v>840000</v>
      </c>
      <c r="F408" s="39">
        <v>44379</v>
      </c>
      <c r="G408" s="24">
        <v>840000</v>
      </c>
      <c r="H408" s="23">
        <v>5.0000000000000001E-3</v>
      </c>
      <c r="I408" s="39">
        <v>44409</v>
      </c>
      <c r="J408" s="39">
        <v>44439</v>
      </c>
      <c r="K408" s="24">
        <f t="shared" si="28"/>
        <v>31</v>
      </c>
      <c r="L408" s="24">
        <f t="shared" si="29"/>
        <v>357</v>
      </c>
      <c r="M408" s="24">
        <v>840000</v>
      </c>
    </row>
    <row r="409" spans="1:13" s="5" customFormat="1" outlineLevel="2">
      <c r="A409" s="39" t="s">
        <v>142</v>
      </c>
      <c r="B409" s="40" t="s">
        <v>393</v>
      </c>
      <c r="C409" s="41" t="s">
        <v>149</v>
      </c>
      <c r="D409" s="40" t="s">
        <v>150</v>
      </c>
      <c r="E409" s="24">
        <v>1646400</v>
      </c>
      <c r="F409" s="39">
        <v>44384</v>
      </c>
      <c r="G409" s="24">
        <v>1646400</v>
      </c>
      <c r="H409" s="23">
        <v>5.0000000000000001E-3</v>
      </c>
      <c r="I409" s="39">
        <v>44409</v>
      </c>
      <c r="J409" s="39">
        <v>44439</v>
      </c>
      <c r="K409" s="24">
        <f t="shared" si="28"/>
        <v>31</v>
      </c>
      <c r="L409" s="24">
        <f t="shared" si="29"/>
        <v>699</v>
      </c>
      <c r="M409" s="24">
        <v>1646400</v>
      </c>
    </row>
    <row r="410" spans="1:13" s="5" customFormat="1" outlineLevel="2">
      <c r="A410" s="39" t="s">
        <v>142</v>
      </c>
      <c r="B410" s="40" t="s">
        <v>392</v>
      </c>
      <c r="C410" s="41" t="s">
        <v>149</v>
      </c>
      <c r="D410" s="40" t="s">
        <v>150</v>
      </c>
      <c r="E410" s="24">
        <v>1092000</v>
      </c>
      <c r="F410" s="39">
        <v>44407</v>
      </c>
      <c r="G410" s="24">
        <v>1092000</v>
      </c>
      <c r="H410" s="23">
        <v>5.0000000000000001E-3</v>
      </c>
      <c r="I410" s="39">
        <v>44409</v>
      </c>
      <c r="J410" s="39">
        <v>44439</v>
      </c>
      <c r="K410" s="24">
        <f t="shared" si="28"/>
        <v>31</v>
      </c>
      <c r="L410" s="24">
        <f t="shared" si="29"/>
        <v>464</v>
      </c>
      <c r="M410" s="24">
        <v>1092000</v>
      </c>
    </row>
    <row r="411" spans="1:13" s="5" customFormat="1" outlineLevel="2">
      <c r="A411" s="39" t="s">
        <v>142</v>
      </c>
      <c r="B411" s="40" t="s">
        <v>391</v>
      </c>
      <c r="C411" s="41" t="s">
        <v>149</v>
      </c>
      <c r="D411" s="40" t="s">
        <v>150</v>
      </c>
      <c r="E411" s="24">
        <v>430080</v>
      </c>
      <c r="F411" s="39">
        <v>44407</v>
      </c>
      <c r="G411" s="24">
        <v>430080</v>
      </c>
      <c r="H411" s="23">
        <v>5.0000000000000001E-3</v>
      </c>
      <c r="I411" s="39">
        <v>44409</v>
      </c>
      <c r="J411" s="39">
        <v>44439</v>
      </c>
      <c r="K411" s="24">
        <f t="shared" si="28"/>
        <v>31</v>
      </c>
      <c r="L411" s="24">
        <f t="shared" si="29"/>
        <v>183</v>
      </c>
      <c r="M411" s="24">
        <v>430080</v>
      </c>
    </row>
    <row r="412" spans="1:13" s="5" customFormat="1" outlineLevel="2">
      <c r="A412" s="39" t="s">
        <v>142</v>
      </c>
      <c r="B412" s="40" t="s">
        <v>390</v>
      </c>
      <c r="C412" s="41" t="s">
        <v>125</v>
      </c>
      <c r="D412" s="40" t="s">
        <v>126</v>
      </c>
      <c r="E412" s="24">
        <v>7000000</v>
      </c>
      <c r="F412" s="39">
        <v>44389</v>
      </c>
      <c r="G412" s="24">
        <v>7000000</v>
      </c>
      <c r="H412" s="23">
        <v>5.0000000000000001E-3</v>
      </c>
      <c r="I412" s="39">
        <v>44409</v>
      </c>
      <c r="J412" s="39">
        <v>44439</v>
      </c>
      <c r="K412" s="24">
        <f t="shared" si="28"/>
        <v>31</v>
      </c>
      <c r="L412" s="24">
        <f t="shared" si="29"/>
        <v>2973</v>
      </c>
      <c r="M412" s="24">
        <v>7000000</v>
      </c>
    </row>
    <row r="413" spans="1:13" s="5" customFormat="1" outlineLevel="2">
      <c r="A413" s="39" t="s">
        <v>142</v>
      </c>
      <c r="B413" s="40" t="s">
        <v>389</v>
      </c>
      <c r="C413" s="41" t="s">
        <v>87</v>
      </c>
      <c r="D413" s="40" t="s">
        <v>88</v>
      </c>
      <c r="E413" s="24">
        <v>13481921</v>
      </c>
      <c r="F413" s="39">
        <v>44403</v>
      </c>
      <c r="G413" s="24">
        <v>13481921</v>
      </c>
      <c r="H413" s="23">
        <v>5.0000000000000001E-3</v>
      </c>
      <c r="I413" s="39">
        <v>44409</v>
      </c>
      <c r="J413" s="39">
        <v>44439</v>
      </c>
      <c r="K413" s="24">
        <f t="shared" si="28"/>
        <v>31</v>
      </c>
      <c r="L413" s="24">
        <f t="shared" si="29"/>
        <v>5725</v>
      </c>
      <c r="M413" s="24">
        <v>13481921</v>
      </c>
    </row>
    <row r="414" spans="1:13" s="5" customFormat="1" outlineLevel="2">
      <c r="A414" s="39" t="s">
        <v>142</v>
      </c>
      <c r="B414" s="40" t="s">
        <v>402</v>
      </c>
      <c r="C414" s="41" t="s">
        <v>149</v>
      </c>
      <c r="D414" s="40" t="s">
        <v>150</v>
      </c>
      <c r="E414" s="24">
        <v>40666</v>
      </c>
      <c r="F414" s="39">
        <v>44417</v>
      </c>
      <c r="G414" s="24">
        <v>40666</v>
      </c>
      <c r="H414" s="23">
        <v>5.0000000000000001E-3</v>
      </c>
      <c r="I414" s="39">
        <v>44417</v>
      </c>
      <c r="J414" s="39">
        <v>44439</v>
      </c>
      <c r="K414" s="24">
        <f t="shared" si="28"/>
        <v>23</v>
      </c>
      <c r="L414" s="24">
        <f t="shared" si="29"/>
        <v>13</v>
      </c>
      <c r="M414" s="24">
        <v>40666</v>
      </c>
    </row>
    <row r="415" spans="1:13" s="5" customFormat="1" outlineLevel="2">
      <c r="A415" s="39" t="s">
        <v>142</v>
      </c>
      <c r="B415" s="40" t="s">
        <v>401</v>
      </c>
      <c r="C415" s="41" t="s">
        <v>149</v>
      </c>
      <c r="D415" s="40" t="s">
        <v>150</v>
      </c>
      <c r="E415" s="24">
        <v>160704</v>
      </c>
      <c r="F415" s="39">
        <v>44435</v>
      </c>
      <c r="G415" s="24">
        <v>160704</v>
      </c>
      <c r="H415" s="23">
        <v>5.0000000000000001E-3</v>
      </c>
      <c r="I415" s="39">
        <v>44435</v>
      </c>
      <c r="J415" s="39">
        <v>44439</v>
      </c>
      <c r="K415" s="24">
        <f t="shared" si="28"/>
        <v>5</v>
      </c>
      <c r="L415" s="24">
        <f t="shared" si="29"/>
        <v>11</v>
      </c>
      <c r="M415" s="24">
        <v>160704</v>
      </c>
    </row>
    <row r="416" spans="1:13" s="5" customFormat="1" outlineLevel="2">
      <c r="A416" s="39" t="s">
        <v>142</v>
      </c>
      <c r="B416" s="40" t="s">
        <v>400</v>
      </c>
      <c r="C416" s="41" t="s">
        <v>149</v>
      </c>
      <c r="D416" s="40" t="s">
        <v>150</v>
      </c>
      <c r="E416" s="24">
        <v>1302000</v>
      </c>
      <c r="F416" s="39">
        <v>44438</v>
      </c>
      <c r="G416" s="24">
        <v>1302000</v>
      </c>
      <c r="H416" s="23">
        <v>5.0000000000000001E-3</v>
      </c>
      <c r="I416" s="39">
        <v>44438</v>
      </c>
      <c r="J416" s="39">
        <v>44439</v>
      </c>
      <c r="K416" s="24">
        <f t="shared" si="28"/>
        <v>2</v>
      </c>
      <c r="L416" s="24">
        <f t="shared" si="29"/>
        <v>36</v>
      </c>
      <c r="M416" s="24">
        <v>1302000</v>
      </c>
    </row>
    <row r="417" spans="1:13" s="5" customFormat="1" outlineLevel="2">
      <c r="A417" s="39" t="s">
        <v>142</v>
      </c>
      <c r="B417" s="40" t="s">
        <v>399</v>
      </c>
      <c r="C417" s="41" t="s">
        <v>219</v>
      </c>
      <c r="D417" s="40" t="s">
        <v>220</v>
      </c>
      <c r="E417" s="24">
        <v>40000000</v>
      </c>
      <c r="F417" s="39">
        <v>44432</v>
      </c>
      <c r="G417" s="24">
        <v>40000000</v>
      </c>
      <c r="H417" s="23">
        <v>5.0000000000000001E-3</v>
      </c>
      <c r="I417" s="39">
        <v>44432</v>
      </c>
      <c r="J417" s="39">
        <v>44439</v>
      </c>
      <c r="K417" s="24">
        <f t="shared" si="28"/>
        <v>8</v>
      </c>
      <c r="L417" s="24">
        <f t="shared" si="29"/>
        <v>4384</v>
      </c>
      <c r="M417" s="24">
        <v>40000000</v>
      </c>
    </row>
    <row r="418" spans="1:13" s="5" customFormat="1" outlineLevel="2">
      <c r="A418" s="39" t="s">
        <v>142</v>
      </c>
      <c r="B418" s="40" t="s">
        <v>35</v>
      </c>
      <c r="C418" s="41" t="s">
        <v>89</v>
      </c>
      <c r="D418" s="40" t="s">
        <v>90</v>
      </c>
      <c r="E418" s="24">
        <v>16860000</v>
      </c>
      <c r="F418" s="39">
        <v>43993</v>
      </c>
      <c r="G418" s="24">
        <v>16860000</v>
      </c>
      <c r="H418" s="23">
        <v>5.0000000000000001E-3</v>
      </c>
      <c r="I418" s="39">
        <v>44409</v>
      </c>
      <c r="J418" s="39">
        <v>44439</v>
      </c>
      <c r="K418" s="24">
        <f t="shared" si="28"/>
        <v>31</v>
      </c>
      <c r="L418" s="24">
        <f t="shared" si="29"/>
        <v>7160</v>
      </c>
      <c r="M418" s="24">
        <v>16860000</v>
      </c>
    </row>
    <row r="419" spans="1:13" s="5" customFormat="1" outlineLevel="2">
      <c r="A419" s="39" t="s">
        <v>142</v>
      </c>
      <c r="B419" s="40" t="s">
        <v>36</v>
      </c>
      <c r="C419" s="41" t="s">
        <v>161</v>
      </c>
      <c r="D419" s="40" t="s">
        <v>162</v>
      </c>
      <c r="E419" s="24">
        <v>240000000</v>
      </c>
      <c r="F419" s="39">
        <v>44000</v>
      </c>
      <c r="G419" s="24">
        <v>240000000</v>
      </c>
      <c r="H419" s="23">
        <v>5.0000000000000001E-3</v>
      </c>
      <c r="I419" s="39">
        <v>44409</v>
      </c>
      <c r="J419" s="39">
        <v>44439</v>
      </c>
      <c r="K419" s="24">
        <f t="shared" si="28"/>
        <v>31</v>
      </c>
      <c r="L419" s="24">
        <f t="shared" si="29"/>
        <v>101918</v>
      </c>
      <c r="M419" s="24">
        <v>240000000</v>
      </c>
    </row>
    <row r="420" spans="1:13" s="5" customFormat="1" outlineLevel="2">
      <c r="A420" s="39" t="s">
        <v>142</v>
      </c>
      <c r="B420" s="40" t="s">
        <v>39</v>
      </c>
      <c r="C420" s="41" t="s">
        <v>143</v>
      </c>
      <c r="D420" s="40" t="s">
        <v>144</v>
      </c>
      <c r="E420" s="24">
        <v>57000000</v>
      </c>
      <c r="F420" s="39">
        <v>43822</v>
      </c>
      <c r="G420" s="24">
        <v>57000000</v>
      </c>
      <c r="H420" s="23">
        <v>5.0000000000000001E-3</v>
      </c>
      <c r="I420" s="39">
        <v>44409</v>
      </c>
      <c r="J420" s="39">
        <v>44439</v>
      </c>
      <c r="K420" s="24">
        <f t="shared" si="28"/>
        <v>31</v>
      </c>
      <c r="L420" s="24">
        <f t="shared" si="29"/>
        <v>24205</v>
      </c>
      <c r="M420" s="24">
        <v>57000000</v>
      </c>
    </row>
    <row r="421" spans="1:13" s="5" customFormat="1" outlineLevel="2">
      <c r="A421" s="39" t="s">
        <v>142</v>
      </c>
      <c r="B421" s="40" t="s">
        <v>40</v>
      </c>
      <c r="C421" s="41" t="s">
        <v>123</v>
      </c>
      <c r="D421" s="40" t="s">
        <v>124</v>
      </c>
      <c r="E421" s="24">
        <v>55000000</v>
      </c>
      <c r="F421" s="39">
        <v>44001</v>
      </c>
      <c r="G421" s="24">
        <v>55000000</v>
      </c>
      <c r="H421" s="23">
        <v>5.0000000000000001E-3</v>
      </c>
      <c r="I421" s="39">
        <v>44409</v>
      </c>
      <c r="J421" s="39">
        <v>44439</v>
      </c>
      <c r="K421" s="24">
        <f t="shared" si="28"/>
        <v>31</v>
      </c>
      <c r="L421" s="24">
        <f t="shared" si="29"/>
        <v>23356</v>
      </c>
      <c r="M421" s="24">
        <v>55000000</v>
      </c>
    </row>
    <row r="422" spans="1:13" s="5" customFormat="1" outlineLevel="2">
      <c r="A422" s="39" t="s">
        <v>142</v>
      </c>
      <c r="B422" s="40" t="s">
        <v>41</v>
      </c>
      <c r="C422" s="41" t="s">
        <v>87</v>
      </c>
      <c r="D422" s="40" t="s">
        <v>88</v>
      </c>
      <c r="E422" s="24">
        <v>8907064</v>
      </c>
      <c r="F422" s="39">
        <v>44006</v>
      </c>
      <c r="G422" s="24">
        <v>8907064</v>
      </c>
      <c r="H422" s="23">
        <v>5.0000000000000001E-3</v>
      </c>
      <c r="I422" s="39">
        <v>44409</v>
      </c>
      <c r="J422" s="39">
        <v>44439</v>
      </c>
      <c r="K422" s="24">
        <f t="shared" ref="K422:K453" si="30">J422-I422+1</f>
        <v>31</v>
      </c>
      <c r="L422" s="24">
        <f t="shared" ref="L422:L453" si="31">ROUND(G422*H422*K422/365,0)</f>
        <v>3782</v>
      </c>
      <c r="M422" s="24">
        <v>8907064</v>
      </c>
    </row>
    <row r="423" spans="1:13" s="5" customFormat="1" outlineLevel="2">
      <c r="A423" s="39" t="s">
        <v>142</v>
      </c>
      <c r="B423" s="40" t="s">
        <v>42</v>
      </c>
      <c r="C423" s="41" t="s">
        <v>149</v>
      </c>
      <c r="D423" s="40" t="s">
        <v>150</v>
      </c>
      <c r="E423" s="24">
        <v>7560000</v>
      </c>
      <c r="F423" s="39">
        <v>44018</v>
      </c>
      <c r="G423" s="24">
        <v>7560000</v>
      </c>
      <c r="H423" s="23">
        <v>5.0000000000000001E-3</v>
      </c>
      <c r="I423" s="39">
        <v>44409</v>
      </c>
      <c r="J423" s="39">
        <v>44439</v>
      </c>
      <c r="K423" s="24">
        <f t="shared" si="30"/>
        <v>31</v>
      </c>
      <c r="L423" s="24">
        <f t="shared" si="31"/>
        <v>3210</v>
      </c>
      <c r="M423" s="24">
        <v>7560000</v>
      </c>
    </row>
    <row r="424" spans="1:13" s="5" customFormat="1" outlineLevel="2">
      <c r="A424" s="39" t="s">
        <v>142</v>
      </c>
      <c r="B424" s="40" t="s">
        <v>43</v>
      </c>
      <c r="C424" s="41" t="s">
        <v>143</v>
      </c>
      <c r="D424" s="40" t="s">
        <v>144</v>
      </c>
      <c r="E424" s="24">
        <v>38000000</v>
      </c>
      <c r="F424" s="39">
        <v>44022</v>
      </c>
      <c r="G424" s="24">
        <v>38000000</v>
      </c>
      <c r="H424" s="23">
        <v>5.0000000000000001E-3</v>
      </c>
      <c r="I424" s="39">
        <v>44409</v>
      </c>
      <c r="J424" s="39">
        <v>44439</v>
      </c>
      <c r="K424" s="24">
        <f t="shared" si="30"/>
        <v>31</v>
      </c>
      <c r="L424" s="24">
        <f t="shared" si="31"/>
        <v>16137</v>
      </c>
      <c r="M424" s="24">
        <v>38000000</v>
      </c>
    </row>
    <row r="425" spans="1:13" s="5" customFormat="1" outlineLevel="2">
      <c r="A425" s="39" t="s">
        <v>142</v>
      </c>
      <c r="B425" s="40" t="s">
        <v>44</v>
      </c>
      <c r="C425" s="41" t="s">
        <v>143</v>
      </c>
      <c r="D425" s="40" t="s">
        <v>144</v>
      </c>
      <c r="E425" s="24">
        <v>10500000</v>
      </c>
      <c r="F425" s="39">
        <v>44022</v>
      </c>
      <c r="G425" s="24">
        <v>10500000</v>
      </c>
      <c r="H425" s="23">
        <v>5.0000000000000001E-3</v>
      </c>
      <c r="I425" s="39">
        <v>44409</v>
      </c>
      <c r="J425" s="39">
        <v>44439</v>
      </c>
      <c r="K425" s="24">
        <f t="shared" si="30"/>
        <v>31</v>
      </c>
      <c r="L425" s="24">
        <f t="shared" si="31"/>
        <v>4459</v>
      </c>
      <c r="M425" s="24">
        <v>10500000</v>
      </c>
    </row>
    <row r="426" spans="1:13" s="5" customFormat="1" outlineLevel="2">
      <c r="A426" s="39" t="s">
        <v>142</v>
      </c>
      <c r="B426" s="40" t="s">
        <v>47</v>
      </c>
      <c r="C426" s="41" t="s">
        <v>163</v>
      </c>
      <c r="D426" s="40" t="s">
        <v>164</v>
      </c>
      <c r="E426" s="24">
        <v>72000000</v>
      </c>
      <c r="F426" s="39">
        <v>44025</v>
      </c>
      <c r="G426" s="24">
        <v>64739496</v>
      </c>
      <c r="H426" s="23">
        <v>5.0000000000000001E-3</v>
      </c>
      <c r="I426" s="39">
        <v>44409</v>
      </c>
      <c r="J426" s="39">
        <v>44423</v>
      </c>
      <c r="K426" s="24">
        <f t="shared" si="30"/>
        <v>15</v>
      </c>
      <c r="L426" s="24">
        <f t="shared" si="31"/>
        <v>13303</v>
      </c>
      <c r="M426" s="24">
        <v>64134454</v>
      </c>
    </row>
    <row r="427" spans="1:13" s="5" customFormat="1" outlineLevel="2">
      <c r="A427" s="39" t="s">
        <v>142</v>
      </c>
      <c r="B427" s="40" t="s">
        <v>47</v>
      </c>
      <c r="C427" s="41" t="s">
        <v>163</v>
      </c>
      <c r="D427" s="40"/>
      <c r="E427" s="24"/>
      <c r="F427" s="39"/>
      <c r="G427" s="24">
        <v>64134454</v>
      </c>
      <c r="H427" s="23">
        <v>5.0000000000000001E-3</v>
      </c>
      <c r="I427" s="39">
        <v>44424</v>
      </c>
      <c r="J427" s="39">
        <v>44439</v>
      </c>
      <c r="K427" s="24">
        <f t="shared" si="30"/>
        <v>16</v>
      </c>
      <c r="L427" s="24">
        <f t="shared" si="31"/>
        <v>14057</v>
      </c>
      <c r="M427" s="24"/>
    </row>
    <row r="428" spans="1:13" s="5" customFormat="1" outlineLevel="2">
      <c r="A428" s="39" t="s">
        <v>142</v>
      </c>
      <c r="B428" s="40" t="s">
        <v>50</v>
      </c>
      <c r="C428" s="41" t="s">
        <v>97</v>
      </c>
      <c r="D428" s="40" t="s">
        <v>98</v>
      </c>
      <c r="E428" s="24">
        <v>87500000</v>
      </c>
      <c r="F428" s="39">
        <v>44027</v>
      </c>
      <c r="G428" s="24">
        <v>87500000</v>
      </c>
      <c r="H428" s="23">
        <v>5.0000000000000001E-3</v>
      </c>
      <c r="I428" s="39">
        <v>44409</v>
      </c>
      <c r="J428" s="39">
        <v>44439</v>
      </c>
      <c r="K428" s="24">
        <f t="shared" si="30"/>
        <v>31</v>
      </c>
      <c r="L428" s="24">
        <f t="shared" si="31"/>
        <v>37158</v>
      </c>
      <c r="M428" s="24">
        <v>87500000</v>
      </c>
    </row>
    <row r="429" spans="1:13" s="5" customFormat="1" outlineLevel="2">
      <c r="A429" s="39" t="s">
        <v>142</v>
      </c>
      <c r="B429" s="40" t="s">
        <v>51</v>
      </c>
      <c r="C429" s="41" t="s">
        <v>165</v>
      </c>
      <c r="D429" s="40" t="s">
        <v>166</v>
      </c>
      <c r="E429" s="24">
        <v>84000000</v>
      </c>
      <c r="F429" s="39">
        <v>44027</v>
      </c>
      <c r="G429" s="24">
        <v>84000000</v>
      </c>
      <c r="H429" s="23">
        <v>5.0000000000000001E-3</v>
      </c>
      <c r="I429" s="39">
        <v>44409</v>
      </c>
      <c r="J429" s="39">
        <v>44423</v>
      </c>
      <c r="K429" s="24">
        <f t="shared" si="30"/>
        <v>15</v>
      </c>
      <c r="L429" s="24">
        <f t="shared" si="31"/>
        <v>17260</v>
      </c>
      <c r="M429" s="24">
        <v>80500000</v>
      </c>
    </row>
    <row r="430" spans="1:13" s="5" customFormat="1" outlineLevel="2">
      <c r="A430" s="39" t="s">
        <v>142</v>
      </c>
      <c r="B430" s="40" t="s">
        <v>51</v>
      </c>
      <c r="C430" s="41" t="s">
        <v>165</v>
      </c>
      <c r="D430" s="40"/>
      <c r="E430" s="24"/>
      <c r="F430" s="39"/>
      <c r="G430" s="24">
        <v>80500000</v>
      </c>
      <c r="H430" s="23">
        <v>5.0000000000000001E-3</v>
      </c>
      <c r="I430" s="39">
        <v>44424</v>
      </c>
      <c r="J430" s="39">
        <v>44439</v>
      </c>
      <c r="K430" s="24">
        <f t="shared" si="30"/>
        <v>16</v>
      </c>
      <c r="L430" s="24">
        <f t="shared" si="31"/>
        <v>17644</v>
      </c>
      <c r="M430" s="24"/>
    </row>
    <row r="431" spans="1:13" s="5" customFormat="1" outlineLevel="2">
      <c r="A431" s="39" t="s">
        <v>142</v>
      </c>
      <c r="B431" s="40" t="s">
        <v>52</v>
      </c>
      <c r="C431" s="41" t="s">
        <v>30</v>
      </c>
      <c r="D431" s="40" t="s">
        <v>31</v>
      </c>
      <c r="E431" s="24">
        <v>12230000</v>
      </c>
      <c r="F431" s="39">
        <v>44034</v>
      </c>
      <c r="G431" s="24">
        <v>12230000</v>
      </c>
      <c r="H431" s="23">
        <v>5.0000000000000001E-3</v>
      </c>
      <c r="I431" s="39">
        <v>44409</v>
      </c>
      <c r="J431" s="39">
        <v>44439</v>
      </c>
      <c r="K431" s="24">
        <f t="shared" si="30"/>
        <v>31</v>
      </c>
      <c r="L431" s="24">
        <f t="shared" si="31"/>
        <v>5194</v>
      </c>
      <c r="M431" s="24">
        <v>12230000</v>
      </c>
    </row>
    <row r="432" spans="1:13" s="5" customFormat="1" outlineLevel="2">
      <c r="A432" s="39" t="s">
        <v>142</v>
      </c>
      <c r="B432" s="40" t="s">
        <v>53</v>
      </c>
      <c r="C432" s="41" t="s">
        <v>123</v>
      </c>
      <c r="D432" s="40" t="s">
        <v>124</v>
      </c>
      <c r="E432" s="24">
        <v>40000000</v>
      </c>
      <c r="F432" s="39">
        <v>44040</v>
      </c>
      <c r="G432" s="24">
        <v>40000000</v>
      </c>
      <c r="H432" s="23">
        <v>5.0000000000000001E-3</v>
      </c>
      <c r="I432" s="39">
        <v>44409</v>
      </c>
      <c r="J432" s="39">
        <v>44439</v>
      </c>
      <c r="K432" s="24">
        <f t="shared" si="30"/>
        <v>31</v>
      </c>
      <c r="L432" s="24">
        <f t="shared" si="31"/>
        <v>16986</v>
      </c>
      <c r="M432" s="24">
        <v>40000000</v>
      </c>
    </row>
    <row r="433" spans="1:13" s="5" customFormat="1" outlineLevel="2">
      <c r="A433" s="39" t="s">
        <v>142</v>
      </c>
      <c r="B433" s="40" t="s">
        <v>54</v>
      </c>
      <c r="C433" s="41" t="s">
        <v>121</v>
      </c>
      <c r="D433" s="40" t="s">
        <v>122</v>
      </c>
      <c r="E433" s="24">
        <v>171000000</v>
      </c>
      <c r="F433" s="39">
        <v>43822</v>
      </c>
      <c r="G433" s="24">
        <v>171000000</v>
      </c>
      <c r="H433" s="23">
        <v>5.0000000000000001E-3</v>
      </c>
      <c r="I433" s="39">
        <v>44409</v>
      </c>
      <c r="J433" s="39">
        <v>44439</v>
      </c>
      <c r="K433" s="24">
        <f t="shared" si="30"/>
        <v>31</v>
      </c>
      <c r="L433" s="24">
        <f t="shared" si="31"/>
        <v>72616</v>
      </c>
      <c r="M433" s="24">
        <v>171000000</v>
      </c>
    </row>
    <row r="434" spans="1:13" s="5" customFormat="1" outlineLevel="2">
      <c r="A434" s="39" t="s">
        <v>142</v>
      </c>
      <c r="B434" s="40" t="s">
        <v>57</v>
      </c>
      <c r="C434" s="41" t="s">
        <v>167</v>
      </c>
      <c r="D434" s="40" t="s">
        <v>168</v>
      </c>
      <c r="E434" s="24">
        <v>18000000</v>
      </c>
      <c r="F434" s="39">
        <v>44043</v>
      </c>
      <c r="G434" s="24">
        <v>18000000</v>
      </c>
      <c r="H434" s="23">
        <v>5.0000000000000001E-3</v>
      </c>
      <c r="I434" s="39">
        <v>44409</v>
      </c>
      <c r="J434" s="39">
        <v>44423</v>
      </c>
      <c r="K434" s="24">
        <f t="shared" si="30"/>
        <v>15</v>
      </c>
      <c r="L434" s="24">
        <f t="shared" si="31"/>
        <v>3699</v>
      </c>
      <c r="M434" s="24">
        <v>17625000</v>
      </c>
    </row>
    <row r="435" spans="1:13" s="5" customFormat="1" outlineLevel="2">
      <c r="A435" s="39" t="s">
        <v>142</v>
      </c>
      <c r="B435" s="40" t="s">
        <v>57</v>
      </c>
      <c r="C435" s="41" t="s">
        <v>167</v>
      </c>
      <c r="D435" s="40"/>
      <c r="E435" s="24"/>
      <c r="F435" s="39"/>
      <c r="G435" s="24">
        <v>17625000</v>
      </c>
      <c r="H435" s="23">
        <v>5.0000000000000001E-3</v>
      </c>
      <c r="I435" s="39">
        <v>44424</v>
      </c>
      <c r="J435" s="39">
        <v>44439</v>
      </c>
      <c r="K435" s="24">
        <f t="shared" si="30"/>
        <v>16</v>
      </c>
      <c r="L435" s="24">
        <f t="shared" si="31"/>
        <v>3863</v>
      </c>
      <c r="M435" s="24"/>
    </row>
    <row r="436" spans="1:13" s="5" customFormat="1" outlineLevel="2">
      <c r="A436" s="39" t="s">
        <v>142</v>
      </c>
      <c r="B436" s="40" t="s">
        <v>58</v>
      </c>
      <c r="C436" s="41" t="s">
        <v>167</v>
      </c>
      <c r="D436" s="40" t="s">
        <v>168</v>
      </c>
      <c r="E436" s="24">
        <v>21000000</v>
      </c>
      <c r="F436" s="39">
        <v>44043</v>
      </c>
      <c r="G436" s="24">
        <v>21000000</v>
      </c>
      <c r="H436" s="23">
        <v>5.0000000000000001E-3</v>
      </c>
      <c r="I436" s="39">
        <v>44409</v>
      </c>
      <c r="J436" s="39">
        <v>44423</v>
      </c>
      <c r="K436" s="24">
        <f t="shared" si="30"/>
        <v>15</v>
      </c>
      <c r="L436" s="24">
        <f t="shared" si="31"/>
        <v>4315</v>
      </c>
      <c r="M436" s="24">
        <v>20562500</v>
      </c>
    </row>
    <row r="437" spans="1:13" s="5" customFormat="1" outlineLevel="2">
      <c r="A437" s="39" t="s">
        <v>142</v>
      </c>
      <c r="B437" s="40" t="s">
        <v>58</v>
      </c>
      <c r="C437" s="41" t="s">
        <v>167</v>
      </c>
      <c r="D437" s="40"/>
      <c r="E437" s="24"/>
      <c r="F437" s="39"/>
      <c r="G437" s="24">
        <v>20562500</v>
      </c>
      <c r="H437" s="23">
        <v>5.0000000000000001E-3</v>
      </c>
      <c r="I437" s="39">
        <v>44424</v>
      </c>
      <c r="J437" s="39">
        <v>44439</v>
      </c>
      <c r="K437" s="24">
        <f t="shared" si="30"/>
        <v>16</v>
      </c>
      <c r="L437" s="24">
        <f t="shared" si="31"/>
        <v>4507</v>
      </c>
      <c r="M437" s="24"/>
    </row>
    <row r="438" spans="1:13" s="5" customFormat="1" outlineLevel="2">
      <c r="A438" s="39" t="s">
        <v>142</v>
      </c>
      <c r="B438" s="40" t="s">
        <v>99</v>
      </c>
      <c r="C438" s="41" t="s">
        <v>167</v>
      </c>
      <c r="D438" s="40" t="s">
        <v>168</v>
      </c>
      <c r="E438" s="24">
        <v>13600000</v>
      </c>
      <c r="F438" s="39">
        <v>44043</v>
      </c>
      <c r="G438" s="24">
        <v>13600000</v>
      </c>
      <c r="H438" s="23">
        <v>5.0000000000000001E-3</v>
      </c>
      <c r="I438" s="39">
        <v>44409</v>
      </c>
      <c r="J438" s="39">
        <v>44423</v>
      </c>
      <c r="K438" s="24">
        <f t="shared" si="30"/>
        <v>15</v>
      </c>
      <c r="L438" s="24">
        <f t="shared" si="31"/>
        <v>2795</v>
      </c>
      <c r="M438" s="24">
        <v>13316667</v>
      </c>
    </row>
    <row r="439" spans="1:13" s="5" customFormat="1" outlineLevel="2">
      <c r="A439" s="39" t="s">
        <v>142</v>
      </c>
      <c r="B439" s="40" t="s">
        <v>99</v>
      </c>
      <c r="C439" s="41" t="s">
        <v>167</v>
      </c>
      <c r="D439" s="40"/>
      <c r="E439" s="24"/>
      <c r="F439" s="39"/>
      <c r="G439" s="24">
        <v>13316667</v>
      </c>
      <c r="H439" s="23">
        <v>5.0000000000000001E-3</v>
      </c>
      <c r="I439" s="39">
        <v>44424</v>
      </c>
      <c r="J439" s="39">
        <v>44439</v>
      </c>
      <c r="K439" s="24">
        <f t="shared" si="30"/>
        <v>16</v>
      </c>
      <c r="L439" s="24">
        <f t="shared" si="31"/>
        <v>2919</v>
      </c>
      <c r="M439" s="24"/>
    </row>
    <row r="440" spans="1:13" s="5" customFormat="1" outlineLevel="2">
      <c r="A440" s="39" t="s">
        <v>142</v>
      </c>
      <c r="B440" s="40" t="s">
        <v>100</v>
      </c>
      <c r="C440" s="41" t="s">
        <v>143</v>
      </c>
      <c r="D440" s="40" t="s">
        <v>144</v>
      </c>
      <c r="E440" s="24">
        <v>28000000</v>
      </c>
      <c r="F440" s="39">
        <v>44046</v>
      </c>
      <c r="G440" s="24">
        <v>28000000</v>
      </c>
      <c r="H440" s="23">
        <v>5.0000000000000001E-3</v>
      </c>
      <c r="I440" s="39">
        <v>44409</v>
      </c>
      <c r="J440" s="39">
        <v>44439</v>
      </c>
      <c r="K440" s="24">
        <f t="shared" si="30"/>
        <v>31</v>
      </c>
      <c r="L440" s="24">
        <f t="shared" si="31"/>
        <v>11890</v>
      </c>
      <c r="M440" s="24">
        <v>28000000</v>
      </c>
    </row>
    <row r="441" spans="1:13" s="5" customFormat="1" outlineLevel="2">
      <c r="A441" s="39" t="s">
        <v>142</v>
      </c>
      <c r="B441" s="40" t="s">
        <v>101</v>
      </c>
      <c r="C441" s="41" t="s">
        <v>143</v>
      </c>
      <c r="D441" s="40" t="s">
        <v>144</v>
      </c>
      <c r="E441" s="24">
        <v>2700000</v>
      </c>
      <c r="F441" s="39">
        <v>44056</v>
      </c>
      <c r="G441" s="24">
        <v>2700000</v>
      </c>
      <c r="H441" s="23">
        <v>5.0000000000000001E-3</v>
      </c>
      <c r="I441" s="39">
        <v>44409</v>
      </c>
      <c r="J441" s="39">
        <v>44439</v>
      </c>
      <c r="K441" s="24">
        <f t="shared" si="30"/>
        <v>31</v>
      </c>
      <c r="L441" s="24">
        <f t="shared" si="31"/>
        <v>1147</v>
      </c>
      <c r="M441" s="24">
        <v>2700000</v>
      </c>
    </row>
    <row r="442" spans="1:13" s="5" customFormat="1" outlineLevel="2">
      <c r="A442" s="39" t="s">
        <v>142</v>
      </c>
      <c r="B442" s="40" t="s">
        <v>102</v>
      </c>
      <c r="C442" s="41" t="s">
        <v>143</v>
      </c>
      <c r="D442" s="40" t="s">
        <v>144</v>
      </c>
      <c r="E442" s="24">
        <v>29500000</v>
      </c>
      <c r="F442" s="39">
        <v>44074</v>
      </c>
      <c r="G442" s="24">
        <v>29500000</v>
      </c>
      <c r="H442" s="23">
        <v>5.0000000000000001E-3</v>
      </c>
      <c r="I442" s="39">
        <v>44409</v>
      </c>
      <c r="J442" s="39">
        <v>44439</v>
      </c>
      <c r="K442" s="24">
        <f t="shared" si="30"/>
        <v>31</v>
      </c>
      <c r="L442" s="24">
        <f t="shared" si="31"/>
        <v>12527</v>
      </c>
      <c r="M442" s="24">
        <v>29500000</v>
      </c>
    </row>
    <row r="443" spans="1:13" s="5" customFormat="1" outlineLevel="2">
      <c r="A443" s="39" t="s">
        <v>142</v>
      </c>
      <c r="B443" s="40" t="s">
        <v>103</v>
      </c>
      <c r="C443" s="41" t="s">
        <v>79</v>
      </c>
      <c r="D443" s="40" t="s">
        <v>80</v>
      </c>
      <c r="E443" s="24">
        <v>120000000</v>
      </c>
      <c r="F443" s="39">
        <v>44046</v>
      </c>
      <c r="G443" s="24">
        <v>120000000</v>
      </c>
      <c r="H443" s="23">
        <v>5.0000000000000001E-3</v>
      </c>
      <c r="I443" s="39">
        <v>44409</v>
      </c>
      <c r="J443" s="39">
        <v>44439</v>
      </c>
      <c r="K443" s="24">
        <f t="shared" si="30"/>
        <v>31</v>
      </c>
      <c r="L443" s="24">
        <f t="shared" si="31"/>
        <v>50959</v>
      </c>
      <c r="M443" s="24">
        <v>120000000</v>
      </c>
    </row>
    <row r="444" spans="1:13" s="5" customFormat="1" outlineLevel="2">
      <c r="A444" s="39" t="s">
        <v>142</v>
      </c>
      <c r="B444" s="40" t="s">
        <v>104</v>
      </c>
      <c r="C444" s="41" t="s">
        <v>149</v>
      </c>
      <c r="D444" s="40" t="s">
        <v>150</v>
      </c>
      <c r="E444" s="24">
        <v>8736000</v>
      </c>
      <c r="F444" s="39">
        <v>44047</v>
      </c>
      <c r="G444" s="24">
        <v>8736000</v>
      </c>
      <c r="H444" s="23">
        <v>5.0000000000000001E-3</v>
      </c>
      <c r="I444" s="39">
        <v>44409</v>
      </c>
      <c r="J444" s="39">
        <v>44439</v>
      </c>
      <c r="K444" s="24">
        <f t="shared" si="30"/>
        <v>31</v>
      </c>
      <c r="L444" s="24">
        <f t="shared" si="31"/>
        <v>3710</v>
      </c>
      <c r="M444" s="24">
        <v>8736000</v>
      </c>
    </row>
    <row r="445" spans="1:13" s="5" customFormat="1" outlineLevel="2">
      <c r="A445" s="39" t="s">
        <v>142</v>
      </c>
      <c r="B445" s="40" t="s">
        <v>105</v>
      </c>
      <c r="C445" s="41" t="s">
        <v>149</v>
      </c>
      <c r="D445" s="40" t="s">
        <v>150</v>
      </c>
      <c r="E445" s="24">
        <v>8988000</v>
      </c>
      <c r="F445" s="39">
        <v>44067</v>
      </c>
      <c r="G445" s="24">
        <v>8988000</v>
      </c>
      <c r="H445" s="23">
        <v>5.0000000000000001E-3</v>
      </c>
      <c r="I445" s="39">
        <v>44409</v>
      </c>
      <c r="J445" s="39">
        <v>44439</v>
      </c>
      <c r="K445" s="24">
        <f t="shared" si="30"/>
        <v>31</v>
      </c>
      <c r="L445" s="24">
        <f t="shared" si="31"/>
        <v>3817</v>
      </c>
      <c r="M445" s="24">
        <v>8988000</v>
      </c>
    </row>
    <row r="446" spans="1:13" s="5" customFormat="1" outlineLevel="2">
      <c r="A446" s="39" t="s">
        <v>142</v>
      </c>
      <c r="B446" s="40" t="s">
        <v>106</v>
      </c>
      <c r="C446" s="41" t="s">
        <v>149</v>
      </c>
      <c r="D446" s="40" t="s">
        <v>150</v>
      </c>
      <c r="E446" s="24">
        <v>34608000</v>
      </c>
      <c r="F446" s="39">
        <v>44070</v>
      </c>
      <c r="G446" s="24">
        <v>34608000</v>
      </c>
      <c r="H446" s="23">
        <v>5.0000000000000001E-3</v>
      </c>
      <c r="I446" s="39">
        <v>44409</v>
      </c>
      <c r="J446" s="39">
        <v>44439</v>
      </c>
      <c r="K446" s="24">
        <f t="shared" si="30"/>
        <v>31</v>
      </c>
      <c r="L446" s="24">
        <f t="shared" si="31"/>
        <v>14697</v>
      </c>
      <c r="M446" s="24">
        <v>34608000</v>
      </c>
    </row>
    <row r="447" spans="1:13" s="5" customFormat="1" outlineLevel="2">
      <c r="A447" s="39" t="s">
        <v>142</v>
      </c>
      <c r="B447" s="40" t="s">
        <v>59</v>
      </c>
      <c r="C447" s="41" t="s">
        <v>143</v>
      </c>
      <c r="D447" s="40" t="s">
        <v>144</v>
      </c>
      <c r="E447" s="24">
        <v>38000000</v>
      </c>
      <c r="F447" s="39">
        <v>43850</v>
      </c>
      <c r="G447" s="24">
        <v>38000000</v>
      </c>
      <c r="H447" s="23">
        <v>5.0000000000000001E-3</v>
      </c>
      <c r="I447" s="39">
        <v>44409</v>
      </c>
      <c r="J447" s="39">
        <v>44439</v>
      </c>
      <c r="K447" s="24">
        <f t="shared" si="30"/>
        <v>31</v>
      </c>
      <c r="L447" s="24">
        <f t="shared" si="31"/>
        <v>16137</v>
      </c>
      <c r="M447" s="24">
        <v>38000000</v>
      </c>
    </row>
    <row r="448" spans="1:13" s="5" customFormat="1" outlineLevel="2">
      <c r="A448" s="39" t="s">
        <v>142</v>
      </c>
      <c r="B448" s="40" t="s">
        <v>136</v>
      </c>
      <c r="C448" s="41" t="s">
        <v>146</v>
      </c>
      <c r="D448" s="40" t="s">
        <v>147</v>
      </c>
      <c r="E448" s="24">
        <v>13000000</v>
      </c>
      <c r="F448" s="39">
        <v>44047</v>
      </c>
      <c r="G448" s="24">
        <v>13000000</v>
      </c>
      <c r="H448" s="23">
        <v>5.0000000000000001E-3</v>
      </c>
      <c r="I448" s="39">
        <v>44409</v>
      </c>
      <c r="J448" s="39">
        <v>44439</v>
      </c>
      <c r="K448" s="24">
        <f t="shared" si="30"/>
        <v>31</v>
      </c>
      <c r="L448" s="24">
        <f t="shared" si="31"/>
        <v>5521</v>
      </c>
      <c r="M448" s="24">
        <v>13000000</v>
      </c>
    </row>
    <row r="449" spans="1:13" s="5" customFormat="1" outlineLevel="2">
      <c r="A449" s="39" t="s">
        <v>142</v>
      </c>
      <c r="B449" s="40" t="s">
        <v>137</v>
      </c>
      <c r="C449" s="41" t="s">
        <v>146</v>
      </c>
      <c r="D449" s="40" t="s">
        <v>147</v>
      </c>
      <c r="E449" s="24">
        <v>5000000</v>
      </c>
      <c r="F449" s="39">
        <v>44053</v>
      </c>
      <c r="G449" s="24">
        <v>5000000</v>
      </c>
      <c r="H449" s="23">
        <v>5.0000000000000001E-3</v>
      </c>
      <c r="I449" s="39">
        <v>44409</v>
      </c>
      <c r="J449" s="39">
        <v>44439</v>
      </c>
      <c r="K449" s="24">
        <f t="shared" si="30"/>
        <v>31</v>
      </c>
      <c r="L449" s="24">
        <f t="shared" si="31"/>
        <v>2123</v>
      </c>
      <c r="M449" s="24">
        <v>5000000</v>
      </c>
    </row>
    <row r="450" spans="1:13" s="5" customFormat="1" outlineLevel="2">
      <c r="A450" s="39" t="s">
        <v>142</v>
      </c>
      <c r="B450" s="40" t="s">
        <v>138</v>
      </c>
      <c r="C450" s="41" t="s">
        <v>163</v>
      </c>
      <c r="D450" s="40" t="s">
        <v>164</v>
      </c>
      <c r="E450" s="24">
        <v>5300000</v>
      </c>
      <c r="F450" s="39">
        <v>44050</v>
      </c>
      <c r="G450" s="24">
        <v>4805935</v>
      </c>
      <c r="H450" s="23">
        <v>5.0000000000000001E-3</v>
      </c>
      <c r="I450" s="39">
        <v>44409</v>
      </c>
      <c r="J450" s="39">
        <v>44423</v>
      </c>
      <c r="K450" s="24">
        <f t="shared" si="30"/>
        <v>15</v>
      </c>
      <c r="L450" s="24">
        <f t="shared" si="31"/>
        <v>988</v>
      </c>
      <c r="M450" s="24">
        <v>4761020</v>
      </c>
    </row>
    <row r="451" spans="1:13" s="5" customFormat="1" outlineLevel="2">
      <c r="A451" s="39" t="s">
        <v>142</v>
      </c>
      <c r="B451" s="40" t="s">
        <v>138</v>
      </c>
      <c r="C451" s="41" t="s">
        <v>163</v>
      </c>
      <c r="D451" s="40"/>
      <c r="E451" s="24"/>
      <c r="F451" s="39"/>
      <c r="G451" s="24">
        <v>4761020</v>
      </c>
      <c r="H451" s="23">
        <v>5.0000000000000001E-3</v>
      </c>
      <c r="I451" s="39">
        <v>44424</v>
      </c>
      <c r="J451" s="39">
        <v>44439</v>
      </c>
      <c r="K451" s="24">
        <f t="shared" si="30"/>
        <v>16</v>
      </c>
      <c r="L451" s="24">
        <f t="shared" si="31"/>
        <v>1044</v>
      </c>
      <c r="M451" s="24"/>
    </row>
    <row r="452" spans="1:13" s="5" customFormat="1" outlineLevel="2">
      <c r="A452" s="39" t="s">
        <v>142</v>
      </c>
      <c r="B452" s="40" t="s">
        <v>139</v>
      </c>
      <c r="C452" s="41" t="s">
        <v>117</v>
      </c>
      <c r="D452" s="40" t="s">
        <v>118</v>
      </c>
      <c r="E452" s="24">
        <v>40000000</v>
      </c>
      <c r="F452" s="39">
        <v>44060</v>
      </c>
      <c r="G452" s="24">
        <v>40000000</v>
      </c>
      <c r="H452" s="23">
        <v>5.0000000000000001E-3</v>
      </c>
      <c r="I452" s="39">
        <v>44409</v>
      </c>
      <c r="J452" s="39">
        <v>44439</v>
      </c>
      <c r="K452" s="24">
        <f t="shared" si="30"/>
        <v>31</v>
      </c>
      <c r="L452" s="24">
        <f t="shared" si="31"/>
        <v>16986</v>
      </c>
      <c r="M452" s="24">
        <v>40000000</v>
      </c>
    </row>
    <row r="453" spans="1:13" s="5" customFormat="1" outlineLevel="2">
      <c r="A453" s="39" t="s">
        <v>142</v>
      </c>
      <c r="B453" s="40" t="s">
        <v>140</v>
      </c>
      <c r="C453" s="41" t="s">
        <v>45</v>
      </c>
      <c r="D453" s="40" t="s">
        <v>46</v>
      </c>
      <c r="E453" s="24">
        <v>10000000</v>
      </c>
      <c r="F453" s="39">
        <v>44067</v>
      </c>
      <c r="G453" s="24">
        <v>10000000</v>
      </c>
      <c r="H453" s="23">
        <v>5.0000000000000001E-3</v>
      </c>
      <c r="I453" s="39">
        <v>44409</v>
      </c>
      <c r="J453" s="39">
        <v>44439</v>
      </c>
      <c r="K453" s="24">
        <f t="shared" si="30"/>
        <v>31</v>
      </c>
      <c r="L453" s="24">
        <f t="shared" si="31"/>
        <v>4247</v>
      </c>
      <c r="M453" s="24">
        <v>10000000</v>
      </c>
    </row>
    <row r="454" spans="1:13" s="5" customFormat="1" outlineLevel="2">
      <c r="A454" s="39" t="s">
        <v>142</v>
      </c>
      <c r="B454" s="40" t="s">
        <v>169</v>
      </c>
      <c r="C454" s="41" t="s">
        <v>79</v>
      </c>
      <c r="D454" s="40" t="s">
        <v>80</v>
      </c>
      <c r="E454" s="24">
        <v>125000000</v>
      </c>
      <c r="F454" s="39">
        <v>44075</v>
      </c>
      <c r="G454" s="24">
        <v>125000000</v>
      </c>
      <c r="H454" s="23">
        <v>5.0000000000000001E-3</v>
      </c>
      <c r="I454" s="39">
        <v>44409</v>
      </c>
      <c r="J454" s="39">
        <v>44439</v>
      </c>
      <c r="K454" s="24">
        <f t="shared" ref="K454:K485" si="32">J454-I454+1</f>
        <v>31</v>
      </c>
      <c r="L454" s="24">
        <f t="shared" ref="L454:L485" si="33">ROUND(G454*H454*K454/365,0)</f>
        <v>53082</v>
      </c>
      <c r="M454" s="24">
        <v>125000000</v>
      </c>
    </row>
    <row r="455" spans="1:13" s="5" customFormat="1" outlineLevel="2">
      <c r="A455" s="39" t="s">
        <v>142</v>
      </c>
      <c r="B455" s="40" t="s">
        <v>170</v>
      </c>
      <c r="C455" s="41" t="s">
        <v>79</v>
      </c>
      <c r="D455" s="40" t="s">
        <v>80</v>
      </c>
      <c r="E455" s="24">
        <v>105000000</v>
      </c>
      <c r="F455" s="39">
        <v>44104</v>
      </c>
      <c r="G455" s="24">
        <v>105000000</v>
      </c>
      <c r="H455" s="23">
        <v>5.0000000000000001E-3</v>
      </c>
      <c r="I455" s="39">
        <v>44409</v>
      </c>
      <c r="J455" s="39">
        <v>44439</v>
      </c>
      <c r="K455" s="24">
        <f t="shared" si="32"/>
        <v>31</v>
      </c>
      <c r="L455" s="24">
        <f t="shared" si="33"/>
        <v>44589</v>
      </c>
      <c r="M455" s="24">
        <v>105000000</v>
      </c>
    </row>
    <row r="456" spans="1:13" s="5" customFormat="1" outlineLevel="2">
      <c r="A456" s="39" t="s">
        <v>142</v>
      </c>
      <c r="B456" s="40" t="s">
        <v>171</v>
      </c>
      <c r="C456" s="41" t="s">
        <v>146</v>
      </c>
      <c r="D456" s="40" t="s">
        <v>147</v>
      </c>
      <c r="E456" s="24">
        <v>13000000</v>
      </c>
      <c r="F456" s="39">
        <v>44077</v>
      </c>
      <c r="G456" s="24">
        <v>13000000</v>
      </c>
      <c r="H456" s="23">
        <v>5.0000000000000001E-3</v>
      </c>
      <c r="I456" s="39">
        <v>44409</v>
      </c>
      <c r="J456" s="39">
        <v>44439</v>
      </c>
      <c r="K456" s="24">
        <f t="shared" si="32"/>
        <v>31</v>
      </c>
      <c r="L456" s="24">
        <f t="shared" si="33"/>
        <v>5521</v>
      </c>
      <c r="M456" s="24">
        <v>13000000</v>
      </c>
    </row>
    <row r="457" spans="1:13" s="5" customFormat="1" outlineLevel="2">
      <c r="A457" s="39" t="s">
        <v>142</v>
      </c>
      <c r="B457" s="40" t="s">
        <v>172</v>
      </c>
      <c r="C457" s="41" t="s">
        <v>146</v>
      </c>
      <c r="D457" s="40" t="s">
        <v>147</v>
      </c>
      <c r="E457" s="24">
        <v>5800000</v>
      </c>
      <c r="F457" s="39">
        <v>44083</v>
      </c>
      <c r="G457" s="24">
        <v>5800000</v>
      </c>
      <c r="H457" s="23">
        <v>5.0000000000000001E-3</v>
      </c>
      <c r="I457" s="39">
        <v>44409</v>
      </c>
      <c r="J457" s="39">
        <v>44439</v>
      </c>
      <c r="K457" s="24">
        <f t="shared" si="32"/>
        <v>31</v>
      </c>
      <c r="L457" s="24">
        <f t="shared" si="33"/>
        <v>2463</v>
      </c>
      <c r="M457" s="24">
        <v>5800000</v>
      </c>
    </row>
    <row r="458" spans="1:13" s="5" customFormat="1" outlineLevel="2">
      <c r="A458" s="39" t="s">
        <v>142</v>
      </c>
      <c r="B458" s="40" t="s">
        <v>173</v>
      </c>
      <c r="C458" s="41" t="s">
        <v>149</v>
      </c>
      <c r="D458" s="40" t="s">
        <v>150</v>
      </c>
      <c r="E458" s="24">
        <v>4989600</v>
      </c>
      <c r="F458" s="39">
        <v>44088</v>
      </c>
      <c r="G458" s="24">
        <v>4989600</v>
      </c>
      <c r="H458" s="23">
        <v>5.0000000000000001E-3</v>
      </c>
      <c r="I458" s="39">
        <v>44409</v>
      </c>
      <c r="J458" s="39">
        <v>44439</v>
      </c>
      <c r="K458" s="24">
        <f t="shared" si="32"/>
        <v>31</v>
      </c>
      <c r="L458" s="24">
        <f t="shared" si="33"/>
        <v>2119</v>
      </c>
      <c r="M458" s="24">
        <v>4989600</v>
      </c>
    </row>
    <row r="459" spans="1:13" s="5" customFormat="1" outlineLevel="2">
      <c r="A459" s="39" t="s">
        <v>142</v>
      </c>
      <c r="B459" s="40" t="s">
        <v>62</v>
      </c>
      <c r="C459" s="41" t="s">
        <v>143</v>
      </c>
      <c r="D459" s="40" t="s">
        <v>144</v>
      </c>
      <c r="E459" s="24">
        <v>10000000</v>
      </c>
      <c r="F459" s="39">
        <v>43850</v>
      </c>
      <c r="G459" s="24">
        <v>10000000</v>
      </c>
      <c r="H459" s="23">
        <v>5.0000000000000001E-3</v>
      </c>
      <c r="I459" s="39">
        <v>44409</v>
      </c>
      <c r="J459" s="39">
        <v>44439</v>
      </c>
      <c r="K459" s="24">
        <f t="shared" si="32"/>
        <v>31</v>
      </c>
      <c r="L459" s="24">
        <f t="shared" si="33"/>
        <v>4247</v>
      </c>
      <c r="M459" s="24">
        <v>10000000</v>
      </c>
    </row>
    <row r="460" spans="1:13" s="5" customFormat="1" outlineLevel="2">
      <c r="A460" s="39" t="s">
        <v>142</v>
      </c>
      <c r="B460" s="40" t="s">
        <v>174</v>
      </c>
      <c r="C460" s="41" t="s">
        <v>66</v>
      </c>
      <c r="D460" s="40" t="s">
        <v>67</v>
      </c>
      <c r="E460" s="24">
        <v>96000000</v>
      </c>
      <c r="F460" s="39">
        <v>44089</v>
      </c>
      <c r="G460" s="24">
        <v>96000000</v>
      </c>
      <c r="H460" s="23">
        <v>5.0000000000000001E-3</v>
      </c>
      <c r="I460" s="39">
        <v>44409</v>
      </c>
      <c r="J460" s="39">
        <v>44439</v>
      </c>
      <c r="K460" s="24">
        <f t="shared" si="32"/>
        <v>31</v>
      </c>
      <c r="L460" s="24">
        <f t="shared" si="33"/>
        <v>40767</v>
      </c>
      <c r="M460" s="24">
        <v>96000000</v>
      </c>
    </row>
    <row r="461" spans="1:13" s="5" customFormat="1" outlineLevel="2">
      <c r="A461" s="39" t="s">
        <v>142</v>
      </c>
      <c r="B461" s="40" t="s">
        <v>175</v>
      </c>
      <c r="C461" s="41" t="s">
        <v>66</v>
      </c>
      <c r="D461" s="40" t="s">
        <v>67</v>
      </c>
      <c r="E461" s="24">
        <v>16000000</v>
      </c>
      <c r="F461" s="39">
        <v>44089</v>
      </c>
      <c r="G461" s="24">
        <v>16000000</v>
      </c>
      <c r="H461" s="23">
        <v>5.0000000000000001E-3</v>
      </c>
      <c r="I461" s="39">
        <v>44409</v>
      </c>
      <c r="J461" s="39">
        <v>44439</v>
      </c>
      <c r="K461" s="24">
        <f t="shared" si="32"/>
        <v>31</v>
      </c>
      <c r="L461" s="24">
        <f t="shared" si="33"/>
        <v>6795</v>
      </c>
      <c r="M461" s="24">
        <v>16000000</v>
      </c>
    </row>
    <row r="462" spans="1:13" s="5" customFormat="1" outlineLevel="2">
      <c r="A462" s="39" t="s">
        <v>142</v>
      </c>
      <c r="B462" s="40" t="s">
        <v>176</v>
      </c>
      <c r="C462" s="41" t="s">
        <v>143</v>
      </c>
      <c r="D462" s="40" t="s">
        <v>144</v>
      </c>
      <c r="E462" s="24">
        <v>21600000</v>
      </c>
      <c r="F462" s="39">
        <v>44095</v>
      </c>
      <c r="G462" s="24">
        <v>21600000</v>
      </c>
      <c r="H462" s="23">
        <v>5.0000000000000001E-3</v>
      </c>
      <c r="I462" s="39">
        <v>44409</v>
      </c>
      <c r="J462" s="39">
        <v>44439</v>
      </c>
      <c r="K462" s="24">
        <f t="shared" si="32"/>
        <v>31</v>
      </c>
      <c r="L462" s="24">
        <f t="shared" si="33"/>
        <v>9173</v>
      </c>
      <c r="M462" s="24">
        <v>21600000</v>
      </c>
    </row>
    <row r="463" spans="1:13" s="5" customFormat="1" outlineLevel="2">
      <c r="A463" s="39" t="s">
        <v>142</v>
      </c>
      <c r="B463" s="40" t="s">
        <v>177</v>
      </c>
      <c r="C463" s="41" t="s">
        <v>123</v>
      </c>
      <c r="D463" s="40" t="s">
        <v>124</v>
      </c>
      <c r="E463" s="24">
        <v>40000000</v>
      </c>
      <c r="F463" s="39">
        <v>44100</v>
      </c>
      <c r="G463" s="24">
        <v>40000000</v>
      </c>
      <c r="H463" s="23">
        <v>5.0000000000000001E-3</v>
      </c>
      <c r="I463" s="39">
        <v>44409</v>
      </c>
      <c r="J463" s="39">
        <v>44439</v>
      </c>
      <c r="K463" s="24">
        <f t="shared" si="32"/>
        <v>31</v>
      </c>
      <c r="L463" s="24">
        <f t="shared" si="33"/>
        <v>16986</v>
      </c>
      <c r="M463" s="24">
        <v>40000000</v>
      </c>
    </row>
    <row r="464" spans="1:13" s="5" customFormat="1" outlineLevel="2">
      <c r="A464" s="39" t="s">
        <v>142</v>
      </c>
      <c r="B464" s="40" t="s">
        <v>178</v>
      </c>
      <c r="C464" s="41" t="s">
        <v>125</v>
      </c>
      <c r="D464" s="40" t="s">
        <v>126</v>
      </c>
      <c r="E464" s="24">
        <v>2000000</v>
      </c>
      <c r="F464" s="39">
        <v>44103</v>
      </c>
      <c r="G464" s="24">
        <v>2000000</v>
      </c>
      <c r="H464" s="23">
        <v>5.0000000000000001E-3</v>
      </c>
      <c r="I464" s="39">
        <v>44409</v>
      </c>
      <c r="J464" s="39">
        <v>44439</v>
      </c>
      <c r="K464" s="24">
        <f t="shared" si="32"/>
        <v>31</v>
      </c>
      <c r="L464" s="24">
        <f t="shared" si="33"/>
        <v>849</v>
      </c>
      <c r="M464" s="24">
        <v>2000000</v>
      </c>
    </row>
    <row r="465" spans="1:13" s="5" customFormat="1" outlineLevel="2">
      <c r="A465" s="39" t="s">
        <v>142</v>
      </c>
      <c r="B465" s="40" t="s">
        <v>179</v>
      </c>
      <c r="C465" s="41" t="s">
        <v>146</v>
      </c>
      <c r="D465" s="40" t="s">
        <v>147</v>
      </c>
      <c r="E465" s="24">
        <v>13200000</v>
      </c>
      <c r="F465" s="39">
        <v>44109</v>
      </c>
      <c r="G465" s="24">
        <v>13200000</v>
      </c>
      <c r="H465" s="23">
        <v>5.0000000000000001E-3</v>
      </c>
      <c r="I465" s="39">
        <v>44409</v>
      </c>
      <c r="J465" s="39">
        <v>44439</v>
      </c>
      <c r="K465" s="24">
        <f t="shared" si="32"/>
        <v>31</v>
      </c>
      <c r="L465" s="24">
        <f t="shared" si="33"/>
        <v>5605</v>
      </c>
      <c r="M465" s="24">
        <v>13200000</v>
      </c>
    </row>
    <row r="466" spans="1:13" s="5" customFormat="1" outlineLevel="2">
      <c r="A466" s="39" t="s">
        <v>142</v>
      </c>
      <c r="B466" s="40" t="s">
        <v>180</v>
      </c>
      <c r="C466" s="41" t="s">
        <v>146</v>
      </c>
      <c r="D466" s="40" t="s">
        <v>147</v>
      </c>
      <c r="E466" s="24">
        <v>3000000</v>
      </c>
      <c r="F466" s="39">
        <v>44116</v>
      </c>
      <c r="G466" s="24">
        <v>3000000</v>
      </c>
      <c r="H466" s="23">
        <v>5.0000000000000001E-3</v>
      </c>
      <c r="I466" s="39">
        <v>44409</v>
      </c>
      <c r="J466" s="39">
        <v>44439</v>
      </c>
      <c r="K466" s="24">
        <f t="shared" si="32"/>
        <v>31</v>
      </c>
      <c r="L466" s="24">
        <f t="shared" si="33"/>
        <v>1274</v>
      </c>
      <c r="M466" s="24">
        <v>3000000</v>
      </c>
    </row>
    <row r="467" spans="1:13" s="5" customFormat="1" outlineLevel="2">
      <c r="A467" s="39" t="s">
        <v>142</v>
      </c>
      <c r="B467" s="40" t="s">
        <v>181</v>
      </c>
      <c r="C467" s="41" t="s">
        <v>149</v>
      </c>
      <c r="D467" s="40" t="s">
        <v>150</v>
      </c>
      <c r="E467" s="24">
        <v>8736000</v>
      </c>
      <c r="F467" s="39">
        <v>44109</v>
      </c>
      <c r="G467" s="24">
        <v>8736000</v>
      </c>
      <c r="H467" s="23">
        <v>5.0000000000000001E-3</v>
      </c>
      <c r="I467" s="39">
        <v>44409</v>
      </c>
      <c r="J467" s="39">
        <v>44439</v>
      </c>
      <c r="K467" s="24">
        <f t="shared" si="32"/>
        <v>31</v>
      </c>
      <c r="L467" s="24">
        <f t="shared" si="33"/>
        <v>3710</v>
      </c>
      <c r="M467" s="24">
        <v>8736000</v>
      </c>
    </row>
    <row r="468" spans="1:13" s="5" customFormat="1" outlineLevel="2">
      <c r="A468" s="39" t="s">
        <v>142</v>
      </c>
      <c r="B468" s="40" t="s">
        <v>182</v>
      </c>
      <c r="C468" s="41" t="s">
        <v>149</v>
      </c>
      <c r="D468" s="40" t="s">
        <v>150</v>
      </c>
      <c r="E468" s="24">
        <v>4273920</v>
      </c>
      <c r="F468" s="39">
        <v>44111</v>
      </c>
      <c r="G468" s="24">
        <v>4273920</v>
      </c>
      <c r="H468" s="23">
        <v>5.0000000000000001E-3</v>
      </c>
      <c r="I468" s="39">
        <v>44409</v>
      </c>
      <c r="J468" s="39">
        <v>44439</v>
      </c>
      <c r="K468" s="24">
        <f t="shared" si="32"/>
        <v>31</v>
      </c>
      <c r="L468" s="24">
        <f t="shared" si="33"/>
        <v>1815</v>
      </c>
      <c r="M468" s="24">
        <v>4273920</v>
      </c>
    </row>
    <row r="469" spans="1:13" s="5" customFormat="1" outlineLevel="2">
      <c r="A469" s="39" t="s">
        <v>142</v>
      </c>
      <c r="B469" s="40" t="s">
        <v>183</v>
      </c>
      <c r="C469" s="41" t="s">
        <v>149</v>
      </c>
      <c r="D469" s="40" t="s">
        <v>150</v>
      </c>
      <c r="E469" s="24">
        <v>4368000</v>
      </c>
      <c r="F469" s="39">
        <v>44132</v>
      </c>
      <c r="G469" s="24">
        <v>4368000</v>
      </c>
      <c r="H469" s="23">
        <v>5.0000000000000001E-3</v>
      </c>
      <c r="I469" s="39">
        <v>44409</v>
      </c>
      <c r="J469" s="39">
        <v>44439</v>
      </c>
      <c r="K469" s="24">
        <f t="shared" si="32"/>
        <v>31</v>
      </c>
      <c r="L469" s="24">
        <f t="shared" si="33"/>
        <v>1855</v>
      </c>
      <c r="M469" s="24">
        <v>4368000</v>
      </c>
    </row>
    <row r="470" spans="1:13" s="5" customFormat="1" outlineLevel="2">
      <c r="A470" s="39" t="s">
        <v>142</v>
      </c>
      <c r="B470" s="40" t="s">
        <v>63</v>
      </c>
      <c r="C470" s="41" t="s">
        <v>149</v>
      </c>
      <c r="D470" s="40" t="s">
        <v>150</v>
      </c>
      <c r="E470" s="24">
        <v>96176976</v>
      </c>
      <c r="F470" s="39">
        <v>43861</v>
      </c>
      <c r="G470" s="24">
        <v>96176976</v>
      </c>
      <c r="H470" s="23">
        <v>5.0000000000000001E-3</v>
      </c>
      <c r="I470" s="39">
        <v>44409</v>
      </c>
      <c r="J470" s="39">
        <v>44439</v>
      </c>
      <c r="K470" s="24">
        <f t="shared" si="32"/>
        <v>31</v>
      </c>
      <c r="L470" s="24">
        <f t="shared" si="33"/>
        <v>40842</v>
      </c>
      <c r="M470" s="24">
        <v>96176976</v>
      </c>
    </row>
    <row r="471" spans="1:13" s="5" customFormat="1" outlineLevel="2">
      <c r="A471" s="39" t="s">
        <v>142</v>
      </c>
      <c r="B471" s="40" t="s">
        <v>184</v>
      </c>
      <c r="C471" s="41" t="s">
        <v>149</v>
      </c>
      <c r="D471" s="40" t="s">
        <v>150</v>
      </c>
      <c r="E471" s="24">
        <v>8064000</v>
      </c>
      <c r="F471" s="39">
        <v>44133</v>
      </c>
      <c r="G471" s="24">
        <v>8064000</v>
      </c>
      <c r="H471" s="23">
        <v>5.0000000000000001E-3</v>
      </c>
      <c r="I471" s="39">
        <v>44409</v>
      </c>
      <c r="J471" s="39">
        <v>44439</v>
      </c>
      <c r="K471" s="24">
        <f t="shared" si="32"/>
        <v>31</v>
      </c>
      <c r="L471" s="24">
        <f t="shared" si="33"/>
        <v>3424</v>
      </c>
      <c r="M471" s="24">
        <v>8064000</v>
      </c>
    </row>
    <row r="472" spans="1:13" s="5" customFormat="1" outlineLevel="2">
      <c r="A472" s="39" t="s">
        <v>142</v>
      </c>
      <c r="B472" s="40" t="s">
        <v>185</v>
      </c>
      <c r="C472" s="41" t="s">
        <v>149</v>
      </c>
      <c r="D472" s="40" t="s">
        <v>150</v>
      </c>
      <c r="E472" s="24">
        <v>113400</v>
      </c>
      <c r="F472" s="39">
        <v>44133</v>
      </c>
      <c r="G472" s="24">
        <v>113400</v>
      </c>
      <c r="H472" s="23">
        <v>5.0000000000000001E-3</v>
      </c>
      <c r="I472" s="39">
        <v>44409</v>
      </c>
      <c r="J472" s="39">
        <v>44439</v>
      </c>
      <c r="K472" s="24">
        <f t="shared" si="32"/>
        <v>31</v>
      </c>
      <c r="L472" s="24">
        <f t="shared" si="33"/>
        <v>48</v>
      </c>
      <c r="M472" s="24">
        <v>113400</v>
      </c>
    </row>
    <row r="473" spans="1:13" s="5" customFormat="1" outlineLevel="2">
      <c r="A473" s="39" t="s">
        <v>142</v>
      </c>
      <c r="B473" s="40" t="s">
        <v>186</v>
      </c>
      <c r="C473" s="41" t="s">
        <v>187</v>
      </c>
      <c r="D473" s="40" t="s">
        <v>188</v>
      </c>
      <c r="E473" s="24">
        <v>93700000</v>
      </c>
      <c r="F473" s="39">
        <v>44109</v>
      </c>
      <c r="G473" s="24">
        <v>93700000</v>
      </c>
      <c r="H473" s="23">
        <v>5.0000000000000001E-3</v>
      </c>
      <c r="I473" s="39">
        <v>44409</v>
      </c>
      <c r="J473" s="39">
        <v>44439</v>
      </c>
      <c r="K473" s="24">
        <f t="shared" si="32"/>
        <v>31</v>
      </c>
      <c r="L473" s="24">
        <f t="shared" si="33"/>
        <v>39790</v>
      </c>
      <c r="M473" s="24">
        <v>93700000</v>
      </c>
    </row>
    <row r="474" spans="1:13" s="5" customFormat="1" outlineLevel="2">
      <c r="A474" s="39" t="s">
        <v>142</v>
      </c>
      <c r="B474" s="40" t="s">
        <v>189</v>
      </c>
      <c r="C474" s="41" t="s">
        <v>187</v>
      </c>
      <c r="D474" s="40" t="s">
        <v>188</v>
      </c>
      <c r="E474" s="24">
        <v>21400000</v>
      </c>
      <c r="F474" s="39">
        <v>44109</v>
      </c>
      <c r="G474" s="24">
        <v>21400000</v>
      </c>
      <c r="H474" s="23">
        <v>5.0000000000000001E-3</v>
      </c>
      <c r="I474" s="39">
        <v>44409</v>
      </c>
      <c r="J474" s="39">
        <v>44439</v>
      </c>
      <c r="K474" s="24">
        <f t="shared" si="32"/>
        <v>31</v>
      </c>
      <c r="L474" s="24">
        <f t="shared" si="33"/>
        <v>9088</v>
      </c>
      <c r="M474" s="24">
        <v>21400000</v>
      </c>
    </row>
    <row r="475" spans="1:13" s="5" customFormat="1" outlineLevel="2">
      <c r="A475" s="39" t="s">
        <v>142</v>
      </c>
      <c r="B475" s="40" t="s">
        <v>190</v>
      </c>
      <c r="C475" s="41" t="s">
        <v>143</v>
      </c>
      <c r="D475" s="40" t="s">
        <v>144</v>
      </c>
      <c r="E475" s="24">
        <v>7150000</v>
      </c>
      <c r="F475" s="39">
        <v>44119</v>
      </c>
      <c r="G475" s="24">
        <v>7150000</v>
      </c>
      <c r="H475" s="23">
        <v>5.0000000000000001E-3</v>
      </c>
      <c r="I475" s="39">
        <v>44409</v>
      </c>
      <c r="J475" s="39">
        <v>44439</v>
      </c>
      <c r="K475" s="24">
        <f t="shared" si="32"/>
        <v>31</v>
      </c>
      <c r="L475" s="24">
        <f t="shared" si="33"/>
        <v>3036</v>
      </c>
      <c r="M475" s="24">
        <v>7150000</v>
      </c>
    </row>
    <row r="476" spans="1:13" s="5" customFormat="1" outlineLevel="2">
      <c r="A476" s="39" t="s">
        <v>142</v>
      </c>
      <c r="B476" s="40" t="s">
        <v>191</v>
      </c>
      <c r="C476" s="41" t="s">
        <v>143</v>
      </c>
      <c r="D476" s="40" t="s">
        <v>144</v>
      </c>
      <c r="E476" s="24">
        <v>14400000</v>
      </c>
      <c r="F476" s="39">
        <v>44124</v>
      </c>
      <c r="G476" s="24">
        <v>14400000</v>
      </c>
      <c r="H476" s="23">
        <v>5.0000000000000001E-3</v>
      </c>
      <c r="I476" s="39">
        <v>44409</v>
      </c>
      <c r="J476" s="39">
        <v>44439</v>
      </c>
      <c r="K476" s="24">
        <f t="shared" si="32"/>
        <v>31</v>
      </c>
      <c r="L476" s="24">
        <f t="shared" si="33"/>
        <v>6115</v>
      </c>
      <c r="M476" s="24">
        <v>14400000</v>
      </c>
    </row>
    <row r="477" spans="1:13" s="5" customFormat="1" outlineLevel="2">
      <c r="A477" s="39" t="s">
        <v>142</v>
      </c>
      <c r="B477" s="40" t="s">
        <v>192</v>
      </c>
      <c r="C477" s="41" t="s">
        <v>125</v>
      </c>
      <c r="D477" s="40" t="s">
        <v>126</v>
      </c>
      <c r="E477" s="24">
        <v>24000000</v>
      </c>
      <c r="F477" s="39">
        <v>44120</v>
      </c>
      <c r="G477" s="24">
        <v>24000000</v>
      </c>
      <c r="H477" s="23">
        <v>5.0000000000000001E-3</v>
      </c>
      <c r="I477" s="39">
        <v>44409</v>
      </c>
      <c r="J477" s="39">
        <v>44439</v>
      </c>
      <c r="K477" s="24">
        <f t="shared" si="32"/>
        <v>31</v>
      </c>
      <c r="L477" s="24">
        <f t="shared" si="33"/>
        <v>10192</v>
      </c>
      <c r="M477" s="24">
        <v>24000000</v>
      </c>
    </row>
    <row r="478" spans="1:13" s="5" customFormat="1" outlineLevel="2">
      <c r="A478" s="39" t="s">
        <v>142</v>
      </c>
      <c r="B478" s="40" t="s">
        <v>193</v>
      </c>
      <c r="C478" s="41" t="s">
        <v>125</v>
      </c>
      <c r="D478" s="40" t="s">
        <v>126</v>
      </c>
      <c r="E478" s="24">
        <v>24000000</v>
      </c>
      <c r="F478" s="39">
        <v>44127</v>
      </c>
      <c r="G478" s="24">
        <v>24000000</v>
      </c>
      <c r="H478" s="23">
        <v>5.0000000000000001E-3</v>
      </c>
      <c r="I478" s="39">
        <v>44409</v>
      </c>
      <c r="J478" s="39">
        <v>44439</v>
      </c>
      <c r="K478" s="24">
        <f t="shared" si="32"/>
        <v>31</v>
      </c>
      <c r="L478" s="24">
        <f t="shared" si="33"/>
        <v>10192</v>
      </c>
      <c r="M478" s="24">
        <v>24000000</v>
      </c>
    </row>
    <row r="479" spans="1:13" s="5" customFormat="1" outlineLevel="2">
      <c r="A479" s="39" t="s">
        <v>142</v>
      </c>
      <c r="B479" s="40" t="s">
        <v>194</v>
      </c>
      <c r="C479" s="41" t="s">
        <v>123</v>
      </c>
      <c r="D479" s="40" t="s">
        <v>124</v>
      </c>
      <c r="E479" s="24">
        <v>5000000</v>
      </c>
      <c r="F479" s="39">
        <v>44134</v>
      </c>
      <c r="G479" s="24">
        <v>5000000</v>
      </c>
      <c r="H479" s="23">
        <v>5.0000000000000001E-3</v>
      </c>
      <c r="I479" s="39">
        <v>44409</v>
      </c>
      <c r="J479" s="39">
        <v>44439</v>
      </c>
      <c r="K479" s="24">
        <f t="shared" si="32"/>
        <v>31</v>
      </c>
      <c r="L479" s="24">
        <f t="shared" si="33"/>
        <v>2123</v>
      </c>
      <c r="M479" s="24">
        <v>5000000</v>
      </c>
    </row>
    <row r="480" spans="1:13" s="5" customFormat="1" outlineLevel="2">
      <c r="A480" s="39" t="s">
        <v>142</v>
      </c>
      <c r="B480" s="40" t="s">
        <v>195</v>
      </c>
      <c r="C480" s="41" t="s">
        <v>146</v>
      </c>
      <c r="D480" s="40" t="s">
        <v>147</v>
      </c>
      <c r="E480" s="24">
        <v>16000000</v>
      </c>
      <c r="F480" s="39">
        <v>44139</v>
      </c>
      <c r="G480" s="24">
        <v>16000000</v>
      </c>
      <c r="H480" s="23">
        <v>5.0000000000000001E-3</v>
      </c>
      <c r="I480" s="39">
        <v>44409</v>
      </c>
      <c r="J480" s="39">
        <v>44439</v>
      </c>
      <c r="K480" s="24">
        <f t="shared" si="32"/>
        <v>31</v>
      </c>
      <c r="L480" s="24">
        <f t="shared" si="33"/>
        <v>6795</v>
      </c>
      <c r="M480" s="24">
        <v>16000000</v>
      </c>
    </row>
    <row r="481" spans="1:13" s="5" customFormat="1" outlineLevel="2">
      <c r="A481" s="39" t="s">
        <v>142</v>
      </c>
      <c r="B481" s="40" t="s">
        <v>64</v>
      </c>
      <c r="C481" s="41" t="s">
        <v>143</v>
      </c>
      <c r="D481" s="40" t="s">
        <v>144</v>
      </c>
      <c r="E481" s="24">
        <v>1800000</v>
      </c>
      <c r="F481" s="39">
        <v>43876</v>
      </c>
      <c r="G481" s="24">
        <v>1800000</v>
      </c>
      <c r="H481" s="23">
        <v>5.0000000000000001E-3</v>
      </c>
      <c r="I481" s="39">
        <v>44409</v>
      </c>
      <c r="J481" s="39">
        <v>44439</v>
      </c>
      <c r="K481" s="24">
        <f t="shared" si="32"/>
        <v>31</v>
      </c>
      <c r="L481" s="24">
        <f t="shared" si="33"/>
        <v>764</v>
      </c>
      <c r="M481" s="24">
        <v>1800000</v>
      </c>
    </row>
    <row r="482" spans="1:13" s="5" customFormat="1" outlineLevel="2">
      <c r="A482" s="39" t="s">
        <v>142</v>
      </c>
      <c r="B482" s="40" t="s">
        <v>196</v>
      </c>
      <c r="C482" s="41" t="s">
        <v>146</v>
      </c>
      <c r="D482" s="40" t="s">
        <v>147</v>
      </c>
      <c r="E482" s="24">
        <v>6000000</v>
      </c>
      <c r="F482" s="39">
        <v>44145</v>
      </c>
      <c r="G482" s="24">
        <v>6000000</v>
      </c>
      <c r="H482" s="23">
        <v>5.0000000000000001E-3</v>
      </c>
      <c r="I482" s="39">
        <v>44409</v>
      </c>
      <c r="J482" s="39">
        <v>44439</v>
      </c>
      <c r="K482" s="24">
        <f t="shared" si="32"/>
        <v>31</v>
      </c>
      <c r="L482" s="24">
        <f t="shared" si="33"/>
        <v>2548</v>
      </c>
      <c r="M482" s="24">
        <v>6000000</v>
      </c>
    </row>
    <row r="483" spans="1:13" s="5" customFormat="1" outlineLevel="2">
      <c r="A483" s="39" t="s">
        <v>142</v>
      </c>
      <c r="B483" s="40" t="s">
        <v>197</v>
      </c>
      <c r="C483" s="41" t="s">
        <v>143</v>
      </c>
      <c r="D483" s="40" t="s">
        <v>144</v>
      </c>
      <c r="E483" s="24">
        <v>19000000</v>
      </c>
      <c r="F483" s="39">
        <v>44140</v>
      </c>
      <c r="G483" s="24">
        <v>19000000</v>
      </c>
      <c r="H483" s="23">
        <v>5.0000000000000001E-3</v>
      </c>
      <c r="I483" s="39">
        <v>44409</v>
      </c>
      <c r="J483" s="39">
        <v>44439</v>
      </c>
      <c r="K483" s="24">
        <f t="shared" si="32"/>
        <v>31</v>
      </c>
      <c r="L483" s="24">
        <f t="shared" si="33"/>
        <v>8068</v>
      </c>
      <c r="M483" s="24">
        <v>19000000</v>
      </c>
    </row>
    <row r="484" spans="1:13" s="5" customFormat="1" outlineLevel="2">
      <c r="A484" s="39" t="s">
        <v>142</v>
      </c>
      <c r="B484" s="40" t="s">
        <v>198</v>
      </c>
      <c r="C484" s="41" t="s">
        <v>143</v>
      </c>
      <c r="D484" s="40" t="s">
        <v>144</v>
      </c>
      <c r="E484" s="24">
        <v>1800000</v>
      </c>
      <c r="F484" s="39">
        <v>44165</v>
      </c>
      <c r="G484" s="24">
        <v>1800000</v>
      </c>
      <c r="H484" s="23">
        <v>5.0000000000000001E-3</v>
      </c>
      <c r="I484" s="39">
        <v>44409</v>
      </c>
      <c r="J484" s="39">
        <v>44439</v>
      </c>
      <c r="K484" s="24">
        <f t="shared" si="32"/>
        <v>31</v>
      </c>
      <c r="L484" s="24">
        <f t="shared" si="33"/>
        <v>764</v>
      </c>
      <c r="M484" s="24">
        <v>1800000</v>
      </c>
    </row>
    <row r="485" spans="1:13" s="5" customFormat="1" outlineLevel="2">
      <c r="A485" s="39" t="s">
        <v>142</v>
      </c>
      <c r="B485" s="40" t="s">
        <v>199</v>
      </c>
      <c r="C485" s="41" t="s">
        <v>143</v>
      </c>
      <c r="D485" s="40" t="s">
        <v>144</v>
      </c>
      <c r="E485" s="24">
        <v>5500000</v>
      </c>
      <c r="F485" s="39">
        <v>44165</v>
      </c>
      <c r="G485" s="24">
        <v>5500000</v>
      </c>
      <c r="H485" s="23">
        <v>5.0000000000000001E-3</v>
      </c>
      <c r="I485" s="39">
        <v>44409</v>
      </c>
      <c r="J485" s="39">
        <v>44439</v>
      </c>
      <c r="K485" s="24">
        <f t="shared" si="32"/>
        <v>31</v>
      </c>
      <c r="L485" s="24">
        <f t="shared" si="33"/>
        <v>2336</v>
      </c>
      <c r="M485" s="24">
        <v>5500000</v>
      </c>
    </row>
    <row r="486" spans="1:13" s="5" customFormat="1" outlineLevel="2">
      <c r="A486" s="39" t="s">
        <v>142</v>
      </c>
      <c r="B486" s="40" t="s">
        <v>200</v>
      </c>
      <c r="C486" s="41" t="s">
        <v>143</v>
      </c>
      <c r="D486" s="40" t="s">
        <v>144</v>
      </c>
      <c r="E486" s="24">
        <v>8600000</v>
      </c>
      <c r="F486" s="39">
        <v>44165</v>
      </c>
      <c r="G486" s="24">
        <v>8600000</v>
      </c>
      <c r="H486" s="23">
        <v>5.0000000000000001E-3</v>
      </c>
      <c r="I486" s="39">
        <v>44409</v>
      </c>
      <c r="J486" s="39">
        <v>44439</v>
      </c>
      <c r="K486" s="24">
        <f t="shared" ref="K486:K517" si="34">J486-I486+1</f>
        <v>31</v>
      </c>
      <c r="L486" s="24">
        <f t="shared" ref="L486:L517" si="35">ROUND(G486*H486*K486/365,0)</f>
        <v>3652</v>
      </c>
      <c r="M486" s="24">
        <v>8600000</v>
      </c>
    </row>
    <row r="487" spans="1:13" s="5" customFormat="1" outlineLevel="2">
      <c r="A487" s="39" t="s">
        <v>142</v>
      </c>
      <c r="B487" s="40" t="s">
        <v>201</v>
      </c>
      <c r="C487" s="41" t="s">
        <v>161</v>
      </c>
      <c r="D487" s="40" t="s">
        <v>162</v>
      </c>
      <c r="E487" s="24">
        <v>150000000</v>
      </c>
      <c r="F487" s="39">
        <v>44144</v>
      </c>
      <c r="G487" s="24">
        <v>150000000</v>
      </c>
      <c r="H487" s="23">
        <v>5.0000000000000001E-3</v>
      </c>
      <c r="I487" s="39">
        <v>44409</v>
      </c>
      <c r="J487" s="39">
        <v>44439</v>
      </c>
      <c r="K487" s="24">
        <f t="shared" si="34"/>
        <v>31</v>
      </c>
      <c r="L487" s="24">
        <f t="shared" si="35"/>
        <v>63699</v>
      </c>
      <c r="M487" s="24">
        <v>150000000</v>
      </c>
    </row>
    <row r="488" spans="1:13" s="5" customFormat="1" outlineLevel="2">
      <c r="A488" s="39" t="s">
        <v>142</v>
      </c>
      <c r="B488" s="40" t="s">
        <v>202</v>
      </c>
      <c r="C488" s="41" t="s">
        <v>125</v>
      </c>
      <c r="D488" s="40" t="s">
        <v>126</v>
      </c>
      <c r="E488" s="24">
        <v>2500000</v>
      </c>
      <c r="F488" s="39">
        <v>44147</v>
      </c>
      <c r="G488" s="24">
        <v>2500000</v>
      </c>
      <c r="H488" s="23">
        <v>5.0000000000000001E-3</v>
      </c>
      <c r="I488" s="39">
        <v>44409</v>
      </c>
      <c r="J488" s="39">
        <v>44439</v>
      </c>
      <c r="K488" s="24">
        <f t="shared" si="34"/>
        <v>31</v>
      </c>
      <c r="L488" s="24">
        <f t="shared" si="35"/>
        <v>1062</v>
      </c>
      <c r="M488" s="24">
        <v>2500000</v>
      </c>
    </row>
    <row r="489" spans="1:13" s="5" customFormat="1" outlineLevel="2">
      <c r="A489" s="39" t="s">
        <v>142</v>
      </c>
      <c r="B489" s="40" t="s">
        <v>203</v>
      </c>
      <c r="C489" s="41" t="s">
        <v>125</v>
      </c>
      <c r="D489" s="40" t="s">
        <v>126</v>
      </c>
      <c r="E489" s="24">
        <v>18000000</v>
      </c>
      <c r="F489" s="39">
        <v>44158</v>
      </c>
      <c r="G489" s="24">
        <v>18000000</v>
      </c>
      <c r="H489" s="23">
        <v>5.0000000000000001E-3</v>
      </c>
      <c r="I489" s="39">
        <v>44409</v>
      </c>
      <c r="J489" s="39">
        <v>44439</v>
      </c>
      <c r="K489" s="24">
        <f t="shared" si="34"/>
        <v>31</v>
      </c>
      <c r="L489" s="24">
        <f t="shared" si="35"/>
        <v>7644</v>
      </c>
      <c r="M489" s="24">
        <v>18000000</v>
      </c>
    </row>
    <row r="490" spans="1:13" s="5" customFormat="1" outlineLevel="2">
      <c r="A490" s="39" t="s">
        <v>142</v>
      </c>
      <c r="B490" s="40" t="s">
        <v>204</v>
      </c>
      <c r="C490" s="41" t="s">
        <v>149</v>
      </c>
      <c r="D490" s="40" t="s">
        <v>150</v>
      </c>
      <c r="E490" s="24">
        <v>1764000</v>
      </c>
      <c r="F490" s="39">
        <v>44147</v>
      </c>
      <c r="G490" s="24">
        <v>1764000</v>
      </c>
      <c r="H490" s="23">
        <v>5.0000000000000001E-3</v>
      </c>
      <c r="I490" s="39">
        <v>44409</v>
      </c>
      <c r="J490" s="39">
        <v>44439</v>
      </c>
      <c r="K490" s="24">
        <f t="shared" si="34"/>
        <v>31</v>
      </c>
      <c r="L490" s="24">
        <f t="shared" si="35"/>
        <v>749</v>
      </c>
      <c r="M490" s="24">
        <v>1764000</v>
      </c>
    </row>
    <row r="491" spans="1:13" s="5" customFormat="1" outlineLevel="2">
      <c r="A491" s="39" t="s">
        <v>142</v>
      </c>
      <c r="B491" s="40" t="s">
        <v>205</v>
      </c>
      <c r="C491" s="41" t="s">
        <v>163</v>
      </c>
      <c r="D491" s="40" t="s">
        <v>164</v>
      </c>
      <c r="E491" s="24">
        <v>15000000</v>
      </c>
      <c r="F491" s="39">
        <v>44153</v>
      </c>
      <c r="G491" s="24">
        <v>13956520</v>
      </c>
      <c r="H491" s="23">
        <v>5.0000000000000001E-3</v>
      </c>
      <c r="I491" s="39">
        <v>44409</v>
      </c>
      <c r="J491" s="39">
        <v>44423</v>
      </c>
      <c r="K491" s="24">
        <f t="shared" si="34"/>
        <v>15</v>
      </c>
      <c r="L491" s="24">
        <f t="shared" si="35"/>
        <v>2868</v>
      </c>
      <c r="M491" s="24">
        <v>13826085</v>
      </c>
    </row>
    <row r="492" spans="1:13" s="5" customFormat="1" outlineLevel="2">
      <c r="A492" s="39" t="s">
        <v>142</v>
      </c>
      <c r="B492" s="40" t="s">
        <v>205</v>
      </c>
      <c r="C492" s="41" t="s">
        <v>163</v>
      </c>
      <c r="D492" s="40"/>
      <c r="E492" s="24"/>
      <c r="F492" s="39"/>
      <c r="G492" s="24">
        <v>13826085</v>
      </c>
      <c r="H492" s="23">
        <v>5.0000000000000001E-3</v>
      </c>
      <c r="I492" s="39">
        <v>44424</v>
      </c>
      <c r="J492" s="39">
        <v>44439</v>
      </c>
      <c r="K492" s="24">
        <f t="shared" si="34"/>
        <v>16</v>
      </c>
      <c r="L492" s="24">
        <f t="shared" si="35"/>
        <v>3030</v>
      </c>
      <c r="M492" s="24"/>
    </row>
    <row r="493" spans="1:13" s="5" customFormat="1" outlineLevel="2">
      <c r="A493" s="39" t="s">
        <v>142</v>
      </c>
      <c r="B493" s="40" t="s">
        <v>65</v>
      </c>
      <c r="C493" s="41" t="s">
        <v>117</v>
      </c>
      <c r="D493" s="40" t="s">
        <v>118</v>
      </c>
      <c r="E493" s="24">
        <v>30000000</v>
      </c>
      <c r="F493" s="39">
        <v>43906</v>
      </c>
      <c r="G493" s="24">
        <v>30000000</v>
      </c>
      <c r="H493" s="23">
        <v>5.0000000000000001E-3</v>
      </c>
      <c r="I493" s="39">
        <v>44409</v>
      </c>
      <c r="J493" s="39">
        <v>44439</v>
      </c>
      <c r="K493" s="24">
        <f t="shared" si="34"/>
        <v>31</v>
      </c>
      <c r="L493" s="24">
        <f t="shared" si="35"/>
        <v>12740</v>
      </c>
      <c r="M493" s="24">
        <v>30000000</v>
      </c>
    </row>
    <row r="494" spans="1:13" s="5" customFormat="1" outlineLevel="2">
      <c r="A494" s="39" t="s">
        <v>142</v>
      </c>
      <c r="B494" s="40" t="s">
        <v>206</v>
      </c>
      <c r="C494" s="41" t="s">
        <v>87</v>
      </c>
      <c r="D494" s="40" t="s">
        <v>88</v>
      </c>
      <c r="E494" s="24">
        <v>13481921</v>
      </c>
      <c r="F494" s="39">
        <v>44158</v>
      </c>
      <c r="G494" s="24">
        <v>13481921</v>
      </c>
      <c r="H494" s="23">
        <v>5.0000000000000001E-3</v>
      </c>
      <c r="I494" s="39">
        <v>44409</v>
      </c>
      <c r="J494" s="39">
        <v>44439</v>
      </c>
      <c r="K494" s="24">
        <f t="shared" si="34"/>
        <v>31</v>
      </c>
      <c r="L494" s="24">
        <f t="shared" si="35"/>
        <v>5725</v>
      </c>
      <c r="M494" s="24">
        <v>13481921</v>
      </c>
    </row>
    <row r="495" spans="1:13" s="5" customFormat="1" outlineLevel="2">
      <c r="A495" s="39" t="s">
        <v>142</v>
      </c>
      <c r="B495" s="40" t="s">
        <v>207</v>
      </c>
      <c r="C495" s="41" t="s">
        <v>85</v>
      </c>
      <c r="D495" s="40" t="s">
        <v>86</v>
      </c>
      <c r="E495" s="24">
        <v>2682500</v>
      </c>
      <c r="F495" s="39">
        <v>44165</v>
      </c>
      <c r="G495" s="24">
        <v>2682500</v>
      </c>
      <c r="H495" s="23">
        <v>5.0000000000000001E-3</v>
      </c>
      <c r="I495" s="39">
        <v>44409</v>
      </c>
      <c r="J495" s="39">
        <v>44439</v>
      </c>
      <c r="K495" s="24">
        <f t="shared" si="34"/>
        <v>31</v>
      </c>
      <c r="L495" s="24">
        <f t="shared" si="35"/>
        <v>1139</v>
      </c>
      <c r="M495" s="24">
        <v>2682500</v>
      </c>
    </row>
    <row r="496" spans="1:13" s="5" customFormat="1" outlineLevel="2">
      <c r="A496" s="39" t="s">
        <v>142</v>
      </c>
      <c r="B496" s="40" t="s">
        <v>208</v>
      </c>
      <c r="C496" s="41" t="s">
        <v>85</v>
      </c>
      <c r="D496" s="40" t="s">
        <v>86</v>
      </c>
      <c r="E496" s="24">
        <v>8047500</v>
      </c>
      <c r="F496" s="39">
        <v>44165</v>
      </c>
      <c r="G496" s="24">
        <v>8047500</v>
      </c>
      <c r="H496" s="23">
        <v>5.0000000000000001E-3</v>
      </c>
      <c r="I496" s="39">
        <v>44409</v>
      </c>
      <c r="J496" s="39">
        <v>44439</v>
      </c>
      <c r="K496" s="24">
        <f t="shared" si="34"/>
        <v>31</v>
      </c>
      <c r="L496" s="24">
        <f t="shared" si="35"/>
        <v>3417</v>
      </c>
      <c r="M496" s="24">
        <v>8047500</v>
      </c>
    </row>
    <row r="497" spans="1:13" s="5" customFormat="1" outlineLevel="2">
      <c r="A497" s="39" t="s">
        <v>142</v>
      </c>
      <c r="B497" s="40" t="s">
        <v>209</v>
      </c>
      <c r="C497" s="41" t="s">
        <v>146</v>
      </c>
      <c r="D497" s="40" t="s">
        <v>147</v>
      </c>
      <c r="E497" s="24">
        <v>15600000</v>
      </c>
      <c r="F497" s="39">
        <v>44168</v>
      </c>
      <c r="G497" s="24">
        <v>15600000</v>
      </c>
      <c r="H497" s="23">
        <v>5.0000000000000001E-3</v>
      </c>
      <c r="I497" s="39">
        <v>44409</v>
      </c>
      <c r="J497" s="39">
        <v>44439</v>
      </c>
      <c r="K497" s="24">
        <f t="shared" si="34"/>
        <v>31</v>
      </c>
      <c r="L497" s="24">
        <f t="shared" si="35"/>
        <v>6625</v>
      </c>
      <c r="M497" s="24">
        <v>15600000</v>
      </c>
    </row>
    <row r="498" spans="1:13" s="5" customFormat="1" outlineLevel="2">
      <c r="A498" s="39" t="s">
        <v>142</v>
      </c>
      <c r="B498" s="40" t="s">
        <v>210</v>
      </c>
      <c r="C498" s="41" t="s">
        <v>146</v>
      </c>
      <c r="D498" s="40" t="s">
        <v>147</v>
      </c>
      <c r="E498" s="24">
        <v>4400000</v>
      </c>
      <c r="F498" s="39">
        <v>44173</v>
      </c>
      <c r="G498" s="24">
        <v>4400000</v>
      </c>
      <c r="H498" s="23">
        <v>5.0000000000000001E-3</v>
      </c>
      <c r="I498" s="39">
        <v>44409</v>
      </c>
      <c r="J498" s="39">
        <v>44439</v>
      </c>
      <c r="K498" s="24">
        <f t="shared" si="34"/>
        <v>31</v>
      </c>
      <c r="L498" s="24">
        <f t="shared" si="35"/>
        <v>1868</v>
      </c>
      <c r="M498" s="24">
        <v>4400000</v>
      </c>
    </row>
    <row r="499" spans="1:13" s="5" customFormat="1" outlineLevel="2">
      <c r="A499" s="39" t="s">
        <v>142</v>
      </c>
      <c r="B499" s="40" t="s">
        <v>211</v>
      </c>
      <c r="C499" s="41" t="s">
        <v>187</v>
      </c>
      <c r="D499" s="40" t="s">
        <v>188</v>
      </c>
      <c r="E499" s="24">
        <v>88900000</v>
      </c>
      <c r="F499" s="39">
        <v>44169</v>
      </c>
      <c r="G499" s="24">
        <v>88900000</v>
      </c>
      <c r="H499" s="23">
        <v>5.0000000000000001E-3</v>
      </c>
      <c r="I499" s="39">
        <v>44409</v>
      </c>
      <c r="J499" s="39">
        <v>44439</v>
      </c>
      <c r="K499" s="24">
        <f t="shared" si="34"/>
        <v>31</v>
      </c>
      <c r="L499" s="24">
        <f t="shared" si="35"/>
        <v>37752</v>
      </c>
      <c r="M499" s="24">
        <v>88900000</v>
      </c>
    </row>
    <row r="500" spans="1:13" s="5" customFormat="1" outlineLevel="2">
      <c r="A500" s="39" t="s">
        <v>142</v>
      </c>
      <c r="B500" s="40" t="s">
        <v>212</v>
      </c>
      <c r="C500" s="41" t="s">
        <v>163</v>
      </c>
      <c r="D500" s="40" t="s">
        <v>164</v>
      </c>
      <c r="E500" s="24">
        <v>7300000</v>
      </c>
      <c r="F500" s="39">
        <v>44173</v>
      </c>
      <c r="G500" s="24">
        <v>6851755</v>
      </c>
      <c r="H500" s="23">
        <v>5.0000000000000001E-3</v>
      </c>
      <c r="I500" s="39">
        <v>44409</v>
      </c>
      <c r="J500" s="39">
        <v>44423</v>
      </c>
      <c r="K500" s="24">
        <f t="shared" si="34"/>
        <v>15</v>
      </c>
      <c r="L500" s="24">
        <f t="shared" si="35"/>
        <v>1408</v>
      </c>
      <c r="M500" s="24">
        <v>6787720</v>
      </c>
    </row>
    <row r="501" spans="1:13" s="5" customFormat="1" outlineLevel="2">
      <c r="A501" s="39" t="s">
        <v>142</v>
      </c>
      <c r="B501" s="40" t="s">
        <v>212</v>
      </c>
      <c r="C501" s="41" t="s">
        <v>163</v>
      </c>
      <c r="D501" s="40"/>
      <c r="E501" s="24"/>
      <c r="F501" s="39"/>
      <c r="G501" s="24">
        <v>6787720</v>
      </c>
      <c r="H501" s="23">
        <v>5.0000000000000001E-3</v>
      </c>
      <c r="I501" s="39">
        <v>44424</v>
      </c>
      <c r="J501" s="39">
        <v>44439</v>
      </c>
      <c r="K501" s="24">
        <f t="shared" si="34"/>
        <v>16</v>
      </c>
      <c r="L501" s="24">
        <f t="shared" si="35"/>
        <v>1488</v>
      </c>
      <c r="M501" s="24"/>
    </row>
    <row r="502" spans="1:13" s="5" customFormat="1" outlineLevel="2">
      <c r="A502" s="39" t="s">
        <v>142</v>
      </c>
      <c r="B502" s="40" t="s">
        <v>213</v>
      </c>
      <c r="C502" s="41" t="s">
        <v>149</v>
      </c>
      <c r="D502" s="40" t="s">
        <v>150</v>
      </c>
      <c r="E502" s="24">
        <v>2184000</v>
      </c>
      <c r="F502" s="39">
        <v>44174</v>
      </c>
      <c r="G502" s="24">
        <v>2184000</v>
      </c>
      <c r="H502" s="23">
        <v>5.0000000000000001E-3</v>
      </c>
      <c r="I502" s="39">
        <v>44409</v>
      </c>
      <c r="J502" s="39">
        <v>44439</v>
      </c>
      <c r="K502" s="24">
        <f t="shared" si="34"/>
        <v>31</v>
      </c>
      <c r="L502" s="24">
        <f t="shared" si="35"/>
        <v>927</v>
      </c>
      <c r="M502" s="24">
        <v>2184000</v>
      </c>
    </row>
    <row r="503" spans="1:13" s="5" customFormat="1" outlineLevel="2">
      <c r="A503" s="39" t="s">
        <v>142</v>
      </c>
      <c r="B503" s="40" t="s">
        <v>214</v>
      </c>
      <c r="C503" s="41" t="s">
        <v>149</v>
      </c>
      <c r="D503" s="40" t="s">
        <v>150</v>
      </c>
      <c r="E503" s="24">
        <v>20764000</v>
      </c>
      <c r="F503" s="39">
        <v>44176</v>
      </c>
      <c r="G503" s="24">
        <v>20764000</v>
      </c>
      <c r="H503" s="23">
        <v>5.0000000000000001E-3</v>
      </c>
      <c r="I503" s="39">
        <v>44409</v>
      </c>
      <c r="J503" s="39">
        <v>44439</v>
      </c>
      <c r="K503" s="24">
        <f t="shared" si="34"/>
        <v>31</v>
      </c>
      <c r="L503" s="24">
        <f t="shared" si="35"/>
        <v>8818</v>
      </c>
      <c r="M503" s="24">
        <v>20764000</v>
      </c>
    </row>
    <row r="504" spans="1:13" s="5" customFormat="1" outlineLevel="2">
      <c r="A504" s="39" t="s">
        <v>142</v>
      </c>
      <c r="B504" s="40" t="s">
        <v>215</v>
      </c>
      <c r="C504" s="41" t="s">
        <v>149</v>
      </c>
      <c r="D504" s="40" t="s">
        <v>150</v>
      </c>
      <c r="E504" s="24">
        <v>2423030</v>
      </c>
      <c r="F504" s="39">
        <v>44190</v>
      </c>
      <c r="G504" s="24">
        <v>2423030</v>
      </c>
      <c r="H504" s="23">
        <v>5.0000000000000001E-3</v>
      </c>
      <c r="I504" s="39">
        <v>44409</v>
      </c>
      <c r="J504" s="39">
        <v>44439</v>
      </c>
      <c r="K504" s="24">
        <f t="shared" si="34"/>
        <v>31</v>
      </c>
      <c r="L504" s="24">
        <f t="shared" si="35"/>
        <v>1029</v>
      </c>
      <c r="M504" s="24">
        <v>2423030</v>
      </c>
    </row>
    <row r="505" spans="1:13" s="5" customFormat="1" outlineLevel="2">
      <c r="A505" s="39" t="s">
        <v>142</v>
      </c>
      <c r="B505" s="40" t="s">
        <v>68</v>
      </c>
      <c r="C505" s="41" t="s">
        <v>117</v>
      </c>
      <c r="D505" s="40" t="s">
        <v>118</v>
      </c>
      <c r="E505" s="24">
        <v>50000000</v>
      </c>
      <c r="F505" s="39">
        <v>43908</v>
      </c>
      <c r="G505" s="24">
        <v>50000000</v>
      </c>
      <c r="H505" s="23">
        <v>5.0000000000000001E-3</v>
      </c>
      <c r="I505" s="39">
        <v>44409</v>
      </c>
      <c r="J505" s="39">
        <v>44439</v>
      </c>
      <c r="K505" s="24">
        <f t="shared" si="34"/>
        <v>31</v>
      </c>
      <c r="L505" s="24">
        <f t="shared" si="35"/>
        <v>21233</v>
      </c>
      <c r="M505" s="24">
        <v>50000000</v>
      </c>
    </row>
    <row r="506" spans="1:13" s="5" customFormat="1" outlineLevel="2">
      <c r="A506" s="39" t="s">
        <v>142</v>
      </c>
      <c r="B506" s="40" t="s">
        <v>216</v>
      </c>
      <c r="C506" s="41" t="s">
        <v>149</v>
      </c>
      <c r="D506" s="40" t="s">
        <v>150</v>
      </c>
      <c r="E506" s="24">
        <v>5653738</v>
      </c>
      <c r="F506" s="39">
        <v>44196</v>
      </c>
      <c r="G506" s="24">
        <v>5653738</v>
      </c>
      <c r="H506" s="23">
        <v>5.0000000000000001E-3</v>
      </c>
      <c r="I506" s="39">
        <v>44409</v>
      </c>
      <c r="J506" s="39">
        <v>44439</v>
      </c>
      <c r="K506" s="24">
        <f t="shared" si="34"/>
        <v>31</v>
      </c>
      <c r="L506" s="24">
        <f t="shared" si="35"/>
        <v>2401</v>
      </c>
      <c r="M506" s="24">
        <v>5653738</v>
      </c>
    </row>
    <row r="507" spans="1:13" s="5" customFormat="1" outlineLevel="2">
      <c r="A507" s="39" t="s">
        <v>142</v>
      </c>
      <c r="B507" s="40" t="s">
        <v>217</v>
      </c>
      <c r="C507" s="41" t="s">
        <v>155</v>
      </c>
      <c r="D507" s="40" t="s">
        <v>156</v>
      </c>
      <c r="E507" s="24">
        <v>200000000</v>
      </c>
      <c r="F507" s="39">
        <v>44190</v>
      </c>
      <c r="G507" s="24">
        <v>200000000</v>
      </c>
      <c r="H507" s="23">
        <v>5.0000000000000001E-3</v>
      </c>
      <c r="I507" s="39">
        <v>44409</v>
      </c>
      <c r="J507" s="39">
        <v>44439</v>
      </c>
      <c r="K507" s="24">
        <f t="shared" si="34"/>
        <v>31</v>
      </c>
      <c r="L507" s="24">
        <f t="shared" si="35"/>
        <v>84932</v>
      </c>
      <c r="M507" s="24">
        <v>200000000</v>
      </c>
    </row>
    <row r="508" spans="1:13" s="5" customFormat="1" outlineLevel="2">
      <c r="A508" s="39" t="s">
        <v>142</v>
      </c>
      <c r="B508" s="40" t="s">
        <v>218</v>
      </c>
      <c r="C508" s="41" t="s">
        <v>219</v>
      </c>
      <c r="D508" s="40" t="s">
        <v>220</v>
      </c>
      <c r="E508" s="24">
        <v>14160000</v>
      </c>
      <c r="F508" s="39">
        <v>44190</v>
      </c>
      <c r="G508" s="24">
        <v>14160000</v>
      </c>
      <c r="H508" s="23">
        <v>5.0000000000000001E-3</v>
      </c>
      <c r="I508" s="39">
        <v>44409</v>
      </c>
      <c r="J508" s="39">
        <v>44439</v>
      </c>
      <c r="K508" s="24">
        <f t="shared" si="34"/>
        <v>31</v>
      </c>
      <c r="L508" s="24">
        <f t="shared" si="35"/>
        <v>6013</v>
      </c>
      <c r="M508" s="24">
        <v>14160000</v>
      </c>
    </row>
    <row r="509" spans="1:13" s="5" customFormat="1" outlineLevel="2">
      <c r="A509" s="39" t="s">
        <v>142</v>
      </c>
      <c r="B509" s="40" t="s">
        <v>221</v>
      </c>
      <c r="C509" s="41" t="s">
        <v>87</v>
      </c>
      <c r="D509" s="40" t="s">
        <v>88</v>
      </c>
      <c r="E509" s="24">
        <v>13481921</v>
      </c>
      <c r="F509" s="39">
        <v>44190</v>
      </c>
      <c r="G509" s="24">
        <v>13481921</v>
      </c>
      <c r="H509" s="23">
        <v>5.0000000000000001E-3</v>
      </c>
      <c r="I509" s="39">
        <v>44409</v>
      </c>
      <c r="J509" s="39">
        <v>44439</v>
      </c>
      <c r="K509" s="24">
        <f t="shared" si="34"/>
        <v>31</v>
      </c>
      <c r="L509" s="24">
        <f t="shared" si="35"/>
        <v>5725</v>
      </c>
      <c r="M509" s="24">
        <v>13481921</v>
      </c>
    </row>
    <row r="510" spans="1:13" s="5" customFormat="1" outlineLevel="2">
      <c r="A510" s="39" t="s">
        <v>142</v>
      </c>
      <c r="B510" s="40" t="s">
        <v>222</v>
      </c>
      <c r="C510" s="41" t="s">
        <v>143</v>
      </c>
      <c r="D510" s="40" t="s">
        <v>144</v>
      </c>
      <c r="E510" s="24">
        <v>1800000</v>
      </c>
      <c r="F510" s="39">
        <v>44190</v>
      </c>
      <c r="G510" s="24">
        <v>1800000</v>
      </c>
      <c r="H510" s="23">
        <v>5.0000000000000001E-3</v>
      </c>
      <c r="I510" s="39">
        <v>44409</v>
      </c>
      <c r="J510" s="39">
        <v>44439</v>
      </c>
      <c r="K510" s="24">
        <f t="shared" si="34"/>
        <v>31</v>
      </c>
      <c r="L510" s="24">
        <f t="shared" si="35"/>
        <v>764</v>
      </c>
      <c r="M510" s="24">
        <v>1800000</v>
      </c>
    </row>
    <row r="511" spans="1:13" s="5" customFormat="1" outlineLevel="2">
      <c r="A511" s="39" t="s">
        <v>142</v>
      </c>
      <c r="B511" s="40" t="s">
        <v>223</v>
      </c>
      <c r="C511" s="41" t="s">
        <v>143</v>
      </c>
      <c r="D511" s="40" t="s">
        <v>144</v>
      </c>
      <c r="E511" s="24">
        <v>8300000</v>
      </c>
      <c r="F511" s="39">
        <v>44196</v>
      </c>
      <c r="G511" s="24">
        <v>8300000</v>
      </c>
      <c r="H511" s="23">
        <v>5.0000000000000001E-3</v>
      </c>
      <c r="I511" s="39">
        <v>44409</v>
      </c>
      <c r="J511" s="39">
        <v>44439</v>
      </c>
      <c r="K511" s="24">
        <f t="shared" si="34"/>
        <v>31</v>
      </c>
      <c r="L511" s="24">
        <f t="shared" si="35"/>
        <v>3525</v>
      </c>
      <c r="M511" s="24">
        <v>8300000</v>
      </c>
    </row>
    <row r="512" spans="1:13" s="5" customFormat="1" outlineLevel="2">
      <c r="A512" s="39" t="s">
        <v>142</v>
      </c>
      <c r="B512" s="40" t="s">
        <v>224</v>
      </c>
      <c r="C512" s="41" t="s">
        <v>165</v>
      </c>
      <c r="D512" s="40" t="s">
        <v>166</v>
      </c>
      <c r="E512" s="24">
        <v>39740000</v>
      </c>
      <c r="F512" s="39">
        <v>44195</v>
      </c>
      <c r="G512" s="24">
        <v>39740000</v>
      </c>
      <c r="H512" s="23">
        <v>5.0000000000000001E-3</v>
      </c>
      <c r="I512" s="39">
        <v>44409</v>
      </c>
      <c r="J512" s="39">
        <v>44439</v>
      </c>
      <c r="K512" s="24">
        <f t="shared" si="34"/>
        <v>31</v>
      </c>
      <c r="L512" s="24">
        <f t="shared" si="35"/>
        <v>16876</v>
      </c>
      <c r="M512" s="24">
        <v>39740000</v>
      </c>
    </row>
    <row r="513" spans="1:13" s="5" customFormat="1" outlineLevel="2">
      <c r="A513" s="39" t="s">
        <v>142</v>
      </c>
      <c r="B513" s="40" t="s">
        <v>225</v>
      </c>
      <c r="C513" s="41" t="s">
        <v>85</v>
      </c>
      <c r="D513" s="40" t="s">
        <v>86</v>
      </c>
      <c r="E513" s="24">
        <v>4842500</v>
      </c>
      <c r="F513" s="39">
        <v>44202</v>
      </c>
      <c r="G513" s="24">
        <v>4842500</v>
      </c>
      <c r="H513" s="23">
        <v>5.0000000000000001E-3</v>
      </c>
      <c r="I513" s="39">
        <v>44409</v>
      </c>
      <c r="J513" s="39">
        <v>44439</v>
      </c>
      <c r="K513" s="24">
        <f t="shared" si="34"/>
        <v>31</v>
      </c>
      <c r="L513" s="24">
        <f t="shared" si="35"/>
        <v>2056</v>
      </c>
      <c r="M513" s="24">
        <v>4842500</v>
      </c>
    </row>
    <row r="514" spans="1:13" s="5" customFormat="1" outlineLevel="2">
      <c r="A514" s="39" t="s">
        <v>142</v>
      </c>
      <c r="B514" s="40" t="s">
        <v>226</v>
      </c>
      <c r="C514" s="41" t="s">
        <v>85</v>
      </c>
      <c r="D514" s="40" t="s">
        <v>86</v>
      </c>
      <c r="E514" s="24">
        <v>14527500</v>
      </c>
      <c r="F514" s="39">
        <v>44202</v>
      </c>
      <c r="G514" s="24">
        <v>14527500</v>
      </c>
      <c r="H514" s="23">
        <v>5.0000000000000001E-3</v>
      </c>
      <c r="I514" s="39">
        <v>44409</v>
      </c>
      <c r="J514" s="39">
        <v>44439</v>
      </c>
      <c r="K514" s="24">
        <f t="shared" si="34"/>
        <v>31</v>
      </c>
      <c r="L514" s="24">
        <f t="shared" si="35"/>
        <v>6169</v>
      </c>
      <c r="M514" s="24">
        <v>14527500</v>
      </c>
    </row>
    <row r="515" spans="1:13" s="5" customFormat="1" outlineLevel="2">
      <c r="A515" s="39" t="s">
        <v>142</v>
      </c>
      <c r="B515" s="40" t="s">
        <v>227</v>
      </c>
      <c r="C515" s="41" t="s">
        <v>143</v>
      </c>
      <c r="D515" s="40" t="s">
        <v>144</v>
      </c>
      <c r="E515" s="24">
        <v>4600000</v>
      </c>
      <c r="F515" s="39">
        <v>44204</v>
      </c>
      <c r="G515" s="24">
        <v>4600000</v>
      </c>
      <c r="H515" s="23">
        <v>5.0000000000000001E-3</v>
      </c>
      <c r="I515" s="39">
        <v>44409</v>
      </c>
      <c r="J515" s="39">
        <v>44439</v>
      </c>
      <c r="K515" s="24">
        <f t="shared" si="34"/>
        <v>31</v>
      </c>
      <c r="L515" s="24">
        <f t="shared" si="35"/>
        <v>1953</v>
      </c>
      <c r="M515" s="24">
        <v>4600000</v>
      </c>
    </row>
    <row r="516" spans="1:13" s="5" customFormat="1" outlineLevel="1">
      <c r="A516" s="42" t="s">
        <v>228</v>
      </c>
      <c r="B516" s="43"/>
      <c r="C516" s="44"/>
      <c r="D516" s="43"/>
      <c r="E516" s="45">
        <f>SUBTOTAL(9,E326:E515)</f>
        <v>5364506982</v>
      </c>
      <c r="F516" s="46"/>
      <c r="G516" s="45"/>
      <c r="H516" s="47"/>
      <c r="I516" s="46"/>
      <c r="J516" s="46"/>
      <c r="K516" s="45"/>
      <c r="L516" s="45">
        <f>SUBTOTAL(9,L326:L515)</f>
        <v>2257943</v>
      </c>
      <c r="M516" s="45">
        <f>SUBTOTAL(9,M326:M515)</f>
        <v>5344894020</v>
      </c>
    </row>
    <row r="517" spans="1:13" s="5" customFormat="1" outlineLevel="2">
      <c r="A517" s="39" t="s">
        <v>229</v>
      </c>
      <c r="B517" s="40" t="s">
        <v>16</v>
      </c>
      <c r="C517" s="41" t="s">
        <v>117</v>
      </c>
      <c r="D517" s="40" t="s">
        <v>118</v>
      </c>
      <c r="E517" s="24">
        <v>1210000</v>
      </c>
      <c r="F517" s="39">
        <v>44061</v>
      </c>
      <c r="G517" s="24">
        <v>1210000</v>
      </c>
      <c r="H517" s="23">
        <v>5.0000000000000001E-3</v>
      </c>
      <c r="I517" s="39">
        <v>44409</v>
      </c>
      <c r="J517" s="39">
        <v>44439</v>
      </c>
      <c r="K517" s="24">
        <f>J517-I517+1</f>
        <v>31</v>
      </c>
      <c r="L517" s="24">
        <f>ROUND(G517*H517*K517/365,0)</f>
        <v>514</v>
      </c>
      <c r="M517" s="24">
        <v>1210000</v>
      </c>
    </row>
    <row r="518" spans="1:13" s="5" customFormat="1" outlineLevel="2">
      <c r="A518" s="39" t="s">
        <v>229</v>
      </c>
      <c r="B518" s="40" t="s">
        <v>39</v>
      </c>
      <c r="C518" s="41" t="s">
        <v>117</v>
      </c>
      <c r="D518" s="40" t="s">
        <v>118</v>
      </c>
      <c r="E518" s="24">
        <v>27550000</v>
      </c>
      <c r="F518" s="39">
        <v>44393</v>
      </c>
      <c r="G518" s="24">
        <v>27550000</v>
      </c>
      <c r="H518" s="23">
        <v>5.0000000000000001E-3</v>
      </c>
      <c r="I518" s="39">
        <v>44409</v>
      </c>
      <c r="J518" s="39">
        <v>44439</v>
      </c>
      <c r="K518" s="24">
        <f>J518-I518+1</f>
        <v>31</v>
      </c>
      <c r="L518" s="24">
        <f>ROUND(G518*H518*K518/365,0)</f>
        <v>11699</v>
      </c>
      <c r="M518" s="24">
        <v>27550000</v>
      </c>
    </row>
    <row r="519" spans="1:13" s="5" customFormat="1" outlineLevel="1">
      <c r="A519" s="42" t="s">
        <v>230</v>
      </c>
      <c r="B519" s="43"/>
      <c r="C519" s="44"/>
      <c r="D519" s="43"/>
      <c r="E519" s="45">
        <f>SUBTOTAL(9,E517:E518)</f>
        <v>28760000</v>
      </c>
      <c r="F519" s="46"/>
      <c r="G519" s="45"/>
      <c r="H519" s="47"/>
      <c r="I519" s="46"/>
      <c r="J519" s="46"/>
      <c r="K519" s="45"/>
      <c r="L519" s="45">
        <f>SUBTOTAL(9,L517:L518)</f>
        <v>12213</v>
      </c>
      <c r="M519" s="45">
        <f>SUBTOTAL(9,M517:M518)</f>
        <v>28760000</v>
      </c>
    </row>
    <row r="520" spans="1:13" s="5" customFormat="1" outlineLevel="2">
      <c r="A520" s="39" t="s">
        <v>231</v>
      </c>
      <c r="B520" s="40" t="s">
        <v>16</v>
      </c>
      <c r="C520" s="41" t="s">
        <v>17</v>
      </c>
      <c r="D520" s="40" t="s">
        <v>18</v>
      </c>
      <c r="E520" s="24">
        <v>150000000</v>
      </c>
      <c r="F520" s="39">
        <v>43829</v>
      </c>
      <c r="G520" s="24">
        <v>102500000</v>
      </c>
      <c r="H520" s="23">
        <v>5.0000000000000001E-3</v>
      </c>
      <c r="I520" s="39">
        <v>44409</v>
      </c>
      <c r="J520" s="39">
        <v>44423</v>
      </c>
      <c r="K520" s="24">
        <f t="shared" ref="K520:K550" si="36">J520-I520+1</f>
        <v>15</v>
      </c>
      <c r="L520" s="24">
        <f t="shared" ref="L520:L550" si="37">ROUND(G520*H520*K520/365,0)</f>
        <v>21062</v>
      </c>
      <c r="M520" s="24">
        <v>100000000</v>
      </c>
    </row>
    <row r="521" spans="1:13" s="5" customFormat="1" outlineLevel="2">
      <c r="A521" s="39" t="s">
        <v>231</v>
      </c>
      <c r="B521" s="40" t="s">
        <v>16</v>
      </c>
      <c r="C521" s="41" t="s">
        <v>17</v>
      </c>
      <c r="D521" s="40"/>
      <c r="E521" s="24"/>
      <c r="F521" s="39"/>
      <c r="G521" s="24">
        <v>100000000</v>
      </c>
      <c r="H521" s="23">
        <v>5.0000000000000001E-3</v>
      </c>
      <c r="I521" s="39">
        <v>44424</v>
      </c>
      <c r="J521" s="39">
        <v>44439</v>
      </c>
      <c r="K521" s="24">
        <f t="shared" si="36"/>
        <v>16</v>
      </c>
      <c r="L521" s="24">
        <f t="shared" si="37"/>
        <v>21918</v>
      </c>
      <c r="M521" s="24"/>
    </row>
    <row r="522" spans="1:13" s="5" customFormat="1" outlineLevel="2">
      <c r="A522" s="39" t="s">
        <v>231</v>
      </c>
      <c r="B522" s="40" t="s">
        <v>19</v>
      </c>
      <c r="C522" s="41" t="s">
        <v>17</v>
      </c>
      <c r="D522" s="40" t="s">
        <v>18</v>
      </c>
      <c r="E522" s="24">
        <v>9460000</v>
      </c>
      <c r="F522" s="39">
        <v>43990</v>
      </c>
      <c r="G522" s="24">
        <v>7052000</v>
      </c>
      <c r="H522" s="23">
        <v>5.0000000000000001E-3</v>
      </c>
      <c r="I522" s="39">
        <v>44409</v>
      </c>
      <c r="J522" s="39">
        <v>44423</v>
      </c>
      <c r="K522" s="24">
        <f t="shared" si="36"/>
        <v>15</v>
      </c>
      <c r="L522" s="24">
        <f t="shared" si="37"/>
        <v>1449</v>
      </c>
      <c r="M522" s="24">
        <v>6880000</v>
      </c>
    </row>
    <row r="523" spans="1:13" s="5" customFormat="1" outlineLevel="2">
      <c r="A523" s="39" t="s">
        <v>231</v>
      </c>
      <c r="B523" s="40" t="s">
        <v>19</v>
      </c>
      <c r="C523" s="41" t="s">
        <v>17</v>
      </c>
      <c r="D523" s="40"/>
      <c r="E523" s="24"/>
      <c r="F523" s="39"/>
      <c r="G523" s="24">
        <v>6880000</v>
      </c>
      <c r="H523" s="23">
        <v>5.0000000000000001E-3</v>
      </c>
      <c r="I523" s="39">
        <v>44424</v>
      </c>
      <c r="J523" s="39">
        <v>44439</v>
      </c>
      <c r="K523" s="24">
        <f t="shared" si="36"/>
        <v>16</v>
      </c>
      <c r="L523" s="24">
        <f t="shared" si="37"/>
        <v>1508</v>
      </c>
      <c r="M523" s="24"/>
    </row>
    <row r="524" spans="1:13" s="5" customFormat="1" outlineLevel="2">
      <c r="A524" s="39" t="s">
        <v>231</v>
      </c>
      <c r="B524" s="40" t="s">
        <v>22</v>
      </c>
      <c r="C524" s="41" t="s">
        <v>45</v>
      </c>
      <c r="D524" s="40" t="s">
        <v>46</v>
      </c>
      <c r="E524" s="24">
        <v>5000000</v>
      </c>
      <c r="F524" s="39">
        <v>44046</v>
      </c>
      <c r="G524" s="24">
        <v>5000000</v>
      </c>
      <c r="H524" s="23">
        <v>5.0000000000000001E-3</v>
      </c>
      <c r="I524" s="39">
        <v>44409</v>
      </c>
      <c r="J524" s="39">
        <v>44439</v>
      </c>
      <c r="K524" s="24">
        <f t="shared" si="36"/>
        <v>31</v>
      </c>
      <c r="L524" s="24">
        <f t="shared" si="37"/>
        <v>2123</v>
      </c>
      <c r="M524" s="24">
        <v>5000000</v>
      </c>
    </row>
    <row r="525" spans="1:13" s="5" customFormat="1" outlineLevel="2">
      <c r="A525" s="39" t="s">
        <v>231</v>
      </c>
      <c r="B525" s="40" t="s">
        <v>25</v>
      </c>
      <c r="C525" s="41" t="s">
        <v>143</v>
      </c>
      <c r="D525" s="40" t="s">
        <v>144</v>
      </c>
      <c r="E525" s="24">
        <v>20000000</v>
      </c>
      <c r="F525" s="39">
        <v>44155</v>
      </c>
      <c r="G525" s="24">
        <v>20000000</v>
      </c>
      <c r="H525" s="23">
        <v>5.0000000000000001E-3</v>
      </c>
      <c r="I525" s="39">
        <v>44409</v>
      </c>
      <c r="J525" s="39">
        <v>44439</v>
      </c>
      <c r="K525" s="24">
        <f t="shared" si="36"/>
        <v>31</v>
      </c>
      <c r="L525" s="24">
        <f t="shared" si="37"/>
        <v>8493</v>
      </c>
      <c r="M525" s="24">
        <v>20000000</v>
      </c>
    </row>
    <row r="526" spans="1:13" s="5" customFormat="1" outlineLevel="2">
      <c r="A526" s="39" t="s">
        <v>231</v>
      </c>
      <c r="B526" s="40" t="s">
        <v>26</v>
      </c>
      <c r="C526" s="41" t="s">
        <v>232</v>
      </c>
      <c r="D526" s="40" t="s">
        <v>233</v>
      </c>
      <c r="E526" s="24">
        <v>125000000</v>
      </c>
      <c r="F526" s="39">
        <v>44193</v>
      </c>
      <c r="G526" s="24">
        <v>125000000</v>
      </c>
      <c r="H526" s="23">
        <v>5.0000000000000001E-3</v>
      </c>
      <c r="I526" s="39">
        <v>44409</v>
      </c>
      <c r="J526" s="39">
        <v>44439</v>
      </c>
      <c r="K526" s="24">
        <f t="shared" si="36"/>
        <v>31</v>
      </c>
      <c r="L526" s="24">
        <f t="shared" si="37"/>
        <v>53082</v>
      </c>
      <c r="M526" s="24">
        <v>125000000</v>
      </c>
    </row>
    <row r="527" spans="1:13" s="5" customFormat="1" outlineLevel="2">
      <c r="A527" s="39" t="s">
        <v>231</v>
      </c>
      <c r="B527" s="40" t="s">
        <v>29</v>
      </c>
      <c r="C527" s="41" t="s">
        <v>143</v>
      </c>
      <c r="D527" s="40" t="s">
        <v>144</v>
      </c>
      <c r="E527" s="24">
        <v>20000000</v>
      </c>
      <c r="F527" s="39">
        <v>44194</v>
      </c>
      <c r="G527" s="24">
        <v>20000000</v>
      </c>
      <c r="H527" s="23">
        <v>5.0000000000000001E-3</v>
      </c>
      <c r="I527" s="39">
        <v>44409</v>
      </c>
      <c r="J527" s="39">
        <v>44439</v>
      </c>
      <c r="K527" s="24">
        <f t="shared" si="36"/>
        <v>31</v>
      </c>
      <c r="L527" s="24">
        <f t="shared" si="37"/>
        <v>8493</v>
      </c>
      <c r="M527" s="24">
        <v>20000000</v>
      </c>
    </row>
    <row r="528" spans="1:13" s="5" customFormat="1" outlineLevel="2">
      <c r="A528" s="39" t="s">
        <v>231</v>
      </c>
      <c r="B528" s="40" t="s">
        <v>32</v>
      </c>
      <c r="C528" s="41" t="s">
        <v>30</v>
      </c>
      <c r="D528" s="40" t="s">
        <v>31</v>
      </c>
      <c r="E528" s="24">
        <v>120000000</v>
      </c>
      <c r="F528" s="39">
        <v>44214</v>
      </c>
      <c r="G528" s="24">
        <v>120000000</v>
      </c>
      <c r="H528" s="23">
        <v>5.0000000000000001E-3</v>
      </c>
      <c r="I528" s="39">
        <v>44409</v>
      </c>
      <c r="J528" s="39">
        <v>44439</v>
      </c>
      <c r="K528" s="24">
        <f t="shared" si="36"/>
        <v>31</v>
      </c>
      <c r="L528" s="24">
        <f t="shared" si="37"/>
        <v>50959</v>
      </c>
      <c r="M528" s="24">
        <v>120000000</v>
      </c>
    </row>
    <row r="529" spans="1:13" s="5" customFormat="1" outlineLevel="2">
      <c r="A529" s="39" t="s">
        <v>231</v>
      </c>
      <c r="B529" s="40" t="s">
        <v>33</v>
      </c>
      <c r="C529" s="41" t="s">
        <v>143</v>
      </c>
      <c r="D529" s="40" t="s">
        <v>144</v>
      </c>
      <c r="E529" s="24">
        <v>20000000</v>
      </c>
      <c r="F529" s="39">
        <v>44225</v>
      </c>
      <c r="G529" s="24">
        <v>20000000</v>
      </c>
      <c r="H529" s="23">
        <v>5.0000000000000001E-3</v>
      </c>
      <c r="I529" s="39">
        <v>44409</v>
      </c>
      <c r="J529" s="39">
        <v>44439</v>
      </c>
      <c r="K529" s="24">
        <f t="shared" si="36"/>
        <v>31</v>
      </c>
      <c r="L529" s="24">
        <f t="shared" si="37"/>
        <v>8493</v>
      </c>
      <c r="M529" s="24">
        <v>20000000</v>
      </c>
    </row>
    <row r="530" spans="1:13" s="5" customFormat="1" outlineLevel="2">
      <c r="A530" s="39" t="s">
        <v>231</v>
      </c>
      <c r="B530" s="40" t="s">
        <v>34</v>
      </c>
      <c r="C530" s="41" t="s">
        <v>280</v>
      </c>
      <c r="D530" s="40" t="s">
        <v>281</v>
      </c>
      <c r="E530" s="24">
        <v>250000000</v>
      </c>
      <c r="F530" s="39">
        <v>44228</v>
      </c>
      <c r="G530" s="24">
        <v>250000000</v>
      </c>
      <c r="H530" s="23">
        <v>3.0000000000000001E-3</v>
      </c>
      <c r="I530" s="39">
        <v>44409</v>
      </c>
      <c r="J530" s="39">
        <v>44439</v>
      </c>
      <c r="K530" s="24">
        <f t="shared" si="36"/>
        <v>31</v>
      </c>
      <c r="L530" s="24">
        <f t="shared" si="37"/>
        <v>63699</v>
      </c>
      <c r="M530" s="24">
        <v>250000000</v>
      </c>
    </row>
    <row r="531" spans="1:13" s="5" customFormat="1" outlineLevel="2">
      <c r="A531" s="39" t="s">
        <v>231</v>
      </c>
      <c r="B531" s="40" t="s">
        <v>35</v>
      </c>
      <c r="C531" s="41" t="s">
        <v>143</v>
      </c>
      <c r="D531" s="40" t="s">
        <v>144</v>
      </c>
      <c r="E531" s="24">
        <v>20000000</v>
      </c>
      <c r="F531" s="39">
        <v>44253</v>
      </c>
      <c r="G531" s="24">
        <v>20000000</v>
      </c>
      <c r="H531" s="23">
        <v>5.0000000000000001E-3</v>
      </c>
      <c r="I531" s="39">
        <v>44409</v>
      </c>
      <c r="J531" s="39">
        <v>44439</v>
      </c>
      <c r="K531" s="24">
        <f t="shared" si="36"/>
        <v>31</v>
      </c>
      <c r="L531" s="24">
        <f t="shared" si="37"/>
        <v>8493</v>
      </c>
      <c r="M531" s="24">
        <v>20000000</v>
      </c>
    </row>
    <row r="532" spans="1:13" s="5" customFormat="1" outlineLevel="2">
      <c r="A532" s="39" t="s">
        <v>231</v>
      </c>
      <c r="B532" s="40" t="s">
        <v>36</v>
      </c>
      <c r="C532" s="41" t="s">
        <v>280</v>
      </c>
      <c r="D532" s="40" t="s">
        <v>281</v>
      </c>
      <c r="E532" s="24">
        <v>160000000</v>
      </c>
      <c r="F532" s="39">
        <v>44286</v>
      </c>
      <c r="G532" s="24">
        <v>160000000</v>
      </c>
      <c r="H532" s="23">
        <v>3.0000000000000001E-3</v>
      </c>
      <c r="I532" s="39">
        <v>44409</v>
      </c>
      <c r="J532" s="39">
        <v>44439</v>
      </c>
      <c r="K532" s="24">
        <f t="shared" si="36"/>
        <v>31</v>
      </c>
      <c r="L532" s="24">
        <f t="shared" si="37"/>
        <v>40767</v>
      </c>
      <c r="M532" s="24">
        <v>160000000</v>
      </c>
    </row>
    <row r="533" spans="1:13" s="5" customFormat="1" outlineLevel="2">
      <c r="A533" s="39" t="s">
        <v>231</v>
      </c>
      <c r="B533" s="40" t="s">
        <v>39</v>
      </c>
      <c r="C533" s="41" t="s">
        <v>17</v>
      </c>
      <c r="D533" s="40" t="s">
        <v>18</v>
      </c>
      <c r="E533" s="24">
        <v>32900000</v>
      </c>
      <c r="F533" s="39">
        <v>43829</v>
      </c>
      <c r="G533" s="24">
        <v>22481673</v>
      </c>
      <c r="H533" s="23">
        <v>5.0000000000000001E-3</v>
      </c>
      <c r="I533" s="39">
        <v>44409</v>
      </c>
      <c r="J533" s="39">
        <v>44423</v>
      </c>
      <c r="K533" s="24">
        <f t="shared" si="36"/>
        <v>15</v>
      </c>
      <c r="L533" s="24">
        <f t="shared" si="37"/>
        <v>4620</v>
      </c>
      <c r="M533" s="24">
        <v>21933340</v>
      </c>
    </row>
    <row r="534" spans="1:13" s="5" customFormat="1" outlineLevel="2">
      <c r="A534" s="39" t="s">
        <v>231</v>
      </c>
      <c r="B534" s="40" t="s">
        <v>39</v>
      </c>
      <c r="C534" s="41" t="s">
        <v>17</v>
      </c>
      <c r="D534" s="40"/>
      <c r="E534" s="24"/>
      <c r="F534" s="39"/>
      <c r="G534" s="24">
        <v>21933340</v>
      </c>
      <c r="H534" s="23">
        <v>5.0000000000000001E-3</v>
      </c>
      <c r="I534" s="39">
        <v>44424</v>
      </c>
      <c r="J534" s="39">
        <v>44439</v>
      </c>
      <c r="K534" s="24">
        <f t="shared" si="36"/>
        <v>16</v>
      </c>
      <c r="L534" s="24">
        <f t="shared" si="37"/>
        <v>4807</v>
      </c>
      <c r="M534" s="24"/>
    </row>
    <row r="535" spans="1:13" s="5" customFormat="1" outlineLevel="2">
      <c r="A535" s="39" t="s">
        <v>231</v>
      </c>
      <c r="B535" s="40" t="s">
        <v>40</v>
      </c>
      <c r="C535" s="41" t="s">
        <v>246</v>
      </c>
      <c r="D535" s="40" t="s">
        <v>247</v>
      </c>
      <c r="E535" s="24">
        <v>3400000</v>
      </c>
      <c r="F535" s="39">
        <v>44294</v>
      </c>
      <c r="G535" s="24">
        <v>3400000</v>
      </c>
      <c r="H535" s="23">
        <v>5.0000000000000001E-3</v>
      </c>
      <c r="I535" s="39">
        <v>44409</v>
      </c>
      <c r="J535" s="39">
        <v>44439</v>
      </c>
      <c r="K535" s="24">
        <f t="shared" si="36"/>
        <v>31</v>
      </c>
      <c r="L535" s="24">
        <f t="shared" si="37"/>
        <v>1444</v>
      </c>
      <c r="M535" s="24">
        <v>3400000</v>
      </c>
    </row>
    <row r="536" spans="1:13" s="5" customFormat="1" outlineLevel="2">
      <c r="A536" s="39" t="s">
        <v>231</v>
      </c>
      <c r="B536" s="40" t="s">
        <v>41</v>
      </c>
      <c r="C536" s="41" t="s">
        <v>280</v>
      </c>
      <c r="D536" s="40" t="s">
        <v>281</v>
      </c>
      <c r="E536" s="24">
        <v>500000000</v>
      </c>
      <c r="F536" s="39">
        <v>44376</v>
      </c>
      <c r="G536" s="24">
        <v>500000000</v>
      </c>
      <c r="H536" s="23">
        <v>3.0000000000000001E-3</v>
      </c>
      <c r="I536" s="39">
        <v>44409</v>
      </c>
      <c r="J536" s="39">
        <v>44439</v>
      </c>
      <c r="K536" s="24">
        <f t="shared" si="36"/>
        <v>31</v>
      </c>
      <c r="L536" s="24">
        <f t="shared" si="37"/>
        <v>127397</v>
      </c>
      <c r="M536" s="24">
        <v>500000000</v>
      </c>
    </row>
    <row r="537" spans="1:13" s="5" customFormat="1" outlineLevel="2">
      <c r="A537" s="39" t="s">
        <v>231</v>
      </c>
      <c r="B537" s="40" t="s">
        <v>42</v>
      </c>
      <c r="C537" s="41" t="s">
        <v>89</v>
      </c>
      <c r="D537" s="40" t="s">
        <v>90</v>
      </c>
      <c r="E537" s="24">
        <v>40000000</v>
      </c>
      <c r="F537" s="39">
        <v>44424</v>
      </c>
      <c r="G537" s="24">
        <v>40000000</v>
      </c>
      <c r="H537" s="23">
        <v>5.0000000000000001E-3</v>
      </c>
      <c r="I537" s="39">
        <v>44424</v>
      </c>
      <c r="J537" s="39">
        <v>44439</v>
      </c>
      <c r="K537" s="24">
        <f t="shared" si="36"/>
        <v>16</v>
      </c>
      <c r="L537" s="24">
        <f t="shared" si="37"/>
        <v>8767</v>
      </c>
      <c r="M537" s="24">
        <v>40000000</v>
      </c>
    </row>
    <row r="538" spans="1:13" s="5" customFormat="1" outlineLevel="2">
      <c r="A538" s="39" t="s">
        <v>231</v>
      </c>
      <c r="B538" s="40" t="s">
        <v>54</v>
      </c>
      <c r="C538" s="41" t="s">
        <v>17</v>
      </c>
      <c r="D538" s="40" t="s">
        <v>18</v>
      </c>
      <c r="E538" s="24">
        <v>2790000</v>
      </c>
      <c r="F538" s="39">
        <v>43921</v>
      </c>
      <c r="G538" s="24">
        <v>2006848</v>
      </c>
      <c r="H538" s="23">
        <v>5.0000000000000001E-3</v>
      </c>
      <c r="I538" s="39">
        <v>44409</v>
      </c>
      <c r="J538" s="39">
        <v>44423</v>
      </c>
      <c r="K538" s="24">
        <f t="shared" si="36"/>
        <v>15</v>
      </c>
      <c r="L538" s="24">
        <f t="shared" si="37"/>
        <v>412</v>
      </c>
      <c r="M538" s="24">
        <v>1957901</v>
      </c>
    </row>
    <row r="539" spans="1:13" s="5" customFormat="1" outlineLevel="2">
      <c r="A539" s="39" t="s">
        <v>231</v>
      </c>
      <c r="B539" s="40" t="s">
        <v>54</v>
      </c>
      <c r="C539" s="41" t="s">
        <v>17</v>
      </c>
      <c r="D539" s="40"/>
      <c r="E539" s="24"/>
      <c r="F539" s="39"/>
      <c r="G539" s="24">
        <v>1957901</v>
      </c>
      <c r="H539" s="23">
        <v>5.0000000000000001E-3</v>
      </c>
      <c r="I539" s="39">
        <v>44424</v>
      </c>
      <c r="J539" s="39">
        <v>44439</v>
      </c>
      <c r="K539" s="24">
        <f t="shared" si="36"/>
        <v>16</v>
      </c>
      <c r="L539" s="24">
        <f t="shared" si="37"/>
        <v>429</v>
      </c>
      <c r="M539" s="24"/>
    </row>
    <row r="540" spans="1:13" s="5" customFormat="1" outlineLevel="2">
      <c r="A540" s="39" t="s">
        <v>231</v>
      </c>
      <c r="B540" s="40" t="s">
        <v>59</v>
      </c>
      <c r="C540" s="41" t="s">
        <v>55</v>
      </c>
      <c r="D540" s="40" t="s">
        <v>56</v>
      </c>
      <c r="E540" s="24">
        <v>12000000</v>
      </c>
      <c r="F540" s="39">
        <v>43948</v>
      </c>
      <c r="G540" s="24">
        <v>9000000</v>
      </c>
      <c r="H540" s="23">
        <v>5.0000000000000001E-3</v>
      </c>
      <c r="I540" s="39">
        <v>44409</v>
      </c>
      <c r="J540" s="39">
        <v>44423</v>
      </c>
      <c r="K540" s="24">
        <f t="shared" si="36"/>
        <v>15</v>
      </c>
      <c r="L540" s="24">
        <f t="shared" si="37"/>
        <v>1849</v>
      </c>
      <c r="M540" s="24">
        <v>8800000</v>
      </c>
    </row>
    <row r="541" spans="1:13" s="5" customFormat="1" outlineLevel="2">
      <c r="A541" s="39" t="s">
        <v>231</v>
      </c>
      <c r="B541" s="40" t="s">
        <v>59</v>
      </c>
      <c r="C541" s="41" t="s">
        <v>55</v>
      </c>
      <c r="D541" s="40"/>
      <c r="E541" s="24"/>
      <c r="F541" s="39"/>
      <c r="G541" s="24">
        <v>8800000</v>
      </c>
      <c r="H541" s="23">
        <v>5.0000000000000001E-3</v>
      </c>
      <c r="I541" s="39">
        <v>44424</v>
      </c>
      <c r="J541" s="39">
        <v>44439</v>
      </c>
      <c r="K541" s="24">
        <f t="shared" si="36"/>
        <v>16</v>
      </c>
      <c r="L541" s="24">
        <f t="shared" si="37"/>
        <v>1929</v>
      </c>
      <c r="M541" s="24"/>
    </row>
    <row r="542" spans="1:13" s="5" customFormat="1" outlineLevel="2">
      <c r="A542" s="39" t="s">
        <v>231</v>
      </c>
      <c r="B542" s="40" t="s">
        <v>62</v>
      </c>
      <c r="C542" s="41" t="s">
        <v>30</v>
      </c>
      <c r="D542" s="40" t="s">
        <v>31</v>
      </c>
      <c r="E542" s="24">
        <v>71750000</v>
      </c>
      <c r="F542" s="39">
        <v>43955</v>
      </c>
      <c r="G542" s="24">
        <v>71750000</v>
      </c>
      <c r="H542" s="23">
        <v>5.0000000000000001E-3</v>
      </c>
      <c r="I542" s="39">
        <v>44409</v>
      </c>
      <c r="J542" s="39">
        <v>44439</v>
      </c>
      <c r="K542" s="24">
        <f t="shared" si="36"/>
        <v>31</v>
      </c>
      <c r="L542" s="24">
        <f t="shared" si="37"/>
        <v>30469</v>
      </c>
      <c r="M542" s="24">
        <v>71750000</v>
      </c>
    </row>
    <row r="543" spans="1:13" s="5" customFormat="1" outlineLevel="2">
      <c r="A543" s="39" t="s">
        <v>231</v>
      </c>
      <c r="B543" s="40" t="s">
        <v>63</v>
      </c>
      <c r="C543" s="41" t="s">
        <v>55</v>
      </c>
      <c r="D543" s="40" t="s">
        <v>56</v>
      </c>
      <c r="E543" s="24">
        <v>10000000</v>
      </c>
      <c r="F543" s="39">
        <v>43963</v>
      </c>
      <c r="G543" s="24">
        <v>7500009</v>
      </c>
      <c r="H543" s="23">
        <v>5.0000000000000001E-3</v>
      </c>
      <c r="I543" s="39">
        <v>44409</v>
      </c>
      <c r="J543" s="39">
        <v>44423</v>
      </c>
      <c r="K543" s="24">
        <f t="shared" si="36"/>
        <v>15</v>
      </c>
      <c r="L543" s="24">
        <f t="shared" si="37"/>
        <v>1541</v>
      </c>
      <c r="M543" s="24">
        <v>7333343</v>
      </c>
    </row>
    <row r="544" spans="1:13" s="5" customFormat="1" outlineLevel="2">
      <c r="A544" s="39" t="s">
        <v>231</v>
      </c>
      <c r="B544" s="40" t="s">
        <v>63</v>
      </c>
      <c r="C544" s="41" t="s">
        <v>55</v>
      </c>
      <c r="D544" s="40"/>
      <c r="E544" s="24"/>
      <c r="F544" s="39"/>
      <c r="G544" s="24">
        <v>7333343</v>
      </c>
      <c r="H544" s="23">
        <v>5.0000000000000001E-3</v>
      </c>
      <c r="I544" s="39">
        <v>44424</v>
      </c>
      <c r="J544" s="39">
        <v>44439</v>
      </c>
      <c r="K544" s="24">
        <f t="shared" si="36"/>
        <v>16</v>
      </c>
      <c r="L544" s="24">
        <f t="shared" si="37"/>
        <v>1607</v>
      </c>
      <c r="M544" s="24"/>
    </row>
    <row r="545" spans="1:13" s="5" customFormat="1" outlineLevel="2">
      <c r="A545" s="39" t="s">
        <v>231</v>
      </c>
      <c r="B545" s="40" t="s">
        <v>64</v>
      </c>
      <c r="C545" s="41" t="s">
        <v>55</v>
      </c>
      <c r="D545" s="40" t="s">
        <v>56</v>
      </c>
      <c r="E545" s="24">
        <v>4000000</v>
      </c>
      <c r="F545" s="39">
        <v>43970</v>
      </c>
      <c r="G545" s="24">
        <v>3050856</v>
      </c>
      <c r="H545" s="23">
        <v>5.0000000000000001E-3</v>
      </c>
      <c r="I545" s="39">
        <v>44409</v>
      </c>
      <c r="J545" s="39">
        <v>44423</v>
      </c>
      <c r="K545" s="24">
        <f t="shared" si="36"/>
        <v>15</v>
      </c>
      <c r="L545" s="24">
        <f t="shared" si="37"/>
        <v>627</v>
      </c>
      <c r="M545" s="24">
        <v>2983060</v>
      </c>
    </row>
    <row r="546" spans="1:13" s="5" customFormat="1" outlineLevel="2">
      <c r="A546" s="39" t="s">
        <v>231</v>
      </c>
      <c r="B546" s="40" t="s">
        <v>64</v>
      </c>
      <c r="C546" s="41" t="s">
        <v>55</v>
      </c>
      <c r="D546" s="40"/>
      <c r="E546" s="24"/>
      <c r="F546" s="39"/>
      <c r="G546" s="24">
        <v>2983060</v>
      </c>
      <c r="H546" s="23">
        <v>5.0000000000000001E-3</v>
      </c>
      <c r="I546" s="39">
        <v>44424</v>
      </c>
      <c r="J546" s="39">
        <v>44439</v>
      </c>
      <c r="K546" s="24">
        <f t="shared" si="36"/>
        <v>16</v>
      </c>
      <c r="L546" s="24">
        <f t="shared" si="37"/>
        <v>654</v>
      </c>
      <c r="M546" s="24"/>
    </row>
    <row r="547" spans="1:13" s="5" customFormat="1" outlineLevel="2">
      <c r="A547" s="39" t="s">
        <v>231</v>
      </c>
      <c r="B547" s="40" t="s">
        <v>65</v>
      </c>
      <c r="C547" s="41" t="s">
        <v>55</v>
      </c>
      <c r="D547" s="40" t="s">
        <v>56</v>
      </c>
      <c r="E547" s="24">
        <v>18000000</v>
      </c>
      <c r="F547" s="39">
        <v>43977</v>
      </c>
      <c r="G547" s="24">
        <v>13728824</v>
      </c>
      <c r="H547" s="23">
        <v>5.0000000000000001E-3</v>
      </c>
      <c r="I547" s="39">
        <v>44409</v>
      </c>
      <c r="J547" s="39">
        <v>44423</v>
      </c>
      <c r="K547" s="24">
        <f t="shared" si="36"/>
        <v>15</v>
      </c>
      <c r="L547" s="24">
        <f t="shared" si="37"/>
        <v>2821</v>
      </c>
      <c r="M547" s="24">
        <v>13423740</v>
      </c>
    </row>
    <row r="548" spans="1:13" s="5" customFormat="1" outlineLevel="2">
      <c r="A548" s="39" t="s">
        <v>231</v>
      </c>
      <c r="B548" s="40" t="s">
        <v>65</v>
      </c>
      <c r="C548" s="41" t="s">
        <v>55</v>
      </c>
      <c r="D548" s="40"/>
      <c r="E548" s="24"/>
      <c r="F548" s="39"/>
      <c r="G548" s="24">
        <v>13423740</v>
      </c>
      <c r="H548" s="23">
        <v>5.0000000000000001E-3</v>
      </c>
      <c r="I548" s="39">
        <v>44424</v>
      </c>
      <c r="J548" s="39">
        <v>44439</v>
      </c>
      <c r="K548" s="24">
        <f t="shared" si="36"/>
        <v>16</v>
      </c>
      <c r="L548" s="24">
        <f t="shared" si="37"/>
        <v>2942</v>
      </c>
      <c r="M548" s="24"/>
    </row>
    <row r="549" spans="1:13" s="5" customFormat="1" outlineLevel="2">
      <c r="A549" s="39" t="s">
        <v>231</v>
      </c>
      <c r="B549" s="40" t="s">
        <v>68</v>
      </c>
      <c r="C549" s="41" t="s">
        <v>55</v>
      </c>
      <c r="D549" s="40" t="s">
        <v>56</v>
      </c>
      <c r="E549" s="24">
        <v>6000000</v>
      </c>
      <c r="F549" s="39">
        <v>43984</v>
      </c>
      <c r="G549" s="24">
        <v>4576284</v>
      </c>
      <c r="H549" s="23">
        <v>5.0000000000000001E-3</v>
      </c>
      <c r="I549" s="39">
        <v>44409</v>
      </c>
      <c r="J549" s="39">
        <v>44423</v>
      </c>
      <c r="K549" s="24">
        <f t="shared" si="36"/>
        <v>15</v>
      </c>
      <c r="L549" s="24">
        <f t="shared" si="37"/>
        <v>940</v>
      </c>
      <c r="M549" s="24">
        <v>4474590</v>
      </c>
    </row>
    <row r="550" spans="1:13" s="5" customFormat="1" outlineLevel="2">
      <c r="A550" s="39" t="s">
        <v>231</v>
      </c>
      <c r="B550" s="40" t="s">
        <v>68</v>
      </c>
      <c r="C550" s="41" t="s">
        <v>55</v>
      </c>
      <c r="D550" s="40"/>
      <c r="E550" s="24"/>
      <c r="F550" s="39"/>
      <c r="G550" s="24">
        <v>4474590</v>
      </c>
      <c r="H550" s="23">
        <v>5.0000000000000001E-3</v>
      </c>
      <c r="I550" s="39">
        <v>44424</v>
      </c>
      <c r="J550" s="39">
        <v>44439</v>
      </c>
      <c r="K550" s="24">
        <f t="shared" si="36"/>
        <v>16</v>
      </c>
      <c r="L550" s="24">
        <f t="shared" si="37"/>
        <v>981</v>
      </c>
      <c r="M550" s="24"/>
    </row>
    <row r="551" spans="1:13" s="5" customFormat="1" outlineLevel="1">
      <c r="A551" s="42" t="s">
        <v>234</v>
      </c>
      <c r="B551" s="43"/>
      <c r="C551" s="44"/>
      <c r="D551" s="43"/>
      <c r="E551" s="45">
        <f>SUBTOTAL(9,E520:E550)</f>
        <v>1600300000</v>
      </c>
      <c r="F551" s="46"/>
      <c r="G551" s="45"/>
      <c r="H551" s="47"/>
      <c r="I551" s="46"/>
      <c r="J551" s="46"/>
      <c r="K551" s="45"/>
      <c r="L551" s="45">
        <f>SUBTOTAL(9,L520:L550)</f>
        <v>484775</v>
      </c>
      <c r="M551" s="45">
        <f>SUBTOTAL(9,M520:M550)</f>
        <v>1522935974</v>
      </c>
    </row>
    <row r="552" spans="1:13" s="5" customFormat="1" outlineLevel="2">
      <c r="A552" s="39" t="s">
        <v>235</v>
      </c>
      <c r="B552" s="40" t="s">
        <v>16</v>
      </c>
      <c r="C552" s="41" t="s">
        <v>17</v>
      </c>
      <c r="D552" s="40" t="s">
        <v>18</v>
      </c>
      <c r="E552" s="24">
        <v>50000000</v>
      </c>
      <c r="F552" s="39">
        <v>43829</v>
      </c>
      <c r="G552" s="24">
        <v>34166654</v>
      </c>
      <c r="H552" s="23">
        <v>5.0000000000000001E-3</v>
      </c>
      <c r="I552" s="39">
        <v>44409</v>
      </c>
      <c r="J552" s="39">
        <v>44422</v>
      </c>
      <c r="K552" s="24">
        <f t="shared" ref="K552:K565" si="38">J552-I552+1</f>
        <v>14</v>
      </c>
      <c r="L552" s="24">
        <f t="shared" ref="L552:L565" si="39">ROUND(G552*H552*K552/365,0)</f>
        <v>6553</v>
      </c>
      <c r="M552" s="24">
        <v>33333320</v>
      </c>
    </row>
    <row r="553" spans="1:13" s="5" customFormat="1" outlineLevel="2">
      <c r="A553" s="39" t="s">
        <v>235</v>
      </c>
      <c r="B553" s="40" t="s">
        <v>16</v>
      </c>
      <c r="C553" s="41" t="s">
        <v>17</v>
      </c>
      <c r="D553" s="40"/>
      <c r="E553" s="24"/>
      <c r="F553" s="39"/>
      <c r="G553" s="24">
        <v>33333320</v>
      </c>
      <c r="H553" s="23">
        <v>5.0000000000000001E-3</v>
      </c>
      <c r="I553" s="39">
        <v>44423</v>
      </c>
      <c r="J553" s="39">
        <v>44439</v>
      </c>
      <c r="K553" s="24">
        <f t="shared" si="38"/>
        <v>17</v>
      </c>
      <c r="L553" s="24">
        <f t="shared" si="39"/>
        <v>7763</v>
      </c>
      <c r="M553" s="24"/>
    </row>
    <row r="554" spans="1:13" s="5" customFormat="1" outlineLevel="2">
      <c r="A554" s="39" t="s">
        <v>235</v>
      </c>
      <c r="B554" s="40" t="s">
        <v>39</v>
      </c>
      <c r="C554" s="41" t="s">
        <v>17</v>
      </c>
      <c r="D554" s="40" t="s">
        <v>18</v>
      </c>
      <c r="E554" s="24">
        <v>25200000</v>
      </c>
      <c r="F554" s="39">
        <v>43829</v>
      </c>
      <c r="G554" s="24">
        <v>17220000</v>
      </c>
      <c r="H554" s="23">
        <v>5.0000000000000001E-3</v>
      </c>
      <c r="I554" s="39">
        <v>44409</v>
      </c>
      <c r="J554" s="39">
        <v>44422</v>
      </c>
      <c r="K554" s="24">
        <f t="shared" si="38"/>
        <v>14</v>
      </c>
      <c r="L554" s="24">
        <f t="shared" si="39"/>
        <v>3302</v>
      </c>
      <c r="M554" s="24">
        <v>16800000</v>
      </c>
    </row>
    <row r="555" spans="1:13" s="5" customFormat="1" outlineLevel="2">
      <c r="A555" s="39" t="s">
        <v>235</v>
      </c>
      <c r="B555" s="40" t="s">
        <v>39</v>
      </c>
      <c r="C555" s="41" t="s">
        <v>17</v>
      </c>
      <c r="D555" s="40"/>
      <c r="E555" s="24"/>
      <c r="F555" s="39"/>
      <c r="G555" s="24">
        <v>16800000</v>
      </c>
      <c r="H555" s="23">
        <v>5.0000000000000001E-3</v>
      </c>
      <c r="I555" s="39">
        <v>44423</v>
      </c>
      <c r="J555" s="39">
        <v>44439</v>
      </c>
      <c r="K555" s="24">
        <f t="shared" si="38"/>
        <v>17</v>
      </c>
      <c r="L555" s="24">
        <f t="shared" si="39"/>
        <v>3912</v>
      </c>
      <c r="M555" s="24"/>
    </row>
    <row r="556" spans="1:13" s="5" customFormat="1" outlineLevel="2">
      <c r="A556" s="39" t="s">
        <v>235</v>
      </c>
      <c r="B556" s="40" t="s">
        <v>54</v>
      </c>
      <c r="C556" s="41" t="s">
        <v>17</v>
      </c>
      <c r="D556" s="40" t="s">
        <v>18</v>
      </c>
      <c r="E556" s="24">
        <v>11310000</v>
      </c>
      <c r="F556" s="39">
        <v>43920</v>
      </c>
      <c r="G556" s="24">
        <v>8135264</v>
      </c>
      <c r="H556" s="23">
        <v>5.0000000000000001E-3</v>
      </c>
      <c r="I556" s="39">
        <v>44409</v>
      </c>
      <c r="J556" s="39">
        <v>44422</v>
      </c>
      <c r="K556" s="24">
        <f t="shared" si="38"/>
        <v>14</v>
      </c>
      <c r="L556" s="24">
        <f t="shared" si="39"/>
        <v>1560</v>
      </c>
      <c r="M556" s="24">
        <v>7936843</v>
      </c>
    </row>
    <row r="557" spans="1:13" s="5" customFormat="1" outlineLevel="2">
      <c r="A557" s="39" t="s">
        <v>235</v>
      </c>
      <c r="B557" s="40" t="s">
        <v>54</v>
      </c>
      <c r="C557" s="41" t="s">
        <v>17</v>
      </c>
      <c r="D557" s="40"/>
      <c r="E557" s="24"/>
      <c r="F557" s="39"/>
      <c r="G557" s="24">
        <v>7936843</v>
      </c>
      <c r="H557" s="23">
        <v>5.0000000000000001E-3</v>
      </c>
      <c r="I557" s="39">
        <v>44423</v>
      </c>
      <c r="J557" s="39">
        <v>44439</v>
      </c>
      <c r="K557" s="24">
        <f t="shared" si="38"/>
        <v>17</v>
      </c>
      <c r="L557" s="24">
        <f t="shared" si="39"/>
        <v>1848</v>
      </c>
      <c r="M557" s="24"/>
    </row>
    <row r="558" spans="1:13" s="5" customFormat="1" outlineLevel="2">
      <c r="A558" s="39" t="s">
        <v>235</v>
      </c>
      <c r="B558" s="40" t="s">
        <v>59</v>
      </c>
      <c r="C558" s="41" t="s">
        <v>17</v>
      </c>
      <c r="D558" s="40" t="s">
        <v>18</v>
      </c>
      <c r="E558" s="24">
        <v>6050000</v>
      </c>
      <c r="F558" s="39">
        <v>43990</v>
      </c>
      <c r="G558" s="24">
        <v>4510000</v>
      </c>
      <c r="H558" s="23">
        <v>5.0000000000000001E-3</v>
      </c>
      <c r="I558" s="39">
        <v>44409</v>
      </c>
      <c r="J558" s="39">
        <v>44422</v>
      </c>
      <c r="K558" s="24">
        <f t="shared" si="38"/>
        <v>14</v>
      </c>
      <c r="L558" s="24">
        <f t="shared" si="39"/>
        <v>865</v>
      </c>
      <c r="M558" s="24">
        <v>4400000</v>
      </c>
    </row>
    <row r="559" spans="1:13" s="5" customFormat="1" outlineLevel="2">
      <c r="A559" s="39" t="s">
        <v>235</v>
      </c>
      <c r="B559" s="40" t="s">
        <v>59</v>
      </c>
      <c r="C559" s="41" t="s">
        <v>17</v>
      </c>
      <c r="D559" s="40"/>
      <c r="E559" s="24"/>
      <c r="F559" s="39"/>
      <c r="G559" s="24">
        <v>4400000</v>
      </c>
      <c r="H559" s="23">
        <v>5.0000000000000001E-3</v>
      </c>
      <c r="I559" s="39">
        <v>44423</v>
      </c>
      <c r="J559" s="39">
        <v>44439</v>
      </c>
      <c r="K559" s="24">
        <f t="shared" si="38"/>
        <v>17</v>
      </c>
      <c r="L559" s="24">
        <f t="shared" si="39"/>
        <v>1025</v>
      </c>
      <c r="M559" s="24"/>
    </row>
    <row r="560" spans="1:13" s="5" customFormat="1" outlineLevel="2">
      <c r="A560" s="39" t="s">
        <v>235</v>
      </c>
      <c r="B560" s="40" t="s">
        <v>62</v>
      </c>
      <c r="C560" s="41" t="s">
        <v>17</v>
      </c>
      <c r="D560" s="40" t="s">
        <v>18</v>
      </c>
      <c r="E560" s="24">
        <v>7541000</v>
      </c>
      <c r="F560" s="39">
        <v>44074</v>
      </c>
      <c r="G560" s="24">
        <v>5945791</v>
      </c>
      <c r="H560" s="23">
        <v>5.0000000000000001E-3</v>
      </c>
      <c r="I560" s="39">
        <v>44409</v>
      </c>
      <c r="J560" s="39">
        <v>44422</v>
      </c>
      <c r="K560" s="24">
        <f t="shared" si="38"/>
        <v>14</v>
      </c>
      <c r="L560" s="24">
        <f t="shared" si="39"/>
        <v>1140</v>
      </c>
      <c r="M560" s="24">
        <v>5800772</v>
      </c>
    </row>
    <row r="561" spans="1:13" s="5" customFormat="1" outlineLevel="2">
      <c r="A561" s="39" t="s">
        <v>235</v>
      </c>
      <c r="B561" s="40" t="s">
        <v>62</v>
      </c>
      <c r="C561" s="41" t="s">
        <v>17</v>
      </c>
      <c r="D561" s="40"/>
      <c r="E561" s="24"/>
      <c r="F561" s="39"/>
      <c r="G561" s="24">
        <v>5800772</v>
      </c>
      <c r="H561" s="23">
        <v>5.0000000000000001E-3</v>
      </c>
      <c r="I561" s="39">
        <v>44423</v>
      </c>
      <c r="J561" s="39">
        <v>44439</v>
      </c>
      <c r="K561" s="24">
        <f t="shared" si="38"/>
        <v>17</v>
      </c>
      <c r="L561" s="24">
        <f t="shared" si="39"/>
        <v>1351</v>
      </c>
      <c r="M561" s="24"/>
    </row>
    <row r="562" spans="1:13" s="5" customFormat="1" outlineLevel="2">
      <c r="A562" s="39" t="s">
        <v>235</v>
      </c>
      <c r="B562" s="40" t="s">
        <v>63</v>
      </c>
      <c r="C562" s="41" t="s">
        <v>17</v>
      </c>
      <c r="D562" s="40" t="s">
        <v>18</v>
      </c>
      <c r="E562" s="24">
        <v>8986000</v>
      </c>
      <c r="F562" s="39">
        <v>44160</v>
      </c>
      <c r="G562" s="24">
        <v>7518896</v>
      </c>
      <c r="H562" s="23">
        <v>5.0000000000000001E-3</v>
      </c>
      <c r="I562" s="39">
        <v>44409</v>
      </c>
      <c r="J562" s="39">
        <v>44422</v>
      </c>
      <c r="K562" s="24">
        <f t="shared" si="38"/>
        <v>14</v>
      </c>
      <c r="L562" s="24">
        <f t="shared" si="39"/>
        <v>1442</v>
      </c>
      <c r="M562" s="24">
        <v>7335508</v>
      </c>
    </row>
    <row r="563" spans="1:13" s="5" customFormat="1" outlineLevel="2">
      <c r="A563" s="39" t="s">
        <v>235</v>
      </c>
      <c r="B563" s="40" t="s">
        <v>63</v>
      </c>
      <c r="C563" s="41" t="s">
        <v>17</v>
      </c>
      <c r="D563" s="40"/>
      <c r="E563" s="24"/>
      <c r="F563" s="39"/>
      <c r="G563" s="24">
        <v>7335508</v>
      </c>
      <c r="H563" s="23">
        <v>5.0000000000000001E-3</v>
      </c>
      <c r="I563" s="39">
        <v>44423</v>
      </c>
      <c r="J563" s="39">
        <v>44439</v>
      </c>
      <c r="K563" s="24">
        <f t="shared" si="38"/>
        <v>17</v>
      </c>
      <c r="L563" s="24">
        <f t="shared" si="39"/>
        <v>1708</v>
      </c>
      <c r="M563" s="24"/>
    </row>
    <row r="564" spans="1:13" s="5" customFormat="1" outlineLevel="2">
      <c r="A564" s="39" t="s">
        <v>235</v>
      </c>
      <c r="B564" s="40" t="s">
        <v>64</v>
      </c>
      <c r="C564" s="41" t="s">
        <v>17</v>
      </c>
      <c r="D564" s="40" t="s">
        <v>18</v>
      </c>
      <c r="E564" s="24">
        <v>2534784</v>
      </c>
      <c r="F564" s="39">
        <v>44334</v>
      </c>
      <c r="G564" s="24">
        <v>2416886</v>
      </c>
      <c r="H564" s="23">
        <v>5.0000000000000001E-3</v>
      </c>
      <c r="I564" s="39">
        <v>44409</v>
      </c>
      <c r="J564" s="39">
        <v>44422</v>
      </c>
      <c r="K564" s="24">
        <f t="shared" si="38"/>
        <v>14</v>
      </c>
      <c r="L564" s="24">
        <f t="shared" si="39"/>
        <v>464</v>
      </c>
      <c r="M564" s="24">
        <v>2357937</v>
      </c>
    </row>
    <row r="565" spans="1:13" s="5" customFormat="1" outlineLevel="2">
      <c r="A565" s="39" t="s">
        <v>235</v>
      </c>
      <c r="B565" s="40" t="s">
        <v>64</v>
      </c>
      <c r="C565" s="41" t="s">
        <v>17</v>
      </c>
      <c r="D565" s="40"/>
      <c r="E565" s="24"/>
      <c r="F565" s="39"/>
      <c r="G565" s="24">
        <v>2357937</v>
      </c>
      <c r="H565" s="23">
        <v>5.0000000000000001E-3</v>
      </c>
      <c r="I565" s="39">
        <v>44423</v>
      </c>
      <c r="J565" s="39">
        <v>44439</v>
      </c>
      <c r="K565" s="24">
        <f t="shared" si="38"/>
        <v>17</v>
      </c>
      <c r="L565" s="24">
        <f t="shared" si="39"/>
        <v>549</v>
      </c>
      <c r="M565" s="24"/>
    </row>
    <row r="566" spans="1:13" s="5" customFormat="1" outlineLevel="1">
      <c r="A566" s="42" t="s">
        <v>236</v>
      </c>
      <c r="B566" s="43"/>
      <c r="C566" s="44"/>
      <c r="D566" s="43"/>
      <c r="E566" s="45">
        <f>SUBTOTAL(9,E552:E565)</f>
        <v>111621784</v>
      </c>
      <c r="F566" s="46"/>
      <c r="G566" s="45"/>
      <c r="H566" s="47"/>
      <c r="I566" s="46"/>
      <c r="J566" s="46"/>
      <c r="K566" s="45"/>
      <c r="L566" s="45">
        <f>SUBTOTAL(9,L552:L565)</f>
        <v>33482</v>
      </c>
      <c r="M566" s="45">
        <f>SUBTOTAL(9,M552:M565)</f>
        <v>77964380</v>
      </c>
    </row>
    <row r="567" spans="1:13" s="5" customFormat="1" outlineLevel="2">
      <c r="A567" s="39" t="s">
        <v>237</v>
      </c>
      <c r="B567" s="40" t="s">
        <v>16</v>
      </c>
      <c r="C567" s="41" t="s">
        <v>45</v>
      </c>
      <c r="D567" s="40" t="s">
        <v>46</v>
      </c>
      <c r="E567" s="24">
        <v>4300000</v>
      </c>
      <c r="F567" s="39">
        <v>43966</v>
      </c>
      <c r="G567" s="24">
        <v>4300000</v>
      </c>
      <c r="H567" s="23">
        <v>5.0000000000000001E-3</v>
      </c>
      <c r="I567" s="39">
        <v>44409</v>
      </c>
      <c r="J567" s="39">
        <v>44439</v>
      </c>
      <c r="K567" s="24">
        <f>J567-I567+1</f>
        <v>31</v>
      </c>
      <c r="L567" s="24">
        <f>ROUND(G567*H567*K567/365,0)</f>
        <v>1826</v>
      </c>
      <c r="M567" s="24">
        <v>4300000</v>
      </c>
    </row>
    <row r="568" spans="1:13" s="5" customFormat="1" outlineLevel="2">
      <c r="A568" s="39" t="s">
        <v>237</v>
      </c>
      <c r="B568" s="40" t="s">
        <v>39</v>
      </c>
      <c r="C568" s="41" t="s">
        <v>66</v>
      </c>
      <c r="D568" s="40" t="s">
        <v>67</v>
      </c>
      <c r="E568" s="24">
        <v>120000000</v>
      </c>
      <c r="F568" s="39">
        <v>44060</v>
      </c>
      <c r="G568" s="24">
        <v>120000000</v>
      </c>
      <c r="H568" s="23">
        <v>5.0000000000000001E-3</v>
      </c>
      <c r="I568" s="39">
        <v>44409</v>
      </c>
      <c r="J568" s="39">
        <v>44439</v>
      </c>
      <c r="K568" s="24">
        <f>J568-I568+1</f>
        <v>31</v>
      </c>
      <c r="L568" s="24">
        <f>ROUND(G568*H568*K568/365,0)</f>
        <v>50959</v>
      </c>
      <c r="M568" s="24">
        <v>120000000</v>
      </c>
    </row>
    <row r="569" spans="1:13" s="5" customFormat="1" outlineLevel="1">
      <c r="A569" s="42" t="s">
        <v>238</v>
      </c>
      <c r="B569" s="43"/>
      <c r="C569" s="44"/>
      <c r="D569" s="43"/>
      <c r="E569" s="45">
        <f>SUBTOTAL(9,E567:E568)</f>
        <v>124300000</v>
      </c>
      <c r="F569" s="46"/>
      <c r="G569" s="45"/>
      <c r="H569" s="47"/>
      <c r="I569" s="46"/>
      <c r="J569" s="46"/>
      <c r="K569" s="45"/>
      <c r="L569" s="45">
        <f>SUBTOTAL(9,L567:L568)</f>
        <v>52785</v>
      </c>
      <c r="M569" s="45">
        <f>SUBTOTAL(9,M567:M568)</f>
        <v>124300000</v>
      </c>
    </row>
    <row r="570" spans="1:13" s="5" customFormat="1" outlineLevel="2">
      <c r="A570" s="39" t="s">
        <v>239</v>
      </c>
      <c r="B570" s="40" t="s">
        <v>16</v>
      </c>
      <c r="C570" s="41" t="s">
        <v>109</v>
      </c>
      <c r="D570" s="40" t="s">
        <v>110</v>
      </c>
      <c r="E570" s="24">
        <v>38650000</v>
      </c>
      <c r="F570" s="39">
        <v>43986</v>
      </c>
      <c r="G570" s="24">
        <v>38650000</v>
      </c>
      <c r="H570" s="23">
        <v>5.0000000000000001E-3</v>
      </c>
      <c r="I570" s="39">
        <v>44409</v>
      </c>
      <c r="J570" s="39">
        <v>44439</v>
      </c>
      <c r="K570" s="24">
        <f t="shared" ref="K570:K601" si="40">J570-I570+1</f>
        <v>31</v>
      </c>
      <c r="L570" s="24">
        <f t="shared" ref="L570:L601" si="41">ROUND(G570*H570*K570/365,0)</f>
        <v>16413</v>
      </c>
      <c r="M570" s="24">
        <v>38650000</v>
      </c>
    </row>
    <row r="571" spans="1:13" s="5" customFormat="1" outlineLevel="2">
      <c r="A571" s="39" t="s">
        <v>239</v>
      </c>
      <c r="B571" s="40" t="s">
        <v>19</v>
      </c>
      <c r="C571" s="41" t="s">
        <v>125</v>
      </c>
      <c r="D571" s="40" t="s">
        <v>126</v>
      </c>
      <c r="E571" s="24">
        <v>23000000</v>
      </c>
      <c r="F571" s="39">
        <v>44155</v>
      </c>
      <c r="G571" s="24">
        <v>23000000</v>
      </c>
      <c r="H571" s="23">
        <v>5.0000000000000001E-3</v>
      </c>
      <c r="I571" s="39">
        <v>44409</v>
      </c>
      <c r="J571" s="39">
        <v>44439</v>
      </c>
      <c r="K571" s="24">
        <f t="shared" si="40"/>
        <v>31</v>
      </c>
      <c r="L571" s="24">
        <f t="shared" si="41"/>
        <v>9767</v>
      </c>
      <c r="M571" s="24">
        <v>23000000</v>
      </c>
    </row>
    <row r="572" spans="1:13" s="5" customFormat="1" outlineLevel="2">
      <c r="A572" s="39" t="s">
        <v>239</v>
      </c>
      <c r="B572" s="40" t="s">
        <v>22</v>
      </c>
      <c r="C572" s="41" t="s">
        <v>125</v>
      </c>
      <c r="D572" s="40" t="s">
        <v>126</v>
      </c>
      <c r="E572" s="24">
        <v>1000000</v>
      </c>
      <c r="F572" s="39">
        <v>44160</v>
      </c>
      <c r="G572" s="24">
        <v>1000000</v>
      </c>
      <c r="H572" s="23">
        <v>5.0000000000000001E-3</v>
      </c>
      <c r="I572" s="39">
        <v>44409</v>
      </c>
      <c r="J572" s="39">
        <v>44439</v>
      </c>
      <c r="K572" s="24">
        <f t="shared" si="40"/>
        <v>31</v>
      </c>
      <c r="L572" s="24">
        <f t="shared" si="41"/>
        <v>425</v>
      </c>
      <c r="M572" s="24">
        <v>1000000</v>
      </c>
    </row>
    <row r="573" spans="1:13" s="5" customFormat="1" outlineLevel="2">
      <c r="A573" s="39" t="s">
        <v>239</v>
      </c>
      <c r="B573" s="40" t="s">
        <v>25</v>
      </c>
      <c r="C573" s="41" t="s">
        <v>95</v>
      </c>
      <c r="D573" s="40" t="s">
        <v>96</v>
      </c>
      <c r="E573" s="24">
        <v>6030000</v>
      </c>
      <c r="F573" s="39">
        <v>44145</v>
      </c>
      <c r="G573" s="24">
        <v>6030000</v>
      </c>
      <c r="H573" s="23">
        <v>5.0000000000000001E-3</v>
      </c>
      <c r="I573" s="39">
        <v>44409</v>
      </c>
      <c r="J573" s="39">
        <v>44439</v>
      </c>
      <c r="K573" s="24">
        <f t="shared" si="40"/>
        <v>31</v>
      </c>
      <c r="L573" s="24">
        <f t="shared" si="41"/>
        <v>2561</v>
      </c>
      <c r="M573" s="24">
        <v>6030000</v>
      </c>
    </row>
    <row r="574" spans="1:13" s="5" customFormat="1" outlineLevel="2">
      <c r="A574" s="39" t="s">
        <v>239</v>
      </c>
      <c r="B574" s="40" t="s">
        <v>26</v>
      </c>
      <c r="C574" s="41" t="s">
        <v>240</v>
      </c>
      <c r="D574" s="40" t="s">
        <v>241</v>
      </c>
      <c r="E574" s="24">
        <v>16018839</v>
      </c>
      <c r="F574" s="39">
        <v>44188</v>
      </c>
      <c r="G574" s="24">
        <v>16018839</v>
      </c>
      <c r="H574" s="23">
        <v>5.0000000000000001E-3</v>
      </c>
      <c r="I574" s="39">
        <v>44409</v>
      </c>
      <c r="J574" s="39">
        <v>44439</v>
      </c>
      <c r="K574" s="24">
        <f t="shared" si="40"/>
        <v>31</v>
      </c>
      <c r="L574" s="24">
        <f t="shared" si="41"/>
        <v>6803</v>
      </c>
      <c r="M574" s="24">
        <v>16018839</v>
      </c>
    </row>
    <row r="575" spans="1:13" s="5" customFormat="1" outlineLevel="2">
      <c r="A575" s="39" t="s">
        <v>239</v>
      </c>
      <c r="B575" s="40" t="s">
        <v>29</v>
      </c>
      <c r="C575" s="41" t="s">
        <v>240</v>
      </c>
      <c r="D575" s="40" t="s">
        <v>241</v>
      </c>
      <c r="E575" s="24">
        <v>31481161</v>
      </c>
      <c r="F575" s="39">
        <v>44188</v>
      </c>
      <c r="G575" s="24">
        <v>31481161</v>
      </c>
      <c r="H575" s="23">
        <v>5.0000000000000001E-3</v>
      </c>
      <c r="I575" s="39">
        <v>44409</v>
      </c>
      <c r="J575" s="39">
        <v>44439</v>
      </c>
      <c r="K575" s="24">
        <f t="shared" si="40"/>
        <v>31</v>
      </c>
      <c r="L575" s="24">
        <f t="shared" si="41"/>
        <v>13369</v>
      </c>
      <c r="M575" s="24">
        <v>31481161</v>
      </c>
    </row>
    <row r="576" spans="1:13" s="5" customFormat="1" outlineLevel="2">
      <c r="A576" s="39" t="s">
        <v>239</v>
      </c>
      <c r="B576" s="40" t="s">
        <v>32</v>
      </c>
      <c r="C576" s="41" t="s">
        <v>242</v>
      </c>
      <c r="D576" s="40" t="s">
        <v>243</v>
      </c>
      <c r="E576" s="24">
        <v>10000000</v>
      </c>
      <c r="F576" s="39">
        <v>44172</v>
      </c>
      <c r="G576" s="24">
        <v>10000000</v>
      </c>
      <c r="H576" s="23">
        <v>5.0000000000000001E-3</v>
      </c>
      <c r="I576" s="39">
        <v>44409</v>
      </c>
      <c r="J576" s="39">
        <v>44439</v>
      </c>
      <c r="K576" s="24">
        <f t="shared" si="40"/>
        <v>31</v>
      </c>
      <c r="L576" s="24">
        <f t="shared" si="41"/>
        <v>4247</v>
      </c>
      <c r="M576" s="24">
        <v>10000000</v>
      </c>
    </row>
    <row r="577" spans="1:13" s="5" customFormat="1" outlineLevel="2">
      <c r="A577" s="39" t="s">
        <v>239</v>
      </c>
      <c r="B577" s="40" t="s">
        <v>33</v>
      </c>
      <c r="C577" s="41" t="s">
        <v>242</v>
      </c>
      <c r="D577" s="40" t="s">
        <v>243</v>
      </c>
      <c r="E577" s="24">
        <v>10000000</v>
      </c>
      <c r="F577" s="39">
        <v>44181</v>
      </c>
      <c r="G577" s="24">
        <v>10000000</v>
      </c>
      <c r="H577" s="23">
        <v>5.0000000000000001E-3</v>
      </c>
      <c r="I577" s="39">
        <v>44409</v>
      </c>
      <c r="J577" s="39">
        <v>44439</v>
      </c>
      <c r="K577" s="24">
        <f t="shared" si="40"/>
        <v>31</v>
      </c>
      <c r="L577" s="24">
        <f t="shared" si="41"/>
        <v>4247</v>
      </c>
      <c r="M577" s="24">
        <v>10000000</v>
      </c>
    </row>
    <row r="578" spans="1:13" s="5" customFormat="1" outlineLevel="2">
      <c r="A578" s="39" t="s">
        <v>239</v>
      </c>
      <c r="B578" s="40" t="s">
        <v>34</v>
      </c>
      <c r="C578" s="41" t="s">
        <v>244</v>
      </c>
      <c r="D578" s="40" t="s">
        <v>245</v>
      </c>
      <c r="E578" s="24">
        <v>210000000</v>
      </c>
      <c r="F578" s="39">
        <v>44172</v>
      </c>
      <c r="G578" s="24">
        <v>210000000</v>
      </c>
      <c r="H578" s="23">
        <v>5.0000000000000001E-3</v>
      </c>
      <c r="I578" s="39">
        <v>44409</v>
      </c>
      <c r="J578" s="39">
        <v>44439</v>
      </c>
      <c r="K578" s="24">
        <f t="shared" si="40"/>
        <v>31</v>
      </c>
      <c r="L578" s="24">
        <f t="shared" si="41"/>
        <v>89178</v>
      </c>
      <c r="M578" s="24">
        <v>210000000</v>
      </c>
    </row>
    <row r="579" spans="1:13" s="5" customFormat="1" outlineLevel="2">
      <c r="A579" s="39" t="s">
        <v>239</v>
      </c>
      <c r="B579" s="40" t="s">
        <v>35</v>
      </c>
      <c r="C579" s="41" t="s">
        <v>246</v>
      </c>
      <c r="D579" s="40" t="s">
        <v>247</v>
      </c>
      <c r="E579" s="24">
        <v>3000000</v>
      </c>
      <c r="F579" s="39">
        <v>44167</v>
      </c>
      <c r="G579" s="24">
        <v>3000000</v>
      </c>
      <c r="H579" s="23">
        <v>5.0000000000000001E-3</v>
      </c>
      <c r="I579" s="39">
        <v>44409</v>
      </c>
      <c r="J579" s="39">
        <v>44439</v>
      </c>
      <c r="K579" s="24">
        <f t="shared" si="40"/>
        <v>31</v>
      </c>
      <c r="L579" s="24">
        <f t="shared" si="41"/>
        <v>1274</v>
      </c>
      <c r="M579" s="24">
        <v>3000000</v>
      </c>
    </row>
    <row r="580" spans="1:13" s="5" customFormat="1" outlineLevel="2">
      <c r="A580" s="39" t="s">
        <v>239</v>
      </c>
      <c r="B580" s="40" t="s">
        <v>36</v>
      </c>
      <c r="C580" s="41" t="s">
        <v>95</v>
      </c>
      <c r="D580" s="40" t="s">
        <v>96</v>
      </c>
      <c r="E580" s="24">
        <v>5530000</v>
      </c>
      <c r="F580" s="39">
        <v>44168</v>
      </c>
      <c r="G580" s="24">
        <v>5530000</v>
      </c>
      <c r="H580" s="23">
        <v>5.0000000000000001E-3</v>
      </c>
      <c r="I580" s="39">
        <v>44409</v>
      </c>
      <c r="J580" s="39">
        <v>44439</v>
      </c>
      <c r="K580" s="24">
        <f t="shared" si="40"/>
        <v>31</v>
      </c>
      <c r="L580" s="24">
        <f t="shared" si="41"/>
        <v>2348</v>
      </c>
      <c r="M580" s="24">
        <v>5530000</v>
      </c>
    </row>
    <row r="581" spans="1:13" s="5" customFormat="1" outlineLevel="2">
      <c r="A581" s="39" t="s">
        <v>239</v>
      </c>
      <c r="B581" s="40" t="s">
        <v>39</v>
      </c>
      <c r="C581" s="41" t="s">
        <v>248</v>
      </c>
      <c r="D581" s="40" t="s">
        <v>249</v>
      </c>
      <c r="E581" s="24">
        <v>23530000</v>
      </c>
      <c r="F581" s="39">
        <v>44013</v>
      </c>
      <c r="G581" s="24">
        <v>23530000</v>
      </c>
      <c r="H581" s="23">
        <v>5.0000000000000001E-3</v>
      </c>
      <c r="I581" s="39">
        <v>44409</v>
      </c>
      <c r="J581" s="39">
        <v>44439</v>
      </c>
      <c r="K581" s="24">
        <f t="shared" si="40"/>
        <v>31</v>
      </c>
      <c r="L581" s="24">
        <f t="shared" si="41"/>
        <v>9992</v>
      </c>
      <c r="M581" s="24">
        <v>23530000</v>
      </c>
    </row>
    <row r="582" spans="1:13" s="5" customFormat="1" outlineLevel="2">
      <c r="A582" s="39" t="s">
        <v>239</v>
      </c>
      <c r="B582" s="40" t="s">
        <v>40</v>
      </c>
      <c r="C582" s="41" t="s">
        <v>242</v>
      </c>
      <c r="D582" s="40" t="s">
        <v>243</v>
      </c>
      <c r="E582" s="24">
        <v>10000000</v>
      </c>
      <c r="F582" s="39">
        <v>44208</v>
      </c>
      <c r="G582" s="24">
        <v>10000000</v>
      </c>
      <c r="H582" s="23">
        <v>5.0000000000000001E-3</v>
      </c>
      <c r="I582" s="39">
        <v>44409</v>
      </c>
      <c r="J582" s="39">
        <v>44439</v>
      </c>
      <c r="K582" s="24">
        <f t="shared" si="40"/>
        <v>31</v>
      </c>
      <c r="L582" s="24">
        <f t="shared" si="41"/>
        <v>4247</v>
      </c>
      <c r="M582" s="24">
        <v>10000000</v>
      </c>
    </row>
    <row r="583" spans="1:13" s="5" customFormat="1" outlineLevel="2">
      <c r="A583" s="39" t="s">
        <v>239</v>
      </c>
      <c r="B583" s="40" t="s">
        <v>41</v>
      </c>
      <c r="C583" s="41" t="s">
        <v>125</v>
      </c>
      <c r="D583" s="40" t="s">
        <v>126</v>
      </c>
      <c r="E583" s="24">
        <v>28000000</v>
      </c>
      <c r="F583" s="39">
        <v>44217</v>
      </c>
      <c r="G583" s="24">
        <v>28000000</v>
      </c>
      <c r="H583" s="23">
        <v>5.0000000000000001E-3</v>
      </c>
      <c r="I583" s="39">
        <v>44409</v>
      </c>
      <c r="J583" s="39">
        <v>44439</v>
      </c>
      <c r="K583" s="24">
        <f t="shared" si="40"/>
        <v>31</v>
      </c>
      <c r="L583" s="24">
        <f t="shared" si="41"/>
        <v>11890</v>
      </c>
      <c r="M583" s="24">
        <v>28000000</v>
      </c>
    </row>
    <row r="584" spans="1:13" s="5" customFormat="1" outlineLevel="2">
      <c r="A584" s="39" t="s">
        <v>239</v>
      </c>
      <c r="B584" s="40" t="s">
        <v>42</v>
      </c>
      <c r="C584" s="41" t="s">
        <v>250</v>
      </c>
      <c r="D584" s="40" t="s">
        <v>251</v>
      </c>
      <c r="E584" s="24">
        <v>22500000</v>
      </c>
      <c r="F584" s="39">
        <v>44215</v>
      </c>
      <c r="G584" s="24">
        <v>20250000</v>
      </c>
      <c r="H584" s="23">
        <v>5.0000000000000001E-3</v>
      </c>
      <c r="I584" s="39">
        <v>44409</v>
      </c>
      <c r="J584" s="39">
        <v>44423</v>
      </c>
      <c r="K584" s="24">
        <f t="shared" si="40"/>
        <v>15</v>
      </c>
      <c r="L584" s="24">
        <f t="shared" si="41"/>
        <v>4161</v>
      </c>
      <c r="M584" s="24">
        <v>19875000</v>
      </c>
    </row>
    <row r="585" spans="1:13" s="5" customFormat="1" outlineLevel="2">
      <c r="A585" s="39" t="s">
        <v>239</v>
      </c>
      <c r="B585" s="40" t="s">
        <v>42</v>
      </c>
      <c r="C585" s="41" t="s">
        <v>250</v>
      </c>
      <c r="D585" s="40"/>
      <c r="E585" s="24"/>
      <c r="F585" s="39"/>
      <c r="G585" s="24">
        <v>19875000</v>
      </c>
      <c r="H585" s="23">
        <v>5.0000000000000001E-3</v>
      </c>
      <c r="I585" s="39">
        <v>44424</v>
      </c>
      <c r="J585" s="39">
        <v>44439</v>
      </c>
      <c r="K585" s="24">
        <f t="shared" si="40"/>
        <v>16</v>
      </c>
      <c r="L585" s="24">
        <f t="shared" si="41"/>
        <v>4356</v>
      </c>
      <c r="M585" s="24"/>
    </row>
    <row r="586" spans="1:13" s="5" customFormat="1" outlineLevel="2">
      <c r="A586" s="39" t="s">
        <v>239</v>
      </c>
      <c r="B586" s="40" t="s">
        <v>43</v>
      </c>
      <c r="C586" s="41" t="s">
        <v>250</v>
      </c>
      <c r="D586" s="40" t="s">
        <v>251</v>
      </c>
      <c r="E586" s="24">
        <v>4950000</v>
      </c>
      <c r="F586" s="39">
        <v>44215</v>
      </c>
      <c r="G586" s="24">
        <v>4455000</v>
      </c>
      <c r="H586" s="23">
        <v>5.0000000000000001E-3</v>
      </c>
      <c r="I586" s="39">
        <v>44409</v>
      </c>
      <c r="J586" s="39">
        <v>44423</v>
      </c>
      <c r="K586" s="24">
        <f t="shared" si="40"/>
        <v>15</v>
      </c>
      <c r="L586" s="24">
        <f t="shared" si="41"/>
        <v>915</v>
      </c>
      <c r="M586" s="24">
        <v>4372500</v>
      </c>
    </row>
    <row r="587" spans="1:13" s="5" customFormat="1" outlineLevel="2">
      <c r="A587" s="39" t="s">
        <v>239</v>
      </c>
      <c r="B587" s="40" t="s">
        <v>43</v>
      </c>
      <c r="C587" s="41" t="s">
        <v>250</v>
      </c>
      <c r="D587" s="40"/>
      <c r="E587" s="24"/>
      <c r="F587" s="39"/>
      <c r="G587" s="24">
        <v>4372500</v>
      </c>
      <c r="H587" s="23">
        <v>5.0000000000000001E-3</v>
      </c>
      <c r="I587" s="39">
        <v>44424</v>
      </c>
      <c r="J587" s="39">
        <v>44439</v>
      </c>
      <c r="K587" s="24">
        <f t="shared" si="40"/>
        <v>16</v>
      </c>
      <c r="L587" s="24">
        <f t="shared" si="41"/>
        <v>958</v>
      </c>
      <c r="M587" s="24"/>
    </row>
    <row r="588" spans="1:13" s="5" customFormat="1" outlineLevel="2">
      <c r="A588" s="39" t="s">
        <v>239</v>
      </c>
      <c r="B588" s="40" t="s">
        <v>44</v>
      </c>
      <c r="C588" s="41" t="s">
        <v>242</v>
      </c>
      <c r="D588" s="40" t="s">
        <v>243</v>
      </c>
      <c r="E588" s="24">
        <v>10000000</v>
      </c>
      <c r="F588" s="39">
        <v>44244</v>
      </c>
      <c r="G588" s="24">
        <v>10000000</v>
      </c>
      <c r="H588" s="23">
        <v>5.0000000000000001E-3</v>
      </c>
      <c r="I588" s="39">
        <v>44409</v>
      </c>
      <c r="J588" s="39">
        <v>44439</v>
      </c>
      <c r="K588" s="24">
        <f t="shared" si="40"/>
        <v>31</v>
      </c>
      <c r="L588" s="24">
        <f t="shared" si="41"/>
        <v>4247</v>
      </c>
      <c r="M588" s="24">
        <v>10000000</v>
      </c>
    </row>
    <row r="589" spans="1:13" s="5" customFormat="1" outlineLevel="2">
      <c r="A589" s="39" t="s">
        <v>239</v>
      </c>
      <c r="B589" s="40" t="s">
        <v>47</v>
      </c>
      <c r="C589" s="41" t="s">
        <v>242</v>
      </c>
      <c r="D589" s="40" t="s">
        <v>243</v>
      </c>
      <c r="E589" s="24">
        <v>4000000</v>
      </c>
      <c r="F589" s="39">
        <v>44249</v>
      </c>
      <c r="G589" s="24">
        <v>4000000</v>
      </c>
      <c r="H589" s="23">
        <v>5.0000000000000001E-3</v>
      </c>
      <c r="I589" s="39">
        <v>44409</v>
      </c>
      <c r="J589" s="39">
        <v>44439</v>
      </c>
      <c r="K589" s="24">
        <f t="shared" si="40"/>
        <v>31</v>
      </c>
      <c r="L589" s="24">
        <f t="shared" si="41"/>
        <v>1699</v>
      </c>
      <c r="M589" s="24">
        <v>4000000</v>
      </c>
    </row>
    <row r="590" spans="1:13" s="5" customFormat="1" outlineLevel="2">
      <c r="A590" s="39" t="s">
        <v>239</v>
      </c>
      <c r="B590" s="40" t="s">
        <v>50</v>
      </c>
      <c r="C590" s="41" t="s">
        <v>306</v>
      </c>
      <c r="D590" s="40" t="s">
        <v>305</v>
      </c>
      <c r="E590" s="24">
        <v>23949000</v>
      </c>
      <c r="F590" s="39">
        <v>44251</v>
      </c>
      <c r="G590" s="24">
        <v>23949000</v>
      </c>
      <c r="H590" s="23">
        <v>5.0000000000000001E-3</v>
      </c>
      <c r="I590" s="39">
        <v>44409</v>
      </c>
      <c r="J590" s="39">
        <v>44439</v>
      </c>
      <c r="K590" s="24">
        <f t="shared" si="40"/>
        <v>31</v>
      </c>
      <c r="L590" s="24">
        <f t="shared" si="41"/>
        <v>10170</v>
      </c>
      <c r="M590" s="24">
        <v>23949000</v>
      </c>
    </row>
    <row r="591" spans="1:13" s="5" customFormat="1" outlineLevel="2">
      <c r="A591" s="39" t="s">
        <v>239</v>
      </c>
      <c r="B591" s="40" t="s">
        <v>51</v>
      </c>
      <c r="C591" s="41" t="s">
        <v>66</v>
      </c>
      <c r="D591" s="40" t="s">
        <v>67</v>
      </c>
      <c r="E591" s="24">
        <v>40000000</v>
      </c>
      <c r="F591" s="39">
        <v>44235</v>
      </c>
      <c r="G591" s="24">
        <v>40000000</v>
      </c>
      <c r="H591" s="23">
        <v>5.0000000000000001E-3</v>
      </c>
      <c r="I591" s="39">
        <v>44409</v>
      </c>
      <c r="J591" s="39">
        <v>44439</v>
      </c>
      <c r="K591" s="24">
        <f t="shared" si="40"/>
        <v>31</v>
      </c>
      <c r="L591" s="24">
        <f t="shared" si="41"/>
        <v>16986</v>
      </c>
      <c r="M591" s="24">
        <v>40000000</v>
      </c>
    </row>
    <row r="592" spans="1:13" s="5" customFormat="1" outlineLevel="2">
      <c r="A592" s="39" t="s">
        <v>239</v>
      </c>
      <c r="B592" s="40" t="s">
        <v>52</v>
      </c>
      <c r="C592" s="41" t="s">
        <v>244</v>
      </c>
      <c r="D592" s="40" t="s">
        <v>245</v>
      </c>
      <c r="E592" s="24">
        <v>64000000</v>
      </c>
      <c r="F592" s="39">
        <v>44228</v>
      </c>
      <c r="G592" s="24">
        <v>64000000</v>
      </c>
      <c r="H592" s="23">
        <v>5.0000000000000001E-3</v>
      </c>
      <c r="I592" s="39">
        <v>44409</v>
      </c>
      <c r="J592" s="39">
        <v>44439</v>
      </c>
      <c r="K592" s="24">
        <f t="shared" si="40"/>
        <v>31</v>
      </c>
      <c r="L592" s="24">
        <f t="shared" si="41"/>
        <v>27178</v>
      </c>
      <c r="M592" s="24">
        <v>64000000</v>
      </c>
    </row>
    <row r="593" spans="1:13" s="5" customFormat="1" outlineLevel="2">
      <c r="A593" s="39" t="s">
        <v>239</v>
      </c>
      <c r="B593" s="40" t="s">
        <v>53</v>
      </c>
      <c r="C593" s="41" t="s">
        <v>246</v>
      </c>
      <c r="D593" s="40" t="s">
        <v>247</v>
      </c>
      <c r="E593" s="24">
        <v>100000000</v>
      </c>
      <c r="F593" s="39">
        <v>44251</v>
      </c>
      <c r="G593" s="24">
        <v>100000000</v>
      </c>
      <c r="H593" s="23">
        <v>5.0000000000000001E-3</v>
      </c>
      <c r="I593" s="39">
        <v>44409</v>
      </c>
      <c r="J593" s="39">
        <v>44439</v>
      </c>
      <c r="K593" s="24">
        <f t="shared" si="40"/>
        <v>31</v>
      </c>
      <c r="L593" s="24">
        <f t="shared" si="41"/>
        <v>42466</v>
      </c>
      <c r="M593" s="24">
        <v>100000000</v>
      </c>
    </row>
    <row r="594" spans="1:13" s="5" customFormat="1" outlineLevel="2">
      <c r="A594" s="39" t="s">
        <v>239</v>
      </c>
      <c r="B594" s="40" t="s">
        <v>54</v>
      </c>
      <c r="C594" s="41" t="s">
        <v>248</v>
      </c>
      <c r="D594" s="40" t="s">
        <v>249</v>
      </c>
      <c r="E594" s="24">
        <v>47470000</v>
      </c>
      <c r="F594" s="39">
        <v>44013</v>
      </c>
      <c r="G594" s="24">
        <v>47470000</v>
      </c>
      <c r="H594" s="23">
        <v>5.0000000000000001E-3</v>
      </c>
      <c r="I594" s="39">
        <v>44409</v>
      </c>
      <c r="J594" s="39">
        <v>44439</v>
      </c>
      <c r="K594" s="24">
        <f t="shared" si="40"/>
        <v>31</v>
      </c>
      <c r="L594" s="24">
        <f t="shared" si="41"/>
        <v>20158</v>
      </c>
      <c r="M594" s="24">
        <v>47470000</v>
      </c>
    </row>
    <row r="595" spans="1:13" s="5" customFormat="1" outlineLevel="2">
      <c r="A595" s="39" t="s">
        <v>239</v>
      </c>
      <c r="B595" s="40" t="s">
        <v>57</v>
      </c>
      <c r="C595" s="41" t="s">
        <v>246</v>
      </c>
      <c r="D595" s="40" t="s">
        <v>247</v>
      </c>
      <c r="E595" s="24">
        <v>93000000</v>
      </c>
      <c r="F595" s="39">
        <v>44251</v>
      </c>
      <c r="G595" s="24">
        <v>93000000</v>
      </c>
      <c r="H595" s="23">
        <v>5.0000000000000001E-3</v>
      </c>
      <c r="I595" s="39">
        <v>44409</v>
      </c>
      <c r="J595" s="39">
        <v>44439</v>
      </c>
      <c r="K595" s="24">
        <f t="shared" si="40"/>
        <v>31</v>
      </c>
      <c r="L595" s="24">
        <f t="shared" si="41"/>
        <v>39493</v>
      </c>
      <c r="M595" s="24">
        <v>93000000</v>
      </c>
    </row>
    <row r="596" spans="1:13" s="5" customFormat="1" outlineLevel="2">
      <c r="A596" s="39" t="s">
        <v>239</v>
      </c>
      <c r="B596" s="40" t="s">
        <v>99</v>
      </c>
      <c r="C596" s="41" t="s">
        <v>95</v>
      </c>
      <c r="D596" s="40" t="s">
        <v>96</v>
      </c>
      <c r="E596" s="24">
        <v>4840000</v>
      </c>
      <c r="F596" s="39">
        <v>44235</v>
      </c>
      <c r="G596" s="24">
        <v>4840000</v>
      </c>
      <c r="H596" s="23">
        <v>5.0000000000000001E-3</v>
      </c>
      <c r="I596" s="39">
        <v>44409</v>
      </c>
      <c r="J596" s="39">
        <v>44439</v>
      </c>
      <c r="K596" s="24">
        <f t="shared" si="40"/>
        <v>31</v>
      </c>
      <c r="L596" s="24">
        <f t="shared" si="41"/>
        <v>2055</v>
      </c>
      <c r="M596" s="24">
        <v>4840000</v>
      </c>
    </row>
    <row r="597" spans="1:13" s="5" customFormat="1" outlineLevel="2">
      <c r="A597" s="39" t="s">
        <v>239</v>
      </c>
      <c r="B597" s="40" t="s">
        <v>100</v>
      </c>
      <c r="C597" s="41" t="s">
        <v>130</v>
      </c>
      <c r="D597" s="40" t="s">
        <v>131</v>
      </c>
      <c r="E597" s="24">
        <v>10000000</v>
      </c>
      <c r="F597" s="39">
        <v>44284</v>
      </c>
      <c r="G597" s="24">
        <v>5000000</v>
      </c>
      <c r="H597" s="23">
        <v>5.0000000000000001E-3</v>
      </c>
      <c r="I597" s="39">
        <v>44409</v>
      </c>
      <c r="J597" s="39">
        <v>44439</v>
      </c>
      <c r="K597" s="24">
        <f t="shared" si="40"/>
        <v>31</v>
      </c>
      <c r="L597" s="24">
        <f t="shared" si="41"/>
        <v>2123</v>
      </c>
      <c r="M597" s="24">
        <v>5000000</v>
      </c>
    </row>
    <row r="598" spans="1:13" s="5" customFormat="1" outlineLevel="2">
      <c r="A598" s="39" t="s">
        <v>239</v>
      </c>
      <c r="B598" s="40" t="s">
        <v>101</v>
      </c>
      <c r="C598" s="41" t="s">
        <v>244</v>
      </c>
      <c r="D598" s="40" t="s">
        <v>245</v>
      </c>
      <c r="E598" s="24">
        <v>70000000</v>
      </c>
      <c r="F598" s="39">
        <v>44260</v>
      </c>
      <c r="G598" s="24">
        <v>70000000</v>
      </c>
      <c r="H598" s="23">
        <v>5.0000000000000001E-3</v>
      </c>
      <c r="I598" s="39">
        <v>44409</v>
      </c>
      <c r="J598" s="39">
        <v>44439</v>
      </c>
      <c r="K598" s="24">
        <f t="shared" si="40"/>
        <v>31</v>
      </c>
      <c r="L598" s="24">
        <f t="shared" si="41"/>
        <v>29726</v>
      </c>
      <c r="M598" s="24">
        <v>70000000</v>
      </c>
    </row>
    <row r="599" spans="1:13" s="5" customFormat="1" outlineLevel="2">
      <c r="A599" s="39" t="s">
        <v>239</v>
      </c>
      <c r="B599" s="40" t="s">
        <v>102</v>
      </c>
      <c r="C599" s="41" t="s">
        <v>125</v>
      </c>
      <c r="D599" s="40" t="s">
        <v>126</v>
      </c>
      <c r="E599" s="24">
        <v>5000000</v>
      </c>
      <c r="F599" s="39">
        <v>44259</v>
      </c>
      <c r="G599" s="24">
        <v>5000000</v>
      </c>
      <c r="H599" s="23">
        <v>5.0000000000000001E-3</v>
      </c>
      <c r="I599" s="39">
        <v>44409</v>
      </c>
      <c r="J599" s="39">
        <v>44439</v>
      </c>
      <c r="K599" s="24">
        <f t="shared" si="40"/>
        <v>31</v>
      </c>
      <c r="L599" s="24">
        <f t="shared" si="41"/>
        <v>2123</v>
      </c>
      <c r="M599" s="24">
        <v>5000000</v>
      </c>
    </row>
    <row r="600" spans="1:13" s="5" customFormat="1" outlineLevel="2">
      <c r="A600" s="39" t="s">
        <v>239</v>
      </c>
      <c r="B600" s="40" t="s">
        <v>103</v>
      </c>
      <c r="C600" s="41" t="s">
        <v>66</v>
      </c>
      <c r="D600" s="40" t="s">
        <v>67</v>
      </c>
      <c r="E600" s="24">
        <v>49780000</v>
      </c>
      <c r="F600" s="39">
        <v>44306</v>
      </c>
      <c r="G600" s="24">
        <v>49780000</v>
      </c>
      <c r="H600" s="23">
        <v>5.0000000000000001E-3</v>
      </c>
      <c r="I600" s="39">
        <v>44409</v>
      </c>
      <c r="J600" s="39">
        <v>44439</v>
      </c>
      <c r="K600" s="24">
        <f t="shared" si="40"/>
        <v>31</v>
      </c>
      <c r="L600" s="24">
        <f t="shared" si="41"/>
        <v>21139</v>
      </c>
      <c r="M600" s="24">
        <v>49780000</v>
      </c>
    </row>
    <row r="601" spans="1:13" s="5" customFormat="1" outlineLevel="2">
      <c r="A601" s="39" t="s">
        <v>239</v>
      </c>
      <c r="B601" s="40" t="s">
        <v>104</v>
      </c>
      <c r="C601" s="41" t="s">
        <v>244</v>
      </c>
      <c r="D601" s="40" t="s">
        <v>245</v>
      </c>
      <c r="E601" s="24">
        <v>39000000</v>
      </c>
      <c r="F601" s="39">
        <v>44295</v>
      </c>
      <c r="G601" s="24">
        <v>39000000</v>
      </c>
      <c r="H601" s="23">
        <v>5.0000000000000001E-3</v>
      </c>
      <c r="I601" s="39">
        <v>44409</v>
      </c>
      <c r="J601" s="39">
        <v>44439</v>
      </c>
      <c r="K601" s="24">
        <f t="shared" si="40"/>
        <v>31</v>
      </c>
      <c r="L601" s="24">
        <f t="shared" si="41"/>
        <v>16562</v>
      </c>
      <c r="M601" s="24">
        <v>39000000</v>
      </c>
    </row>
    <row r="602" spans="1:13" s="5" customFormat="1" outlineLevel="2">
      <c r="A602" s="39" t="s">
        <v>239</v>
      </c>
      <c r="B602" s="40" t="s">
        <v>105</v>
      </c>
      <c r="C602" s="41" t="s">
        <v>95</v>
      </c>
      <c r="D602" s="40" t="s">
        <v>96</v>
      </c>
      <c r="E602" s="24">
        <v>2600000</v>
      </c>
      <c r="F602" s="39">
        <v>44314</v>
      </c>
      <c r="G602" s="24">
        <v>2600000</v>
      </c>
      <c r="H602" s="23">
        <v>5.0000000000000001E-3</v>
      </c>
      <c r="I602" s="39">
        <v>44409</v>
      </c>
      <c r="J602" s="39">
        <v>44439</v>
      </c>
      <c r="K602" s="24">
        <f t="shared" ref="K602:K633" si="42">J602-I602+1</f>
        <v>31</v>
      </c>
      <c r="L602" s="24">
        <f t="shared" ref="L602:L633" si="43">ROUND(G602*H602*K602/365,0)</f>
        <v>1104</v>
      </c>
      <c r="M602" s="24">
        <v>2600000</v>
      </c>
    </row>
    <row r="603" spans="1:13" s="5" customFormat="1" outlineLevel="2">
      <c r="A603" s="39" t="s">
        <v>239</v>
      </c>
      <c r="B603" s="40" t="s">
        <v>106</v>
      </c>
      <c r="C603" s="41" t="s">
        <v>339</v>
      </c>
      <c r="D603" s="40" t="s">
        <v>338</v>
      </c>
      <c r="E603" s="24">
        <v>1000000</v>
      </c>
      <c r="F603" s="39">
        <v>44292</v>
      </c>
      <c r="G603" s="24">
        <v>1000000</v>
      </c>
      <c r="H603" s="23">
        <v>5.0000000000000001E-3</v>
      </c>
      <c r="I603" s="39">
        <v>44409</v>
      </c>
      <c r="J603" s="39">
        <v>44439</v>
      </c>
      <c r="K603" s="24">
        <f t="shared" si="42"/>
        <v>31</v>
      </c>
      <c r="L603" s="24">
        <f t="shared" si="43"/>
        <v>425</v>
      </c>
      <c r="M603" s="24">
        <v>1000000</v>
      </c>
    </row>
    <row r="604" spans="1:13" s="5" customFormat="1" outlineLevel="2">
      <c r="A604" s="39" t="s">
        <v>239</v>
      </c>
      <c r="B604" s="40" t="s">
        <v>59</v>
      </c>
      <c r="C604" s="41" t="s">
        <v>240</v>
      </c>
      <c r="D604" s="40" t="s">
        <v>241</v>
      </c>
      <c r="E604" s="24">
        <v>6665394</v>
      </c>
      <c r="F604" s="39">
        <v>44029</v>
      </c>
      <c r="G604" s="24">
        <v>6665394</v>
      </c>
      <c r="H604" s="23">
        <v>5.0000000000000001E-3</v>
      </c>
      <c r="I604" s="39">
        <v>44409</v>
      </c>
      <c r="J604" s="39">
        <v>44439</v>
      </c>
      <c r="K604" s="24">
        <f t="shared" si="42"/>
        <v>31</v>
      </c>
      <c r="L604" s="24">
        <f t="shared" si="43"/>
        <v>2831</v>
      </c>
      <c r="M604" s="24">
        <v>6665394</v>
      </c>
    </row>
    <row r="605" spans="1:13" s="5" customFormat="1" outlineLevel="2">
      <c r="A605" s="39" t="s">
        <v>239</v>
      </c>
      <c r="B605" s="40" t="s">
        <v>136</v>
      </c>
      <c r="C605" s="41" t="s">
        <v>345</v>
      </c>
      <c r="D605" s="40" t="s">
        <v>344</v>
      </c>
      <c r="E605" s="24">
        <v>10000000</v>
      </c>
      <c r="F605" s="39">
        <v>44315</v>
      </c>
      <c r="G605" s="24">
        <v>10000000</v>
      </c>
      <c r="H605" s="23">
        <v>3.0000000000000001E-3</v>
      </c>
      <c r="I605" s="39">
        <v>44409</v>
      </c>
      <c r="J605" s="39">
        <v>44439</v>
      </c>
      <c r="K605" s="24">
        <f t="shared" si="42"/>
        <v>31</v>
      </c>
      <c r="L605" s="24">
        <f t="shared" si="43"/>
        <v>2548</v>
      </c>
      <c r="M605" s="24">
        <v>10000000</v>
      </c>
    </row>
    <row r="606" spans="1:13" s="5" customFormat="1" outlineLevel="2">
      <c r="A606" s="39" t="s">
        <v>239</v>
      </c>
      <c r="B606" s="40" t="s">
        <v>137</v>
      </c>
      <c r="C606" s="41" t="s">
        <v>244</v>
      </c>
      <c r="D606" s="40" t="s">
        <v>245</v>
      </c>
      <c r="E606" s="24">
        <v>67000000</v>
      </c>
      <c r="F606" s="39">
        <v>44321</v>
      </c>
      <c r="G606" s="24">
        <v>67000000</v>
      </c>
      <c r="H606" s="23">
        <v>5.0000000000000001E-3</v>
      </c>
      <c r="I606" s="39">
        <v>44409</v>
      </c>
      <c r="J606" s="39">
        <v>44439</v>
      </c>
      <c r="K606" s="24">
        <f t="shared" si="42"/>
        <v>31</v>
      </c>
      <c r="L606" s="24">
        <f t="shared" si="43"/>
        <v>28452</v>
      </c>
      <c r="M606" s="24">
        <v>67000000</v>
      </c>
    </row>
    <row r="607" spans="1:13" s="5" customFormat="1" outlineLevel="2">
      <c r="A607" s="39" t="s">
        <v>239</v>
      </c>
      <c r="B607" s="40" t="s">
        <v>138</v>
      </c>
      <c r="C607" s="41" t="s">
        <v>232</v>
      </c>
      <c r="D607" s="40" t="s">
        <v>233</v>
      </c>
      <c r="E607" s="24">
        <v>287705120</v>
      </c>
      <c r="F607" s="39">
        <v>44327</v>
      </c>
      <c r="G607" s="24">
        <v>287705120</v>
      </c>
      <c r="H607" s="23">
        <v>5.0000000000000001E-3</v>
      </c>
      <c r="I607" s="39">
        <v>44409</v>
      </c>
      <c r="J607" s="39">
        <v>44439</v>
      </c>
      <c r="K607" s="24">
        <f t="shared" si="42"/>
        <v>31</v>
      </c>
      <c r="L607" s="24">
        <f t="shared" si="43"/>
        <v>122176</v>
      </c>
      <c r="M607" s="24">
        <v>287705120</v>
      </c>
    </row>
    <row r="608" spans="1:13" s="5" customFormat="1" outlineLevel="2">
      <c r="A608" s="39" t="s">
        <v>239</v>
      </c>
      <c r="B608" s="40" t="s">
        <v>139</v>
      </c>
      <c r="C608" s="41" t="s">
        <v>367</v>
      </c>
      <c r="D608" s="40" t="s">
        <v>366</v>
      </c>
      <c r="E608" s="24">
        <v>14000000</v>
      </c>
      <c r="F608" s="39">
        <v>44336</v>
      </c>
      <c r="G608" s="24">
        <v>14000000</v>
      </c>
      <c r="H608" s="23">
        <v>5.0000000000000001E-3</v>
      </c>
      <c r="I608" s="39">
        <v>44409</v>
      </c>
      <c r="J608" s="39">
        <v>44439</v>
      </c>
      <c r="K608" s="24">
        <f t="shared" si="42"/>
        <v>31</v>
      </c>
      <c r="L608" s="24">
        <f t="shared" si="43"/>
        <v>5945</v>
      </c>
      <c r="M608" s="24">
        <v>14000000</v>
      </c>
    </row>
    <row r="609" spans="1:13" s="5" customFormat="1" outlineLevel="2">
      <c r="A609" s="39" t="s">
        <v>239</v>
      </c>
      <c r="B609" s="40" t="s">
        <v>140</v>
      </c>
      <c r="C609" s="41" t="s">
        <v>244</v>
      </c>
      <c r="D609" s="40" t="s">
        <v>245</v>
      </c>
      <c r="E609" s="24">
        <v>64000000</v>
      </c>
      <c r="F609" s="39">
        <v>44354</v>
      </c>
      <c r="G609" s="24">
        <v>64000000</v>
      </c>
      <c r="H609" s="23">
        <v>5.0000000000000001E-3</v>
      </c>
      <c r="I609" s="39">
        <v>44409</v>
      </c>
      <c r="J609" s="39">
        <v>44439</v>
      </c>
      <c r="K609" s="24">
        <f t="shared" si="42"/>
        <v>31</v>
      </c>
      <c r="L609" s="24">
        <f t="shared" si="43"/>
        <v>27178</v>
      </c>
      <c r="M609" s="24">
        <v>64000000</v>
      </c>
    </row>
    <row r="610" spans="1:13" s="5" customFormat="1" outlineLevel="2">
      <c r="A610" s="39" t="s">
        <v>239</v>
      </c>
      <c r="B610" s="40" t="s">
        <v>169</v>
      </c>
      <c r="C610" s="41" t="s">
        <v>250</v>
      </c>
      <c r="D610" s="40" t="s">
        <v>251</v>
      </c>
      <c r="E610" s="24">
        <v>33500000</v>
      </c>
      <c r="F610" s="39">
        <v>44362</v>
      </c>
      <c r="G610" s="24">
        <v>32890909</v>
      </c>
      <c r="H610" s="23">
        <v>5.0000000000000001E-3</v>
      </c>
      <c r="I610" s="39">
        <v>44409</v>
      </c>
      <c r="J610" s="39">
        <v>44423</v>
      </c>
      <c r="K610" s="24">
        <f t="shared" si="42"/>
        <v>15</v>
      </c>
      <c r="L610" s="24">
        <f t="shared" si="43"/>
        <v>6758</v>
      </c>
      <c r="M610" s="24">
        <v>32281818</v>
      </c>
    </row>
    <row r="611" spans="1:13" s="5" customFormat="1" outlineLevel="2">
      <c r="A611" s="39" t="s">
        <v>239</v>
      </c>
      <c r="B611" s="40" t="s">
        <v>169</v>
      </c>
      <c r="C611" s="41" t="s">
        <v>250</v>
      </c>
      <c r="D611" s="40"/>
      <c r="E611" s="24"/>
      <c r="F611" s="39"/>
      <c r="G611" s="24">
        <v>32281818</v>
      </c>
      <c r="H611" s="23">
        <v>5.0000000000000001E-3</v>
      </c>
      <c r="I611" s="39">
        <v>44424</v>
      </c>
      <c r="J611" s="39">
        <v>44439</v>
      </c>
      <c r="K611" s="24">
        <f t="shared" si="42"/>
        <v>16</v>
      </c>
      <c r="L611" s="24">
        <f t="shared" si="43"/>
        <v>7075</v>
      </c>
      <c r="M611" s="24"/>
    </row>
    <row r="612" spans="1:13" s="5" customFormat="1" outlineLevel="2">
      <c r="A612" s="39" t="s">
        <v>239</v>
      </c>
      <c r="B612" s="40" t="s">
        <v>170</v>
      </c>
      <c r="C612" s="41" t="s">
        <v>250</v>
      </c>
      <c r="D612" s="40" t="s">
        <v>251</v>
      </c>
      <c r="E612" s="24">
        <v>7400000</v>
      </c>
      <c r="F612" s="39">
        <v>44362</v>
      </c>
      <c r="G612" s="24">
        <v>7265454</v>
      </c>
      <c r="H612" s="23">
        <v>5.0000000000000001E-3</v>
      </c>
      <c r="I612" s="39">
        <v>44409</v>
      </c>
      <c r="J612" s="39">
        <v>44423</v>
      </c>
      <c r="K612" s="24">
        <f t="shared" si="42"/>
        <v>15</v>
      </c>
      <c r="L612" s="24">
        <f t="shared" si="43"/>
        <v>1493</v>
      </c>
      <c r="M612" s="24">
        <v>7130908</v>
      </c>
    </row>
    <row r="613" spans="1:13" s="5" customFormat="1" outlineLevel="2">
      <c r="A613" s="39" t="s">
        <v>239</v>
      </c>
      <c r="B613" s="40" t="s">
        <v>170</v>
      </c>
      <c r="C613" s="41" t="s">
        <v>250</v>
      </c>
      <c r="D613" s="40"/>
      <c r="E613" s="24"/>
      <c r="F613" s="39"/>
      <c r="G613" s="24">
        <v>7130908</v>
      </c>
      <c r="H613" s="23">
        <v>5.0000000000000001E-3</v>
      </c>
      <c r="I613" s="39">
        <v>44424</v>
      </c>
      <c r="J613" s="39">
        <v>44439</v>
      </c>
      <c r="K613" s="24">
        <f t="shared" si="42"/>
        <v>16</v>
      </c>
      <c r="L613" s="24">
        <f t="shared" si="43"/>
        <v>1563</v>
      </c>
      <c r="M613" s="24"/>
    </row>
    <row r="614" spans="1:13" s="5" customFormat="1" outlineLevel="2">
      <c r="A614" s="39" t="s">
        <v>239</v>
      </c>
      <c r="B614" s="40" t="s">
        <v>171</v>
      </c>
      <c r="C614" s="41" t="s">
        <v>66</v>
      </c>
      <c r="D614" s="40" t="s">
        <v>67</v>
      </c>
      <c r="E614" s="24">
        <v>35910000</v>
      </c>
      <c r="F614" s="39">
        <v>44400</v>
      </c>
      <c r="G614" s="24">
        <v>35910000</v>
      </c>
      <c r="H614" s="23">
        <v>5.0000000000000001E-3</v>
      </c>
      <c r="I614" s="39">
        <v>44409</v>
      </c>
      <c r="J614" s="39">
        <v>44439</v>
      </c>
      <c r="K614" s="24">
        <f t="shared" si="42"/>
        <v>31</v>
      </c>
      <c r="L614" s="24">
        <f t="shared" si="43"/>
        <v>15249</v>
      </c>
      <c r="M614" s="24">
        <v>35910000</v>
      </c>
    </row>
    <row r="615" spans="1:13" s="5" customFormat="1" outlineLevel="2">
      <c r="A615" s="39" t="s">
        <v>239</v>
      </c>
      <c r="B615" s="40" t="s">
        <v>172</v>
      </c>
      <c r="C615" s="41" t="s">
        <v>367</v>
      </c>
      <c r="D615" s="40" t="s">
        <v>366</v>
      </c>
      <c r="E615" s="24">
        <v>6552000</v>
      </c>
      <c r="F615" s="39">
        <v>44386</v>
      </c>
      <c r="G615" s="24">
        <v>6552000</v>
      </c>
      <c r="H615" s="23">
        <v>5.0000000000000001E-3</v>
      </c>
      <c r="I615" s="39">
        <v>44409</v>
      </c>
      <c r="J615" s="39">
        <v>44439</v>
      </c>
      <c r="K615" s="24">
        <f t="shared" si="42"/>
        <v>31</v>
      </c>
      <c r="L615" s="24">
        <f t="shared" si="43"/>
        <v>2782</v>
      </c>
      <c r="M615" s="24">
        <v>6552000</v>
      </c>
    </row>
    <row r="616" spans="1:13" s="5" customFormat="1" outlineLevel="2">
      <c r="A616" s="39" t="s">
        <v>239</v>
      </c>
      <c r="B616" s="40" t="s">
        <v>173</v>
      </c>
      <c r="C616" s="41" t="s">
        <v>367</v>
      </c>
      <c r="D616" s="40" t="s">
        <v>366</v>
      </c>
      <c r="E616" s="24">
        <v>7062000</v>
      </c>
      <c r="F616" s="39">
        <v>44405</v>
      </c>
      <c r="G616" s="24">
        <v>7062000</v>
      </c>
      <c r="H616" s="23">
        <v>5.0000000000000001E-3</v>
      </c>
      <c r="I616" s="39">
        <v>44409</v>
      </c>
      <c r="J616" s="39">
        <v>44439</v>
      </c>
      <c r="K616" s="24">
        <f t="shared" si="42"/>
        <v>31</v>
      </c>
      <c r="L616" s="24">
        <f t="shared" si="43"/>
        <v>2999</v>
      </c>
      <c r="M616" s="24">
        <v>7062000</v>
      </c>
    </row>
    <row r="617" spans="1:13" s="5" customFormat="1" outlineLevel="2">
      <c r="A617" s="39" t="s">
        <v>239</v>
      </c>
      <c r="B617" s="40" t="s">
        <v>62</v>
      </c>
      <c r="C617" s="41" t="s">
        <v>240</v>
      </c>
      <c r="D617" s="40" t="s">
        <v>241</v>
      </c>
      <c r="E617" s="24">
        <v>12334606</v>
      </c>
      <c r="F617" s="39">
        <v>44029</v>
      </c>
      <c r="G617" s="24">
        <v>12334606</v>
      </c>
      <c r="H617" s="23">
        <v>5.0000000000000001E-3</v>
      </c>
      <c r="I617" s="39">
        <v>44409</v>
      </c>
      <c r="J617" s="39">
        <v>44439</v>
      </c>
      <c r="K617" s="24">
        <f t="shared" si="42"/>
        <v>31</v>
      </c>
      <c r="L617" s="24">
        <f t="shared" si="43"/>
        <v>5238</v>
      </c>
      <c r="M617" s="24">
        <v>12334606</v>
      </c>
    </row>
    <row r="618" spans="1:13" s="5" customFormat="1" outlineLevel="2">
      <c r="A618" s="39" t="s">
        <v>239</v>
      </c>
      <c r="B618" s="40" t="s">
        <v>174</v>
      </c>
      <c r="C618" s="41" t="s">
        <v>367</v>
      </c>
      <c r="D618" s="40" t="s">
        <v>366</v>
      </c>
      <c r="E618" s="24">
        <v>8000000</v>
      </c>
      <c r="F618" s="39">
        <v>44428</v>
      </c>
      <c r="G618" s="24">
        <v>8000000</v>
      </c>
      <c r="H618" s="23">
        <v>5.0000000000000001E-3</v>
      </c>
      <c r="I618" s="39">
        <v>44428</v>
      </c>
      <c r="J618" s="39">
        <v>44439</v>
      </c>
      <c r="K618" s="24">
        <f t="shared" si="42"/>
        <v>12</v>
      </c>
      <c r="L618" s="24">
        <f t="shared" si="43"/>
        <v>1315</v>
      </c>
      <c r="M618" s="24">
        <v>8000000</v>
      </c>
    </row>
    <row r="619" spans="1:13" s="5" customFormat="1" outlineLevel="2">
      <c r="A619" s="39" t="s">
        <v>239</v>
      </c>
      <c r="B619" s="40" t="s">
        <v>63</v>
      </c>
      <c r="C619" s="41" t="s">
        <v>252</v>
      </c>
      <c r="D619" s="40" t="s">
        <v>253</v>
      </c>
      <c r="E619" s="24">
        <v>131500000</v>
      </c>
      <c r="F619" s="39">
        <v>44089</v>
      </c>
      <c r="G619" s="24">
        <v>131500000</v>
      </c>
      <c r="H619" s="23">
        <v>5.0000000000000001E-3</v>
      </c>
      <c r="I619" s="39">
        <v>44409</v>
      </c>
      <c r="J619" s="39">
        <v>44439</v>
      </c>
      <c r="K619" s="24">
        <f t="shared" si="42"/>
        <v>31</v>
      </c>
      <c r="L619" s="24">
        <f t="shared" si="43"/>
        <v>55842</v>
      </c>
      <c r="M619" s="24">
        <v>131500000</v>
      </c>
    </row>
    <row r="620" spans="1:13" s="5" customFormat="1" outlineLevel="2">
      <c r="A620" s="39" t="s">
        <v>239</v>
      </c>
      <c r="B620" s="40" t="s">
        <v>64</v>
      </c>
      <c r="C620" s="41" t="s">
        <v>109</v>
      </c>
      <c r="D620" s="40" t="s">
        <v>110</v>
      </c>
      <c r="E620" s="24">
        <v>10400000</v>
      </c>
      <c r="F620" s="39">
        <v>44096</v>
      </c>
      <c r="G620" s="24">
        <v>10400000</v>
      </c>
      <c r="H620" s="23">
        <v>5.0000000000000001E-3</v>
      </c>
      <c r="I620" s="39">
        <v>44409</v>
      </c>
      <c r="J620" s="39">
        <v>44439</v>
      </c>
      <c r="K620" s="24">
        <f t="shared" si="42"/>
        <v>31</v>
      </c>
      <c r="L620" s="24">
        <f t="shared" si="43"/>
        <v>4416</v>
      </c>
      <c r="M620" s="24">
        <v>10400000</v>
      </c>
    </row>
    <row r="621" spans="1:13" s="5" customFormat="1" outlineLevel="2">
      <c r="A621" s="39" t="s">
        <v>239</v>
      </c>
      <c r="B621" s="40" t="s">
        <v>65</v>
      </c>
      <c r="C621" s="41" t="s">
        <v>242</v>
      </c>
      <c r="D621" s="40" t="s">
        <v>243</v>
      </c>
      <c r="E621" s="24">
        <v>10000000</v>
      </c>
      <c r="F621" s="39">
        <v>44139</v>
      </c>
      <c r="G621" s="24">
        <v>10000000</v>
      </c>
      <c r="H621" s="23">
        <v>5.0000000000000001E-3</v>
      </c>
      <c r="I621" s="39">
        <v>44409</v>
      </c>
      <c r="J621" s="39">
        <v>44439</v>
      </c>
      <c r="K621" s="24">
        <f t="shared" si="42"/>
        <v>31</v>
      </c>
      <c r="L621" s="24">
        <f t="shared" si="43"/>
        <v>4247</v>
      </c>
      <c r="M621" s="24">
        <v>10000000</v>
      </c>
    </row>
    <row r="622" spans="1:13" s="5" customFormat="1" outlineLevel="2">
      <c r="A622" s="39" t="s">
        <v>239</v>
      </c>
      <c r="B622" s="40" t="s">
        <v>68</v>
      </c>
      <c r="C622" s="41" t="s">
        <v>242</v>
      </c>
      <c r="D622" s="40" t="s">
        <v>243</v>
      </c>
      <c r="E622" s="24">
        <v>10000000</v>
      </c>
      <c r="F622" s="39">
        <v>44152</v>
      </c>
      <c r="G622" s="24">
        <v>10000000</v>
      </c>
      <c r="H622" s="23">
        <v>5.0000000000000001E-3</v>
      </c>
      <c r="I622" s="39">
        <v>44409</v>
      </c>
      <c r="J622" s="39">
        <v>44439</v>
      </c>
      <c r="K622" s="24">
        <f t="shared" si="42"/>
        <v>31</v>
      </c>
      <c r="L622" s="24">
        <f t="shared" si="43"/>
        <v>4247</v>
      </c>
      <c r="M622" s="24">
        <v>10000000</v>
      </c>
    </row>
    <row r="623" spans="1:13" s="5" customFormat="1" outlineLevel="1">
      <c r="A623" s="42" t="s">
        <v>254</v>
      </c>
      <c r="B623" s="43"/>
      <c r="C623" s="44"/>
      <c r="D623" s="43"/>
      <c r="E623" s="45">
        <f>SUBTOTAL(9,E570:E622)</f>
        <v>1730358120</v>
      </c>
      <c r="F623" s="46"/>
      <c r="G623" s="45"/>
      <c r="H623" s="47"/>
      <c r="I623" s="46"/>
      <c r="J623" s="46"/>
      <c r="K623" s="45"/>
      <c r="L623" s="45">
        <f>SUBTOTAL(9,L570:L622)</f>
        <v>727159</v>
      </c>
      <c r="M623" s="45">
        <f>SUBTOTAL(9,M570:M622)</f>
        <v>1720668346</v>
      </c>
    </row>
    <row r="624" spans="1:13" s="5" customFormat="1" outlineLevel="2">
      <c r="A624" s="39" t="s">
        <v>255</v>
      </c>
      <c r="B624" s="40" t="s">
        <v>16</v>
      </c>
      <c r="C624" s="41" t="s">
        <v>20</v>
      </c>
      <c r="D624" s="40" t="s">
        <v>21</v>
      </c>
      <c r="E624" s="24">
        <v>330000000</v>
      </c>
      <c r="F624" s="39">
        <v>43915</v>
      </c>
      <c r="G624" s="24">
        <v>330000000</v>
      </c>
      <c r="H624" s="23">
        <v>5.0000000000000001E-3</v>
      </c>
      <c r="I624" s="39">
        <v>44409</v>
      </c>
      <c r="J624" s="39">
        <v>44439</v>
      </c>
      <c r="K624" s="24">
        <f>J624-I624+1</f>
        <v>31</v>
      </c>
      <c r="L624" s="24">
        <f>ROUND(G624*H624*K624/365,0)</f>
        <v>140137</v>
      </c>
      <c r="M624" s="24">
        <v>330000000</v>
      </c>
    </row>
    <row r="625" spans="1:13" s="5" customFormat="1" outlineLevel="2">
      <c r="A625" s="39" t="s">
        <v>255</v>
      </c>
      <c r="B625" s="40" t="s">
        <v>39</v>
      </c>
      <c r="C625" s="41" t="s">
        <v>20</v>
      </c>
      <c r="D625" s="40" t="s">
        <v>21</v>
      </c>
      <c r="E625" s="24">
        <v>93600000</v>
      </c>
      <c r="F625" s="39">
        <v>43955</v>
      </c>
      <c r="G625" s="24">
        <v>93600000</v>
      </c>
      <c r="H625" s="23">
        <v>5.0000000000000001E-3</v>
      </c>
      <c r="I625" s="39">
        <v>44409</v>
      </c>
      <c r="J625" s="39">
        <v>44439</v>
      </c>
      <c r="K625" s="24">
        <f>J625-I625+1</f>
        <v>31</v>
      </c>
      <c r="L625" s="24">
        <f>ROUND(G625*H625*K625/365,0)</f>
        <v>39748</v>
      </c>
      <c r="M625" s="24">
        <v>93600000</v>
      </c>
    </row>
    <row r="626" spans="1:13" s="5" customFormat="1" outlineLevel="2">
      <c r="A626" s="39" t="s">
        <v>255</v>
      </c>
      <c r="B626" s="40" t="s">
        <v>54</v>
      </c>
      <c r="C626" s="41" t="s">
        <v>20</v>
      </c>
      <c r="D626" s="40" t="s">
        <v>21</v>
      </c>
      <c r="E626" s="24">
        <v>576400000</v>
      </c>
      <c r="F626" s="39">
        <v>44013</v>
      </c>
      <c r="G626" s="24">
        <v>576400000</v>
      </c>
      <c r="H626" s="23">
        <v>5.0000000000000001E-3</v>
      </c>
      <c r="I626" s="39">
        <v>44409</v>
      </c>
      <c r="J626" s="39">
        <v>44439</v>
      </c>
      <c r="K626" s="24">
        <f>J626-I626+1</f>
        <v>31</v>
      </c>
      <c r="L626" s="24">
        <f>ROUND(G626*H626*K626/365,0)</f>
        <v>244773</v>
      </c>
      <c r="M626" s="24">
        <v>576400000</v>
      </c>
    </row>
    <row r="627" spans="1:13" s="5" customFormat="1" outlineLevel="1">
      <c r="A627" s="42" t="s">
        <v>256</v>
      </c>
      <c r="B627" s="43"/>
      <c r="C627" s="44"/>
      <c r="D627" s="43"/>
      <c r="E627" s="45">
        <f>SUBTOTAL(9,E624:E626)</f>
        <v>1000000000</v>
      </c>
      <c r="F627" s="46"/>
      <c r="G627" s="45"/>
      <c r="H627" s="47"/>
      <c r="I627" s="46"/>
      <c r="J627" s="46"/>
      <c r="K627" s="45"/>
      <c r="L627" s="45">
        <f>SUBTOTAL(9,L624:L626)</f>
        <v>424658</v>
      </c>
      <c r="M627" s="45">
        <f>SUBTOTAL(9,M624:M626)</f>
        <v>1000000000</v>
      </c>
    </row>
    <row r="628" spans="1:13" s="5" customFormat="1" outlineLevel="2">
      <c r="A628" s="39" t="s">
        <v>257</v>
      </c>
      <c r="B628" s="40" t="s">
        <v>16</v>
      </c>
      <c r="C628" s="41" t="s">
        <v>262</v>
      </c>
      <c r="D628" s="40" t="s">
        <v>259</v>
      </c>
      <c r="E628" s="24">
        <v>3400000</v>
      </c>
      <c r="F628" s="39">
        <v>43927</v>
      </c>
      <c r="G628" s="24">
        <v>3400000</v>
      </c>
      <c r="H628" s="23">
        <v>5.0000000000000001E-3</v>
      </c>
      <c r="I628" s="39">
        <v>44409</v>
      </c>
      <c r="J628" s="39">
        <v>44439</v>
      </c>
      <c r="K628" s="24">
        <f t="shared" ref="K628:K659" si="44">J628-I628+1</f>
        <v>31</v>
      </c>
      <c r="L628" s="24">
        <f t="shared" ref="L628:L659" si="45">ROUND(G628*H628*K628/365,0)</f>
        <v>1444</v>
      </c>
      <c r="M628" s="24">
        <v>3400000</v>
      </c>
    </row>
    <row r="629" spans="1:13" s="5" customFormat="1" outlineLevel="2">
      <c r="A629" s="39" t="s">
        <v>257</v>
      </c>
      <c r="B629" s="40" t="s">
        <v>19</v>
      </c>
      <c r="C629" s="41" t="s">
        <v>260</v>
      </c>
      <c r="D629" s="40" t="s">
        <v>261</v>
      </c>
      <c r="E629" s="24">
        <v>620000</v>
      </c>
      <c r="F629" s="39">
        <v>44148</v>
      </c>
      <c r="G629" s="24">
        <v>490000</v>
      </c>
      <c r="H629" s="23">
        <v>5.0000000000000001E-3</v>
      </c>
      <c r="I629" s="39">
        <v>44409</v>
      </c>
      <c r="J629" s="39">
        <v>44423</v>
      </c>
      <c r="K629" s="24">
        <f t="shared" si="44"/>
        <v>15</v>
      </c>
      <c r="L629" s="24">
        <f t="shared" si="45"/>
        <v>101</v>
      </c>
      <c r="M629" s="24">
        <v>480000</v>
      </c>
    </row>
    <row r="630" spans="1:13" s="5" customFormat="1" outlineLevel="2">
      <c r="A630" s="39" t="s">
        <v>257</v>
      </c>
      <c r="B630" s="40" t="s">
        <v>19</v>
      </c>
      <c r="C630" s="41" t="s">
        <v>260</v>
      </c>
      <c r="D630" s="40"/>
      <c r="E630" s="24"/>
      <c r="F630" s="39"/>
      <c r="G630" s="24">
        <v>480000</v>
      </c>
      <c r="H630" s="23">
        <v>5.0000000000000001E-3</v>
      </c>
      <c r="I630" s="39">
        <v>44424</v>
      </c>
      <c r="J630" s="39">
        <v>44439</v>
      </c>
      <c r="K630" s="24">
        <f t="shared" si="44"/>
        <v>16</v>
      </c>
      <c r="L630" s="24">
        <f t="shared" si="45"/>
        <v>105</v>
      </c>
      <c r="M630" s="24"/>
    </row>
    <row r="631" spans="1:13" s="5" customFormat="1" outlineLevel="2">
      <c r="A631" s="39" t="s">
        <v>257</v>
      </c>
      <c r="B631" s="40" t="s">
        <v>22</v>
      </c>
      <c r="C631" s="41" t="s">
        <v>260</v>
      </c>
      <c r="D631" s="40" t="s">
        <v>261</v>
      </c>
      <c r="E631" s="24">
        <v>3910000</v>
      </c>
      <c r="F631" s="39">
        <v>44165</v>
      </c>
      <c r="G631" s="24">
        <v>3332000</v>
      </c>
      <c r="H631" s="23">
        <v>5.0000000000000001E-3</v>
      </c>
      <c r="I631" s="39">
        <v>44409</v>
      </c>
      <c r="J631" s="39">
        <v>44423</v>
      </c>
      <c r="K631" s="24">
        <f t="shared" si="44"/>
        <v>15</v>
      </c>
      <c r="L631" s="24">
        <f t="shared" si="45"/>
        <v>685</v>
      </c>
      <c r="M631" s="24">
        <v>3264000</v>
      </c>
    </row>
    <row r="632" spans="1:13" s="5" customFormat="1" outlineLevel="2">
      <c r="A632" s="39" t="s">
        <v>257</v>
      </c>
      <c r="B632" s="40" t="s">
        <v>22</v>
      </c>
      <c r="C632" s="41" t="s">
        <v>260</v>
      </c>
      <c r="D632" s="40"/>
      <c r="E632" s="24"/>
      <c r="F632" s="39"/>
      <c r="G632" s="24">
        <v>3264000</v>
      </c>
      <c r="H632" s="23">
        <v>5.0000000000000001E-3</v>
      </c>
      <c r="I632" s="39">
        <v>44424</v>
      </c>
      <c r="J632" s="39">
        <v>44439</v>
      </c>
      <c r="K632" s="24">
        <f t="shared" si="44"/>
        <v>16</v>
      </c>
      <c r="L632" s="24">
        <f t="shared" si="45"/>
        <v>715</v>
      </c>
      <c r="M632" s="24"/>
    </row>
    <row r="633" spans="1:13" s="5" customFormat="1" outlineLevel="2">
      <c r="A633" s="39" t="s">
        <v>257</v>
      </c>
      <c r="B633" s="40" t="s">
        <v>25</v>
      </c>
      <c r="C633" s="41" t="s">
        <v>260</v>
      </c>
      <c r="D633" s="40" t="s">
        <v>261</v>
      </c>
      <c r="E633" s="24">
        <v>4030000</v>
      </c>
      <c r="F633" s="39">
        <v>44165</v>
      </c>
      <c r="G633" s="24">
        <v>3430000</v>
      </c>
      <c r="H633" s="23">
        <v>5.0000000000000001E-3</v>
      </c>
      <c r="I633" s="39">
        <v>44409</v>
      </c>
      <c r="J633" s="39">
        <v>44423</v>
      </c>
      <c r="K633" s="24">
        <f t="shared" si="44"/>
        <v>15</v>
      </c>
      <c r="L633" s="24">
        <f t="shared" si="45"/>
        <v>705</v>
      </c>
      <c r="M633" s="24">
        <v>3360000</v>
      </c>
    </row>
    <row r="634" spans="1:13" s="5" customFormat="1" outlineLevel="2">
      <c r="A634" s="39" t="s">
        <v>257</v>
      </c>
      <c r="B634" s="40" t="s">
        <v>25</v>
      </c>
      <c r="C634" s="41" t="s">
        <v>260</v>
      </c>
      <c r="D634" s="40"/>
      <c r="E634" s="24"/>
      <c r="F634" s="39"/>
      <c r="G634" s="24">
        <v>3360000</v>
      </c>
      <c r="H634" s="23">
        <v>5.0000000000000001E-3</v>
      </c>
      <c r="I634" s="39">
        <v>44424</v>
      </c>
      <c r="J634" s="39">
        <v>44439</v>
      </c>
      <c r="K634" s="24">
        <f t="shared" si="44"/>
        <v>16</v>
      </c>
      <c r="L634" s="24">
        <f t="shared" si="45"/>
        <v>736</v>
      </c>
      <c r="M634" s="24"/>
    </row>
    <row r="635" spans="1:13" s="5" customFormat="1" outlineLevel="2">
      <c r="A635" s="39" t="s">
        <v>257</v>
      </c>
      <c r="B635" s="40" t="s">
        <v>26</v>
      </c>
      <c r="C635" s="41" t="s">
        <v>260</v>
      </c>
      <c r="D635" s="40" t="s">
        <v>261</v>
      </c>
      <c r="E635" s="24">
        <v>570000</v>
      </c>
      <c r="F635" s="39">
        <v>44155</v>
      </c>
      <c r="G635" s="24">
        <v>570000</v>
      </c>
      <c r="H635" s="23">
        <v>5.0000000000000001E-3</v>
      </c>
      <c r="I635" s="39">
        <v>44409</v>
      </c>
      <c r="J635" s="39">
        <v>44439</v>
      </c>
      <c r="K635" s="24">
        <f t="shared" si="44"/>
        <v>31</v>
      </c>
      <c r="L635" s="24">
        <f t="shared" si="45"/>
        <v>242</v>
      </c>
      <c r="M635" s="24">
        <v>570000</v>
      </c>
    </row>
    <row r="636" spans="1:13" s="5" customFormat="1" outlineLevel="2">
      <c r="A636" s="39" t="s">
        <v>257</v>
      </c>
      <c r="B636" s="40" t="s">
        <v>29</v>
      </c>
      <c r="C636" s="41" t="s">
        <v>260</v>
      </c>
      <c r="D636" s="40" t="s">
        <v>261</v>
      </c>
      <c r="E636" s="24">
        <v>6000000</v>
      </c>
      <c r="F636" s="39">
        <v>44155</v>
      </c>
      <c r="G636" s="24">
        <v>6000000</v>
      </c>
      <c r="H636" s="23">
        <v>5.0000000000000001E-3</v>
      </c>
      <c r="I636" s="39">
        <v>44409</v>
      </c>
      <c r="J636" s="39">
        <v>44439</v>
      </c>
      <c r="K636" s="24">
        <f t="shared" si="44"/>
        <v>31</v>
      </c>
      <c r="L636" s="24">
        <f t="shared" si="45"/>
        <v>2548</v>
      </c>
      <c r="M636" s="24">
        <v>6000000</v>
      </c>
    </row>
    <row r="637" spans="1:13" s="5" customFormat="1" outlineLevel="2">
      <c r="A637" s="39" t="s">
        <v>257</v>
      </c>
      <c r="B637" s="40" t="s">
        <v>32</v>
      </c>
      <c r="C637" s="41" t="s">
        <v>260</v>
      </c>
      <c r="D637" s="40" t="s">
        <v>261</v>
      </c>
      <c r="E637" s="24">
        <v>270000</v>
      </c>
      <c r="F637" s="39">
        <v>44181</v>
      </c>
      <c r="G637" s="24">
        <v>196000</v>
      </c>
      <c r="H637" s="23">
        <v>5.0000000000000001E-3</v>
      </c>
      <c r="I637" s="39">
        <v>44409</v>
      </c>
      <c r="J637" s="39">
        <v>44423</v>
      </c>
      <c r="K637" s="24">
        <f t="shared" si="44"/>
        <v>15</v>
      </c>
      <c r="L637" s="24">
        <f t="shared" si="45"/>
        <v>40</v>
      </c>
      <c r="M637" s="24">
        <v>192000</v>
      </c>
    </row>
    <row r="638" spans="1:13" s="5" customFormat="1" outlineLevel="2">
      <c r="A638" s="39" t="s">
        <v>257</v>
      </c>
      <c r="B638" s="40" t="s">
        <v>32</v>
      </c>
      <c r="C638" s="41" t="s">
        <v>260</v>
      </c>
      <c r="D638" s="40"/>
      <c r="E638" s="24"/>
      <c r="F638" s="39"/>
      <c r="G638" s="24">
        <v>192000</v>
      </c>
      <c r="H638" s="23">
        <v>5.0000000000000001E-3</v>
      </c>
      <c r="I638" s="39">
        <v>44424</v>
      </c>
      <c r="J638" s="39">
        <v>44439</v>
      </c>
      <c r="K638" s="24">
        <f t="shared" si="44"/>
        <v>16</v>
      </c>
      <c r="L638" s="24">
        <f t="shared" si="45"/>
        <v>42</v>
      </c>
      <c r="M638" s="24"/>
    </row>
    <row r="639" spans="1:13" s="5" customFormat="1" outlineLevel="2">
      <c r="A639" s="39" t="s">
        <v>257</v>
      </c>
      <c r="B639" s="40" t="s">
        <v>33</v>
      </c>
      <c r="C639" s="41" t="s">
        <v>260</v>
      </c>
      <c r="D639" s="40" t="s">
        <v>261</v>
      </c>
      <c r="E639" s="24">
        <v>2400000</v>
      </c>
      <c r="F639" s="39">
        <v>44181</v>
      </c>
      <c r="G639" s="24">
        <v>2400000</v>
      </c>
      <c r="H639" s="23">
        <v>5.0000000000000001E-3</v>
      </c>
      <c r="I639" s="39">
        <v>44409</v>
      </c>
      <c r="J639" s="39">
        <v>44439</v>
      </c>
      <c r="K639" s="24">
        <f t="shared" si="44"/>
        <v>31</v>
      </c>
      <c r="L639" s="24">
        <f t="shared" si="45"/>
        <v>1019</v>
      </c>
      <c r="M639" s="24">
        <v>2400000</v>
      </c>
    </row>
    <row r="640" spans="1:13" s="5" customFormat="1" outlineLevel="2">
      <c r="A640" s="39" t="s">
        <v>257</v>
      </c>
      <c r="B640" s="40" t="s">
        <v>34</v>
      </c>
      <c r="C640" s="41" t="s">
        <v>260</v>
      </c>
      <c r="D640" s="40" t="s">
        <v>261</v>
      </c>
      <c r="E640" s="24">
        <v>11000000</v>
      </c>
      <c r="F640" s="39">
        <v>44181</v>
      </c>
      <c r="G640" s="24">
        <v>11000000</v>
      </c>
      <c r="H640" s="23">
        <v>5.0000000000000001E-3</v>
      </c>
      <c r="I640" s="39">
        <v>44409</v>
      </c>
      <c r="J640" s="39">
        <v>44439</v>
      </c>
      <c r="K640" s="24">
        <f t="shared" si="44"/>
        <v>31</v>
      </c>
      <c r="L640" s="24">
        <f t="shared" si="45"/>
        <v>4671</v>
      </c>
      <c r="M640" s="24">
        <v>11000000</v>
      </c>
    </row>
    <row r="641" spans="1:13" s="5" customFormat="1" outlineLevel="2">
      <c r="A641" s="39" t="s">
        <v>257</v>
      </c>
      <c r="B641" s="40" t="s">
        <v>35</v>
      </c>
      <c r="C641" s="41" t="s">
        <v>260</v>
      </c>
      <c r="D641" s="40" t="s">
        <v>261</v>
      </c>
      <c r="E641" s="24">
        <v>220000</v>
      </c>
      <c r="F641" s="39">
        <v>44215</v>
      </c>
      <c r="G641" s="24">
        <v>196000</v>
      </c>
      <c r="H641" s="23">
        <v>5.0000000000000001E-3</v>
      </c>
      <c r="I641" s="39">
        <v>44409</v>
      </c>
      <c r="J641" s="39">
        <v>44423</v>
      </c>
      <c r="K641" s="24">
        <f t="shared" si="44"/>
        <v>15</v>
      </c>
      <c r="L641" s="24">
        <f t="shared" si="45"/>
        <v>40</v>
      </c>
      <c r="M641" s="24">
        <v>192000</v>
      </c>
    </row>
    <row r="642" spans="1:13" s="5" customFormat="1" outlineLevel="2">
      <c r="A642" s="39" t="s">
        <v>257</v>
      </c>
      <c r="B642" s="40" t="s">
        <v>35</v>
      </c>
      <c r="C642" s="41" t="s">
        <v>260</v>
      </c>
      <c r="D642" s="40"/>
      <c r="E642" s="24"/>
      <c r="F642" s="39"/>
      <c r="G642" s="24">
        <v>192000</v>
      </c>
      <c r="H642" s="23">
        <v>5.0000000000000001E-3</v>
      </c>
      <c r="I642" s="39">
        <v>44424</v>
      </c>
      <c r="J642" s="39">
        <v>44439</v>
      </c>
      <c r="K642" s="24">
        <f t="shared" si="44"/>
        <v>16</v>
      </c>
      <c r="L642" s="24">
        <f t="shared" si="45"/>
        <v>42</v>
      </c>
      <c r="M642" s="24"/>
    </row>
    <row r="643" spans="1:13" s="5" customFormat="1" outlineLevel="2">
      <c r="A643" s="39" t="s">
        <v>257</v>
      </c>
      <c r="B643" s="40" t="s">
        <v>36</v>
      </c>
      <c r="C643" s="41" t="s">
        <v>260</v>
      </c>
      <c r="D643" s="40" t="s">
        <v>261</v>
      </c>
      <c r="E643" s="24">
        <v>1000000</v>
      </c>
      <c r="F643" s="39">
        <v>44215</v>
      </c>
      <c r="G643" s="24">
        <v>882000</v>
      </c>
      <c r="H643" s="23">
        <v>5.0000000000000001E-3</v>
      </c>
      <c r="I643" s="39">
        <v>44409</v>
      </c>
      <c r="J643" s="39">
        <v>44423</v>
      </c>
      <c r="K643" s="24">
        <f t="shared" si="44"/>
        <v>15</v>
      </c>
      <c r="L643" s="24">
        <f t="shared" si="45"/>
        <v>181</v>
      </c>
      <c r="M643" s="24">
        <v>864000</v>
      </c>
    </row>
    <row r="644" spans="1:13" s="5" customFormat="1" outlineLevel="2">
      <c r="A644" s="39" t="s">
        <v>257</v>
      </c>
      <c r="B644" s="40" t="s">
        <v>36</v>
      </c>
      <c r="C644" s="41" t="s">
        <v>260</v>
      </c>
      <c r="D644" s="40"/>
      <c r="E644" s="24"/>
      <c r="F644" s="39"/>
      <c r="G644" s="24">
        <v>864000</v>
      </c>
      <c r="H644" s="23">
        <v>5.0000000000000001E-3</v>
      </c>
      <c r="I644" s="39">
        <v>44424</v>
      </c>
      <c r="J644" s="39">
        <v>44439</v>
      </c>
      <c r="K644" s="24">
        <f t="shared" si="44"/>
        <v>16</v>
      </c>
      <c r="L644" s="24">
        <f t="shared" si="45"/>
        <v>189</v>
      </c>
      <c r="M644" s="24"/>
    </row>
    <row r="645" spans="1:13" s="5" customFormat="1" outlineLevel="2">
      <c r="A645" s="39" t="s">
        <v>257</v>
      </c>
      <c r="B645" s="40" t="s">
        <v>39</v>
      </c>
      <c r="C645" s="41" t="s">
        <v>262</v>
      </c>
      <c r="D645" s="40" t="s">
        <v>259</v>
      </c>
      <c r="E645" s="24">
        <v>70440000</v>
      </c>
      <c r="F645" s="39">
        <v>43951</v>
      </c>
      <c r="G645" s="24">
        <v>70440000</v>
      </c>
      <c r="H645" s="23">
        <v>5.0000000000000001E-3</v>
      </c>
      <c r="I645" s="39">
        <v>44409</v>
      </c>
      <c r="J645" s="39">
        <v>44439</v>
      </c>
      <c r="K645" s="24">
        <f t="shared" si="44"/>
        <v>31</v>
      </c>
      <c r="L645" s="24">
        <f t="shared" si="45"/>
        <v>29913</v>
      </c>
      <c r="M645" s="24">
        <v>70440000</v>
      </c>
    </row>
    <row r="646" spans="1:13" s="5" customFormat="1" outlineLevel="2">
      <c r="A646" s="39" t="s">
        <v>257</v>
      </c>
      <c r="B646" s="40" t="s">
        <v>40</v>
      </c>
      <c r="C646" s="41" t="s">
        <v>262</v>
      </c>
      <c r="D646" s="40" t="s">
        <v>259</v>
      </c>
      <c r="E646" s="24">
        <v>54250000</v>
      </c>
      <c r="F646" s="39">
        <v>44228</v>
      </c>
      <c r="G646" s="24">
        <v>54250000</v>
      </c>
      <c r="H646" s="23">
        <v>5.0000000000000001E-3</v>
      </c>
      <c r="I646" s="39">
        <v>44409</v>
      </c>
      <c r="J646" s="39">
        <v>44439</v>
      </c>
      <c r="K646" s="24">
        <f t="shared" si="44"/>
        <v>31</v>
      </c>
      <c r="L646" s="24">
        <f t="shared" si="45"/>
        <v>23038</v>
      </c>
      <c r="M646" s="24">
        <v>54250000</v>
      </c>
    </row>
    <row r="647" spans="1:13" s="5" customFormat="1" outlineLevel="2">
      <c r="A647" s="39" t="s">
        <v>257</v>
      </c>
      <c r="B647" s="40" t="s">
        <v>41</v>
      </c>
      <c r="C647" s="41" t="s">
        <v>304</v>
      </c>
      <c r="D647" s="40" t="s">
        <v>303</v>
      </c>
      <c r="E647" s="24">
        <v>40000000</v>
      </c>
      <c r="F647" s="39">
        <v>44229</v>
      </c>
      <c r="G647" s="24">
        <v>40000000</v>
      </c>
      <c r="H647" s="23">
        <v>5.0000000000000001E-3</v>
      </c>
      <c r="I647" s="39">
        <v>44409</v>
      </c>
      <c r="J647" s="39">
        <v>44439</v>
      </c>
      <c r="K647" s="24">
        <f t="shared" si="44"/>
        <v>31</v>
      </c>
      <c r="L647" s="24">
        <f t="shared" si="45"/>
        <v>16986</v>
      </c>
      <c r="M647" s="24">
        <v>40000000</v>
      </c>
    </row>
    <row r="648" spans="1:13" s="5" customFormat="1" outlineLevel="2">
      <c r="A648" s="39" t="s">
        <v>257</v>
      </c>
      <c r="B648" s="40" t="s">
        <v>42</v>
      </c>
      <c r="C648" s="41" t="s">
        <v>304</v>
      </c>
      <c r="D648" s="40" t="s">
        <v>303</v>
      </c>
      <c r="E648" s="24">
        <v>38000000</v>
      </c>
      <c r="F648" s="39">
        <v>44245</v>
      </c>
      <c r="G648" s="24">
        <v>38000000</v>
      </c>
      <c r="H648" s="23">
        <v>5.0000000000000001E-3</v>
      </c>
      <c r="I648" s="39">
        <v>44409</v>
      </c>
      <c r="J648" s="39">
        <v>44439</v>
      </c>
      <c r="K648" s="24">
        <f t="shared" si="44"/>
        <v>31</v>
      </c>
      <c r="L648" s="24">
        <f t="shared" si="45"/>
        <v>16137</v>
      </c>
      <c r="M648" s="24">
        <v>38000000</v>
      </c>
    </row>
    <row r="649" spans="1:13" s="5" customFormat="1" outlineLevel="2">
      <c r="A649" s="39" t="s">
        <v>257</v>
      </c>
      <c r="B649" s="40" t="s">
        <v>43</v>
      </c>
      <c r="C649" s="41" t="s">
        <v>89</v>
      </c>
      <c r="D649" s="40" t="s">
        <v>90</v>
      </c>
      <c r="E649" s="24">
        <v>66000000</v>
      </c>
      <c r="F649" s="39">
        <v>44270</v>
      </c>
      <c r="G649" s="24">
        <v>66000000</v>
      </c>
      <c r="H649" s="23">
        <v>5.0000000000000001E-3</v>
      </c>
      <c r="I649" s="39">
        <v>44409</v>
      </c>
      <c r="J649" s="39">
        <v>44439</v>
      </c>
      <c r="K649" s="24">
        <f t="shared" si="44"/>
        <v>31</v>
      </c>
      <c r="L649" s="24">
        <f t="shared" si="45"/>
        <v>28027</v>
      </c>
      <c r="M649" s="24">
        <v>66000000</v>
      </c>
    </row>
    <row r="650" spans="1:13" s="5" customFormat="1" outlineLevel="2">
      <c r="A650" s="39" t="s">
        <v>257</v>
      </c>
      <c r="B650" s="40" t="s">
        <v>44</v>
      </c>
      <c r="C650" s="41" t="s">
        <v>260</v>
      </c>
      <c r="D650" s="40" t="s">
        <v>261</v>
      </c>
      <c r="E650" s="24">
        <v>10800000</v>
      </c>
      <c r="F650" s="39">
        <v>44273</v>
      </c>
      <c r="G650" s="24">
        <v>10800000</v>
      </c>
      <c r="H650" s="23">
        <v>5.0000000000000001E-3</v>
      </c>
      <c r="I650" s="39">
        <v>44409</v>
      </c>
      <c r="J650" s="39">
        <v>44439</v>
      </c>
      <c r="K650" s="24">
        <f t="shared" si="44"/>
        <v>31</v>
      </c>
      <c r="L650" s="24">
        <f t="shared" si="45"/>
        <v>4586</v>
      </c>
      <c r="M650" s="24">
        <v>10800000</v>
      </c>
    </row>
    <row r="651" spans="1:13" s="5" customFormat="1" outlineLevel="2">
      <c r="A651" s="39" t="s">
        <v>257</v>
      </c>
      <c r="B651" s="40" t="s">
        <v>47</v>
      </c>
      <c r="C651" s="41" t="s">
        <v>260</v>
      </c>
      <c r="D651" s="40" t="s">
        <v>261</v>
      </c>
      <c r="E651" s="24">
        <v>1720000</v>
      </c>
      <c r="F651" s="39">
        <v>44285</v>
      </c>
      <c r="G651" s="24">
        <v>1720000</v>
      </c>
      <c r="H651" s="23">
        <v>5.0000000000000001E-3</v>
      </c>
      <c r="I651" s="39">
        <v>44409</v>
      </c>
      <c r="J651" s="39">
        <v>44439</v>
      </c>
      <c r="K651" s="24">
        <f t="shared" si="44"/>
        <v>31</v>
      </c>
      <c r="L651" s="24">
        <f t="shared" si="45"/>
        <v>730</v>
      </c>
      <c r="M651" s="24">
        <v>1720000</v>
      </c>
    </row>
    <row r="652" spans="1:13" s="5" customFormat="1" outlineLevel="2">
      <c r="A652" s="39" t="s">
        <v>257</v>
      </c>
      <c r="B652" s="40" t="s">
        <v>50</v>
      </c>
      <c r="C652" s="41" t="s">
        <v>324</v>
      </c>
      <c r="D652" s="40" t="s">
        <v>323</v>
      </c>
      <c r="E652" s="24">
        <v>28800000</v>
      </c>
      <c r="F652" s="39">
        <v>44271</v>
      </c>
      <c r="G652" s="24">
        <v>27840000</v>
      </c>
      <c r="H652" s="23">
        <v>5.0000000000000001E-3</v>
      </c>
      <c r="I652" s="39">
        <v>44409</v>
      </c>
      <c r="J652" s="39">
        <v>44423</v>
      </c>
      <c r="K652" s="24">
        <f t="shared" si="44"/>
        <v>15</v>
      </c>
      <c r="L652" s="24">
        <f t="shared" si="45"/>
        <v>5721</v>
      </c>
      <c r="M652" s="24">
        <v>27600000</v>
      </c>
    </row>
    <row r="653" spans="1:13" s="5" customFormat="1" outlineLevel="2">
      <c r="A653" s="39" t="s">
        <v>257</v>
      </c>
      <c r="B653" s="40" t="s">
        <v>50</v>
      </c>
      <c r="C653" s="41" t="s">
        <v>324</v>
      </c>
      <c r="D653" s="40"/>
      <c r="E653" s="24"/>
      <c r="F653" s="39"/>
      <c r="G653" s="24">
        <v>27600000</v>
      </c>
      <c r="H653" s="23">
        <v>5.0000000000000001E-3</v>
      </c>
      <c r="I653" s="39">
        <v>44424</v>
      </c>
      <c r="J653" s="39">
        <v>44439</v>
      </c>
      <c r="K653" s="24">
        <f t="shared" si="44"/>
        <v>16</v>
      </c>
      <c r="L653" s="24">
        <f t="shared" si="45"/>
        <v>6049</v>
      </c>
      <c r="M653" s="24"/>
    </row>
    <row r="654" spans="1:13" s="5" customFormat="1" outlineLevel="2">
      <c r="A654" s="39" t="s">
        <v>257</v>
      </c>
      <c r="B654" s="40" t="s">
        <v>51</v>
      </c>
      <c r="C654" s="41" t="s">
        <v>324</v>
      </c>
      <c r="D654" s="40" t="s">
        <v>323</v>
      </c>
      <c r="E654" s="24">
        <v>45270000</v>
      </c>
      <c r="F654" s="39">
        <v>44271</v>
      </c>
      <c r="G654" s="24">
        <v>43761000</v>
      </c>
      <c r="H654" s="23">
        <v>5.0000000000000001E-3</v>
      </c>
      <c r="I654" s="39">
        <v>44409</v>
      </c>
      <c r="J654" s="39">
        <v>44423</v>
      </c>
      <c r="K654" s="24">
        <f t="shared" si="44"/>
        <v>15</v>
      </c>
      <c r="L654" s="24">
        <f t="shared" si="45"/>
        <v>8992</v>
      </c>
      <c r="M654" s="24">
        <v>43383750</v>
      </c>
    </row>
    <row r="655" spans="1:13" s="5" customFormat="1" outlineLevel="2">
      <c r="A655" s="39" t="s">
        <v>257</v>
      </c>
      <c r="B655" s="40" t="s">
        <v>51</v>
      </c>
      <c r="C655" s="41" t="s">
        <v>324</v>
      </c>
      <c r="D655" s="40"/>
      <c r="E655" s="24"/>
      <c r="F655" s="39"/>
      <c r="G655" s="24">
        <v>43383750</v>
      </c>
      <c r="H655" s="23">
        <v>5.0000000000000001E-3</v>
      </c>
      <c r="I655" s="39">
        <v>44424</v>
      </c>
      <c r="J655" s="39">
        <v>44439</v>
      </c>
      <c r="K655" s="24">
        <f t="shared" si="44"/>
        <v>16</v>
      </c>
      <c r="L655" s="24">
        <f t="shared" si="45"/>
        <v>9509</v>
      </c>
      <c r="M655" s="24"/>
    </row>
    <row r="656" spans="1:13" s="5" customFormat="1" outlineLevel="2">
      <c r="A656" s="39" t="s">
        <v>257</v>
      </c>
      <c r="B656" s="40" t="s">
        <v>52</v>
      </c>
      <c r="C656" s="41" t="s">
        <v>324</v>
      </c>
      <c r="D656" s="40" t="s">
        <v>323</v>
      </c>
      <c r="E656" s="24">
        <v>32000000</v>
      </c>
      <c r="F656" s="39">
        <v>44271</v>
      </c>
      <c r="G656" s="24">
        <v>30476192</v>
      </c>
      <c r="H656" s="23">
        <v>5.0000000000000001E-3</v>
      </c>
      <c r="I656" s="39">
        <v>44409</v>
      </c>
      <c r="J656" s="39">
        <v>44423</v>
      </c>
      <c r="K656" s="24">
        <f t="shared" si="44"/>
        <v>15</v>
      </c>
      <c r="L656" s="24">
        <f t="shared" si="45"/>
        <v>6262</v>
      </c>
      <c r="M656" s="24">
        <v>30095240</v>
      </c>
    </row>
    <row r="657" spans="1:13" s="5" customFormat="1" outlineLevel="2">
      <c r="A657" s="39" t="s">
        <v>257</v>
      </c>
      <c r="B657" s="40" t="s">
        <v>52</v>
      </c>
      <c r="C657" s="41" t="s">
        <v>324</v>
      </c>
      <c r="D657" s="40"/>
      <c r="E657" s="24"/>
      <c r="F657" s="39"/>
      <c r="G657" s="24">
        <v>30095240</v>
      </c>
      <c r="H657" s="23">
        <v>5.0000000000000001E-3</v>
      </c>
      <c r="I657" s="39">
        <v>44424</v>
      </c>
      <c r="J657" s="39">
        <v>44439</v>
      </c>
      <c r="K657" s="24">
        <f t="shared" si="44"/>
        <v>16</v>
      </c>
      <c r="L657" s="24">
        <f t="shared" si="45"/>
        <v>6596</v>
      </c>
      <c r="M657" s="24"/>
    </row>
    <row r="658" spans="1:13" s="5" customFormat="1" outlineLevel="2">
      <c r="A658" s="39" t="s">
        <v>257</v>
      </c>
      <c r="B658" s="40" t="s">
        <v>53</v>
      </c>
      <c r="C658" s="41" t="s">
        <v>262</v>
      </c>
      <c r="D658" s="40" t="s">
        <v>259</v>
      </c>
      <c r="E658" s="24">
        <v>21700000</v>
      </c>
      <c r="F658" s="39">
        <v>44287</v>
      </c>
      <c r="G658" s="24">
        <v>21700000</v>
      </c>
      <c r="H658" s="23">
        <v>5.0000000000000001E-3</v>
      </c>
      <c r="I658" s="39">
        <v>44409</v>
      </c>
      <c r="J658" s="39">
        <v>44439</v>
      </c>
      <c r="K658" s="24">
        <f t="shared" si="44"/>
        <v>31</v>
      </c>
      <c r="L658" s="24">
        <f t="shared" si="45"/>
        <v>9215</v>
      </c>
      <c r="M658" s="24">
        <v>21700000</v>
      </c>
    </row>
    <row r="659" spans="1:13" s="5" customFormat="1" outlineLevel="2">
      <c r="A659" s="39" t="s">
        <v>257</v>
      </c>
      <c r="B659" s="40" t="s">
        <v>54</v>
      </c>
      <c r="C659" s="41" t="s">
        <v>248</v>
      </c>
      <c r="D659" s="40" t="s">
        <v>249</v>
      </c>
      <c r="E659" s="24">
        <v>182300000</v>
      </c>
      <c r="F659" s="39">
        <v>43959</v>
      </c>
      <c r="G659" s="24">
        <v>174570000</v>
      </c>
      <c r="H659" s="23">
        <v>5.0000000000000001E-3</v>
      </c>
      <c r="I659" s="39">
        <v>44409</v>
      </c>
      <c r="J659" s="39">
        <v>44423</v>
      </c>
      <c r="K659" s="24">
        <f t="shared" si="44"/>
        <v>15</v>
      </c>
      <c r="L659" s="24">
        <f t="shared" si="45"/>
        <v>35871</v>
      </c>
      <c r="M659" s="24">
        <v>172040000</v>
      </c>
    </row>
    <row r="660" spans="1:13" s="5" customFormat="1" outlineLevel="2">
      <c r="A660" s="39" t="s">
        <v>257</v>
      </c>
      <c r="B660" s="40" t="s">
        <v>54</v>
      </c>
      <c r="C660" s="41" t="s">
        <v>248</v>
      </c>
      <c r="D660" s="40"/>
      <c r="E660" s="24"/>
      <c r="F660" s="39"/>
      <c r="G660" s="24">
        <v>172040000</v>
      </c>
      <c r="H660" s="23">
        <v>5.0000000000000001E-3</v>
      </c>
      <c r="I660" s="39">
        <v>44424</v>
      </c>
      <c r="J660" s="39">
        <v>44439</v>
      </c>
      <c r="K660" s="24">
        <f t="shared" ref="K660:K691" si="46">J660-I660+1</f>
        <v>16</v>
      </c>
      <c r="L660" s="24">
        <f t="shared" ref="L660:L691" si="47">ROUND(G660*H660*K660/365,0)</f>
        <v>37707</v>
      </c>
      <c r="M660" s="24"/>
    </row>
    <row r="661" spans="1:13" s="5" customFormat="1" outlineLevel="2">
      <c r="A661" s="39" t="s">
        <v>257</v>
      </c>
      <c r="B661" s="40" t="s">
        <v>57</v>
      </c>
      <c r="C661" s="41" t="s">
        <v>260</v>
      </c>
      <c r="D661" s="40" t="s">
        <v>261</v>
      </c>
      <c r="E661" s="24">
        <v>20900000</v>
      </c>
      <c r="F661" s="39">
        <v>44300</v>
      </c>
      <c r="G661" s="24">
        <v>19110000</v>
      </c>
      <c r="H661" s="23">
        <v>5.0000000000000001E-3</v>
      </c>
      <c r="I661" s="39">
        <v>44409</v>
      </c>
      <c r="J661" s="39">
        <v>44423</v>
      </c>
      <c r="K661" s="24">
        <f t="shared" si="46"/>
        <v>15</v>
      </c>
      <c r="L661" s="24">
        <f t="shared" si="47"/>
        <v>3927</v>
      </c>
      <c r="M661" s="24">
        <v>18720000</v>
      </c>
    </row>
    <row r="662" spans="1:13" s="5" customFormat="1" outlineLevel="2">
      <c r="A662" s="39" t="s">
        <v>257</v>
      </c>
      <c r="B662" s="40" t="s">
        <v>57</v>
      </c>
      <c r="C662" s="41" t="s">
        <v>260</v>
      </c>
      <c r="D662" s="40"/>
      <c r="E662" s="24"/>
      <c r="F662" s="39"/>
      <c r="G662" s="24">
        <v>18720000</v>
      </c>
      <c r="H662" s="23">
        <v>5.0000000000000001E-3</v>
      </c>
      <c r="I662" s="39">
        <v>44424</v>
      </c>
      <c r="J662" s="39">
        <v>44439</v>
      </c>
      <c r="K662" s="24">
        <f t="shared" si="46"/>
        <v>16</v>
      </c>
      <c r="L662" s="24">
        <f t="shared" si="47"/>
        <v>4103</v>
      </c>
      <c r="M662" s="24"/>
    </row>
    <row r="663" spans="1:13" s="5" customFormat="1" outlineLevel="2">
      <c r="A663" s="39" t="s">
        <v>257</v>
      </c>
      <c r="B663" s="40" t="s">
        <v>58</v>
      </c>
      <c r="C663" s="41" t="s">
        <v>262</v>
      </c>
      <c r="D663" s="40" t="s">
        <v>259</v>
      </c>
      <c r="E663" s="24">
        <v>21700000</v>
      </c>
      <c r="F663" s="39">
        <v>44319</v>
      </c>
      <c r="G663" s="24">
        <v>21700000</v>
      </c>
      <c r="H663" s="23">
        <v>5.0000000000000001E-3</v>
      </c>
      <c r="I663" s="39">
        <v>44409</v>
      </c>
      <c r="J663" s="39">
        <v>44439</v>
      </c>
      <c r="K663" s="24">
        <f t="shared" si="46"/>
        <v>31</v>
      </c>
      <c r="L663" s="24">
        <f t="shared" si="47"/>
        <v>9215</v>
      </c>
      <c r="M663" s="24">
        <v>21700000</v>
      </c>
    </row>
    <row r="664" spans="1:13" s="5" customFormat="1" outlineLevel="2">
      <c r="A664" s="39" t="s">
        <v>257</v>
      </c>
      <c r="B664" s="40" t="s">
        <v>99</v>
      </c>
      <c r="C664" s="41" t="s">
        <v>262</v>
      </c>
      <c r="D664" s="40" t="s">
        <v>259</v>
      </c>
      <c r="E664" s="24">
        <v>21700000</v>
      </c>
      <c r="F664" s="39">
        <v>44333</v>
      </c>
      <c r="G664" s="24">
        <v>21700000</v>
      </c>
      <c r="H664" s="23">
        <v>5.0000000000000001E-3</v>
      </c>
      <c r="I664" s="39">
        <v>44409</v>
      </c>
      <c r="J664" s="39">
        <v>44439</v>
      </c>
      <c r="K664" s="24">
        <f t="shared" si="46"/>
        <v>31</v>
      </c>
      <c r="L664" s="24">
        <f t="shared" si="47"/>
        <v>9215</v>
      </c>
      <c r="M664" s="24">
        <v>21700000</v>
      </c>
    </row>
    <row r="665" spans="1:13" s="5" customFormat="1" outlineLevel="2">
      <c r="A665" s="39" t="s">
        <v>257</v>
      </c>
      <c r="B665" s="40" t="s">
        <v>100</v>
      </c>
      <c r="C665" s="41" t="s">
        <v>260</v>
      </c>
      <c r="D665" s="40" t="s">
        <v>261</v>
      </c>
      <c r="E665" s="24">
        <v>12860000</v>
      </c>
      <c r="F665" s="39">
        <v>44326</v>
      </c>
      <c r="G665" s="24">
        <v>12103000</v>
      </c>
      <c r="H665" s="23">
        <v>5.0000000000000001E-3</v>
      </c>
      <c r="I665" s="39">
        <v>44409</v>
      </c>
      <c r="J665" s="39">
        <v>44423</v>
      </c>
      <c r="K665" s="24">
        <f t="shared" si="46"/>
        <v>15</v>
      </c>
      <c r="L665" s="24">
        <f t="shared" si="47"/>
        <v>2487</v>
      </c>
      <c r="M665" s="24">
        <v>11856000</v>
      </c>
    </row>
    <row r="666" spans="1:13" s="5" customFormat="1" outlineLevel="2">
      <c r="A666" s="39" t="s">
        <v>257</v>
      </c>
      <c r="B666" s="40" t="s">
        <v>100</v>
      </c>
      <c r="C666" s="41" t="s">
        <v>260</v>
      </c>
      <c r="D666" s="40"/>
      <c r="E666" s="24"/>
      <c r="F666" s="39"/>
      <c r="G666" s="24">
        <v>11856000</v>
      </c>
      <c r="H666" s="23">
        <v>5.0000000000000001E-3</v>
      </c>
      <c r="I666" s="39">
        <v>44424</v>
      </c>
      <c r="J666" s="39">
        <v>44439</v>
      </c>
      <c r="K666" s="24">
        <f t="shared" si="46"/>
        <v>16</v>
      </c>
      <c r="L666" s="24">
        <f t="shared" si="47"/>
        <v>2599</v>
      </c>
      <c r="M666" s="24"/>
    </row>
    <row r="667" spans="1:13" s="5" customFormat="1" outlineLevel="2">
      <c r="A667" s="39" t="s">
        <v>257</v>
      </c>
      <c r="B667" s="40" t="s">
        <v>101</v>
      </c>
      <c r="C667" s="41" t="s">
        <v>304</v>
      </c>
      <c r="D667" s="40" t="s">
        <v>303</v>
      </c>
      <c r="E667" s="24">
        <v>37500000</v>
      </c>
      <c r="F667" s="39">
        <v>44377</v>
      </c>
      <c r="G667" s="24">
        <v>37500000</v>
      </c>
      <c r="H667" s="23">
        <v>5.0000000000000001E-3</v>
      </c>
      <c r="I667" s="39">
        <v>44409</v>
      </c>
      <c r="J667" s="39">
        <v>44439</v>
      </c>
      <c r="K667" s="24">
        <f t="shared" si="46"/>
        <v>31</v>
      </c>
      <c r="L667" s="24">
        <f t="shared" si="47"/>
        <v>15925</v>
      </c>
      <c r="M667" s="24">
        <v>37500000</v>
      </c>
    </row>
    <row r="668" spans="1:13" s="5" customFormat="1" outlineLevel="2">
      <c r="A668" s="39" t="s">
        <v>257</v>
      </c>
      <c r="B668" s="40" t="s">
        <v>102</v>
      </c>
      <c r="C668" s="41" t="s">
        <v>260</v>
      </c>
      <c r="D668" s="40" t="s">
        <v>261</v>
      </c>
      <c r="E668" s="24">
        <v>3350000</v>
      </c>
      <c r="F668" s="39">
        <v>44355</v>
      </c>
      <c r="G668" s="24">
        <v>3185000</v>
      </c>
      <c r="H668" s="23">
        <v>5.0000000000000001E-3</v>
      </c>
      <c r="I668" s="39">
        <v>44409</v>
      </c>
      <c r="J668" s="39">
        <v>44423</v>
      </c>
      <c r="K668" s="24">
        <f t="shared" si="46"/>
        <v>15</v>
      </c>
      <c r="L668" s="24">
        <f t="shared" si="47"/>
        <v>654</v>
      </c>
      <c r="M668" s="24">
        <v>3120000</v>
      </c>
    </row>
    <row r="669" spans="1:13" s="5" customFormat="1" outlineLevel="2">
      <c r="A669" s="39" t="s">
        <v>257</v>
      </c>
      <c r="B669" s="40" t="s">
        <v>102</v>
      </c>
      <c r="C669" s="41" t="s">
        <v>260</v>
      </c>
      <c r="D669" s="40"/>
      <c r="E669" s="24"/>
      <c r="F669" s="39"/>
      <c r="G669" s="24">
        <v>3120000</v>
      </c>
      <c r="H669" s="23">
        <v>5.0000000000000001E-3</v>
      </c>
      <c r="I669" s="39">
        <v>44424</v>
      </c>
      <c r="J669" s="39">
        <v>44439</v>
      </c>
      <c r="K669" s="24">
        <f t="shared" si="46"/>
        <v>16</v>
      </c>
      <c r="L669" s="24">
        <f t="shared" si="47"/>
        <v>684</v>
      </c>
      <c r="M669" s="24"/>
    </row>
    <row r="670" spans="1:13" s="5" customFormat="1" outlineLevel="2">
      <c r="A670" s="39" t="s">
        <v>257</v>
      </c>
      <c r="B670" s="40" t="s">
        <v>103</v>
      </c>
      <c r="C670" s="41" t="s">
        <v>262</v>
      </c>
      <c r="D670" s="40" t="s">
        <v>259</v>
      </c>
      <c r="E670" s="24">
        <v>680000</v>
      </c>
      <c r="F670" s="39">
        <v>44364</v>
      </c>
      <c r="G670" s="24">
        <v>680000</v>
      </c>
      <c r="H670" s="23">
        <v>5.0000000000000001E-3</v>
      </c>
      <c r="I670" s="39">
        <v>44409</v>
      </c>
      <c r="J670" s="39">
        <v>44439</v>
      </c>
      <c r="K670" s="24">
        <f t="shared" si="46"/>
        <v>31</v>
      </c>
      <c r="L670" s="24">
        <f t="shared" si="47"/>
        <v>289</v>
      </c>
      <c r="M670" s="24">
        <v>680000</v>
      </c>
    </row>
    <row r="671" spans="1:13" s="5" customFormat="1" outlineLevel="2">
      <c r="A671" s="39" t="s">
        <v>257</v>
      </c>
      <c r="B671" s="40" t="s">
        <v>104</v>
      </c>
      <c r="C671" s="41" t="s">
        <v>262</v>
      </c>
      <c r="D671" s="40" t="s">
        <v>259</v>
      </c>
      <c r="E671" s="24">
        <v>18080000</v>
      </c>
      <c r="F671" s="39">
        <v>44364</v>
      </c>
      <c r="G671" s="24">
        <v>18080000</v>
      </c>
      <c r="H671" s="23">
        <v>5.0000000000000001E-3</v>
      </c>
      <c r="I671" s="39">
        <v>44409</v>
      </c>
      <c r="J671" s="39">
        <v>44439</v>
      </c>
      <c r="K671" s="24">
        <f t="shared" si="46"/>
        <v>31</v>
      </c>
      <c r="L671" s="24">
        <f t="shared" si="47"/>
        <v>7678</v>
      </c>
      <c r="M671" s="24">
        <v>18080000</v>
      </c>
    </row>
    <row r="672" spans="1:13" s="5" customFormat="1" outlineLevel="2">
      <c r="A672" s="39" t="s">
        <v>257</v>
      </c>
      <c r="B672" s="40" t="s">
        <v>105</v>
      </c>
      <c r="C672" s="41" t="s">
        <v>262</v>
      </c>
      <c r="D672" s="40" t="s">
        <v>259</v>
      </c>
      <c r="E672" s="24">
        <v>5790000</v>
      </c>
      <c r="F672" s="39">
        <v>44364</v>
      </c>
      <c r="G672" s="24">
        <v>5790000</v>
      </c>
      <c r="H672" s="23">
        <v>5.0000000000000001E-3</v>
      </c>
      <c r="I672" s="39">
        <v>44409</v>
      </c>
      <c r="J672" s="39">
        <v>44439</v>
      </c>
      <c r="K672" s="24">
        <f t="shared" si="46"/>
        <v>31</v>
      </c>
      <c r="L672" s="24">
        <f t="shared" si="47"/>
        <v>2459</v>
      </c>
      <c r="M672" s="24">
        <v>5790000</v>
      </c>
    </row>
    <row r="673" spans="1:13" s="5" customFormat="1" outlineLevel="2">
      <c r="A673" s="39" t="s">
        <v>257</v>
      </c>
      <c r="B673" s="40" t="s">
        <v>106</v>
      </c>
      <c r="C673" s="41" t="s">
        <v>248</v>
      </c>
      <c r="D673" s="40" t="s">
        <v>249</v>
      </c>
      <c r="E673" s="24">
        <v>120000000</v>
      </c>
      <c r="F673" s="39">
        <v>44399</v>
      </c>
      <c r="G673" s="24">
        <v>120000000</v>
      </c>
      <c r="H673" s="23">
        <v>5.0000000000000001E-3</v>
      </c>
      <c r="I673" s="39">
        <v>44409</v>
      </c>
      <c r="J673" s="39">
        <v>44423</v>
      </c>
      <c r="K673" s="24">
        <f t="shared" si="46"/>
        <v>15</v>
      </c>
      <c r="L673" s="24">
        <f t="shared" si="47"/>
        <v>24658</v>
      </c>
      <c r="M673" s="24">
        <v>118524000</v>
      </c>
    </row>
    <row r="674" spans="1:13" s="5" customFormat="1" outlineLevel="2">
      <c r="A674" s="39" t="s">
        <v>257</v>
      </c>
      <c r="B674" s="40" t="s">
        <v>106</v>
      </c>
      <c r="C674" s="41" t="s">
        <v>248</v>
      </c>
      <c r="D674" s="40"/>
      <c r="E674" s="24"/>
      <c r="F674" s="39"/>
      <c r="G674" s="24">
        <v>118524000</v>
      </c>
      <c r="H674" s="23">
        <v>5.0000000000000001E-3</v>
      </c>
      <c r="I674" s="39">
        <v>44424</v>
      </c>
      <c r="J674" s="39">
        <v>44439</v>
      </c>
      <c r="K674" s="24">
        <f t="shared" si="46"/>
        <v>16</v>
      </c>
      <c r="L674" s="24">
        <f t="shared" si="47"/>
        <v>25978</v>
      </c>
      <c r="M674" s="24"/>
    </row>
    <row r="675" spans="1:13" s="5" customFormat="1" outlineLevel="2">
      <c r="A675" s="39" t="s">
        <v>257</v>
      </c>
      <c r="B675" s="40" t="s">
        <v>59</v>
      </c>
      <c r="C675" s="41" t="s">
        <v>260</v>
      </c>
      <c r="D675" s="40" t="s">
        <v>261</v>
      </c>
      <c r="E675" s="24">
        <v>610000</v>
      </c>
      <c r="F675" s="39">
        <v>44085</v>
      </c>
      <c r="G675" s="24">
        <v>490000</v>
      </c>
      <c r="H675" s="23">
        <v>5.0000000000000001E-3</v>
      </c>
      <c r="I675" s="39">
        <v>44409</v>
      </c>
      <c r="J675" s="39">
        <v>44423</v>
      </c>
      <c r="K675" s="24">
        <f t="shared" si="46"/>
        <v>15</v>
      </c>
      <c r="L675" s="24">
        <f t="shared" si="47"/>
        <v>101</v>
      </c>
      <c r="M675" s="24">
        <v>480000</v>
      </c>
    </row>
    <row r="676" spans="1:13" s="5" customFormat="1" outlineLevel="2">
      <c r="A676" s="39" t="s">
        <v>257</v>
      </c>
      <c r="B676" s="40" t="s">
        <v>59</v>
      </c>
      <c r="C676" s="41" t="s">
        <v>260</v>
      </c>
      <c r="D676" s="40"/>
      <c r="E676" s="24"/>
      <c r="F676" s="39"/>
      <c r="G676" s="24">
        <v>480000</v>
      </c>
      <c r="H676" s="23">
        <v>5.0000000000000001E-3</v>
      </c>
      <c r="I676" s="39">
        <v>44424</v>
      </c>
      <c r="J676" s="39">
        <v>44439</v>
      </c>
      <c r="K676" s="24">
        <f t="shared" si="46"/>
        <v>16</v>
      </c>
      <c r="L676" s="24">
        <f t="shared" si="47"/>
        <v>105</v>
      </c>
      <c r="M676" s="24"/>
    </row>
    <row r="677" spans="1:13" s="5" customFormat="1" outlineLevel="2">
      <c r="A677" s="39" t="s">
        <v>257</v>
      </c>
      <c r="B677" s="40" t="s">
        <v>136</v>
      </c>
      <c r="C677" s="41" t="s">
        <v>262</v>
      </c>
      <c r="D677" s="40" t="s">
        <v>259</v>
      </c>
      <c r="E677" s="24">
        <v>39000000</v>
      </c>
      <c r="F677" s="39">
        <v>44425</v>
      </c>
      <c r="G677" s="24">
        <v>39000000</v>
      </c>
      <c r="H677" s="23">
        <v>5.0000000000000001E-3</v>
      </c>
      <c r="I677" s="39">
        <v>44425</v>
      </c>
      <c r="J677" s="39">
        <v>44439</v>
      </c>
      <c r="K677" s="24">
        <f t="shared" si="46"/>
        <v>15</v>
      </c>
      <c r="L677" s="24">
        <f t="shared" si="47"/>
        <v>8014</v>
      </c>
      <c r="M677" s="24">
        <v>39000000</v>
      </c>
    </row>
    <row r="678" spans="1:13" s="5" customFormat="1" outlineLevel="2">
      <c r="A678" s="39" t="s">
        <v>257</v>
      </c>
      <c r="B678" s="40" t="s">
        <v>137</v>
      </c>
      <c r="C678" s="41" t="s">
        <v>262</v>
      </c>
      <c r="D678" s="40" t="s">
        <v>259</v>
      </c>
      <c r="E678" s="24">
        <v>18080000</v>
      </c>
      <c r="F678" s="39">
        <v>44425</v>
      </c>
      <c r="G678" s="24">
        <v>18080000</v>
      </c>
      <c r="H678" s="23">
        <v>5.0000000000000001E-3</v>
      </c>
      <c r="I678" s="39">
        <v>44425</v>
      </c>
      <c r="J678" s="39">
        <v>44439</v>
      </c>
      <c r="K678" s="24">
        <f t="shared" si="46"/>
        <v>15</v>
      </c>
      <c r="L678" s="24">
        <f t="shared" si="47"/>
        <v>3715</v>
      </c>
      <c r="M678" s="24">
        <v>18080000</v>
      </c>
    </row>
    <row r="679" spans="1:13" s="5" customFormat="1" outlineLevel="2">
      <c r="A679" s="39" t="s">
        <v>257</v>
      </c>
      <c r="B679" s="40" t="s">
        <v>138</v>
      </c>
      <c r="C679" s="41" t="s">
        <v>398</v>
      </c>
      <c r="D679" s="40" t="s">
        <v>397</v>
      </c>
      <c r="E679" s="24">
        <v>2920000</v>
      </c>
      <c r="F679" s="39">
        <v>44439</v>
      </c>
      <c r="G679" s="24">
        <v>2920000</v>
      </c>
      <c r="H679" s="23">
        <v>5.0000000000000001E-3</v>
      </c>
      <c r="I679" s="39">
        <v>44439</v>
      </c>
      <c r="J679" s="39">
        <v>44439</v>
      </c>
      <c r="K679" s="24">
        <f t="shared" si="46"/>
        <v>1</v>
      </c>
      <c r="L679" s="24">
        <f t="shared" si="47"/>
        <v>40</v>
      </c>
      <c r="M679" s="24">
        <v>2920000</v>
      </c>
    </row>
    <row r="680" spans="1:13" s="5" customFormat="1" outlineLevel="2">
      <c r="A680" s="39" t="s">
        <v>257</v>
      </c>
      <c r="B680" s="40" t="s">
        <v>139</v>
      </c>
      <c r="C680" s="41" t="s">
        <v>398</v>
      </c>
      <c r="D680" s="40" t="s">
        <v>397</v>
      </c>
      <c r="E680" s="24">
        <v>4770000</v>
      </c>
      <c r="F680" s="39">
        <v>44439</v>
      </c>
      <c r="G680" s="24">
        <v>4770000</v>
      </c>
      <c r="H680" s="23">
        <v>5.0000000000000001E-3</v>
      </c>
      <c r="I680" s="39">
        <v>44439</v>
      </c>
      <c r="J680" s="39">
        <v>44439</v>
      </c>
      <c r="K680" s="24">
        <f t="shared" si="46"/>
        <v>1</v>
      </c>
      <c r="L680" s="24">
        <f t="shared" si="47"/>
        <v>65</v>
      </c>
      <c r="M680" s="24">
        <v>4770000</v>
      </c>
    </row>
    <row r="681" spans="1:13" s="5" customFormat="1" outlineLevel="2">
      <c r="A681" s="39" t="s">
        <v>257</v>
      </c>
      <c r="B681" s="40" t="s">
        <v>140</v>
      </c>
      <c r="C681" s="41" t="s">
        <v>260</v>
      </c>
      <c r="D681" s="40" t="s">
        <v>261</v>
      </c>
      <c r="E681" s="24">
        <v>1930000</v>
      </c>
      <c r="F681" s="39">
        <v>44427</v>
      </c>
      <c r="G681" s="24">
        <v>1930000</v>
      </c>
      <c r="H681" s="23">
        <v>5.0000000000000001E-3</v>
      </c>
      <c r="I681" s="39">
        <v>44427</v>
      </c>
      <c r="J681" s="39">
        <v>44439</v>
      </c>
      <c r="K681" s="24">
        <f t="shared" si="46"/>
        <v>13</v>
      </c>
      <c r="L681" s="24">
        <f t="shared" si="47"/>
        <v>344</v>
      </c>
      <c r="M681" s="24">
        <v>1930000</v>
      </c>
    </row>
    <row r="682" spans="1:13" s="5" customFormat="1" outlineLevel="2">
      <c r="A682" s="39" t="s">
        <v>257</v>
      </c>
      <c r="B682" s="40" t="s">
        <v>62</v>
      </c>
      <c r="C682" s="41" t="s">
        <v>262</v>
      </c>
      <c r="D682" s="40" t="s">
        <v>259</v>
      </c>
      <c r="E682" s="24">
        <v>18080000</v>
      </c>
      <c r="F682" s="39">
        <v>44102</v>
      </c>
      <c r="G682" s="24">
        <v>18080000</v>
      </c>
      <c r="H682" s="23">
        <v>5.0000000000000001E-3</v>
      </c>
      <c r="I682" s="39">
        <v>44409</v>
      </c>
      <c r="J682" s="39">
        <v>44439</v>
      </c>
      <c r="K682" s="24">
        <f t="shared" si="46"/>
        <v>31</v>
      </c>
      <c r="L682" s="24">
        <f t="shared" si="47"/>
        <v>7678</v>
      </c>
      <c r="M682" s="24">
        <v>18080000</v>
      </c>
    </row>
    <row r="683" spans="1:13" s="5" customFormat="1" outlineLevel="2">
      <c r="A683" s="39" t="s">
        <v>257</v>
      </c>
      <c r="B683" s="40" t="s">
        <v>63</v>
      </c>
      <c r="C683" s="41" t="s">
        <v>262</v>
      </c>
      <c r="D683" s="40" t="s">
        <v>259</v>
      </c>
      <c r="E683" s="24">
        <v>50630000</v>
      </c>
      <c r="F683" s="39">
        <v>44131</v>
      </c>
      <c r="G683" s="24">
        <v>50630000</v>
      </c>
      <c r="H683" s="23">
        <v>5.0000000000000001E-3</v>
      </c>
      <c r="I683" s="39">
        <v>44409</v>
      </c>
      <c r="J683" s="39">
        <v>44439</v>
      </c>
      <c r="K683" s="24">
        <f t="shared" si="46"/>
        <v>31</v>
      </c>
      <c r="L683" s="24">
        <f t="shared" si="47"/>
        <v>21500</v>
      </c>
      <c r="M683" s="24">
        <v>50630000</v>
      </c>
    </row>
    <row r="684" spans="1:13" s="5" customFormat="1" outlineLevel="2">
      <c r="A684" s="39" t="s">
        <v>257</v>
      </c>
      <c r="B684" s="40" t="s">
        <v>64</v>
      </c>
      <c r="C684" s="41" t="s">
        <v>260</v>
      </c>
      <c r="D684" s="40" t="s">
        <v>261</v>
      </c>
      <c r="E684" s="24">
        <v>710000</v>
      </c>
      <c r="F684" s="39">
        <v>44110</v>
      </c>
      <c r="G684" s="24">
        <v>588000</v>
      </c>
      <c r="H684" s="23">
        <v>5.0000000000000001E-3</v>
      </c>
      <c r="I684" s="39">
        <v>44409</v>
      </c>
      <c r="J684" s="39">
        <v>44423</v>
      </c>
      <c r="K684" s="24">
        <f t="shared" si="46"/>
        <v>15</v>
      </c>
      <c r="L684" s="24">
        <f t="shared" si="47"/>
        <v>121</v>
      </c>
      <c r="M684" s="24">
        <v>576000</v>
      </c>
    </row>
    <row r="685" spans="1:13" s="5" customFormat="1" outlineLevel="2">
      <c r="A685" s="39" t="s">
        <v>257</v>
      </c>
      <c r="B685" s="40" t="s">
        <v>64</v>
      </c>
      <c r="C685" s="41" t="s">
        <v>260</v>
      </c>
      <c r="D685" s="40"/>
      <c r="E685" s="24"/>
      <c r="F685" s="39"/>
      <c r="G685" s="24">
        <v>576000</v>
      </c>
      <c r="H685" s="23">
        <v>5.0000000000000001E-3</v>
      </c>
      <c r="I685" s="39">
        <v>44424</v>
      </c>
      <c r="J685" s="39">
        <v>44439</v>
      </c>
      <c r="K685" s="24">
        <f t="shared" si="46"/>
        <v>16</v>
      </c>
      <c r="L685" s="24">
        <f t="shared" si="47"/>
        <v>126</v>
      </c>
      <c r="M685" s="24"/>
    </row>
    <row r="686" spans="1:13" s="5" customFormat="1" outlineLevel="2">
      <c r="A686" s="39" t="s">
        <v>257</v>
      </c>
      <c r="B686" s="40" t="s">
        <v>65</v>
      </c>
      <c r="C686" s="41" t="s">
        <v>260</v>
      </c>
      <c r="D686" s="40" t="s">
        <v>261</v>
      </c>
      <c r="E686" s="24">
        <v>830000</v>
      </c>
      <c r="F686" s="39">
        <v>44137</v>
      </c>
      <c r="G686" s="24">
        <v>686000</v>
      </c>
      <c r="H686" s="23">
        <v>5.0000000000000001E-3</v>
      </c>
      <c r="I686" s="39">
        <v>44409</v>
      </c>
      <c r="J686" s="39">
        <v>44423</v>
      </c>
      <c r="K686" s="24">
        <f t="shared" si="46"/>
        <v>15</v>
      </c>
      <c r="L686" s="24">
        <f t="shared" si="47"/>
        <v>141</v>
      </c>
      <c r="M686" s="24">
        <v>672000</v>
      </c>
    </row>
    <row r="687" spans="1:13" s="5" customFormat="1" outlineLevel="2">
      <c r="A687" s="39" t="s">
        <v>257</v>
      </c>
      <c r="B687" s="40" t="s">
        <v>65</v>
      </c>
      <c r="C687" s="41" t="s">
        <v>260</v>
      </c>
      <c r="D687" s="40"/>
      <c r="E687" s="24"/>
      <c r="F687" s="39"/>
      <c r="G687" s="24">
        <v>672000</v>
      </c>
      <c r="H687" s="23">
        <v>5.0000000000000001E-3</v>
      </c>
      <c r="I687" s="39">
        <v>44424</v>
      </c>
      <c r="J687" s="39">
        <v>44439</v>
      </c>
      <c r="K687" s="24">
        <f t="shared" si="46"/>
        <v>16</v>
      </c>
      <c r="L687" s="24">
        <f t="shared" si="47"/>
        <v>147</v>
      </c>
      <c r="M687" s="24"/>
    </row>
    <row r="688" spans="1:13" s="5" customFormat="1" outlineLevel="2">
      <c r="A688" s="39" t="s">
        <v>257</v>
      </c>
      <c r="B688" s="40" t="s">
        <v>68</v>
      </c>
      <c r="C688" s="41" t="s">
        <v>260</v>
      </c>
      <c r="D688" s="40" t="s">
        <v>261</v>
      </c>
      <c r="E688" s="24">
        <v>180000</v>
      </c>
      <c r="F688" s="39">
        <v>44141</v>
      </c>
      <c r="G688" s="24">
        <v>147000</v>
      </c>
      <c r="H688" s="23">
        <v>5.0000000000000001E-3</v>
      </c>
      <c r="I688" s="39">
        <v>44409</v>
      </c>
      <c r="J688" s="39">
        <v>44423</v>
      </c>
      <c r="K688" s="24">
        <f t="shared" si="46"/>
        <v>15</v>
      </c>
      <c r="L688" s="24">
        <f t="shared" si="47"/>
        <v>30</v>
      </c>
      <c r="M688" s="24">
        <v>144000</v>
      </c>
    </row>
    <row r="689" spans="1:13" s="5" customFormat="1" outlineLevel="2">
      <c r="A689" s="39" t="s">
        <v>257</v>
      </c>
      <c r="B689" s="40" t="s">
        <v>68</v>
      </c>
      <c r="C689" s="41" t="s">
        <v>260</v>
      </c>
      <c r="D689" s="40"/>
      <c r="E689" s="24"/>
      <c r="F689" s="39"/>
      <c r="G689" s="24">
        <v>144000</v>
      </c>
      <c r="H689" s="23">
        <v>5.0000000000000001E-3</v>
      </c>
      <c r="I689" s="39">
        <v>44424</v>
      </c>
      <c r="J689" s="39">
        <v>44439</v>
      </c>
      <c r="K689" s="24">
        <f t="shared" si="46"/>
        <v>16</v>
      </c>
      <c r="L689" s="24">
        <f t="shared" si="47"/>
        <v>32</v>
      </c>
      <c r="M689" s="24"/>
    </row>
    <row r="690" spans="1:13" s="5" customFormat="1" outlineLevel="1">
      <c r="A690" s="42" t="s">
        <v>263</v>
      </c>
      <c r="B690" s="43"/>
      <c r="C690" s="44"/>
      <c r="D690" s="43"/>
      <c r="E690" s="45">
        <f>SUBTOTAL(9,E628:E689)</f>
        <v>1025000000</v>
      </c>
      <c r="F690" s="46"/>
      <c r="G690" s="45"/>
      <c r="H690" s="47"/>
      <c r="I690" s="46"/>
      <c r="J690" s="46"/>
      <c r="K690" s="45"/>
      <c r="L690" s="45">
        <f>SUBTOTAL(9,L628:L689)</f>
        <v>410874</v>
      </c>
      <c r="M690" s="45">
        <f>SUBTOTAL(9,M628:M689)</f>
        <v>1002702990</v>
      </c>
    </row>
    <row r="691" spans="1:13" s="5" customFormat="1" outlineLevel="2">
      <c r="A691" s="39" t="s">
        <v>264</v>
      </c>
      <c r="B691" s="40" t="s">
        <v>16</v>
      </c>
      <c r="C691" s="41" t="s">
        <v>27</v>
      </c>
      <c r="D691" s="40" t="s">
        <v>28</v>
      </c>
      <c r="E691" s="24">
        <v>26000000</v>
      </c>
      <c r="F691" s="39">
        <v>44140</v>
      </c>
      <c r="G691" s="24">
        <v>26000000</v>
      </c>
      <c r="H691" s="23">
        <v>5.0000000000000001E-3</v>
      </c>
      <c r="I691" s="39">
        <v>44409</v>
      </c>
      <c r="J691" s="39">
        <v>44439</v>
      </c>
      <c r="K691" s="24">
        <f>J691-I691+1</f>
        <v>31</v>
      </c>
      <c r="L691" s="24">
        <f>ROUND(G691*H691*K691/365,0)</f>
        <v>11041</v>
      </c>
      <c r="M691" s="24">
        <v>26000000</v>
      </c>
    </row>
    <row r="692" spans="1:13" s="5" customFormat="1" outlineLevel="2">
      <c r="A692" s="39" t="s">
        <v>264</v>
      </c>
      <c r="B692" s="40" t="s">
        <v>39</v>
      </c>
      <c r="C692" s="41" t="s">
        <v>27</v>
      </c>
      <c r="D692" s="40" t="s">
        <v>28</v>
      </c>
      <c r="E692" s="24">
        <v>10250000</v>
      </c>
      <c r="F692" s="39">
        <v>44140</v>
      </c>
      <c r="G692" s="24">
        <v>10250000</v>
      </c>
      <c r="H692" s="23">
        <v>5.0000000000000001E-3</v>
      </c>
      <c r="I692" s="39">
        <v>44409</v>
      </c>
      <c r="J692" s="39">
        <v>44439</v>
      </c>
      <c r="K692" s="24">
        <f>J692-I692+1</f>
        <v>31</v>
      </c>
      <c r="L692" s="24">
        <f>ROUND(G692*H692*K692/365,0)</f>
        <v>4353</v>
      </c>
      <c r="M692" s="24">
        <v>10250000</v>
      </c>
    </row>
    <row r="693" spans="1:13" s="5" customFormat="1" outlineLevel="2">
      <c r="A693" s="39" t="s">
        <v>264</v>
      </c>
      <c r="B693" s="40" t="s">
        <v>54</v>
      </c>
      <c r="C693" s="41" t="s">
        <v>27</v>
      </c>
      <c r="D693" s="40" t="s">
        <v>28</v>
      </c>
      <c r="E693" s="24">
        <v>3960000</v>
      </c>
      <c r="F693" s="39">
        <v>44148</v>
      </c>
      <c r="G693" s="24">
        <v>3960000</v>
      </c>
      <c r="H693" s="23">
        <v>5.0000000000000001E-3</v>
      </c>
      <c r="I693" s="39">
        <v>44409</v>
      </c>
      <c r="J693" s="39">
        <v>44439</v>
      </c>
      <c r="K693" s="24">
        <f>J693-I693+1</f>
        <v>31</v>
      </c>
      <c r="L693" s="24">
        <f>ROUND(G693*H693*K693/365,0)</f>
        <v>1682</v>
      </c>
      <c r="M693" s="24">
        <v>3960000</v>
      </c>
    </row>
    <row r="694" spans="1:13" s="5" customFormat="1" outlineLevel="2">
      <c r="A694" s="39" t="s">
        <v>264</v>
      </c>
      <c r="B694" s="40" t="s">
        <v>59</v>
      </c>
      <c r="C694" s="41" t="s">
        <v>27</v>
      </c>
      <c r="D694" s="40" t="s">
        <v>28</v>
      </c>
      <c r="E694" s="24">
        <v>8000000</v>
      </c>
      <c r="F694" s="39">
        <v>44244</v>
      </c>
      <c r="G694" s="24">
        <v>8000000</v>
      </c>
      <c r="H694" s="23">
        <v>5.0000000000000001E-3</v>
      </c>
      <c r="I694" s="39">
        <v>44409</v>
      </c>
      <c r="J694" s="39">
        <v>44439</v>
      </c>
      <c r="K694" s="24">
        <f>J694-I694+1</f>
        <v>31</v>
      </c>
      <c r="L694" s="24">
        <f>ROUND(G694*H694*K694/365,0)</f>
        <v>3397</v>
      </c>
      <c r="M694" s="24">
        <v>8000000</v>
      </c>
    </row>
    <row r="695" spans="1:13" s="5" customFormat="1" outlineLevel="2">
      <c r="A695" s="39" t="s">
        <v>264</v>
      </c>
      <c r="B695" s="40" t="s">
        <v>62</v>
      </c>
      <c r="C695" s="41" t="s">
        <v>27</v>
      </c>
      <c r="D695" s="40" t="s">
        <v>28</v>
      </c>
      <c r="E695" s="24">
        <v>28560000</v>
      </c>
      <c r="F695" s="39">
        <v>44403</v>
      </c>
      <c r="G695" s="24">
        <v>28560000</v>
      </c>
      <c r="H695" s="23">
        <v>5.0000000000000001E-3</v>
      </c>
      <c r="I695" s="39">
        <v>44409</v>
      </c>
      <c r="J695" s="39">
        <v>44439</v>
      </c>
      <c r="K695" s="24">
        <f>J695-I695+1</f>
        <v>31</v>
      </c>
      <c r="L695" s="24">
        <f>ROUND(G695*H695*K695/365,0)</f>
        <v>12128</v>
      </c>
      <c r="M695" s="24">
        <v>28560000</v>
      </c>
    </row>
    <row r="696" spans="1:13" s="5" customFormat="1" outlineLevel="1">
      <c r="A696" s="42" t="s">
        <v>265</v>
      </c>
      <c r="B696" s="43"/>
      <c r="C696" s="44"/>
      <c r="D696" s="43"/>
      <c r="E696" s="45">
        <f>SUBTOTAL(9,E691:E695)</f>
        <v>76770000</v>
      </c>
      <c r="F696" s="46"/>
      <c r="G696" s="45"/>
      <c r="H696" s="47"/>
      <c r="I696" s="46"/>
      <c r="J696" s="46"/>
      <c r="K696" s="45"/>
      <c r="L696" s="45">
        <f>SUBTOTAL(9,L691:L695)</f>
        <v>32601</v>
      </c>
      <c r="M696" s="45">
        <f>SUBTOTAL(9,M691:M695)</f>
        <v>76770000</v>
      </c>
    </row>
    <row r="697" spans="1:13" s="5" customFormat="1" outlineLevel="2">
      <c r="A697" s="39" t="s">
        <v>266</v>
      </c>
      <c r="B697" s="40" t="s">
        <v>16</v>
      </c>
      <c r="C697" s="41" t="s">
        <v>128</v>
      </c>
      <c r="D697" s="40" t="s">
        <v>129</v>
      </c>
      <c r="E697" s="24">
        <v>50000000</v>
      </c>
      <c r="F697" s="39">
        <v>44099</v>
      </c>
      <c r="G697" s="24">
        <v>50000000</v>
      </c>
      <c r="H697" s="23">
        <v>5.0000000000000001E-3</v>
      </c>
      <c r="I697" s="39">
        <v>44409</v>
      </c>
      <c r="J697" s="39">
        <v>44439</v>
      </c>
      <c r="K697" s="24">
        <f>J697-I697+1</f>
        <v>31</v>
      </c>
      <c r="L697" s="24">
        <f>ROUND(G697*H697*K697/365,0)</f>
        <v>21233</v>
      </c>
      <c r="M697" s="24">
        <v>50000000</v>
      </c>
    </row>
    <row r="698" spans="1:13" s="5" customFormat="1" outlineLevel="2">
      <c r="A698" s="39" t="s">
        <v>266</v>
      </c>
      <c r="B698" s="40" t="s">
        <v>39</v>
      </c>
      <c r="C698" s="41" t="s">
        <v>128</v>
      </c>
      <c r="D698" s="40" t="s">
        <v>129</v>
      </c>
      <c r="E698" s="24">
        <v>30000000</v>
      </c>
      <c r="F698" s="39">
        <v>44232</v>
      </c>
      <c r="G698" s="24">
        <v>30000000</v>
      </c>
      <c r="H698" s="23">
        <v>5.0000000000000001E-3</v>
      </c>
      <c r="I698" s="39">
        <v>44409</v>
      </c>
      <c r="J698" s="39">
        <v>44439</v>
      </c>
      <c r="K698" s="24">
        <f>J698-I698+1</f>
        <v>31</v>
      </c>
      <c r="L698" s="24">
        <f>ROUND(G698*H698*K698/365,0)</f>
        <v>12740</v>
      </c>
      <c r="M698" s="24">
        <v>30000000</v>
      </c>
    </row>
    <row r="699" spans="1:13" s="5" customFormat="1" outlineLevel="1">
      <c r="A699" s="42" t="s">
        <v>267</v>
      </c>
      <c r="B699" s="43"/>
      <c r="C699" s="44"/>
      <c r="D699" s="43"/>
      <c r="E699" s="45">
        <f>SUBTOTAL(9,E697:E698)</f>
        <v>80000000</v>
      </c>
      <c r="F699" s="46"/>
      <c r="G699" s="45"/>
      <c r="H699" s="47"/>
      <c r="I699" s="46"/>
      <c r="J699" s="46"/>
      <c r="K699" s="45"/>
      <c r="L699" s="45">
        <f>SUBTOTAL(9,L697:L698)</f>
        <v>33973</v>
      </c>
      <c r="M699" s="45">
        <f>SUBTOTAL(9,M697:M698)</f>
        <v>80000000</v>
      </c>
    </row>
    <row r="700" spans="1:13" s="5" customFormat="1" outlineLevel="2">
      <c r="A700" s="39" t="s">
        <v>268</v>
      </c>
      <c r="B700" s="40" t="s">
        <v>16</v>
      </c>
      <c r="C700" s="41" t="s">
        <v>20</v>
      </c>
      <c r="D700" s="40" t="s">
        <v>21</v>
      </c>
      <c r="E700" s="24">
        <v>43200000</v>
      </c>
      <c r="F700" s="39">
        <v>43937</v>
      </c>
      <c r="G700" s="24">
        <v>43200000</v>
      </c>
      <c r="H700" s="23">
        <v>3.0000000000000001E-3</v>
      </c>
      <c r="I700" s="39">
        <v>44409</v>
      </c>
      <c r="J700" s="39">
        <v>44439</v>
      </c>
      <c r="K700" s="24">
        <f t="shared" ref="K700:K706" si="48">J700-I700+1</f>
        <v>31</v>
      </c>
      <c r="L700" s="24">
        <f t="shared" ref="L700:L706" si="49">ROUND(G700*H700*K700/365,0)</f>
        <v>11007</v>
      </c>
      <c r="M700" s="24">
        <v>43200000</v>
      </c>
    </row>
    <row r="701" spans="1:13" s="5" customFormat="1" outlineLevel="2">
      <c r="A701" s="39" t="s">
        <v>268</v>
      </c>
      <c r="B701" s="40" t="s">
        <v>39</v>
      </c>
      <c r="C701" s="41" t="s">
        <v>20</v>
      </c>
      <c r="D701" s="40" t="s">
        <v>21</v>
      </c>
      <c r="E701" s="24">
        <v>330000000</v>
      </c>
      <c r="F701" s="39">
        <v>44013</v>
      </c>
      <c r="G701" s="24">
        <v>330000000</v>
      </c>
      <c r="H701" s="23">
        <v>3.0000000000000001E-3</v>
      </c>
      <c r="I701" s="39">
        <v>44409</v>
      </c>
      <c r="J701" s="39">
        <v>44439</v>
      </c>
      <c r="K701" s="24">
        <f t="shared" si="48"/>
        <v>31</v>
      </c>
      <c r="L701" s="24">
        <f t="shared" si="49"/>
        <v>84082</v>
      </c>
      <c r="M701" s="24">
        <v>330000000</v>
      </c>
    </row>
    <row r="702" spans="1:13" s="5" customFormat="1" outlineLevel="2">
      <c r="A702" s="39" t="s">
        <v>268</v>
      </c>
      <c r="B702" s="40" t="s">
        <v>54</v>
      </c>
      <c r="C702" s="41" t="s">
        <v>20</v>
      </c>
      <c r="D702" s="40" t="s">
        <v>21</v>
      </c>
      <c r="E702" s="24">
        <v>120000000</v>
      </c>
      <c r="F702" s="39">
        <v>44049</v>
      </c>
      <c r="G702" s="24">
        <v>120000000</v>
      </c>
      <c r="H702" s="23">
        <v>3.0000000000000001E-3</v>
      </c>
      <c r="I702" s="39">
        <v>44409</v>
      </c>
      <c r="J702" s="39">
        <v>44439</v>
      </c>
      <c r="K702" s="24">
        <f t="shared" si="48"/>
        <v>31</v>
      </c>
      <c r="L702" s="24">
        <f t="shared" si="49"/>
        <v>30575</v>
      </c>
      <c r="M702" s="24">
        <v>120000000</v>
      </c>
    </row>
    <row r="703" spans="1:13" s="5" customFormat="1" outlineLevel="2">
      <c r="A703" s="39" t="s">
        <v>268</v>
      </c>
      <c r="B703" s="40" t="s">
        <v>59</v>
      </c>
      <c r="C703" s="41" t="s">
        <v>20</v>
      </c>
      <c r="D703" s="40" t="s">
        <v>21</v>
      </c>
      <c r="E703" s="24">
        <v>39840000</v>
      </c>
      <c r="F703" s="39">
        <v>44111</v>
      </c>
      <c r="G703" s="24">
        <v>39840000</v>
      </c>
      <c r="H703" s="23">
        <v>3.0000000000000001E-3</v>
      </c>
      <c r="I703" s="39">
        <v>44409</v>
      </c>
      <c r="J703" s="39">
        <v>44439</v>
      </c>
      <c r="K703" s="24">
        <f t="shared" si="48"/>
        <v>31</v>
      </c>
      <c r="L703" s="24">
        <f t="shared" si="49"/>
        <v>10151</v>
      </c>
      <c r="M703" s="24">
        <v>39840000</v>
      </c>
    </row>
    <row r="704" spans="1:13" s="5" customFormat="1" outlineLevel="2">
      <c r="A704" s="39" t="s">
        <v>268</v>
      </c>
      <c r="B704" s="40" t="s">
        <v>62</v>
      </c>
      <c r="C704" s="41" t="s">
        <v>20</v>
      </c>
      <c r="D704" s="40" t="s">
        <v>21</v>
      </c>
      <c r="E704" s="24">
        <v>252000000</v>
      </c>
      <c r="F704" s="39">
        <v>44231</v>
      </c>
      <c r="G704" s="24">
        <v>252000000</v>
      </c>
      <c r="H704" s="23">
        <v>3.0000000000000001E-3</v>
      </c>
      <c r="I704" s="39">
        <v>44409</v>
      </c>
      <c r="J704" s="39">
        <v>44439</v>
      </c>
      <c r="K704" s="24">
        <f t="shared" si="48"/>
        <v>31</v>
      </c>
      <c r="L704" s="24">
        <f t="shared" si="49"/>
        <v>64208</v>
      </c>
      <c r="M704" s="24">
        <v>252000000</v>
      </c>
    </row>
    <row r="705" spans="1:13" s="5" customFormat="1" outlineLevel="2">
      <c r="A705" s="39" t="s">
        <v>268</v>
      </c>
      <c r="B705" s="40" t="s">
        <v>63</v>
      </c>
      <c r="C705" s="41" t="s">
        <v>280</v>
      </c>
      <c r="D705" s="40" t="s">
        <v>281</v>
      </c>
      <c r="E705" s="24">
        <v>250000000</v>
      </c>
      <c r="F705" s="39">
        <v>44228</v>
      </c>
      <c r="G705" s="24">
        <v>250000000</v>
      </c>
      <c r="H705" s="23">
        <v>3.0000000000000001E-3</v>
      </c>
      <c r="I705" s="39">
        <v>44409</v>
      </c>
      <c r="J705" s="39">
        <v>44439</v>
      </c>
      <c r="K705" s="24">
        <f t="shared" si="48"/>
        <v>31</v>
      </c>
      <c r="L705" s="24">
        <f t="shared" si="49"/>
        <v>63699</v>
      </c>
      <c r="M705" s="24">
        <v>250000000</v>
      </c>
    </row>
    <row r="706" spans="1:13" s="5" customFormat="1" outlineLevel="2">
      <c r="A706" s="39" t="s">
        <v>268</v>
      </c>
      <c r="B706" s="40" t="s">
        <v>64</v>
      </c>
      <c r="C706" s="41" t="s">
        <v>280</v>
      </c>
      <c r="D706" s="40" t="s">
        <v>281</v>
      </c>
      <c r="E706" s="24">
        <v>50000000</v>
      </c>
      <c r="F706" s="39">
        <v>44347</v>
      </c>
      <c r="G706" s="24">
        <v>50000000</v>
      </c>
      <c r="H706" s="23">
        <v>3.0000000000000001E-3</v>
      </c>
      <c r="I706" s="39">
        <v>44409</v>
      </c>
      <c r="J706" s="39">
        <v>44439</v>
      </c>
      <c r="K706" s="24">
        <f t="shared" si="48"/>
        <v>31</v>
      </c>
      <c r="L706" s="24">
        <f t="shared" si="49"/>
        <v>12740</v>
      </c>
      <c r="M706" s="24">
        <v>50000000</v>
      </c>
    </row>
    <row r="707" spans="1:13" s="5" customFormat="1" outlineLevel="1">
      <c r="A707" s="42" t="s">
        <v>269</v>
      </c>
      <c r="B707" s="43"/>
      <c r="C707" s="44"/>
      <c r="D707" s="43"/>
      <c r="E707" s="45">
        <f>SUBTOTAL(9,E700:E706)</f>
        <v>1085040000</v>
      </c>
      <c r="F707" s="46"/>
      <c r="G707" s="45"/>
      <c r="H707" s="47"/>
      <c r="I707" s="46"/>
      <c r="J707" s="46"/>
      <c r="K707" s="45"/>
      <c r="L707" s="45">
        <f>SUBTOTAL(9,L700:L706)</f>
        <v>276462</v>
      </c>
      <c r="M707" s="45">
        <f>SUBTOTAL(9,M700:M706)</f>
        <v>1085040000</v>
      </c>
    </row>
    <row r="708" spans="1:13" s="5" customFormat="1" outlineLevel="2">
      <c r="A708" s="39" t="s">
        <v>343</v>
      </c>
      <c r="B708" s="40" t="s">
        <v>16</v>
      </c>
      <c r="C708" s="41" t="s">
        <v>246</v>
      </c>
      <c r="D708" s="40" t="s">
        <v>247</v>
      </c>
      <c r="E708" s="24">
        <v>1230000</v>
      </c>
      <c r="F708" s="39">
        <v>44308</v>
      </c>
      <c r="G708" s="24">
        <v>1230000</v>
      </c>
      <c r="H708" s="23">
        <v>5.0000000000000001E-3</v>
      </c>
      <c r="I708" s="39">
        <v>44409</v>
      </c>
      <c r="J708" s="39">
        <v>44439</v>
      </c>
      <c r="K708" s="24">
        <f>J708-I708+1</f>
        <v>31</v>
      </c>
      <c r="L708" s="24">
        <f>ROUND(G708*H708*K708/365,0)</f>
        <v>522</v>
      </c>
      <c r="M708" s="24">
        <v>1230000</v>
      </c>
    </row>
    <row r="709" spans="1:13" s="5" customFormat="1" outlineLevel="1">
      <c r="A709" s="42" t="s">
        <v>342</v>
      </c>
      <c r="B709" s="43"/>
      <c r="C709" s="44"/>
      <c r="D709" s="43"/>
      <c r="E709" s="45">
        <f>SUBTOTAL(9,E708:E708)</f>
        <v>1230000</v>
      </c>
      <c r="F709" s="46"/>
      <c r="G709" s="45"/>
      <c r="H709" s="47"/>
      <c r="I709" s="46"/>
      <c r="J709" s="46"/>
      <c r="K709" s="45"/>
      <c r="L709" s="45">
        <f>SUBTOTAL(9,L708:L708)</f>
        <v>522</v>
      </c>
      <c r="M709" s="45">
        <f>SUBTOTAL(9,M708:M708)</f>
        <v>1230000</v>
      </c>
    </row>
    <row r="710" spans="1:13" s="5" customFormat="1" outlineLevel="2">
      <c r="A710" s="39" t="s">
        <v>270</v>
      </c>
      <c r="B710" s="40" t="s">
        <v>16</v>
      </c>
      <c r="C710" s="41" t="s">
        <v>273</v>
      </c>
      <c r="D710" s="40" t="s">
        <v>272</v>
      </c>
      <c r="E710" s="24">
        <v>126000000</v>
      </c>
      <c r="F710" s="39">
        <v>43804</v>
      </c>
      <c r="G710" s="24">
        <v>126000000</v>
      </c>
      <c r="H710" s="23">
        <v>5.0000000000000001E-3</v>
      </c>
      <c r="I710" s="39">
        <v>44409</v>
      </c>
      <c r="J710" s="39">
        <v>44439</v>
      </c>
      <c r="K710" s="24">
        <f t="shared" ref="K710:K741" si="50">J710-I710+1</f>
        <v>31</v>
      </c>
      <c r="L710" s="24">
        <f t="shared" ref="L710:L741" si="51">ROUND(G710*H710*K710/365,0)</f>
        <v>53507</v>
      </c>
      <c r="M710" s="24">
        <v>126000000</v>
      </c>
    </row>
    <row r="711" spans="1:13" s="5" customFormat="1" outlineLevel="2">
      <c r="A711" s="39" t="s">
        <v>270</v>
      </c>
      <c r="B711" s="40" t="s">
        <v>19</v>
      </c>
      <c r="C711" s="41" t="s">
        <v>273</v>
      </c>
      <c r="D711" s="40" t="s">
        <v>272</v>
      </c>
      <c r="E711" s="24">
        <v>46600000</v>
      </c>
      <c r="F711" s="39">
        <v>43866</v>
      </c>
      <c r="G711" s="24">
        <v>46600000</v>
      </c>
      <c r="H711" s="23">
        <v>5.0000000000000001E-3</v>
      </c>
      <c r="I711" s="39">
        <v>44409</v>
      </c>
      <c r="J711" s="39">
        <v>44439</v>
      </c>
      <c r="K711" s="24">
        <f t="shared" si="50"/>
        <v>31</v>
      </c>
      <c r="L711" s="24">
        <f t="shared" si="51"/>
        <v>19789</v>
      </c>
      <c r="M711" s="24">
        <v>46600000</v>
      </c>
    </row>
    <row r="712" spans="1:13" s="5" customFormat="1" outlineLevel="2">
      <c r="A712" s="39" t="s">
        <v>270</v>
      </c>
      <c r="B712" s="40" t="s">
        <v>145</v>
      </c>
      <c r="C712" s="41" t="s">
        <v>115</v>
      </c>
      <c r="D712" s="40" t="s">
        <v>116</v>
      </c>
      <c r="E712" s="24">
        <v>41000000</v>
      </c>
      <c r="F712" s="39">
        <v>44337</v>
      </c>
      <c r="G712" s="24">
        <v>41000000</v>
      </c>
      <c r="H712" s="23">
        <v>5.0000000000000001E-3</v>
      </c>
      <c r="I712" s="39">
        <v>44409</v>
      </c>
      <c r="J712" s="39">
        <v>44439</v>
      </c>
      <c r="K712" s="24">
        <f t="shared" si="50"/>
        <v>31</v>
      </c>
      <c r="L712" s="24">
        <f t="shared" si="51"/>
        <v>17411</v>
      </c>
      <c r="M712" s="24">
        <v>41000000</v>
      </c>
    </row>
    <row r="713" spans="1:13" s="5" customFormat="1" outlineLevel="2">
      <c r="A713" s="39" t="s">
        <v>270</v>
      </c>
      <c r="B713" s="40" t="s">
        <v>148</v>
      </c>
      <c r="C713" s="41" t="s">
        <v>143</v>
      </c>
      <c r="D713" s="40" t="s">
        <v>144</v>
      </c>
      <c r="E713" s="24">
        <v>2900000</v>
      </c>
      <c r="F713" s="39">
        <v>44319</v>
      </c>
      <c r="G713" s="24">
        <v>2900000</v>
      </c>
      <c r="H713" s="23">
        <v>5.0000000000000001E-3</v>
      </c>
      <c r="I713" s="39">
        <v>44409</v>
      </c>
      <c r="J713" s="39">
        <v>44439</v>
      </c>
      <c r="K713" s="24">
        <f t="shared" si="50"/>
        <v>31</v>
      </c>
      <c r="L713" s="24">
        <f t="shared" si="51"/>
        <v>1232</v>
      </c>
      <c r="M713" s="24">
        <v>2900000</v>
      </c>
    </row>
    <row r="714" spans="1:13" s="5" customFormat="1" outlineLevel="2">
      <c r="A714" s="39" t="s">
        <v>270</v>
      </c>
      <c r="B714" s="40" t="s">
        <v>151</v>
      </c>
      <c r="C714" s="41" t="s">
        <v>143</v>
      </c>
      <c r="D714" s="40" t="s">
        <v>144</v>
      </c>
      <c r="E714" s="24">
        <v>6800000</v>
      </c>
      <c r="F714" s="39">
        <v>44327</v>
      </c>
      <c r="G714" s="24">
        <v>6800000</v>
      </c>
      <c r="H714" s="23">
        <v>5.0000000000000001E-3</v>
      </c>
      <c r="I714" s="39">
        <v>44409</v>
      </c>
      <c r="J714" s="39">
        <v>44439</v>
      </c>
      <c r="K714" s="24">
        <f t="shared" si="50"/>
        <v>31</v>
      </c>
      <c r="L714" s="24">
        <f t="shared" si="51"/>
        <v>2888</v>
      </c>
      <c r="M714" s="24">
        <v>6800000</v>
      </c>
    </row>
    <row r="715" spans="1:13" s="5" customFormat="1" outlineLevel="2">
      <c r="A715" s="39" t="s">
        <v>270</v>
      </c>
      <c r="B715" s="40" t="s">
        <v>152</v>
      </c>
      <c r="C715" s="41" t="s">
        <v>143</v>
      </c>
      <c r="D715" s="40" t="s">
        <v>144</v>
      </c>
      <c r="E715" s="24">
        <v>1620000</v>
      </c>
      <c r="F715" s="39">
        <v>44347</v>
      </c>
      <c r="G715" s="24">
        <v>1620000</v>
      </c>
      <c r="H715" s="23">
        <v>5.0000000000000001E-3</v>
      </c>
      <c r="I715" s="39">
        <v>44409</v>
      </c>
      <c r="J715" s="39">
        <v>44439</v>
      </c>
      <c r="K715" s="24">
        <f t="shared" si="50"/>
        <v>31</v>
      </c>
      <c r="L715" s="24">
        <f t="shared" si="51"/>
        <v>688</v>
      </c>
      <c r="M715" s="24">
        <v>1620000</v>
      </c>
    </row>
    <row r="716" spans="1:13" s="5" customFormat="1" outlineLevel="2">
      <c r="A716" s="39" t="s">
        <v>270</v>
      </c>
      <c r="B716" s="40" t="s">
        <v>153</v>
      </c>
      <c r="C716" s="41" t="s">
        <v>273</v>
      </c>
      <c r="D716" s="40" t="s">
        <v>272</v>
      </c>
      <c r="E716" s="24">
        <v>1500000</v>
      </c>
      <c r="F716" s="39">
        <v>44321</v>
      </c>
      <c r="G716" s="24">
        <v>1500000</v>
      </c>
      <c r="H716" s="23">
        <v>5.0000000000000001E-3</v>
      </c>
      <c r="I716" s="39">
        <v>44409</v>
      </c>
      <c r="J716" s="39">
        <v>44439</v>
      </c>
      <c r="K716" s="24">
        <f t="shared" si="50"/>
        <v>31</v>
      </c>
      <c r="L716" s="24">
        <f t="shared" si="51"/>
        <v>637</v>
      </c>
      <c r="M716" s="24">
        <v>1500000</v>
      </c>
    </row>
    <row r="717" spans="1:13" s="5" customFormat="1" outlineLevel="2">
      <c r="A717" s="39" t="s">
        <v>270</v>
      </c>
      <c r="B717" s="40" t="s">
        <v>154</v>
      </c>
      <c r="C717" s="41" t="s">
        <v>273</v>
      </c>
      <c r="D717" s="40" t="s">
        <v>272</v>
      </c>
      <c r="E717" s="24">
        <v>18000000</v>
      </c>
      <c r="F717" s="39">
        <v>44321</v>
      </c>
      <c r="G717" s="24">
        <v>18000000</v>
      </c>
      <c r="H717" s="23">
        <v>5.0000000000000001E-3</v>
      </c>
      <c r="I717" s="39">
        <v>44409</v>
      </c>
      <c r="J717" s="39">
        <v>44439</v>
      </c>
      <c r="K717" s="24">
        <f t="shared" si="50"/>
        <v>31</v>
      </c>
      <c r="L717" s="24">
        <f t="shared" si="51"/>
        <v>7644</v>
      </c>
      <c r="M717" s="24">
        <v>18000000</v>
      </c>
    </row>
    <row r="718" spans="1:13" s="5" customFormat="1" outlineLevel="2">
      <c r="A718" s="39" t="s">
        <v>270</v>
      </c>
      <c r="B718" s="40" t="s">
        <v>157</v>
      </c>
      <c r="C718" s="41" t="s">
        <v>75</v>
      </c>
      <c r="D718" s="40" t="s">
        <v>76</v>
      </c>
      <c r="E718" s="24">
        <v>38590000</v>
      </c>
      <c r="F718" s="39">
        <v>44321</v>
      </c>
      <c r="G718" s="24">
        <v>38590000</v>
      </c>
      <c r="H718" s="23">
        <v>5.0000000000000001E-3</v>
      </c>
      <c r="I718" s="39">
        <v>44409</v>
      </c>
      <c r="J718" s="39">
        <v>44439</v>
      </c>
      <c r="K718" s="24">
        <f t="shared" si="50"/>
        <v>31</v>
      </c>
      <c r="L718" s="24">
        <f t="shared" si="51"/>
        <v>16388</v>
      </c>
      <c r="M718" s="24">
        <v>38590000</v>
      </c>
    </row>
    <row r="719" spans="1:13" s="5" customFormat="1" outlineLevel="2">
      <c r="A719" s="39" t="s">
        <v>270</v>
      </c>
      <c r="B719" s="40" t="s">
        <v>158</v>
      </c>
      <c r="C719" s="41" t="s">
        <v>322</v>
      </c>
      <c r="D719" s="40" t="s">
        <v>321</v>
      </c>
      <c r="E719" s="24">
        <v>4163250</v>
      </c>
      <c r="F719" s="39">
        <v>44377</v>
      </c>
      <c r="G719" s="24">
        <v>4163250</v>
      </c>
      <c r="H719" s="23">
        <v>5.0000000000000001E-3</v>
      </c>
      <c r="I719" s="39">
        <v>44409</v>
      </c>
      <c r="J719" s="39">
        <v>44439</v>
      </c>
      <c r="K719" s="24">
        <f t="shared" si="50"/>
        <v>31</v>
      </c>
      <c r="L719" s="24">
        <f t="shared" si="51"/>
        <v>1768</v>
      </c>
      <c r="M719" s="24">
        <v>4163250</v>
      </c>
    </row>
    <row r="720" spans="1:13" s="5" customFormat="1" outlineLevel="2">
      <c r="A720" s="39" t="s">
        <v>270</v>
      </c>
      <c r="B720" s="40" t="s">
        <v>159</v>
      </c>
      <c r="C720" s="41" t="s">
        <v>274</v>
      </c>
      <c r="D720" s="40" t="s">
        <v>275</v>
      </c>
      <c r="E720" s="24">
        <v>18388440</v>
      </c>
      <c r="F720" s="39">
        <v>44356</v>
      </c>
      <c r="G720" s="24">
        <v>18388440</v>
      </c>
      <c r="H720" s="23">
        <v>5.0000000000000001E-3</v>
      </c>
      <c r="I720" s="39">
        <v>44409</v>
      </c>
      <c r="J720" s="39">
        <v>44439</v>
      </c>
      <c r="K720" s="24">
        <f t="shared" si="50"/>
        <v>31</v>
      </c>
      <c r="L720" s="24">
        <f t="shared" si="51"/>
        <v>7809</v>
      </c>
      <c r="M720" s="24">
        <v>18388440</v>
      </c>
    </row>
    <row r="721" spans="1:13" s="5" customFormat="1" outlineLevel="2">
      <c r="A721" s="39" t="s">
        <v>270</v>
      </c>
      <c r="B721" s="40" t="s">
        <v>320</v>
      </c>
      <c r="C721" s="41" t="s">
        <v>274</v>
      </c>
      <c r="D721" s="40" t="s">
        <v>275</v>
      </c>
      <c r="E721" s="24">
        <v>21892380</v>
      </c>
      <c r="F721" s="39">
        <v>44356</v>
      </c>
      <c r="G721" s="24">
        <v>21892380</v>
      </c>
      <c r="H721" s="23">
        <v>5.0000000000000001E-3</v>
      </c>
      <c r="I721" s="39">
        <v>44409</v>
      </c>
      <c r="J721" s="39">
        <v>44439</v>
      </c>
      <c r="K721" s="24">
        <f t="shared" si="50"/>
        <v>31</v>
      </c>
      <c r="L721" s="24">
        <f t="shared" si="51"/>
        <v>9297</v>
      </c>
      <c r="M721" s="24">
        <v>21892380</v>
      </c>
    </row>
    <row r="722" spans="1:13" s="5" customFormat="1" outlineLevel="2">
      <c r="A722" s="39" t="s">
        <v>270</v>
      </c>
      <c r="B722" s="40" t="s">
        <v>22</v>
      </c>
      <c r="C722" s="41" t="s">
        <v>273</v>
      </c>
      <c r="D722" s="40" t="s">
        <v>272</v>
      </c>
      <c r="E722" s="24">
        <v>1300000</v>
      </c>
      <c r="F722" s="39">
        <v>43866</v>
      </c>
      <c r="G722" s="24">
        <v>1300000</v>
      </c>
      <c r="H722" s="23">
        <v>5.0000000000000001E-3</v>
      </c>
      <c r="I722" s="39">
        <v>44409</v>
      </c>
      <c r="J722" s="39">
        <v>44439</v>
      </c>
      <c r="K722" s="24">
        <f t="shared" si="50"/>
        <v>31</v>
      </c>
      <c r="L722" s="24">
        <f t="shared" si="51"/>
        <v>552</v>
      </c>
      <c r="M722" s="24">
        <v>1300000</v>
      </c>
    </row>
    <row r="723" spans="1:13" s="5" customFormat="1" outlineLevel="2">
      <c r="A723" s="39" t="s">
        <v>270</v>
      </c>
      <c r="B723" s="40" t="s">
        <v>319</v>
      </c>
      <c r="C723" s="41" t="s">
        <v>143</v>
      </c>
      <c r="D723" s="40" t="s">
        <v>144</v>
      </c>
      <c r="E723" s="24">
        <v>900000</v>
      </c>
      <c r="F723" s="39">
        <v>44368</v>
      </c>
      <c r="G723" s="24">
        <v>900000</v>
      </c>
      <c r="H723" s="23">
        <v>5.0000000000000001E-3</v>
      </c>
      <c r="I723" s="39">
        <v>44409</v>
      </c>
      <c r="J723" s="39">
        <v>44439</v>
      </c>
      <c r="K723" s="24">
        <f t="shared" si="50"/>
        <v>31</v>
      </c>
      <c r="L723" s="24">
        <f t="shared" si="51"/>
        <v>382</v>
      </c>
      <c r="M723" s="24">
        <v>900000</v>
      </c>
    </row>
    <row r="724" spans="1:13" s="5" customFormat="1" outlineLevel="2">
      <c r="A724" s="39" t="s">
        <v>270</v>
      </c>
      <c r="B724" s="40" t="s">
        <v>318</v>
      </c>
      <c r="C724" s="41" t="s">
        <v>273</v>
      </c>
      <c r="D724" s="40" t="s">
        <v>272</v>
      </c>
      <c r="E724" s="24">
        <v>13700000</v>
      </c>
      <c r="F724" s="39">
        <v>44351</v>
      </c>
      <c r="G724" s="24">
        <v>13700000</v>
      </c>
      <c r="H724" s="23">
        <v>5.0000000000000001E-3</v>
      </c>
      <c r="I724" s="39">
        <v>44409</v>
      </c>
      <c r="J724" s="39">
        <v>44439</v>
      </c>
      <c r="K724" s="24">
        <f t="shared" si="50"/>
        <v>31</v>
      </c>
      <c r="L724" s="24">
        <f t="shared" si="51"/>
        <v>5818</v>
      </c>
      <c r="M724" s="24">
        <v>13700000</v>
      </c>
    </row>
    <row r="725" spans="1:13" s="5" customFormat="1" outlineLevel="2">
      <c r="A725" s="39" t="s">
        <v>270</v>
      </c>
      <c r="B725" s="40" t="s">
        <v>317</v>
      </c>
      <c r="C725" s="41" t="s">
        <v>274</v>
      </c>
      <c r="D725" s="40" t="s">
        <v>275</v>
      </c>
      <c r="E725" s="24">
        <v>21892380</v>
      </c>
      <c r="F725" s="39">
        <v>44391</v>
      </c>
      <c r="G725" s="24">
        <v>21892380</v>
      </c>
      <c r="H725" s="23">
        <v>5.0000000000000001E-3</v>
      </c>
      <c r="I725" s="39">
        <v>44409</v>
      </c>
      <c r="J725" s="39">
        <v>44439</v>
      </c>
      <c r="K725" s="24">
        <f t="shared" si="50"/>
        <v>31</v>
      </c>
      <c r="L725" s="24">
        <f t="shared" si="51"/>
        <v>9297</v>
      </c>
      <c r="M725" s="24">
        <v>21892380</v>
      </c>
    </row>
    <row r="726" spans="1:13" s="5" customFormat="1" outlineLevel="2">
      <c r="A726" s="39" t="s">
        <v>270</v>
      </c>
      <c r="B726" s="40" t="s">
        <v>316</v>
      </c>
      <c r="C726" s="41" t="s">
        <v>274</v>
      </c>
      <c r="D726" s="40" t="s">
        <v>275</v>
      </c>
      <c r="E726" s="24">
        <v>14303880</v>
      </c>
      <c r="F726" s="39">
        <v>44391</v>
      </c>
      <c r="G726" s="24">
        <v>14303880</v>
      </c>
      <c r="H726" s="23">
        <v>5.0000000000000001E-3</v>
      </c>
      <c r="I726" s="39">
        <v>44409</v>
      </c>
      <c r="J726" s="39">
        <v>44439</v>
      </c>
      <c r="K726" s="24">
        <f t="shared" si="50"/>
        <v>31</v>
      </c>
      <c r="L726" s="24">
        <f t="shared" si="51"/>
        <v>6074</v>
      </c>
      <c r="M726" s="24">
        <v>14303880</v>
      </c>
    </row>
    <row r="727" spans="1:13" s="5" customFormat="1" outlineLevel="2">
      <c r="A727" s="39" t="s">
        <v>270</v>
      </c>
      <c r="B727" s="40" t="s">
        <v>315</v>
      </c>
      <c r="C727" s="41" t="s">
        <v>115</v>
      </c>
      <c r="D727" s="40" t="s">
        <v>116</v>
      </c>
      <c r="E727" s="24">
        <v>18650000</v>
      </c>
      <c r="F727" s="39">
        <v>44384</v>
      </c>
      <c r="G727" s="24">
        <v>18650000</v>
      </c>
      <c r="H727" s="23">
        <v>5.0000000000000001E-3</v>
      </c>
      <c r="I727" s="39">
        <v>44409</v>
      </c>
      <c r="J727" s="39">
        <v>44439</v>
      </c>
      <c r="K727" s="24">
        <f t="shared" si="50"/>
        <v>31</v>
      </c>
      <c r="L727" s="24">
        <f t="shared" si="51"/>
        <v>7920</v>
      </c>
      <c r="M727" s="24">
        <v>18650000</v>
      </c>
    </row>
    <row r="728" spans="1:13" s="5" customFormat="1" outlineLevel="2">
      <c r="A728" s="39" t="s">
        <v>270</v>
      </c>
      <c r="B728" s="40" t="s">
        <v>314</v>
      </c>
      <c r="C728" s="41" t="s">
        <v>273</v>
      </c>
      <c r="D728" s="40" t="s">
        <v>272</v>
      </c>
      <c r="E728" s="24">
        <v>16800000</v>
      </c>
      <c r="F728" s="39">
        <v>44382</v>
      </c>
      <c r="G728" s="24">
        <v>16800000</v>
      </c>
      <c r="H728" s="23">
        <v>5.0000000000000001E-3</v>
      </c>
      <c r="I728" s="39">
        <v>44409</v>
      </c>
      <c r="J728" s="39">
        <v>44439</v>
      </c>
      <c r="K728" s="24">
        <f t="shared" si="50"/>
        <v>31</v>
      </c>
      <c r="L728" s="24">
        <f t="shared" si="51"/>
        <v>7134</v>
      </c>
      <c r="M728" s="24">
        <v>16800000</v>
      </c>
    </row>
    <row r="729" spans="1:13" s="5" customFormat="1" outlineLevel="2">
      <c r="A729" s="39" t="s">
        <v>270</v>
      </c>
      <c r="B729" s="40" t="s">
        <v>313</v>
      </c>
      <c r="C729" s="41" t="s">
        <v>273</v>
      </c>
      <c r="D729" s="40" t="s">
        <v>272</v>
      </c>
      <c r="E729" s="24">
        <v>8400000</v>
      </c>
      <c r="F729" s="39">
        <v>44382</v>
      </c>
      <c r="G729" s="24">
        <v>8400000</v>
      </c>
      <c r="H729" s="23">
        <v>5.0000000000000001E-3</v>
      </c>
      <c r="I729" s="39">
        <v>44409</v>
      </c>
      <c r="J729" s="39">
        <v>44439</v>
      </c>
      <c r="K729" s="24">
        <f t="shared" si="50"/>
        <v>31</v>
      </c>
      <c r="L729" s="24">
        <f t="shared" si="51"/>
        <v>3567</v>
      </c>
      <c r="M729" s="24">
        <v>8400000</v>
      </c>
    </row>
    <row r="730" spans="1:13" s="5" customFormat="1" outlineLevel="2">
      <c r="A730" s="39" t="s">
        <v>270</v>
      </c>
      <c r="B730" s="40" t="s">
        <v>312</v>
      </c>
      <c r="C730" s="41" t="s">
        <v>273</v>
      </c>
      <c r="D730" s="40" t="s">
        <v>272</v>
      </c>
      <c r="E730" s="24">
        <v>14100000</v>
      </c>
      <c r="F730" s="39">
        <v>44382</v>
      </c>
      <c r="G730" s="24">
        <v>14100000</v>
      </c>
      <c r="H730" s="23">
        <v>5.0000000000000001E-3</v>
      </c>
      <c r="I730" s="39">
        <v>44409</v>
      </c>
      <c r="J730" s="39">
        <v>44439</v>
      </c>
      <c r="K730" s="24">
        <f t="shared" si="50"/>
        <v>31</v>
      </c>
      <c r="L730" s="24">
        <f t="shared" si="51"/>
        <v>5988</v>
      </c>
      <c r="M730" s="24">
        <v>14100000</v>
      </c>
    </row>
    <row r="731" spans="1:13" s="5" customFormat="1" outlineLevel="2">
      <c r="A731" s="39" t="s">
        <v>270</v>
      </c>
      <c r="B731" s="40" t="s">
        <v>311</v>
      </c>
      <c r="C731" s="41" t="s">
        <v>75</v>
      </c>
      <c r="D731" s="40" t="s">
        <v>76</v>
      </c>
      <c r="E731" s="24">
        <v>44280000</v>
      </c>
      <c r="F731" s="39">
        <v>44378</v>
      </c>
      <c r="G731" s="24">
        <v>44280000</v>
      </c>
      <c r="H731" s="23">
        <v>5.0000000000000001E-3</v>
      </c>
      <c r="I731" s="39">
        <v>44409</v>
      </c>
      <c r="J731" s="39">
        <v>44439</v>
      </c>
      <c r="K731" s="24">
        <f t="shared" si="50"/>
        <v>31</v>
      </c>
      <c r="L731" s="24">
        <f t="shared" si="51"/>
        <v>18804</v>
      </c>
      <c r="M731" s="24">
        <v>44280000</v>
      </c>
    </row>
    <row r="732" spans="1:13" s="5" customFormat="1" outlineLevel="2">
      <c r="A732" s="39" t="s">
        <v>270</v>
      </c>
      <c r="B732" s="40" t="s">
        <v>310</v>
      </c>
      <c r="C732" s="41" t="s">
        <v>302</v>
      </c>
      <c r="D732" s="40" t="s">
        <v>301</v>
      </c>
      <c r="E732" s="24">
        <v>20206000</v>
      </c>
      <c r="F732" s="39">
        <v>44431</v>
      </c>
      <c r="G732" s="24">
        <v>20206000</v>
      </c>
      <c r="H732" s="23">
        <v>5.0000000000000001E-3</v>
      </c>
      <c r="I732" s="39">
        <v>44431</v>
      </c>
      <c r="J732" s="39">
        <v>44439</v>
      </c>
      <c r="K732" s="24">
        <f t="shared" si="50"/>
        <v>9</v>
      </c>
      <c r="L732" s="24">
        <f t="shared" si="51"/>
        <v>2491</v>
      </c>
      <c r="M732" s="24">
        <v>20206000</v>
      </c>
    </row>
    <row r="733" spans="1:13" s="5" customFormat="1" outlineLevel="2">
      <c r="A733" s="39" t="s">
        <v>270</v>
      </c>
      <c r="B733" s="40" t="s">
        <v>25</v>
      </c>
      <c r="C733" s="41" t="s">
        <v>274</v>
      </c>
      <c r="D733" s="40" t="s">
        <v>275</v>
      </c>
      <c r="E733" s="24">
        <v>9087600</v>
      </c>
      <c r="F733" s="39">
        <v>43901</v>
      </c>
      <c r="G733" s="24">
        <v>9087600</v>
      </c>
      <c r="H733" s="23">
        <v>5.0000000000000001E-3</v>
      </c>
      <c r="I733" s="39">
        <v>44409</v>
      </c>
      <c r="J733" s="39">
        <v>44439</v>
      </c>
      <c r="K733" s="24">
        <f t="shared" si="50"/>
        <v>31</v>
      </c>
      <c r="L733" s="24">
        <f t="shared" si="51"/>
        <v>3859</v>
      </c>
      <c r="M733" s="24">
        <v>9087600</v>
      </c>
    </row>
    <row r="734" spans="1:13" s="5" customFormat="1" outlineLevel="2">
      <c r="A734" s="39" t="s">
        <v>270</v>
      </c>
      <c r="B734" s="40" t="s">
        <v>309</v>
      </c>
      <c r="C734" s="41" t="s">
        <v>322</v>
      </c>
      <c r="D734" s="40" t="s">
        <v>321</v>
      </c>
      <c r="E734" s="24">
        <v>3202500</v>
      </c>
      <c r="F734" s="39">
        <v>44410</v>
      </c>
      <c r="G734" s="24">
        <v>3202500</v>
      </c>
      <c r="H734" s="23">
        <v>5.0000000000000001E-3</v>
      </c>
      <c r="I734" s="39">
        <v>44410</v>
      </c>
      <c r="J734" s="39">
        <v>44439</v>
      </c>
      <c r="K734" s="24">
        <f t="shared" si="50"/>
        <v>30</v>
      </c>
      <c r="L734" s="24">
        <f t="shared" si="51"/>
        <v>1316</v>
      </c>
      <c r="M734" s="24">
        <v>3202500</v>
      </c>
    </row>
    <row r="735" spans="1:13" s="5" customFormat="1" outlineLevel="2">
      <c r="A735" s="39" t="s">
        <v>270</v>
      </c>
      <c r="B735" s="40" t="s">
        <v>308</v>
      </c>
      <c r="C735" s="41" t="s">
        <v>322</v>
      </c>
      <c r="D735" s="40" t="s">
        <v>321</v>
      </c>
      <c r="E735" s="24">
        <v>3202500</v>
      </c>
      <c r="F735" s="39">
        <v>44439</v>
      </c>
      <c r="G735" s="24">
        <v>3202500</v>
      </c>
      <c r="H735" s="23">
        <v>5.0000000000000001E-3</v>
      </c>
      <c r="I735" s="39">
        <v>44439</v>
      </c>
      <c r="J735" s="39">
        <v>44439</v>
      </c>
      <c r="K735" s="24">
        <f t="shared" si="50"/>
        <v>1</v>
      </c>
      <c r="L735" s="24">
        <f t="shared" si="51"/>
        <v>44</v>
      </c>
      <c r="M735" s="24">
        <v>3202500</v>
      </c>
    </row>
    <row r="736" spans="1:13" s="5" customFormat="1" outlineLevel="2">
      <c r="A736" s="39" t="s">
        <v>270</v>
      </c>
      <c r="B736" s="40" t="s">
        <v>307</v>
      </c>
      <c r="C736" s="41" t="s">
        <v>274</v>
      </c>
      <c r="D736" s="40" t="s">
        <v>275</v>
      </c>
      <c r="E736" s="24">
        <v>14303880</v>
      </c>
      <c r="F736" s="39">
        <v>44419</v>
      </c>
      <c r="G736" s="24">
        <v>14303880</v>
      </c>
      <c r="H736" s="23">
        <v>5.0000000000000001E-3</v>
      </c>
      <c r="I736" s="39">
        <v>44419</v>
      </c>
      <c r="J736" s="39">
        <v>44439</v>
      </c>
      <c r="K736" s="24">
        <f t="shared" si="50"/>
        <v>21</v>
      </c>
      <c r="L736" s="24">
        <f t="shared" si="51"/>
        <v>4115</v>
      </c>
      <c r="M736" s="24">
        <v>14303880</v>
      </c>
    </row>
    <row r="737" spans="1:13" s="5" customFormat="1" outlineLevel="2">
      <c r="A737" s="39" t="s">
        <v>270</v>
      </c>
      <c r="B737" s="40" t="s">
        <v>335</v>
      </c>
      <c r="C737" s="41" t="s">
        <v>274</v>
      </c>
      <c r="D737" s="40" t="s">
        <v>275</v>
      </c>
      <c r="E737" s="24">
        <v>18035040</v>
      </c>
      <c r="F737" s="39">
        <v>44419</v>
      </c>
      <c r="G737" s="24">
        <v>18035040</v>
      </c>
      <c r="H737" s="23">
        <v>5.0000000000000001E-3</v>
      </c>
      <c r="I737" s="39">
        <v>44419</v>
      </c>
      <c r="J737" s="39">
        <v>44439</v>
      </c>
      <c r="K737" s="24">
        <f t="shared" si="50"/>
        <v>21</v>
      </c>
      <c r="L737" s="24">
        <f t="shared" si="51"/>
        <v>5188</v>
      </c>
      <c r="M737" s="24">
        <v>18035040</v>
      </c>
    </row>
    <row r="738" spans="1:13" s="5" customFormat="1" outlineLevel="2">
      <c r="A738" s="39" t="s">
        <v>270</v>
      </c>
      <c r="B738" s="40" t="s">
        <v>334</v>
      </c>
      <c r="C738" s="41" t="s">
        <v>252</v>
      </c>
      <c r="D738" s="40" t="s">
        <v>253</v>
      </c>
      <c r="E738" s="24">
        <v>54300000</v>
      </c>
      <c r="F738" s="39">
        <v>44414</v>
      </c>
      <c r="G738" s="24">
        <v>54300000</v>
      </c>
      <c r="H738" s="23">
        <v>5.0000000000000001E-3</v>
      </c>
      <c r="I738" s="39">
        <v>44414</v>
      </c>
      <c r="J738" s="39">
        <v>44439</v>
      </c>
      <c r="K738" s="24">
        <f t="shared" si="50"/>
        <v>26</v>
      </c>
      <c r="L738" s="24">
        <f t="shared" si="51"/>
        <v>19340</v>
      </c>
      <c r="M738" s="24">
        <v>54300000</v>
      </c>
    </row>
    <row r="739" spans="1:13" s="5" customFormat="1" outlineLevel="2">
      <c r="A739" s="39" t="s">
        <v>270</v>
      </c>
      <c r="B739" s="40" t="s">
        <v>333</v>
      </c>
      <c r="C739" s="41" t="s">
        <v>143</v>
      </c>
      <c r="D739" s="40" t="s">
        <v>144</v>
      </c>
      <c r="E739" s="24">
        <v>10000000</v>
      </c>
      <c r="F739" s="39">
        <v>44410</v>
      </c>
      <c r="G739" s="24">
        <v>10000000</v>
      </c>
      <c r="H739" s="23">
        <v>5.0000000000000001E-3</v>
      </c>
      <c r="I739" s="39">
        <v>44410</v>
      </c>
      <c r="J739" s="39">
        <v>44439</v>
      </c>
      <c r="K739" s="24">
        <f t="shared" si="50"/>
        <v>30</v>
      </c>
      <c r="L739" s="24">
        <f t="shared" si="51"/>
        <v>4110</v>
      </c>
      <c r="M739" s="24">
        <v>10000000</v>
      </c>
    </row>
    <row r="740" spans="1:13" s="5" customFormat="1" outlineLevel="2">
      <c r="A740" s="39" t="s">
        <v>270</v>
      </c>
      <c r="B740" s="40" t="s">
        <v>332</v>
      </c>
      <c r="C740" s="41" t="s">
        <v>143</v>
      </c>
      <c r="D740" s="40" t="s">
        <v>144</v>
      </c>
      <c r="E740" s="24">
        <v>5990000</v>
      </c>
      <c r="F740" s="39">
        <v>44439</v>
      </c>
      <c r="G740" s="24">
        <v>5990000</v>
      </c>
      <c r="H740" s="23">
        <v>5.0000000000000001E-3</v>
      </c>
      <c r="I740" s="39">
        <v>44439</v>
      </c>
      <c r="J740" s="39">
        <v>44439</v>
      </c>
      <c r="K740" s="24">
        <f t="shared" si="50"/>
        <v>1</v>
      </c>
      <c r="L740" s="24">
        <f t="shared" si="51"/>
        <v>82</v>
      </c>
      <c r="M740" s="24">
        <v>5990000</v>
      </c>
    </row>
    <row r="741" spans="1:13" s="5" customFormat="1" outlineLevel="2">
      <c r="A741" s="39" t="s">
        <v>270</v>
      </c>
      <c r="B741" s="40" t="s">
        <v>331</v>
      </c>
      <c r="C741" s="41" t="s">
        <v>273</v>
      </c>
      <c r="D741" s="40" t="s">
        <v>272</v>
      </c>
      <c r="E741" s="24">
        <v>10700000</v>
      </c>
      <c r="F741" s="39">
        <v>44413</v>
      </c>
      <c r="G741" s="24">
        <v>10700000</v>
      </c>
      <c r="H741" s="23">
        <v>5.0000000000000001E-3</v>
      </c>
      <c r="I741" s="39">
        <v>44413</v>
      </c>
      <c r="J741" s="39">
        <v>44439</v>
      </c>
      <c r="K741" s="24">
        <f t="shared" si="50"/>
        <v>27</v>
      </c>
      <c r="L741" s="24">
        <f t="shared" si="51"/>
        <v>3958</v>
      </c>
      <c r="M741" s="24">
        <v>10700000</v>
      </c>
    </row>
    <row r="742" spans="1:13" s="5" customFormat="1" outlineLevel="2">
      <c r="A742" s="39" t="s">
        <v>270</v>
      </c>
      <c r="B742" s="40" t="s">
        <v>330</v>
      </c>
      <c r="C742" s="41" t="s">
        <v>273</v>
      </c>
      <c r="D742" s="40" t="s">
        <v>272</v>
      </c>
      <c r="E742" s="24">
        <v>11600000</v>
      </c>
      <c r="F742" s="39">
        <v>44413</v>
      </c>
      <c r="G742" s="24">
        <v>11600000</v>
      </c>
      <c r="H742" s="23">
        <v>5.0000000000000001E-3</v>
      </c>
      <c r="I742" s="39">
        <v>44413</v>
      </c>
      <c r="J742" s="39">
        <v>44439</v>
      </c>
      <c r="K742" s="24">
        <f t="shared" ref="K742:K773" si="52">J742-I742+1</f>
        <v>27</v>
      </c>
      <c r="L742" s="24">
        <f t="shared" ref="L742:L773" si="53">ROUND(G742*H742*K742/365,0)</f>
        <v>4290</v>
      </c>
      <c r="M742" s="24">
        <v>11600000</v>
      </c>
    </row>
    <row r="743" spans="1:13" s="5" customFormat="1" outlineLevel="2">
      <c r="A743" s="39" t="s">
        <v>270</v>
      </c>
      <c r="B743" s="40" t="s">
        <v>329</v>
      </c>
      <c r="C743" s="41" t="s">
        <v>273</v>
      </c>
      <c r="D743" s="40" t="s">
        <v>272</v>
      </c>
      <c r="E743" s="24">
        <v>4400000</v>
      </c>
      <c r="F743" s="39">
        <v>44413</v>
      </c>
      <c r="G743" s="24">
        <v>4400000</v>
      </c>
      <c r="H743" s="23">
        <v>5.0000000000000001E-3</v>
      </c>
      <c r="I743" s="39">
        <v>44413</v>
      </c>
      <c r="J743" s="39">
        <v>44439</v>
      </c>
      <c r="K743" s="24">
        <f t="shared" si="52"/>
        <v>27</v>
      </c>
      <c r="L743" s="24">
        <f t="shared" si="53"/>
        <v>1627</v>
      </c>
      <c r="M743" s="24">
        <v>4400000</v>
      </c>
    </row>
    <row r="744" spans="1:13" s="5" customFormat="1" outlineLevel="2">
      <c r="A744" s="39" t="s">
        <v>270</v>
      </c>
      <c r="B744" s="40" t="s">
        <v>26</v>
      </c>
      <c r="C744" s="41" t="s">
        <v>274</v>
      </c>
      <c r="D744" s="40" t="s">
        <v>275</v>
      </c>
      <c r="E744" s="24">
        <v>7270080</v>
      </c>
      <c r="F744" s="39">
        <v>43901</v>
      </c>
      <c r="G744" s="24">
        <v>7270080</v>
      </c>
      <c r="H744" s="23">
        <v>5.0000000000000001E-3</v>
      </c>
      <c r="I744" s="39">
        <v>44409</v>
      </c>
      <c r="J744" s="39">
        <v>44439</v>
      </c>
      <c r="K744" s="24">
        <f t="shared" si="52"/>
        <v>31</v>
      </c>
      <c r="L744" s="24">
        <f t="shared" si="53"/>
        <v>3087</v>
      </c>
      <c r="M744" s="24">
        <v>7270080</v>
      </c>
    </row>
    <row r="745" spans="1:13" s="5" customFormat="1" outlineLevel="2">
      <c r="A745" s="39" t="s">
        <v>270</v>
      </c>
      <c r="B745" s="40" t="s">
        <v>328</v>
      </c>
      <c r="C745" s="41" t="s">
        <v>363</v>
      </c>
      <c r="D745" s="40" t="s">
        <v>362</v>
      </c>
      <c r="E745" s="24">
        <v>5700000</v>
      </c>
      <c r="F745" s="39">
        <v>44438</v>
      </c>
      <c r="G745" s="24">
        <v>5700000</v>
      </c>
      <c r="H745" s="23">
        <v>5.0000000000000001E-3</v>
      </c>
      <c r="I745" s="39">
        <v>44438</v>
      </c>
      <c r="J745" s="39">
        <v>44439</v>
      </c>
      <c r="K745" s="24">
        <f t="shared" si="52"/>
        <v>2</v>
      </c>
      <c r="L745" s="24">
        <f t="shared" si="53"/>
        <v>156</v>
      </c>
      <c r="M745" s="24">
        <v>5700000</v>
      </c>
    </row>
    <row r="746" spans="1:13" s="5" customFormat="1" outlineLevel="2">
      <c r="A746" s="39" t="s">
        <v>270</v>
      </c>
      <c r="B746" s="40" t="s">
        <v>29</v>
      </c>
      <c r="C746" s="41" t="s">
        <v>273</v>
      </c>
      <c r="D746" s="40" t="s">
        <v>272</v>
      </c>
      <c r="E746" s="24">
        <v>99400000</v>
      </c>
      <c r="F746" s="39">
        <v>43917</v>
      </c>
      <c r="G746" s="24">
        <v>99400000</v>
      </c>
      <c r="H746" s="23">
        <v>5.0000000000000001E-3</v>
      </c>
      <c r="I746" s="39">
        <v>44409</v>
      </c>
      <c r="J746" s="39">
        <v>44439</v>
      </c>
      <c r="K746" s="24">
        <f t="shared" si="52"/>
        <v>31</v>
      </c>
      <c r="L746" s="24">
        <f t="shared" si="53"/>
        <v>42211</v>
      </c>
      <c r="M746" s="24">
        <v>99400000</v>
      </c>
    </row>
    <row r="747" spans="1:13" s="5" customFormat="1" outlineLevel="2">
      <c r="A747" s="39" t="s">
        <v>270</v>
      </c>
      <c r="B747" s="40" t="s">
        <v>32</v>
      </c>
      <c r="C747" s="41" t="s">
        <v>274</v>
      </c>
      <c r="D747" s="40" t="s">
        <v>275</v>
      </c>
      <c r="E747" s="24">
        <v>9087600</v>
      </c>
      <c r="F747" s="39">
        <v>43929</v>
      </c>
      <c r="G747" s="24">
        <v>9087600</v>
      </c>
      <c r="H747" s="23">
        <v>5.0000000000000001E-3</v>
      </c>
      <c r="I747" s="39">
        <v>44409</v>
      </c>
      <c r="J747" s="39">
        <v>44439</v>
      </c>
      <c r="K747" s="24">
        <f t="shared" si="52"/>
        <v>31</v>
      </c>
      <c r="L747" s="24">
        <f t="shared" si="53"/>
        <v>3859</v>
      </c>
      <c r="M747" s="24">
        <v>9087600</v>
      </c>
    </row>
    <row r="748" spans="1:13" s="5" customFormat="1" outlineLevel="2">
      <c r="A748" s="39" t="s">
        <v>270</v>
      </c>
      <c r="B748" s="40" t="s">
        <v>33</v>
      </c>
      <c r="C748" s="41" t="s">
        <v>274</v>
      </c>
      <c r="D748" s="40" t="s">
        <v>275</v>
      </c>
      <c r="E748" s="24">
        <v>13007640</v>
      </c>
      <c r="F748" s="39">
        <v>43929</v>
      </c>
      <c r="G748" s="24">
        <v>13007640</v>
      </c>
      <c r="H748" s="23">
        <v>5.0000000000000001E-3</v>
      </c>
      <c r="I748" s="39">
        <v>44409</v>
      </c>
      <c r="J748" s="39">
        <v>44439</v>
      </c>
      <c r="K748" s="24">
        <f t="shared" si="52"/>
        <v>31</v>
      </c>
      <c r="L748" s="24">
        <f t="shared" si="53"/>
        <v>5524</v>
      </c>
      <c r="M748" s="24">
        <v>13007640</v>
      </c>
    </row>
    <row r="749" spans="1:13" s="5" customFormat="1" outlineLevel="2">
      <c r="A749" s="39" t="s">
        <v>270</v>
      </c>
      <c r="B749" s="40" t="s">
        <v>34</v>
      </c>
      <c r="C749" s="41" t="s">
        <v>276</v>
      </c>
      <c r="D749" s="40" t="s">
        <v>277</v>
      </c>
      <c r="E749" s="24">
        <v>61668037</v>
      </c>
      <c r="F749" s="39">
        <v>43949</v>
      </c>
      <c r="G749" s="24">
        <v>61668037</v>
      </c>
      <c r="H749" s="23">
        <v>5.0000000000000001E-3</v>
      </c>
      <c r="I749" s="39">
        <v>44409</v>
      </c>
      <c r="J749" s="39">
        <v>44439</v>
      </c>
      <c r="K749" s="24">
        <f t="shared" si="52"/>
        <v>31</v>
      </c>
      <c r="L749" s="24">
        <f t="shared" si="53"/>
        <v>26188</v>
      </c>
      <c r="M749" s="24">
        <v>61668037</v>
      </c>
    </row>
    <row r="750" spans="1:13" s="5" customFormat="1" outlineLevel="2">
      <c r="A750" s="39" t="s">
        <v>270</v>
      </c>
      <c r="B750" s="40" t="s">
        <v>35</v>
      </c>
      <c r="C750" s="41" t="s">
        <v>274</v>
      </c>
      <c r="D750" s="40" t="s">
        <v>275</v>
      </c>
      <c r="E750" s="24">
        <v>13007640</v>
      </c>
      <c r="F750" s="39">
        <v>43964</v>
      </c>
      <c r="G750" s="24">
        <v>13007640</v>
      </c>
      <c r="H750" s="23">
        <v>5.0000000000000001E-3</v>
      </c>
      <c r="I750" s="39">
        <v>44409</v>
      </c>
      <c r="J750" s="39">
        <v>44439</v>
      </c>
      <c r="K750" s="24">
        <f t="shared" si="52"/>
        <v>31</v>
      </c>
      <c r="L750" s="24">
        <f t="shared" si="53"/>
        <v>5524</v>
      </c>
      <c r="M750" s="24">
        <v>13007640</v>
      </c>
    </row>
    <row r="751" spans="1:13" s="5" customFormat="1" outlineLevel="2">
      <c r="A751" s="39" t="s">
        <v>270</v>
      </c>
      <c r="B751" s="40" t="s">
        <v>36</v>
      </c>
      <c r="C751" s="41" t="s">
        <v>274</v>
      </c>
      <c r="D751" s="40" t="s">
        <v>275</v>
      </c>
      <c r="E751" s="24">
        <v>6361320</v>
      </c>
      <c r="F751" s="39">
        <v>43964</v>
      </c>
      <c r="G751" s="24">
        <v>6361320</v>
      </c>
      <c r="H751" s="23">
        <v>5.0000000000000001E-3</v>
      </c>
      <c r="I751" s="39">
        <v>44409</v>
      </c>
      <c r="J751" s="39">
        <v>44439</v>
      </c>
      <c r="K751" s="24">
        <f t="shared" si="52"/>
        <v>31</v>
      </c>
      <c r="L751" s="24">
        <f t="shared" si="53"/>
        <v>2701</v>
      </c>
      <c r="M751" s="24">
        <v>6361320</v>
      </c>
    </row>
    <row r="752" spans="1:13" s="5" customFormat="1" outlineLevel="2">
      <c r="A752" s="39" t="s">
        <v>270</v>
      </c>
      <c r="B752" s="40" t="s">
        <v>39</v>
      </c>
      <c r="C752" s="41" t="s">
        <v>274</v>
      </c>
      <c r="D752" s="40" t="s">
        <v>275</v>
      </c>
      <c r="E752" s="24">
        <v>5452560</v>
      </c>
      <c r="F752" s="39">
        <v>43810</v>
      </c>
      <c r="G752" s="24">
        <v>5452560</v>
      </c>
      <c r="H752" s="23">
        <v>5.0000000000000001E-3</v>
      </c>
      <c r="I752" s="39">
        <v>44409</v>
      </c>
      <c r="J752" s="39">
        <v>44439</v>
      </c>
      <c r="K752" s="24">
        <f t="shared" si="52"/>
        <v>31</v>
      </c>
      <c r="L752" s="24">
        <f t="shared" si="53"/>
        <v>2315</v>
      </c>
      <c r="M752" s="24">
        <v>5452560</v>
      </c>
    </row>
    <row r="753" spans="1:13" s="5" customFormat="1" outlineLevel="2">
      <c r="A753" s="39" t="s">
        <v>270</v>
      </c>
      <c r="B753" s="40" t="s">
        <v>40</v>
      </c>
      <c r="C753" s="41" t="s">
        <v>273</v>
      </c>
      <c r="D753" s="40" t="s">
        <v>272</v>
      </c>
      <c r="E753" s="24">
        <v>69800000</v>
      </c>
      <c r="F753" s="39">
        <v>43956</v>
      </c>
      <c r="G753" s="24">
        <v>69800000</v>
      </c>
      <c r="H753" s="23">
        <v>5.0000000000000001E-3</v>
      </c>
      <c r="I753" s="39">
        <v>44409</v>
      </c>
      <c r="J753" s="39">
        <v>44439</v>
      </c>
      <c r="K753" s="24">
        <f t="shared" si="52"/>
        <v>31</v>
      </c>
      <c r="L753" s="24">
        <f t="shared" si="53"/>
        <v>29641</v>
      </c>
      <c r="M753" s="24">
        <v>69800000</v>
      </c>
    </row>
    <row r="754" spans="1:13" s="5" customFormat="1" outlineLevel="2">
      <c r="A754" s="39" t="s">
        <v>270</v>
      </c>
      <c r="B754" s="40" t="s">
        <v>41</v>
      </c>
      <c r="C754" s="41" t="s">
        <v>273</v>
      </c>
      <c r="D754" s="40" t="s">
        <v>272</v>
      </c>
      <c r="E754" s="24">
        <v>1500000</v>
      </c>
      <c r="F754" s="39">
        <v>43956</v>
      </c>
      <c r="G754" s="24">
        <v>1500000</v>
      </c>
      <c r="H754" s="23">
        <v>5.0000000000000001E-3</v>
      </c>
      <c r="I754" s="39">
        <v>44409</v>
      </c>
      <c r="J754" s="39">
        <v>44439</v>
      </c>
      <c r="K754" s="24">
        <f t="shared" si="52"/>
        <v>31</v>
      </c>
      <c r="L754" s="24">
        <f t="shared" si="53"/>
        <v>637</v>
      </c>
      <c r="M754" s="24">
        <v>1500000</v>
      </c>
    </row>
    <row r="755" spans="1:13" s="5" customFormat="1" outlineLevel="2">
      <c r="A755" s="39" t="s">
        <v>270</v>
      </c>
      <c r="B755" s="40" t="s">
        <v>42</v>
      </c>
      <c r="C755" s="41" t="s">
        <v>30</v>
      </c>
      <c r="D755" s="40" t="s">
        <v>31</v>
      </c>
      <c r="E755" s="24">
        <v>50000000</v>
      </c>
      <c r="F755" s="39">
        <v>43976</v>
      </c>
      <c r="G755" s="24">
        <v>50000000</v>
      </c>
      <c r="H755" s="23">
        <v>5.0000000000000001E-3</v>
      </c>
      <c r="I755" s="39">
        <v>44409</v>
      </c>
      <c r="J755" s="39">
        <v>44439</v>
      </c>
      <c r="K755" s="24">
        <f t="shared" si="52"/>
        <v>31</v>
      </c>
      <c r="L755" s="24">
        <f t="shared" si="53"/>
        <v>21233</v>
      </c>
      <c r="M755" s="24">
        <v>50000000</v>
      </c>
    </row>
    <row r="756" spans="1:13" s="5" customFormat="1" outlineLevel="2">
      <c r="A756" s="39" t="s">
        <v>270</v>
      </c>
      <c r="B756" s="40" t="s">
        <v>43</v>
      </c>
      <c r="C756" s="41" t="s">
        <v>274</v>
      </c>
      <c r="D756" s="40" t="s">
        <v>275</v>
      </c>
      <c r="E756" s="24">
        <v>6657720</v>
      </c>
      <c r="F756" s="39">
        <v>43992</v>
      </c>
      <c r="G756" s="24">
        <v>6657720</v>
      </c>
      <c r="H756" s="23">
        <v>5.0000000000000001E-3</v>
      </c>
      <c r="I756" s="39">
        <v>44409</v>
      </c>
      <c r="J756" s="39">
        <v>44439</v>
      </c>
      <c r="K756" s="24">
        <f t="shared" si="52"/>
        <v>31</v>
      </c>
      <c r="L756" s="24">
        <f t="shared" si="53"/>
        <v>2827</v>
      </c>
      <c r="M756" s="24">
        <v>6657720</v>
      </c>
    </row>
    <row r="757" spans="1:13" s="5" customFormat="1" outlineLevel="2">
      <c r="A757" s="39" t="s">
        <v>270</v>
      </c>
      <c r="B757" s="40" t="s">
        <v>44</v>
      </c>
      <c r="C757" s="41" t="s">
        <v>274</v>
      </c>
      <c r="D757" s="40" t="s">
        <v>275</v>
      </c>
      <c r="E757" s="24">
        <v>6361320</v>
      </c>
      <c r="F757" s="39">
        <v>43992</v>
      </c>
      <c r="G757" s="24">
        <v>6361320</v>
      </c>
      <c r="H757" s="23">
        <v>5.0000000000000001E-3</v>
      </c>
      <c r="I757" s="39">
        <v>44409</v>
      </c>
      <c r="J757" s="39">
        <v>44439</v>
      </c>
      <c r="K757" s="24">
        <f t="shared" si="52"/>
        <v>31</v>
      </c>
      <c r="L757" s="24">
        <f t="shared" si="53"/>
        <v>2701</v>
      </c>
      <c r="M757" s="24">
        <v>6361320</v>
      </c>
    </row>
    <row r="758" spans="1:13" s="5" customFormat="1" outlineLevel="2">
      <c r="A758" s="39" t="s">
        <v>270</v>
      </c>
      <c r="B758" s="40" t="s">
        <v>47</v>
      </c>
      <c r="C758" s="41" t="s">
        <v>273</v>
      </c>
      <c r="D758" s="40" t="s">
        <v>272</v>
      </c>
      <c r="E758" s="24">
        <v>41200000</v>
      </c>
      <c r="F758" s="39">
        <v>43987</v>
      </c>
      <c r="G758" s="24">
        <v>41200000</v>
      </c>
      <c r="H758" s="23">
        <v>5.0000000000000001E-3</v>
      </c>
      <c r="I758" s="39">
        <v>44409</v>
      </c>
      <c r="J758" s="39">
        <v>44439</v>
      </c>
      <c r="K758" s="24">
        <f t="shared" si="52"/>
        <v>31</v>
      </c>
      <c r="L758" s="24">
        <f t="shared" si="53"/>
        <v>17496</v>
      </c>
      <c r="M758" s="24">
        <v>41200000</v>
      </c>
    </row>
    <row r="759" spans="1:13" s="5" customFormat="1" outlineLevel="2">
      <c r="A759" s="39" t="s">
        <v>270</v>
      </c>
      <c r="B759" s="40" t="s">
        <v>50</v>
      </c>
      <c r="C759" s="41" t="s">
        <v>274</v>
      </c>
      <c r="D759" s="40" t="s">
        <v>275</v>
      </c>
      <c r="E759" s="24">
        <v>6657720</v>
      </c>
      <c r="F759" s="39">
        <v>44020</v>
      </c>
      <c r="G759" s="24">
        <v>6657720</v>
      </c>
      <c r="H759" s="23">
        <v>5.0000000000000001E-3</v>
      </c>
      <c r="I759" s="39">
        <v>44409</v>
      </c>
      <c r="J759" s="39">
        <v>44439</v>
      </c>
      <c r="K759" s="24">
        <f t="shared" si="52"/>
        <v>31</v>
      </c>
      <c r="L759" s="24">
        <f t="shared" si="53"/>
        <v>2827</v>
      </c>
      <c r="M759" s="24">
        <v>6657720</v>
      </c>
    </row>
    <row r="760" spans="1:13" s="5" customFormat="1" outlineLevel="2">
      <c r="A760" s="39" t="s">
        <v>270</v>
      </c>
      <c r="B760" s="40" t="s">
        <v>51</v>
      </c>
      <c r="C760" s="41" t="s">
        <v>274</v>
      </c>
      <c r="D760" s="40" t="s">
        <v>275</v>
      </c>
      <c r="E760" s="24">
        <v>6657720</v>
      </c>
      <c r="F760" s="39">
        <v>44020</v>
      </c>
      <c r="G760" s="24">
        <v>6657720</v>
      </c>
      <c r="H760" s="23">
        <v>5.0000000000000001E-3</v>
      </c>
      <c r="I760" s="39">
        <v>44409</v>
      </c>
      <c r="J760" s="39">
        <v>44439</v>
      </c>
      <c r="K760" s="24">
        <f t="shared" si="52"/>
        <v>31</v>
      </c>
      <c r="L760" s="24">
        <f t="shared" si="53"/>
        <v>2827</v>
      </c>
      <c r="M760" s="24">
        <v>6657720</v>
      </c>
    </row>
    <row r="761" spans="1:13" s="5" customFormat="1" outlineLevel="2">
      <c r="A761" s="39" t="s">
        <v>270</v>
      </c>
      <c r="B761" s="40" t="s">
        <v>52</v>
      </c>
      <c r="C761" s="41" t="s">
        <v>273</v>
      </c>
      <c r="D761" s="40" t="s">
        <v>272</v>
      </c>
      <c r="E761" s="24">
        <v>11800000</v>
      </c>
      <c r="F761" s="39">
        <v>44015</v>
      </c>
      <c r="G761" s="24">
        <v>11800000</v>
      </c>
      <c r="H761" s="23">
        <v>5.0000000000000001E-3</v>
      </c>
      <c r="I761" s="39">
        <v>44409</v>
      </c>
      <c r="J761" s="39">
        <v>44439</v>
      </c>
      <c r="K761" s="24">
        <f t="shared" si="52"/>
        <v>31</v>
      </c>
      <c r="L761" s="24">
        <f t="shared" si="53"/>
        <v>5011</v>
      </c>
      <c r="M761" s="24">
        <v>11800000</v>
      </c>
    </row>
    <row r="762" spans="1:13" s="5" customFormat="1" outlineLevel="2">
      <c r="A762" s="39" t="s">
        <v>270</v>
      </c>
      <c r="B762" s="40" t="s">
        <v>53</v>
      </c>
      <c r="C762" s="41" t="s">
        <v>273</v>
      </c>
      <c r="D762" s="40" t="s">
        <v>272</v>
      </c>
      <c r="E762" s="24">
        <v>2600000</v>
      </c>
      <c r="F762" s="39">
        <v>44015</v>
      </c>
      <c r="G762" s="24">
        <v>2600000</v>
      </c>
      <c r="H762" s="23">
        <v>5.0000000000000001E-3</v>
      </c>
      <c r="I762" s="39">
        <v>44409</v>
      </c>
      <c r="J762" s="39">
        <v>44439</v>
      </c>
      <c r="K762" s="24">
        <f t="shared" si="52"/>
        <v>31</v>
      </c>
      <c r="L762" s="24">
        <f t="shared" si="53"/>
        <v>1104</v>
      </c>
      <c r="M762" s="24">
        <v>2600000</v>
      </c>
    </row>
    <row r="763" spans="1:13" s="5" customFormat="1" outlineLevel="2">
      <c r="A763" s="39" t="s">
        <v>270</v>
      </c>
      <c r="B763" s="40" t="s">
        <v>54</v>
      </c>
      <c r="C763" s="41" t="s">
        <v>278</v>
      </c>
      <c r="D763" s="40" t="s">
        <v>279</v>
      </c>
      <c r="E763" s="24">
        <v>220000000</v>
      </c>
      <c r="F763" s="39">
        <v>43815</v>
      </c>
      <c r="G763" s="24">
        <v>220000000</v>
      </c>
      <c r="H763" s="23">
        <v>5.0000000000000001E-3</v>
      </c>
      <c r="I763" s="39">
        <v>44409</v>
      </c>
      <c r="J763" s="39">
        <v>44439</v>
      </c>
      <c r="K763" s="24">
        <f t="shared" si="52"/>
        <v>31</v>
      </c>
      <c r="L763" s="24">
        <f t="shared" si="53"/>
        <v>93425</v>
      </c>
      <c r="M763" s="24">
        <v>220000000</v>
      </c>
    </row>
    <row r="764" spans="1:13" s="5" customFormat="1" outlineLevel="2">
      <c r="A764" s="39" t="s">
        <v>270</v>
      </c>
      <c r="B764" s="40" t="s">
        <v>57</v>
      </c>
      <c r="C764" s="41" t="s">
        <v>143</v>
      </c>
      <c r="D764" s="40" t="s">
        <v>144</v>
      </c>
      <c r="E764" s="24">
        <v>10400000</v>
      </c>
      <c r="F764" s="39">
        <v>44033</v>
      </c>
      <c r="G764" s="24">
        <v>10400000</v>
      </c>
      <c r="H764" s="23">
        <v>5.0000000000000001E-3</v>
      </c>
      <c r="I764" s="39">
        <v>44409</v>
      </c>
      <c r="J764" s="39">
        <v>44439</v>
      </c>
      <c r="K764" s="24">
        <f t="shared" si="52"/>
        <v>31</v>
      </c>
      <c r="L764" s="24">
        <f t="shared" si="53"/>
        <v>4416</v>
      </c>
      <c r="M764" s="24">
        <v>10400000</v>
      </c>
    </row>
    <row r="765" spans="1:13" s="5" customFormat="1" outlineLevel="2">
      <c r="A765" s="39" t="s">
        <v>270</v>
      </c>
      <c r="B765" s="40" t="s">
        <v>58</v>
      </c>
      <c r="C765" s="41" t="s">
        <v>97</v>
      </c>
      <c r="D765" s="40" t="s">
        <v>98</v>
      </c>
      <c r="E765" s="24">
        <v>28200000</v>
      </c>
      <c r="F765" s="39">
        <v>44027</v>
      </c>
      <c r="G765" s="24">
        <v>28200000</v>
      </c>
      <c r="H765" s="23">
        <v>5.0000000000000001E-3</v>
      </c>
      <c r="I765" s="39">
        <v>44409</v>
      </c>
      <c r="J765" s="39">
        <v>44439</v>
      </c>
      <c r="K765" s="24">
        <f t="shared" si="52"/>
        <v>31</v>
      </c>
      <c r="L765" s="24">
        <f t="shared" si="53"/>
        <v>11975</v>
      </c>
      <c r="M765" s="24">
        <v>28200000</v>
      </c>
    </row>
    <row r="766" spans="1:13" s="5" customFormat="1" outlineLevel="2">
      <c r="A766" s="39" t="s">
        <v>270</v>
      </c>
      <c r="B766" s="40" t="s">
        <v>99</v>
      </c>
      <c r="C766" s="41" t="s">
        <v>274</v>
      </c>
      <c r="D766" s="40" t="s">
        <v>275</v>
      </c>
      <c r="E766" s="24">
        <v>6657720</v>
      </c>
      <c r="F766" s="39">
        <v>44055</v>
      </c>
      <c r="G766" s="24">
        <v>6657720</v>
      </c>
      <c r="H766" s="23">
        <v>5.0000000000000001E-3</v>
      </c>
      <c r="I766" s="39">
        <v>44409</v>
      </c>
      <c r="J766" s="39">
        <v>44439</v>
      </c>
      <c r="K766" s="24">
        <f t="shared" si="52"/>
        <v>31</v>
      </c>
      <c r="L766" s="24">
        <f t="shared" si="53"/>
        <v>2827</v>
      </c>
      <c r="M766" s="24">
        <v>6657720</v>
      </c>
    </row>
    <row r="767" spans="1:13" s="5" customFormat="1" outlineLevel="2">
      <c r="A767" s="39" t="s">
        <v>270</v>
      </c>
      <c r="B767" s="40" t="s">
        <v>100</v>
      </c>
      <c r="C767" s="41" t="s">
        <v>274</v>
      </c>
      <c r="D767" s="40" t="s">
        <v>275</v>
      </c>
      <c r="E767" s="24">
        <v>6714720</v>
      </c>
      <c r="F767" s="39">
        <v>44055</v>
      </c>
      <c r="G767" s="24">
        <v>6714720</v>
      </c>
      <c r="H767" s="23">
        <v>5.0000000000000001E-3</v>
      </c>
      <c r="I767" s="39">
        <v>44409</v>
      </c>
      <c r="J767" s="39">
        <v>44439</v>
      </c>
      <c r="K767" s="24">
        <f t="shared" si="52"/>
        <v>31</v>
      </c>
      <c r="L767" s="24">
        <f t="shared" si="53"/>
        <v>2851</v>
      </c>
      <c r="M767" s="24">
        <v>6714720</v>
      </c>
    </row>
    <row r="768" spans="1:13" s="5" customFormat="1" outlineLevel="2">
      <c r="A768" s="39" t="s">
        <v>270</v>
      </c>
      <c r="B768" s="40" t="s">
        <v>101</v>
      </c>
      <c r="C768" s="41" t="s">
        <v>273</v>
      </c>
      <c r="D768" s="40" t="s">
        <v>272</v>
      </c>
      <c r="E768" s="24">
        <v>47630000</v>
      </c>
      <c r="F768" s="39">
        <v>44048</v>
      </c>
      <c r="G768" s="24">
        <v>47630000</v>
      </c>
      <c r="H768" s="23">
        <v>5.0000000000000001E-3</v>
      </c>
      <c r="I768" s="39">
        <v>44409</v>
      </c>
      <c r="J768" s="39">
        <v>44439</v>
      </c>
      <c r="K768" s="24">
        <f t="shared" si="52"/>
        <v>31</v>
      </c>
      <c r="L768" s="24">
        <f t="shared" si="53"/>
        <v>20226</v>
      </c>
      <c r="M768" s="24">
        <v>47630000</v>
      </c>
    </row>
    <row r="769" spans="1:13" s="5" customFormat="1" outlineLevel="2">
      <c r="A769" s="39" t="s">
        <v>270</v>
      </c>
      <c r="B769" s="40" t="s">
        <v>102</v>
      </c>
      <c r="C769" s="41" t="s">
        <v>273</v>
      </c>
      <c r="D769" s="40" t="s">
        <v>272</v>
      </c>
      <c r="E769" s="24">
        <v>1970000</v>
      </c>
      <c r="F769" s="39">
        <v>44048</v>
      </c>
      <c r="G769" s="24">
        <v>1970000</v>
      </c>
      <c r="H769" s="23">
        <v>5.0000000000000001E-3</v>
      </c>
      <c r="I769" s="39">
        <v>44409</v>
      </c>
      <c r="J769" s="39">
        <v>44439</v>
      </c>
      <c r="K769" s="24">
        <f t="shared" si="52"/>
        <v>31</v>
      </c>
      <c r="L769" s="24">
        <f t="shared" si="53"/>
        <v>837</v>
      </c>
      <c r="M769" s="24">
        <v>1970000</v>
      </c>
    </row>
    <row r="770" spans="1:13" s="5" customFormat="1" outlineLevel="2">
      <c r="A770" s="39" t="s">
        <v>270</v>
      </c>
      <c r="B770" s="40" t="s">
        <v>103</v>
      </c>
      <c r="C770" s="41" t="s">
        <v>252</v>
      </c>
      <c r="D770" s="40" t="s">
        <v>253</v>
      </c>
      <c r="E770" s="24">
        <v>27700000</v>
      </c>
      <c r="F770" s="39">
        <v>44071</v>
      </c>
      <c r="G770" s="24">
        <v>27700000</v>
      </c>
      <c r="H770" s="23">
        <v>5.0000000000000001E-3</v>
      </c>
      <c r="I770" s="39">
        <v>44409</v>
      </c>
      <c r="J770" s="39">
        <v>44439</v>
      </c>
      <c r="K770" s="24">
        <f t="shared" si="52"/>
        <v>31</v>
      </c>
      <c r="L770" s="24">
        <f t="shared" si="53"/>
        <v>11763</v>
      </c>
      <c r="M770" s="24">
        <v>27700000</v>
      </c>
    </row>
    <row r="771" spans="1:13" s="5" customFormat="1" outlineLevel="2">
      <c r="A771" s="39" t="s">
        <v>270</v>
      </c>
      <c r="B771" s="40" t="s">
        <v>104</v>
      </c>
      <c r="C771" s="41" t="s">
        <v>274</v>
      </c>
      <c r="D771" s="40" t="s">
        <v>275</v>
      </c>
      <c r="E771" s="24">
        <v>6714720</v>
      </c>
      <c r="F771" s="39">
        <v>44083</v>
      </c>
      <c r="G771" s="24">
        <v>6714720</v>
      </c>
      <c r="H771" s="23">
        <v>5.0000000000000001E-3</v>
      </c>
      <c r="I771" s="39">
        <v>44409</v>
      </c>
      <c r="J771" s="39">
        <v>44439</v>
      </c>
      <c r="K771" s="24">
        <f t="shared" si="52"/>
        <v>31</v>
      </c>
      <c r="L771" s="24">
        <f t="shared" si="53"/>
        <v>2851</v>
      </c>
      <c r="M771" s="24">
        <v>6714720</v>
      </c>
    </row>
    <row r="772" spans="1:13" s="5" customFormat="1" outlineLevel="2">
      <c r="A772" s="39" t="s">
        <v>270</v>
      </c>
      <c r="B772" s="40" t="s">
        <v>105</v>
      </c>
      <c r="C772" s="41" t="s">
        <v>274</v>
      </c>
      <c r="D772" s="40" t="s">
        <v>275</v>
      </c>
      <c r="E772" s="24">
        <v>5805960</v>
      </c>
      <c r="F772" s="39">
        <v>44083</v>
      </c>
      <c r="G772" s="24">
        <v>5805960</v>
      </c>
      <c r="H772" s="23">
        <v>5.0000000000000001E-3</v>
      </c>
      <c r="I772" s="39">
        <v>44409</v>
      </c>
      <c r="J772" s="39">
        <v>44439</v>
      </c>
      <c r="K772" s="24">
        <f t="shared" si="52"/>
        <v>31</v>
      </c>
      <c r="L772" s="24">
        <f t="shared" si="53"/>
        <v>2466</v>
      </c>
      <c r="M772" s="24">
        <v>5805960</v>
      </c>
    </row>
    <row r="773" spans="1:13" s="5" customFormat="1" outlineLevel="2">
      <c r="A773" s="39" t="s">
        <v>270</v>
      </c>
      <c r="B773" s="40" t="s">
        <v>106</v>
      </c>
      <c r="C773" s="41" t="s">
        <v>273</v>
      </c>
      <c r="D773" s="40" t="s">
        <v>272</v>
      </c>
      <c r="E773" s="24">
        <v>19100000</v>
      </c>
      <c r="F773" s="39">
        <v>44078</v>
      </c>
      <c r="G773" s="24">
        <v>19100000</v>
      </c>
      <c r="H773" s="23">
        <v>5.0000000000000001E-3</v>
      </c>
      <c r="I773" s="39">
        <v>44409</v>
      </c>
      <c r="J773" s="39">
        <v>44439</v>
      </c>
      <c r="K773" s="24">
        <f t="shared" si="52"/>
        <v>31</v>
      </c>
      <c r="L773" s="24">
        <f t="shared" si="53"/>
        <v>8111</v>
      </c>
      <c r="M773" s="24">
        <v>19100000</v>
      </c>
    </row>
    <row r="774" spans="1:13" s="5" customFormat="1" outlineLevel="2">
      <c r="A774" s="39" t="s">
        <v>270</v>
      </c>
      <c r="B774" s="40" t="s">
        <v>59</v>
      </c>
      <c r="C774" s="41" t="s">
        <v>274</v>
      </c>
      <c r="D774" s="40" t="s">
        <v>275</v>
      </c>
      <c r="E774" s="24">
        <v>5452560</v>
      </c>
      <c r="F774" s="39">
        <v>43838</v>
      </c>
      <c r="G774" s="24">
        <v>5452560</v>
      </c>
      <c r="H774" s="23">
        <v>5.0000000000000001E-3</v>
      </c>
      <c r="I774" s="39">
        <v>44409</v>
      </c>
      <c r="J774" s="39">
        <v>44439</v>
      </c>
      <c r="K774" s="24">
        <f t="shared" ref="K774:K805" si="54">J774-I774+1</f>
        <v>31</v>
      </c>
      <c r="L774" s="24">
        <f t="shared" ref="L774:L805" si="55">ROUND(G774*H774*K774/365,0)</f>
        <v>2315</v>
      </c>
      <c r="M774" s="24">
        <v>5452560</v>
      </c>
    </row>
    <row r="775" spans="1:13" s="5" customFormat="1" outlineLevel="2">
      <c r="A775" s="39" t="s">
        <v>270</v>
      </c>
      <c r="B775" s="40" t="s">
        <v>136</v>
      </c>
      <c r="C775" s="41" t="s">
        <v>30</v>
      </c>
      <c r="D775" s="40" t="s">
        <v>31</v>
      </c>
      <c r="E775" s="24">
        <v>31000000</v>
      </c>
      <c r="F775" s="39">
        <v>44102</v>
      </c>
      <c r="G775" s="24">
        <v>31000000</v>
      </c>
      <c r="H775" s="23">
        <v>5.0000000000000001E-3</v>
      </c>
      <c r="I775" s="39">
        <v>44409</v>
      </c>
      <c r="J775" s="39">
        <v>44439</v>
      </c>
      <c r="K775" s="24">
        <f t="shared" si="54"/>
        <v>31</v>
      </c>
      <c r="L775" s="24">
        <f t="shared" si="55"/>
        <v>13164</v>
      </c>
      <c r="M775" s="24">
        <v>31000000</v>
      </c>
    </row>
    <row r="776" spans="1:13" s="5" customFormat="1" outlineLevel="2">
      <c r="A776" s="39" t="s">
        <v>270</v>
      </c>
      <c r="B776" s="40" t="s">
        <v>137</v>
      </c>
      <c r="C776" s="41" t="s">
        <v>143</v>
      </c>
      <c r="D776" s="40" t="s">
        <v>144</v>
      </c>
      <c r="E776" s="24">
        <v>10700000</v>
      </c>
      <c r="F776" s="39">
        <v>44104</v>
      </c>
      <c r="G776" s="24">
        <v>10700000</v>
      </c>
      <c r="H776" s="23">
        <v>5.0000000000000001E-3</v>
      </c>
      <c r="I776" s="39">
        <v>44409</v>
      </c>
      <c r="J776" s="39">
        <v>44439</v>
      </c>
      <c r="K776" s="24">
        <f t="shared" si="54"/>
        <v>31</v>
      </c>
      <c r="L776" s="24">
        <f t="shared" si="55"/>
        <v>4544</v>
      </c>
      <c r="M776" s="24">
        <v>10700000</v>
      </c>
    </row>
    <row r="777" spans="1:13" s="5" customFormat="1" outlineLevel="2">
      <c r="A777" s="39" t="s">
        <v>270</v>
      </c>
      <c r="B777" s="40" t="s">
        <v>138</v>
      </c>
      <c r="C777" s="41" t="s">
        <v>280</v>
      </c>
      <c r="D777" s="40" t="s">
        <v>281</v>
      </c>
      <c r="E777" s="24">
        <v>1000000000</v>
      </c>
      <c r="F777" s="39">
        <v>44102</v>
      </c>
      <c r="G777" s="24">
        <v>1000000000</v>
      </c>
      <c r="H777" s="23">
        <v>5.0000000000000001E-3</v>
      </c>
      <c r="I777" s="39">
        <v>44409</v>
      </c>
      <c r="J777" s="39">
        <v>44439</v>
      </c>
      <c r="K777" s="24">
        <f t="shared" si="54"/>
        <v>31</v>
      </c>
      <c r="L777" s="24">
        <f t="shared" si="55"/>
        <v>424658</v>
      </c>
      <c r="M777" s="24">
        <v>1000000000</v>
      </c>
    </row>
    <row r="778" spans="1:13" s="5" customFormat="1" outlineLevel="2">
      <c r="A778" s="39" t="s">
        <v>270</v>
      </c>
      <c r="B778" s="40" t="s">
        <v>139</v>
      </c>
      <c r="C778" s="41" t="s">
        <v>274</v>
      </c>
      <c r="D778" s="40" t="s">
        <v>275</v>
      </c>
      <c r="E778" s="24">
        <v>5805960</v>
      </c>
      <c r="F778" s="39">
        <v>44111</v>
      </c>
      <c r="G778" s="24">
        <v>5805960</v>
      </c>
      <c r="H778" s="23">
        <v>5.0000000000000001E-3</v>
      </c>
      <c r="I778" s="39">
        <v>44409</v>
      </c>
      <c r="J778" s="39">
        <v>44439</v>
      </c>
      <c r="K778" s="24">
        <f t="shared" si="54"/>
        <v>31</v>
      </c>
      <c r="L778" s="24">
        <f t="shared" si="55"/>
        <v>2466</v>
      </c>
      <c r="M778" s="24">
        <v>5805960</v>
      </c>
    </row>
    <row r="779" spans="1:13" s="5" customFormat="1" outlineLevel="2">
      <c r="A779" s="39" t="s">
        <v>270</v>
      </c>
      <c r="B779" s="40" t="s">
        <v>140</v>
      </c>
      <c r="C779" s="41" t="s">
        <v>274</v>
      </c>
      <c r="D779" s="40" t="s">
        <v>275</v>
      </c>
      <c r="E779" s="24">
        <v>5805960</v>
      </c>
      <c r="F779" s="39">
        <v>44111</v>
      </c>
      <c r="G779" s="24">
        <v>5805960</v>
      </c>
      <c r="H779" s="23">
        <v>5.0000000000000001E-3</v>
      </c>
      <c r="I779" s="39">
        <v>44409</v>
      </c>
      <c r="J779" s="39">
        <v>44439</v>
      </c>
      <c r="K779" s="24">
        <f t="shared" si="54"/>
        <v>31</v>
      </c>
      <c r="L779" s="24">
        <f t="shared" si="55"/>
        <v>2466</v>
      </c>
      <c r="M779" s="24">
        <v>5805960</v>
      </c>
    </row>
    <row r="780" spans="1:13" s="5" customFormat="1" outlineLevel="2">
      <c r="A780" s="39" t="s">
        <v>270</v>
      </c>
      <c r="B780" s="40" t="s">
        <v>169</v>
      </c>
      <c r="C780" s="41" t="s">
        <v>273</v>
      </c>
      <c r="D780" s="40" t="s">
        <v>272</v>
      </c>
      <c r="E780" s="24">
        <v>18400000</v>
      </c>
      <c r="F780" s="39">
        <v>44109</v>
      </c>
      <c r="G780" s="24">
        <v>18400000</v>
      </c>
      <c r="H780" s="23">
        <v>5.0000000000000001E-3</v>
      </c>
      <c r="I780" s="39">
        <v>44409</v>
      </c>
      <c r="J780" s="39">
        <v>44439</v>
      </c>
      <c r="K780" s="24">
        <f t="shared" si="54"/>
        <v>31</v>
      </c>
      <c r="L780" s="24">
        <f t="shared" si="55"/>
        <v>7814</v>
      </c>
      <c r="M780" s="24">
        <v>18400000</v>
      </c>
    </row>
    <row r="781" spans="1:13" s="5" customFormat="1" outlineLevel="2">
      <c r="A781" s="39" t="s">
        <v>270</v>
      </c>
      <c r="B781" s="40" t="s">
        <v>170</v>
      </c>
      <c r="C781" s="41" t="s">
        <v>273</v>
      </c>
      <c r="D781" s="40" t="s">
        <v>272</v>
      </c>
      <c r="E781" s="24">
        <v>1500000</v>
      </c>
      <c r="F781" s="39">
        <v>44109</v>
      </c>
      <c r="G781" s="24">
        <v>1500000</v>
      </c>
      <c r="H781" s="23">
        <v>5.0000000000000001E-3</v>
      </c>
      <c r="I781" s="39">
        <v>44409</v>
      </c>
      <c r="J781" s="39">
        <v>44439</v>
      </c>
      <c r="K781" s="24">
        <f t="shared" si="54"/>
        <v>31</v>
      </c>
      <c r="L781" s="24">
        <f t="shared" si="55"/>
        <v>637</v>
      </c>
      <c r="M781" s="24">
        <v>1500000</v>
      </c>
    </row>
    <row r="782" spans="1:13" s="5" customFormat="1" outlineLevel="2">
      <c r="A782" s="39" t="s">
        <v>270</v>
      </c>
      <c r="B782" s="40" t="s">
        <v>171</v>
      </c>
      <c r="C782" s="41" t="s">
        <v>125</v>
      </c>
      <c r="D782" s="40" t="s">
        <v>126</v>
      </c>
      <c r="E782" s="24">
        <v>3480000</v>
      </c>
      <c r="F782" s="39">
        <v>44125</v>
      </c>
      <c r="G782" s="24">
        <v>3480000</v>
      </c>
      <c r="H782" s="23">
        <v>5.0000000000000001E-3</v>
      </c>
      <c r="I782" s="39">
        <v>44409</v>
      </c>
      <c r="J782" s="39">
        <v>44439</v>
      </c>
      <c r="K782" s="24">
        <f t="shared" si="54"/>
        <v>31</v>
      </c>
      <c r="L782" s="24">
        <f t="shared" si="55"/>
        <v>1478</v>
      </c>
      <c r="M782" s="24">
        <v>3480000</v>
      </c>
    </row>
    <row r="783" spans="1:13" s="5" customFormat="1" outlineLevel="2">
      <c r="A783" s="39" t="s">
        <v>270</v>
      </c>
      <c r="B783" s="40" t="s">
        <v>172</v>
      </c>
      <c r="C783" s="41" t="s">
        <v>276</v>
      </c>
      <c r="D783" s="40" t="s">
        <v>277</v>
      </c>
      <c r="E783" s="24">
        <v>32000000</v>
      </c>
      <c r="F783" s="39">
        <v>44133</v>
      </c>
      <c r="G783" s="24">
        <v>32000000</v>
      </c>
      <c r="H783" s="23">
        <v>5.0000000000000001E-3</v>
      </c>
      <c r="I783" s="39">
        <v>44409</v>
      </c>
      <c r="J783" s="39">
        <v>44439</v>
      </c>
      <c r="K783" s="24">
        <f t="shared" si="54"/>
        <v>31</v>
      </c>
      <c r="L783" s="24">
        <f t="shared" si="55"/>
        <v>13589</v>
      </c>
      <c r="M783" s="24">
        <v>32000000</v>
      </c>
    </row>
    <row r="784" spans="1:13" s="5" customFormat="1" outlineLevel="2">
      <c r="A784" s="39" t="s">
        <v>270</v>
      </c>
      <c r="B784" s="40" t="s">
        <v>173</v>
      </c>
      <c r="C784" s="41" t="s">
        <v>274</v>
      </c>
      <c r="D784" s="40" t="s">
        <v>275</v>
      </c>
      <c r="E784" s="24">
        <v>5805960</v>
      </c>
      <c r="F784" s="39">
        <v>44146</v>
      </c>
      <c r="G784" s="24">
        <v>5805960</v>
      </c>
      <c r="H784" s="23">
        <v>5.0000000000000001E-3</v>
      </c>
      <c r="I784" s="39">
        <v>44409</v>
      </c>
      <c r="J784" s="39">
        <v>44439</v>
      </c>
      <c r="K784" s="24">
        <f t="shared" si="54"/>
        <v>31</v>
      </c>
      <c r="L784" s="24">
        <f t="shared" si="55"/>
        <v>2466</v>
      </c>
      <c r="M784" s="24">
        <v>5805960</v>
      </c>
    </row>
    <row r="785" spans="1:13" s="5" customFormat="1" outlineLevel="2">
      <c r="A785" s="39" t="s">
        <v>270</v>
      </c>
      <c r="B785" s="40" t="s">
        <v>62</v>
      </c>
      <c r="C785" s="41" t="s">
        <v>274</v>
      </c>
      <c r="D785" s="40" t="s">
        <v>275</v>
      </c>
      <c r="E785" s="24">
        <v>5452560</v>
      </c>
      <c r="F785" s="39">
        <v>43838</v>
      </c>
      <c r="G785" s="24">
        <v>5452560</v>
      </c>
      <c r="H785" s="23">
        <v>5.0000000000000001E-3</v>
      </c>
      <c r="I785" s="39">
        <v>44409</v>
      </c>
      <c r="J785" s="39">
        <v>44439</v>
      </c>
      <c r="K785" s="24">
        <f t="shared" si="54"/>
        <v>31</v>
      </c>
      <c r="L785" s="24">
        <f t="shared" si="55"/>
        <v>2315</v>
      </c>
      <c r="M785" s="24">
        <v>5452560</v>
      </c>
    </row>
    <row r="786" spans="1:13" s="5" customFormat="1" outlineLevel="2">
      <c r="A786" s="39" t="s">
        <v>270</v>
      </c>
      <c r="B786" s="40" t="s">
        <v>174</v>
      </c>
      <c r="C786" s="41" t="s">
        <v>274</v>
      </c>
      <c r="D786" s="40" t="s">
        <v>275</v>
      </c>
      <c r="E786" s="24">
        <v>14338200</v>
      </c>
      <c r="F786" s="39">
        <v>44146</v>
      </c>
      <c r="G786" s="24">
        <v>14338200</v>
      </c>
      <c r="H786" s="23">
        <v>5.0000000000000001E-3</v>
      </c>
      <c r="I786" s="39">
        <v>44409</v>
      </c>
      <c r="J786" s="39">
        <v>44439</v>
      </c>
      <c r="K786" s="24">
        <f t="shared" si="54"/>
        <v>31</v>
      </c>
      <c r="L786" s="24">
        <f t="shared" si="55"/>
        <v>6089</v>
      </c>
      <c r="M786" s="24">
        <v>14338200</v>
      </c>
    </row>
    <row r="787" spans="1:13" s="5" customFormat="1" outlineLevel="2">
      <c r="A787" s="39" t="s">
        <v>270</v>
      </c>
      <c r="B787" s="40" t="s">
        <v>175</v>
      </c>
      <c r="C787" s="41" t="s">
        <v>273</v>
      </c>
      <c r="D787" s="40" t="s">
        <v>272</v>
      </c>
      <c r="E787" s="24">
        <v>31500000</v>
      </c>
      <c r="F787" s="39">
        <v>44140</v>
      </c>
      <c r="G787" s="24">
        <v>31500000</v>
      </c>
      <c r="H787" s="23">
        <v>5.0000000000000001E-3</v>
      </c>
      <c r="I787" s="39">
        <v>44409</v>
      </c>
      <c r="J787" s="39">
        <v>44439</v>
      </c>
      <c r="K787" s="24">
        <f t="shared" si="54"/>
        <v>31</v>
      </c>
      <c r="L787" s="24">
        <f t="shared" si="55"/>
        <v>13377</v>
      </c>
      <c r="M787" s="24">
        <v>31500000</v>
      </c>
    </row>
    <row r="788" spans="1:13" s="5" customFormat="1" outlineLevel="2">
      <c r="A788" s="39" t="s">
        <v>270</v>
      </c>
      <c r="B788" s="40" t="s">
        <v>176</v>
      </c>
      <c r="C788" s="41" t="s">
        <v>125</v>
      </c>
      <c r="D788" s="40" t="s">
        <v>126</v>
      </c>
      <c r="E788" s="24">
        <v>2500000</v>
      </c>
      <c r="F788" s="39">
        <v>44146</v>
      </c>
      <c r="G788" s="24">
        <v>2500000</v>
      </c>
      <c r="H788" s="23">
        <v>5.0000000000000001E-3</v>
      </c>
      <c r="I788" s="39">
        <v>44409</v>
      </c>
      <c r="J788" s="39">
        <v>44439</v>
      </c>
      <c r="K788" s="24">
        <f t="shared" si="54"/>
        <v>31</v>
      </c>
      <c r="L788" s="24">
        <f t="shared" si="55"/>
        <v>1062</v>
      </c>
      <c r="M788" s="24">
        <v>2500000</v>
      </c>
    </row>
    <row r="789" spans="1:13" s="5" customFormat="1" outlineLevel="2">
      <c r="A789" s="39" t="s">
        <v>270</v>
      </c>
      <c r="B789" s="40" t="s">
        <v>177</v>
      </c>
      <c r="C789" s="41" t="s">
        <v>276</v>
      </c>
      <c r="D789" s="40" t="s">
        <v>277</v>
      </c>
      <c r="E789" s="24">
        <v>30000000</v>
      </c>
      <c r="F789" s="39">
        <v>44140</v>
      </c>
      <c r="G789" s="24">
        <v>30000000</v>
      </c>
      <c r="H789" s="23">
        <v>5.0000000000000001E-3</v>
      </c>
      <c r="I789" s="39">
        <v>44409</v>
      </c>
      <c r="J789" s="39">
        <v>44439</v>
      </c>
      <c r="K789" s="24">
        <f t="shared" si="54"/>
        <v>31</v>
      </c>
      <c r="L789" s="24">
        <f t="shared" si="55"/>
        <v>12740</v>
      </c>
      <c r="M789" s="24">
        <v>30000000</v>
      </c>
    </row>
    <row r="790" spans="1:13" s="5" customFormat="1" outlineLevel="2">
      <c r="A790" s="39" t="s">
        <v>270</v>
      </c>
      <c r="B790" s="40" t="s">
        <v>178</v>
      </c>
      <c r="C790" s="41" t="s">
        <v>115</v>
      </c>
      <c r="D790" s="40" t="s">
        <v>116</v>
      </c>
      <c r="E790" s="24">
        <v>6100000</v>
      </c>
      <c r="F790" s="39">
        <v>44138</v>
      </c>
      <c r="G790" s="24">
        <v>6100000</v>
      </c>
      <c r="H790" s="23">
        <v>5.0000000000000001E-3</v>
      </c>
      <c r="I790" s="39">
        <v>44409</v>
      </c>
      <c r="J790" s="39">
        <v>44439</v>
      </c>
      <c r="K790" s="24">
        <f t="shared" si="54"/>
        <v>31</v>
      </c>
      <c r="L790" s="24">
        <f t="shared" si="55"/>
        <v>2590</v>
      </c>
      <c r="M790" s="24">
        <v>6100000</v>
      </c>
    </row>
    <row r="791" spans="1:13" s="5" customFormat="1" outlineLevel="2">
      <c r="A791" s="39" t="s">
        <v>270</v>
      </c>
      <c r="B791" s="40" t="s">
        <v>179</v>
      </c>
      <c r="C791" s="41" t="s">
        <v>278</v>
      </c>
      <c r="D791" s="40" t="s">
        <v>279</v>
      </c>
      <c r="E791" s="24">
        <v>82036355</v>
      </c>
      <c r="F791" s="39">
        <v>44137</v>
      </c>
      <c r="G791" s="24">
        <v>82036355</v>
      </c>
      <c r="H791" s="23">
        <v>5.0000000000000001E-3</v>
      </c>
      <c r="I791" s="39">
        <v>44409</v>
      </c>
      <c r="J791" s="39">
        <v>44439</v>
      </c>
      <c r="K791" s="24">
        <f t="shared" si="54"/>
        <v>31</v>
      </c>
      <c r="L791" s="24">
        <f t="shared" si="55"/>
        <v>34837</v>
      </c>
      <c r="M791" s="24">
        <v>82036355</v>
      </c>
    </row>
    <row r="792" spans="1:13" s="5" customFormat="1" outlineLevel="2">
      <c r="A792" s="39" t="s">
        <v>270</v>
      </c>
      <c r="B792" s="40" t="s">
        <v>180</v>
      </c>
      <c r="C792" s="41" t="s">
        <v>280</v>
      </c>
      <c r="D792" s="40" t="s">
        <v>281</v>
      </c>
      <c r="E792" s="24">
        <v>1000000000</v>
      </c>
      <c r="F792" s="39">
        <v>44162</v>
      </c>
      <c r="G792" s="24">
        <v>1000000000</v>
      </c>
      <c r="H792" s="23">
        <v>5.0000000000000001E-3</v>
      </c>
      <c r="I792" s="39">
        <v>44409</v>
      </c>
      <c r="J792" s="39">
        <v>44439</v>
      </c>
      <c r="K792" s="24">
        <f t="shared" si="54"/>
        <v>31</v>
      </c>
      <c r="L792" s="24">
        <f t="shared" si="55"/>
        <v>424658</v>
      </c>
      <c r="M792" s="24">
        <v>1000000000</v>
      </c>
    </row>
    <row r="793" spans="1:13" s="5" customFormat="1" outlineLevel="2">
      <c r="A793" s="39" t="s">
        <v>270</v>
      </c>
      <c r="B793" s="40" t="s">
        <v>181</v>
      </c>
      <c r="C793" s="41" t="s">
        <v>75</v>
      </c>
      <c r="D793" s="40" t="s">
        <v>76</v>
      </c>
      <c r="E793" s="24">
        <v>47490000</v>
      </c>
      <c r="F793" s="39">
        <v>44137</v>
      </c>
      <c r="G793" s="24">
        <v>47490000</v>
      </c>
      <c r="H793" s="23">
        <v>5.0000000000000001E-3</v>
      </c>
      <c r="I793" s="39">
        <v>44409</v>
      </c>
      <c r="J793" s="39">
        <v>44439</v>
      </c>
      <c r="K793" s="24">
        <f t="shared" si="54"/>
        <v>31</v>
      </c>
      <c r="L793" s="24">
        <f t="shared" si="55"/>
        <v>20167</v>
      </c>
      <c r="M793" s="24">
        <v>47490000</v>
      </c>
    </row>
    <row r="794" spans="1:13" s="5" customFormat="1" outlineLevel="2">
      <c r="A794" s="39" t="s">
        <v>270</v>
      </c>
      <c r="B794" s="40" t="s">
        <v>182</v>
      </c>
      <c r="C794" s="41" t="s">
        <v>143</v>
      </c>
      <c r="D794" s="40" t="s">
        <v>144</v>
      </c>
      <c r="E794" s="24">
        <v>5300000</v>
      </c>
      <c r="F794" s="39">
        <v>44145</v>
      </c>
      <c r="G794" s="24">
        <v>5300000</v>
      </c>
      <c r="H794" s="23">
        <v>5.0000000000000001E-3</v>
      </c>
      <c r="I794" s="39">
        <v>44409</v>
      </c>
      <c r="J794" s="39">
        <v>44439</v>
      </c>
      <c r="K794" s="24">
        <f t="shared" si="54"/>
        <v>31</v>
      </c>
      <c r="L794" s="24">
        <f t="shared" si="55"/>
        <v>2251</v>
      </c>
      <c r="M794" s="24">
        <v>5300000</v>
      </c>
    </row>
    <row r="795" spans="1:13" s="5" customFormat="1" outlineLevel="2">
      <c r="A795" s="39" t="s">
        <v>270</v>
      </c>
      <c r="B795" s="40" t="s">
        <v>183</v>
      </c>
      <c r="C795" s="41" t="s">
        <v>143</v>
      </c>
      <c r="D795" s="40" t="s">
        <v>144</v>
      </c>
      <c r="E795" s="24">
        <v>4130000</v>
      </c>
      <c r="F795" s="39">
        <v>44151</v>
      </c>
      <c r="G795" s="24">
        <v>4130000</v>
      </c>
      <c r="H795" s="23">
        <v>5.0000000000000001E-3</v>
      </c>
      <c r="I795" s="39">
        <v>44409</v>
      </c>
      <c r="J795" s="39">
        <v>44439</v>
      </c>
      <c r="K795" s="24">
        <f t="shared" si="54"/>
        <v>31</v>
      </c>
      <c r="L795" s="24">
        <f t="shared" si="55"/>
        <v>1754</v>
      </c>
      <c r="M795" s="24">
        <v>4130000</v>
      </c>
    </row>
    <row r="796" spans="1:13" s="5" customFormat="1" outlineLevel="2">
      <c r="A796" s="39" t="s">
        <v>270</v>
      </c>
      <c r="B796" s="40" t="s">
        <v>63</v>
      </c>
      <c r="C796" s="41" t="s">
        <v>273</v>
      </c>
      <c r="D796" s="40" t="s">
        <v>272</v>
      </c>
      <c r="E796" s="24">
        <v>55600000</v>
      </c>
      <c r="F796" s="39">
        <v>43833</v>
      </c>
      <c r="G796" s="24">
        <v>55600000</v>
      </c>
      <c r="H796" s="23">
        <v>5.0000000000000001E-3</v>
      </c>
      <c r="I796" s="39">
        <v>44409</v>
      </c>
      <c r="J796" s="39">
        <v>44439</v>
      </c>
      <c r="K796" s="24">
        <f t="shared" si="54"/>
        <v>31</v>
      </c>
      <c r="L796" s="24">
        <f t="shared" si="55"/>
        <v>23611</v>
      </c>
      <c r="M796" s="24">
        <v>55600000</v>
      </c>
    </row>
    <row r="797" spans="1:13" s="5" customFormat="1" outlineLevel="2">
      <c r="A797" s="39" t="s">
        <v>270</v>
      </c>
      <c r="B797" s="40" t="s">
        <v>184</v>
      </c>
      <c r="C797" s="41" t="s">
        <v>143</v>
      </c>
      <c r="D797" s="40" t="s">
        <v>144</v>
      </c>
      <c r="E797" s="24">
        <v>6450000</v>
      </c>
      <c r="F797" s="39">
        <v>44165</v>
      </c>
      <c r="G797" s="24">
        <v>6450000</v>
      </c>
      <c r="H797" s="23">
        <v>5.0000000000000001E-3</v>
      </c>
      <c r="I797" s="39">
        <v>44409</v>
      </c>
      <c r="J797" s="39">
        <v>44439</v>
      </c>
      <c r="K797" s="24">
        <f t="shared" si="54"/>
        <v>31</v>
      </c>
      <c r="L797" s="24">
        <f t="shared" si="55"/>
        <v>2739</v>
      </c>
      <c r="M797" s="24">
        <v>6450000</v>
      </c>
    </row>
    <row r="798" spans="1:13" s="5" customFormat="1" outlineLevel="2">
      <c r="A798" s="39" t="s">
        <v>270</v>
      </c>
      <c r="B798" s="40" t="s">
        <v>185</v>
      </c>
      <c r="C798" s="41" t="s">
        <v>55</v>
      </c>
      <c r="D798" s="40" t="s">
        <v>56</v>
      </c>
      <c r="E798" s="24">
        <v>31466520</v>
      </c>
      <c r="F798" s="39">
        <v>44189</v>
      </c>
      <c r="G798" s="24">
        <v>31466520</v>
      </c>
      <c r="H798" s="23">
        <v>5.0000000000000001E-3</v>
      </c>
      <c r="I798" s="39">
        <v>44409</v>
      </c>
      <c r="J798" s="39">
        <v>44439</v>
      </c>
      <c r="K798" s="24">
        <f t="shared" si="54"/>
        <v>31</v>
      </c>
      <c r="L798" s="24">
        <f t="shared" si="55"/>
        <v>13362</v>
      </c>
      <c r="M798" s="24">
        <v>31466520</v>
      </c>
    </row>
    <row r="799" spans="1:13" s="5" customFormat="1" outlineLevel="2">
      <c r="A799" s="39" t="s">
        <v>270</v>
      </c>
      <c r="B799" s="40" t="s">
        <v>186</v>
      </c>
      <c r="C799" s="41" t="s">
        <v>274</v>
      </c>
      <c r="D799" s="40" t="s">
        <v>275</v>
      </c>
      <c r="E799" s="24">
        <v>14338200</v>
      </c>
      <c r="F799" s="39">
        <v>44174</v>
      </c>
      <c r="G799" s="24">
        <v>14338200</v>
      </c>
      <c r="H799" s="23">
        <v>5.0000000000000001E-3</v>
      </c>
      <c r="I799" s="39">
        <v>44409</v>
      </c>
      <c r="J799" s="39">
        <v>44439</v>
      </c>
      <c r="K799" s="24">
        <f t="shared" si="54"/>
        <v>31</v>
      </c>
      <c r="L799" s="24">
        <f t="shared" si="55"/>
        <v>6089</v>
      </c>
      <c r="M799" s="24">
        <v>14338200</v>
      </c>
    </row>
    <row r="800" spans="1:13" s="5" customFormat="1" outlineLevel="2">
      <c r="A800" s="39" t="s">
        <v>270</v>
      </c>
      <c r="B800" s="40" t="s">
        <v>189</v>
      </c>
      <c r="C800" s="41" t="s">
        <v>274</v>
      </c>
      <c r="D800" s="40" t="s">
        <v>275</v>
      </c>
      <c r="E800" s="24">
        <v>4977000</v>
      </c>
      <c r="F800" s="39">
        <v>44174</v>
      </c>
      <c r="G800" s="24">
        <v>4977000</v>
      </c>
      <c r="H800" s="23">
        <v>5.0000000000000001E-3</v>
      </c>
      <c r="I800" s="39">
        <v>44409</v>
      </c>
      <c r="J800" s="39">
        <v>44439</v>
      </c>
      <c r="K800" s="24">
        <f t="shared" si="54"/>
        <v>31</v>
      </c>
      <c r="L800" s="24">
        <f t="shared" si="55"/>
        <v>2114</v>
      </c>
      <c r="M800" s="24">
        <v>4977000</v>
      </c>
    </row>
    <row r="801" spans="1:13" s="5" customFormat="1" outlineLevel="2">
      <c r="A801" s="39" t="s">
        <v>270</v>
      </c>
      <c r="B801" s="40" t="s">
        <v>190</v>
      </c>
      <c r="C801" s="41" t="s">
        <v>115</v>
      </c>
      <c r="D801" s="40" t="s">
        <v>116</v>
      </c>
      <c r="E801" s="24">
        <v>40000000</v>
      </c>
      <c r="F801" s="39">
        <v>44193</v>
      </c>
      <c r="G801" s="24">
        <v>40000000</v>
      </c>
      <c r="H801" s="23">
        <v>5.0000000000000001E-3</v>
      </c>
      <c r="I801" s="39">
        <v>44409</v>
      </c>
      <c r="J801" s="39">
        <v>44439</v>
      </c>
      <c r="K801" s="24">
        <f t="shared" si="54"/>
        <v>31</v>
      </c>
      <c r="L801" s="24">
        <f t="shared" si="55"/>
        <v>16986</v>
      </c>
      <c r="M801" s="24">
        <v>40000000</v>
      </c>
    </row>
    <row r="802" spans="1:13" s="5" customFormat="1" outlineLevel="2">
      <c r="A802" s="39" t="s">
        <v>270</v>
      </c>
      <c r="B802" s="40" t="s">
        <v>191</v>
      </c>
      <c r="C802" s="41" t="s">
        <v>143</v>
      </c>
      <c r="D802" s="40" t="s">
        <v>144</v>
      </c>
      <c r="E802" s="24">
        <v>8890000</v>
      </c>
      <c r="F802" s="39">
        <v>44175</v>
      </c>
      <c r="G802" s="24">
        <v>8890000</v>
      </c>
      <c r="H802" s="23">
        <v>5.0000000000000001E-3</v>
      </c>
      <c r="I802" s="39">
        <v>44409</v>
      </c>
      <c r="J802" s="39">
        <v>44439</v>
      </c>
      <c r="K802" s="24">
        <f t="shared" si="54"/>
        <v>31</v>
      </c>
      <c r="L802" s="24">
        <f t="shared" si="55"/>
        <v>3775</v>
      </c>
      <c r="M802" s="24">
        <v>8890000</v>
      </c>
    </row>
    <row r="803" spans="1:13" s="5" customFormat="1" outlineLevel="2">
      <c r="A803" s="39" t="s">
        <v>270</v>
      </c>
      <c r="B803" s="40" t="s">
        <v>192</v>
      </c>
      <c r="C803" s="41" t="s">
        <v>143</v>
      </c>
      <c r="D803" s="40" t="s">
        <v>144</v>
      </c>
      <c r="E803" s="24">
        <v>4020000</v>
      </c>
      <c r="F803" s="39">
        <v>44196</v>
      </c>
      <c r="G803" s="24">
        <v>4020000</v>
      </c>
      <c r="H803" s="23">
        <v>5.0000000000000001E-3</v>
      </c>
      <c r="I803" s="39">
        <v>44409</v>
      </c>
      <c r="J803" s="39">
        <v>44439</v>
      </c>
      <c r="K803" s="24">
        <f t="shared" si="54"/>
        <v>31</v>
      </c>
      <c r="L803" s="24">
        <f t="shared" si="55"/>
        <v>1707</v>
      </c>
      <c r="M803" s="24">
        <v>4020000</v>
      </c>
    </row>
    <row r="804" spans="1:13" s="5" customFormat="1" outlineLevel="2">
      <c r="A804" s="39" t="s">
        <v>270</v>
      </c>
      <c r="B804" s="40" t="s">
        <v>193</v>
      </c>
      <c r="C804" s="41" t="s">
        <v>273</v>
      </c>
      <c r="D804" s="40" t="s">
        <v>272</v>
      </c>
      <c r="E804" s="24">
        <v>86700000</v>
      </c>
      <c r="F804" s="39">
        <v>44169</v>
      </c>
      <c r="G804" s="24">
        <v>86700000</v>
      </c>
      <c r="H804" s="23">
        <v>5.0000000000000001E-3</v>
      </c>
      <c r="I804" s="39">
        <v>44409</v>
      </c>
      <c r="J804" s="39">
        <v>44439</v>
      </c>
      <c r="K804" s="24">
        <f t="shared" si="54"/>
        <v>31</v>
      </c>
      <c r="L804" s="24">
        <f t="shared" si="55"/>
        <v>36818</v>
      </c>
      <c r="M804" s="24">
        <v>86700000</v>
      </c>
    </row>
    <row r="805" spans="1:13" s="5" customFormat="1" outlineLevel="2">
      <c r="A805" s="39" t="s">
        <v>270</v>
      </c>
      <c r="B805" s="40" t="s">
        <v>194</v>
      </c>
      <c r="C805" s="41" t="s">
        <v>274</v>
      </c>
      <c r="D805" s="40" t="s">
        <v>275</v>
      </c>
      <c r="E805" s="24">
        <v>4977000</v>
      </c>
      <c r="F805" s="39">
        <v>44209</v>
      </c>
      <c r="G805" s="24">
        <v>4977000</v>
      </c>
      <c r="H805" s="23">
        <v>5.0000000000000001E-3</v>
      </c>
      <c r="I805" s="39">
        <v>44409</v>
      </c>
      <c r="J805" s="39">
        <v>44439</v>
      </c>
      <c r="K805" s="24">
        <f t="shared" si="54"/>
        <v>31</v>
      </c>
      <c r="L805" s="24">
        <f t="shared" si="55"/>
        <v>2114</v>
      </c>
      <c r="M805" s="24">
        <v>4977000</v>
      </c>
    </row>
    <row r="806" spans="1:13" s="5" customFormat="1" outlineLevel="2">
      <c r="A806" s="39" t="s">
        <v>270</v>
      </c>
      <c r="B806" s="40" t="s">
        <v>195</v>
      </c>
      <c r="C806" s="41" t="s">
        <v>274</v>
      </c>
      <c r="D806" s="40" t="s">
        <v>275</v>
      </c>
      <c r="E806" s="24">
        <v>9862800</v>
      </c>
      <c r="F806" s="39">
        <v>44209</v>
      </c>
      <c r="G806" s="24">
        <v>9862800</v>
      </c>
      <c r="H806" s="23">
        <v>5.0000000000000001E-3</v>
      </c>
      <c r="I806" s="39">
        <v>44409</v>
      </c>
      <c r="J806" s="39">
        <v>44439</v>
      </c>
      <c r="K806" s="24">
        <f t="shared" ref="K806:K837" si="56">J806-I806+1</f>
        <v>31</v>
      </c>
      <c r="L806" s="24">
        <f t="shared" ref="L806:L837" si="57">ROUND(G806*H806*K806/365,0)</f>
        <v>4188</v>
      </c>
      <c r="M806" s="24">
        <v>9862800</v>
      </c>
    </row>
    <row r="807" spans="1:13" s="5" customFormat="1" outlineLevel="2">
      <c r="A807" s="39" t="s">
        <v>270</v>
      </c>
      <c r="B807" s="40" t="s">
        <v>64</v>
      </c>
      <c r="C807" s="41" t="s">
        <v>273</v>
      </c>
      <c r="D807" s="40" t="s">
        <v>272</v>
      </c>
      <c r="E807" s="24">
        <v>28400000</v>
      </c>
      <c r="F807" s="39">
        <v>43833</v>
      </c>
      <c r="G807" s="24">
        <v>28400000</v>
      </c>
      <c r="H807" s="23">
        <v>5.0000000000000001E-3</v>
      </c>
      <c r="I807" s="39">
        <v>44409</v>
      </c>
      <c r="J807" s="39">
        <v>44439</v>
      </c>
      <c r="K807" s="24">
        <f t="shared" si="56"/>
        <v>31</v>
      </c>
      <c r="L807" s="24">
        <f t="shared" si="57"/>
        <v>12060</v>
      </c>
      <c r="M807" s="24">
        <v>28400000</v>
      </c>
    </row>
    <row r="808" spans="1:13" s="5" customFormat="1" outlineLevel="2">
      <c r="A808" s="39" t="s">
        <v>270</v>
      </c>
      <c r="B808" s="40" t="s">
        <v>196</v>
      </c>
      <c r="C808" s="41" t="s">
        <v>143</v>
      </c>
      <c r="D808" s="40" t="s">
        <v>144</v>
      </c>
      <c r="E808" s="24">
        <v>3620000</v>
      </c>
      <c r="F808" s="39">
        <v>44207</v>
      </c>
      <c r="G808" s="24">
        <v>3620000</v>
      </c>
      <c r="H808" s="23">
        <v>5.0000000000000001E-3</v>
      </c>
      <c r="I808" s="39">
        <v>44409</v>
      </c>
      <c r="J808" s="39">
        <v>44439</v>
      </c>
      <c r="K808" s="24">
        <f t="shared" si="56"/>
        <v>31</v>
      </c>
      <c r="L808" s="24">
        <f t="shared" si="57"/>
        <v>1537</v>
      </c>
      <c r="M808" s="24">
        <v>3620000</v>
      </c>
    </row>
    <row r="809" spans="1:13" s="5" customFormat="1" outlineLevel="2">
      <c r="A809" s="39" t="s">
        <v>270</v>
      </c>
      <c r="B809" s="40" t="s">
        <v>197</v>
      </c>
      <c r="C809" s="41" t="s">
        <v>273</v>
      </c>
      <c r="D809" s="40" t="s">
        <v>272</v>
      </c>
      <c r="E809" s="24">
        <v>20600000</v>
      </c>
      <c r="F809" s="39">
        <v>44201</v>
      </c>
      <c r="G809" s="24">
        <v>20600000</v>
      </c>
      <c r="H809" s="23">
        <v>5.0000000000000001E-3</v>
      </c>
      <c r="I809" s="39">
        <v>44409</v>
      </c>
      <c r="J809" s="39">
        <v>44439</v>
      </c>
      <c r="K809" s="24">
        <f t="shared" si="56"/>
        <v>31</v>
      </c>
      <c r="L809" s="24">
        <f t="shared" si="57"/>
        <v>8748</v>
      </c>
      <c r="M809" s="24">
        <v>20600000</v>
      </c>
    </row>
    <row r="810" spans="1:13" s="5" customFormat="1" outlineLevel="2">
      <c r="A810" s="39" t="s">
        <v>270</v>
      </c>
      <c r="B810" s="40" t="s">
        <v>198</v>
      </c>
      <c r="C810" s="41" t="s">
        <v>75</v>
      </c>
      <c r="D810" s="40" t="s">
        <v>76</v>
      </c>
      <c r="E810" s="24">
        <v>53640000</v>
      </c>
      <c r="F810" s="39">
        <v>44203</v>
      </c>
      <c r="G810" s="24">
        <v>53640000</v>
      </c>
      <c r="H810" s="23">
        <v>5.0000000000000001E-3</v>
      </c>
      <c r="I810" s="39">
        <v>44409</v>
      </c>
      <c r="J810" s="39">
        <v>44439</v>
      </c>
      <c r="K810" s="24">
        <f t="shared" si="56"/>
        <v>31</v>
      </c>
      <c r="L810" s="24">
        <f t="shared" si="57"/>
        <v>22779</v>
      </c>
      <c r="M810" s="24">
        <v>53640000</v>
      </c>
    </row>
    <row r="811" spans="1:13" s="5" customFormat="1" outlineLevel="2">
      <c r="A811" s="39" t="s">
        <v>270</v>
      </c>
      <c r="B811" s="40" t="s">
        <v>199</v>
      </c>
      <c r="C811" s="41" t="s">
        <v>302</v>
      </c>
      <c r="D811" s="40" t="s">
        <v>301</v>
      </c>
      <c r="E811" s="24">
        <v>40160000</v>
      </c>
      <c r="F811" s="39">
        <v>44232</v>
      </c>
      <c r="G811" s="24">
        <v>40160000</v>
      </c>
      <c r="H811" s="23">
        <v>5.0000000000000001E-3</v>
      </c>
      <c r="I811" s="39">
        <v>44409</v>
      </c>
      <c r="J811" s="39">
        <v>44439</v>
      </c>
      <c r="K811" s="24">
        <f t="shared" si="56"/>
        <v>31</v>
      </c>
      <c r="L811" s="24">
        <f t="shared" si="57"/>
        <v>17054</v>
      </c>
      <c r="M811" s="24">
        <v>40160000</v>
      </c>
    </row>
    <row r="812" spans="1:13" s="5" customFormat="1" outlineLevel="2">
      <c r="A812" s="39" t="s">
        <v>270</v>
      </c>
      <c r="B812" s="40" t="s">
        <v>200</v>
      </c>
      <c r="C812" s="41" t="s">
        <v>274</v>
      </c>
      <c r="D812" s="40" t="s">
        <v>275</v>
      </c>
      <c r="E812" s="24">
        <v>3655380</v>
      </c>
      <c r="F812" s="39">
        <v>44230</v>
      </c>
      <c r="G812" s="24">
        <v>3655380</v>
      </c>
      <c r="H812" s="23">
        <v>5.0000000000000001E-3</v>
      </c>
      <c r="I812" s="39">
        <v>44409</v>
      </c>
      <c r="J812" s="39">
        <v>44439</v>
      </c>
      <c r="K812" s="24">
        <f t="shared" si="56"/>
        <v>31</v>
      </c>
      <c r="L812" s="24">
        <f t="shared" si="57"/>
        <v>1552</v>
      </c>
      <c r="M812" s="24">
        <v>3655380</v>
      </c>
    </row>
    <row r="813" spans="1:13" s="5" customFormat="1" outlineLevel="2">
      <c r="A813" s="39" t="s">
        <v>270</v>
      </c>
      <c r="B813" s="40" t="s">
        <v>201</v>
      </c>
      <c r="C813" s="41" t="s">
        <v>274</v>
      </c>
      <c r="D813" s="40" t="s">
        <v>275</v>
      </c>
      <c r="E813" s="24">
        <v>9862800</v>
      </c>
      <c r="F813" s="39">
        <v>44230</v>
      </c>
      <c r="G813" s="24">
        <v>9862800</v>
      </c>
      <c r="H813" s="23">
        <v>5.0000000000000001E-3</v>
      </c>
      <c r="I813" s="39">
        <v>44409</v>
      </c>
      <c r="J813" s="39">
        <v>44439</v>
      </c>
      <c r="K813" s="24">
        <f t="shared" si="56"/>
        <v>31</v>
      </c>
      <c r="L813" s="24">
        <f t="shared" si="57"/>
        <v>4188</v>
      </c>
      <c r="M813" s="24">
        <v>9862800</v>
      </c>
    </row>
    <row r="814" spans="1:13" s="5" customFormat="1" outlineLevel="2">
      <c r="A814" s="39" t="s">
        <v>270</v>
      </c>
      <c r="B814" s="40" t="s">
        <v>202</v>
      </c>
      <c r="C814" s="41" t="s">
        <v>125</v>
      </c>
      <c r="D814" s="40" t="s">
        <v>126</v>
      </c>
      <c r="E814" s="24">
        <v>32000000</v>
      </c>
      <c r="F814" s="39">
        <v>44250</v>
      </c>
      <c r="G814" s="24">
        <v>32000000</v>
      </c>
      <c r="H814" s="23">
        <v>5.0000000000000001E-3</v>
      </c>
      <c r="I814" s="39">
        <v>44409</v>
      </c>
      <c r="J814" s="39">
        <v>44439</v>
      </c>
      <c r="K814" s="24">
        <f t="shared" si="56"/>
        <v>31</v>
      </c>
      <c r="L814" s="24">
        <f t="shared" si="57"/>
        <v>13589</v>
      </c>
      <c r="M814" s="24">
        <v>32000000</v>
      </c>
    </row>
    <row r="815" spans="1:13" s="5" customFormat="1" outlineLevel="2">
      <c r="A815" s="39" t="s">
        <v>270</v>
      </c>
      <c r="B815" s="40" t="s">
        <v>203</v>
      </c>
      <c r="C815" s="41" t="s">
        <v>143</v>
      </c>
      <c r="D815" s="40" t="s">
        <v>144</v>
      </c>
      <c r="E815" s="24">
        <v>2390000</v>
      </c>
      <c r="F815" s="39">
        <v>44228</v>
      </c>
      <c r="G815" s="24">
        <v>2390000</v>
      </c>
      <c r="H815" s="23">
        <v>5.0000000000000001E-3</v>
      </c>
      <c r="I815" s="39">
        <v>44409</v>
      </c>
      <c r="J815" s="39">
        <v>44439</v>
      </c>
      <c r="K815" s="24">
        <f t="shared" si="56"/>
        <v>31</v>
      </c>
      <c r="L815" s="24">
        <f t="shared" si="57"/>
        <v>1015</v>
      </c>
      <c r="M815" s="24">
        <v>2390000</v>
      </c>
    </row>
    <row r="816" spans="1:13" s="5" customFormat="1" outlineLevel="2">
      <c r="A816" s="39" t="s">
        <v>270</v>
      </c>
      <c r="B816" s="40" t="s">
        <v>204</v>
      </c>
      <c r="C816" s="41" t="s">
        <v>273</v>
      </c>
      <c r="D816" s="40" t="s">
        <v>272</v>
      </c>
      <c r="E816" s="24">
        <v>43200000</v>
      </c>
      <c r="F816" s="39">
        <v>44232</v>
      </c>
      <c r="G816" s="24">
        <v>43200000</v>
      </c>
      <c r="H816" s="23">
        <v>5.0000000000000001E-3</v>
      </c>
      <c r="I816" s="39">
        <v>44409</v>
      </c>
      <c r="J816" s="39">
        <v>44439</v>
      </c>
      <c r="K816" s="24">
        <f t="shared" si="56"/>
        <v>31</v>
      </c>
      <c r="L816" s="24">
        <f t="shared" si="57"/>
        <v>18345</v>
      </c>
      <c r="M816" s="24">
        <v>43200000</v>
      </c>
    </row>
    <row r="817" spans="1:13" s="5" customFormat="1" outlineLevel="2">
      <c r="A817" s="39" t="s">
        <v>270</v>
      </c>
      <c r="B817" s="40" t="s">
        <v>205</v>
      </c>
      <c r="C817" s="41" t="s">
        <v>273</v>
      </c>
      <c r="D817" s="40" t="s">
        <v>272</v>
      </c>
      <c r="E817" s="24">
        <v>4600000</v>
      </c>
      <c r="F817" s="39">
        <v>44232</v>
      </c>
      <c r="G817" s="24">
        <v>4600000</v>
      </c>
      <c r="H817" s="23">
        <v>5.0000000000000001E-3</v>
      </c>
      <c r="I817" s="39">
        <v>44409</v>
      </c>
      <c r="J817" s="39">
        <v>44439</v>
      </c>
      <c r="K817" s="24">
        <f t="shared" si="56"/>
        <v>31</v>
      </c>
      <c r="L817" s="24">
        <f t="shared" si="57"/>
        <v>1953</v>
      </c>
      <c r="M817" s="24">
        <v>4600000</v>
      </c>
    </row>
    <row r="818" spans="1:13" s="5" customFormat="1" outlineLevel="2">
      <c r="A818" s="39" t="s">
        <v>270</v>
      </c>
      <c r="B818" s="40" t="s">
        <v>65</v>
      </c>
      <c r="C818" s="41" t="s">
        <v>274</v>
      </c>
      <c r="D818" s="40" t="s">
        <v>275</v>
      </c>
      <c r="E818" s="24">
        <v>5452560</v>
      </c>
      <c r="F818" s="39">
        <v>43873</v>
      </c>
      <c r="G818" s="24">
        <v>5452560</v>
      </c>
      <c r="H818" s="23">
        <v>5.0000000000000001E-3</v>
      </c>
      <c r="I818" s="39">
        <v>44409</v>
      </c>
      <c r="J818" s="39">
        <v>44439</v>
      </c>
      <c r="K818" s="24">
        <f t="shared" si="56"/>
        <v>31</v>
      </c>
      <c r="L818" s="24">
        <f t="shared" si="57"/>
        <v>2315</v>
      </c>
      <c r="M818" s="24">
        <v>5452560</v>
      </c>
    </row>
    <row r="819" spans="1:13" s="5" customFormat="1" outlineLevel="2">
      <c r="A819" s="39" t="s">
        <v>270</v>
      </c>
      <c r="B819" s="40" t="s">
        <v>206</v>
      </c>
      <c r="C819" s="41" t="s">
        <v>302</v>
      </c>
      <c r="D819" s="40" t="s">
        <v>301</v>
      </c>
      <c r="E819" s="24">
        <v>40660000</v>
      </c>
      <c r="F819" s="39">
        <v>44272</v>
      </c>
      <c r="G819" s="24">
        <v>40660000</v>
      </c>
      <c r="H819" s="23">
        <v>5.0000000000000001E-3</v>
      </c>
      <c r="I819" s="39">
        <v>44409</v>
      </c>
      <c r="J819" s="39">
        <v>44439</v>
      </c>
      <c r="K819" s="24">
        <f t="shared" si="56"/>
        <v>31</v>
      </c>
      <c r="L819" s="24">
        <f t="shared" si="57"/>
        <v>17267</v>
      </c>
      <c r="M819" s="24">
        <v>40660000</v>
      </c>
    </row>
    <row r="820" spans="1:13" s="5" customFormat="1" outlineLevel="2">
      <c r="A820" s="39" t="s">
        <v>270</v>
      </c>
      <c r="B820" s="40" t="s">
        <v>207</v>
      </c>
      <c r="C820" s="41" t="s">
        <v>322</v>
      </c>
      <c r="D820" s="40" t="s">
        <v>321</v>
      </c>
      <c r="E820" s="24">
        <v>13800000</v>
      </c>
      <c r="F820" s="39">
        <v>44264</v>
      </c>
      <c r="G820" s="24">
        <v>13800000</v>
      </c>
      <c r="H820" s="23">
        <v>5.0000000000000001E-3</v>
      </c>
      <c r="I820" s="39">
        <v>44409</v>
      </c>
      <c r="J820" s="39">
        <v>44439</v>
      </c>
      <c r="K820" s="24">
        <f t="shared" si="56"/>
        <v>31</v>
      </c>
      <c r="L820" s="24">
        <f t="shared" si="57"/>
        <v>5860</v>
      </c>
      <c r="M820" s="24">
        <v>13800000</v>
      </c>
    </row>
    <row r="821" spans="1:13" s="5" customFormat="1" outlineLevel="2">
      <c r="A821" s="39" t="s">
        <v>270</v>
      </c>
      <c r="B821" s="40" t="s">
        <v>208</v>
      </c>
      <c r="C821" s="41" t="s">
        <v>274</v>
      </c>
      <c r="D821" s="40" t="s">
        <v>275</v>
      </c>
      <c r="E821" s="24">
        <v>8641320</v>
      </c>
      <c r="F821" s="39">
        <v>44265</v>
      </c>
      <c r="G821" s="24">
        <v>8641320</v>
      </c>
      <c r="H821" s="23">
        <v>5.0000000000000001E-3</v>
      </c>
      <c r="I821" s="39">
        <v>44409</v>
      </c>
      <c r="J821" s="39">
        <v>44439</v>
      </c>
      <c r="K821" s="24">
        <f t="shared" si="56"/>
        <v>31</v>
      </c>
      <c r="L821" s="24">
        <f t="shared" si="57"/>
        <v>3670</v>
      </c>
      <c r="M821" s="24">
        <v>8641320</v>
      </c>
    </row>
    <row r="822" spans="1:13" s="5" customFormat="1" outlineLevel="2">
      <c r="A822" s="39" t="s">
        <v>270</v>
      </c>
      <c r="B822" s="40" t="s">
        <v>209</v>
      </c>
      <c r="C822" s="41" t="s">
        <v>274</v>
      </c>
      <c r="D822" s="40" t="s">
        <v>275</v>
      </c>
      <c r="E822" s="24">
        <v>3655380</v>
      </c>
      <c r="F822" s="39">
        <v>44265</v>
      </c>
      <c r="G822" s="24">
        <v>3655380</v>
      </c>
      <c r="H822" s="23">
        <v>5.0000000000000001E-3</v>
      </c>
      <c r="I822" s="39">
        <v>44409</v>
      </c>
      <c r="J822" s="39">
        <v>44439</v>
      </c>
      <c r="K822" s="24">
        <f t="shared" si="56"/>
        <v>31</v>
      </c>
      <c r="L822" s="24">
        <f t="shared" si="57"/>
        <v>1552</v>
      </c>
      <c r="M822" s="24">
        <v>3655380</v>
      </c>
    </row>
    <row r="823" spans="1:13" s="5" customFormat="1" outlineLevel="2">
      <c r="A823" s="39" t="s">
        <v>270</v>
      </c>
      <c r="B823" s="40" t="s">
        <v>210</v>
      </c>
      <c r="C823" s="41" t="s">
        <v>274</v>
      </c>
      <c r="D823" s="40" t="s">
        <v>275</v>
      </c>
      <c r="E823" s="24">
        <v>13280000</v>
      </c>
      <c r="F823" s="39">
        <v>44272</v>
      </c>
      <c r="G823" s="24">
        <v>13280000</v>
      </c>
      <c r="H823" s="23">
        <v>5.0000000000000001E-3</v>
      </c>
      <c r="I823" s="39">
        <v>44409</v>
      </c>
      <c r="J823" s="39">
        <v>44439</v>
      </c>
      <c r="K823" s="24">
        <f t="shared" si="56"/>
        <v>31</v>
      </c>
      <c r="L823" s="24">
        <f t="shared" si="57"/>
        <v>5639</v>
      </c>
      <c r="M823" s="24">
        <v>13280000</v>
      </c>
    </row>
    <row r="824" spans="1:13" s="5" customFormat="1" outlineLevel="2">
      <c r="A824" s="39" t="s">
        <v>270</v>
      </c>
      <c r="B824" s="40" t="s">
        <v>211</v>
      </c>
      <c r="C824" s="41" t="s">
        <v>115</v>
      </c>
      <c r="D824" s="40" t="s">
        <v>116</v>
      </c>
      <c r="E824" s="24">
        <v>47000000</v>
      </c>
      <c r="F824" s="39">
        <v>44284</v>
      </c>
      <c r="G824" s="24">
        <v>47000000</v>
      </c>
      <c r="H824" s="23">
        <v>5.0000000000000001E-3</v>
      </c>
      <c r="I824" s="39">
        <v>44409</v>
      </c>
      <c r="J824" s="39">
        <v>44439</v>
      </c>
      <c r="K824" s="24">
        <f t="shared" si="56"/>
        <v>31</v>
      </c>
      <c r="L824" s="24">
        <f t="shared" si="57"/>
        <v>19959</v>
      </c>
      <c r="M824" s="24">
        <v>47000000</v>
      </c>
    </row>
    <row r="825" spans="1:13" s="5" customFormat="1" outlineLevel="2">
      <c r="A825" s="39" t="s">
        <v>270</v>
      </c>
      <c r="B825" s="40" t="s">
        <v>212</v>
      </c>
      <c r="C825" s="41" t="s">
        <v>143</v>
      </c>
      <c r="D825" s="40" t="s">
        <v>144</v>
      </c>
      <c r="E825" s="24">
        <v>5840000</v>
      </c>
      <c r="F825" s="39">
        <v>44257</v>
      </c>
      <c r="G825" s="24">
        <v>5840000</v>
      </c>
      <c r="H825" s="23">
        <v>5.0000000000000001E-3</v>
      </c>
      <c r="I825" s="39">
        <v>44409</v>
      </c>
      <c r="J825" s="39">
        <v>44439</v>
      </c>
      <c r="K825" s="24">
        <f t="shared" si="56"/>
        <v>31</v>
      </c>
      <c r="L825" s="24">
        <f t="shared" si="57"/>
        <v>2480</v>
      </c>
      <c r="M825" s="24">
        <v>5840000</v>
      </c>
    </row>
    <row r="826" spans="1:13" s="5" customFormat="1" outlineLevel="2">
      <c r="A826" s="39" t="s">
        <v>270</v>
      </c>
      <c r="B826" s="40" t="s">
        <v>213</v>
      </c>
      <c r="C826" s="41" t="s">
        <v>143</v>
      </c>
      <c r="D826" s="40" t="s">
        <v>144</v>
      </c>
      <c r="E826" s="24">
        <v>3570000</v>
      </c>
      <c r="F826" s="39">
        <v>44286</v>
      </c>
      <c r="G826" s="24">
        <v>3570000</v>
      </c>
      <c r="H826" s="23">
        <v>5.0000000000000001E-3</v>
      </c>
      <c r="I826" s="39">
        <v>44409</v>
      </c>
      <c r="J826" s="39">
        <v>44439</v>
      </c>
      <c r="K826" s="24">
        <f t="shared" si="56"/>
        <v>31</v>
      </c>
      <c r="L826" s="24">
        <f t="shared" si="57"/>
        <v>1516</v>
      </c>
      <c r="M826" s="24">
        <v>3570000</v>
      </c>
    </row>
    <row r="827" spans="1:13" s="5" customFormat="1" outlineLevel="2">
      <c r="A827" s="39" t="s">
        <v>270</v>
      </c>
      <c r="B827" s="40" t="s">
        <v>214</v>
      </c>
      <c r="C827" s="41" t="s">
        <v>273</v>
      </c>
      <c r="D827" s="40" t="s">
        <v>272</v>
      </c>
      <c r="E827" s="24">
        <v>63400000</v>
      </c>
      <c r="F827" s="39">
        <v>44260</v>
      </c>
      <c r="G827" s="24">
        <v>63400000</v>
      </c>
      <c r="H827" s="23">
        <v>5.0000000000000001E-3</v>
      </c>
      <c r="I827" s="39">
        <v>44409</v>
      </c>
      <c r="J827" s="39">
        <v>44439</v>
      </c>
      <c r="K827" s="24">
        <f t="shared" si="56"/>
        <v>31</v>
      </c>
      <c r="L827" s="24">
        <f t="shared" si="57"/>
        <v>26923</v>
      </c>
      <c r="M827" s="24">
        <v>63400000</v>
      </c>
    </row>
    <row r="828" spans="1:13" s="5" customFormat="1" outlineLevel="2">
      <c r="A828" s="39" t="s">
        <v>270</v>
      </c>
      <c r="B828" s="40" t="s">
        <v>215</v>
      </c>
      <c r="C828" s="41" t="s">
        <v>273</v>
      </c>
      <c r="D828" s="40" t="s">
        <v>272</v>
      </c>
      <c r="E828" s="24">
        <v>2800000</v>
      </c>
      <c r="F828" s="39">
        <v>44260</v>
      </c>
      <c r="G828" s="24">
        <v>2800000</v>
      </c>
      <c r="H828" s="23">
        <v>5.0000000000000001E-3</v>
      </c>
      <c r="I828" s="39">
        <v>44409</v>
      </c>
      <c r="J828" s="39">
        <v>44439</v>
      </c>
      <c r="K828" s="24">
        <f t="shared" si="56"/>
        <v>31</v>
      </c>
      <c r="L828" s="24">
        <f t="shared" si="57"/>
        <v>1189</v>
      </c>
      <c r="M828" s="24">
        <v>2800000</v>
      </c>
    </row>
    <row r="829" spans="1:13" s="5" customFormat="1" outlineLevel="2">
      <c r="A829" s="39" t="s">
        <v>270</v>
      </c>
      <c r="B829" s="40" t="s">
        <v>68</v>
      </c>
      <c r="C829" s="41" t="s">
        <v>274</v>
      </c>
      <c r="D829" s="40" t="s">
        <v>275</v>
      </c>
      <c r="E829" s="24">
        <v>7270080</v>
      </c>
      <c r="F829" s="39">
        <v>43873</v>
      </c>
      <c r="G829" s="24">
        <v>7270080</v>
      </c>
      <c r="H829" s="23">
        <v>5.0000000000000001E-3</v>
      </c>
      <c r="I829" s="39">
        <v>44409</v>
      </c>
      <c r="J829" s="39">
        <v>44439</v>
      </c>
      <c r="K829" s="24">
        <f t="shared" si="56"/>
        <v>31</v>
      </c>
      <c r="L829" s="24">
        <f t="shared" si="57"/>
        <v>3087</v>
      </c>
      <c r="M829" s="24">
        <v>7270080</v>
      </c>
    </row>
    <row r="830" spans="1:13" s="5" customFormat="1" outlineLevel="2">
      <c r="A830" s="39" t="s">
        <v>270</v>
      </c>
      <c r="B830" s="40" t="s">
        <v>216</v>
      </c>
      <c r="C830" s="41" t="s">
        <v>75</v>
      </c>
      <c r="D830" s="40" t="s">
        <v>76</v>
      </c>
      <c r="E830" s="24">
        <v>48420000</v>
      </c>
      <c r="F830" s="39">
        <v>44280</v>
      </c>
      <c r="G830" s="24">
        <v>48420000</v>
      </c>
      <c r="H830" s="23">
        <v>5.0000000000000001E-3</v>
      </c>
      <c r="I830" s="39">
        <v>44409</v>
      </c>
      <c r="J830" s="39">
        <v>44439</v>
      </c>
      <c r="K830" s="24">
        <f t="shared" si="56"/>
        <v>31</v>
      </c>
      <c r="L830" s="24">
        <f t="shared" si="57"/>
        <v>20562</v>
      </c>
      <c r="M830" s="24">
        <v>48420000</v>
      </c>
    </row>
    <row r="831" spans="1:13" s="5" customFormat="1" outlineLevel="2">
      <c r="A831" s="39" t="s">
        <v>270</v>
      </c>
      <c r="B831" s="40" t="s">
        <v>217</v>
      </c>
      <c r="C831" s="41" t="s">
        <v>274</v>
      </c>
      <c r="D831" s="40" t="s">
        <v>275</v>
      </c>
      <c r="E831" s="24">
        <v>8641320</v>
      </c>
      <c r="F831" s="39">
        <v>44293</v>
      </c>
      <c r="G831" s="24">
        <v>8641320</v>
      </c>
      <c r="H831" s="23">
        <v>5.0000000000000001E-3</v>
      </c>
      <c r="I831" s="39">
        <v>44409</v>
      </c>
      <c r="J831" s="39">
        <v>44439</v>
      </c>
      <c r="K831" s="24">
        <f t="shared" si="56"/>
        <v>31</v>
      </c>
      <c r="L831" s="24">
        <f t="shared" si="57"/>
        <v>3670</v>
      </c>
      <c r="M831" s="24">
        <v>8641320</v>
      </c>
    </row>
    <row r="832" spans="1:13" s="5" customFormat="1" outlineLevel="2">
      <c r="A832" s="39" t="s">
        <v>270</v>
      </c>
      <c r="B832" s="40" t="s">
        <v>218</v>
      </c>
      <c r="C832" s="41" t="s">
        <v>274</v>
      </c>
      <c r="D832" s="40" t="s">
        <v>275</v>
      </c>
      <c r="E832" s="24">
        <v>10475040</v>
      </c>
      <c r="F832" s="39">
        <v>44293</v>
      </c>
      <c r="G832" s="24">
        <v>10475040</v>
      </c>
      <c r="H832" s="23">
        <v>5.0000000000000001E-3</v>
      </c>
      <c r="I832" s="39">
        <v>44409</v>
      </c>
      <c r="J832" s="39">
        <v>44439</v>
      </c>
      <c r="K832" s="24">
        <f t="shared" si="56"/>
        <v>31</v>
      </c>
      <c r="L832" s="24">
        <f t="shared" si="57"/>
        <v>4448</v>
      </c>
      <c r="M832" s="24">
        <v>10475040</v>
      </c>
    </row>
    <row r="833" spans="1:13" s="5" customFormat="1" outlineLevel="2">
      <c r="A833" s="39" t="s">
        <v>270</v>
      </c>
      <c r="B833" s="40" t="s">
        <v>221</v>
      </c>
      <c r="C833" s="41" t="s">
        <v>143</v>
      </c>
      <c r="D833" s="40" t="s">
        <v>144</v>
      </c>
      <c r="E833" s="24">
        <v>2890000</v>
      </c>
      <c r="F833" s="39">
        <v>44298</v>
      </c>
      <c r="G833" s="24">
        <v>2890000</v>
      </c>
      <c r="H833" s="23">
        <v>5.0000000000000001E-3</v>
      </c>
      <c r="I833" s="39">
        <v>44409</v>
      </c>
      <c r="J833" s="39">
        <v>44439</v>
      </c>
      <c r="K833" s="24">
        <f t="shared" si="56"/>
        <v>31</v>
      </c>
      <c r="L833" s="24">
        <f t="shared" si="57"/>
        <v>1227</v>
      </c>
      <c r="M833" s="24">
        <v>2890000</v>
      </c>
    </row>
    <row r="834" spans="1:13" s="5" customFormat="1" outlineLevel="2">
      <c r="A834" s="39" t="s">
        <v>270</v>
      </c>
      <c r="B834" s="40" t="s">
        <v>222</v>
      </c>
      <c r="C834" s="41" t="s">
        <v>273</v>
      </c>
      <c r="D834" s="40" t="s">
        <v>272</v>
      </c>
      <c r="E834" s="24">
        <v>5600000</v>
      </c>
      <c r="F834" s="39">
        <v>44287</v>
      </c>
      <c r="G834" s="24">
        <v>5600000</v>
      </c>
      <c r="H834" s="23">
        <v>5.0000000000000001E-3</v>
      </c>
      <c r="I834" s="39">
        <v>44409</v>
      </c>
      <c r="J834" s="39">
        <v>44439</v>
      </c>
      <c r="K834" s="24">
        <f t="shared" si="56"/>
        <v>31</v>
      </c>
      <c r="L834" s="24">
        <f t="shared" si="57"/>
        <v>2378</v>
      </c>
      <c r="M834" s="24">
        <v>5600000</v>
      </c>
    </row>
    <row r="835" spans="1:13" s="5" customFormat="1" outlineLevel="2">
      <c r="A835" s="39" t="s">
        <v>270</v>
      </c>
      <c r="B835" s="40" t="s">
        <v>223</v>
      </c>
      <c r="C835" s="41" t="s">
        <v>273</v>
      </c>
      <c r="D835" s="40" t="s">
        <v>272</v>
      </c>
      <c r="E835" s="24">
        <v>24000000</v>
      </c>
      <c r="F835" s="39">
        <v>44287</v>
      </c>
      <c r="G835" s="24">
        <v>24000000</v>
      </c>
      <c r="H835" s="23">
        <v>5.0000000000000001E-3</v>
      </c>
      <c r="I835" s="39">
        <v>44409</v>
      </c>
      <c r="J835" s="39">
        <v>44439</v>
      </c>
      <c r="K835" s="24">
        <f t="shared" si="56"/>
        <v>31</v>
      </c>
      <c r="L835" s="24">
        <f t="shared" si="57"/>
        <v>10192</v>
      </c>
      <c r="M835" s="24">
        <v>24000000</v>
      </c>
    </row>
    <row r="836" spans="1:13" s="5" customFormat="1" outlineLevel="2">
      <c r="A836" s="39" t="s">
        <v>270</v>
      </c>
      <c r="B836" s="40" t="s">
        <v>224</v>
      </c>
      <c r="C836" s="41" t="s">
        <v>341</v>
      </c>
      <c r="D836" s="40" t="s">
        <v>340</v>
      </c>
      <c r="E836" s="24">
        <v>19600000</v>
      </c>
      <c r="F836" s="39">
        <v>44314</v>
      </c>
      <c r="G836" s="24">
        <v>19600000</v>
      </c>
      <c r="H836" s="23">
        <v>5.0000000000000001E-3</v>
      </c>
      <c r="I836" s="39">
        <v>44409</v>
      </c>
      <c r="J836" s="39">
        <v>44439</v>
      </c>
      <c r="K836" s="24">
        <f t="shared" si="56"/>
        <v>31</v>
      </c>
      <c r="L836" s="24">
        <f t="shared" si="57"/>
        <v>8323</v>
      </c>
      <c r="M836" s="24">
        <v>19600000</v>
      </c>
    </row>
    <row r="837" spans="1:13" s="5" customFormat="1" outlineLevel="2">
      <c r="A837" s="39" t="s">
        <v>270</v>
      </c>
      <c r="B837" s="40" t="s">
        <v>225</v>
      </c>
      <c r="C837" s="41" t="s">
        <v>341</v>
      </c>
      <c r="D837" s="40" t="s">
        <v>340</v>
      </c>
      <c r="E837" s="24">
        <v>46800000</v>
      </c>
      <c r="F837" s="39">
        <v>44314</v>
      </c>
      <c r="G837" s="24">
        <v>46800000</v>
      </c>
      <c r="H837" s="23">
        <v>5.0000000000000001E-3</v>
      </c>
      <c r="I837" s="39">
        <v>44409</v>
      </c>
      <c r="J837" s="39">
        <v>44439</v>
      </c>
      <c r="K837" s="24">
        <f t="shared" si="56"/>
        <v>31</v>
      </c>
      <c r="L837" s="24">
        <f t="shared" si="57"/>
        <v>19874</v>
      </c>
      <c r="M837" s="24">
        <v>46800000</v>
      </c>
    </row>
    <row r="838" spans="1:13" s="5" customFormat="1" outlineLevel="2">
      <c r="A838" s="39" t="s">
        <v>270</v>
      </c>
      <c r="B838" s="40" t="s">
        <v>226</v>
      </c>
      <c r="C838" s="41" t="s">
        <v>274</v>
      </c>
      <c r="D838" s="40" t="s">
        <v>275</v>
      </c>
      <c r="E838" s="24">
        <v>10475040</v>
      </c>
      <c r="F838" s="39">
        <v>44328</v>
      </c>
      <c r="G838" s="24">
        <v>10475040</v>
      </c>
      <c r="H838" s="23">
        <v>5.0000000000000001E-3</v>
      </c>
      <c r="I838" s="39">
        <v>44409</v>
      </c>
      <c r="J838" s="39">
        <v>44439</v>
      </c>
      <c r="K838" s="24">
        <f t="shared" ref="K838:K869" si="58">J838-I838+1</f>
        <v>31</v>
      </c>
      <c r="L838" s="24">
        <f t="shared" ref="L838:L869" si="59">ROUND(G838*H838*K838/365,0)</f>
        <v>4448</v>
      </c>
      <c r="M838" s="24">
        <v>10475040</v>
      </c>
    </row>
    <row r="839" spans="1:13" s="5" customFormat="1" outlineLevel="2">
      <c r="A839" s="39" t="s">
        <v>270</v>
      </c>
      <c r="B839" s="40" t="s">
        <v>227</v>
      </c>
      <c r="C839" s="41" t="s">
        <v>274</v>
      </c>
      <c r="D839" s="40" t="s">
        <v>275</v>
      </c>
      <c r="E839" s="24">
        <v>18388440</v>
      </c>
      <c r="F839" s="39">
        <v>44328</v>
      </c>
      <c r="G839" s="24">
        <v>18388440</v>
      </c>
      <c r="H839" s="23">
        <v>5.0000000000000001E-3</v>
      </c>
      <c r="I839" s="39">
        <v>44409</v>
      </c>
      <c r="J839" s="39">
        <v>44439</v>
      </c>
      <c r="K839" s="24">
        <f t="shared" si="58"/>
        <v>31</v>
      </c>
      <c r="L839" s="24">
        <f t="shared" si="59"/>
        <v>7809</v>
      </c>
      <c r="M839" s="24">
        <v>18388440</v>
      </c>
    </row>
    <row r="840" spans="1:13" s="5" customFormat="1" outlineLevel="1">
      <c r="A840" s="42" t="s">
        <v>282</v>
      </c>
      <c r="B840" s="43"/>
      <c r="C840" s="44"/>
      <c r="D840" s="43"/>
      <c r="E840" s="45">
        <f>SUBTOTAL(9,E710:E839)</f>
        <v>4720756762</v>
      </c>
      <c r="F840" s="46"/>
      <c r="G840" s="45"/>
      <c r="H840" s="47"/>
      <c r="I840" s="46"/>
      <c r="J840" s="46"/>
      <c r="K840" s="45"/>
      <c r="L840" s="45">
        <f>SUBTOTAL(9,L710:L839)</f>
        <v>1982779</v>
      </c>
      <c r="M840" s="45">
        <f>SUBTOTAL(9,M710:M839)</f>
        <v>4720756762</v>
      </c>
    </row>
    <row r="841" spans="1:13" s="5" customFormat="1" outlineLevel="2">
      <c r="A841" s="39" t="s">
        <v>283</v>
      </c>
      <c r="B841" s="40" t="s">
        <v>16</v>
      </c>
      <c r="C841" s="41" t="s">
        <v>284</v>
      </c>
      <c r="D841" s="40" t="s">
        <v>285</v>
      </c>
      <c r="E841" s="24">
        <v>50000000</v>
      </c>
      <c r="F841" s="39">
        <v>44211</v>
      </c>
      <c r="G841" s="24">
        <v>50000000</v>
      </c>
      <c r="H841" s="23">
        <v>5.0000000000000001E-3</v>
      </c>
      <c r="I841" s="39">
        <v>44409</v>
      </c>
      <c r="J841" s="39">
        <v>44439</v>
      </c>
      <c r="K841" s="24">
        <f>J841-I841+1</f>
        <v>31</v>
      </c>
      <c r="L841" s="24">
        <f>ROUND(G841*H841*K841/365,0)</f>
        <v>21233</v>
      </c>
      <c r="M841" s="24">
        <v>50000000</v>
      </c>
    </row>
    <row r="842" spans="1:13" s="5" customFormat="1" outlineLevel="1">
      <c r="A842" s="42" t="s">
        <v>286</v>
      </c>
      <c r="B842" s="43"/>
      <c r="C842" s="44"/>
      <c r="D842" s="43"/>
      <c r="E842" s="45">
        <f>SUBTOTAL(9,E841:E841)</f>
        <v>50000000</v>
      </c>
      <c r="F842" s="46"/>
      <c r="G842" s="45"/>
      <c r="H842" s="47"/>
      <c r="I842" s="46"/>
      <c r="J842" s="46"/>
      <c r="K842" s="45"/>
      <c r="L842" s="45">
        <f>SUBTOTAL(9,L841:L841)</f>
        <v>21233</v>
      </c>
      <c r="M842" s="45">
        <f>SUBTOTAL(9,M841:M841)</f>
        <v>50000000</v>
      </c>
    </row>
    <row r="843" spans="1:13" s="5" customFormat="1" outlineLevel="2">
      <c r="A843" s="39" t="s">
        <v>287</v>
      </c>
      <c r="B843" s="40" t="s">
        <v>16</v>
      </c>
      <c r="C843" s="41" t="s">
        <v>30</v>
      </c>
      <c r="D843" s="40" t="s">
        <v>31</v>
      </c>
      <c r="E843" s="24">
        <v>20000000</v>
      </c>
      <c r="F843" s="39">
        <v>43985</v>
      </c>
      <c r="G843" s="24">
        <v>20000000</v>
      </c>
      <c r="H843" s="23">
        <v>5.0000000000000001E-3</v>
      </c>
      <c r="I843" s="39">
        <v>44409</v>
      </c>
      <c r="J843" s="39">
        <v>44439</v>
      </c>
      <c r="K843" s="24">
        <f>J843-I843+1</f>
        <v>31</v>
      </c>
      <c r="L843" s="24">
        <f>ROUND(G843*H843*K843/365,0)</f>
        <v>8493</v>
      </c>
      <c r="M843" s="24">
        <v>20000000</v>
      </c>
    </row>
    <row r="844" spans="1:13" s="5" customFormat="1" outlineLevel="2">
      <c r="A844" s="39" t="s">
        <v>287</v>
      </c>
      <c r="B844" s="40" t="s">
        <v>39</v>
      </c>
      <c r="C844" s="41" t="s">
        <v>30</v>
      </c>
      <c r="D844" s="40" t="s">
        <v>31</v>
      </c>
      <c r="E844" s="24">
        <v>13800000</v>
      </c>
      <c r="F844" s="39">
        <v>44034</v>
      </c>
      <c r="G844" s="24">
        <v>13800000</v>
      </c>
      <c r="H844" s="23">
        <v>5.0000000000000001E-3</v>
      </c>
      <c r="I844" s="39">
        <v>44409</v>
      </c>
      <c r="J844" s="39">
        <v>44439</v>
      </c>
      <c r="K844" s="24">
        <f>J844-I844+1</f>
        <v>31</v>
      </c>
      <c r="L844" s="24">
        <f>ROUND(G844*H844*K844/365,0)</f>
        <v>5860</v>
      </c>
      <c r="M844" s="24">
        <v>13800000</v>
      </c>
    </row>
    <row r="845" spans="1:13" s="5" customFormat="1" outlineLevel="2">
      <c r="A845" s="39" t="s">
        <v>287</v>
      </c>
      <c r="B845" s="40" t="s">
        <v>54</v>
      </c>
      <c r="C845" s="41" t="s">
        <v>30</v>
      </c>
      <c r="D845" s="40" t="s">
        <v>31</v>
      </c>
      <c r="E845" s="24">
        <v>25000000</v>
      </c>
      <c r="F845" s="39">
        <v>44102</v>
      </c>
      <c r="G845" s="24">
        <v>25000000</v>
      </c>
      <c r="H845" s="23">
        <v>5.0000000000000001E-3</v>
      </c>
      <c r="I845" s="39">
        <v>44409</v>
      </c>
      <c r="J845" s="39">
        <v>44439</v>
      </c>
      <c r="K845" s="24">
        <f>J845-I845+1</f>
        <v>31</v>
      </c>
      <c r="L845" s="24">
        <f>ROUND(G845*H845*K845/365,0)</f>
        <v>10616</v>
      </c>
      <c r="M845" s="24">
        <v>25000000</v>
      </c>
    </row>
    <row r="846" spans="1:13" s="5" customFormat="1" outlineLevel="2">
      <c r="A846" s="39" t="s">
        <v>287</v>
      </c>
      <c r="B846" s="40" t="s">
        <v>59</v>
      </c>
      <c r="C846" s="41" t="s">
        <v>30</v>
      </c>
      <c r="D846" s="40" t="s">
        <v>31</v>
      </c>
      <c r="E846" s="24">
        <v>5600000</v>
      </c>
      <c r="F846" s="39">
        <v>44103</v>
      </c>
      <c r="G846" s="24">
        <v>5600000</v>
      </c>
      <c r="H846" s="23">
        <v>5.0000000000000001E-3</v>
      </c>
      <c r="I846" s="39">
        <v>44409</v>
      </c>
      <c r="J846" s="39">
        <v>44439</v>
      </c>
      <c r="K846" s="24">
        <f>J846-I846+1</f>
        <v>31</v>
      </c>
      <c r="L846" s="24">
        <f>ROUND(G846*H846*K846/365,0)</f>
        <v>2378</v>
      </c>
      <c r="M846" s="24">
        <v>5600000</v>
      </c>
    </row>
    <row r="847" spans="1:13" s="5" customFormat="1" outlineLevel="1">
      <c r="A847" s="42" t="s">
        <v>288</v>
      </c>
      <c r="B847" s="43"/>
      <c r="C847" s="44"/>
      <c r="D847" s="43"/>
      <c r="E847" s="45">
        <f>SUBTOTAL(9,E843:E846)</f>
        <v>64400000</v>
      </c>
      <c r="F847" s="46"/>
      <c r="G847" s="45"/>
      <c r="H847" s="47"/>
      <c r="I847" s="46"/>
      <c r="J847" s="46"/>
      <c r="K847" s="45"/>
      <c r="L847" s="45">
        <f>SUBTOTAL(9,L843:L846)</f>
        <v>27347</v>
      </c>
      <c r="M847" s="45">
        <f>SUBTOTAL(9,M843:M846)</f>
        <v>64400000</v>
      </c>
    </row>
    <row r="848" spans="1:13" s="5" customFormat="1" outlineLevel="2">
      <c r="A848" s="39" t="s">
        <v>289</v>
      </c>
      <c r="B848" s="40" t="s">
        <v>16</v>
      </c>
      <c r="C848" s="41" t="s">
        <v>121</v>
      </c>
      <c r="D848" s="40" t="s">
        <v>122</v>
      </c>
      <c r="E848" s="24">
        <v>72000000</v>
      </c>
      <c r="F848" s="39">
        <v>43917</v>
      </c>
      <c r="G848" s="24">
        <v>72000000</v>
      </c>
      <c r="H848" s="23">
        <v>5.0000000000000001E-3</v>
      </c>
      <c r="I848" s="39">
        <v>44409</v>
      </c>
      <c r="J848" s="39">
        <v>44439</v>
      </c>
      <c r="K848" s="24">
        <f t="shared" ref="K848:K859" si="60">J848-I848+1</f>
        <v>31</v>
      </c>
      <c r="L848" s="24">
        <f t="shared" ref="L848:L859" si="61">ROUND(G848*H848*K848/365,0)</f>
        <v>30575</v>
      </c>
      <c r="M848" s="24">
        <v>72000000</v>
      </c>
    </row>
    <row r="849" spans="1:13" s="5" customFormat="1" outlineLevel="2">
      <c r="A849" s="39" t="s">
        <v>289</v>
      </c>
      <c r="B849" s="40" t="s">
        <v>39</v>
      </c>
      <c r="C849" s="41" t="s">
        <v>121</v>
      </c>
      <c r="D849" s="40" t="s">
        <v>122</v>
      </c>
      <c r="E849" s="24">
        <v>144000000</v>
      </c>
      <c r="F849" s="39">
        <v>44018</v>
      </c>
      <c r="G849" s="24">
        <v>144000000</v>
      </c>
      <c r="H849" s="23">
        <v>5.0000000000000001E-3</v>
      </c>
      <c r="I849" s="39">
        <v>44409</v>
      </c>
      <c r="J849" s="39">
        <v>44439</v>
      </c>
      <c r="K849" s="24">
        <f t="shared" si="60"/>
        <v>31</v>
      </c>
      <c r="L849" s="24">
        <f t="shared" si="61"/>
        <v>61151</v>
      </c>
      <c r="M849" s="24">
        <v>144000000</v>
      </c>
    </row>
    <row r="850" spans="1:13" s="5" customFormat="1" outlineLevel="2">
      <c r="A850" s="39" t="s">
        <v>289</v>
      </c>
      <c r="B850" s="40" t="s">
        <v>54</v>
      </c>
      <c r="C850" s="41" t="s">
        <v>290</v>
      </c>
      <c r="D850" s="40" t="s">
        <v>291</v>
      </c>
      <c r="E850" s="24">
        <v>6820000</v>
      </c>
      <c r="F850" s="39">
        <v>44092</v>
      </c>
      <c r="G850" s="24">
        <v>5683330</v>
      </c>
      <c r="H850" s="23">
        <v>5.0000000000000001E-3</v>
      </c>
      <c r="I850" s="39">
        <v>44409</v>
      </c>
      <c r="J850" s="39">
        <v>44423</v>
      </c>
      <c r="K850" s="24">
        <f t="shared" si="60"/>
        <v>15</v>
      </c>
      <c r="L850" s="24">
        <f t="shared" si="61"/>
        <v>1168</v>
      </c>
      <c r="M850" s="24">
        <v>5569663</v>
      </c>
    </row>
    <row r="851" spans="1:13" s="5" customFormat="1" outlineLevel="2">
      <c r="A851" s="39" t="s">
        <v>289</v>
      </c>
      <c r="B851" s="40" t="s">
        <v>54</v>
      </c>
      <c r="C851" s="41" t="s">
        <v>290</v>
      </c>
      <c r="D851" s="40"/>
      <c r="E851" s="24"/>
      <c r="F851" s="39"/>
      <c r="G851" s="24">
        <v>5569663</v>
      </c>
      <c r="H851" s="23">
        <v>5.0000000000000001E-3</v>
      </c>
      <c r="I851" s="39">
        <v>44424</v>
      </c>
      <c r="J851" s="39">
        <v>44439</v>
      </c>
      <c r="K851" s="24">
        <f t="shared" si="60"/>
        <v>16</v>
      </c>
      <c r="L851" s="24">
        <f t="shared" si="61"/>
        <v>1221</v>
      </c>
      <c r="M851" s="24"/>
    </row>
    <row r="852" spans="1:13" s="5" customFormat="1" outlineLevel="2">
      <c r="A852" s="39" t="s">
        <v>289</v>
      </c>
      <c r="B852" s="40" t="s">
        <v>59</v>
      </c>
      <c r="C852" s="41" t="s">
        <v>290</v>
      </c>
      <c r="D852" s="40" t="s">
        <v>291</v>
      </c>
      <c r="E852" s="24">
        <v>17380000</v>
      </c>
      <c r="F852" s="39">
        <v>44092</v>
      </c>
      <c r="G852" s="24">
        <v>12552220</v>
      </c>
      <c r="H852" s="23">
        <v>5.0000000000000001E-3</v>
      </c>
      <c r="I852" s="39">
        <v>44409</v>
      </c>
      <c r="J852" s="39">
        <v>44423</v>
      </c>
      <c r="K852" s="24">
        <f t="shared" si="60"/>
        <v>15</v>
      </c>
      <c r="L852" s="24">
        <f t="shared" si="61"/>
        <v>2579</v>
      </c>
      <c r="M852" s="24">
        <v>12069442</v>
      </c>
    </row>
    <row r="853" spans="1:13" s="5" customFormat="1" outlineLevel="2">
      <c r="A853" s="39" t="s">
        <v>289</v>
      </c>
      <c r="B853" s="40" t="s">
        <v>59</v>
      </c>
      <c r="C853" s="41" t="s">
        <v>290</v>
      </c>
      <c r="D853" s="40"/>
      <c r="E853" s="24"/>
      <c r="F853" s="39"/>
      <c r="G853" s="24">
        <v>12069442</v>
      </c>
      <c r="H853" s="23">
        <v>5.0000000000000001E-3</v>
      </c>
      <c r="I853" s="39">
        <v>44424</v>
      </c>
      <c r="J853" s="39">
        <v>44439</v>
      </c>
      <c r="K853" s="24">
        <f t="shared" si="60"/>
        <v>16</v>
      </c>
      <c r="L853" s="24">
        <f t="shared" si="61"/>
        <v>2645</v>
      </c>
      <c r="M853" s="24"/>
    </row>
    <row r="854" spans="1:13" s="5" customFormat="1" outlineLevel="2">
      <c r="A854" s="39" t="s">
        <v>289</v>
      </c>
      <c r="B854" s="40" t="s">
        <v>62</v>
      </c>
      <c r="C854" s="41" t="s">
        <v>121</v>
      </c>
      <c r="D854" s="40" t="s">
        <v>122</v>
      </c>
      <c r="E854" s="24">
        <v>41000000</v>
      </c>
      <c r="F854" s="39">
        <v>44140</v>
      </c>
      <c r="G854" s="24">
        <v>41000000</v>
      </c>
      <c r="H854" s="23">
        <v>5.0000000000000001E-3</v>
      </c>
      <c r="I854" s="39">
        <v>44409</v>
      </c>
      <c r="J854" s="39">
        <v>44439</v>
      </c>
      <c r="K854" s="24">
        <f t="shared" si="60"/>
        <v>31</v>
      </c>
      <c r="L854" s="24">
        <f t="shared" si="61"/>
        <v>17411</v>
      </c>
      <c r="M854" s="24">
        <v>41000000</v>
      </c>
    </row>
    <row r="855" spans="1:13" s="5" customFormat="1" outlineLevel="2">
      <c r="A855" s="39" t="s">
        <v>289</v>
      </c>
      <c r="B855" s="40" t="s">
        <v>63</v>
      </c>
      <c r="C855" s="41" t="s">
        <v>290</v>
      </c>
      <c r="D855" s="40" t="s">
        <v>291</v>
      </c>
      <c r="E855" s="24">
        <v>3220000</v>
      </c>
      <c r="F855" s="39">
        <v>44161</v>
      </c>
      <c r="G855" s="24">
        <v>2775864</v>
      </c>
      <c r="H855" s="23">
        <v>5.0000000000000001E-3</v>
      </c>
      <c r="I855" s="39">
        <v>44409</v>
      </c>
      <c r="J855" s="39">
        <v>44423</v>
      </c>
      <c r="K855" s="24">
        <f t="shared" si="60"/>
        <v>15</v>
      </c>
      <c r="L855" s="24">
        <f t="shared" si="61"/>
        <v>570</v>
      </c>
      <c r="M855" s="24">
        <v>2720347</v>
      </c>
    </row>
    <row r="856" spans="1:13" s="5" customFormat="1" outlineLevel="2">
      <c r="A856" s="39" t="s">
        <v>289</v>
      </c>
      <c r="B856" s="40" t="s">
        <v>63</v>
      </c>
      <c r="C856" s="41" t="s">
        <v>290</v>
      </c>
      <c r="D856" s="40"/>
      <c r="E856" s="24"/>
      <c r="F856" s="39"/>
      <c r="G856" s="24">
        <v>2720347</v>
      </c>
      <c r="H856" s="23">
        <v>5.0000000000000001E-3</v>
      </c>
      <c r="I856" s="39">
        <v>44424</v>
      </c>
      <c r="J856" s="39">
        <v>44439</v>
      </c>
      <c r="K856" s="24">
        <f t="shared" si="60"/>
        <v>16</v>
      </c>
      <c r="L856" s="24">
        <f t="shared" si="61"/>
        <v>596</v>
      </c>
      <c r="M856" s="24"/>
    </row>
    <row r="857" spans="1:13" s="5" customFormat="1" outlineLevel="2">
      <c r="A857" s="39" t="s">
        <v>289</v>
      </c>
      <c r="B857" s="40" t="s">
        <v>64</v>
      </c>
      <c r="C857" s="41" t="s">
        <v>121</v>
      </c>
      <c r="D857" s="40" t="s">
        <v>122</v>
      </c>
      <c r="E857" s="24">
        <v>50000000</v>
      </c>
      <c r="F857" s="39">
        <v>44189</v>
      </c>
      <c r="G857" s="24">
        <v>50000000</v>
      </c>
      <c r="H857" s="23">
        <v>5.0000000000000001E-3</v>
      </c>
      <c r="I857" s="39">
        <v>44409</v>
      </c>
      <c r="J857" s="39">
        <v>44439</v>
      </c>
      <c r="K857" s="24">
        <f t="shared" si="60"/>
        <v>31</v>
      </c>
      <c r="L857" s="24">
        <f t="shared" si="61"/>
        <v>21233</v>
      </c>
      <c r="M857" s="24">
        <v>50000000</v>
      </c>
    </row>
    <row r="858" spans="1:13" s="5" customFormat="1" outlineLevel="2">
      <c r="A858" s="39" t="s">
        <v>289</v>
      </c>
      <c r="B858" s="40" t="s">
        <v>65</v>
      </c>
      <c r="C858" s="41" t="s">
        <v>121</v>
      </c>
      <c r="D858" s="40" t="s">
        <v>122</v>
      </c>
      <c r="E858" s="24">
        <v>15000000</v>
      </c>
      <c r="F858" s="39">
        <v>44189</v>
      </c>
      <c r="G858" s="24">
        <v>15000000</v>
      </c>
      <c r="H858" s="23">
        <v>5.0000000000000001E-3</v>
      </c>
      <c r="I858" s="39">
        <v>44409</v>
      </c>
      <c r="J858" s="39">
        <v>44439</v>
      </c>
      <c r="K858" s="24">
        <f t="shared" si="60"/>
        <v>31</v>
      </c>
      <c r="L858" s="24">
        <f t="shared" si="61"/>
        <v>6370</v>
      </c>
      <c r="M858" s="24">
        <v>15000000</v>
      </c>
    </row>
    <row r="859" spans="1:13" s="5" customFormat="1" outlineLevel="2">
      <c r="A859" s="39" t="s">
        <v>289</v>
      </c>
      <c r="B859" s="40" t="s">
        <v>68</v>
      </c>
      <c r="C859" s="41" t="s">
        <v>121</v>
      </c>
      <c r="D859" s="40" t="s">
        <v>122</v>
      </c>
      <c r="E859" s="24">
        <v>850000</v>
      </c>
      <c r="F859" s="39">
        <v>44253</v>
      </c>
      <c r="G859" s="24">
        <v>850000</v>
      </c>
      <c r="H859" s="23">
        <v>5.0000000000000001E-3</v>
      </c>
      <c r="I859" s="39">
        <v>44409</v>
      </c>
      <c r="J859" s="39">
        <v>44439</v>
      </c>
      <c r="K859" s="24">
        <f t="shared" si="60"/>
        <v>31</v>
      </c>
      <c r="L859" s="24">
        <f t="shared" si="61"/>
        <v>361</v>
      </c>
      <c r="M859" s="24">
        <v>850000</v>
      </c>
    </row>
    <row r="860" spans="1:13" s="5" customFormat="1" outlineLevel="1">
      <c r="A860" s="42" t="s">
        <v>292</v>
      </c>
      <c r="B860" s="43"/>
      <c r="C860" s="44"/>
      <c r="D860" s="43"/>
      <c r="E860" s="45">
        <f>SUBTOTAL(9,E848:E859)</f>
        <v>350270000</v>
      </c>
      <c r="F860" s="46"/>
      <c r="G860" s="45"/>
      <c r="H860" s="47"/>
      <c r="I860" s="46"/>
      <c r="J860" s="46"/>
      <c r="K860" s="45"/>
      <c r="L860" s="45">
        <f>SUBTOTAL(9,L848:L859)</f>
        <v>145880</v>
      </c>
      <c r="M860" s="45">
        <f>SUBTOTAL(9,M848:M859)</f>
        <v>343209452</v>
      </c>
    </row>
    <row r="861" spans="1:13" s="5" customFormat="1" outlineLevel="2">
      <c r="A861" s="39" t="s">
        <v>293</v>
      </c>
      <c r="B861" s="40" t="s">
        <v>16</v>
      </c>
      <c r="C861" s="41" t="s">
        <v>121</v>
      </c>
      <c r="D861" s="40" t="s">
        <v>122</v>
      </c>
      <c r="E861" s="24">
        <v>190000000</v>
      </c>
      <c r="F861" s="39">
        <v>43797</v>
      </c>
      <c r="G861" s="24">
        <v>190000000</v>
      </c>
      <c r="H861" s="23">
        <v>5.0000000000000001E-3</v>
      </c>
      <c r="I861" s="39">
        <v>44409</v>
      </c>
      <c r="J861" s="39">
        <v>44439</v>
      </c>
      <c r="K861" s="24">
        <f t="shared" ref="K861:K892" si="62">J861-I861+1</f>
        <v>31</v>
      </c>
      <c r="L861" s="24">
        <f t="shared" ref="L861:L892" si="63">ROUND(G861*H861*K861/365,0)</f>
        <v>80685</v>
      </c>
      <c r="M861" s="24">
        <v>190000000</v>
      </c>
    </row>
    <row r="862" spans="1:13" s="5" customFormat="1" outlineLevel="2">
      <c r="A862" s="39" t="s">
        <v>293</v>
      </c>
      <c r="B862" s="40" t="s">
        <v>19</v>
      </c>
      <c r="C862" s="41" t="s">
        <v>55</v>
      </c>
      <c r="D862" s="40" t="s">
        <v>56</v>
      </c>
      <c r="E862" s="24">
        <v>1310400</v>
      </c>
      <c r="F862" s="39">
        <v>44043</v>
      </c>
      <c r="G862" s="24">
        <v>1024500</v>
      </c>
      <c r="H862" s="23">
        <v>5.0000000000000001E-3</v>
      </c>
      <c r="I862" s="39">
        <v>44409</v>
      </c>
      <c r="J862" s="39">
        <v>44423</v>
      </c>
      <c r="K862" s="24">
        <f t="shared" si="62"/>
        <v>15</v>
      </c>
      <c r="L862" s="24">
        <f t="shared" si="63"/>
        <v>211</v>
      </c>
      <c r="M862" s="24">
        <v>1000675</v>
      </c>
    </row>
    <row r="863" spans="1:13" s="5" customFormat="1" outlineLevel="2">
      <c r="A863" s="39" t="s">
        <v>293</v>
      </c>
      <c r="B863" s="40" t="s">
        <v>19</v>
      </c>
      <c r="C863" s="41" t="s">
        <v>55</v>
      </c>
      <c r="D863" s="40"/>
      <c r="E863" s="24"/>
      <c r="F863" s="39"/>
      <c r="G863" s="24">
        <v>1000675</v>
      </c>
      <c r="H863" s="23">
        <v>5.0000000000000001E-3</v>
      </c>
      <c r="I863" s="39">
        <v>44424</v>
      </c>
      <c r="J863" s="39">
        <v>44439</v>
      </c>
      <c r="K863" s="24">
        <f t="shared" si="62"/>
        <v>16</v>
      </c>
      <c r="L863" s="24">
        <f t="shared" si="63"/>
        <v>219</v>
      </c>
      <c r="M863" s="24"/>
    </row>
    <row r="864" spans="1:13" s="5" customFormat="1" outlineLevel="2">
      <c r="A864" s="39" t="s">
        <v>293</v>
      </c>
      <c r="B864" s="40" t="s">
        <v>22</v>
      </c>
      <c r="C864" s="41" t="s">
        <v>20</v>
      </c>
      <c r="D864" s="40" t="s">
        <v>21</v>
      </c>
      <c r="E864" s="24">
        <v>201600000</v>
      </c>
      <c r="F864" s="39">
        <v>44028</v>
      </c>
      <c r="G864" s="24">
        <v>201600000</v>
      </c>
      <c r="H864" s="23">
        <v>3.0000000000000001E-3</v>
      </c>
      <c r="I864" s="39">
        <v>44409</v>
      </c>
      <c r="J864" s="39">
        <v>44439</v>
      </c>
      <c r="K864" s="24">
        <f t="shared" si="62"/>
        <v>31</v>
      </c>
      <c r="L864" s="24">
        <f t="shared" si="63"/>
        <v>51367</v>
      </c>
      <c r="M864" s="24">
        <v>201600000</v>
      </c>
    </row>
    <row r="865" spans="1:13" s="5" customFormat="1" outlineLevel="2">
      <c r="A865" s="39" t="s">
        <v>293</v>
      </c>
      <c r="B865" s="40" t="s">
        <v>25</v>
      </c>
      <c r="C865" s="41" t="s">
        <v>294</v>
      </c>
      <c r="D865" s="40" t="s">
        <v>295</v>
      </c>
      <c r="E865" s="24">
        <v>67678400</v>
      </c>
      <c r="F865" s="39">
        <v>44041</v>
      </c>
      <c r="G865" s="24">
        <v>67678400</v>
      </c>
      <c r="H865" s="23">
        <v>5.0000000000000001E-3</v>
      </c>
      <c r="I865" s="39">
        <v>44409</v>
      </c>
      <c r="J865" s="39">
        <v>44439</v>
      </c>
      <c r="K865" s="24">
        <f t="shared" si="62"/>
        <v>31</v>
      </c>
      <c r="L865" s="24">
        <f t="shared" si="63"/>
        <v>28740</v>
      </c>
      <c r="M865" s="24">
        <v>67678400</v>
      </c>
    </row>
    <row r="866" spans="1:13" s="5" customFormat="1" outlineLevel="2">
      <c r="A866" s="39" t="s">
        <v>293</v>
      </c>
      <c r="B866" s="40" t="s">
        <v>26</v>
      </c>
      <c r="C866" s="41" t="s">
        <v>294</v>
      </c>
      <c r="D866" s="40" t="s">
        <v>295</v>
      </c>
      <c r="E866" s="24">
        <v>56400000</v>
      </c>
      <c r="F866" s="39">
        <v>44060</v>
      </c>
      <c r="G866" s="24">
        <v>56400000</v>
      </c>
      <c r="H866" s="23">
        <v>5.0000000000000001E-3</v>
      </c>
      <c r="I866" s="39">
        <v>44409</v>
      </c>
      <c r="J866" s="39">
        <v>44439</v>
      </c>
      <c r="K866" s="24">
        <f t="shared" si="62"/>
        <v>31</v>
      </c>
      <c r="L866" s="24">
        <f t="shared" si="63"/>
        <v>23951</v>
      </c>
      <c r="M866" s="24">
        <v>56400000</v>
      </c>
    </row>
    <row r="867" spans="1:13" s="5" customFormat="1" outlineLevel="2">
      <c r="A867" s="39" t="s">
        <v>293</v>
      </c>
      <c r="B867" s="40" t="s">
        <v>29</v>
      </c>
      <c r="C867" s="41" t="s">
        <v>294</v>
      </c>
      <c r="D867" s="40" t="s">
        <v>295</v>
      </c>
      <c r="E867" s="24">
        <v>56400000</v>
      </c>
      <c r="F867" s="39">
        <v>44089</v>
      </c>
      <c r="G867" s="24">
        <v>56400000</v>
      </c>
      <c r="H867" s="23">
        <v>5.0000000000000001E-3</v>
      </c>
      <c r="I867" s="39">
        <v>44409</v>
      </c>
      <c r="J867" s="39">
        <v>44439</v>
      </c>
      <c r="K867" s="24">
        <f t="shared" si="62"/>
        <v>31</v>
      </c>
      <c r="L867" s="24">
        <f t="shared" si="63"/>
        <v>23951</v>
      </c>
      <c r="M867" s="24">
        <v>56400000</v>
      </c>
    </row>
    <row r="868" spans="1:13" s="5" customFormat="1" outlineLevel="2">
      <c r="A868" s="39" t="s">
        <v>293</v>
      </c>
      <c r="B868" s="40" t="s">
        <v>32</v>
      </c>
      <c r="C868" s="41" t="s">
        <v>294</v>
      </c>
      <c r="D868" s="40" t="s">
        <v>295</v>
      </c>
      <c r="E868" s="24">
        <v>56400000</v>
      </c>
      <c r="F868" s="39">
        <v>44119</v>
      </c>
      <c r="G868" s="24">
        <v>56400000</v>
      </c>
      <c r="H868" s="23">
        <v>5.0000000000000001E-3</v>
      </c>
      <c r="I868" s="39">
        <v>44409</v>
      </c>
      <c r="J868" s="39">
        <v>44439</v>
      </c>
      <c r="K868" s="24">
        <f t="shared" si="62"/>
        <v>31</v>
      </c>
      <c r="L868" s="24">
        <f t="shared" si="63"/>
        <v>23951</v>
      </c>
      <c r="M868" s="24">
        <v>56400000</v>
      </c>
    </row>
    <row r="869" spans="1:13" s="5" customFormat="1" outlineLevel="2">
      <c r="A869" s="39" t="s">
        <v>293</v>
      </c>
      <c r="B869" s="40" t="s">
        <v>33</v>
      </c>
      <c r="C869" s="41" t="s">
        <v>55</v>
      </c>
      <c r="D869" s="40" t="s">
        <v>56</v>
      </c>
      <c r="E869" s="24">
        <v>1169666</v>
      </c>
      <c r="F869" s="39">
        <v>44134</v>
      </c>
      <c r="G869" s="24">
        <v>967220</v>
      </c>
      <c r="H869" s="23">
        <v>5.0000000000000001E-3</v>
      </c>
      <c r="I869" s="39">
        <v>44409</v>
      </c>
      <c r="J869" s="39">
        <v>44423</v>
      </c>
      <c r="K869" s="24">
        <f t="shared" si="62"/>
        <v>15</v>
      </c>
      <c r="L869" s="24">
        <f t="shared" si="63"/>
        <v>199</v>
      </c>
      <c r="M869" s="24">
        <v>944726</v>
      </c>
    </row>
    <row r="870" spans="1:13" s="5" customFormat="1" outlineLevel="2">
      <c r="A870" s="39" t="s">
        <v>293</v>
      </c>
      <c r="B870" s="40" t="s">
        <v>33</v>
      </c>
      <c r="C870" s="41" t="s">
        <v>55</v>
      </c>
      <c r="D870" s="40"/>
      <c r="E870" s="24"/>
      <c r="F870" s="39"/>
      <c r="G870" s="24">
        <v>944726</v>
      </c>
      <c r="H870" s="23">
        <v>5.0000000000000001E-3</v>
      </c>
      <c r="I870" s="39">
        <v>44424</v>
      </c>
      <c r="J870" s="39">
        <v>44439</v>
      </c>
      <c r="K870" s="24">
        <f t="shared" si="62"/>
        <v>16</v>
      </c>
      <c r="L870" s="24">
        <f t="shared" si="63"/>
        <v>207</v>
      </c>
      <c r="M870" s="24"/>
    </row>
    <row r="871" spans="1:13" s="5" customFormat="1" outlineLevel="2">
      <c r="A871" s="39" t="s">
        <v>293</v>
      </c>
      <c r="B871" s="40" t="s">
        <v>34</v>
      </c>
      <c r="C871" s="41" t="s">
        <v>294</v>
      </c>
      <c r="D871" s="40" t="s">
        <v>295</v>
      </c>
      <c r="E871" s="24">
        <v>56400000</v>
      </c>
      <c r="F871" s="39">
        <v>44151</v>
      </c>
      <c r="G871" s="24">
        <v>56400000</v>
      </c>
      <c r="H871" s="23">
        <v>5.0000000000000001E-3</v>
      </c>
      <c r="I871" s="39">
        <v>44409</v>
      </c>
      <c r="J871" s="39">
        <v>44439</v>
      </c>
      <c r="K871" s="24">
        <f t="shared" si="62"/>
        <v>31</v>
      </c>
      <c r="L871" s="24">
        <f t="shared" si="63"/>
        <v>23951</v>
      </c>
      <c r="M871" s="24">
        <v>56400000</v>
      </c>
    </row>
    <row r="872" spans="1:13" s="5" customFormat="1" outlineLevel="2">
      <c r="A872" s="39" t="s">
        <v>293</v>
      </c>
      <c r="B872" s="40" t="s">
        <v>35</v>
      </c>
      <c r="C872" s="41" t="s">
        <v>115</v>
      </c>
      <c r="D872" s="40" t="s">
        <v>116</v>
      </c>
      <c r="E872" s="24">
        <v>2230000</v>
      </c>
      <c r="F872" s="39">
        <v>44138</v>
      </c>
      <c r="G872" s="24">
        <v>2230000</v>
      </c>
      <c r="H872" s="23">
        <v>5.0000000000000001E-3</v>
      </c>
      <c r="I872" s="39">
        <v>44409</v>
      </c>
      <c r="J872" s="39">
        <v>44439</v>
      </c>
      <c r="K872" s="24">
        <f t="shared" si="62"/>
        <v>31</v>
      </c>
      <c r="L872" s="24">
        <f t="shared" si="63"/>
        <v>947</v>
      </c>
      <c r="M872" s="24">
        <v>2230000</v>
      </c>
    </row>
    <row r="873" spans="1:13" s="5" customFormat="1" outlineLevel="2">
      <c r="A873" s="39" t="s">
        <v>293</v>
      </c>
      <c r="B873" s="40" t="s">
        <v>36</v>
      </c>
      <c r="C873" s="41" t="s">
        <v>294</v>
      </c>
      <c r="D873" s="40" t="s">
        <v>295</v>
      </c>
      <c r="E873" s="24">
        <v>112800000</v>
      </c>
      <c r="F873" s="39">
        <v>44180</v>
      </c>
      <c r="G873" s="24">
        <v>112800000</v>
      </c>
      <c r="H873" s="23">
        <v>5.0000000000000001E-3</v>
      </c>
      <c r="I873" s="39">
        <v>44409</v>
      </c>
      <c r="J873" s="39">
        <v>44439</v>
      </c>
      <c r="K873" s="24">
        <f t="shared" si="62"/>
        <v>31</v>
      </c>
      <c r="L873" s="24">
        <f t="shared" si="63"/>
        <v>47901</v>
      </c>
      <c r="M873" s="24">
        <v>112800000</v>
      </c>
    </row>
    <row r="874" spans="1:13" s="5" customFormat="1" outlineLevel="2">
      <c r="A874" s="39" t="s">
        <v>293</v>
      </c>
      <c r="B874" s="40" t="s">
        <v>39</v>
      </c>
      <c r="C874" s="41" t="s">
        <v>121</v>
      </c>
      <c r="D874" s="40" t="s">
        <v>122</v>
      </c>
      <c r="E874" s="24">
        <v>37000000</v>
      </c>
      <c r="F874" s="39">
        <v>43829</v>
      </c>
      <c r="G874" s="24">
        <v>37000000</v>
      </c>
      <c r="H874" s="23">
        <v>5.0000000000000001E-3</v>
      </c>
      <c r="I874" s="39">
        <v>44409</v>
      </c>
      <c r="J874" s="39">
        <v>44439</v>
      </c>
      <c r="K874" s="24">
        <f t="shared" si="62"/>
        <v>31</v>
      </c>
      <c r="L874" s="24">
        <f t="shared" si="63"/>
        <v>15712</v>
      </c>
      <c r="M874" s="24">
        <v>37000000</v>
      </c>
    </row>
    <row r="875" spans="1:13" s="5" customFormat="1" outlineLevel="2">
      <c r="A875" s="39" t="s">
        <v>293</v>
      </c>
      <c r="B875" s="40" t="s">
        <v>40</v>
      </c>
      <c r="C875" s="41" t="s">
        <v>294</v>
      </c>
      <c r="D875" s="40" t="s">
        <v>295</v>
      </c>
      <c r="E875" s="24">
        <v>3667200</v>
      </c>
      <c r="F875" s="39">
        <v>44180</v>
      </c>
      <c r="G875" s="24">
        <v>3667200</v>
      </c>
      <c r="H875" s="23">
        <v>5.0000000000000001E-3</v>
      </c>
      <c r="I875" s="39">
        <v>44409</v>
      </c>
      <c r="J875" s="39">
        <v>44439</v>
      </c>
      <c r="K875" s="24">
        <f t="shared" si="62"/>
        <v>31</v>
      </c>
      <c r="L875" s="24">
        <f t="shared" si="63"/>
        <v>1557</v>
      </c>
      <c r="M875" s="24">
        <v>3667200</v>
      </c>
    </row>
    <row r="876" spans="1:13" s="5" customFormat="1" outlineLevel="2">
      <c r="A876" s="39" t="s">
        <v>293</v>
      </c>
      <c r="B876" s="40" t="s">
        <v>41</v>
      </c>
      <c r="C876" s="41" t="s">
        <v>132</v>
      </c>
      <c r="D876" s="40" t="s">
        <v>133</v>
      </c>
      <c r="E876" s="24">
        <v>30870000</v>
      </c>
      <c r="F876" s="39">
        <v>44175</v>
      </c>
      <c r="G876" s="24">
        <v>30870000</v>
      </c>
      <c r="H876" s="23">
        <v>5.0000000000000001E-3</v>
      </c>
      <c r="I876" s="39">
        <v>44409</v>
      </c>
      <c r="J876" s="39">
        <v>44439</v>
      </c>
      <c r="K876" s="24">
        <f t="shared" si="62"/>
        <v>31</v>
      </c>
      <c r="L876" s="24">
        <f t="shared" si="63"/>
        <v>13109</v>
      </c>
      <c r="M876" s="24">
        <v>30870000</v>
      </c>
    </row>
    <row r="877" spans="1:13" s="5" customFormat="1" outlineLevel="2">
      <c r="A877" s="39" t="s">
        <v>293</v>
      </c>
      <c r="B877" s="40" t="s">
        <v>42</v>
      </c>
      <c r="C877" s="41" t="s">
        <v>294</v>
      </c>
      <c r="D877" s="40" t="s">
        <v>295</v>
      </c>
      <c r="E877" s="24">
        <v>57011200</v>
      </c>
      <c r="F877" s="39">
        <v>44211</v>
      </c>
      <c r="G877" s="24">
        <v>57011200</v>
      </c>
      <c r="H877" s="23">
        <v>5.0000000000000001E-3</v>
      </c>
      <c r="I877" s="39">
        <v>44409</v>
      </c>
      <c r="J877" s="39">
        <v>44439</v>
      </c>
      <c r="K877" s="24">
        <f t="shared" si="62"/>
        <v>31</v>
      </c>
      <c r="L877" s="24">
        <f t="shared" si="63"/>
        <v>24210</v>
      </c>
      <c r="M877" s="24">
        <v>57011200</v>
      </c>
    </row>
    <row r="878" spans="1:13" s="5" customFormat="1" outlineLevel="2">
      <c r="A878" s="39" t="s">
        <v>293</v>
      </c>
      <c r="B878" s="40" t="s">
        <v>43</v>
      </c>
      <c r="C878" s="41" t="s">
        <v>115</v>
      </c>
      <c r="D878" s="40" t="s">
        <v>116</v>
      </c>
      <c r="E878" s="24">
        <v>10000000</v>
      </c>
      <c r="F878" s="39">
        <v>44225</v>
      </c>
      <c r="G878" s="24">
        <v>10000000</v>
      </c>
      <c r="H878" s="23">
        <v>5.0000000000000001E-3</v>
      </c>
      <c r="I878" s="39">
        <v>44409</v>
      </c>
      <c r="J878" s="39">
        <v>44439</v>
      </c>
      <c r="K878" s="24">
        <f t="shared" si="62"/>
        <v>31</v>
      </c>
      <c r="L878" s="24">
        <f t="shared" si="63"/>
        <v>4247</v>
      </c>
      <c r="M878" s="24">
        <v>10000000</v>
      </c>
    </row>
    <row r="879" spans="1:13" s="5" customFormat="1" outlineLevel="2">
      <c r="A879" s="39" t="s">
        <v>293</v>
      </c>
      <c r="B879" s="40" t="s">
        <v>44</v>
      </c>
      <c r="C879" s="41" t="s">
        <v>132</v>
      </c>
      <c r="D879" s="40" t="s">
        <v>133</v>
      </c>
      <c r="E879" s="24">
        <v>5880000</v>
      </c>
      <c r="F879" s="39">
        <v>44207</v>
      </c>
      <c r="G879" s="24">
        <v>5880000</v>
      </c>
      <c r="H879" s="23">
        <v>5.0000000000000001E-3</v>
      </c>
      <c r="I879" s="39">
        <v>44409</v>
      </c>
      <c r="J879" s="39">
        <v>44439</v>
      </c>
      <c r="K879" s="24">
        <f t="shared" si="62"/>
        <v>31</v>
      </c>
      <c r="L879" s="24">
        <f t="shared" si="63"/>
        <v>2497</v>
      </c>
      <c r="M879" s="24">
        <v>5880000</v>
      </c>
    </row>
    <row r="880" spans="1:13" s="5" customFormat="1" outlineLevel="2">
      <c r="A880" s="39" t="s">
        <v>293</v>
      </c>
      <c r="B880" s="40" t="s">
        <v>47</v>
      </c>
      <c r="C880" s="41" t="s">
        <v>132</v>
      </c>
      <c r="D880" s="40" t="s">
        <v>133</v>
      </c>
      <c r="E880" s="24">
        <v>660000</v>
      </c>
      <c r="F880" s="39">
        <v>44221</v>
      </c>
      <c r="G880" s="24">
        <v>660000</v>
      </c>
      <c r="H880" s="23">
        <v>5.0000000000000001E-3</v>
      </c>
      <c r="I880" s="39">
        <v>44409</v>
      </c>
      <c r="J880" s="39">
        <v>44439</v>
      </c>
      <c r="K880" s="24">
        <f t="shared" si="62"/>
        <v>31</v>
      </c>
      <c r="L880" s="24">
        <f t="shared" si="63"/>
        <v>280</v>
      </c>
      <c r="M880" s="24">
        <v>660000</v>
      </c>
    </row>
    <row r="881" spans="1:13" s="5" customFormat="1" outlineLevel="2">
      <c r="A881" s="39" t="s">
        <v>293</v>
      </c>
      <c r="B881" s="40" t="s">
        <v>50</v>
      </c>
      <c r="C881" s="41" t="s">
        <v>132</v>
      </c>
      <c r="D881" s="40" t="s">
        <v>133</v>
      </c>
      <c r="E881" s="24">
        <v>4160000</v>
      </c>
      <c r="F881" s="39">
        <v>44207</v>
      </c>
      <c r="G881" s="24">
        <v>4160000</v>
      </c>
      <c r="H881" s="23">
        <v>5.0000000000000001E-3</v>
      </c>
      <c r="I881" s="39">
        <v>44409</v>
      </c>
      <c r="J881" s="39">
        <v>44439</v>
      </c>
      <c r="K881" s="24">
        <f t="shared" si="62"/>
        <v>31</v>
      </c>
      <c r="L881" s="24">
        <f t="shared" si="63"/>
        <v>1767</v>
      </c>
      <c r="M881" s="24">
        <v>4160000</v>
      </c>
    </row>
    <row r="882" spans="1:13" s="5" customFormat="1" outlineLevel="2">
      <c r="A882" s="39" t="s">
        <v>293</v>
      </c>
      <c r="B882" s="40" t="s">
        <v>51</v>
      </c>
      <c r="C882" s="41" t="s">
        <v>294</v>
      </c>
      <c r="D882" s="40" t="s">
        <v>295</v>
      </c>
      <c r="E882" s="24">
        <v>64400000</v>
      </c>
      <c r="F882" s="39">
        <v>44236</v>
      </c>
      <c r="G882" s="24">
        <v>64400000</v>
      </c>
      <c r="H882" s="23">
        <v>5.0000000000000001E-3</v>
      </c>
      <c r="I882" s="39">
        <v>44409</v>
      </c>
      <c r="J882" s="39">
        <v>44439</v>
      </c>
      <c r="K882" s="24">
        <f t="shared" si="62"/>
        <v>31</v>
      </c>
      <c r="L882" s="24">
        <f t="shared" si="63"/>
        <v>27348</v>
      </c>
      <c r="M882" s="24">
        <v>64400000</v>
      </c>
    </row>
    <row r="883" spans="1:13" s="5" customFormat="1" outlineLevel="2">
      <c r="A883" s="39" t="s">
        <v>293</v>
      </c>
      <c r="B883" s="40" t="s">
        <v>52</v>
      </c>
      <c r="C883" s="41" t="s">
        <v>294</v>
      </c>
      <c r="D883" s="40" t="s">
        <v>295</v>
      </c>
      <c r="E883" s="24">
        <v>57011200</v>
      </c>
      <c r="F883" s="39">
        <v>44245</v>
      </c>
      <c r="G883" s="24">
        <v>57011200</v>
      </c>
      <c r="H883" s="23">
        <v>5.0000000000000001E-3</v>
      </c>
      <c r="I883" s="39">
        <v>44409</v>
      </c>
      <c r="J883" s="39">
        <v>44439</v>
      </c>
      <c r="K883" s="24">
        <f t="shared" si="62"/>
        <v>31</v>
      </c>
      <c r="L883" s="24">
        <f t="shared" si="63"/>
        <v>24210</v>
      </c>
      <c r="M883" s="24">
        <v>57011200</v>
      </c>
    </row>
    <row r="884" spans="1:13" s="5" customFormat="1" outlineLevel="2">
      <c r="A884" s="39" t="s">
        <v>293</v>
      </c>
      <c r="B884" s="40" t="s">
        <v>53</v>
      </c>
      <c r="C884" s="41" t="s">
        <v>132</v>
      </c>
      <c r="D884" s="40" t="s">
        <v>133</v>
      </c>
      <c r="E884" s="24">
        <v>3640000</v>
      </c>
      <c r="F884" s="39">
        <v>44244</v>
      </c>
      <c r="G884" s="24">
        <v>3640000</v>
      </c>
      <c r="H884" s="23">
        <v>5.0000000000000001E-3</v>
      </c>
      <c r="I884" s="39">
        <v>44409</v>
      </c>
      <c r="J884" s="39">
        <v>44439</v>
      </c>
      <c r="K884" s="24">
        <f t="shared" si="62"/>
        <v>31</v>
      </c>
      <c r="L884" s="24">
        <f t="shared" si="63"/>
        <v>1546</v>
      </c>
      <c r="M884" s="24">
        <v>3640000</v>
      </c>
    </row>
    <row r="885" spans="1:13" s="5" customFormat="1" outlineLevel="2">
      <c r="A885" s="39" t="s">
        <v>293</v>
      </c>
      <c r="B885" s="40" t="s">
        <v>54</v>
      </c>
      <c r="C885" s="41" t="s">
        <v>55</v>
      </c>
      <c r="D885" s="40" t="s">
        <v>56</v>
      </c>
      <c r="E885" s="24">
        <v>17276700</v>
      </c>
      <c r="F885" s="39">
        <v>43878</v>
      </c>
      <c r="G885" s="24">
        <v>12381635</v>
      </c>
      <c r="H885" s="23">
        <v>5.0000000000000001E-3</v>
      </c>
      <c r="I885" s="39">
        <v>44409</v>
      </c>
      <c r="J885" s="39">
        <v>44423</v>
      </c>
      <c r="K885" s="24">
        <f t="shared" si="62"/>
        <v>15</v>
      </c>
      <c r="L885" s="24">
        <f t="shared" si="63"/>
        <v>2544</v>
      </c>
      <c r="M885" s="24">
        <v>12093690</v>
      </c>
    </row>
    <row r="886" spans="1:13" s="5" customFormat="1" outlineLevel="2">
      <c r="A886" s="39" t="s">
        <v>293</v>
      </c>
      <c r="B886" s="40" t="s">
        <v>54</v>
      </c>
      <c r="C886" s="41" t="s">
        <v>55</v>
      </c>
      <c r="D886" s="40"/>
      <c r="E886" s="24"/>
      <c r="F886" s="39"/>
      <c r="G886" s="24">
        <v>12093690</v>
      </c>
      <c r="H886" s="23">
        <v>5.0000000000000001E-3</v>
      </c>
      <c r="I886" s="39">
        <v>44424</v>
      </c>
      <c r="J886" s="39">
        <v>44439</v>
      </c>
      <c r="K886" s="24">
        <f t="shared" si="62"/>
        <v>16</v>
      </c>
      <c r="L886" s="24">
        <f t="shared" si="63"/>
        <v>2651</v>
      </c>
      <c r="M886" s="24"/>
    </row>
    <row r="887" spans="1:13" s="5" customFormat="1" outlineLevel="2">
      <c r="A887" s="39" t="s">
        <v>293</v>
      </c>
      <c r="B887" s="40" t="s">
        <v>57</v>
      </c>
      <c r="C887" s="41" t="s">
        <v>132</v>
      </c>
      <c r="D887" s="40" t="s">
        <v>133</v>
      </c>
      <c r="E887" s="24">
        <v>7500000</v>
      </c>
      <c r="F887" s="39">
        <v>44228</v>
      </c>
      <c r="G887" s="24">
        <v>7500000</v>
      </c>
      <c r="H887" s="23">
        <v>5.0000000000000001E-3</v>
      </c>
      <c r="I887" s="39">
        <v>44409</v>
      </c>
      <c r="J887" s="39">
        <v>44439</v>
      </c>
      <c r="K887" s="24">
        <f t="shared" si="62"/>
        <v>31</v>
      </c>
      <c r="L887" s="24">
        <f t="shared" si="63"/>
        <v>3185</v>
      </c>
      <c r="M887" s="24">
        <v>7500000</v>
      </c>
    </row>
    <row r="888" spans="1:13" s="5" customFormat="1" outlineLevel="2">
      <c r="A888" s="39" t="s">
        <v>293</v>
      </c>
      <c r="B888" s="40" t="s">
        <v>58</v>
      </c>
      <c r="C888" s="41" t="s">
        <v>132</v>
      </c>
      <c r="D888" s="40" t="s">
        <v>133</v>
      </c>
      <c r="E888" s="24">
        <v>7490000</v>
      </c>
      <c r="F888" s="39">
        <v>44235</v>
      </c>
      <c r="G888" s="24">
        <v>7490000</v>
      </c>
      <c r="H888" s="23">
        <v>5.0000000000000001E-3</v>
      </c>
      <c r="I888" s="39">
        <v>44409</v>
      </c>
      <c r="J888" s="39">
        <v>44439</v>
      </c>
      <c r="K888" s="24">
        <f t="shared" si="62"/>
        <v>31</v>
      </c>
      <c r="L888" s="24">
        <f t="shared" si="63"/>
        <v>3181</v>
      </c>
      <c r="M888" s="24">
        <v>7490000</v>
      </c>
    </row>
    <row r="889" spans="1:13" s="5" customFormat="1" outlineLevel="2">
      <c r="A889" s="39" t="s">
        <v>293</v>
      </c>
      <c r="B889" s="40" t="s">
        <v>99</v>
      </c>
      <c r="C889" s="41" t="s">
        <v>132</v>
      </c>
      <c r="D889" s="40" t="s">
        <v>133</v>
      </c>
      <c r="E889" s="24">
        <v>6670000</v>
      </c>
      <c r="F889" s="39">
        <v>44252</v>
      </c>
      <c r="G889" s="24">
        <v>6670000</v>
      </c>
      <c r="H889" s="23">
        <v>5.0000000000000001E-3</v>
      </c>
      <c r="I889" s="39">
        <v>44409</v>
      </c>
      <c r="J889" s="39">
        <v>44439</v>
      </c>
      <c r="K889" s="24">
        <f t="shared" si="62"/>
        <v>31</v>
      </c>
      <c r="L889" s="24">
        <f t="shared" si="63"/>
        <v>2832</v>
      </c>
      <c r="M889" s="24">
        <v>6670000</v>
      </c>
    </row>
    <row r="890" spans="1:13" s="5" customFormat="1" outlineLevel="2">
      <c r="A890" s="39" t="s">
        <v>293</v>
      </c>
      <c r="B890" s="40" t="s">
        <v>100</v>
      </c>
      <c r="C890" s="41" t="s">
        <v>20</v>
      </c>
      <c r="D890" s="40" t="s">
        <v>21</v>
      </c>
      <c r="E890" s="24">
        <v>199200000</v>
      </c>
      <c r="F890" s="39">
        <v>44259</v>
      </c>
      <c r="G890" s="24">
        <v>199200000</v>
      </c>
      <c r="H890" s="23">
        <v>3.0000000000000001E-3</v>
      </c>
      <c r="I890" s="39">
        <v>44409</v>
      </c>
      <c r="J890" s="39">
        <v>44439</v>
      </c>
      <c r="K890" s="24">
        <f t="shared" si="62"/>
        <v>31</v>
      </c>
      <c r="L890" s="24">
        <f t="shared" si="63"/>
        <v>50755</v>
      </c>
      <c r="M890" s="24">
        <v>199200000</v>
      </c>
    </row>
    <row r="891" spans="1:13" s="5" customFormat="1" outlineLevel="2">
      <c r="A891" s="39" t="s">
        <v>293</v>
      </c>
      <c r="B891" s="40" t="s">
        <v>101</v>
      </c>
      <c r="C891" s="41" t="s">
        <v>294</v>
      </c>
      <c r="D891" s="40" t="s">
        <v>295</v>
      </c>
      <c r="E891" s="24">
        <v>39703444</v>
      </c>
      <c r="F891" s="39">
        <v>44270</v>
      </c>
      <c r="G891" s="24">
        <v>39703444</v>
      </c>
      <c r="H891" s="23">
        <v>5.0000000000000001E-3</v>
      </c>
      <c r="I891" s="39">
        <v>44409</v>
      </c>
      <c r="J891" s="39">
        <v>44439</v>
      </c>
      <c r="K891" s="24">
        <f t="shared" si="62"/>
        <v>31</v>
      </c>
      <c r="L891" s="24">
        <f t="shared" si="63"/>
        <v>16860</v>
      </c>
      <c r="M891" s="24">
        <v>39703444</v>
      </c>
    </row>
    <row r="892" spans="1:13" s="5" customFormat="1" outlineLevel="2">
      <c r="A892" s="39" t="s">
        <v>293</v>
      </c>
      <c r="B892" s="40" t="s">
        <v>102</v>
      </c>
      <c r="C892" s="41" t="s">
        <v>115</v>
      </c>
      <c r="D892" s="40" t="s">
        <v>116</v>
      </c>
      <c r="E892" s="24">
        <v>27770000</v>
      </c>
      <c r="F892" s="39">
        <v>44273</v>
      </c>
      <c r="G892" s="24">
        <v>27770000</v>
      </c>
      <c r="H892" s="23">
        <v>5.0000000000000001E-3</v>
      </c>
      <c r="I892" s="39">
        <v>44409</v>
      </c>
      <c r="J892" s="39">
        <v>44439</v>
      </c>
      <c r="K892" s="24">
        <f t="shared" si="62"/>
        <v>31</v>
      </c>
      <c r="L892" s="24">
        <f t="shared" si="63"/>
        <v>11793</v>
      </c>
      <c r="M892" s="24">
        <v>27770000</v>
      </c>
    </row>
    <row r="893" spans="1:13" s="5" customFormat="1" outlineLevel="2">
      <c r="A893" s="39" t="s">
        <v>293</v>
      </c>
      <c r="B893" s="40" t="s">
        <v>103</v>
      </c>
      <c r="C893" s="41" t="s">
        <v>132</v>
      </c>
      <c r="D893" s="40" t="s">
        <v>133</v>
      </c>
      <c r="E893" s="24">
        <v>2620000</v>
      </c>
      <c r="F893" s="39">
        <v>44280</v>
      </c>
      <c r="G893" s="24">
        <v>2620000</v>
      </c>
      <c r="H893" s="23">
        <v>5.0000000000000001E-3</v>
      </c>
      <c r="I893" s="39">
        <v>44409</v>
      </c>
      <c r="J893" s="39">
        <v>44439</v>
      </c>
      <c r="K893" s="24">
        <f t="shared" ref="K893:K924" si="64">J893-I893+1</f>
        <v>31</v>
      </c>
      <c r="L893" s="24">
        <f t="shared" ref="L893:L924" si="65">ROUND(G893*H893*K893/365,0)</f>
        <v>1113</v>
      </c>
      <c r="M893" s="24">
        <v>2620000</v>
      </c>
    </row>
    <row r="894" spans="1:13" s="5" customFormat="1" outlineLevel="2">
      <c r="A894" s="39" t="s">
        <v>293</v>
      </c>
      <c r="B894" s="40" t="s">
        <v>104</v>
      </c>
      <c r="C894" s="41" t="s">
        <v>132</v>
      </c>
      <c r="D894" s="40" t="s">
        <v>133</v>
      </c>
      <c r="E894" s="24">
        <v>6350000</v>
      </c>
      <c r="F894" s="39">
        <v>44265</v>
      </c>
      <c r="G894" s="24">
        <v>6350000</v>
      </c>
      <c r="H894" s="23">
        <v>5.0000000000000001E-3</v>
      </c>
      <c r="I894" s="39">
        <v>44409</v>
      </c>
      <c r="J894" s="39">
        <v>44439</v>
      </c>
      <c r="K894" s="24">
        <f t="shared" si="64"/>
        <v>31</v>
      </c>
      <c r="L894" s="24">
        <f t="shared" si="65"/>
        <v>2697</v>
      </c>
      <c r="M894" s="24">
        <v>6350000</v>
      </c>
    </row>
    <row r="895" spans="1:13" s="5" customFormat="1" outlineLevel="2">
      <c r="A895" s="39" t="s">
        <v>293</v>
      </c>
      <c r="B895" s="40" t="s">
        <v>105</v>
      </c>
      <c r="C895" s="41" t="s">
        <v>132</v>
      </c>
      <c r="D895" s="40" t="s">
        <v>133</v>
      </c>
      <c r="E895" s="24">
        <v>1870000</v>
      </c>
      <c r="F895" s="39">
        <v>44280</v>
      </c>
      <c r="G895" s="24">
        <v>1870000</v>
      </c>
      <c r="H895" s="23">
        <v>5.0000000000000001E-3</v>
      </c>
      <c r="I895" s="39">
        <v>44409</v>
      </c>
      <c r="J895" s="39">
        <v>44439</v>
      </c>
      <c r="K895" s="24">
        <f t="shared" si="64"/>
        <v>31</v>
      </c>
      <c r="L895" s="24">
        <f t="shared" si="65"/>
        <v>794</v>
      </c>
      <c r="M895" s="24">
        <v>1870000</v>
      </c>
    </row>
    <row r="896" spans="1:13" s="5" customFormat="1" outlineLevel="2">
      <c r="A896" s="39" t="s">
        <v>293</v>
      </c>
      <c r="B896" s="40" t="s">
        <v>106</v>
      </c>
      <c r="C896" s="41" t="s">
        <v>294</v>
      </c>
      <c r="D896" s="40" t="s">
        <v>295</v>
      </c>
      <c r="E896" s="24">
        <v>72291200</v>
      </c>
      <c r="F896" s="39">
        <v>44301</v>
      </c>
      <c r="G896" s="24">
        <v>72291200</v>
      </c>
      <c r="H896" s="23">
        <v>5.0000000000000001E-3</v>
      </c>
      <c r="I896" s="39">
        <v>44409</v>
      </c>
      <c r="J896" s="39">
        <v>44439</v>
      </c>
      <c r="K896" s="24">
        <f t="shared" si="64"/>
        <v>31</v>
      </c>
      <c r="L896" s="24">
        <f t="shared" si="65"/>
        <v>30699</v>
      </c>
      <c r="M896" s="24">
        <v>72291200</v>
      </c>
    </row>
    <row r="897" spans="1:13" s="5" customFormat="1" outlineLevel="2">
      <c r="A897" s="39" t="s">
        <v>293</v>
      </c>
      <c r="B897" s="40" t="s">
        <v>59</v>
      </c>
      <c r="C897" s="41" t="s">
        <v>121</v>
      </c>
      <c r="D897" s="40" t="s">
        <v>122</v>
      </c>
      <c r="E897" s="24">
        <v>73000000</v>
      </c>
      <c r="F897" s="39">
        <v>43896</v>
      </c>
      <c r="G897" s="24">
        <v>73000000</v>
      </c>
      <c r="H897" s="23">
        <v>5.0000000000000001E-3</v>
      </c>
      <c r="I897" s="39">
        <v>44409</v>
      </c>
      <c r="J897" s="39">
        <v>44439</v>
      </c>
      <c r="K897" s="24">
        <f t="shared" si="64"/>
        <v>31</v>
      </c>
      <c r="L897" s="24">
        <f t="shared" si="65"/>
        <v>31000</v>
      </c>
      <c r="M897" s="24">
        <v>73000000</v>
      </c>
    </row>
    <row r="898" spans="1:13" s="5" customFormat="1" outlineLevel="2">
      <c r="A898" s="39" t="s">
        <v>293</v>
      </c>
      <c r="B898" s="40" t="s">
        <v>136</v>
      </c>
      <c r="C898" s="41" t="s">
        <v>132</v>
      </c>
      <c r="D898" s="40" t="s">
        <v>133</v>
      </c>
      <c r="E898" s="24">
        <v>750000</v>
      </c>
      <c r="F898" s="39">
        <v>44301</v>
      </c>
      <c r="G898" s="24">
        <v>750000</v>
      </c>
      <c r="H898" s="23">
        <v>5.0000000000000001E-3</v>
      </c>
      <c r="I898" s="39">
        <v>44409</v>
      </c>
      <c r="J898" s="39">
        <v>44439</v>
      </c>
      <c r="K898" s="24">
        <f t="shared" si="64"/>
        <v>31</v>
      </c>
      <c r="L898" s="24">
        <f t="shared" si="65"/>
        <v>318</v>
      </c>
      <c r="M898" s="24">
        <v>750000</v>
      </c>
    </row>
    <row r="899" spans="1:13" s="5" customFormat="1" outlineLevel="2">
      <c r="A899" s="39" t="s">
        <v>293</v>
      </c>
      <c r="B899" s="40" t="s">
        <v>137</v>
      </c>
      <c r="C899" s="41" t="s">
        <v>132</v>
      </c>
      <c r="D899" s="40" t="s">
        <v>133</v>
      </c>
      <c r="E899" s="24">
        <v>4560000</v>
      </c>
      <c r="F899" s="39">
        <v>44298</v>
      </c>
      <c r="G899" s="24">
        <v>4560000</v>
      </c>
      <c r="H899" s="23">
        <v>5.0000000000000001E-3</v>
      </c>
      <c r="I899" s="39">
        <v>44409</v>
      </c>
      <c r="J899" s="39">
        <v>44439</v>
      </c>
      <c r="K899" s="24">
        <f t="shared" si="64"/>
        <v>31</v>
      </c>
      <c r="L899" s="24">
        <f t="shared" si="65"/>
        <v>1936</v>
      </c>
      <c r="M899" s="24">
        <v>4560000</v>
      </c>
    </row>
    <row r="900" spans="1:13" s="5" customFormat="1" outlineLevel="2">
      <c r="A900" s="39" t="s">
        <v>293</v>
      </c>
      <c r="B900" s="40" t="s">
        <v>138</v>
      </c>
      <c r="C900" s="41" t="s">
        <v>132</v>
      </c>
      <c r="D900" s="40" t="s">
        <v>133</v>
      </c>
      <c r="E900" s="24">
        <v>10770000</v>
      </c>
      <c r="F900" s="39">
        <v>44312</v>
      </c>
      <c r="G900" s="24">
        <v>10770000</v>
      </c>
      <c r="H900" s="23">
        <v>5.0000000000000001E-3</v>
      </c>
      <c r="I900" s="39">
        <v>44409</v>
      </c>
      <c r="J900" s="39">
        <v>44439</v>
      </c>
      <c r="K900" s="24">
        <f t="shared" si="64"/>
        <v>31</v>
      </c>
      <c r="L900" s="24">
        <f t="shared" si="65"/>
        <v>4574</v>
      </c>
      <c r="M900" s="24">
        <v>10770000</v>
      </c>
    </row>
    <row r="901" spans="1:13" s="5" customFormat="1" outlineLevel="2">
      <c r="A901" s="39" t="s">
        <v>293</v>
      </c>
      <c r="B901" s="40" t="s">
        <v>139</v>
      </c>
      <c r="C901" s="41" t="s">
        <v>339</v>
      </c>
      <c r="D901" s="40" t="s">
        <v>338</v>
      </c>
      <c r="E901" s="24">
        <v>500000</v>
      </c>
      <c r="F901" s="39">
        <v>44293</v>
      </c>
      <c r="G901" s="24">
        <v>500000</v>
      </c>
      <c r="H901" s="23">
        <v>5.0000000000000001E-3</v>
      </c>
      <c r="I901" s="39">
        <v>44409</v>
      </c>
      <c r="J901" s="39">
        <v>44439</v>
      </c>
      <c r="K901" s="24">
        <f t="shared" si="64"/>
        <v>31</v>
      </c>
      <c r="L901" s="24">
        <f t="shared" si="65"/>
        <v>212</v>
      </c>
      <c r="M901" s="24">
        <v>500000</v>
      </c>
    </row>
    <row r="902" spans="1:13" s="5" customFormat="1" outlineLevel="2">
      <c r="A902" s="39" t="s">
        <v>293</v>
      </c>
      <c r="B902" s="40" t="s">
        <v>140</v>
      </c>
      <c r="C902" s="41" t="s">
        <v>294</v>
      </c>
      <c r="D902" s="40" t="s">
        <v>295</v>
      </c>
      <c r="E902" s="24">
        <v>83384000</v>
      </c>
      <c r="F902" s="39">
        <v>44333</v>
      </c>
      <c r="G902" s="24">
        <v>83384000</v>
      </c>
      <c r="H902" s="23">
        <v>5.0000000000000001E-3</v>
      </c>
      <c r="I902" s="39">
        <v>44409</v>
      </c>
      <c r="J902" s="39">
        <v>44439</v>
      </c>
      <c r="K902" s="24">
        <f t="shared" si="64"/>
        <v>31</v>
      </c>
      <c r="L902" s="24">
        <f t="shared" si="65"/>
        <v>35410</v>
      </c>
      <c r="M902" s="24">
        <v>83384000</v>
      </c>
    </row>
    <row r="903" spans="1:13" s="5" customFormat="1" outlineLevel="2">
      <c r="A903" s="39" t="s">
        <v>293</v>
      </c>
      <c r="B903" s="40" t="s">
        <v>169</v>
      </c>
      <c r="C903" s="41" t="s">
        <v>294</v>
      </c>
      <c r="D903" s="40" t="s">
        <v>295</v>
      </c>
      <c r="E903" s="24">
        <v>11904000</v>
      </c>
      <c r="F903" s="39">
        <v>44347</v>
      </c>
      <c r="G903" s="24">
        <v>11904000</v>
      </c>
      <c r="H903" s="23">
        <v>5.0000000000000001E-3</v>
      </c>
      <c r="I903" s="39">
        <v>44409</v>
      </c>
      <c r="J903" s="39">
        <v>44439</v>
      </c>
      <c r="K903" s="24">
        <f t="shared" si="64"/>
        <v>31</v>
      </c>
      <c r="L903" s="24">
        <f t="shared" si="65"/>
        <v>5055</v>
      </c>
      <c r="M903" s="24">
        <v>11904000</v>
      </c>
    </row>
    <row r="904" spans="1:13" s="5" customFormat="1" outlineLevel="2">
      <c r="A904" s="39" t="s">
        <v>293</v>
      </c>
      <c r="B904" s="40" t="s">
        <v>170</v>
      </c>
      <c r="C904" s="41" t="s">
        <v>132</v>
      </c>
      <c r="D904" s="40" t="s">
        <v>133</v>
      </c>
      <c r="E904" s="24">
        <v>1470000</v>
      </c>
      <c r="F904" s="39">
        <v>44319</v>
      </c>
      <c r="G904" s="24">
        <v>1470000</v>
      </c>
      <c r="H904" s="23">
        <v>5.0000000000000001E-3</v>
      </c>
      <c r="I904" s="39">
        <v>44409</v>
      </c>
      <c r="J904" s="39">
        <v>44439</v>
      </c>
      <c r="K904" s="24">
        <f t="shared" si="64"/>
        <v>31</v>
      </c>
      <c r="L904" s="24">
        <f t="shared" si="65"/>
        <v>624</v>
      </c>
      <c r="M904" s="24">
        <v>1470000</v>
      </c>
    </row>
    <row r="905" spans="1:13" s="5" customFormat="1" outlineLevel="2">
      <c r="A905" s="39" t="s">
        <v>293</v>
      </c>
      <c r="B905" s="40" t="s">
        <v>171</v>
      </c>
      <c r="C905" s="41" t="s">
        <v>132</v>
      </c>
      <c r="D905" s="40" t="s">
        <v>133</v>
      </c>
      <c r="E905" s="24">
        <v>1480000</v>
      </c>
      <c r="F905" s="39">
        <v>44341</v>
      </c>
      <c r="G905" s="24">
        <v>1480000</v>
      </c>
      <c r="H905" s="23">
        <v>5.0000000000000001E-3</v>
      </c>
      <c r="I905" s="39">
        <v>44409</v>
      </c>
      <c r="J905" s="39">
        <v>44439</v>
      </c>
      <c r="K905" s="24">
        <f t="shared" si="64"/>
        <v>31</v>
      </c>
      <c r="L905" s="24">
        <f t="shared" si="65"/>
        <v>628</v>
      </c>
      <c r="M905" s="24">
        <v>1480000</v>
      </c>
    </row>
    <row r="906" spans="1:13" s="5" customFormat="1" outlineLevel="2">
      <c r="A906" s="39" t="s">
        <v>293</v>
      </c>
      <c r="B906" s="40" t="s">
        <v>172</v>
      </c>
      <c r="C906" s="41" t="s">
        <v>132</v>
      </c>
      <c r="D906" s="40" t="s">
        <v>133</v>
      </c>
      <c r="E906" s="24">
        <v>6090000</v>
      </c>
      <c r="F906" s="39">
        <v>44326</v>
      </c>
      <c r="G906" s="24">
        <v>6090000</v>
      </c>
      <c r="H906" s="23">
        <v>5.0000000000000001E-3</v>
      </c>
      <c r="I906" s="39">
        <v>44409</v>
      </c>
      <c r="J906" s="39">
        <v>44439</v>
      </c>
      <c r="K906" s="24">
        <f t="shared" si="64"/>
        <v>31</v>
      </c>
      <c r="L906" s="24">
        <f t="shared" si="65"/>
        <v>2586</v>
      </c>
      <c r="M906" s="24">
        <v>6090000</v>
      </c>
    </row>
    <row r="907" spans="1:13" s="5" customFormat="1" outlineLevel="2">
      <c r="A907" s="39" t="s">
        <v>293</v>
      </c>
      <c r="B907" s="40" t="s">
        <v>173</v>
      </c>
      <c r="C907" s="41" t="s">
        <v>132</v>
      </c>
      <c r="D907" s="40" t="s">
        <v>133</v>
      </c>
      <c r="E907" s="24">
        <v>9220000</v>
      </c>
      <c r="F907" s="39">
        <v>44341</v>
      </c>
      <c r="G907" s="24">
        <v>9220000</v>
      </c>
      <c r="H907" s="23">
        <v>5.0000000000000001E-3</v>
      </c>
      <c r="I907" s="39">
        <v>44409</v>
      </c>
      <c r="J907" s="39">
        <v>44439</v>
      </c>
      <c r="K907" s="24">
        <f t="shared" si="64"/>
        <v>31</v>
      </c>
      <c r="L907" s="24">
        <f t="shared" si="65"/>
        <v>3915</v>
      </c>
      <c r="M907" s="24">
        <v>9220000</v>
      </c>
    </row>
    <row r="908" spans="1:13" s="5" customFormat="1" outlineLevel="2">
      <c r="A908" s="39" t="s">
        <v>293</v>
      </c>
      <c r="B908" s="40" t="s">
        <v>62</v>
      </c>
      <c r="C908" s="41" t="s">
        <v>55</v>
      </c>
      <c r="D908" s="40" t="s">
        <v>56</v>
      </c>
      <c r="E908" s="24">
        <v>19997321</v>
      </c>
      <c r="F908" s="39">
        <v>43948</v>
      </c>
      <c r="G908" s="24">
        <v>19997321</v>
      </c>
      <c r="H908" s="23">
        <v>5.0000000000000001E-3</v>
      </c>
      <c r="I908" s="39">
        <v>44409</v>
      </c>
      <c r="J908" s="39">
        <v>44439</v>
      </c>
      <c r="K908" s="24">
        <f t="shared" si="64"/>
        <v>31</v>
      </c>
      <c r="L908" s="24">
        <f t="shared" si="65"/>
        <v>8492</v>
      </c>
      <c r="M908" s="24">
        <v>19997321</v>
      </c>
    </row>
    <row r="909" spans="1:13" s="5" customFormat="1" outlineLevel="2">
      <c r="A909" s="39" t="s">
        <v>293</v>
      </c>
      <c r="B909" s="40" t="s">
        <v>174</v>
      </c>
      <c r="C909" s="41" t="s">
        <v>294</v>
      </c>
      <c r="D909" s="40" t="s">
        <v>295</v>
      </c>
      <c r="E909" s="24">
        <v>4424000</v>
      </c>
      <c r="F909" s="39">
        <v>44362</v>
      </c>
      <c r="G909" s="24">
        <v>4424000</v>
      </c>
      <c r="H909" s="23">
        <v>5.0000000000000001E-3</v>
      </c>
      <c r="I909" s="39">
        <v>44409</v>
      </c>
      <c r="J909" s="39">
        <v>44439</v>
      </c>
      <c r="K909" s="24">
        <f t="shared" si="64"/>
        <v>31</v>
      </c>
      <c r="L909" s="24">
        <f t="shared" si="65"/>
        <v>1879</v>
      </c>
      <c r="M909" s="24">
        <v>4424000</v>
      </c>
    </row>
    <row r="910" spans="1:13" s="5" customFormat="1" outlineLevel="2">
      <c r="A910" s="39" t="s">
        <v>293</v>
      </c>
      <c r="B910" s="40" t="s">
        <v>175</v>
      </c>
      <c r="C910" s="41" t="s">
        <v>115</v>
      </c>
      <c r="D910" s="40" t="s">
        <v>116</v>
      </c>
      <c r="E910" s="24">
        <v>17000000</v>
      </c>
      <c r="F910" s="39">
        <v>44370</v>
      </c>
      <c r="G910" s="24">
        <v>17000000</v>
      </c>
      <c r="H910" s="23">
        <v>5.0000000000000001E-3</v>
      </c>
      <c r="I910" s="39">
        <v>44409</v>
      </c>
      <c r="J910" s="39">
        <v>44439</v>
      </c>
      <c r="K910" s="24">
        <f t="shared" si="64"/>
        <v>31</v>
      </c>
      <c r="L910" s="24">
        <f t="shared" si="65"/>
        <v>7219</v>
      </c>
      <c r="M910" s="24">
        <v>17000000</v>
      </c>
    </row>
    <row r="911" spans="1:13" s="5" customFormat="1" outlineLevel="2">
      <c r="A911" s="39" t="s">
        <v>293</v>
      </c>
      <c r="B911" s="40" t="s">
        <v>176</v>
      </c>
      <c r="C911" s="41" t="s">
        <v>132</v>
      </c>
      <c r="D911" s="40" t="s">
        <v>133</v>
      </c>
      <c r="E911" s="24">
        <v>1420000</v>
      </c>
      <c r="F911" s="39">
        <v>44368</v>
      </c>
      <c r="G911" s="24">
        <v>1420000</v>
      </c>
      <c r="H911" s="23">
        <v>5.0000000000000001E-3</v>
      </c>
      <c r="I911" s="39">
        <v>44409</v>
      </c>
      <c r="J911" s="39">
        <v>44439</v>
      </c>
      <c r="K911" s="24">
        <f t="shared" si="64"/>
        <v>31</v>
      </c>
      <c r="L911" s="24">
        <f t="shared" si="65"/>
        <v>603</v>
      </c>
      <c r="M911" s="24">
        <v>1420000</v>
      </c>
    </row>
    <row r="912" spans="1:13" s="5" customFormat="1" outlineLevel="2">
      <c r="A912" s="39" t="s">
        <v>293</v>
      </c>
      <c r="B912" s="40" t="s">
        <v>177</v>
      </c>
      <c r="C912" s="41" t="s">
        <v>132</v>
      </c>
      <c r="D912" s="40" t="s">
        <v>133</v>
      </c>
      <c r="E912" s="24">
        <v>6000000</v>
      </c>
      <c r="F912" s="39">
        <v>44357</v>
      </c>
      <c r="G912" s="24">
        <v>6000000</v>
      </c>
      <c r="H912" s="23">
        <v>5.0000000000000001E-3</v>
      </c>
      <c r="I912" s="39">
        <v>44409</v>
      </c>
      <c r="J912" s="39">
        <v>44439</v>
      </c>
      <c r="K912" s="24">
        <f t="shared" si="64"/>
        <v>31</v>
      </c>
      <c r="L912" s="24">
        <f t="shared" si="65"/>
        <v>2548</v>
      </c>
      <c r="M912" s="24">
        <v>6000000</v>
      </c>
    </row>
    <row r="913" spans="1:13" s="5" customFormat="1" outlineLevel="2">
      <c r="A913" s="39" t="s">
        <v>293</v>
      </c>
      <c r="B913" s="40" t="s">
        <v>178</v>
      </c>
      <c r="C913" s="41" t="s">
        <v>132</v>
      </c>
      <c r="D913" s="40" t="s">
        <v>133</v>
      </c>
      <c r="E913" s="24">
        <v>760000</v>
      </c>
      <c r="F913" s="39">
        <v>44372</v>
      </c>
      <c r="G913" s="24">
        <v>760000</v>
      </c>
      <c r="H913" s="23">
        <v>5.0000000000000001E-3</v>
      </c>
      <c r="I913" s="39">
        <v>44409</v>
      </c>
      <c r="J913" s="39">
        <v>44439</v>
      </c>
      <c r="K913" s="24">
        <f t="shared" si="64"/>
        <v>31</v>
      </c>
      <c r="L913" s="24">
        <f t="shared" si="65"/>
        <v>323</v>
      </c>
      <c r="M913" s="24">
        <v>760000</v>
      </c>
    </row>
    <row r="914" spans="1:13" s="5" customFormat="1" outlineLevel="2">
      <c r="A914" s="39" t="s">
        <v>293</v>
      </c>
      <c r="B914" s="40" t="s">
        <v>179</v>
      </c>
      <c r="C914" s="41" t="s">
        <v>294</v>
      </c>
      <c r="D914" s="40" t="s">
        <v>295</v>
      </c>
      <c r="E914" s="24">
        <v>35516244</v>
      </c>
      <c r="F914" s="39">
        <v>44392</v>
      </c>
      <c r="G914" s="24">
        <v>35516244</v>
      </c>
      <c r="H914" s="23">
        <v>5.0000000000000001E-3</v>
      </c>
      <c r="I914" s="39">
        <v>44409</v>
      </c>
      <c r="J914" s="39">
        <v>44439</v>
      </c>
      <c r="K914" s="24">
        <f t="shared" si="64"/>
        <v>31</v>
      </c>
      <c r="L914" s="24">
        <f t="shared" si="65"/>
        <v>15082</v>
      </c>
      <c r="M914" s="24">
        <v>35516244</v>
      </c>
    </row>
    <row r="915" spans="1:13" s="5" customFormat="1" outlineLevel="2">
      <c r="A915" s="39" t="s">
        <v>293</v>
      </c>
      <c r="B915" s="40" t="s">
        <v>180</v>
      </c>
      <c r="C915" s="41" t="s">
        <v>132</v>
      </c>
      <c r="D915" s="40" t="s">
        <v>133</v>
      </c>
      <c r="E915" s="24">
        <v>3890000</v>
      </c>
      <c r="F915" s="39">
        <v>44382</v>
      </c>
      <c r="G915" s="24">
        <v>3890000</v>
      </c>
      <c r="H915" s="23">
        <v>5.0000000000000001E-3</v>
      </c>
      <c r="I915" s="39">
        <v>44409</v>
      </c>
      <c r="J915" s="39">
        <v>44439</v>
      </c>
      <c r="K915" s="24">
        <f t="shared" si="64"/>
        <v>31</v>
      </c>
      <c r="L915" s="24">
        <f t="shared" si="65"/>
        <v>1652</v>
      </c>
      <c r="M915" s="24">
        <v>3890000</v>
      </c>
    </row>
    <row r="916" spans="1:13" s="5" customFormat="1" outlineLevel="2">
      <c r="A916" s="39" t="s">
        <v>293</v>
      </c>
      <c r="B916" s="40" t="s">
        <v>181</v>
      </c>
      <c r="C916" s="41" t="s">
        <v>132</v>
      </c>
      <c r="D916" s="40" t="s">
        <v>133</v>
      </c>
      <c r="E916" s="24">
        <v>1360000</v>
      </c>
      <c r="F916" s="39">
        <v>44389</v>
      </c>
      <c r="G916" s="24">
        <v>1360000</v>
      </c>
      <c r="H916" s="23">
        <v>5.0000000000000001E-3</v>
      </c>
      <c r="I916" s="39">
        <v>44409</v>
      </c>
      <c r="J916" s="39">
        <v>44439</v>
      </c>
      <c r="K916" s="24">
        <f t="shared" si="64"/>
        <v>31</v>
      </c>
      <c r="L916" s="24">
        <f t="shared" si="65"/>
        <v>578</v>
      </c>
      <c r="M916" s="24">
        <v>1360000</v>
      </c>
    </row>
    <row r="917" spans="1:13" s="5" customFormat="1" outlineLevel="2">
      <c r="A917" s="39" t="s">
        <v>293</v>
      </c>
      <c r="B917" s="40" t="s">
        <v>182</v>
      </c>
      <c r="C917" s="41" t="s">
        <v>132</v>
      </c>
      <c r="D917" s="40" t="s">
        <v>133</v>
      </c>
      <c r="E917" s="24">
        <v>7190000</v>
      </c>
      <c r="F917" s="39">
        <v>44389</v>
      </c>
      <c r="G917" s="24">
        <v>7190000</v>
      </c>
      <c r="H917" s="23">
        <v>5.0000000000000001E-3</v>
      </c>
      <c r="I917" s="39">
        <v>44409</v>
      </c>
      <c r="J917" s="39">
        <v>44439</v>
      </c>
      <c r="K917" s="24">
        <f t="shared" si="64"/>
        <v>31</v>
      </c>
      <c r="L917" s="24">
        <f t="shared" si="65"/>
        <v>3053</v>
      </c>
      <c r="M917" s="24">
        <v>7190000</v>
      </c>
    </row>
    <row r="918" spans="1:13" s="5" customFormat="1" outlineLevel="2">
      <c r="A918" s="39" t="s">
        <v>293</v>
      </c>
      <c r="B918" s="40" t="s">
        <v>183</v>
      </c>
      <c r="C918" s="41" t="s">
        <v>132</v>
      </c>
      <c r="D918" s="40" t="s">
        <v>133</v>
      </c>
      <c r="E918" s="24">
        <v>3120000</v>
      </c>
      <c r="F918" s="39">
        <v>44403</v>
      </c>
      <c r="G918" s="24">
        <v>3120000</v>
      </c>
      <c r="H918" s="23">
        <v>5.0000000000000001E-3</v>
      </c>
      <c r="I918" s="39">
        <v>44409</v>
      </c>
      <c r="J918" s="39">
        <v>44439</v>
      </c>
      <c r="K918" s="24">
        <f t="shared" si="64"/>
        <v>31</v>
      </c>
      <c r="L918" s="24">
        <f t="shared" si="65"/>
        <v>1325</v>
      </c>
      <c r="M918" s="24">
        <v>3120000</v>
      </c>
    </row>
    <row r="919" spans="1:13" s="5" customFormat="1" outlineLevel="2">
      <c r="A919" s="39" t="s">
        <v>293</v>
      </c>
      <c r="B919" s="40" t="s">
        <v>63</v>
      </c>
      <c r="C919" s="41" t="s">
        <v>20</v>
      </c>
      <c r="D919" s="40" t="s">
        <v>21</v>
      </c>
      <c r="E919" s="24">
        <v>242400000</v>
      </c>
      <c r="F919" s="39">
        <v>43930</v>
      </c>
      <c r="G919" s="24">
        <v>242400000</v>
      </c>
      <c r="H919" s="23">
        <v>3.0000000000000001E-3</v>
      </c>
      <c r="I919" s="39">
        <v>44409</v>
      </c>
      <c r="J919" s="39">
        <v>44439</v>
      </c>
      <c r="K919" s="24">
        <f t="shared" si="64"/>
        <v>31</v>
      </c>
      <c r="L919" s="24">
        <f t="shared" si="65"/>
        <v>61762</v>
      </c>
      <c r="M919" s="24">
        <v>242400000</v>
      </c>
    </row>
    <row r="920" spans="1:13" s="5" customFormat="1" outlineLevel="2">
      <c r="A920" s="39" t="s">
        <v>293</v>
      </c>
      <c r="B920" s="40" t="s">
        <v>184</v>
      </c>
      <c r="C920" s="41" t="s">
        <v>115</v>
      </c>
      <c r="D920" s="40" t="s">
        <v>116</v>
      </c>
      <c r="E920" s="24">
        <v>12250000</v>
      </c>
      <c r="F920" s="39">
        <v>44426</v>
      </c>
      <c r="G920" s="24">
        <v>12250000</v>
      </c>
      <c r="H920" s="23">
        <v>5.0000000000000001E-3</v>
      </c>
      <c r="I920" s="39">
        <v>44426</v>
      </c>
      <c r="J920" s="39">
        <v>44439</v>
      </c>
      <c r="K920" s="24">
        <f t="shared" si="64"/>
        <v>14</v>
      </c>
      <c r="L920" s="24">
        <f t="shared" si="65"/>
        <v>2349</v>
      </c>
      <c r="M920" s="24">
        <v>12250000</v>
      </c>
    </row>
    <row r="921" spans="1:13" s="5" customFormat="1" outlineLevel="2">
      <c r="A921" s="39" t="s">
        <v>293</v>
      </c>
      <c r="B921" s="40" t="s">
        <v>185</v>
      </c>
      <c r="C921" s="41" t="s">
        <v>132</v>
      </c>
      <c r="D921" s="40" t="s">
        <v>133</v>
      </c>
      <c r="E921" s="24">
        <v>4750000</v>
      </c>
      <c r="F921" s="39">
        <v>44418</v>
      </c>
      <c r="G921" s="24">
        <v>4750000</v>
      </c>
      <c r="H921" s="23">
        <v>5.0000000000000001E-3</v>
      </c>
      <c r="I921" s="39">
        <v>44418</v>
      </c>
      <c r="J921" s="39">
        <v>44439</v>
      </c>
      <c r="K921" s="24">
        <f t="shared" si="64"/>
        <v>22</v>
      </c>
      <c r="L921" s="24">
        <f t="shared" si="65"/>
        <v>1432</v>
      </c>
      <c r="M921" s="24">
        <v>4750000</v>
      </c>
    </row>
    <row r="922" spans="1:13" s="5" customFormat="1" outlineLevel="2">
      <c r="A922" s="39" t="s">
        <v>293</v>
      </c>
      <c r="B922" s="40" t="s">
        <v>186</v>
      </c>
      <c r="C922" s="41" t="s">
        <v>132</v>
      </c>
      <c r="D922" s="40" t="s">
        <v>133</v>
      </c>
      <c r="E922" s="24">
        <v>1750000</v>
      </c>
      <c r="F922" s="39">
        <v>44418</v>
      </c>
      <c r="G922" s="24">
        <v>1750000</v>
      </c>
      <c r="H922" s="23">
        <v>5.0000000000000001E-3</v>
      </c>
      <c r="I922" s="39">
        <v>44418</v>
      </c>
      <c r="J922" s="39">
        <v>44439</v>
      </c>
      <c r="K922" s="24">
        <f t="shared" si="64"/>
        <v>22</v>
      </c>
      <c r="L922" s="24">
        <f t="shared" si="65"/>
        <v>527</v>
      </c>
      <c r="M922" s="24">
        <v>1750000</v>
      </c>
    </row>
    <row r="923" spans="1:13" s="5" customFormat="1" outlineLevel="2">
      <c r="A923" s="39" t="s">
        <v>293</v>
      </c>
      <c r="B923" s="40" t="s">
        <v>64</v>
      </c>
      <c r="C923" s="41" t="s">
        <v>20</v>
      </c>
      <c r="D923" s="40" t="s">
        <v>21</v>
      </c>
      <c r="E923" s="24">
        <v>156000000</v>
      </c>
      <c r="F923" s="39">
        <v>43958</v>
      </c>
      <c r="G923" s="24">
        <v>156000000</v>
      </c>
      <c r="H923" s="23">
        <v>3.0000000000000001E-3</v>
      </c>
      <c r="I923" s="39">
        <v>44409</v>
      </c>
      <c r="J923" s="39">
        <v>44439</v>
      </c>
      <c r="K923" s="24">
        <f t="shared" si="64"/>
        <v>31</v>
      </c>
      <c r="L923" s="24">
        <f t="shared" si="65"/>
        <v>39748</v>
      </c>
      <c r="M923" s="24">
        <v>156000000</v>
      </c>
    </row>
    <row r="924" spans="1:13" s="5" customFormat="1" outlineLevel="2">
      <c r="A924" s="39" t="s">
        <v>293</v>
      </c>
      <c r="B924" s="40" t="s">
        <v>65</v>
      </c>
      <c r="C924" s="41" t="s">
        <v>294</v>
      </c>
      <c r="D924" s="40" t="s">
        <v>295</v>
      </c>
      <c r="E924" s="24">
        <v>33840000</v>
      </c>
      <c r="F924" s="39">
        <v>43986</v>
      </c>
      <c r="G924" s="24">
        <v>33840000</v>
      </c>
      <c r="H924" s="23">
        <v>5.0000000000000001E-3</v>
      </c>
      <c r="I924" s="39">
        <v>44409</v>
      </c>
      <c r="J924" s="39">
        <v>44439</v>
      </c>
      <c r="K924" s="24">
        <f t="shared" si="64"/>
        <v>31</v>
      </c>
      <c r="L924" s="24">
        <f t="shared" si="65"/>
        <v>14370</v>
      </c>
      <c r="M924" s="24">
        <v>33840000</v>
      </c>
    </row>
    <row r="925" spans="1:13" s="5" customFormat="1" outlineLevel="2">
      <c r="A925" s="39" t="s">
        <v>293</v>
      </c>
      <c r="B925" s="40" t="s">
        <v>68</v>
      </c>
      <c r="C925" s="41" t="s">
        <v>294</v>
      </c>
      <c r="D925" s="40" t="s">
        <v>295</v>
      </c>
      <c r="E925" s="24">
        <v>134396612</v>
      </c>
      <c r="F925" s="39">
        <v>43986</v>
      </c>
      <c r="G925" s="24">
        <v>134396612</v>
      </c>
      <c r="H925" s="23">
        <v>5.0000000000000001E-3</v>
      </c>
      <c r="I925" s="39">
        <v>44409</v>
      </c>
      <c r="J925" s="39">
        <v>44439</v>
      </c>
      <c r="K925" s="24">
        <f t="shared" ref="K925:K956" si="66">J925-I925+1</f>
        <v>31</v>
      </c>
      <c r="L925" s="24">
        <f t="shared" ref="L925:L956" si="67">ROUND(G925*H925*K925/365,0)</f>
        <v>57073</v>
      </c>
      <c r="M925" s="24">
        <v>134396612</v>
      </c>
    </row>
    <row r="926" spans="1:13" s="5" customFormat="1" outlineLevel="1">
      <c r="A926" s="42" t="s">
        <v>296</v>
      </c>
      <c r="B926" s="43"/>
      <c r="C926" s="44"/>
      <c r="D926" s="43"/>
      <c r="E926" s="45">
        <f>SUBTOTAL(9,E861:E925)</f>
        <v>2354621587</v>
      </c>
      <c r="F926" s="46"/>
      <c r="G926" s="45"/>
      <c r="H926" s="47"/>
      <c r="I926" s="46"/>
      <c r="J926" s="46"/>
      <c r="K926" s="45"/>
      <c r="L926" s="45">
        <f>SUBTOTAL(9,L861:L925)</f>
        <v>858140</v>
      </c>
      <c r="M926" s="45">
        <f>SUBTOTAL(9,M861:M925)</f>
        <v>2348903912</v>
      </c>
    </row>
    <row r="927" spans="1:13" s="17" customFormat="1" ht="19.5" outlineLevel="1">
      <c r="A927" s="11"/>
      <c r="B927" s="12"/>
      <c r="C927" s="13"/>
      <c r="D927" s="12"/>
      <c r="E927" s="14"/>
      <c r="F927" s="15"/>
      <c r="G927" s="14"/>
      <c r="H927" s="16"/>
      <c r="I927" s="15"/>
      <c r="J927" s="15"/>
      <c r="K927" s="14"/>
      <c r="L927" s="14"/>
      <c r="M927" s="14"/>
    </row>
    <row r="928" spans="1:13" s="5" customFormat="1" ht="19.5">
      <c r="A928" s="9" t="s">
        <v>297</v>
      </c>
      <c r="B928" s="6"/>
      <c r="C928" s="7"/>
      <c r="D928" s="6"/>
      <c r="E928" s="8">
        <f>SUBTOTAL(9,E4:E925)</f>
        <v>31721309312</v>
      </c>
      <c r="F928" s="9"/>
      <c r="G928" s="8"/>
      <c r="H928" s="10"/>
      <c r="I928" s="9"/>
      <c r="J928" s="9"/>
      <c r="K928" s="8"/>
      <c r="L928" s="8">
        <f>SUBTOTAL(9,L4:L925)</f>
        <v>12344972</v>
      </c>
      <c r="M928" s="8">
        <f>SUBTOTAL(9,M4:M925)</f>
        <v>31369201460</v>
      </c>
    </row>
    <row r="930" spans="1:9" ht="19.5">
      <c r="A930" s="18" t="s">
        <v>298</v>
      </c>
      <c r="B930" s="18"/>
      <c r="E930" s="19" t="s">
        <v>299</v>
      </c>
      <c r="G930" s="1"/>
      <c r="H930" s="20" t="s">
        <v>300</v>
      </c>
      <c r="I930" s="21"/>
    </row>
  </sheetData>
  <autoFilter ref="A3:M926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EC6F-42D7-4B57-B57D-BAB0049F74CC}">
  <dimension ref="A1:N993"/>
  <sheetViews>
    <sheetView zoomScaleNormal="100" workbookViewId="0">
      <selection activeCell="D12" sqref="D12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8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4" width="9.75" style="1" bestFit="1" customWidth="1"/>
    <col min="15" max="16384" width="5.375" style="1"/>
  </cols>
  <sheetData>
    <row r="1" spans="1:14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7"/>
      <c r="B2" s="28" t="s">
        <v>0</v>
      </c>
      <c r="C2" s="29">
        <v>44469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  <c r="N2" s="27"/>
    </row>
    <row r="3" spans="1:14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  <c r="N3" s="22" t="s">
        <v>423</v>
      </c>
    </row>
    <row r="4" spans="1:14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44440</v>
      </c>
      <c r="J4" s="39">
        <v>44469</v>
      </c>
      <c r="K4" s="24">
        <v>30</v>
      </c>
      <c r="L4" s="24">
        <v>66781</v>
      </c>
      <c r="M4" s="24">
        <v>162500000</v>
      </c>
      <c r="N4" s="39">
        <v>45678</v>
      </c>
    </row>
    <row r="5" spans="1:14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44440</v>
      </c>
      <c r="J5" s="39">
        <v>44469</v>
      </c>
      <c r="K5" s="24">
        <v>30</v>
      </c>
      <c r="L5" s="24">
        <v>592</v>
      </c>
      <c r="M5" s="24">
        <v>2400000</v>
      </c>
      <c r="N5" s="39">
        <v>45783</v>
      </c>
    </row>
    <row r="6" spans="1:14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44440</v>
      </c>
      <c r="J6" s="39">
        <v>44469</v>
      </c>
      <c r="K6" s="24">
        <v>30</v>
      </c>
      <c r="L6" s="24">
        <v>3029</v>
      </c>
      <c r="M6" s="24">
        <v>7370000</v>
      </c>
      <c r="N6" s="39">
        <v>45822</v>
      </c>
    </row>
    <row r="7" spans="1:14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44440</v>
      </c>
      <c r="J7" s="39">
        <v>44469</v>
      </c>
      <c r="K7" s="24">
        <v>30</v>
      </c>
      <c r="L7" s="24">
        <v>2421</v>
      </c>
      <c r="M7" s="24">
        <v>5890000</v>
      </c>
      <c r="N7" s="39">
        <v>45815</v>
      </c>
    </row>
    <row r="8" spans="1:14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44440</v>
      </c>
      <c r="J8" s="39">
        <v>44469</v>
      </c>
      <c r="K8" s="24">
        <v>30</v>
      </c>
      <c r="L8" s="24">
        <v>1241</v>
      </c>
      <c r="M8" s="24">
        <v>3020000</v>
      </c>
      <c r="N8" s="39">
        <v>45852</v>
      </c>
    </row>
    <row r="9" spans="1:14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44440</v>
      </c>
      <c r="J9" s="39">
        <v>44469</v>
      </c>
      <c r="K9" s="24">
        <v>30</v>
      </c>
      <c r="L9" s="24">
        <v>34767</v>
      </c>
      <c r="M9" s="24">
        <v>84600000</v>
      </c>
      <c r="N9" s="39">
        <v>45839</v>
      </c>
    </row>
    <row r="10" spans="1:14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44440</v>
      </c>
      <c r="J10" s="39">
        <v>44469</v>
      </c>
      <c r="K10" s="24">
        <v>30</v>
      </c>
      <c r="L10" s="24">
        <v>24658</v>
      </c>
      <c r="M10" s="24">
        <v>60000000</v>
      </c>
      <c r="N10" s="39">
        <v>45859</v>
      </c>
    </row>
    <row r="11" spans="1:14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44440</v>
      </c>
      <c r="J11" s="39">
        <v>44469</v>
      </c>
      <c r="K11" s="24">
        <v>30</v>
      </c>
      <c r="L11" s="24">
        <v>39945</v>
      </c>
      <c r="M11" s="24">
        <v>162000000</v>
      </c>
      <c r="N11" s="39">
        <v>45847</v>
      </c>
    </row>
    <row r="12" spans="1:14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44440</v>
      </c>
      <c r="J12" s="39">
        <v>44469</v>
      </c>
      <c r="K12" s="24">
        <v>30</v>
      </c>
      <c r="L12" s="24">
        <v>1704</v>
      </c>
      <c r="M12" s="24">
        <v>4147000</v>
      </c>
      <c r="N12" s="39">
        <v>45896</v>
      </c>
    </row>
    <row r="13" spans="1:14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44440</v>
      </c>
      <c r="J13" s="39">
        <v>44469</v>
      </c>
      <c r="K13" s="24">
        <v>30</v>
      </c>
      <c r="L13" s="24">
        <v>304</v>
      </c>
      <c r="M13" s="24">
        <v>740000</v>
      </c>
      <c r="N13" s="39">
        <v>45900</v>
      </c>
    </row>
    <row r="14" spans="1:14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44440</v>
      </c>
      <c r="J14" s="39">
        <v>44469</v>
      </c>
      <c r="K14" s="24">
        <v>30</v>
      </c>
      <c r="L14" s="24">
        <v>72424</v>
      </c>
      <c r="M14" s="24">
        <v>176232000</v>
      </c>
      <c r="N14" s="39">
        <v>45906</v>
      </c>
    </row>
    <row r="15" spans="1:14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44440</v>
      </c>
      <c r="J15" s="39">
        <v>44469</v>
      </c>
      <c r="K15" s="24">
        <v>30</v>
      </c>
      <c r="L15" s="24">
        <v>2642</v>
      </c>
      <c r="M15" s="24">
        <v>6430000</v>
      </c>
      <c r="N15" s="39">
        <v>45745</v>
      </c>
    </row>
    <row r="16" spans="1:14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44440</v>
      </c>
      <c r="J16" s="39">
        <v>44469</v>
      </c>
      <c r="K16" s="24">
        <v>30</v>
      </c>
      <c r="L16" s="24">
        <v>2219</v>
      </c>
      <c r="M16" s="24">
        <v>5400000</v>
      </c>
      <c r="N16" s="39">
        <v>45928</v>
      </c>
    </row>
    <row r="17" spans="1:14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44440</v>
      </c>
      <c r="J17" s="39">
        <v>44469</v>
      </c>
      <c r="K17" s="24">
        <v>30</v>
      </c>
      <c r="L17" s="24">
        <v>156</v>
      </c>
      <c r="M17" s="24">
        <v>380000</v>
      </c>
      <c r="N17" s="39">
        <v>45941</v>
      </c>
    </row>
    <row r="18" spans="1:14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44440</v>
      </c>
      <c r="J18" s="39">
        <v>44469</v>
      </c>
      <c r="K18" s="24">
        <v>30</v>
      </c>
      <c r="L18" s="24">
        <v>986</v>
      </c>
      <c r="M18" s="24">
        <v>2400000</v>
      </c>
      <c r="N18" s="39">
        <v>45948</v>
      </c>
    </row>
    <row r="19" spans="1:14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44440</v>
      </c>
      <c r="J19" s="39">
        <v>44469</v>
      </c>
      <c r="K19" s="24">
        <v>30</v>
      </c>
      <c r="L19" s="24">
        <v>411</v>
      </c>
      <c r="M19" s="24">
        <v>1000000</v>
      </c>
      <c r="N19" s="39">
        <v>45956</v>
      </c>
    </row>
    <row r="20" spans="1:14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44440</v>
      </c>
      <c r="J20" s="39">
        <v>44469</v>
      </c>
      <c r="K20" s="24">
        <v>30</v>
      </c>
      <c r="L20" s="24">
        <v>4110</v>
      </c>
      <c r="M20" s="24">
        <v>10000000</v>
      </c>
      <c r="N20" s="39">
        <v>45945</v>
      </c>
    </row>
    <row r="21" spans="1:14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44440</v>
      </c>
      <c r="J21" s="39">
        <v>44469</v>
      </c>
      <c r="K21" s="24">
        <v>30</v>
      </c>
      <c r="L21" s="24">
        <v>102740</v>
      </c>
      <c r="M21" s="24">
        <v>250000000</v>
      </c>
      <c r="N21" s="39">
        <v>45972</v>
      </c>
    </row>
    <row r="22" spans="1:14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44440</v>
      </c>
      <c r="J22" s="39">
        <v>44469</v>
      </c>
      <c r="K22" s="24">
        <v>30</v>
      </c>
      <c r="L22" s="24">
        <v>82192</v>
      </c>
      <c r="M22" s="24">
        <v>200000000</v>
      </c>
      <c r="N22" s="39">
        <v>45972</v>
      </c>
    </row>
    <row r="23" spans="1:14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44440</v>
      </c>
      <c r="J23" s="39">
        <v>44469</v>
      </c>
      <c r="K23" s="24">
        <v>30</v>
      </c>
      <c r="L23" s="24">
        <v>3534</v>
      </c>
      <c r="M23" s="24">
        <v>8600000</v>
      </c>
      <c r="N23" s="39">
        <v>45980</v>
      </c>
    </row>
    <row r="24" spans="1:14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44440</v>
      </c>
      <c r="J24" s="39">
        <v>44469</v>
      </c>
      <c r="K24" s="24">
        <v>30</v>
      </c>
      <c r="L24" s="24">
        <v>681</v>
      </c>
      <c r="M24" s="24">
        <v>1657000</v>
      </c>
      <c r="N24" s="39">
        <v>45985</v>
      </c>
    </row>
    <row r="25" spans="1:14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44440</v>
      </c>
      <c r="J25" s="39">
        <v>44469</v>
      </c>
      <c r="K25" s="24">
        <v>30</v>
      </c>
      <c r="L25" s="24">
        <v>822</v>
      </c>
      <c r="M25" s="24">
        <v>2000000</v>
      </c>
      <c r="N25" s="39">
        <v>46013</v>
      </c>
    </row>
    <row r="26" spans="1:14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44440</v>
      </c>
      <c r="J26" s="39">
        <v>44469</v>
      </c>
      <c r="K26" s="24">
        <v>30</v>
      </c>
      <c r="L26" s="24">
        <v>11753</v>
      </c>
      <c r="M26" s="24">
        <v>28600000</v>
      </c>
      <c r="N26" s="39">
        <v>45746</v>
      </c>
    </row>
    <row r="27" spans="1:14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44440</v>
      </c>
      <c r="J27" s="39">
        <v>44469</v>
      </c>
      <c r="K27" s="24">
        <v>30</v>
      </c>
      <c r="L27" s="24">
        <v>247</v>
      </c>
      <c r="M27" s="24">
        <v>600000</v>
      </c>
      <c r="N27" s="39">
        <v>46025</v>
      </c>
    </row>
    <row r="28" spans="1:14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44440</v>
      </c>
      <c r="J28" s="39">
        <v>44469</v>
      </c>
      <c r="K28" s="24">
        <v>30</v>
      </c>
      <c r="L28" s="24">
        <v>14795</v>
      </c>
      <c r="M28" s="24">
        <v>60000000</v>
      </c>
      <c r="N28" s="39">
        <v>46042</v>
      </c>
    </row>
    <row r="29" spans="1:14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44440</v>
      </c>
      <c r="J29" s="39">
        <v>44469</v>
      </c>
      <c r="K29" s="24">
        <v>30</v>
      </c>
      <c r="L29" s="24">
        <v>32877</v>
      </c>
      <c r="M29" s="24">
        <v>80000000</v>
      </c>
      <c r="N29" s="39">
        <v>46095</v>
      </c>
    </row>
    <row r="30" spans="1:14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44440</v>
      </c>
      <c r="J30" s="39">
        <v>44469</v>
      </c>
      <c r="K30" s="24">
        <v>30</v>
      </c>
      <c r="L30" s="24">
        <v>53425</v>
      </c>
      <c r="M30" s="24">
        <v>130000000</v>
      </c>
      <c r="N30" s="39">
        <v>46095</v>
      </c>
    </row>
    <row r="31" spans="1:14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44440</v>
      </c>
      <c r="J31" s="39">
        <v>44469</v>
      </c>
      <c r="K31" s="24">
        <v>30</v>
      </c>
      <c r="L31" s="24">
        <v>34484</v>
      </c>
      <c r="M31" s="24">
        <v>83911000</v>
      </c>
      <c r="N31" s="39">
        <v>46110</v>
      </c>
    </row>
    <row r="32" spans="1:14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13516948</v>
      </c>
      <c r="H32" s="23">
        <v>5.0000000000000001E-3</v>
      </c>
      <c r="I32" s="39">
        <v>44440</v>
      </c>
      <c r="J32" s="39">
        <v>44453</v>
      </c>
      <c r="K32" s="24">
        <v>14</v>
      </c>
      <c r="L32" s="24">
        <v>2592</v>
      </c>
      <c r="M32" s="24">
        <v>13271185</v>
      </c>
      <c r="N32" s="39">
        <v>46126</v>
      </c>
    </row>
    <row r="33" spans="1:14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13271185</v>
      </c>
      <c r="H33" s="23">
        <v>5.0000000000000001E-3</v>
      </c>
      <c r="I33" s="39">
        <v>44454</v>
      </c>
      <c r="J33" s="39">
        <v>44469</v>
      </c>
      <c r="K33" s="24">
        <v>16</v>
      </c>
      <c r="L33" s="24">
        <v>2909</v>
      </c>
      <c r="M33" s="24"/>
      <c r="N33" s="39">
        <v>46126</v>
      </c>
    </row>
    <row r="34" spans="1:14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44440</v>
      </c>
      <c r="J34" s="39">
        <v>44469</v>
      </c>
      <c r="K34" s="24">
        <v>30</v>
      </c>
      <c r="L34" s="24">
        <v>50893</v>
      </c>
      <c r="M34" s="24">
        <v>206400000</v>
      </c>
      <c r="N34" s="39">
        <v>46119</v>
      </c>
    </row>
    <row r="35" spans="1:14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44440</v>
      </c>
      <c r="J35" s="39">
        <v>44469</v>
      </c>
      <c r="K35" s="24">
        <v>30</v>
      </c>
      <c r="L35" s="24">
        <v>8051</v>
      </c>
      <c r="M35" s="24">
        <v>19590000</v>
      </c>
      <c r="N35" s="39">
        <v>46172</v>
      </c>
    </row>
    <row r="36" spans="1:14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44440</v>
      </c>
      <c r="J36" s="39">
        <v>44469</v>
      </c>
      <c r="K36" s="24">
        <v>30</v>
      </c>
      <c r="L36" s="24">
        <v>6986</v>
      </c>
      <c r="M36" s="24">
        <v>17000000</v>
      </c>
      <c r="N36" s="39">
        <v>46155</v>
      </c>
    </row>
    <row r="37" spans="1:14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44440</v>
      </c>
      <c r="J37" s="39">
        <v>44469</v>
      </c>
      <c r="K37" s="24">
        <v>30</v>
      </c>
      <c r="L37" s="24">
        <v>13110</v>
      </c>
      <c r="M37" s="24">
        <v>31900000</v>
      </c>
      <c r="N37" s="39">
        <v>46202</v>
      </c>
    </row>
    <row r="38" spans="1:14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44440</v>
      </c>
      <c r="J38" s="39">
        <v>44469</v>
      </c>
      <c r="K38" s="24">
        <v>30</v>
      </c>
      <c r="L38" s="24">
        <v>8219</v>
      </c>
      <c r="M38" s="24">
        <v>20000000</v>
      </c>
      <c r="N38" s="39">
        <v>45747</v>
      </c>
    </row>
    <row r="39" spans="1:14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44440</v>
      </c>
      <c r="J39" s="39">
        <v>44469</v>
      </c>
      <c r="K39" s="24">
        <v>30</v>
      </c>
      <c r="L39" s="24">
        <v>1791</v>
      </c>
      <c r="M39" s="24">
        <v>4359000</v>
      </c>
      <c r="N39" s="39">
        <v>46196</v>
      </c>
    </row>
    <row r="40" spans="1:14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44440</v>
      </c>
      <c r="J40" s="39">
        <v>44469</v>
      </c>
      <c r="K40" s="24">
        <v>30</v>
      </c>
      <c r="L40" s="24">
        <v>31956</v>
      </c>
      <c r="M40" s="24">
        <v>129600000</v>
      </c>
      <c r="N40" s="39">
        <v>46230</v>
      </c>
    </row>
    <row r="41" spans="1:14" s="5" customFormat="1" outlineLevel="2">
      <c r="A41" s="39" t="s">
        <v>15</v>
      </c>
      <c r="B41" s="40" t="s">
        <v>138</v>
      </c>
      <c r="C41" s="41" t="s">
        <v>45</v>
      </c>
      <c r="D41" s="40" t="s">
        <v>46</v>
      </c>
      <c r="E41" s="24">
        <v>50000000</v>
      </c>
      <c r="F41" s="39">
        <v>44432</v>
      </c>
      <c r="G41" s="24">
        <v>50000000</v>
      </c>
      <c r="H41" s="23">
        <v>5.0000000000000001E-3</v>
      </c>
      <c r="I41" s="39">
        <v>44440</v>
      </c>
      <c r="J41" s="39">
        <v>44469</v>
      </c>
      <c r="K41" s="24">
        <v>30</v>
      </c>
      <c r="L41" s="24">
        <v>20548</v>
      </c>
      <c r="M41" s="24">
        <v>50000000</v>
      </c>
      <c r="N41" s="39">
        <v>46257</v>
      </c>
    </row>
    <row r="42" spans="1:14" s="5" customFormat="1" outlineLevel="2">
      <c r="A42" s="39" t="s">
        <v>15</v>
      </c>
      <c r="B42" s="40" t="s">
        <v>139</v>
      </c>
      <c r="C42" s="41" t="s">
        <v>37</v>
      </c>
      <c r="D42" s="40" t="s">
        <v>38</v>
      </c>
      <c r="E42" s="24">
        <v>64569000</v>
      </c>
      <c r="F42" s="39">
        <v>44461</v>
      </c>
      <c r="G42" s="24">
        <v>64569000</v>
      </c>
      <c r="H42" s="23">
        <v>5.0000000000000001E-3</v>
      </c>
      <c r="I42" s="39">
        <v>44461</v>
      </c>
      <c r="J42" s="39">
        <v>44469</v>
      </c>
      <c r="K42" s="24">
        <v>9</v>
      </c>
      <c r="L42" s="24">
        <v>7961</v>
      </c>
      <c r="M42" s="24">
        <v>64569000</v>
      </c>
      <c r="N42" s="39">
        <v>46286</v>
      </c>
    </row>
    <row r="43" spans="1:14" s="5" customFormat="1" outlineLevel="2">
      <c r="A43" s="39" t="s">
        <v>15</v>
      </c>
      <c r="B43" s="40" t="s">
        <v>140</v>
      </c>
      <c r="C43" s="41" t="s">
        <v>37</v>
      </c>
      <c r="D43" s="40" t="s">
        <v>38</v>
      </c>
      <c r="E43" s="24">
        <v>248976000</v>
      </c>
      <c r="F43" s="39">
        <v>44461</v>
      </c>
      <c r="G43" s="24">
        <v>248976000</v>
      </c>
      <c r="H43" s="23">
        <v>5.0000000000000001E-3</v>
      </c>
      <c r="I43" s="39">
        <v>44461</v>
      </c>
      <c r="J43" s="39">
        <v>44469</v>
      </c>
      <c r="K43" s="24">
        <v>9</v>
      </c>
      <c r="L43" s="24">
        <v>30696</v>
      </c>
      <c r="M43" s="24">
        <v>248976000</v>
      </c>
      <c r="N43" s="39">
        <v>46286</v>
      </c>
    </row>
    <row r="44" spans="1:14" s="5" customFormat="1" outlineLevel="2">
      <c r="A44" s="39" t="s">
        <v>15</v>
      </c>
      <c r="B44" s="40" t="s">
        <v>169</v>
      </c>
      <c r="C44" s="41" t="s">
        <v>17</v>
      </c>
      <c r="D44" s="40" t="s">
        <v>18</v>
      </c>
      <c r="E44" s="24">
        <v>7938000</v>
      </c>
      <c r="F44" s="39">
        <v>44462</v>
      </c>
      <c r="G44" s="24">
        <v>7938000</v>
      </c>
      <c r="H44" s="23">
        <v>5.0000000000000001E-3</v>
      </c>
      <c r="I44" s="39">
        <v>44462</v>
      </c>
      <c r="J44" s="39">
        <v>44469</v>
      </c>
      <c r="K44" s="24">
        <v>8</v>
      </c>
      <c r="L44" s="24">
        <v>870</v>
      </c>
      <c r="M44" s="24">
        <v>7938000</v>
      </c>
      <c r="N44" s="39">
        <v>46287</v>
      </c>
    </row>
    <row r="45" spans="1:14" s="5" customFormat="1" outlineLevel="2">
      <c r="A45" s="39" t="s">
        <v>15</v>
      </c>
      <c r="B45" s="40" t="s">
        <v>62</v>
      </c>
      <c r="C45" s="41" t="s">
        <v>55</v>
      </c>
      <c r="D45" s="40" t="s">
        <v>56</v>
      </c>
      <c r="E45" s="24">
        <v>10000000</v>
      </c>
      <c r="F45" s="39">
        <v>43934</v>
      </c>
      <c r="G45" s="24">
        <v>10000000</v>
      </c>
      <c r="H45" s="23">
        <v>5.0000000000000001E-3</v>
      </c>
      <c r="I45" s="39">
        <v>44440</v>
      </c>
      <c r="J45" s="39">
        <v>44469</v>
      </c>
      <c r="K45" s="24">
        <v>30</v>
      </c>
      <c r="L45" s="24">
        <v>4110</v>
      </c>
      <c r="M45" s="24">
        <v>10000000</v>
      </c>
      <c r="N45" s="39">
        <v>45759</v>
      </c>
    </row>
    <row r="46" spans="1:14" s="5" customFormat="1" outlineLevel="2">
      <c r="A46" s="39" t="s">
        <v>15</v>
      </c>
      <c r="B46" s="40" t="s">
        <v>63</v>
      </c>
      <c r="C46" s="41" t="s">
        <v>55</v>
      </c>
      <c r="D46" s="40" t="s">
        <v>56</v>
      </c>
      <c r="E46" s="24">
        <v>30000000</v>
      </c>
      <c r="F46" s="39">
        <v>43937</v>
      </c>
      <c r="G46" s="24">
        <v>30000000</v>
      </c>
      <c r="H46" s="23">
        <v>5.0000000000000001E-3</v>
      </c>
      <c r="I46" s="39">
        <v>44440</v>
      </c>
      <c r="J46" s="39">
        <v>44469</v>
      </c>
      <c r="K46" s="24">
        <v>30</v>
      </c>
      <c r="L46" s="24">
        <v>12329</v>
      </c>
      <c r="M46" s="24">
        <v>30000000</v>
      </c>
      <c r="N46" s="39">
        <v>45762</v>
      </c>
    </row>
    <row r="47" spans="1:14" s="5" customFormat="1" outlineLevel="2">
      <c r="A47" s="39" t="s">
        <v>15</v>
      </c>
      <c r="B47" s="40" t="s">
        <v>64</v>
      </c>
      <c r="C47" s="41" t="s">
        <v>55</v>
      </c>
      <c r="D47" s="40" t="s">
        <v>56</v>
      </c>
      <c r="E47" s="24">
        <v>58360000</v>
      </c>
      <c r="F47" s="39">
        <v>43929</v>
      </c>
      <c r="G47" s="24">
        <v>58360000</v>
      </c>
      <c r="H47" s="23">
        <v>5.0000000000000001E-3</v>
      </c>
      <c r="I47" s="39">
        <v>44440</v>
      </c>
      <c r="J47" s="39">
        <v>44469</v>
      </c>
      <c r="K47" s="24">
        <v>30</v>
      </c>
      <c r="L47" s="24">
        <v>23984</v>
      </c>
      <c r="M47" s="24">
        <v>58360000</v>
      </c>
      <c r="N47" s="39">
        <v>45754</v>
      </c>
    </row>
    <row r="48" spans="1:14" s="5" customFormat="1" outlineLevel="2">
      <c r="A48" s="39" t="s">
        <v>15</v>
      </c>
      <c r="B48" s="40" t="s">
        <v>65</v>
      </c>
      <c r="C48" s="41" t="s">
        <v>66</v>
      </c>
      <c r="D48" s="40" t="s">
        <v>67</v>
      </c>
      <c r="E48" s="24">
        <v>64000000</v>
      </c>
      <c r="F48" s="39">
        <v>43966</v>
      </c>
      <c r="G48" s="24">
        <v>64000000</v>
      </c>
      <c r="H48" s="23">
        <v>5.0000000000000001E-3</v>
      </c>
      <c r="I48" s="39">
        <v>44440</v>
      </c>
      <c r="J48" s="39">
        <v>44469</v>
      </c>
      <c r="K48" s="24">
        <v>30</v>
      </c>
      <c r="L48" s="24">
        <v>26301</v>
      </c>
      <c r="M48" s="24">
        <v>64000000</v>
      </c>
      <c r="N48" s="39">
        <v>45791</v>
      </c>
    </row>
    <row r="49" spans="1:14" s="5" customFormat="1" outlineLevel="2">
      <c r="A49" s="39" t="s">
        <v>15</v>
      </c>
      <c r="B49" s="40" t="s">
        <v>68</v>
      </c>
      <c r="C49" s="41" t="s">
        <v>55</v>
      </c>
      <c r="D49" s="40" t="s">
        <v>56</v>
      </c>
      <c r="E49" s="24">
        <v>11400000</v>
      </c>
      <c r="F49" s="39">
        <v>43962</v>
      </c>
      <c r="G49" s="24">
        <v>11400000</v>
      </c>
      <c r="H49" s="23">
        <v>5.0000000000000001E-3</v>
      </c>
      <c r="I49" s="39">
        <v>44440</v>
      </c>
      <c r="J49" s="39">
        <v>44469</v>
      </c>
      <c r="K49" s="24">
        <v>30</v>
      </c>
      <c r="L49" s="24">
        <v>4685</v>
      </c>
      <c r="M49" s="24">
        <v>11400000</v>
      </c>
      <c r="N49" s="39">
        <v>45787</v>
      </c>
    </row>
    <row r="50" spans="1:14" s="5" customFormat="1" outlineLevel="1">
      <c r="A50" s="42" t="s">
        <v>69</v>
      </c>
      <c r="B50" s="43"/>
      <c r="C50" s="44"/>
      <c r="D50" s="43"/>
      <c r="E50" s="45">
        <v>2528469000</v>
      </c>
      <c r="F50" s="46"/>
      <c r="G50" s="45"/>
      <c r="H50" s="47"/>
      <c r="I50" s="46"/>
      <c r="J50" s="46"/>
      <c r="K50" s="45"/>
      <c r="L50" s="45">
        <v>853931</v>
      </c>
      <c r="M50" s="45">
        <v>2527240185</v>
      </c>
      <c r="N50" s="46"/>
    </row>
    <row r="51" spans="1:14" s="5" customFormat="1" outlineLevel="2">
      <c r="A51" s="39" t="s">
        <v>70</v>
      </c>
      <c r="B51" s="40" t="s">
        <v>16</v>
      </c>
      <c r="C51" s="41" t="s">
        <v>27</v>
      </c>
      <c r="D51" s="40" t="s">
        <v>28</v>
      </c>
      <c r="E51" s="24">
        <v>21330000</v>
      </c>
      <c r="F51" s="39">
        <v>44046</v>
      </c>
      <c r="G51" s="24">
        <v>21330000</v>
      </c>
      <c r="H51" s="23">
        <v>5.0000000000000001E-3</v>
      </c>
      <c r="I51" s="39">
        <v>44440</v>
      </c>
      <c r="J51" s="39">
        <v>44469</v>
      </c>
      <c r="K51" s="24">
        <v>30</v>
      </c>
      <c r="L51" s="24">
        <v>8766</v>
      </c>
      <c r="M51" s="24">
        <v>21330000</v>
      </c>
      <c r="N51" s="39">
        <v>45871</v>
      </c>
    </row>
    <row r="52" spans="1:14" s="5" customFormat="1" outlineLevel="2">
      <c r="A52" s="39" t="s">
        <v>70</v>
      </c>
      <c r="B52" s="40" t="s">
        <v>39</v>
      </c>
      <c r="C52" s="41" t="s">
        <v>27</v>
      </c>
      <c r="D52" s="40" t="s">
        <v>28</v>
      </c>
      <c r="E52" s="24">
        <v>8670000</v>
      </c>
      <c r="F52" s="39">
        <v>44060</v>
      </c>
      <c r="G52" s="24">
        <v>8670000</v>
      </c>
      <c r="H52" s="23">
        <v>5.0000000000000001E-3</v>
      </c>
      <c r="I52" s="39">
        <v>44440</v>
      </c>
      <c r="J52" s="39">
        <v>44469</v>
      </c>
      <c r="K52" s="24">
        <v>30</v>
      </c>
      <c r="L52" s="24">
        <v>3563</v>
      </c>
      <c r="M52" s="24">
        <v>8670000</v>
      </c>
      <c r="N52" s="39">
        <v>45885</v>
      </c>
    </row>
    <row r="53" spans="1:14" s="5" customFormat="1" outlineLevel="2">
      <c r="A53" s="39" t="s">
        <v>70</v>
      </c>
      <c r="B53" s="40" t="s">
        <v>54</v>
      </c>
      <c r="C53" s="41" t="s">
        <v>71</v>
      </c>
      <c r="D53" s="40" t="s">
        <v>72</v>
      </c>
      <c r="E53" s="24">
        <v>10600000</v>
      </c>
      <c r="F53" s="39">
        <v>44085</v>
      </c>
      <c r="G53" s="24">
        <v>10600000</v>
      </c>
      <c r="H53" s="23">
        <v>5.0000000000000001E-3</v>
      </c>
      <c r="I53" s="39">
        <v>44440</v>
      </c>
      <c r="J53" s="39">
        <v>44469</v>
      </c>
      <c r="K53" s="24">
        <v>30</v>
      </c>
      <c r="L53" s="24">
        <v>4356</v>
      </c>
      <c r="M53" s="24">
        <v>10600000</v>
      </c>
      <c r="N53" s="39">
        <v>45910</v>
      </c>
    </row>
    <row r="54" spans="1:14" s="5" customFormat="1" outlineLevel="2">
      <c r="A54" s="39" t="s">
        <v>70</v>
      </c>
      <c r="B54" s="40" t="s">
        <v>59</v>
      </c>
      <c r="C54" s="41" t="s">
        <v>73</v>
      </c>
      <c r="D54" s="40" t="s">
        <v>74</v>
      </c>
      <c r="E54" s="24">
        <v>40170000</v>
      </c>
      <c r="F54" s="39">
        <v>44172</v>
      </c>
      <c r="G54" s="24">
        <v>40170000</v>
      </c>
      <c r="H54" s="23">
        <v>5.0000000000000001E-3</v>
      </c>
      <c r="I54" s="39">
        <v>44440</v>
      </c>
      <c r="J54" s="39">
        <v>44469</v>
      </c>
      <c r="K54" s="24">
        <v>30</v>
      </c>
      <c r="L54" s="24">
        <v>16508</v>
      </c>
      <c r="M54" s="24">
        <v>40170000</v>
      </c>
      <c r="N54" s="39">
        <v>45997</v>
      </c>
    </row>
    <row r="55" spans="1:14" s="5" customFormat="1" outlineLevel="2">
      <c r="A55" s="39" t="s">
        <v>70</v>
      </c>
      <c r="B55" s="40" t="s">
        <v>62</v>
      </c>
      <c r="C55" s="41" t="s">
        <v>75</v>
      </c>
      <c r="D55" s="40" t="s">
        <v>76</v>
      </c>
      <c r="E55" s="24">
        <v>5170000</v>
      </c>
      <c r="F55" s="39">
        <v>44166</v>
      </c>
      <c r="G55" s="24">
        <v>5170000</v>
      </c>
      <c r="H55" s="23">
        <v>5.0000000000000001E-3</v>
      </c>
      <c r="I55" s="39">
        <v>44440</v>
      </c>
      <c r="J55" s="39">
        <v>44469</v>
      </c>
      <c r="K55" s="24">
        <v>30</v>
      </c>
      <c r="L55" s="24">
        <v>2125</v>
      </c>
      <c r="M55" s="24">
        <v>5170000</v>
      </c>
      <c r="N55" s="39">
        <v>45991</v>
      </c>
    </row>
    <row r="56" spans="1:14" s="5" customFormat="1" outlineLevel="2">
      <c r="A56" s="39" t="s">
        <v>70</v>
      </c>
      <c r="B56" s="40" t="s">
        <v>63</v>
      </c>
      <c r="C56" s="41" t="s">
        <v>242</v>
      </c>
      <c r="D56" s="40" t="s">
        <v>243</v>
      </c>
      <c r="E56" s="24">
        <v>22400000</v>
      </c>
      <c r="F56" s="39">
        <v>44433</v>
      </c>
      <c r="G56" s="24">
        <v>22400000</v>
      </c>
      <c r="H56" s="23">
        <v>5.0000000000000001E-3</v>
      </c>
      <c r="I56" s="39">
        <v>44440</v>
      </c>
      <c r="J56" s="39">
        <v>44469</v>
      </c>
      <c r="K56" s="24">
        <v>30</v>
      </c>
      <c r="L56" s="24">
        <v>9205</v>
      </c>
      <c r="M56" s="24">
        <v>22400000</v>
      </c>
      <c r="N56" s="39">
        <v>45528</v>
      </c>
    </row>
    <row r="57" spans="1:14" s="5" customFormat="1" outlineLevel="1">
      <c r="A57" s="42" t="s">
        <v>77</v>
      </c>
      <c r="B57" s="43"/>
      <c r="C57" s="44"/>
      <c r="D57" s="43"/>
      <c r="E57" s="45">
        <v>108340000</v>
      </c>
      <c r="F57" s="46"/>
      <c r="G57" s="45"/>
      <c r="H57" s="47"/>
      <c r="I57" s="46"/>
      <c r="J57" s="46"/>
      <c r="K57" s="45"/>
      <c r="L57" s="45">
        <v>44523</v>
      </c>
      <c r="M57" s="45">
        <v>108340000</v>
      </c>
      <c r="N57" s="46"/>
    </row>
    <row r="58" spans="1:14" s="5" customFormat="1" outlineLevel="2">
      <c r="A58" s="39" t="s">
        <v>78</v>
      </c>
      <c r="B58" s="40" t="s">
        <v>16</v>
      </c>
      <c r="C58" s="41" t="s">
        <v>55</v>
      </c>
      <c r="D58" s="40" t="s">
        <v>56</v>
      </c>
      <c r="E58" s="24">
        <v>26500000</v>
      </c>
      <c r="F58" s="39">
        <v>43907</v>
      </c>
      <c r="G58" s="24">
        <v>21136908</v>
      </c>
      <c r="H58" s="23">
        <v>5.0000000000000001E-3</v>
      </c>
      <c r="I58" s="39">
        <v>44440</v>
      </c>
      <c r="J58" s="39">
        <v>44453</v>
      </c>
      <c r="K58" s="24">
        <v>14</v>
      </c>
      <c r="L58" s="24">
        <v>4054</v>
      </c>
      <c r="M58" s="24">
        <v>20821432</v>
      </c>
      <c r="N58" s="39">
        <v>45732</v>
      </c>
    </row>
    <row r="59" spans="1:14" s="5" customFormat="1" outlineLevel="2">
      <c r="A59" s="39" t="s">
        <v>78</v>
      </c>
      <c r="B59" s="40" t="s">
        <v>16</v>
      </c>
      <c r="C59" s="41" t="s">
        <v>55</v>
      </c>
      <c r="D59" s="40"/>
      <c r="E59" s="24"/>
      <c r="F59" s="39"/>
      <c r="G59" s="24">
        <v>20821432</v>
      </c>
      <c r="H59" s="23">
        <v>5.0000000000000001E-3</v>
      </c>
      <c r="I59" s="39">
        <v>44454</v>
      </c>
      <c r="J59" s="39">
        <v>44469</v>
      </c>
      <c r="K59" s="24">
        <v>16</v>
      </c>
      <c r="L59" s="24">
        <v>4564</v>
      </c>
      <c r="M59" s="24"/>
      <c r="N59" s="39">
        <v>45732</v>
      </c>
    </row>
    <row r="60" spans="1:14" s="5" customFormat="1" outlineLevel="2">
      <c r="A60" s="39" t="s">
        <v>78</v>
      </c>
      <c r="B60" s="40" t="s">
        <v>19</v>
      </c>
      <c r="C60" s="41" t="s">
        <v>79</v>
      </c>
      <c r="D60" s="40" t="s">
        <v>80</v>
      </c>
      <c r="E60" s="24">
        <v>130000000</v>
      </c>
      <c r="F60" s="39">
        <v>44013</v>
      </c>
      <c r="G60" s="24">
        <v>130000000</v>
      </c>
      <c r="H60" s="23">
        <v>5.0000000000000001E-3</v>
      </c>
      <c r="I60" s="39">
        <v>44440</v>
      </c>
      <c r="J60" s="39">
        <v>44469</v>
      </c>
      <c r="K60" s="24">
        <v>30</v>
      </c>
      <c r="L60" s="24">
        <v>53425</v>
      </c>
      <c r="M60" s="24">
        <v>130000000</v>
      </c>
      <c r="N60" s="39">
        <v>45838</v>
      </c>
    </row>
    <row r="61" spans="1:14" s="5" customFormat="1" outlineLevel="2">
      <c r="A61" s="39" t="s">
        <v>78</v>
      </c>
      <c r="B61" s="40" t="s">
        <v>22</v>
      </c>
      <c r="C61" s="41" t="s">
        <v>81</v>
      </c>
      <c r="D61" s="40" t="s">
        <v>82</v>
      </c>
      <c r="E61" s="24">
        <v>3400000</v>
      </c>
      <c r="F61" s="39">
        <v>44063</v>
      </c>
      <c r="G61" s="24">
        <v>2696560</v>
      </c>
      <c r="H61" s="23">
        <v>5.0000000000000001E-3</v>
      </c>
      <c r="I61" s="39">
        <v>44440</v>
      </c>
      <c r="J61" s="39">
        <v>44453</v>
      </c>
      <c r="K61" s="24">
        <v>14</v>
      </c>
      <c r="L61" s="24">
        <v>517</v>
      </c>
      <c r="M61" s="24">
        <v>2637940</v>
      </c>
      <c r="N61" s="39">
        <v>45888</v>
      </c>
    </row>
    <row r="62" spans="1:14" s="5" customFormat="1" outlineLevel="2">
      <c r="A62" s="39" t="s">
        <v>78</v>
      </c>
      <c r="B62" s="40" t="s">
        <v>22</v>
      </c>
      <c r="C62" s="41" t="s">
        <v>81</v>
      </c>
      <c r="D62" s="40"/>
      <c r="E62" s="24"/>
      <c r="F62" s="39"/>
      <c r="G62" s="24">
        <v>2637940</v>
      </c>
      <c r="H62" s="23">
        <v>5.0000000000000001E-3</v>
      </c>
      <c r="I62" s="39">
        <v>44454</v>
      </c>
      <c r="J62" s="39">
        <v>44469</v>
      </c>
      <c r="K62" s="24">
        <v>16</v>
      </c>
      <c r="L62" s="24">
        <v>578</v>
      </c>
      <c r="M62" s="24"/>
      <c r="N62" s="39">
        <v>45888</v>
      </c>
    </row>
    <row r="63" spans="1:14" s="5" customFormat="1" outlineLevel="2">
      <c r="A63" s="39" t="s">
        <v>78</v>
      </c>
      <c r="B63" s="40" t="s">
        <v>25</v>
      </c>
      <c r="C63" s="41" t="s">
        <v>81</v>
      </c>
      <c r="D63" s="40" t="s">
        <v>82</v>
      </c>
      <c r="E63" s="24">
        <v>9800000</v>
      </c>
      <c r="F63" s="39">
        <v>44071</v>
      </c>
      <c r="G63" s="24">
        <v>7772396</v>
      </c>
      <c r="H63" s="23">
        <v>5.0000000000000001E-3</v>
      </c>
      <c r="I63" s="39">
        <v>44440</v>
      </c>
      <c r="J63" s="39">
        <v>44453</v>
      </c>
      <c r="K63" s="24">
        <v>14</v>
      </c>
      <c r="L63" s="24">
        <v>1491</v>
      </c>
      <c r="M63" s="24">
        <v>7603429</v>
      </c>
      <c r="N63" s="39">
        <v>45896</v>
      </c>
    </row>
    <row r="64" spans="1:14" s="5" customFormat="1" outlineLevel="2">
      <c r="A64" s="39" t="s">
        <v>78</v>
      </c>
      <c r="B64" s="40" t="s">
        <v>25</v>
      </c>
      <c r="C64" s="41" t="s">
        <v>81</v>
      </c>
      <c r="D64" s="40"/>
      <c r="E64" s="24"/>
      <c r="F64" s="39"/>
      <c r="G64" s="24">
        <v>7603429</v>
      </c>
      <c r="H64" s="23">
        <v>5.0000000000000001E-3</v>
      </c>
      <c r="I64" s="39">
        <v>44454</v>
      </c>
      <c r="J64" s="39">
        <v>44469</v>
      </c>
      <c r="K64" s="24">
        <v>16</v>
      </c>
      <c r="L64" s="24">
        <v>1667</v>
      </c>
      <c r="M64" s="24"/>
      <c r="N64" s="39">
        <v>45896</v>
      </c>
    </row>
    <row r="65" spans="1:14" s="5" customFormat="1" outlineLevel="2">
      <c r="A65" s="39" t="s">
        <v>78</v>
      </c>
      <c r="B65" s="40" t="s">
        <v>26</v>
      </c>
      <c r="C65" s="41" t="s">
        <v>83</v>
      </c>
      <c r="D65" s="40" t="s">
        <v>84</v>
      </c>
      <c r="E65" s="24">
        <v>201000000</v>
      </c>
      <c r="F65" s="39">
        <v>44064</v>
      </c>
      <c r="G65" s="24">
        <v>201000000</v>
      </c>
      <c r="H65" s="23">
        <v>5.0000000000000001E-3</v>
      </c>
      <c r="I65" s="39">
        <v>44440</v>
      </c>
      <c r="J65" s="39">
        <v>44469</v>
      </c>
      <c r="K65" s="24">
        <v>30</v>
      </c>
      <c r="L65" s="24">
        <v>82603</v>
      </c>
      <c r="M65" s="24">
        <v>201000000</v>
      </c>
      <c r="N65" s="39">
        <v>45889</v>
      </c>
    </row>
    <row r="66" spans="1:14" s="5" customFormat="1" outlineLevel="2">
      <c r="A66" s="39" t="s">
        <v>78</v>
      </c>
      <c r="B66" s="40" t="s">
        <v>29</v>
      </c>
      <c r="C66" s="41" t="s">
        <v>85</v>
      </c>
      <c r="D66" s="40" t="s">
        <v>86</v>
      </c>
      <c r="E66" s="24">
        <v>211550000</v>
      </c>
      <c r="F66" s="39">
        <v>44078</v>
      </c>
      <c r="G66" s="24">
        <v>211550000</v>
      </c>
      <c r="H66" s="23">
        <v>5.0000000000000001E-3</v>
      </c>
      <c r="I66" s="39">
        <v>44440</v>
      </c>
      <c r="J66" s="39">
        <v>44469</v>
      </c>
      <c r="K66" s="24">
        <v>30</v>
      </c>
      <c r="L66" s="24">
        <v>86938</v>
      </c>
      <c r="M66" s="24">
        <v>211550000</v>
      </c>
      <c r="N66" s="39">
        <v>45903</v>
      </c>
    </row>
    <row r="67" spans="1:14" s="5" customFormat="1" outlineLevel="2">
      <c r="A67" s="39" t="s">
        <v>78</v>
      </c>
      <c r="B67" s="40" t="s">
        <v>32</v>
      </c>
      <c r="C67" s="41" t="s">
        <v>85</v>
      </c>
      <c r="D67" s="40" t="s">
        <v>86</v>
      </c>
      <c r="E67" s="24">
        <v>91330000</v>
      </c>
      <c r="F67" s="39">
        <v>44120</v>
      </c>
      <c r="G67" s="24">
        <v>91330000</v>
      </c>
      <c r="H67" s="23">
        <v>5.0000000000000001E-3</v>
      </c>
      <c r="I67" s="39">
        <v>44440</v>
      </c>
      <c r="J67" s="39">
        <v>44469</v>
      </c>
      <c r="K67" s="24">
        <v>30</v>
      </c>
      <c r="L67" s="24">
        <v>37533</v>
      </c>
      <c r="M67" s="24">
        <v>91330000</v>
      </c>
      <c r="N67" s="39">
        <v>45945</v>
      </c>
    </row>
    <row r="68" spans="1:14" s="5" customFormat="1" outlineLevel="2">
      <c r="A68" s="39" t="s">
        <v>78</v>
      </c>
      <c r="B68" s="40" t="s">
        <v>33</v>
      </c>
      <c r="C68" s="41" t="s">
        <v>45</v>
      </c>
      <c r="D68" s="40" t="s">
        <v>46</v>
      </c>
      <c r="E68" s="24">
        <v>10000000</v>
      </c>
      <c r="F68" s="39">
        <v>44120</v>
      </c>
      <c r="G68" s="24">
        <v>10000000</v>
      </c>
      <c r="H68" s="23">
        <v>5.0000000000000001E-3</v>
      </c>
      <c r="I68" s="39">
        <v>44440</v>
      </c>
      <c r="J68" s="39">
        <v>44469</v>
      </c>
      <c r="K68" s="24">
        <v>30</v>
      </c>
      <c r="L68" s="24">
        <v>4110</v>
      </c>
      <c r="M68" s="24">
        <v>10000000</v>
      </c>
      <c r="N68" s="39">
        <v>45945</v>
      </c>
    </row>
    <row r="69" spans="1:14" s="5" customFormat="1" outlineLevel="2">
      <c r="A69" s="39" t="s">
        <v>78</v>
      </c>
      <c r="B69" s="40" t="s">
        <v>34</v>
      </c>
      <c r="C69" s="41" t="s">
        <v>87</v>
      </c>
      <c r="D69" s="40" t="s">
        <v>88</v>
      </c>
      <c r="E69" s="24">
        <v>40000000</v>
      </c>
      <c r="F69" s="39">
        <v>44131</v>
      </c>
      <c r="G69" s="24">
        <v>40000000</v>
      </c>
      <c r="H69" s="23">
        <v>5.0000000000000001E-3</v>
      </c>
      <c r="I69" s="39">
        <v>44440</v>
      </c>
      <c r="J69" s="39">
        <v>44469</v>
      </c>
      <c r="K69" s="24">
        <v>30</v>
      </c>
      <c r="L69" s="24">
        <v>16438</v>
      </c>
      <c r="M69" s="24">
        <v>40000000</v>
      </c>
      <c r="N69" s="39">
        <v>45956</v>
      </c>
    </row>
    <row r="70" spans="1:14" s="5" customFormat="1" outlineLevel="2">
      <c r="A70" s="39" t="s">
        <v>78</v>
      </c>
      <c r="B70" s="40" t="s">
        <v>35</v>
      </c>
      <c r="C70" s="41" t="s">
        <v>89</v>
      </c>
      <c r="D70" s="40" t="s">
        <v>90</v>
      </c>
      <c r="E70" s="24">
        <v>88000000</v>
      </c>
      <c r="F70" s="39">
        <v>44119</v>
      </c>
      <c r="G70" s="24">
        <v>88000000</v>
      </c>
      <c r="H70" s="23">
        <v>5.0000000000000001E-3</v>
      </c>
      <c r="I70" s="39">
        <v>44440</v>
      </c>
      <c r="J70" s="39">
        <v>44469</v>
      </c>
      <c r="K70" s="24">
        <v>30</v>
      </c>
      <c r="L70" s="24">
        <v>36164</v>
      </c>
      <c r="M70" s="24">
        <v>88000000</v>
      </c>
      <c r="N70" s="39">
        <v>45944</v>
      </c>
    </row>
    <row r="71" spans="1:14" s="5" customFormat="1" outlineLevel="2">
      <c r="A71" s="39" t="s">
        <v>78</v>
      </c>
      <c r="B71" s="40" t="s">
        <v>36</v>
      </c>
      <c r="C71" s="41" t="s">
        <v>91</v>
      </c>
      <c r="D71" s="40" t="s">
        <v>92</v>
      </c>
      <c r="E71" s="24">
        <v>65800000</v>
      </c>
      <c r="F71" s="39">
        <v>44119</v>
      </c>
      <c r="G71" s="24">
        <v>65800000</v>
      </c>
      <c r="H71" s="23">
        <v>5.0000000000000001E-3</v>
      </c>
      <c r="I71" s="39">
        <v>44440</v>
      </c>
      <c r="J71" s="39">
        <v>44469</v>
      </c>
      <c r="K71" s="24">
        <v>30</v>
      </c>
      <c r="L71" s="24">
        <v>27041</v>
      </c>
      <c r="M71" s="24">
        <v>65800000</v>
      </c>
      <c r="N71" s="39">
        <v>45944</v>
      </c>
    </row>
    <row r="72" spans="1:14" s="5" customFormat="1" outlineLevel="2">
      <c r="A72" s="39" t="s">
        <v>78</v>
      </c>
      <c r="B72" s="40" t="s">
        <v>39</v>
      </c>
      <c r="C72" s="41" t="s">
        <v>60</v>
      </c>
      <c r="D72" s="40" t="s">
        <v>61</v>
      </c>
      <c r="E72" s="24">
        <v>90000000</v>
      </c>
      <c r="F72" s="39">
        <v>43913</v>
      </c>
      <c r="G72" s="24">
        <v>80625000</v>
      </c>
      <c r="H72" s="23">
        <v>5.0000000000000001E-3</v>
      </c>
      <c r="I72" s="39">
        <v>44440</v>
      </c>
      <c r="J72" s="39">
        <v>44453</v>
      </c>
      <c r="K72" s="24">
        <v>14</v>
      </c>
      <c r="L72" s="24">
        <v>15462</v>
      </c>
      <c r="M72" s="24">
        <v>78750000</v>
      </c>
      <c r="N72" s="39">
        <v>45738</v>
      </c>
    </row>
    <row r="73" spans="1:14" s="5" customFormat="1" outlineLevel="2">
      <c r="A73" s="39" t="s">
        <v>78</v>
      </c>
      <c r="B73" s="40" t="s">
        <v>39</v>
      </c>
      <c r="C73" s="41" t="s">
        <v>60</v>
      </c>
      <c r="D73" s="40"/>
      <c r="E73" s="24"/>
      <c r="F73" s="39"/>
      <c r="G73" s="24">
        <v>78750000</v>
      </c>
      <c r="H73" s="23">
        <v>5.0000000000000001E-3</v>
      </c>
      <c r="I73" s="39">
        <v>44454</v>
      </c>
      <c r="J73" s="39">
        <v>44469</v>
      </c>
      <c r="K73" s="24">
        <v>16</v>
      </c>
      <c r="L73" s="24">
        <v>17260</v>
      </c>
      <c r="M73" s="24"/>
      <c r="N73" s="39">
        <v>45738</v>
      </c>
    </row>
    <row r="74" spans="1:14" s="5" customFormat="1" outlineLevel="2">
      <c r="A74" s="39" t="s">
        <v>78</v>
      </c>
      <c r="B74" s="40" t="s">
        <v>40</v>
      </c>
      <c r="C74" s="41" t="s">
        <v>93</v>
      </c>
      <c r="D74" s="40" t="s">
        <v>94</v>
      </c>
      <c r="E74" s="24">
        <v>7611996</v>
      </c>
      <c r="F74" s="39">
        <v>44151</v>
      </c>
      <c r="G74" s="24">
        <v>7611996</v>
      </c>
      <c r="H74" s="23">
        <v>5.0000000000000001E-3</v>
      </c>
      <c r="I74" s="39">
        <v>44440</v>
      </c>
      <c r="J74" s="39">
        <v>44469</v>
      </c>
      <c r="K74" s="24">
        <v>30</v>
      </c>
      <c r="L74" s="24">
        <v>3128</v>
      </c>
      <c r="M74" s="24">
        <v>7611996</v>
      </c>
      <c r="N74" s="39">
        <v>45976</v>
      </c>
    </row>
    <row r="75" spans="1:14" s="5" customFormat="1" outlineLevel="2">
      <c r="A75" s="39" t="s">
        <v>78</v>
      </c>
      <c r="B75" s="40" t="s">
        <v>41</v>
      </c>
      <c r="C75" s="41" t="s">
        <v>93</v>
      </c>
      <c r="D75" s="40" t="s">
        <v>94</v>
      </c>
      <c r="E75" s="24">
        <v>4900000</v>
      </c>
      <c r="F75" s="39">
        <v>44151</v>
      </c>
      <c r="G75" s="24">
        <v>4900000</v>
      </c>
      <c r="H75" s="23">
        <v>5.0000000000000001E-3</v>
      </c>
      <c r="I75" s="39">
        <v>44440</v>
      </c>
      <c r="J75" s="39">
        <v>44469</v>
      </c>
      <c r="K75" s="24">
        <v>30</v>
      </c>
      <c r="L75" s="24">
        <v>2014</v>
      </c>
      <c r="M75" s="24">
        <v>4900000</v>
      </c>
      <c r="N75" s="39">
        <v>45976</v>
      </c>
    </row>
    <row r="76" spans="1:14" s="5" customFormat="1" outlineLevel="2">
      <c r="A76" s="39" t="s">
        <v>78</v>
      </c>
      <c r="B76" s="40" t="s">
        <v>42</v>
      </c>
      <c r="C76" s="41" t="s">
        <v>93</v>
      </c>
      <c r="D76" s="40" t="s">
        <v>94</v>
      </c>
      <c r="E76" s="24">
        <v>21838392</v>
      </c>
      <c r="F76" s="39">
        <v>44151</v>
      </c>
      <c r="G76" s="24">
        <v>21838392</v>
      </c>
      <c r="H76" s="23">
        <v>5.0000000000000001E-3</v>
      </c>
      <c r="I76" s="39">
        <v>44440</v>
      </c>
      <c r="J76" s="39">
        <v>44469</v>
      </c>
      <c r="K76" s="24">
        <v>30</v>
      </c>
      <c r="L76" s="24">
        <v>8975</v>
      </c>
      <c r="M76" s="24">
        <v>21838392</v>
      </c>
      <c r="N76" s="39">
        <v>45976</v>
      </c>
    </row>
    <row r="77" spans="1:14" s="5" customFormat="1" outlineLevel="2">
      <c r="A77" s="39" t="s">
        <v>78</v>
      </c>
      <c r="B77" s="40" t="s">
        <v>43</v>
      </c>
      <c r="C77" s="41" t="s">
        <v>95</v>
      </c>
      <c r="D77" s="40" t="s">
        <v>96</v>
      </c>
      <c r="E77" s="24">
        <v>41950000</v>
      </c>
      <c r="F77" s="39">
        <v>44154</v>
      </c>
      <c r="G77" s="24">
        <v>41950000</v>
      </c>
      <c r="H77" s="23">
        <v>5.0000000000000001E-3</v>
      </c>
      <c r="I77" s="39">
        <v>44440</v>
      </c>
      <c r="J77" s="39">
        <v>44469</v>
      </c>
      <c r="K77" s="24">
        <v>30</v>
      </c>
      <c r="L77" s="24">
        <v>17240</v>
      </c>
      <c r="M77" s="24">
        <v>41950000</v>
      </c>
      <c r="N77" s="39">
        <v>45979</v>
      </c>
    </row>
    <row r="78" spans="1:14" s="5" customFormat="1" outlineLevel="2">
      <c r="A78" s="39" t="s">
        <v>78</v>
      </c>
      <c r="B78" s="40" t="s">
        <v>44</v>
      </c>
      <c r="C78" s="41" t="s">
        <v>95</v>
      </c>
      <c r="D78" s="40" t="s">
        <v>96</v>
      </c>
      <c r="E78" s="24">
        <v>30000000</v>
      </c>
      <c r="F78" s="39">
        <v>44154</v>
      </c>
      <c r="G78" s="24">
        <v>26785713</v>
      </c>
      <c r="H78" s="23">
        <v>5.0000000000000001E-3</v>
      </c>
      <c r="I78" s="39">
        <v>44440</v>
      </c>
      <c r="J78" s="39">
        <v>44453</v>
      </c>
      <c r="K78" s="24">
        <v>14</v>
      </c>
      <c r="L78" s="24">
        <v>5137</v>
      </c>
      <c r="M78" s="24">
        <v>26428570</v>
      </c>
      <c r="N78" s="39">
        <v>45979</v>
      </c>
    </row>
    <row r="79" spans="1:14" s="5" customFormat="1" outlineLevel="2">
      <c r="A79" s="39" t="s">
        <v>78</v>
      </c>
      <c r="B79" s="40" t="s">
        <v>44</v>
      </c>
      <c r="C79" s="41" t="s">
        <v>95</v>
      </c>
      <c r="D79" s="40"/>
      <c r="E79" s="24"/>
      <c r="F79" s="39"/>
      <c r="G79" s="24">
        <v>26428570</v>
      </c>
      <c r="H79" s="23">
        <v>5.0000000000000001E-3</v>
      </c>
      <c r="I79" s="39">
        <v>44454</v>
      </c>
      <c r="J79" s="39">
        <v>44469</v>
      </c>
      <c r="K79" s="24">
        <v>16</v>
      </c>
      <c r="L79" s="24">
        <v>5793</v>
      </c>
      <c r="M79" s="24"/>
      <c r="N79" s="39">
        <v>45979</v>
      </c>
    </row>
    <row r="80" spans="1:14" s="5" customFormat="1" outlineLevel="2">
      <c r="A80" s="39" t="s">
        <v>78</v>
      </c>
      <c r="B80" s="40" t="s">
        <v>47</v>
      </c>
      <c r="C80" s="41" t="s">
        <v>81</v>
      </c>
      <c r="D80" s="40" t="s">
        <v>82</v>
      </c>
      <c r="E80" s="24">
        <v>3490000</v>
      </c>
      <c r="F80" s="39">
        <v>44138</v>
      </c>
      <c r="G80" s="24">
        <v>2918905</v>
      </c>
      <c r="H80" s="23">
        <v>5.0000000000000001E-3</v>
      </c>
      <c r="I80" s="39">
        <v>44440</v>
      </c>
      <c r="J80" s="39">
        <v>44453</v>
      </c>
      <c r="K80" s="24">
        <v>14</v>
      </c>
      <c r="L80" s="24">
        <v>560</v>
      </c>
      <c r="M80" s="24">
        <v>2855450</v>
      </c>
      <c r="N80" s="39">
        <v>45963</v>
      </c>
    </row>
    <row r="81" spans="1:14" s="5" customFormat="1" outlineLevel="2">
      <c r="A81" s="39" t="s">
        <v>78</v>
      </c>
      <c r="B81" s="40" t="s">
        <v>47</v>
      </c>
      <c r="C81" s="41" t="s">
        <v>81</v>
      </c>
      <c r="D81" s="40"/>
      <c r="E81" s="24"/>
      <c r="F81" s="39"/>
      <c r="G81" s="24">
        <v>2855450</v>
      </c>
      <c r="H81" s="23">
        <v>5.0000000000000001E-3</v>
      </c>
      <c r="I81" s="39">
        <v>44454</v>
      </c>
      <c r="J81" s="39">
        <v>44469</v>
      </c>
      <c r="K81" s="24">
        <v>16</v>
      </c>
      <c r="L81" s="24">
        <v>626</v>
      </c>
      <c r="M81" s="24"/>
      <c r="N81" s="39">
        <v>45963</v>
      </c>
    </row>
    <row r="82" spans="1:14" s="5" customFormat="1" outlineLevel="2">
      <c r="A82" s="39" t="s">
        <v>78</v>
      </c>
      <c r="B82" s="40" t="s">
        <v>50</v>
      </c>
      <c r="C82" s="41" t="s">
        <v>81</v>
      </c>
      <c r="D82" s="40" t="s">
        <v>82</v>
      </c>
      <c r="E82" s="24">
        <v>1970000</v>
      </c>
      <c r="F82" s="39">
        <v>44147</v>
      </c>
      <c r="G82" s="24">
        <v>1647629</v>
      </c>
      <c r="H82" s="23">
        <v>5.0000000000000001E-3</v>
      </c>
      <c r="I82" s="39">
        <v>44440</v>
      </c>
      <c r="J82" s="39">
        <v>44453</v>
      </c>
      <c r="K82" s="24">
        <v>14</v>
      </c>
      <c r="L82" s="24">
        <v>316</v>
      </c>
      <c r="M82" s="24">
        <v>1611810</v>
      </c>
      <c r="N82" s="39">
        <v>45972</v>
      </c>
    </row>
    <row r="83" spans="1:14" s="5" customFormat="1" outlineLevel="2">
      <c r="A83" s="39" t="s">
        <v>78</v>
      </c>
      <c r="B83" s="40" t="s">
        <v>50</v>
      </c>
      <c r="C83" s="41" t="s">
        <v>81</v>
      </c>
      <c r="D83" s="40"/>
      <c r="E83" s="24"/>
      <c r="F83" s="39"/>
      <c r="G83" s="24">
        <v>1611810</v>
      </c>
      <c r="H83" s="23">
        <v>5.0000000000000001E-3</v>
      </c>
      <c r="I83" s="39">
        <v>44454</v>
      </c>
      <c r="J83" s="39">
        <v>44469</v>
      </c>
      <c r="K83" s="24">
        <v>16</v>
      </c>
      <c r="L83" s="24">
        <v>353</v>
      </c>
      <c r="M83" s="24"/>
      <c r="N83" s="39">
        <v>45972</v>
      </c>
    </row>
    <row r="84" spans="1:14" s="5" customFormat="1" outlineLevel="2">
      <c r="A84" s="39" t="s">
        <v>78</v>
      </c>
      <c r="B84" s="40" t="s">
        <v>51</v>
      </c>
      <c r="C84" s="41" t="s">
        <v>93</v>
      </c>
      <c r="D84" s="40" t="s">
        <v>94</v>
      </c>
      <c r="E84" s="24">
        <v>20979731</v>
      </c>
      <c r="F84" s="39">
        <v>44167</v>
      </c>
      <c r="G84" s="24">
        <v>20979731</v>
      </c>
      <c r="H84" s="23">
        <v>5.0000000000000001E-3</v>
      </c>
      <c r="I84" s="39">
        <v>44440</v>
      </c>
      <c r="J84" s="39">
        <v>44469</v>
      </c>
      <c r="K84" s="24">
        <v>30</v>
      </c>
      <c r="L84" s="24">
        <v>8622</v>
      </c>
      <c r="M84" s="24">
        <v>20979731</v>
      </c>
      <c r="N84" s="39">
        <v>45992</v>
      </c>
    </row>
    <row r="85" spans="1:14" s="5" customFormat="1" outlineLevel="2">
      <c r="A85" s="39" t="s">
        <v>78</v>
      </c>
      <c r="B85" s="40" t="s">
        <v>52</v>
      </c>
      <c r="C85" s="41" t="s">
        <v>93</v>
      </c>
      <c r="D85" s="40" t="s">
        <v>94</v>
      </c>
      <c r="E85" s="24">
        <v>15036832</v>
      </c>
      <c r="F85" s="39">
        <v>44181</v>
      </c>
      <c r="G85" s="24">
        <v>15036832</v>
      </c>
      <c r="H85" s="23">
        <v>5.0000000000000001E-3</v>
      </c>
      <c r="I85" s="39">
        <v>44440</v>
      </c>
      <c r="J85" s="39">
        <v>44469</v>
      </c>
      <c r="K85" s="24">
        <v>30</v>
      </c>
      <c r="L85" s="24">
        <v>6180</v>
      </c>
      <c r="M85" s="24">
        <v>15036832</v>
      </c>
      <c r="N85" s="39">
        <v>46006</v>
      </c>
    </row>
    <row r="86" spans="1:14" s="5" customFormat="1" outlineLevel="2">
      <c r="A86" s="39" t="s">
        <v>78</v>
      </c>
      <c r="B86" s="40" t="s">
        <v>53</v>
      </c>
      <c r="C86" s="41" t="s">
        <v>93</v>
      </c>
      <c r="D86" s="40" t="s">
        <v>94</v>
      </c>
      <c r="E86" s="24">
        <v>2070415</v>
      </c>
      <c r="F86" s="39">
        <v>44193</v>
      </c>
      <c r="G86" s="24">
        <v>2070415</v>
      </c>
      <c r="H86" s="23">
        <v>5.0000000000000001E-3</v>
      </c>
      <c r="I86" s="39">
        <v>44440</v>
      </c>
      <c r="J86" s="39">
        <v>44469</v>
      </c>
      <c r="K86" s="24">
        <v>30</v>
      </c>
      <c r="L86" s="24">
        <v>851</v>
      </c>
      <c r="M86" s="24">
        <v>2070415</v>
      </c>
      <c r="N86" s="39">
        <v>46018</v>
      </c>
    </row>
    <row r="87" spans="1:14" s="5" customFormat="1" outlineLevel="2">
      <c r="A87" s="39" t="s">
        <v>78</v>
      </c>
      <c r="B87" s="40" t="s">
        <v>54</v>
      </c>
      <c r="C87" s="41" t="s">
        <v>55</v>
      </c>
      <c r="D87" s="40" t="s">
        <v>56</v>
      </c>
      <c r="E87" s="24">
        <v>23500000</v>
      </c>
      <c r="F87" s="39">
        <v>43928</v>
      </c>
      <c r="G87" s="24">
        <v>18744029</v>
      </c>
      <c r="H87" s="23">
        <v>5.0000000000000001E-3</v>
      </c>
      <c r="I87" s="39">
        <v>44440</v>
      </c>
      <c r="J87" s="39">
        <v>44453</v>
      </c>
      <c r="K87" s="24">
        <v>14</v>
      </c>
      <c r="L87" s="24">
        <v>3595</v>
      </c>
      <c r="M87" s="24">
        <v>18464266</v>
      </c>
      <c r="N87" s="39">
        <v>45753</v>
      </c>
    </row>
    <row r="88" spans="1:14" s="5" customFormat="1" outlineLevel="2">
      <c r="A88" s="39" t="s">
        <v>78</v>
      </c>
      <c r="B88" s="40" t="s">
        <v>54</v>
      </c>
      <c r="C88" s="41" t="s">
        <v>55</v>
      </c>
      <c r="D88" s="40"/>
      <c r="E88" s="24"/>
      <c r="F88" s="39"/>
      <c r="G88" s="24">
        <v>18464266</v>
      </c>
      <c r="H88" s="23">
        <v>5.0000000000000001E-3</v>
      </c>
      <c r="I88" s="39">
        <v>44454</v>
      </c>
      <c r="J88" s="39">
        <v>44469</v>
      </c>
      <c r="K88" s="24">
        <v>16</v>
      </c>
      <c r="L88" s="24">
        <v>4047</v>
      </c>
      <c r="M88" s="24"/>
      <c r="N88" s="39">
        <v>45753</v>
      </c>
    </row>
    <row r="89" spans="1:14" s="5" customFormat="1" outlineLevel="2">
      <c r="A89" s="39" t="s">
        <v>78</v>
      </c>
      <c r="B89" s="40" t="s">
        <v>57</v>
      </c>
      <c r="C89" s="41" t="s">
        <v>83</v>
      </c>
      <c r="D89" s="40" t="s">
        <v>84</v>
      </c>
      <c r="E89" s="24">
        <v>125000000</v>
      </c>
      <c r="F89" s="39">
        <v>44189</v>
      </c>
      <c r="G89" s="24">
        <v>125000000</v>
      </c>
      <c r="H89" s="23">
        <v>5.0000000000000001E-3</v>
      </c>
      <c r="I89" s="39">
        <v>44440</v>
      </c>
      <c r="J89" s="39">
        <v>44469</v>
      </c>
      <c r="K89" s="24">
        <v>30</v>
      </c>
      <c r="L89" s="24">
        <v>51370</v>
      </c>
      <c r="M89" s="24">
        <v>125000000</v>
      </c>
      <c r="N89" s="39">
        <v>46014</v>
      </c>
    </row>
    <row r="90" spans="1:14" s="5" customFormat="1" outlineLevel="2">
      <c r="A90" s="39" t="s">
        <v>78</v>
      </c>
      <c r="B90" s="40" t="s">
        <v>58</v>
      </c>
      <c r="C90" s="41" t="s">
        <v>97</v>
      </c>
      <c r="D90" s="40" t="s">
        <v>98</v>
      </c>
      <c r="E90" s="24">
        <v>51800000</v>
      </c>
      <c r="F90" s="39">
        <v>44180</v>
      </c>
      <c r="G90" s="24">
        <v>51800000</v>
      </c>
      <c r="H90" s="23">
        <v>5.0000000000000001E-3</v>
      </c>
      <c r="I90" s="39">
        <v>44440</v>
      </c>
      <c r="J90" s="39">
        <v>44469</v>
      </c>
      <c r="K90" s="24">
        <v>30</v>
      </c>
      <c r="L90" s="24">
        <v>21288</v>
      </c>
      <c r="M90" s="24">
        <v>51800000</v>
      </c>
      <c r="N90" s="39">
        <v>46005</v>
      </c>
    </row>
    <row r="91" spans="1:14" s="5" customFormat="1" outlineLevel="2">
      <c r="A91" s="39" t="s">
        <v>78</v>
      </c>
      <c r="B91" s="40" t="s">
        <v>99</v>
      </c>
      <c r="C91" s="41" t="s">
        <v>91</v>
      </c>
      <c r="D91" s="40" t="s">
        <v>92</v>
      </c>
      <c r="E91" s="24">
        <v>25000000</v>
      </c>
      <c r="F91" s="39">
        <v>44180</v>
      </c>
      <c r="G91" s="24">
        <v>25000000</v>
      </c>
      <c r="H91" s="23">
        <v>5.0000000000000001E-3</v>
      </c>
      <c r="I91" s="39">
        <v>44440</v>
      </c>
      <c r="J91" s="39">
        <v>44469</v>
      </c>
      <c r="K91" s="24">
        <v>30</v>
      </c>
      <c r="L91" s="24">
        <v>10274</v>
      </c>
      <c r="M91" s="24">
        <v>25000000</v>
      </c>
      <c r="N91" s="39">
        <v>46005</v>
      </c>
    </row>
    <row r="92" spans="1:14" s="5" customFormat="1" outlineLevel="2">
      <c r="A92" s="39" t="s">
        <v>78</v>
      </c>
      <c r="B92" s="40" t="s">
        <v>100</v>
      </c>
      <c r="C92" s="41" t="s">
        <v>91</v>
      </c>
      <c r="D92" s="40" t="s">
        <v>92</v>
      </c>
      <c r="E92" s="24">
        <v>44000000</v>
      </c>
      <c r="F92" s="39">
        <v>44180</v>
      </c>
      <c r="G92" s="24">
        <v>44000000</v>
      </c>
      <c r="H92" s="23">
        <v>5.0000000000000001E-3</v>
      </c>
      <c r="I92" s="39">
        <v>44440</v>
      </c>
      <c r="J92" s="39">
        <v>44469</v>
      </c>
      <c r="K92" s="24">
        <v>30</v>
      </c>
      <c r="L92" s="24">
        <v>18082</v>
      </c>
      <c r="M92" s="24">
        <v>44000000</v>
      </c>
      <c r="N92" s="39">
        <v>46005</v>
      </c>
    </row>
    <row r="93" spans="1:14" s="5" customFormat="1" outlineLevel="2">
      <c r="A93" s="39" t="s">
        <v>78</v>
      </c>
      <c r="B93" s="40" t="s">
        <v>101</v>
      </c>
      <c r="C93" s="41" t="s">
        <v>95</v>
      </c>
      <c r="D93" s="40" t="s">
        <v>96</v>
      </c>
      <c r="E93" s="24">
        <v>129650000</v>
      </c>
      <c r="F93" s="39">
        <v>44195</v>
      </c>
      <c r="G93" s="24">
        <v>129650000</v>
      </c>
      <c r="H93" s="23">
        <v>5.0000000000000001E-3</v>
      </c>
      <c r="I93" s="39">
        <v>44440</v>
      </c>
      <c r="J93" s="39">
        <v>44469</v>
      </c>
      <c r="K93" s="24">
        <v>30</v>
      </c>
      <c r="L93" s="24">
        <v>53281</v>
      </c>
      <c r="M93" s="24">
        <v>129650000</v>
      </c>
      <c r="N93" s="39">
        <v>46020</v>
      </c>
    </row>
    <row r="94" spans="1:14" s="5" customFormat="1" outlineLevel="2">
      <c r="A94" s="39" t="s">
        <v>78</v>
      </c>
      <c r="B94" s="40" t="s">
        <v>102</v>
      </c>
      <c r="C94" s="41" t="s">
        <v>95</v>
      </c>
      <c r="D94" s="40" t="s">
        <v>96</v>
      </c>
      <c r="E94" s="24">
        <v>12000000</v>
      </c>
      <c r="F94" s="39">
        <v>44195</v>
      </c>
      <c r="G94" s="24">
        <v>10843368</v>
      </c>
      <c r="H94" s="23">
        <v>5.0000000000000001E-3</v>
      </c>
      <c r="I94" s="39">
        <v>44440</v>
      </c>
      <c r="J94" s="39">
        <v>44453</v>
      </c>
      <c r="K94" s="24">
        <v>14</v>
      </c>
      <c r="L94" s="24">
        <v>2080</v>
      </c>
      <c r="M94" s="24">
        <v>10698789</v>
      </c>
      <c r="N94" s="39">
        <v>46020</v>
      </c>
    </row>
    <row r="95" spans="1:14" s="5" customFormat="1" outlineLevel="2">
      <c r="A95" s="39" t="s">
        <v>78</v>
      </c>
      <c r="B95" s="40" t="s">
        <v>102</v>
      </c>
      <c r="C95" s="41" t="s">
        <v>95</v>
      </c>
      <c r="D95" s="40"/>
      <c r="E95" s="24"/>
      <c r="F95" s="39"/>
      <c r="G95" s="24">
        <v>10698789</v>
      </c>
      <c r="H95" s="23">
        <v>5.0000000000000001E-3</v>
      </c>
      <c r="I95" s="39">
        <v>44454</v>
      </c>
      <c r="J95" s="39">
        <v>44469</v>
      </c>
      <c r="K95" s="24">
        <v>16</v>
      </c>
      <c r="L95" s="24">
        <v>2345</v>
      </c>
      <c r="M95" s="24"/>
      <c r="N95" s="39">
        <v>46020</v>
      </c>
    </row>
    <row r="96" spans="1:14" s="5" customFormat="1" outlineLevel="2">
      <c r="A96" s="39" t="s">
        <v>78</v>
      </c>
      <c r="B96" s="40" t="s">
        <v>103</v>
      </c>
      <c r="C96" s="41" t="s">
        <v>66</v>
      </c>
      <c r="D96" s="40" t="s">
        <v>67</v>
      </c>
      <c r="E96" s="24">
        <v>144000000</v>
      </c>
      <c r="F96" s="39">
        <v>44196</v>
      </c>
      <c r="G96" s="24">
        <v>144000000</v>
      </c>
      <c r="H96" s="23">
        <v>5.0000000000000001E-3</v>
      </c>
      <c r="I96" s="39">
        <v>44440</v>
      </c>
      <c r="J96" s="39">
        <v>44469</v>
      </c>
      <c r="K96" s="24">
        <v>30</v>
      </c>
      <c r="L96" s="24">
        <v>59178</v>
      </c>
      <c r="M96" s="24">
        <v>144000000</v>
      </c>
      <c r="N96" s="39">
        <v>46021</v>
      </c>
    </row>
    <row r="97" spans="1:14" s="5" customFormat="1" outlineLevel="2">
      <c r="A97" s="39" t="s">
        <v>78</v>
      </c>
      <c r="B97" s="40" t="s">
        <v>104</v>
      </c>
      <c r="C97" s="41" t="s">
        <v>91</v>
      </c>
      <c r="D97" s="40" t="s">
        <v>92</v>
      </c>
      <c r="E97" s="24">
        <v>45000000</v>
      </c>
      <c r="F97" s="39">
        <v>44211</v>
      </c>
      <c r="G97" s="24">
        <v>45000000</v>
      </c>
      <c r="H97" s="23">
        <v>5.0000000000000001E-3</v>
      </c>
      <c r="I97" s="39">
        <v>44440</v>
      </c>
      <c r="J97" s="39">
        <v>44469</v>
      </c>
      <c r="K97" s="24">
        <v>30</v>
      </c>
      <c r="L97" s="24">
        <v>18493</v>
      </c>
      <c r="M97" s="24">
        <v>45000000</v>
      </c>
      <c r="N97" s="39">
        <v>46036</v>
      </c>
    </row>
    <row r="98" spans="1:14" s="5" customFormat="1" outlineLevel="2">
      <c r="A98" s="39" t="s">
        <v>78</v>
      </c>
      <c r="B98" s="40" t="s">
        <v>105</v>
      </c>
      <c r="C98" s="41" t="s">
        <v>91</v>
      </c>
      <c r="D98" s="40" t="s">
        <v>92</v>
      </c>
      <c r="E98" s="24">
        <v>31000000</v>
      </c>
      <c r="F98" s="39">
        <v>44211</v>
      </c>
      <c r="G98" s="24">
        <v>31000000</v>
      </c>
      <c r="H98" s="23">
        <v>5.0000000000000001E-3</v>
      </c>
      <c r="I98" s="39">
        <v>44440</v>
      </c>
      <c r="J98" s="39">
        <v>44469</v>
      </c>
      <c r="K98" s="24">
        <v>30</v>
      </c>
      <c r="L98" s="24">
        <v>12740</v>
      </c>
      <c r="M98" s="24">
        <v>31000000</v>
      </c>
      <c r="N98" s="39">
        <v>46036</v>
      </c>
    </row>
    <row r="99" spans="1:14" s="5" customFormat="1" outlineLevel="2">
      <c r="A99" s="39" t="s">
        <v>78</v>
      </c>
      <c r="B99" s="40" t="s">
        <v>106</v>
      </c>
      <c r="C99" s="41" t="s">
        <v>93</v>
      </c>
      <c r="D99" s="40" t="s">
        <v>94</v>
      </c>
      <c r="E99" s="24">
        <v>7174630</v>
      </c>
      <c r="F99" s="39">
        <v>44203</v>
      </c>
      <c r="G99" s="24">
        <v>7174630</v>
      </c>
      <c r="H99" s="23">
        <v>5.0000000000000001E-3</v>
      </c>
      <c r="I99" s="39">
        <v>44440</v>
      </c>
      <c r="J99" s="39">
        <v>44469</v>
      </c>
      <c r="K99" s="24">
        <v>30</v>
      </c>
      <c r="L99" s="24">
        <v>2948</v>
      </c>
      <c r="M99" s="24">
        <v>7174630</v>
      </c>
      <c r="N99" s="39">
        <v>46028</v>
      </c>
    </row>
    <row r="100" spans="1:14" s="5" customFormat="1" outlineLevel="2">
      <c r="A100" s="39" t="s">
        <v>78</v>
      </c>
      <c r="B100" s="40" t="s">
        <v>59</v>
      </c>
      <c r="C100" s="41" t="s">
        <v>81</v>
      </c>
      <c r="D100" s="40" t="s">
        <v>82</v>
      </c>
      <c r="E100" s="24">
        <v>7000000</v>
      </c>
      <c r="F100" s="39">
        <v>44004</v>
      </c>
      <c r="G100" s="24">
        <v>5366662</v>
      </c>
      <c r="H100" s="23">
        <v>5.0000000000000001E-3</v>
      </c>
      <c r="I100" s="39">
        <v>44440</v>
      </c>
      <c r="J100" s="39">
        <v>44453</v>
      </c>
      <c r="K100" s="24">
        <v>14</v>
      </c>
      <c r="L100" s="24">
        <v>1029</v>
      </c>
      <c r="M100" s="24">
        <v>5249995</v>
      </c>
      <c r="N100" s="39">
        <v>45829</v>
      </c>
    </row>
    <row r="101" spans="1:14" s="5" customFormat="1" outlineLevel="2">
      <c r="A101" s="39" t="s">
        <v>78</v>
      </c>
      <c r="B101" s="40" t="s">
        <v>59</v>
      </c>
      <c r="C101" s="41" t="s">
        <v>81</v>
      </c>
      <c r="D101" s="40"/>
      <c r="E101" s="24"/>
      <c r="F101" s="39"/>
      <c r="G101" s="24">
        <v>5249995</v>
      </c>
      <c r="H101" s="23">
        <v>5.0000000000000001E-3</v>
      </c>
      <c r="I101" s="39">
        <v>44454</v>
      </c>
      <c r="J101" s="39">
        <v>44469</v>
      </c>
      <c r="K101" s="24">
        <v>16</v>
      </c>
      <c r="L101" s="24">
        <v>1151</v>
      </c>
      <c r="M101" s="24"/>
      <c r="N101" s="39">
        <v>45829</v>
      </c>
    </row>
    <row r="102" spans="1:14" s="5" customFormat="1" outlineLevel="2">
      <c r="A102" s="39" t="s">
        <v>78</v>
      </c>
      <c r="B102" s="40" t="s">
        <v>136</v>
      </c>
      <c r="C102" s="41" t="s">
        <v>95</v>
      </c>
      <c r="D102" s="40" t="s">
        <v>96</v>
      </c>
      <c r="E102" s="24">
        <v>3650000</v>
      </c>
      <c r="F102" s="39">
        <v>44246</v>
      </c>
      <c r="G102" s="24">
        <v>3650000</v>
      </c>
      <c r="H102" s="23">
        <v>5.0000000000000001E-3</v>
      </c>
      <c r="I102" s="39">
        <v>44440</v>
      </c>
      <c r="J102" s="39">
        <v>44469</v>
      </c>
      <c r="K102" s="24">
        <v>30</v>
      </c>
      <c r="L102" s="24">
        <v>1500</v>
      </c>
      <c r="M102" s="24">
        <v>3650000</v>
      </c>
      <c r="N102" s="39">
        <v>46071</v>
      </c>
    </row>
    <row r="103" spans="1:14" s="5" customFormat="1" outlineLevel="2">
      <c r="A103" s="39" t="s">
        <v>78</v>
      </c>
      <c r="B103" s="40" t="s">
        <v>137</v>
      </c>
      <c r="C103" s="41" t="s">
        <v>93</v>
      </c>
      <c r="D103" s="40" t="s">
        <v>94</v>
      </c>
      <c r="E103" s="24">
        <v>1028354</v>
      </c>
      <c r="F103" s="39">
        <v>44236</v>
      </c>
      <c r="G103" s="24">
        <v>1028354</v>
      </c>
      <c r="H103" s="23">
        <v>5.0000000000000001E-3</v>
      </c>
      <c r="I103" s="39">
        <v>44440</v>
      </c>
      <c r="J103" s="39">
        <v>44469</v>
      </c>
      <c r="K103" s="24">
        <v>30</v>
      </c>
      <c r="L103" s="24">
        <v>423</v>
      </c>
      <c r="M103" s="24">
        <v>1028354</v>
      </c>
      <c r="N103" s="39">
        <v>46061</v>
      </c>
    </row>
    <row r="104" spans="1:14" s="5" customFormat="1" outlineLevel="2">
      <c r="A104" s="39" t="s">
        <v>78</v>
      </c>
      <c r="B104" s="40" t="s">
        <v>138</v>
      </c>
      <c r="C104" s="41" t="s">
        <v>93</v>
      </c>
      <c r="D104" s="40" t="s">
        <v>94</v>
      </c>
      <c r="E104" s="24">
        <v>1983370</v>
      </c>
      <c r="F104" s="39">
        <v>44246</v>
      </c>
      <c r="G104" s="24">
        <v>1983370</v>
      </c>
      <c r="H104" s="23">
        <v>5.0000000000000001E-3</v>
      </c>
      <c r="I104" s="39">
        <v>44440</v>
      </c>
      <c r="J104" s="39">
        <v>44469</v>
      </c>
      <c r="K104" s="24">
        <v>30</v>
      </c>
      <c r="L104" s="24">
        <v>815</v>
      </c>
      <c r="M104" s="24">
        <v>1983370</v>
      </c>
      <c r="N104" s="39">
        <v>46071</v>
      </c>
    </row>
    <row r="105" spans="1:14" s="5" customFormat="1" outlineLevel="2">
      <c r="A105" s="39" t="s">
        <v>78</v>
      </c>
      <c r="B105" s="40" t="s">
        <v>139</v>
      </c>
      <c r="C105" s="41" t="s">
        <v>306</v>
      </c>
      <c r="D105" s="40" t="s">
        <v>305</v>
      </c>
      <c r="E105" s="24">
        <v>10000000</v>
      </c>
      <c r="F105" s="39">
        <v>44252</v>
      </c>
      <c r="G105" s="24">
        <v>10000000</v>
      </c>
      <c r="H105" s="23">
        <v>5.0000000000000001E-3</v>
      </c>
      <c r="I105" s="39">
        <v>44440</v>
      </c>
      <c r="J105" s="39">
        <v>44469</v>
      </c>
      <c r="K105" s="24">
        <v>30</v>
      </c>
      <c r="L105" s="24">
        <v>4110</v>
      </c>
      <c r="M105" s="24">
        <v>10000000</v>
      </c>
      <c r="N105" s="39">
        <v>46077</v>
      </c>
    </row>
    <row r="106" spans="1:14" s="5" customFormat="1" outlineLevel="2">
      <c r="A106" s="39" t="s">
        <v>78</v>
      </c>
      <c r="B106" s="40" t="s">
        <v>140</v>
      </c>
      <c r="C106" s="41" t="s">
        <v>85</v>
      </c>
      <c r="D106" s="40" t="s">
        <v>86</v>
      </c>
      <c r="E106" s="24">
        <v>67620000</v>
      </c>
      <c r="F106" s="39">
        <v>44253</v>
      </c>
      <c r="G106" s="24">
        <v>67620000</v>
      </c>
      <c r="H106" s="23">
        <v>5.0000000000000001E-3</v>
      </c>
      <c r="I106" s="39">
        <v>44440</v>
      </c>
      <c r="J106" s="39">
        <v>44469</v>
      </c>
      <c r="K106" s="24">
        <v>30</v>
      </c>
      <c r="L106" s="24">
        <v>27789</v>
      </c>
      <c r="M106" s="24">
        <v>67620000</v>
      </c>
      <c r="N106" s="39">
        <v>46078</v>
      </c>
    </row>
    <row r="107" spans="1:14" s="5" customFormat="1" outlineLevel="2">
      <c r="A107" s="39" t="s">
        <v>78</v>
      </c>
      <c r="B107" s="40" t="s">
        <v>169</v>
      </c>
      <c r="C107" s="41" t="s">
        <v>91</v>
      </c>
      <c r="D107" s="40" t="s">
        <v>92</v>
      </c>
      <c r="E107" s="24">
        <v>33000000</v>
      </c>
      <c r="F107" s="39">
        <v>44270</v>
      </c>
      <c r="G107" s="24">
        <v>33000000</v>
      </c>
      <c r="H107" s="23">
        <v>5.0000000000000001E-3</v>
      </c>
      <c r="I107" s="39">
        <v>44440</v>
      </c>
      <c r="J107" s="39">
        <v>44469</v>
      </c>
      <c r="K107" s="24">
        <v>30</v>
      </c>
      <c r="L107" s="24">
        <v>13562</v>
      </c>
      <c r="M107" s="24">
        <v>33000000</v>
      </c>
      <c r="N107" s="39">
        <v>46095</v>
      </c>
    </row>
    <row r="108" spans="1:14" s="5" customFormat="1" outlineLevel="2">
      <c r="A108" s="39" t="s">
        <v>78</v>
      </c>
      <c r="B108" s="40" t="s">
        <v>170</v>
      </c>
      <c r="C108" s="41" t="s">
        <v>91</v>
      </c>
      <c r="D108" s="40" t="s">
        <v>92</v>
      </c>
      <c r="E108" s="24">
        <v>38900000</v>
      </c>
      <c r="F108" s="39">
        <v>44270</v>
      </c>
      <c r="G108" s="24">
        <v>38900000</v>
      </c>
      <c r="H108" s="23">
        <v>5.0000000000000001E-3</v>
      </c>
      <c r="I108" s="39">
        <v>44440</v>
      </c>
      <c r="J108" s="39">
        <v>44469</v>
      </c>
      <c r="K108" s="24">
        <v>30</v>
      </c>
      <c r="L108" s="24">
        <v>15986</v>
      </c>
      <c r="M108" s="24">
        <v>38900000</v>
      </c>
      <c r="N108" s="39">
        <v>46095</v>
      </c>
    </row>
    <row r="109" spans="1:14" s="5" customFormat="1" outlineLevel="2">
      <c r="A109" s="39" t="s">
        <v>78</v>
      </c>
      <c r="B109" s="40" t="s">
        <v>171</v>
      </c>
      <c r="C109" s="41" t="s">
        <v>81</v>
      </c>
      <c r="D109" s="40" t="s">
        <v>82</v>
      </c>
      <c r="E109" s="24">
        <v>6800000</v>
      </c>
      <c r="F109" s="39">
        <v>44272</v>
      </c>
      <c r="G109" s="24">
        <v>6133330</v>
      </c>
      <c r="H109" s="23">
        <v>5.0000000000000001E-3</v>
      </c>
      <c r="I109" s="39">
        <v>44440</v>
      </c>
      <c r="J109" s="39">
        <v>44453</v>
      </c>
      <c r="K109" s="24">
        <v>14</v>
      </c>
      <c r="L109" s="24">
        <v>1176</v>
      </c>
      <c r="M109" s="24">
        <v>5999996</v>
      </c>
      <c r="N109" s="39">
        <v>46097</v>
      </c>
    </row>
    <row r="110" spans="1:14" s="5" customFormat="1" outlineLevel="2">
      <c r="A110" s="39" t="s">
        <v>78</v>
      </c>
      <c r="B110" s="40" t="s">
        <v>171</v>
      </c>
      <c r="C110" s="41" t="s">
        <v>81</v>
      </c>
      <c r="D110" s="40"/>
      <c r="E110" s="24"/>
      <c r="F110" s="39"/>
      <c r="G110" s="24">
        <v>5999996</v>
      </c>
      <c r="H110" s="23">
        <v>5.0000000000000001E-3</v>
      </c>
      <c r="I110" s="39">
        <v>44454</v>
      </c>
      <c r="J110" s="39">
        <v>44469</v>
      </c>
      <c r="K110" s="24">
        <v>16</v>
      </c>
      <c r="L110" s="24">
        <v>1315</v>
      </c>
      <c r="M110" s="24"/>
      <c r="N110" s="39">
        <v>46097</v>
      </c>
    </row>
    <row r="111" spans="1:14" s="5" customFormat="1" outlineLevel="2">
      <c r="A111" s="39" t="s">
        <v>78</v>
      </c>
      <c r="B111" s="40" t="s">
        <v>172</v>
      </c>
      <c r="C111" s="41" t="s">
        <v>81</v>
      </c>
      <c r="D111" s="40" t="s">
        <v>82</v>
      </c>
      <c r="E111" s="24">
        <v>5540000</v>
      </c>
      <c r="F111" s="39">
        <v>44285</v>
      </c>
      <c r="G111" s="24">
        <v>4996860</v>
      </c>
      <c r="H111" s="23">
        <v>5.0000000000000001E-3</v>
      </c>
      <c r="I111" s="39">
        <v>44440</v>
      </c>
      <c r="J111" s="39">
        <v>44453</v>
      </c>
      <c r="K111" s="24">
        <v>14</v>
      </c>
      <c r="L111" s="24">
        <v>958</v>
      </c>
      <c r="M111" s="24">
        <v>4888232</v>
      </c>
      <c r="N111" s="39">
        <v>46110</v>
      </c>
    </row>
    <row r="112" spans="1:14" s="5" customFormat="1" outlineLevel="2">
      <c r="A112" s="39" t="s">
        <v>78</v>
      </c>
      <c r="B112" s="40" t="s">
        <v>172</v>
      </c>
      <c r="C112" s="41" t="s">
        <v>81</v>
      </c>
      <c r="D112" s="40"/>
      <c r="E112" s="24"/>
      <c r="F112" s="39"/>
      <c r="G112" s="24">
        <v>4888232</v>
      </c>
      <c r="H112" s="23">
        <v>5.0000000000000001E-3</v>
      </c>
      <c r="I112" s="39">
        <v>44454</v>
      </c>
      <c r="J112" s="39">
        <v>44469</v>
      </c>
      <c r="K112" s="24">
        <v>16</v>
      </c>
      <c r="L112" s="24">
        <v>1071</v>
      </c>
      <c r="M112" s="24"/>
      <c r="N112" s="39">
        <v>46110</v>
      </c>
    </row>
    <row r="113" spans="1:14" s="5" customFormat="1" outlineLevel="2">
      <c r="A113" s="39" t="s">
        <v>78</v>
      </c>
      <c r="B113" s="40" t="s">
        <v>173</v>
      </c>
      <c r="C113" s="41" t="s">
        <v>337</v>
      </c>
      <c r="D113" s="40" t="s">
        <v>336</v>
      </c>
      <c r="E113" s="24">
        <v>30000000</v>
      </c>
      <c r="F113" s="39">
        <v>44286</v>
      </c>
      <c r="G113" s="24">
        <v>27500000</v>
      </c>
      <c r="H113" s="23">
        <v>5.0000000000000001E-3</v>
      </c>
      <c r="I113" s="39">
        <v>44440</v>
      </c>
      <c r="J113" s="39">
        <v>44453</v>
      </c>
      <c r="K113" s="24">
        <v>14</v>
      </c>
      <c r="L113" s="24">
        <v>5274</v>
      </c>
      <c r="M113" s="24">
        <v>27000000</v>
      </c>
      <c r="N113" s="39">
        <v>46111</v>
      </c>
    </row>
    <row r="114" spans="1:14" s="5" customFormat="1" outlineLevel="2">
      <c r="A114" s="39" t="s">
        <v>78</v>
      </c>
      <c r="B114" s="40" t="s">
        <v>173</v>
      </c>
      <c r="C114" s="41" t="s">
        <v>337</v>
      </c>
      <c r="D114" s="40"/>
      <c r="E114" s="24"/>
      <c r="F114" s="39"/>
      <c r="G114" s="24">
        <v>27000000</v>
      </c>
      <c r="H114" s="23">
        <v>5.0000000000000001E-3</v>
      </c>
      <c r="I114" s="39">
        <v>44454</v>
      </c>
      <c r="J114" s="39">
        <v>44469</v>
      </c>
      <c r="K114" s="24">
        <v>16</v>
      </c>
      <c r="L114" s="24">
        <v>5918</v>
      </c>
      <c r="M114" s="24"/>
      <c r="N114" s="39">
        <v>46111</v>
      </c>
    </row>
    <row r="115" spans="1:14" s="5" customFormat="1" outlineLevel="2">
      <c r="A115" s="39" t="s">
        <v>78</v>
      </c>
      <c r="B115" s="40" t="s">
        <v>62</v>
      </c>
      <c r="C115" s="41" t="s">
        <v>83</v>
      </c>
      <c r="D115" s="40" t="s">
        <v>84</v>
      </c>
      <c r="E115" s="24">
        <v>298410000</v>
      </c>
      <c r="F115" s="39">
        <v>44006</v>
      </c>
      <c r="G115" s="24">
        <v>298410000</v>
      </c>
      <c r="H115" s="23">
        <v>5.0000000000000001E-3</v>
      </c>
      <c r="I115" s="39">
        <v>44440</v>
      </c>
      <c r="J115" s="39">
        <v>44469</v>
      </c>
      <c r="K115" s="24">
        <v>30</v>
      </c>
      <c r="L115" s="24">
        <v>122634</v>
      </c>
      <c r="M115" s="24">
        <v>298410000</v>
      </c>
      <c r="N115" s="39">
        <v>45831</v>
      </c>
    </row>
    <row r="116" spans="1:14" s="5" customFormat="1" outlineLevel="2">
      <c r="A116" s="39" t="s">
        <v>78</v>
      </c>
      <c r="B116" s="40" t="s">
        <v>174</v>
      </c>
      <c r="C116" s="41" t="s">
        <v>155</v>
      </c>
      <c r="D116" s="40" t="s">
        <v>156</v>
      </c>
      <c r="E116" s="24">
        <v>120000000</v>
      </c>
      <c r="F116" s="39">
        <v>44270</v>
      </c>
      <c r="G116" s="24">
        <v>120000000</v>
      </c>
      <c r="H116" s="23">
        <v>5.0000000000000001E-3</v>
      </c>
      <c r="I116" s="39">
        <v>44440</v>
      </c>
      <c r="J116" s="39">
        <v>44469</v>
      </c>
      <c r="K116" s="24">
        <v>30</v>
      </c>
      <c r="L116" s="24">
        <v>49315</v>
      </c>
      <c r="M116" s="24">
        <v>120000000</v>
      </c>
      <c r="N116" s="39">
        <v>46095</v>
      </c>
    </row>
    <row r="117" spans="1:14" s="5" customFormat="1" outlineLevel="2">
      <c r="A117" s="39" t="s">
        <v>78</v>
      </c>
      <c r="B117" s="40" t="s">
        <v>175</v>
      </c>
      <c r="C117" s="41" t="s">
        <v>91</v>
      </c>
      <c r="D117" s="40" t="s">
        <v>92</v>
      </c>
      <c r="E117" s="24">
        <v>30400000</v>
      </c>
      <c r="F117" s="39">
        <v>44301</v>
      </c>
      <c r="G117" s="24">
        <v>30400000</v>
      </c>
      <c r="H117" s="23">
        <v>5.0000000000000001E-3</v>
      </c>
      <c r="I117" s="39">
        <v>44440</v>
      </c>
      <c r="J117" s="39">
        <v>44469</v>
      </c>
      <c r="K117" s="24">
        <v>30</v>
      </c>
      <c r="L117" s="24">
        <v>12493</v>
      </c>
      <c r="M117" s="24">
        <v>30400000</v>
      </c>
      <c r="N117" s="39">
        <v>46126</v>
      </c>
    </row>
    <row r="118" spans="1:14" s="5" customFormat="1" outlineLevel="2">
      <c r="A118" s="39" t="s">
        <v>78</v>
      </c>
      <c r="B118" s="40" t="s">
        <v>176</v>
      </c>
      <c r="C118" s="41" t="s">
        <v>337</v>
      </c>
      <c r="D118" s="40" t="s">
        <v>336</v>
      </c>
      <c r="E118" s="24">
        <v>20000000</v>
      </c>
      <c r="F118" s="39">
        <v>44315</v>
      </c>
      <c r="G118" s="24">
        <v>18644068</v>
      </c>
      <c r="H118" s="23">
        <v>5.0000000000000001E-3</v>
      </c>
      <c r="I118" s="39">
        <v>44440</v>
      </c>
      <c r="J118" s="39">
        <v>44453</v>
      </c>
      <c r="K118" s="24">
        <v>14</v>
      </c>
      <c r="L118" s="24">
        <v>3576</v>
      </c>
      <c r="M118" s="24">
        <v>18305085</v>
      </c>
      <c r="N118" s="39">
        <v>46140</v>
      </c>
    </row>
    <row r="119" spans="1:14" s="5" customFormat="1" outlineLevel="2">
      <c r="A119" s="39" t="s">
        <v>78</v>
      </c>
      <c r="B119" s="40" t="s">
        <v>176</v>
      </c>
      <c r="C119" s="41" t="s">
        <v>337</v>
      </c>
      <c r="D119" s="40"/>
      <c r="E119" s="24"/>
      <c r="F119" s="39"/>
      <c r="G119" s="24">
        <v>18305085</v>
      </c>
      <c r="H119" s="23">
        <v>5.0000000000000001E-3</v>
      </c>
      <c r="I119" s="39">
        <v>44454</v>
      </c>
      <c r="J119" s="39">
        <v>44469</v>
      </c>
      <c r="K119" s="24">
        <v>16</v>
      </c>
      <c r="L119" s="24">
        <v>4012</v>
      </c>
      <c r="M119" s="24"/>
      <c r="N119" s="39">
        <v>46140</v>
      </c>
    </row>
    <row r="120" spans="1:14" s="5" customFormat="1" outlineLevel="2">
      <c r="A120" s="39" t="s">
        <v>78</v>
      </c>
      <c r="B120" s="40" t="s">
        <v>177</v>
      </c>
      <c r="C120" s="41" t="s">
        <v>85</v>
      </c>
      <c r="D120" s="40" t="s">
        <v>86</v>
      </c>
      <c r="E120" s="24">
        <v>50000000</v>
      </c>
      <c r="F120" s="39">
        <v>44315</v>
      </c>
      <c r="G120" s="24">
        <v>50000000</v>
      </c>
      <c r="H120" s="23">
        <v>5.0000000000000001E-3</v>
      </c>
      <c r="I120" s="39">
        <v>44440</v>
      </c>
      <c r="J120" s="39">
        <v>44469</v>
      </c>
      <c r="K120" s="24">
        <v>30</v>
      </c>
      <c r="L120" s="24">
        <v>20548</v>
      </c>
      <c r="M120" s="24">
        <v>50000000</v>
      </c>
      <c r="N120" s="39">
        <v>46140</v>
      </c>
    </row>
    <row r="121" spans="1:14" s="5" customFormat="1" outlineLevel="2">
      <c r="A121" s="39" t="s">
        <v>78</v>
      </c>
      <c r="B121" s="40" t="s">
        <v>178</v>
      </c>
      <c r="C121" s="41" t="s">
        <v>351</v>
      </c>
      <c r="D121" s="40" t="s">
        <v>350</v>
      </c>
      <c r="E121" s="24">
        <v>8600000</v>
      </c>
      <c r="F121" s="39">
        <v>44312</v>
      </c>
      <c r="G121" s="24">
        <v>8600000</v>
      </c>
      <c r="H121" s="23">
        <v>5.0000000000000001E-3</v>
      </c>
      <c r="I121" s="39">
        <v>44440</v>
      </c>
      <c r="J121" s="39">
        <v>44469</v>
      </c>
      <c r="K121" s="24">
        <v>30</v>
      </c>
      <c r="L121" s="24">
        <v>3534</v>
      </c>
      <c r="M121" s="24">
        <v>8600000</v>
      </c>
      <c r="N121" s="39">
        <v>46137</v>
      </c>
    </row>
    <row r="122" spans="1:14" s="5" customFormat="1" outlineLevel="2">
      <c r="A122" s="39" t="s">
        <v>78</v>
      </c>
      <c r="B122" s="40" t="s">
        <v>179</v>
      </c>
      <c r="C122" s="41" t="s">
        <v>93</v>
      </c>
      <c r="D122" s="40" t="s">
        <v>94</v>
      </c>
      <c r="E122" s="24">
        <v>6174000</v>
      </c>
      <c r="F122" s="39">
        <v>44326</v>
      </c>
      <c r="G122" s="24">
        <v>6174000</v>
      </c>
      <c r="H122" s="23">
        <v>5.0000000000000001E-3</v>
      </c>
      <c r="I122" s="39">
        <v>44440</v>
      </c>
      <c r="J122" s="39">
        <v>44469</v>
      </c>
      <c r="K122" s="24">
        <v>30</v>
      </c>
      <c r="L122" s="24">
        <v>2537</v>
      </c>
      <c r="M122" s="24">
        <v>6174000</v>
      </c>
      <c r="N122" s="39">
        <v>46151</v>
      </c>
    </row>
    <row r="123" spans="1:14" s="5" customFormat="1" outlineLevel="2">
      <c r="A123" s="39" t="s">
        <v>78</v>
      </c>
      <c r="B123" s="40" t="s">
        <v>180</v>
      </c>
      <c r="C123" s="41" t="s">
        <v>91</v>
      </c>
      <c r="D123" s="40" t="s">
        <v>92</v>
      </c>
      <c r="E123" s="24">
        <v>50700000</v>
      </c>
      <c r="F123" s="39">
        <v>44333</v>
      </c>
      <c r="G123" s="24">
        <v>50700000</v>
      </c>
      <c r="H123" s="23">
        <v>5.0000000000000001E-3</v>
      </c>
      <c r="I123" s="39">
        <v>44440</v>
      </c>
      <c r="J123" s="39">
        <v>44469</v>
      </c>
      <c r="K123" s="24">
        <v>30</v>
      </c>
      <c r="L123" s="24">
        <v>20836</v>
      </c>
      <c r="M123" s="24">
        <v>50700000</v>
      </c>
      <c r="N123" s="39">
        <v>46158</v>
      </c>
    </row>
    <row r="124" spans="1:14" s="5" customFormat="1" outlineLevel="2">
      <c r="A124" s="39" t="s">
        <v>78</v>
      </c>
      <c r="B124" s="40" t="s">
        <v>181</v>
      </c>
      <c r="C124" s="41" t="s">
        <v>91</v>
      </c>
      <c r="D124" s="40" t="s">
        <v>92</v>
      </c>
      <c r="E124" s="24">
        <v>1700000</v>
      </c>
      <c r="F124" s="39">
        <v>44333</v>
      </c>
      <c r="G124" s="24">
        <v>1700000</v>
      </c>
      <c r="H124" s="23">
        <v>5.0000000000000001E-3</v>
      </c>
      <c r="I124" s="39">
        <v>44440</v>
      </c>
      <c r="J124" s="39">
        <v>44469</v>
      </c>
      <c r="K124" s="24">
        <v>30</v>
      </c>
      <c r="L124" s="24">
        <v>699</v>
      </c>
      <c r="M124" s="24">
        <v>1700000</v>
      </c>
      <c r="N124" s="39">
        <v>46158</v>
      </c>
    </row>
    <row r="125" spans="1:14" s="5" customFormat="1" outlineLevel="2">
      <c r="A125" s="39" t="s">
        <v>78</v>
      </c>
      <c r="B125" s="40" t="s">
        <v>182</v>
      </c>
      <c r="C125" s="41" t="s">
        <v>351</v>
      </c>
      <c r="D125" s="40" t="s">
        <v>350</v>
      </c>
      <c r="E125" s="24">
        <v>6000000</v>
      </c>
      <c r="F125" s="39">
        <v>44335</v>
      </c>
      <c r="G125" s="24">
        <v>6000000</v>
      </c>
      <c r="H125" s="23">
        <v>5.0000000000000001E-3</v>
      </c>
      <c r="I125" s="39">
        <v>44440</v>
      </c>
      <c r="J125" s="39">
        <v>44469</v>
      </c>
      <c r="K125" s="24">
        <v>30</v>
      </c>
      <c r="L125" s="24">
        <v>2466</v>
      </c>
      <c r="M125" s="24">
        <v>6000000</v>
      </c>
      <c r="N125" s="39">
        <v>46160</v>
      </c>
    </row>
    <row r="126" spans="1:14" s="5" customFormat="1" outlineLevel="2">
      <c r="A126" s="39" t="s">
        <v>78</v>
      </c>
      <c r="B126" s="40" t="s">
        <v>183</v>
      </c>
      <c r="C126" s="41" t="s">
        <v>89</v>
      </c>
      <c r="D126" s="40" t="s">
        <v>90</v>
      </c>
      <c r="E126" s="24">
        <v>30200000</v>
      </c>
      <c r="F126" s="39">
        <v>44323</v>
      </c>
      <c r="G126" s="24">
        <v>30200000</v>
      </c>
      <c r="H126" s="23">
        <v>5.0000000000000001E-3</v>
      </c>
      <c r="I126" s="39">
        <v>44440</v>
      </c>
      <c r="J126" s="39">
        <v>44469</v>
      </c>
      <c r="K126" s="24">
        <v>30</v>
      </c>
      <c r="L126" s="24">
        <v>12411</v>
      </c>
      <c r="M126" s="24">
        <v>30200000</v>
      </c>
      <c r="N126" s="39">
        <v>46148</v>
      </c>
    </row>
    <row r="127" spans="1:14" s="5" customFormat="1" outlineLevel="2">
      <c r="A127" s="39" t="s">
        <v>78</v>
      </c>
      <c r="B127" s="40" t="s">
        <v>63</v>
      </c>
      <c r="C127" s="41" t="s">
        <v>83</v>
      </c>
      <c r="D127" s="40" t="s">
        <v>84</v>
      </c>
      <c r="E127" s="24">
        <v>95370000</v>
      </c>
      <c r="F127" s="39">
        <v>44006</v>
      </c>
      <c r="G127" s="24">
        <v>95370000</v>
      </c>
      <c r="H127" s="23">
        <v>5.0000000000000001E-3</v>
      </c>
      <c r="I127" s="39">
        <v>44440</v>
      </c>
      <c r="J127" s="39">
        <v>44469</v>
      </c>
      <c r="K127" s="24">
        <v>30</v>
      </c>
      <c r="L127" s="24">
        <v>39193</v>
      </c>
      <c r="M127" s="24">
        <v>95370000</v>
      </c>
      <c r="N127" s="39">
        <v>45831</v>
      </c>
    </row>
    <row r="128" spans="1:14" s="5" customFormat="1" outlineLevel="2">
      <c r="A128" s="39" t="s">
        <v>78</v>
      </c>
      <c r="B128" s="40" t="s">
        <v>184</v>
      </c>
      <c r="C128" s="41" t="s">
        <v>337</v>
      </c>
      <c r="D128" s="40" t="s">
        <v>336</v>
      </c>
      <c r="E128" s="24">
        <v>15000000</v>
      </c>
      <c r="F128" s="39">
        <v>44347</v>
      </c>
      <c r="G128" s="24">
        <v>14224137</v>
      </c>
      <c r="H128" s="23">
        <v>5.0000000000000001E-3</v>
      </c>
      <c r="I128" s="39">
        <v>44440</v>
      </c>
      <c r="J128" s="39">
        <v>44453</v>
      </c>
      <c r="K128" s="24">
        <v>14</v>
      </c>
      <c r="L128" s="24">
        <v>2728</v>
      </c>
      <c r="M128" s="24">
        <v>13965516</v>
      </c>
      <c r="N128" s="39">
        <v>46172</v>
      </c>
    </row>
    <row r="129" spans="1:14" s="5" customFormat="1" outlineLevel="2">
      <c r="A129" s="39" t="s">
        <v>78</v>
      </c>
      <c r="B129" s="40" t="s">
        <v>184</v>
      </c>
      <c r="C129" s="41" t="s">
        <v>337</v>
      </c>
      <c r="D129" s="40"/>
      <c r="E129" s="24"/>
      <c r="F129" s="39"/>
      <c r="G129" s="24">
        <v>13965516</v>
      </c>
      <c r="H129" s="23">
        <v>5.0000000000000001E-3</v>
      </c>
      <c r="I129" s="39">
        <v>44454</v>
      </c>
      <c r="J129" s="39">
        <v>44469</v>
      </c>
      <c r="K129" s="24">
        <v>16</v>
      </c>
      <c r="L129" s="24">
        <v>3061</v>
      </c>
      <c r="M129" s="24"/>
      <c r="N129" s="39">
        <v>46172</v>
      </c>
    </row>
    <row r="130" spans="1:14" s="5" customFormat="1" outlineLevel="2">
      <c r="A130" s="39" t="s">
        <v>78</v>
      </c>
      <c r="B130" s="40" t="s">
        <v>185</v>
      </c>
      <c r="C130" s="41" t="s">
        <v>83</v>
      </c>
      <c r="D130" s="40" t="s">
        <v>84</v>
      </c>
      <c r="E130" s="24">
        <v>388000000</v>
      </c>
      <c r="F130" s="39">
        <v>44344</v>
      </c>
      <c r="G130" s="24">
        <v>388000000</v>
      </c>
      <c r="H130" s="23">
        <v>3.0000000000000001E-3</v>
      </c>
      <c r="I130" s="39">
        <v>44440</v>
      </c>
      <c r="J130" s="39">
        <v>44469</v>
      </c>
      <c r="K130" s="24">
        <v>30</v>
      </c>
      <c r="L130" s="24">
        <v>95671</v>
      </c>
      <c r="M130" s="24">
        <v>388000000</v>
      </c>
      <c r="N130" s="39">
        <v>46169</v>
      </c>
    </row>
    <row r="131" spans="1:14" s="5" customFormat="1" outlineLevel="2">
      <c r="A131" s="39" t="s">
        <v>78</v>
      </c>
      <c r="B131" s="40" t="s">
        <v>186</v>
      </c>
      <c r="C131" s="41" t="s">
        <v>85</v>
      </c>
      <c r="D131" s="40" t="s">
        <v>86</v>
      </c>
      <c r="E131" s="24">
        <v>50000000</v>
      </c>
      <c r="F131" s="39">
        <v>44330</v>
      </c>
      <c r="G131" s="24">
        <v>50000000</v>
      </c>
      <c r="H131" s="23">
        <v>5.0000000000000001E-3</v>
      </c>
      <c r="I131" s="39">
        <v>44440</v>
      </c>
      <c r="J131" s="39">
        <v>44469</v>
      </c>
      <c r="K131" s="24">
        <v>30</v>
      </c>
      <c r="L131" s="24">
        <v>20548</v>
      </c>
      <c r="M131" s="24">
        <v>50000000</v>
      </c>
      <c r="N131" s="39">
        <v>46155</v>
      </c>
    </row>
    <row r="132" spans="1:14" s="5" customFormat="1" outlineLevel="2">
      <c r="A132" s="39" t="s">
        <v>78</v>
      </c>
      <c r="B132" s="40" t="s">
        <v>189</v>
      </c>
      <c r="C132" s="41" t="s">
        <v>85</v>
      </c>
      <c r="D132" s="40" t="s">
        <v>86</v>
      </c>
      <c r="E132" s="24">
        <v>50000000</v>
      </c>
      <c r="F132" s="39">
        <v>44344</v>
      </c>
      <c r="G132" s="24">
        <v>50000000</v>
      </c>
      <c r="H132" s="23">
        <v>5.0000000000000001E-3</v>
      </c>
      <c r="I132" s="39">
        <v>44440</v>
      </c>
      <c r="J132" s="39">
        <v>44469</v>
      </c>
      <c r="K132" s="24">
        <v>30</v>
      </c>
      <c r="L132" s="24">
        <v>20548</v>
      </c>
      <c r="M132" s="24">
        <v>50000000</v>
      </c>
      <c r="N132" s="39">
        <v>46169</v>
      </c>
    </row>
    <row r="133" spans="1:14" s="5" customFormat="1" outlineLevel="2">
      <c r="A133" s="39" t="s">
        <v>78</v>
      </c>
      <c r="B133" s="40" t="s">
        <v>190</v>
      </c>
      <c r="C133" s="41" t="s">
        <v>93</v>
      </c>
      <c r="D133" s="40" t="s">
        <v>94</v>
      </c>
      <c r="E133" s="24">
        <v>1351689</v>
      </c>
      <c r="F133" s="39">
        <v>44358</v>
      </c>
      <c r="G133" s="24">
        <v>1351689</v>
      </c>
      <c r="H133" s="23">
        <v>5.0000000000000001E-3</v>
      </c>
      <c r="I133" s="39">
        <v>44440</v>
      </c>
      <c r="J133" s="39">
        <v>44469</v>
      </c>
      <c r="K133" s="24">
        <v>30</v>
      </c>
      <c r="L133" s="24">
        <v>555</v>
      </c>
      <c r="M133" s="24">
        <v>1351689</v>
      </c>
      <c r="N133" s="39">
        <v>46183</v>
      </c>
    </row>
    <row r="134" spans="1:14" s="5" customFormat="1" outlineLevel="2">
      <c r="A134" s="39" t="s">
        <v>78</v>
      </c>
      <c r="B134" s="40" t="s">
        <v>191</v>
      </c>
      <c r="C134" s="41" t="s">
        <v>93</v>
      </c>
      <c r="D134" s="40" t="s">
        <v>94</v>
      </c>
      <c r="E134" s="24">
        <v>20000000</v>
      </c>
      <c r="F134" s="39">
        <v>44370</v>
      </c>
      <c r="G134" s="24">
        <v>20000000</v>
      </c>
      <c r="H134" s="23">
        <v>5.0000000000000001E-3</v>
      </c>
      <c r="I134" s="39">
        <v>44440</v>
      </c>
      <c r="J134" s="39">
        <v>44469</v>
      </c>
      <c r="K134" s="24">
        <v>30</v>
      </c>
      <c r="L134" s="24">
        <v>8219</v>
      </c>
      <c r="M134" s="24">
        <v>20000000</v>
      </c>
      <c r="N134" s="39">
        <v>46195</v>
      </c>
    </row>
    <row r="135" spans="1:14" s="5" customFormat="1" outlineLevel="2">
      <c r="A135" s="39" t="s">
        <v>78</v>
      </c>
      <c r="B135" s="40" t="s">
        <v>192</v>
      </c>
      <c r="C135" s="41" t="s">
        <v>93</v>
      </c>
      <c r="D135" s="40" t="s">
        <v>94</v>
      </c>
      <c r="E135" s="24">
        <v>8000000</v>
      </c>
      <c r="F135" s="39">
        <v>44370</v>
      </c>
      <c r="G135" s="24">
        <v>8000000</v>
      </c>
      <c r="H135" s="23">
        <v>5.0000000000000001E-3</v>
      </c>
      <c r="I135" s="39">
        <v>44440</v>
      </c>
      <c r="J135" s="39">
        <v>44469</v>
      </c>
      <c r="K135" s="24">
        <v>30</v>
      </c>
      <c r="L135" s="24">
        <v>3288</v>
      </c>
      <c r="M135" s="24">
        <v>8000000</v>
      </c>
      <c r="N135" s="39">
        <v>46195</v>
      </c>
    </row>
    <row r="136" spans="1:14" s="5" customFormat="1" outlineLevel="2">
      <c r="A136" s="39" t="s">
        <v>78</v>
      </c>
      <c r="B136" s="40" t="s">
        <v>193</v>
      </c>
      <c r="C136" s="41" t="s">
        <v>337</v>
      </c>
      <c r="D136" s="40" t="s">
        <v>336</v>
      </c>
      <c r="E136" s="24">
        <v>5000000</v>
      </c>
      <c r="F136" s="39">
        <v>44368</v>
      </c>
      <c r="G136" s="24">
        <v>4824560</v>
      </c>
      <c r="H136" s="23">
        <v>5.0000000000000001E-3</v>
      </c>
      <c r="I136" s="39">
        <v>44440</v>
      </c>
      <c r="J136" s="39">
        <v>44453</v>
      </c>
      <c r="K136" s="24">
        <v>14</v>
      </c>
      <c r="L136" s="24">
        <v>925</v>
      </c>
      <c r="M136" s="24">
        <v>4736840</v>
      </c>
      <c r="N136" s="39">
        <v>46193</v>
      </c>
    </row>
    <row r="137" spans="1:14" s="5" customFormat="1" outlineLevel="2">
      <c r="A137" s="39" t="s">
        <v>78</v>
      </c>
      <c r="B137" s="40" t="s">
        <v>193</v>
      </c>
      <c r="C137" s="41" t="s">
        <v>337</v>
      </c>
      <c r="D137" s="40"/>
      <c r="E137" s="24"/>
      <c r="F137" s="39"/>
      <c r="G137" s="24">
        <v>4736840</v>
      </c>
      <c r="H137" s="23">
        <v>5.0000000000000001E-3</v>
      </c>
      <c r="I137" s="39">
        <v>44454</v>
      </c>
      <c r="J137" s="39">
        <v>44469</v>
      </c>
      <c r="K137" s="24">
        <v>16</v>
      </c>
      <c r="L137" s="24">
        <v>1038</v>
      </c>
      <c r="M137" s="24"/>
      <c r="N137" s="39">
        <v>46193</v>
      </c>
    </row>
    <row r="138" spans="1:14" s="5" customFormat="1" outlineLevel="2">
      <c r="A138" s="39" t="s">
        <v>78</v>
      </c>
      <c r="B138" s="40" t="s">
        <v>194</v>
      </c>
      <c r="C138" s="41" t="s">
        <v>337</v>
      </c>
      <c r="D138" s="40" t="s">
        <v>336</v>
      </c>
      <c r="E138" s="24">
        <v>38000000</v>
      </c>
      <c r="F138" s="39">
        <v>44377</v>
      </c>
      <c r="G138" s="24">
        <v>36666666</v>
      </c>
      <c r="H138" s="23">
        <v>5.0000000000000001E-3</v>
      </c>
      <c r="I138" s="39">
        <v>44440</v>
      </c>
      <c r="J138" s="39">
        <v>44453</v>
      </c>
      <c r="K138" s="24">
        <v>14</v>
      </c>
      <c r="L138" s="24">
        <v>7032</v>
      </c>
      <c r="M138" s="24">
        <v>35999999</v>
      </c>
      <c r="N138" s="39">
        <v>46202</v>
      </c>
    </row>
    <row r="139" spans="1:14" s="5" customFormat="1" outlineLevel="2">
      <c r="A139" s="39" t="s">
        <v>78</v>
      </c>
      <c r="B139" s="40" t="s">
        <v>194</v>
      </c>
      <c r="C139" s="41" t="s">
        <v>337</v>
      </c>
      <c r="D139" s="40"/>
      <c r="E139" s="24"/>
      <c r="F139" s="39"/>
      <c r="G139" s="24">
        <v>35999999</v>
      </c>
      <c r="H139" s="23">
        <v>5.0000000000000001E-3</v>
      </c>
      <c r="I139" s="39">
        <v>44454</v>
      </c>
      <c r="J139" s="39">
        <v>44469</v>
      </c>
      <c r="K139" s="24">
        <v>16</v>
      </c>
      <c r="L139" s="24">
        <v>7890</v>
      </c>
      <c r="M139" s="24"/>
      <c r="N139" s="39">
        <v>46202</v>
      </c>
    </row>
    <row r="140" spans="1:14" s="5" customFormat="1" outlineLevel="2">
      <c r="A140" s="39" t="s">
        <v>78</v>
      </c>
      <c r="B140" s="40" t="s">
        <v>195</v>
      </c>
      <c r="C140" s="41" t="s">
        <v>85</v>
      </c>
      <c r="D140" s="40" t="s">
        <v>86</v>
      </c>
      <c r="E140" s="24">
        <v>50000000</v>
      </c>
      <c r="F140" s="39">
        <v>44349</v>
      </c>
      <c r="G140" s="24">
        <v>50000000</v>
      </c>
      <c r="H140" s="23">
        <v>5.0000000000000001E-3</v>
      </c>
      <c r="I140" s="39">
        <v>44440</v>
      </c>
      <c r="J140" s="39">
        <v>44469</v>
      </c>
      <c r="K140" s="24">
        <v>30</v>
      </c>
      <c r="L140" s="24">
        <v>20548</v>
      </c>
      <c r="M140" s="24">
        <v>50000000</v>
      </c>
      <c r="N140" s="39">
        <v>46174</v>
      </c>
    </row>
    <row r="141" spans="1:14" s="5" customFormat="1" outlineLevel="2">
      <c r="A141" s="39" t="s">
        <v>78</v>
      </c>
      <c r="B141" s="40" t="s">
        <v>64</v>
      </c>
      <c r="C141" s="41" t="s">
        <v>83</v>
      </c>
      <c r="D141" s="40" t="s">
        <v>84</v>
      </c>
      <c r="E141" s="24">
        <v>73910000</v>
      </c>
      <c r="F141" s="39">
        <v>44032</v>
      </c>
      <c r="G141" s="24">
        <v>73910000</v>
      </c>
      <c r="H141" s="23">
        <v>5.0000000000000001E-3</v>
      </c>
      <c r="I141" s="39">
        <v>44440</v>
      </c>
      <c r="J141" s="39">
        <v>44469</v>
      </c>
      <c r="K141" s="24">
        <v>30</v>
      </c>
      <c r="L141" s="24">
        <v>30374</v>
      </c>
      <c r="M141" s="24">
        <v>73910000</v>
      </c>
      <c r="N141" s="39">
        <v>45857</v>
      </c>
    </row>
    <row r="142" spans="1:14" s="5" customFormat="1" outlineLevel="2">
      <c r="A142" s="39" t="s">
        <v>78</v>
      </c>
      <c r="B142" s="40" t="s">
        <v>196</v>
      </c>
      <c r="C142" s="41" t="s">
        <v>91</v>
      </c>
      <c r="D142" s="40" t="s">
        <v>92</v>
      </c>
      <c r="E142" s="24">
        <v>23000000</v>
      </c>
      <c r="F142" s="39">
        <v>44365</v>
      </c>
      <c r="G142" s="24">
        <v>23000000</v>
      </c>
      <c r="H142" s="23">
        <v>5.0000000000000001E-3</v>
      </c>
      <c r="I142" s="39">
        <v>44440</v>
      </c>
      <c r="J142" s="39">
        <v>44469</v>
      </c>
      <c r="K142" s="24">
        <v>30</v>
      </c>
      <c r="L142" s="24">
        <v>9452</v>
      </c>
      <c r="M142" s="24">
        <v>23000000</v>
      </c>
      <c r="N142" s="39">
        <v>46190</v>
      </c>
    </row>
    <row r="143" spans="1:14" s="5" customFormat="1" outlineLevel="2">
      <c r="A143" s="39" t="s">
        <v>78</v>
      </c>
      <c r="B143" s="40" t="s">
        <v>197</v>
      </c>
      <c r="C143" s="41" t="s">
        <v>93</v>
      </c>
      <c r="D143" s="40" t="s">
        <v>94</v>
      </c>
      <c r="E143" s="24">
        <v>20000000</v>
      </c>
      <c r="F143" s="39">
        <v>44378</v>
      </c>
      <c r="G143" s="24">
        <v>20000000</v>
      </c>
      <c r="H143" s="23">
        <v>5.0000000000000001E-3</v>
      </c>
      <c r="I143" s="39">
        <v>44440</v>
      </c>
      <c r="J143" s="39">
        <v>44469</v>
      </c>
      <c r="K143" s="24">
        <v>30</v>
      </c>
      <c r="L143" s="24">
        <v>8219</v>
      </c>
      <c r="M143" s="24">
        <v>20000000</v>
      </c>
      <c r="N143" s="39">
        <v>46203</v>
      </c>
    </row>
    <row r="144" spans="1:14" s="5" customFormat="1" outlineLevel="2">
      <c r="A144" s="39" t="s">
        <v>78</v>
      </c>
      <c r="B144" s="40" t="s">
        <v>198</v>
      </c>
      <c r="C144" s="41" t="s">
        <v>91</v>
      </c>
      <c r="D144" s="40" t="s">
        <v>92</v>
      </c>
      <c r="E144" s="24">
        <v>81100000</v>
      </c>
      <c r="F144" s="39">
        <v>44392</v>
      </c>
      <c r="G144" s="24">
        <v>81100000</v>
      </c>
      <c r="H144" s="23">
        <v>5.0000000000000001E-3</v>
      </c>
      <c r="I144" s="39">
        <v>44440</v>
      </c>
      <c r="J144" s="39">
        <v>44469</v>
      </c>
      <c r="K144" s="24">
        <v>30</v>
      </c>
      <c r="L144" s="24">
        <v>33329</v>
      </c>
      <c r="M144" s="24">
        <v>81100000</v>
      </c>
      <c r="N144" s="39">
        <v>46217</v>
      </c>
    </row>
    <row r="145" spans="1:14" s="5" customFormat="1" outlineLevel="2">
      <c r="A145" s="39" t="s">
        <v>78</v>
      </c>
      <c r="B145" s="40" t="s">
        <v>199</v>
      </c>
      <c r="C145" s="41" t="s">
        <v>91</v>
      </c>
      <c r="D145" s="40" t="s">
        <v>92</v>
      </c>
      <c r="E145" s="24">
        <v>34200000</v>
      </c>
      <c r="F145" s="39">
        <v>44392</v>
      </c>
      <c r="G145" s="24">
        <v>34200000</v>
      </c>
      <c r="H145" s="23">
        <v>5.0000000000000001E-3</v>
      </c>
      <c r="I145" s="39">
        <v>44440</v>
      </c>
      <c r="J145" s="39">
        <v>44469</v>
      </c>
      <c r="K145" s="24">
        <v>30</v>
      </c>
      <c r="L145" s="24">
        <v>14055</v>
      </c>
      <c r="M145" s="24">
        <v>34200000</v>
      </c>
      <c r="N145" s="39">
        <v>46217</v>
      </c>
    </row>
    <row r="146" spans="1:14" s="5" customFormat="1" outlineLevel="2">
      <c r="A146" s="39" t="s">
        <v>78</v>
      </c>
      <c r="B146" s="40" t="s">
        <v>200</v>
      </c>
      <c r="C146" s="41" t="s">
        <v>93</v>
      </c>
      <c r="D146" s="40" t="s">
        <v>94</v>
      </c>
      <c r="E146" s="24">
        <v>656620</v>
      </c>
      <c r="F146" s="39">
        <v>44418</v>
      </c>
      <c r="G146" s="24">
        <v>656620</v>
      </c>
      <c r="H146" s="23">
        <v>5.0000000000000001E-3</v>
      </c>
      <c r="I146" s="39">
        <v>44440</v>
      </c>
      <c r="J146" s="39">
        <v>44469</v>
      </c>
      <c r="K146" s="24">
        <v>30</v>
      </c>
      <c r="L146" s="24">
        <v>270</v>
      </c>
      <c r="M146" s="24">
        <v>656620</v>
      </c>
      <c r="N146" s="39">
        <v>46243</v>
      </c>
    </row>
    <row r="147" spans="1:14" s="5" customFormat="1" outlineLevel="2">
      <c r="A147" s="39" t="s">
        <v>78</v>
      </c>
      <c r="B147" s="40" t="s">
        <v>201</v>
      </c>
      <c r="C147" s="41" t="s">
        <v>93</v>
      </c>
      <c r="D147" s="40" t="s">
        <v>94</v>
      </c>
      <c r="E147" s="24">
        <v>1901460</v>
      </c>
      <c r="F147" s="39">
        <v>44433</v>
      </c>
      <c r="G147" s="24">
        <v>1901460</v>
      </c>
      <c r="H147" s="23">
        <v>5.0000000000000001E-3</v>
      </c>
      <c r="I147" s="39">
        <v>44440</v>
      </c>
      <c r="J147" s="39">
        <v>44469</v>
      </c>
      <c r="K147" s="24">
        <v>30</v>
      </c>
      <c r="L147" s="24">
        <v>781</v>
      </c>
      <c r="M147" s="24">
        <v>1901460</v>
      </c>
      <c r="N147" s="39">
        <v>46258</v>
      </c>
    </row>
    <row r="148" spans="1:14" s="5" customFormat="1" outlineLevel="2">
      <c r="A148" s="39" t="s">
        <v>78</v>
      </c>
      <c r="B148" s="40" t="s">
        <v>202</v>
      </c>
      <c r="C148" s="41" t="s">
        <v>93</v>
      </c>
      <c r="D148" s="40" t="s">
        <v>94</v>
      </c>
      <c r="E148" s="24">
        <v>217052</v>
      </c>
      <c r="F148" s="39">
        <v>44435</v>
      </c>
      <c r="G148" s="24">
        <v>217052</v>
      </c>
      <c r="H148" s="23">
        <v>5.0000000000000001E-3</v>
      </c>
      <c r="I148" s="39">
        <v>44440</v>
      </c>
      <c r="J148" s="39">
        <v>44469</v>
      </c>
      <c r="K148" s="24">
        <v>30</v>
      </c>
      <c r="L148" s="24">
        <v>89</v>
      </c>
      <c r="M148" s="24">
        <v>217052</v>
      </c>
      <c r="N148" s="39">
        <v>46260</v>
      </c>
    </row>
    <row r="149" spans="1:14" s="5" customFormat="1" outlineLevel="2">
      <c r="A149" s="39" t="s">
        <v>78</v>
      </c>
      <c r="B149" s="40" t="s">
        <v>203</v>
      </c>
      <c r="C149" s="41" t="s">
        <v>93</v>
      </c>
      <c r="D149" s="40" t="s">
        <v>94</v>
      </c>
      <c r="E149" s="24">
        <v>270720</v>
      </c>
      <c r="F149" s="39">
        <v>44435</v>
      </c>
      <c r="G149" s="24">
        <v>270720</v>
      </c>
      <c r="H149" s="23">
        <v>5.0000000000000001E-3</v>
      </c>
      <c r="I149" s="39">
        <v>44440</v>
      </c>
      <c r="J149" s="39">
        <v>44469</v>
      </c>
      <c r="K149" s="24">
        <v>30</v>
      </c>
      <c r="L149" s="24">
        <v>111</v>
      </c>
      <c r="M149" s="24">
        <v>270720</v>
      </c>
      <c r="N149" s="39">
        <v>46260</v>
      </c>
    </row>
    <row r="150" spans="1:14" s="5" customFormat="1" outlineLevel="2">
      <c r="A150" s="39" t="s">
        <v>78</v>
      </c>
      <c r="B150" s="40" t="s">
        <v>204</v>
      </c>
      <c r="C150" s="41" t="s">
        <v>93</v>
      </c>
      <c r="D150" s="40" t="s">
        <v>94</v>
      </c>
      <c r="E150" s="24">
        <v>6174000</v>
      </c>
      <c r="F150" s="39">
        <v>44428</v>
      </c>
      <c r="G150" s="24">
        <v>6174000</v>
      </c>
      <c r="H150" s="23">
        <v>5.0000000000000001E-3</v>
      </c>
      <c r="I150" s="39">
        <v>44440</v>
      </c>
      <c r="J150" s="39">
        <v>44469</v>
      </c>
      <c r="K150" s="24">
        <v>30</v>
      </c>
      <c r="L150" s="24">
        <v>2537</v>
      </c>
      <c r="M150" s="24">
        <v>6174000</v>
      </c>
      <c r="N150" s="39">
        <v>46253</v>
      </c>
    </row>
    <row r="151" spans="1:14" s="5" customFormat="1" outlineLevel="2">
      <c r="A151" s="39" t="s">
        <v>78</v>
      </c>
      <c r="B151" s="40" t="s">
        <v>205</v>
      </c>
      <c r="C151" s="41" t="s">
        <v>89</v>
      </c>
      <c r="D151" s="40" t="s">
        <v>90</v>
      </c>
      <c r="E151" s="24">
        <v>90000000</v>
      </c>
      <c r="F151" s="39">
        <v>44424</v>
      </c>
      <c r="G151" s="24">
        <v>90000000</v>
      </c>
      <c r="H151" s="23">
        <v>5.0000000000000001E-3</v>
      </c>
      <c r="I151" s="39">
        <v>44440</v>
      </c>
      <c r="J151" s="39">
        <v>44469</v>
      </c>
      <c r="K151" s="24">
        <v>30</v>
      </c>
      <c r="L151" s="24">
        <v>36986</v>
      </c>
      <c r="M151" s="24">
        <v>90000000</v>
      </c>
      <c r="N151" s="39">
        <v>46249</v>
      </c>
    </row>
    <row r="152" spans="1:14" s="5" customFormat="1" outlineLevel="2">
      <c r="A152" s="39" t="s">
        <v>78</v>
      </c>
      <c r="B152" s="40" t="s">
        <v>65</v>
      </c>
      <c r="C152" s="41" t="s">
        <v>83</v>
      </c>
      <c r="D152" s="40" t="s">
        <v>84</v>
      </c>
      <c r="E152" s="24">
        <v>291200000</v>
      </c>
      <c r="F152" s="39">
        <v>44032</v>
      </c>
      <c r="G152" s="24">
        <v>291200000</v>
      </c>
      <c r="H152" s="23">
        <v>3.0000000000000001E-3</v>
      </c>
      <c r="I152" s="39">
        <v>44440</v>
      </c>
      <c r="J152" s="39">
        <v>44469</v>
      </c>
      <c r="K152" s="24">
        <v>30</v>
      </c>
      <c r="L152" s="24">
        <v>71803</v>
      </c>
      <c r="M152" s="24">
        <v>291200000</v>
      </c>
      <c r="N152" s="39">
        <v>45857</v>
      </c>
    </row>
    <row r="153" spans="1:14" s="5" customFormat="1" outlineLevel="2">
      <c r="A153" s="39" t="s">
        <v>78</v>
      </c>
      <c r="B153" s="40" t="s">
        <v>206</v>
      </c>
      <c r="C153" s="41" t="s">
        <v>91</v>
      </c>
      <c r="D153" s="40" t="s">
        <v>92</v>
      </c>
      <c r="E153" s="24">
        <v>55900000</v>
      </c>
      <c r="F153" s="39">
        <v>44428</v>
      </c>
      <c r="G153" s="24">
        <v>55900000</v>
      </c>
      <c r="H153" s="23">
        <v>5.0000000000000001E-3</v>
      </c>
      <c r="I153" s="39">
        <v>44440</v>
      </c>
      <c r="J153" s="39">
        <v>44469</v>
      </c>
      <c r="K153" s="24">
        <v>30</v>
      </c>
      <c r="L153" s="24">
        <v>22973</v>
      </c>
      <c r="M153" s="24">
        <v>55900000</v>
      </c>
      <c r="N153" s="39">
        <v>46253</v>
      </c>
    </row>
    <row r="154" spans="1:14" s="5" customFormat="1" outlineLevel="2">
      <c r="A154" s="39" t="s">
        <v>78</v>
      </c>
      <c r="B154" s="40" t="s">
        <v>207</v>
      </c>
      <c r="C154" s="41" t="s">
        <v>97</v>
      </c>
      <c r="D154" s="40" t="s">
        <v>98</v>
      </c>
      <c r="E154" s="24">
        <v>16000000</v>
      </c>
      <c r="F154" s="39">
        <v>44413</v>
      </c>
      <c r="G154" s="24">
        <v>16000000</v>
      </c>
      <c r="H154" s="23">
        <v>5.0000000000000001E-3</v>
      </c>
      <c r="I154" s="39">
        <v>44440</v>
      </c>
      <c r="J154" s="39">
        <v>44469</v>
      </c>
      <c r="K154" s="24">
        <v>30</v>
      </c>
      <c r="L154" s="24">
        <v>6575</v>
      </c>
      <c r="M154" s="24">
        <v>16000000</v>
      </c>
      <c r="N154" s="39">
        <v>46238</v>
      </c>
    </row>
    <row r="155" spans="1:14" s="5" customFormat="1" outlineLevel="2">
      <c r="A155" s="39" t="s">
        <v>78</v>
      </c>
      <c r="B155" s="40" t="s">
        <v>208</v>
      </c>
      <c r="C155" s="41" t="s">
        <v>85</v>
      </c>
      <c r="D155" s="40" t="s">
        <v>86</v>
      </c>
      <c r="E155" s="24">
        <v>35280000</v>
      </c>
      <c r="F155" s="39">
        <v>44411</v>
      </c>
      <c r="G155" s="24">
        <v>35280000</v>
      </c>
      <c r="H155" s="23">
        <v>5.0000000000000001E-3</v>
      </c>
      <c r="I155" s="39">
        <v>44440</v>
      </c>
      <c r="J155" s="39">
        <v>44469</v>
      </c>
      <c r="K155" s="24">
        <v>30</v>
      </c>
      <c r="L155" s="24">
        <v>14499</v>
      </c>
      <c r="M155" s="24">
        <v>35280000</v>
      </c>
      <c r="N155" s="39">
        <v>46236</v>
      </c>
    </row>
    <row r="156" spans="1:14" s="5" customFormat="1" outlineLevel="2">
      <c r="A156" s="39" t="s">
        <v>78</v>
      </c>
      <c r="B156" s="40" t="s">
        <v>209</v>
      </c>
      <c r="C156" s="41" t="s">
        <v>337</v>
      </c>
      <c r="D156" s="40" t="s">
        <v>336</v>
      </c>
      <c r="E156" s="24">
        <v>18000000</v>
      </c>
      <c r="F156" s="39">
        <v>44410</v>
      </c>
      <c r="G156" s="24">
        <v>17678571</v>
      </c>
      <c r="H156" s="23">
        <v>5.0000000000000001E-3</v>
      </c>
      <c r="I156" s="39">
        <v>44440</v>
      </c>
      <c r="J156" s="39">
        <v>44453</v>
      </c>
      <c r="K156" s="24">
        <v>14</v>
      </c>
      <c r="L156" s="24">
        <v>3390</v>
      </c>
      <c r="M156" s="24">
        <v>17357142</v>
      </c>
      <c r="N156" s="39">
        <v>46235</v>
      </c>
    </row>
    <row r="157" spans="1:14" s="5" customFormat="1" outlineLevel="2">
      <c r="A157" s="39" t="s">
        <v>78</v>
      </c>
      <c r="B157" s="40" t="s">
        <v>209</v>
      </c>
      <c r="C157" s="41" t="s">
        <v>337</v>
      </c>
      <c r="D157" s="40"/>
      <c r="E157" s="24"/>
      <c r="F157" s="39"/>
      <c r="G157" s="24">
        <v>17357142</v>
      </c>
      <c r="H157" s="23">
        <v>5.0000000000000001E-3</v>
      </c>
      <c r="I157" s="39">
        <v>44454</v>
      </c>
      <c r="J157" s="39">
        <v>44469</v>
      </c>
      <c r="K157" s="24">
        <v>16</v>
      </c>
      <c r="L157" s="24">
        <v>3804</v>
      </c>
      <c r="M157" s="24"/>
      <c r="N157" s="39">
        <v>46235</v>
      </c>
    </row>
    <row r="158" spans="1:14" s="5" customFormat="1" outlineLevel="2">
      <c r="A158" s="39" t="s">
        <v>78</v>
      </c>
      <c r="B158" s="40" t="s">
        <v>210</v>
      </c>
      <c r="C158" s="41" t="s">
        <v>337</v>
      </c>
      <c r="D158" s="40" t="s">
        <v>336</v>
      </c>
      <c r="E158" s="24">
        <v>20000000</v>
      </c>
      <c r="F158" s="39">
        <v>44439</v>
      </c>
      <c r="G158" s="24">
        <v>20000000</v>
      </c>
      <c r="H158" s="23">
        <v>5.0000000000000001E-3</v>
      </c>
      <c r="I158" s="39">
        <v>44440</v>
      </c>
      <c r="J158" s="39">
        <v>44453</v>
      </c>
      <c r="K158" s="24">
        <v>14</v>
      </c>
      <c r="L158" s="24">
        <v>3836</v>
      </c>
      <c r="M158" s="24">
        <v>19636363</v>
      </c>
      <c r="N158" s="39">
        <v>46264</v>
      </c>
    </row>
    <row r="159" spans="1:14" s="5" customFormat="1" outlineLevel="2">
      <c r="A159" s="39" t="s">
        <v>78</v>
      </c>
      <c r="B159" s="40" t="s">
        <v>210</v>
      </c>
      <c r="C159" s="41" t="s">
        <v>337</v>
      </c>
      <c r="D159" s="40"/>
      <c r="E159" s="24"/>
      <c r="F159" s="39"/>
      <c r="G159" s="24">
        <v>19636363</v>
      </c>
      <c r="H159" s="23">
        <v>5.0000000000000001E-3</v>
      </c>
      <c r="I159" s="39">
        <v>44454</v>
      </c>
      <c r="J159" s="39">
        <v>44469</v>
      </c>
      <c r="K159" s="24">
        <v>16</v>
      </c>
      <c r="L159" s="24">
        <v>4304</v>
      </c>
      <c r="M159" s="24"/>
      <c r="N159" s="39">
        <v>46264</v>
      </c>
    </row>
    <row r="160" spans="1:14" s="5" customFormat="1" outlineLevel="2">
      <c r="A160" s="39" t="s">
        <v>78</v>
      </c>
      <c r="B160" s="40" t="s">
        <v>211</v>
      </c>
      <c r="C160" s="41" t="s">
        <v>93</v>
      </c>
      <c r="D160" s="40" t="s">
        <v>94</v>
      </c>
      <c r="E160" s="24">
        <v>116395</v>
      </c>
      <c r="F160" s="39">
        <v>44449</v>
      </c>
      <c r="G160" s="24">
        <v>116395</v>
      </c>
      <c r="H160" s="23">
        <v>5.0000000000000001E-3</v>
      </c>
      <c r="I160" s="39">
        <v>44449</v>
      </c>
      <c r="J160" s="39">
        <v>44469</v>
      </c>
      <c r="K160" s="24">
        <v>21</v>
      </c>
      <c r="L160" s="24">
        <v>33</v>
      </c>
      <c r="M160" s="24">
        <v>116395</v>
      </c>
      <c r="N160" s="39">
        <v>46274</v>
      </c>
    </row>
    <row r="161" spans="1:14" s="5" customFormat="1" outlineLevel="2">
      <c r="A161" s="39" t="s">
        <v>78</v>
      </c>
      <c r="B161" s="40" t="s">
        <v>212</v>
      </c>
      <c r="C161" s="41" t="s">
        <v>93</v>
      </c>
      <c r="D161" s="40" t="s">
        <v>94</v>
      </c>
      <c r="E161" s="24">
        <v>541441</v>
      </c>
      <c r="F161" s="39">
        <v>44456</v>
      </c>
      <c r="G161" s="24">
        <v>541441</v>
      </c>
      <c r="H161" s="23">
        <v>5.0000000000000001E-3</v>
      </c>
      <c r="I161" s="39">
        <v>44456</v>
      </c>
      <c r="J161" s="39">
        <v>44469</v>
      </c>
      <c r="K161" s="24">
        <v>14</v>
      </c>
      <c r="L161" s="24">
        <v>104</v>
      </c>
      <c r="M161" s="24">
        <v>541441</v>
      </c>
      <c r="N161" s="39">
        <v>46281</v>
      </c>
    </row>
    <row r="162" spans="1:14" s="5" customFormat="1" outlineLevel="2">
      <c r="A162" s="39" t="s">
        <v>78</v>
      </c>
      <c r="B162" s="40" t="s">
        <v>213</v>
      </c>
      <c r="C162" s="41" t="s">
        <v>93</v>
      </c>
      <c r="D162" s="40" t="s">
        <v>94</v>
      </c>
      <c r="E162" s="24">
        <v>271956</v>
      </c>
      <c r="F162" s="39">
        <v>44463</v>
      </c>
      <c r="G162" s="24">
        <v>271956</v>
      </c>
      <c r="H162" s="23">
        <v>5.0000000000000001E-3</v>
      </c>
      <c r="I162" s="39">
        <v>44463</v>
      </c>
      <c r="J162" s="39">
        <v>44469</v>
      </c>
      <c r="K162" s="24">
        <v>7</v>
      </c>
      <c r="L162" s="24">
        <v>26</v>
      </c>
      <c r="M162" s="24">
        <v>271956</v>
      </c>
      <c r="N162" s="39">
        <v>46288</v>
      </c>
    </row>
    <row r="163" spans="1:14" s="5" customFormat="1" outlineLevel="2">
      <c r="A163" s="39" t="s">
        <v>78</v>
      </c>
      <c r="B163" s="40" t="s">
        <v>214</v>
      </c>
      <c r="C163" s="41" t="s">
        <v>83</v>
      </c>
      <c r="D163" s="40" t="s">
        <v>84</v>
      </c>
      <c r="E163" s="24">
        <v>82000000</v>
      </c>
      <c r="F163" s="39">
        <v>44463</v>
      </c>
      <c r="G163" s="24">
        <v>82000000</v>
      </c>
      <c r="H163" s="23">
        <v>5.0000000000000001E-3</v>
      </c>
      <c r="I163" s="39">
        <v>44463</v>
      </c>
      <c r="J163" s="39">
        <v>44469</v>
      </c>
      <c r="K163" s="24">
        <v>7</v>
      </c>
      <c r="L163" s="24">
        <v>7863</v>
      </c>
      <c r="M163" s="24">
        <v>82000000</v>
      </c>
      <c r="N163" s="39">
        <v>46288</v>
      </c>
    </row>
    <row r="164" spans="1:14" s="5" customFormat="1" outlineLevel="2">
      <c r="A164" s="39" t="s">
        <v>78</v>
      </c>
      <c r="B164" s="40" t="s">
        <v>215</v>
      </c>
      <c r="C164" s="41" t="s">
        <v>85</v>
      </c>
      <c r="D164" s="40" t="s">
        <v>86</v>
      </c>
      <c r="E164" s="24">
        <v>177410000</v>
      </c>
      <c r="F164" s="39">
        <v>44463</v>
      </c>
      <c r="G164" s="24">
        <v>177410000</v>
      </c>
      <c r="H164" s="23">
        <v>5.0000000000000001E-3</v>
      </c>
      <c r="I164" s="39">
        <v>44463</v>
      </c>
      <c r="J164" s="39">
        <v>44469</v>
      </c>
      <c r="K164" s="24">
        <v>7</v>
      </c>
      <c r="L164" s="24">
        <v>17012</v>
      </c>
      <c r="M164" s="24">
        <v>177410000</v>
      </c>
      <c r="N164" s="39">
        <v>46288</v>
      </c>
    </row>
    <row r="165" spans="1:14" s="5" customFormat="1" outlineLevel="2">
      <c r="A165" s="39" t="s">
        <v>78</v>
      </c>
      <c r="B165" s="40" t="s">
        <v>68</v>
      </c>
      <c r="C165" s="41" t="s">
        <v>81</v>
      </c>
      <c r="D165" s="40" t="s">
        <v>82</v>
      </c>
      <c r="E165" s="24">
        <v>10000000</v>
      </c>
      <c r="F165" s="39">
        <v>44025</v>
      </c>
      <c r="G165" s="24">
        <v>7796604</v>
      </c>
      <c r="H165" s="23">
        <v>5.0000000000000001E-3</v>
      </c>
      <c r="I165" s="39">
        <v>44440</v>
      </c>
      <c r="J165" s="39">
        <v>44453</v>
      </c>
      <c r="K165" s="24">
        <v>14</v>
      </c>
      <c r="L165" s="24">
        <v>1495</v>
      </c>
      <c r="M165" s="24">
        <v>7627112</v>
      </c>
      <c r="N165" s="39">
        <v>45850</v>
      </c>
    </row>
    <row r="166" spans="1:14" s="5" customFormat="1" outlineLevel="2">
      <c r="A166" s="39" t="s">
        <v>78</v>
      </c>
      <c r="B166" s="40" t="s">
        <v>68</v>
      </c>
      <c r="C166" s="41" t="s">
        <v>81</v>
      </c>
      <c r="D166" s="40"/>
      <c r="E166" s="24"/>
      <c r="F166" s="39"/>
      <c r="G166" s="24">
        <v>7627112</v>
      </c>
      <c r="H166" s="23">
        <v>5.0000000000000001E-3</v>
      </c>
      <c r="I166" s="39">
        <v>44454</v>
      </c>
      <c r="J166" s="39">
        <v>44469</v>
      </c>
      <c r="K166" s="24">
        <v>16</v>
      </c>
      <c r="L166" s="24">
        <v>1672</v>
      </c>
      <c r="M166" s="24"/>
      <c r="N166" s="39">
        <v>45850</v>
      </c>
    </row>
    <row r="167" spans="1:14" s="5" customFormat="1" outlineLevel="1">
      <c r="A167" s="42" t="s">
        <v>107</v>
      </c>
      <c r="B167" s="43"/>
      <c r="C167" s="44"/>
      <c r="D167" s="43"/>
      <c r="E167" s="45">
        <v>4341929053</v>
      </c>
      <c r="F167" s="46"/>
      <c r="G167" s="45"/>
      <c r="H167" s="47"/>
      <c r="I167" s="46"/>
      <c r="J167" s="46"/>
      <c r="K167" s="45"/>
      <c r="L167" s="45">
        <v>1573335</v>
      </c>
      <c r="M167" s="45">
        <v>4296567019</v>
      </c>
      <c r="N167" s="46"/>
    </row>
    <row r="168" spans="1:14" s="5" customFormat="1" outlineLevel="2">
      <c r="A168" s="39" t="s">
        <v>108</v>
      </c>
      <c r="B168" s="40" t="s">
        <v>16</v>
      </c>
      <c r="C168" s="41" t="s">
        <v>109</v>
      </c>
      <c r="D168" s="40" t="s">
        <v>110</v>
      </c>
      <c r="E168" s="24">
        <v>81465386</v>
      </c>
      <c r="F168" s="39">
        <v>43900</v>
      </c>
      <c r="G168" s="24">
        <v>81465386</v>
      </c>
      <c r="H168" s="23">
        <v>5.0000000000000001E-3</v>
      </c>
      <c r="I168" s="39">
        <v>44440</v>
      </c>
      <c r="J168" s="39">
        <v>44469</v>
      </c>
      <c r="K168" s="24">
        <v>30</v>
      </c>
      <c r="L168" s="24">
        <v>33479</v>
      </c>
      <c r="M168" s="24">
        <v>81465386</v>
      </c>
      <c r="N168" s="39">
        <v>45725</v>
      </c>
    </row>
    <row r="169" spans="1:14" s="5" customFormat="1" outlineLevel="2">
      <c r="A169" s="39" t="s">
        <v>108</v>
      </c>
      <c r="B169" s="40" t="s">
        <v>19</v>
      </c>
      <c r="C169" s="41" t="s">
        <v>111</v>
      </c>
      <c r="D169" s="40" t="s">
        <v>112</v>
      </c>
      <c r="E169" s="24">
        <v>8860000</v>
      </c>
      <c r="F169" s="39">
        <v>43997</v>
      </c>
      <c r="G169" s="24">
        <v>8860000</v>
      </c>
      <c r="H169" s="23">
        <v>5.0000000000000001E-3</v>
      </c>
      <c r="I169" s="39">
        <v>44440</v>
      </c>
      <c r="J169" s="39">
        <v>44469</v>
      </c>
      <c r="K169" s="24">
        <v>30</v>
      </c>
      <c r="L169" s="24">
        <v>3641</v>
      </c>
      <c r="M169" s="24">
        <v>8860000</v>
      </c>
      <c r="N169" s="39">
        <v>45822</v>
      </c>
    </row>
    <row r="170" spans="1:14" s="5" customFormat="1" outlineLevel="2">
      <c r="A170" s="39" t="s">
        <v>108</v>
      </c>
      <c r="B170" s="40" t="s">
        <v>22</v>
      </c>
      <c r="C170" s="41" t="s">
        <v>113</v>
      </c>
      <c r="D170" s="40" t="s">
        <v>114</v>
      </c>
      <c r="E170" s="24">
        <v>20390000</v>
      </c>
      <c r="F170" s="39">
        <v>43997</v>
      </c>
      <c r="G170" s="24">
        <v>16908788</v>
      </c>
      <c r="H170" s="23">
        <v>5.0000000000000001E-3</v>
      </c>
      <c r="I170" s="39">
        <v>44440</v>
      </c>
      <c r="J170" s="39">
        <v>44453</v>
      </c>
      <c r="K170" s="24">
        <v>14</v>
      </c>
      <c r="L170" s="24">
        <v>3243</v>
      </c>
      <c r="M170" s="24">
        <v>16660130</v>
      </c>
      <c r="N170" s="39">
        <v>45822</v>
      </c>
    </row>
    <row r="171" spans="1:14" s="5" customFormat="1" outlineLevel="2">
      <c r="A171" s="39" t="s">
        <v>108</v>
      </c>
      <c r="B171" s="40" t="s">
        <v>22</v>
      </c>
      <c r="C171" s="41" t="s">
        <v>113</v>
      </c>
      <c r="D171" s="40"/>
      <c r="E171" s="24"/>
      <c r="F171" s="39"/>
      <c r="G171" s="24">
        <v>16660130</v>
      </c>
      <c r="H171" s="23">
        <v>5.0000000000000001E-3</v>
      </c>
      <c r="I171" s="39">
        <v>44454</v>
      </c>
      <c r="J171" s="39">
        <v>44469</v>
      </c>
      <c r="K171" s="24">
        <v>16</v>
      </c>
      <c r="L171" s="24">
        <v>3652</v>
      </c>
      <c r="M171" s="24"/>
      <c r="N171" s="39">
        <v>45822</v>
      </c>
    </row>
    <row r="172" spans="1:14" s="5" customFormat="1" outlineLevel="2">
      <c r="A172" s="39" t="s">
        <v>108</v>
      </c>
      <c r="B172" s="40" t="s">
        <v>25</v>
      </c>
      <c r="C172" s="41" t="s">
        <v>113</v>
      </c>
      <c r="D172" s="40" t="s">
        <v>114</v>
      </c>
      <c r="E172" s="24">
        <v>69600000</v>
      </c>
      <c r="F172" s="39">
        <v>43997</v>
      </c>
      <c r="G172" s="24">
        <v>61480000</v>
      </c>
      <c r="H172" s="23">
        <v>5.0000000000000001E-3</v>
      </c>
      <c r="I172" s="39">
        <v>44440</v>
      </c>
      <c r="J172" s="39">
        <v>44453</v>
      </c>
      <c r="K172" s="24">
        <v>14</v>
      </c>
      <c r="L172" s="24">
        <v>11791</v>
      </c>
      <c r="M172" s="24">
        <v>60900000</v>
      </c>
      <c r="N172" s="39">
        <v>45822</v>
      </c>
    </row>
    <row r="173" spans="1:14" s="5" customFormat="1" outlineLevel="2">
      <c r="A173" s="39" t="s">
        <v>108</v>
      </c>
      <c r="B173" s="40" t="s">
        <v>25</v>
      </c>
      <c r="C173" s="41" t="s">
        <v>113</v>
      </c>
      <c r="D173" s="40"/>
      <c r="E173" s="24"/>
      <c r="F173" s="39"/>
      <c r="G173" s="24">
        <v>60900000</v>
      </c>
      <c r="H173" s="23">
        <v>5.0000000000000001E-3</v>
      </c>
      <c r="I173" s="39">
        <v>44454</v>
      </c>
      <c r="J173" s="39">
        <v>44469</v>
      </c>
      <c r="K173" s="24">
        <v>16</v>
      </c>
      <c r="L173" s="24">
        <v>13348</v>
      </c>
      <c r="M173" s="24"/>
      <c r="N173" s="39">
        <v>45822</v>
      </c>
    </row>
    <row r="174" spans="1:14" s="5" customFormat="1" outlineLevel="2">
      <c r="A174" s="39" t="s">
        <v>108</v>
      </c>
      <c r="B174" s="40" t="s">
        <v>26</v>
      </c>
      <c r="C174" s="41" t="s">
        <v>109</v>
      </c>
      <c r="D174" s="40" t="s">
        <v>110</v>
      </c>
      <c r="E174" s="24">
        <v>16630000</v>
      </c>
      <c r="F174" s="39">
        <v>44011</v>
      </c>
      <c r="G174" s="24">
        <v>16630000</v>
      </c>
      <c r="H174" s="23">
        <v>5.0000000000000001E-3</v>
      </c>
      <c r="I174" s="39">
        <v>44440</v>
      </c>
      <c r="J174" s="39">
        <v>44469</v>
      </c>
      <c r="K174" s="24">
        <v>30</v>
      </c>
      <c r="L174" s="24">
        <v>6834</v>
      </c>
      <c r="M174" s="24">
        <v>16630000</v>
      </c>
      <c r="N174" s="39">
        <v>45836</v>
      </c>
    </row>
    <row r="175" spans="1:14" s="5" customFormat="1" outlineLevel="2">
      <c r="A175" s="39" t="s">
        <v>108</v>
      </c>
      <c r="B175" s="40" t="s">
        <v>29</v>
      </c>
      <c r="C175" s="41" t="s">
        <v>111</v>
      </c>
      <c r="D175" s="40" t="s">
        <v>112</v>
      </c>
      <c r="E175" s="24">
        <v>4650000</v>
      </c>
      <c r="F175" s="39">
        <v>44027</v>
      </c>
      <c r="G175" s="24">
        <v>4650000</v>
      </c>
      <c r="H175" s="23">
        <v>5.0000000000000001E-3</v>
      </c>
      <c r="I175" s="39">
        <v>44440</v>
      </c>
      <c r="J175" s="39">
        <v>44469</v>
      </c>
      <c r="K175" s="24">
        <v>30</v>
      </c>
      <c r="L175" s="24">
        <v>1911</v>
      </c>
      <c r="M175" s="24">
        <v>4650000</v>
      </c>
      <c r="N175" s="39">
        <v>45852</v>
      </c>
    </row>
    <row r="176" spans="1:14" s="5" customFormat="1" outlineLevel="2">
      <c r="A176" s="39" t="s">
        <v>108</v>
      </c>
      <c r="B176" s="40" t="s">
        <v>32</v>
      </c>
      <c r="C176" s="41" t="s">
        <v>113</v>
      </c>
      <c r="D176" s="40" t="s">
        <v>114</v>
      </c>
      <c r="E176" s="24">
        <v>10860000</v>
      </c>
      <c r="F176" s="39">
        <v>44027</v>
      </c>
      <c r="G176" s="24">
        <v>9117038</v>
      </c>
      <c r="H176" s="23">
        <v>5.0000000000000001E-3</v>
      </c>
      <c r="I176" s="39">
        <v>44440</v>
      </c>
      <c r="J176" s="39">
        <v>44453</v>
      </c>
      <c r="K176" s="24">
        <v>14</v>
      </c>
      <c r="L176" s="24">
        <v>1748</v>
      </c>
      <c r="M176" s="24">
        <v>8982964</v>
      </c>
      <c r="N176" s="39">
        <v>45852</v>
      </c>
    </row>
    <row r="177" spans="1:14" s="5" customFormat="1" outlineLevel="2">
      <c r="A177" s="39" t="s">
        <v>108</v>
      </c>
      <c r="B177" s="40" t="s">
        <v>32</v>
      </c>
      <c r="C177" s="41" t="s">
        <v>113</v>
      </c>
      <c r="D177" s="40"/>
      <c r="E177" s="24"/>
      <c r="F177" s="39"/>
      <c r="G177" s="24">
        <v>8982964</v>
      </c>
      <c r="H177" s="23">
        <v>5.0000000000000001E-3</v>
      </c>
      <c r="I177" s="39">
        <v>44454</v>
      </c>
      <c r="J177" s="39">
        <v>44469</v>
      </c>
      <c r="K177" s="24">
        <v>16</v>
      </c>
      <c r="L177" s="24">
        <v>1969</v>
      </c>
      <c r="M177" s="24"/>
      <c r="N177" s="39">
        <v>45852</v>
      </c>
    </row>
    <row r="178" spans="1:14" s="5" customFormat="1" outlineLevel="2">
      <c r="A178" s="39" t="s">
        <v>108</v>
      </c>
      <c r="B178" s="40" t="s">
        <v>33</v>
      </c>
      <c r="C178" s="41" t="s">
        <v>113</v>
      </c>
      <c r="D178" s="40" t="s">
        <v>114</v>
      </c>
      <c r="E178" s="24">
        <v>11600000</v>
      </c>
      <c r="F178" s="39">
        <v>44027</v>
      </c>
      <c r="G178" s="24">
        <v>10332786</v>
      </c>
      <c r="H178" s="23">
        <v>5.0000000000000001E-3</v>
      </c>
      <c r="I178" s="39">
        <v>44440</v>
      </c>
      <c r="J178" s="39">
        <v>44453</v>
      </c>
      <c r="K178" s="24">
        <v>14</v>
      </c>
      <c r="L178" s="24">
        <v>1982</v>
      </c>
      <c r="M178" s="24">
        <v>10235308</v>
      </c>
      <c r="N178" s="39">
        <v>45852</v>
      </c>
    </row>
    <row r="179" spans="1:14" s="5" customFormat="1" outlineLevel="2">
      <c r="A179" s="39" t="s">
        <v>108</v>
      </c>
      <c r="B179" s="40" t="s">
        <v>33</v>
      </c>
      <c r="C179" s="41" t="s">
        <v>113</v>
      </c>
      <c r="D179" s="40"/>
      <c r="E179" s="24"/>
      <c r="F179" s="39"/>
      <c r="G179" s="24">
        <v>10235308</v>
      </c>
      <c r="H179" s="23">
        <v>5.0000000000000001E-3</v>
      </c>
      <c r="I179" s="39">
        <v>44454</v>
      </c>
      <c r="J179" s="39">
        <v>44469</v>
      </c>
      <c r="K179" s="24">
        <v>16</v>
      </c>
      <c r="L179" s="24">
        <v>2243</v>
      </c>
      <c r="M179" s="24"/>
      <c r="N179" s="39">
        <v>45852</v>
      </c>
    </row>
    <row r="180" spans="1:14" s="5" customFormat="1" outlineLevel="2">
      <c r="A180" s="39" t="s">
        <v>108</v>
      </c>
      <c r="B180" s="40" t="s">
        <v>34</v>
      </c>
      <c r="C180" s="41" t="s">
        <v>23</v>
      </c>
      <c r="D180" s="40" t="s">
        <v>24</v>
      </c>
      <c r="E180" s="24">
        <v>18700000</v>
      </c>
      <c r="F180" s="39">
        <v>44032</v>
      </c>
      <c r="G180" s="24">
        <v>18700000</v>
      </c>
      <c r="H180" s="23">
        <v>5.0000000000000001E-3</v>
      </c>
      <c r="I180" s="39">
        <v>44440</v>
      </c>
      <c r="J180" s="39">
        <v>44469</v>
      </c>
      <c r="K180" s="24">
        <v>30</v>
      </c>
      <c r="L180" s="24">
        <v>7685</v>
      </c>
      <c r="M180" s="24">
        <v>18700000</v>
      </c>
      <c r="N180" s="39">
        <v>45857</v>
      </c>
    </row>
    <row r="181" spans="1:14" s="5" customFormat="1" outlineLevel="2">
      <c r="A181" s="39" t="s">
        <v>108</v>
      </c>
      <c r="B181" s="40" t="s">
        <v>35</v>
      </c>
      <c r="C181" s="41" t="s">
        <v>111</v>
      </c>
      <c r="D181" s="40" t="s">
        <v>112</v>
      </c>
      <c r="E181" s="24">
        <v>2950000</v>
      </c>
      <c r="F181" s="39">
        <v>44060</v>
      </c>
      <c r="G181" s="24">
        <v>2950000</v>
      </c>
      <c r="H181" s="23">
        <v>5.0000000000000001E-3</v>
      </c>
      <c r="I181" s="39">
        <v>44440</v>
      </c>
      <c r="J181" s="39">
        <v>44469</v>
      </c>
      <c r="K181" s="24">
        <v>30</v>
      </c>
      <c r="L181" s="24">
        <v>1212</v>
      </c>
      <c r="M181" s="24">
        <v>2950000</v>
      </c>
      <c r="N181" s="39">
        <v>45885</v>
      </c>
    </row>
    <row r="182" spans="1:14" s="5" customFormat="1" outlineLevel="2">
      <c r="A182" s="39" t="s">
        <v>108</v>
      </c>
      <c r="B182" s="40" t="s">
        <v>36</v>
      </c>
      <c r="C182" s="41" t="s">
        <v>109</v>
      </c>
      <c r="D182" s="40" t="s">
        <v>110</v>
      </c>
      <c r="E182" s="24">
        <v>15120000</v>
      </c>
      <c r="F182" s="39">
        <v>44091</v>
      </c>
      <c r="G182" s="24">
        <v>15120000</v>
      </c>
      <c r="H182" s="23">
        <v>5.0000000000000001E-3</v>
      </c>
      <c r="I182" s="39">
        <v>44440</v>
      </c>
      <c r="J182" s="39">
        <v>44469</v>
      </c>
      <c r="K182" s="24">
        <v>30</v>
      </c>
      <c r="L182" s="24">
        <v>6214</v>
      </c>
      <c r="M182" s="24">
        <v>15120000</v>
      </c>
      <c r="N182" s="39">
        <v>45916</v>
      </c>
    </row>
    <row r="183" spans="1:14" s="5" customFormat="1" outlineLevel="2">
      <c r="A183" s="39" t="s">
        <v>108</v>
      </c>
      <c r="B183" s="40" t="s">
        <v>39</v>
      </c>
      <c r="C183" s="41" t="s">
        <v>111</v>
      </c>
      <c r="D183" s="40" t="s">
        <v>112</v>
      </c>
      <c r="E183" s="24">
        <v>6200000</v>
      </c>
      <c r="F183" s="39">
        <v>43929</v>
      </c>
      <c r="G183" s="24">
        <v>6200000</v>
      </c>
      <c r="H183" s="23">
        <v>5.0000000000000001E-3</v>
      </c>
      <c r="I183" s="39">
        <v>44440</v>
      </c>
      <c r="J183" s="39">
        <v>44469</v>
      </c>
      <c r="K183" s="24">
        <v>30</v>
      </c>
      <c r="L183" s="24">
        <v>2548</v>
      </c>
      <c r="M183" s="24">
        <v>6200000</v>
      </c>
      <c r="N183" s="39">
        <v>45754</v>
      </c>
    </row>
    <row r="184" spans="1:14" s="5" customFormat="1" outlineLevel="2">
      <c r="A184" s="39" t="s">
        <v>108</v>
      </c>
      <c r="B184" s="40" t="s">
        <v>40</v>
      </c>
      <c r="C184" s="41" t="s">
        <v>27</v>
      </c>
      <c r="D184" s="40" t="s">
        <v>28</v>
      </c>
      <c r="E184" s="24">
        <v>10000000</v>
      </c>
      <c r="F184" s="39">
        <v>44111</v>
      </c>
      <c r="G184" s="24">
        <v>8166674</v>
      </c>
      <c r="H184" s="23">
        <v>5.0000000000000001E-3</v>
      </c>
      <c r="I184" s="39">
        <v>44440</v>
      </c>
      <c r="J184" s="39">
        <v>44453</v>
      </c>
      <c r="K184" s="24">
        <v>14</v>
      </c>
      <c r="L184" s="24">
        <v>1566</v>
      </c>
      <c r="M184" s="24">
        <v>8000008</v>
      </c>
      <c r="N184" s="39">
        <v>45936</v>
      </c>
    </row>
    <row r="185" spans="1:14" s="5" customFormat="1" outlineLevel="2">
      <c r="A185" s="39" t="s">
        <v>108</v>
      </c>
      <c r="B185" s="40" t="s">
        <v>40</v>
      </c>
      <c r="C185" s="41" t="s">
        <v>27</v>
      </c>
      <c r="D185" s="40"/>
      <c r="E185" s="24"/>
      <c r="F185" s="39"/>
      <c r="G185" s="24">
        <v>8000008</v>
      </c>
      <c r="H185" s="23">
        <v>5.0000000000000001E-3</v>
      </c>
      <c r="I185" s="39">
        <v>44454</v>
      </c>
      <c r="J185" s="39">
        <v>44469</v>
      </c>
      <c r="K185" s="24">
        <v>16</v>
      </c>
      <c r="L185" s="24">
        <v>1753</v>
      </c>
      <c r="M185" s="24"/>
      <c r="N185" s="39">
        <v>45936</v>
      </c>
    </row>
    <row r="186" spans="1:14" s="5" customFormat="1" outlineLevel="2">
      <c r="A186" s="39" t="s">
        <v>108</v>
      </c>
      <c r="B186" s="40" t="s">
        <v>41</v>
      </c>
      <c r="C186" s="41" t="s">
        <v>27</v>
      </c>
      <c r="D186" s="40" t="s">
        <v>28</v>
      </c>
      <c r="E186" s="24">
        <v>24450000</v>
      </c>
      <c r="F186" s="39">
        <v>44120</v>
      </c>
      <c r="G186" s="24">
        <v>20305940</v>
      </c>
      <c r="H186" s="23">
        <v>5.0000000000000001E-3</v>
      </c>
      <c r="I186" s="39">
        <v>44440</v>
      </c>
      <c r="J186" s="39">
        <v>44453</v>
      </c>
      <c r="K186" s="24">
        <v>14</v>
      </c>
      <c r="L186" s="24">
        <v>3894</v>
      </c>
      <c r="M186" s="24">
        <v>19891534</v>
      </c>
      <c r="N186" s="39">
        <v>45945</v>
      </c>
    </row>
    <row r="187" spans="1:14" s="5" customFormat="1" outlineLevel="2">
      <c r="A187" s="39" t="s">
        <v>108</v>
      </c>
      <c r="B187" s="40" t="s">
        <v>41</v>
      </c>
      <c r="C187" s="41" t="s">
        <v>27</v>
      </c>
      <c r="D187" s="40"/>
      <c r="E187" s="24"/>
      <c r="F187" s="39"/>
      <c r="G187" s="24">
        <v>19891534</v>
      </c>
      <c r="H187" s="23">
        <v>5.0000000000000001E-3</v>
      </c>
      <c r="I187" s="39">
        <v>44454</v>
      </c>
      <c r="J187" s="39">
        <v>44469</v>
      </c>
      <c r="K187" s="24">
        <v>16</v>
      </c>
      <c r="L187" s="24">
        <v>4360</v>
      </c>
      <c r="M187" s="24"/>
      <c r="N187" s="39">
        <v>45945</v>
      </c>
    </row>
    <row r="188" spans="1:14" s="5" customFormat="1" outlineLevel="2">
      <c r="A188" s="39" t="s">
        <v>108</v>
      </c>
      <c r="B188" s="40" t="s">
        <v>42</v>
      </c>
      <c r="C188" s="41" t="s">
        <v>23</v>
      </c>
      <c r="D188" s="40" t="s">
        <v>24</v>
      </c>
      <c r="E188" s="24">
        <v>26100000</v>
      </c>
      <c r="F188" s="39">
        <v>44124</v>
      </c>
      <c r="G188" s="24">
        <v>26100000</v>
      </c>
      <c r="H188" s="23">
        <v>5.0000000000000001E-3</v>
      </c>
      <c r="I188" s="39">
        <v>44440</v>
      </c>
      <c r="J188" s="39">
        <v>44469</v>
      </c>
      <c r="K188" s="24">
        <v>30</v>
      </c>
      <c r="L188" s="24">
        <v>10726</v>
      </c>
      <c r="M188" s="24">
        <v>26100000</v>
      </c>
      <c r="N188" s="39">
        <v>45949</v>
      </c>
    </row>
    <row r="189" spans="1:14" s="5" customFormat="1" outlineLevel="2">
      <c r="A189" s="39" t="s">
        <v>108</v>
      </c>
      <c r="B189" s="40" t="s">
        <v>43</v>
      </c>
      <c r="C189" s="41" t="s">
        <v>27</v>
      </c>
      <c r="D189" s="40" t="s">
        <v>28</v>
      </c>
      <c r="E189" s="24">
        <v>25800000</v>
      </c>
      <c r="F189" s="39">
        <v>44137</v>
      </c>
      <c r="G189" s="24">
        <v>21427120</v>
      </c>
      <c r="H189" s="23">
        <v>5.0000000000000001E-3</v>
      </c>
      <c r="I189" s="39">
        <v>44440</v>
      </c>
      <c r="J189" s="39">
        <v>44453</v>
      </c>
      <c r="K189" s="24">
        <v>14</v>
      </c>
      <c r="L189" s="24">
        <v>4109</v>
      </c>
      <c r="M189" s="24">
        <v>20989832</v>
      </c>
      <c r="N189" s="39">
        <v>45962</v>
      </c>
    </row>
    <row r="190" spans="1:14" s="5" customFormat="1" outlineLevel="2">
      <c r="A190" s="39" t="s">
        <v>108</v>
      </c>
      <c r="B190" s="40" t="s">
        <v>43</v>
      </c>
      <c r="C190" s="41" t="s">
        <v>27</v>
      </c>
      <c r="D190" s="40"/>
      <c r="E190" s="24"/>
      <c r="F190" s="39"/>
      <c r="G190" s="24">
        <v>20989832</v>
      </c>
      <c r="H190" s="23">
        <v>5.0000000000000001E-3</v>
      </c>
      <c r="I190" s="39">
        <v>44454</v>
      </c>
      <c r="J190" s="39">
        <v>44469</v>
      </c>
      <c r="K190" s="24">
        <v>16</v>
      </c>
      <c r="L190" s="24">
        <v>4601</v>
      </c>
      <c r="M190" s="24"/>
      <c r="N190" s="39">
        <v>45962</v>
      </c>
    </row>
    <row r="191" spans="1:14" s="5" customFormat="1" outlineLevel="2">
      <c r="A191" s="39" t="s">
        <v>108</v>
      </c>
      <c r="B191" s="40" t="s">
        <v>44</v>
      </c>
      <c r="C191" s="41" t="s">
        <v>115</v>
      </c>
      <c r="D191" s="40" t="s">
        <v>116</v>
      </c>
      <c r="E191" s="24">
        <v>1200000</v>
      </c>
      <c r="F191" s="39">
        <v>44138</v>
      </c>
      <c r="G191" s="24">
        <v>1200000</v>
      </c>
      <c r="H191" s="23">
        <v>5.0000000000000001E-3</v>
      </c>
      <c r="I191" s="39">
        <v>44440</v>
      </c>
      <c r="J191" s="39">
        <v>44469</v>
      </c>
      <c r="K191" s="24">
        <v>30</v>
      </c>
      <c r="L191" s="24">
        <v>493</v>
      </c>
      <c r="M191" s="24">
        <v>1200000</v>
      </c>
      <c r="N191" s="39">
        <v>45963</v>
      </c>
    </row>
    <row r="192" spans="1:14" s="5" customFormat="1" outlineLevel="2">
      <c r="A192" s="39" t="s">
        <v>108</v>
      </c>
      <c r="B192" s="40" t="s">
        <v>47</v>
      </c>
      <c r="C192" s="41" t="s">
        <v>115</v>
      </c>
      <c r="D192" s="40" t="s">
        <v>116</v>
      </c>
      <c r="E192" s="24">
        <v>2350000</v>
      </c>
      <c r="F192" s="39">
        <v>44138</v>
      </c>
      <c r="G192" s="24">
        <v>2350000</v>
      </c>
      <c r="H192" s="23">
        <v>5.0000000000000001E-3</v>
      </c>
      <c r="I192" s="39">
        <v>44440</v>
      </c>
      <c r="J192" s="39">
        <v>44469</v>
      </c>
      <c r="K192" s="24">
        <v>30</v>
      </c>
      <c r="L192" s="24">
        <v>966</v>
      </c>
      <c r="M192" s="24">
        <v>2350000</v>
      </c>
      <c r="N192" s="39">
        <v>45963</v>
      </c>
    </row>
    <row r="193" spans="1:14" s="5" customFormat="1" outlineLevel="2">
      <c r="A193" s="39" t="s">
        <v>108</v>
      </c>
      <c r="B193" s="40" t="s">
        <v>50</v>
      </c>
      <c r="C193" s="41" t="s">
        <v>113</v>
      </c>
      <c r="D193" s="40" t="s">
        <v>114</v>
      </c>
      <c r="E193" s="24">
        <v>23200000</v>
      </c>
      <c r="F193" s="39">
        <v>44151</v>
      </c>
      <c r="G193" s="24">
        <v>21384349</v>
      </c>
      <c r="H193" s="23">
        <v>5.0000000000000001E-3</v>
      </c>
      <c r="I193" s="39">
        <v>44440</v>
      </c>
      <c r="J193" s="39">
        <v>44453</v>
      </c>
      <c r="K193" s="24">
        <v>14</v>
      </c>
      <c r="L193" s="24">
        <v>4101</v>
      </c>
      <c r="M193" s="24">
        <v>21182610</v>
      </c>
      <c r="N193" s="39">
        <v>45976</v>
      </c>
    </row>
    <row r="194" spans="1:14" s="5" customFormat="1" outlineLevel="2">
      <c r="A194" s="39" t="s">
        <v>108</v>
      </c>
      <c r="B194" s="40" t="s">
        <v>50</v>
      </c>
      <c r="C194" s="41" t="s">
        <v>113</v>
      </c>
      <c r="D194" s="40"/>
      <c r="E194" s="24"/>
      <c r="F194" s="39"/>
      <c r="G194" s="24">
        <v>21182610</v>
      </c>
      <c r="H194" s="23">
        <v>5.0000000000000001E-3</v>
      </c>
      <c r="I194" s="39">
        <v>44454</v>
      </c>
      <c r="J194" s="39">
        <v>44469</v>
      </c>
      <c r="K194" s="24">
        <v>16</v>
      </c>
      <c r="L194" s="24">
        <v>4643</v>
      </c>
      <c r="M194" s="24"/>
      <c r="N194" s="39">
        <v>45976</v>
      </c>
    </row>
    <row r="195" spans="1:14" s="5" customFormat="1" outlineLevel="2">
      <c r="A195" s="39" t="s">
        <v>108</v>
      </c>
      <c r="B195" s="40" t="s">
        <v>51</v>
      </c>
      <c r="C195" s="41" t="s">
        <v>111</v>
      </c>
      <c r="D195" s="40" t="s">
        <v>112</v>
      </c>
      <c r="E195" s="24">
        <v>5910000</v>
      </c>
      <c r="F195" s="39">
        <v>44151</v>
      </c>
      <c r="G195" s="24">
        <v>5910000</v>
      </c>
      <c r="H195" s="23">
        <v>5.0000000000000001E-3</v>
      </c>
      <c r="I195" s="39">
        <v>44440</v>
      </c>
      <c r="J195" s="39">
        <v>44469</v>
      </c>
      <c r="K195" s="24">
        <v>30</v>
      </c>
      <c r="L195" s="24">
        <v>2429</v>
      </c>
      <c r="M195" s="24">
        <v>5910000</v>
      </c>
      <c r="N195" s="39">
        <v>45976</v>
      </c>
    </row>
    <row r="196" spans="1:14" s="5" customFormat="1" outlineLevel="2">
      <c r="A196" s="39" t="s">
        <v>108</v>
      </c>
      <c r="B196" s="40" t="s">
        <v>52</v>
      </c>
      <c r="C196" s="41" t="s">
        <v>117</v>
      </c>
      <c r="D196" s="40" t="s">
        <v>118</v>
      </c>
      <c r="E196" s="24">
        <v>26000000</v>
      </c>
      <c r="F196" s="39">
        <v>44162</v>
      </c>
      <c r="G196" s="24">
        <v>23929208</v>
      </c>
      <c r="H196" s="23">
        <v>5.0000000000000001E-3</v>
      </c>
      <c r="I196" s="39">
        <v>44440</v>
      </c>
      <c r="J196" s="39">
        <v>44453</v>
      </c>
      <c r="K196" s="24">
        <v>14</v>
      </c>
      <c r="L196" s="24">
        <v>4589</v>
      </c>
      <c r="M196" s="24">
        <v>23699120</v>
      </c>
      <c r="N196" s="39">
        <v>45987</v>
      </c>
    </row>
    <row r="197" spans="1:14" s="5" customFormat="1" outlineLevel="2">
      <c r="A197" s="39" t="s">
        <v>108</v>
      </c>
      <c r="B197" s="40" t="s">
        <v>52</v>
      </c>
      <c r="C197" s="41" t="s">
        <v>117</v>
      </c>
      <c r="D197" s="40"/>
      <c r="E197" s="24"/>
      <c r="F197" s="39"/>
      <c r="G197" s="24">
        <v>23699120</v>
      </c>
      <c r="H197" s="23">
        <v>5.0000000000000001E-3</v>
      </c>
      <c r="I197" s="39">
        <v>44454</v>
      </c>
      <c r="J197" s="39">
        <v>44469</v>
      </c>
      <c r="K197" s="24">
        <v>16</v>
      </c>
      <c r="L197" s="24">
        <v>5194</v>
      </c>
      <c r="M197" s="24"/>
      <c r="N197" s="39">
        <v>45987</v>
      </c>
    </row>
    <row r="198" spans="1:14" s="5" customFormat="1" outlineLevel="2">
      <c r="A198" s="39" t="s">
        <v>108</v>
      </c>
      <c r="B198" s="40" t="s">
        <v>53</v>
      </c>
      <c r="C198" s="41" t="s">
        <v>27</v>
      </c>
      <c r="D198" s="40" t="s">
        <v>28</v>
      </c>
      <c r="E198" s="24">
        <v>9280000</v>
      </c>
      <c r="F198" s="39">
        <v>44167</v>
      </c>
      <c r="G198" s="24">
        <v>7840000</v>
      </c>
      <c r="H198" s="23">
        <v>5.0000000000000001E-3</v>
      </c>
      <c r="I198" s="39">
        <v>44440</v>
      </c>
      <c r="J198" s="39">
        <v>44453</v>
      </c>
      <c r="K198" s="24">
        <v>14</v>
      </c>
      <c r="L198" s="24">
        <v>1504</v>
      </c>
      <c r="M198" s="24">
        <v>7680000</v>
      </c>
      <c r="N198" s="39">
        <v>45992</v>
      </c>
    </row>
    <row r="199" spans="1:14" s="5" customFormat="1" outlineLevel="2">
      <c r="A199" s="39" t="s">
        <v>108</v>
      </c>
      <c r="B199" s="40" t="s">
        <v>53</v>
      </c>
      <c r="C199" s="41" t="s">
        <v>27</v>
      </c>
      <c r="D199" s="40"/>
      <c r="E199" s="24"/>
      <c r="F199" s="39"/>
      <c r="G199" s="24">
        <v>7680000</v>
      </c>
      <c r="H199" s="23">
        <v>5.0000000000000001E-3</v>
      </c>
      <c r="I199" s="39">
        <v>44454</v>
      </c>
      <c r="J199" s="39">
        <v>44469</v>
      </c>
      <c r="K199" s="24">
        <v>16</v>
      </c>
      <c r="L199" s="24">
        <v>1683</v>
      </c>
      <c r="M199" s="24"/>
      <c r="N199" s="39">
        <v>45992</v>
      </c>
    </row>
    <row r="200" spans="1:14" s="5" customFormat="1" outlineLevel="2">
      <c r="A200" s="39" t="s">
        <v>108</v>
      </c>
      <c r="B200" s="40" t="s">
        <v>54</v>
      </c>
      <c r="C200" s="41" t="s">
        <v>111</v>
      </c>
      <c r="D200" s="40" t="s">
        <v>112</v>
      </c>
      <c r="E200" s="24">
        <v>23630000</v>
      </c>
      <c r="F200" s="39">
        <v>43936</v>
      </c>
      <c r="G200" s="24">
        <v>23630000</v>
      </c>
      <c r="H200" s="23">
        <v>5.0000000000000001E-3</v>
      </c>
      <c r="I200" s="39">
        <v>44440</v>
      </c>
      <c r="J200" s="39">
        <v>44469</v>
      </c>
      <c r="K200" s="24">
        <v>30</v>
      </c>
      <c r="L200" s="24">
        <v>9711</v>
      </c>
      <c r="M200" s="24">
        <v>23630000</v>
      </c>
      <c r="N200" s="39">
        <v>45761</v>
      </c>
    </row>
    <row r="201" spans="1:14" s="5" customFormat="1" outlineLevel="2">
      <c r="A201" s="39" t="s">
        <v>108</v>
      </c>
      <c r="B201" s="40" t="s">
        <v>57</v>
      </c>
      <c r="C201" s="41" t="s">
        <v>27</v>
      </c>
      <c r="D201" s="40" t="s">
        <v>28</v>
      </c>
      <c r="E201" s="24">
        <v>10470000</v>
      </c>
      <c r="F201" s="39">
        <v>44181</v>
      </c>
      <c r="G201" s="24">
        <v>9000528</v>
      </c>
      <c r="H201" s="23">
        <v>5.0000000000000001E-3</v>
      </c>
      <c r="I201" s="39">
        <v>44440</v>
      </c>
      <c r="J201" s="39">
        <v>44453</v>
      </c>
      <c r="K201" s="24">
        <v>14</v>
      </c>
      <c r="L201" s="24">
        <v>1726</v>
      </c>
      <c r="M201" s="24">
        <v>8816844</v>
      </c>
      <c r="N201" s="39">
        <v>46006</v>
      </c>
    </row>
    <row r="202" spans="1:14" s="5" customFormat="1" outlineLevel="2">
      <c r="A202" s="39" t="s">
        <v>108</v>
      </c>
      <c r="B202" s="40" t="s">
        <v>57</v>
      </c>
      <c r="C202" s="41" t="s">
        <v>27</v>
      </c>
      <c r="D202" s="40"/>
      <c r="E202" s="24"/>
      <c r="F202" s="39"/>
      <c r="G202" s="24">
        <v>8816844</v>
      </c>
      <c r="H202" s="23">
        <v>5.0000000000000001E-3</v>
      </c>
      <c r="I202" s="39">
        <v>44454</v>
      </c>
      <c r="J202" s="39">
        <v>44469</v>
      </c>
      <c r="K202" s="24">
        <v>16</v>
      </c>
      <c r="L202" s="24">
        <v>1932</v>
      </c>
      <c r="M202" s="24"/>
      <c r="N202" s="39">
        <v>46006</v>
      </c>
    </row>
    <row r="203" spans="1:14" s="5" customFormat="1" outlineLevel="2">
      <c r="A203" s="39" t="s">
        <v>108</v>
      </c>
      <c r="B203" s="40" t="s">
        <v>58</v>
      </c>
      <c r="C203" s="41" t="s">
        <v>111</v>
      </c>
      <c r="D203" s="40" t="s">
        <v>112</v>
      </c>
      <c r="E203" s="24">
        <v>2950000</v>
      </c>
      <c r="F203" s="39">
        <v>44180</v>
      </c>
      <c r="G203" s="24">
        <v>2950000</v>
      </c>
      <c r="H203" s="23">
        <v>5.0000000000000001E-3</v>
      </c>
      <c r="I203" s="39">
        <v>44440</v>
      </c>
      <c r="J203" s="39">
        <v>44469</v>
      </c>
      <c r="K203" s="24">
        <v>30</v>
      </c>
      <c r="L203" s="24">
        <v>1212</v>
      </c>
      <c r="M203" s="24">
        <v>2950000</v>
      </c>
      <c r="N203" s="39">
        <v>46005</v>
      </c>
    </row>
    <row r="204" spans="1:14" s="5" customFormat="1" outlineLevel="2">
      <c r="A204" s="39" t="s">
        <v>108</v>
      </c>
      <c r="B204" s="40" t="s">
        <v>99</v>
      </c>
      <c r="C204" s="41" t="s">
        <v>115</v>
      </c>
      <c r="D204" s="40" t="s">
        <v>116</v>
      </c>
      <c r="E204" s="24">
        <v>24400000</v>
      </c>
      <c r="F204" s="39">
        <v>44193</v>
      </c>
      <c r="G204" s="24">
        <v>24400000</v>
      </c>
      <c r="H204" s="23">
        <v>5.0000000000000001E-3</v>
      </c>
      <c r="I204" s="39">
        <v>44440</v>
      </c>
      <c r="J204" s="39">
        <v>44469</v>
      </c>
      <c r="K204" s="24">
        <v>30</v>
      </c>
      <c r="L204" s="24">
        <v>10027</v>
      </c>
      <c r="M204" s="24">
        <v>24400000</v>
      </c>
      <c r="N204" s="39">
        <v>46018</v>
      </c>
    </row>
    <row r="205" spans="1:14" s="5" customFormat="1" outlineLevel="2">
      <c r="A205" s="39" t="s">
        <v>108</v>
      </c>
      <c r="B205" s="40" t="s">
        <v>100</v>
      </c>
      <c r="C205" s="41" t="s">
        <v>115</v>
      </c>
      <c r="D205" s="40" t="s">
        <v>116</v>
      </c>
      <c r="E205" s="24">
        <v>5500000</v>
      </c>
      <c r="F205" s="39">
        <v>44193</v>
      </c>
      <c r="G205" s="24">
        <v>5500000</v>
      </c>
      <c r="H205" s="23">
        <v>5.0000000000000001E-3</v>
      </c>
      <c r="I205" s="39">
        <v>44440</v>
      </c>
      <c r="J205" s="39">
        <v>44469</v>
      </c>
      <c r="K205" s="24">
        <v>30</v>
      </c>
      <c r="L205" s="24">
        <v>2260</v>
      </c>
      <c r="M205" s="24">
        <v>5500000</v>
      </c>
      <c r="N205" s="39">
        <v>46018</v>
      </c>
    </row>
    <row r="206" spans="1:14" s="5" customFormat="1" outlineLevel="2">
      <c r="A206" s="39" t="s">
        <v>108</v>
      </c>
      <c r="B206" s="40" t="s">
        <v>101</v>
      </c>
      <c r="C206" s="41" t="s">
        <v>115</v>
      </c>
      <c r="D206" s="40" t="s">
        <v>116</v>
      </c>
      <c r="E206" s="24">
        <v>28050000</v>
      </c>
      <c r="F206" s="39">
        <v>44193</v>
      </c>
      <c r="G206" s="24">
        <v>28050000</v>
      </c>
      <c r="H206" s="23">
        <v>5.0000000000000001E-3</v>
      </c>
      <c r="I206" s="39">
        <v>44440</v>
      </c>
      <c r="J206" s="39">
        <v>44469</v>
      </c>
      <c r="K206" s="24">
        <v>30</v>
      </c>
      <c r="L206" s="24">
        <v>11527</v>
      </c>
      <c r="M206" s="24">
        <v>28050000</v>
      </c>
      <c r="N206" s="39">
        <v>46018</v>
      </c>
    </row>
    <row r="207" spans="1:14" s="5" customFormat="1" outlineLevel="2">
      <c r="A207" s="39" t="s">
        <v>108</v>
      </c>
      <c r="B207" s="40" t="s">
        <v>102</v>
      </c>
      <c r="C207" s="41" t="s">
        <v>115</v>
      </c>
      <c r="D207" s="40" t="s">
        <v>116</v>
      </c>
      <c r="E207" s="24">
        <v>5000000</v>
      </c>
      <c r="F207" s="39">
        <v>44193</v>
      </c>
      <c r="G207" s="24">
        <v>5000000</v>
      </c>
      <c r="H207" s="23">
        <v>5.0000000000000001E-3</v>
      </c>
      <c r="I207" s="39">
        <v>44440</v>
      </c>
      <c r="J207" s="39">
        <v>44469</v>
      </c>
      <c r="K207" s="24">
        <v>30</v>
      </c>
      <c r="L207" s="24">
        <v>2055</v>
      </c>
      <c r="M207" s="24">
        <v>5000000</v>
      </c>
      <c r="N207" s="39">
        <v>46018</v>
      </c>
    </row>
    <row r="208" spans="1:14" s="5" customFormat="1" outlineLevel="2">
      <c r="A208" s="39" t="s">
        <v>108</v>
      </c>
      <c r="B208" s="40" t="s">
        <v>103</v>
      </c>
      <c r="C208" s="41" t="s">
        <v>111</v>
      </c>
      <c r="D208" s="40" t="s">
        <v>112</v>
      </c>
      <c r="E208" s="24">
        <v>4920000</v>
      </c>
      <c r="F208" s="39">
        <v>44211</v>
      </c>
      <c r="G208" s="24">
        <v>4920000</v>
      </c>
      <c r="H208" s="23">
        <v>5.0000000000000001E-3</v>
      </c>
      <c r="I208" s="39">
        <v>44440</v>
      </c>
      <c r="J208" s="39">
        <v>44469</v>
      </c>
      <c r="K208" s="24">
        <v>30</v>
      </c>
      <c r="L208" s="24">
        <v>2022</v>
      </c>
      <c r="M208" s="24">
        <v>4920000</v>
      </c>
      <c r="N208" s="39">
        <v>46036</v>
      </c>
    </row>
    <row r="209" spans="1:14" s="5" customFormat="1" outlineLevel="2">
      <c r="A209" s="39" t="s">
        <v>108</v>
      </c>
      <c r="B209" s="40" t="s">
        <v>104</v>
      </c>
      <c r="C209" s="41" t="s">
        <v>115</v>
      </c>
      <c r="D209" s="40" t="s">
        <v>116</v>
      </c>
      <c r="E209" s="24">
        <v>7300000</v>
      </c>
      <c r="F209" s="39">
        <v>44224</v>
      </c>
      <c r="G209" s="24">
        <v>7300000</v>
      </c>
      <c r="H209" s="23">
        <v>5.0000000000000001E-3</v>
      </c>
      <c r="I209" s="39">
        <v>44440</v>
      </c>
      <c r="J209" s="39">
        <v>44469</v>
      </c>
      <c r="K209" s="24">
        <v>30</v>
      </c>
      <c r="L209" s="24">
        <v>3000</v>
      </c>
      <c r="M209" s="24">
        <v>7300000</v>
      </c>
      <c r="N209" s="39">
        <v>46049</v>
      </c>
    </row>
    <row r="210" spans="1:14" s="5" customFormat="1" outlineLevel="2">
      <c r="A210" s="39" t="s">
        <v>108</v>
      </c>
      <c r="B210" s="40" t="s">
        <v>105</v>
      </c>
      <c r="C210" s="41" t="s">
        <v>115</v>
      </c>
      <c r="D210" s="40" t="s">
        <v>116</v>
      </c>
      <c r="E210" s="24">
        <v>15000000</v>
      </c>
      <c r="F210" s="39">
        <v>44224</v>
      </c>
      <c r="G210" s="24">
        <v>15000000</v>
      </c>
      <c r="H210" s="23">
        <v>5.0000000000000001E-3</v>
      </c>
      <c r="I210" s="39">
        <v>44440</v>
      </c>
      <c r="J210" s="39">
        <v>44469</v>
      </c>
      <c r="K210" s="24">
        <v>30</v>
      </c>
      <c r="L210" s="24">
        <v>6164</v>
      </c>
      <c r="M210" s="24">
        <v>15000000</v>
      </c>
      <c r="N210" s="39">
        <v>46049</v>
      </c>
    </row>
    <row r="211" spans="1:14" s="5" customFormat="1" outlineLevel="2">
      <c r="A211" s="39" t="s">
        <v>108</v>
      </c>
      <c r="B211" s="40" t="s">
        <v>106</v>
      </c>
      <c r="C211" s="41" t="s">
        <v>113</v>
      </c>
      <c r="D211" s="40" t="s">
        <v>114</v>
      </c>
      <c r="E211" s="24">
        <v>23200000</v>
      </c>
      <c r="F211" s="39">
        <v>44229</v>
      </c>
      <c r="G211" s="24">
        <v>21762837</v>
      </c>
      <c r="H211" s="23">
        <v>5.0000000000000001E-3</v>
      </c>
      <c r="I211" s="39">
        <v>44440</v>
      </c>
      <c r="J211" s="39">
        <v>44453</v>
      </c>
      <c r="K211" s="24">
        <v>14</v>
      </c>
      <c r="L211" s="24">
        <v>4174</v>
      </c>
      <c r="M211" s="24">
        <v>21557528</v>
      </c>
      <c r="N211" s="39">
        <v>46054</v>
      </c>
    </row>
    <row r="212" spans="1:14" s="5" customFormat="1" outlineLevel="2">
      <c r="A212" s="39" t="s">
        <v>108</v>
      </c>
      <c r="B212" s="40" t="s">
        <v>106</v>
      </c>
      <c r="C212" s="41" t="s">
        <v>113</v>
      </c>
      <c r="D212" s="40"/>
      <c r="E212" s="24"/>
      <c r="F212" s="39"/>
      <c r="G212" s="24">
        <v>21557528</v>
      </c>
      <c r="H212" s="23">
        <v>5.0000000000000001E-3</v>
      </c>
      <c r="I212" s="39">
        <v>44454</v>
      </c>
      <c r="J212" s="39">
        <v>44469</v>
      </c>
      <c r="K212" s="24">
        <v>16</v>
      </c>
      <c r="L212" s="24">
        <v>4725</v>
      </c>
      <c r="M212" s="24"/>
      <c r="N212" s="39">
        <v>46054</v>
      </c>
    </row>
    <row r="213" spans="1:14" s="5" customFormat="1" outlineLevel="2">
      <c r="A213" s="39" t="s">
        <v>108</v>
      </c>
      <c r="B213" s="40" t="s">
        <v>59</v>
      </c>
      <c r="C213" s="41" t="s">
        <v>117</v>
      </c>
      <c r="D213" s="40" t="s">
        <v>118</v>
      </c>
      <c r="E213" s="24">
        <v>24000000</v>
      </c>
      <c r="F213" s="39">
        <v>43937</v>
      </c>
      <c r="G213" s="24">
        <v>20800000</v>
      </c>
      <c r="H213" s="23">
        <v>5.0000000000000001E-3</v>
      </c>
      <c r="I213" s="39">
        <v>44440</v>
      </c>
      <c r="J213" s="39">
        <v>44453</v>
      </c>
      <c r="K213" s="24">
        <v>14</v>
      </c>
      <c r="L213" s="24">
        <v>3989</v>
      </c>
      <c r="M213" s="24">
        <v>20600000</v>
      </c>
      <c r="N213" s="39">
        <v>45762</v>
      </c>
    </row>
    <row r="214" spans="1:14" s="5" customFormat="1" outlineLevel="2">
      <c r="A214" s="39" t="s">
        <v>108</v>
      </c>
      <c r="B214" s="40" t="s">
        <v>59</v>
      </c>
      <c r="C214" s="41" t="s">
        <v>117</v>
      </c>
      <c r="D214" s="40"/>
      <c r="E214" s="24"/>
      <c r="F214" s="39"/>
      <c r="G214" s="24">
        <v>20600000</v>
      </c>
      <c r="H214" s="23">
        <v>5.0000000000000001E-3</v>
      </c>
      <c r="I214" s="39">
        <v>44454</v>
      </c>
      <c r="J214" s="39">
        <v>44469</v>
      </c>
      <c r="K214" s="24">
        <v>16</v>
      </c>
      <c r="L214" s="24">
        <v>4515</v>
      </c>
      <c r="M214" s="24"/>
      <c r="N214" s="39">
        <v>45762</v>
      </c>
    </row>
    <row r="215" spans="1:14" s="5" customFormat="1" outlineLevel="2">
      <c r="A215" s="39" t="s">
        <v>108</v>
      </c>
      <c r="B215" s="40" t="s">
        <v>136</v>
      </c>
      <c r="C215" s="41" t="s">
        <v>111</v>
      </c>
      <c r="D215" s="40" t="s">
        <v>112</v>
      </c>
      <c r="E215" s="24">
        <v>3410000</v>
      </c>
      <c r="F215" s="39">
        <v>44270</v>
      </c>
      <c r="G215" s="24">
        <v>3410000</v>
      </c>
      <c r="H215" s="23">
        <v>5.0000000000000001E-3</v>
      </c>
      <c r="I215" s="39">
        <v>44440</v>
      </c>
      <c r="J215" s="39">
        <v>44469</v>
      </c>
      <c r="K215" s="24">
        <v>30</v>
      </c>
      <c r="L215" s="24">
        <v>1401</v>
      </c>
      <c r="M215" s="24">
        <v>3410000</v>
      </c>
      <c r="N215" s="39">
        <v>46095</v>
      </c>
    </row>
    <row r="216" spans="1:14" s="5" customFormat="1" outlineLevel="2">
      <c r="A216" s="39" t="s">
        <v>108</v>
      </c>
      <c r="B216" s="40" t="s">
        <v>137</v>
      </c>
      <c r="C216" s="41" t="s">
        <v>117</v>
      </c>
      <c r="D216" s="40" t="s">
        <v>118</v>
      </c>
      <c r="E216" s="24">
        <v>10000000</v>
      </c>
      <c r="F216" s="39">
        <v>44277</v>
      </c>
      <c r="G216" s="24">
        <v>9541285</v>
      </c>
      <c r="H216" s="23">
        <v>5.0000000000000001E-3</v>
      </c>
      <c r="I216" s="39">
        <v>44440</v>
      </c>
      <c r="J216" s="39">
        <v>44453</v>
      </c>
      <c r="K216" s="24">
        <v>14</v>
      </c>
      <c r="L216" s="24">
        <v>1830</v>
      </c>
      <c r="M216" s="24">
        <v>9449542</v>
      </c>
      <c r="N216" s="39">
        <v>46102</v>
      </c>
    </row>
    <row r="217" spans="1:14" s="5" customFormat="1" outlineLevel="2">
      <c r="A217" s="39" t="s">
        <v>108</v>
      </c>
      <c r="B217" s="40" t="s">
        <v>137</v>
      </c>
      <c r="C217" s="41" t="s">
        <v>117</v>
      </c>
      <c r="D217" s="40"/>
      <c r="E217" s="24"/>
      <c r="F217" s="39"/>
      <c r="G217" s="24">
        <v>9449542</v>
      </c>
      <c r="H217" s="23">
        <v>5.0000000000000001E-3</v>
      </c>
      <c r="I217" s="39">
        <v>44454</v>
      </c>
      <c r="J217" s="39">
        <v>44469</v>
      </c>
      <c r="K217" s="24">
        <v>16</v>
      </c>
      <c r="L217" s="24">
        <v>2071</v>
      </c>
      <c r="M217" s="24"/>
      <c r="N217" s="39">
        <v>46102</v>
      </c>
    </row>
    <row r="218" spans="1:14" s="5" customFormat="1" outlineLevel="2">
      <c r="A218" s="39" t="s">
        <v>108</v>
      </c>
      <c r="B218" s="40" t="s">
        <v>138</v>
      </c>
      <c r="C218" s="41" t="s">
        <v>123</v>
      </c>
      <c r="D218" s="40" t="s">
        <v>124</v>
      </c>
      <c r="E218" s="24">
        <v>51000000</v>
      </c>
      <c r="F218" s="39">
        <v>44294</v>
      </c>
      <c r="G218" s="24">
        <v>51000000</v>
      </c>
      <c r="H218" s="23">
        <v>5.0000000000000001E-3</v>
      </c>
      <c r="I218" s="39">
        <v>44440</v>
      </c>
      <c r="J218" s="39">
        <v>44469</v>
      </c>
      <c r="K218" s="24">
        <v>30</v>
      </c>
      <c r="L218" s="24">
        <v>20959</v>
      </c>
      <c r="M218" s="24">
        <v>51000000</v>
      </c>
      <c r="N218" s="39">
        <v>46119</v>
      </c>
    </row>
    <row r="219" spans="1:14" s="5" customFormat="1" outlineLevel="2">
      <c r="A219" s="39" t="s">
        <v>108</v>
      </c>
      <c r="B219" s="40" t="s">
        <v>139</v>
      </c>
      <c r="C219" s="41" t="s">
        <v>115</v>
      </c>
      <c r="D219" s="40" t="s">
        <v>116</v>
      </c>
      <c r="E219" s="24">
        <v>12000000</v>
      </c>
      <c r="F219" s="39">
        <v>44321</v>
      </c>
      <c r="G219" s="24">
        <v>12000000</v>
      </c>
      <c r="H219" s="23">
        <v>5.0000000000000001E-3</v>
      </c>
      <c r="I219" s="39">
        <v>44440</v>
      </c>
      <c r="J219" s="39">
        <v>44469</v>
      </c>
      <c r="K219" s="24">
        <v>30</v>
      </c>
      <c r="L219" s="24">
        <v>4932</v>
      </c>
      <c r="M219" s="24">
        <v>12000000</v>
      </c>
      <c r="N219" s="39">
        <v>46146</v>
      </c>
    </row>
    <row r="220" spans="1:14" s="5" customFormat="1" outlineLevel="2">
      <c r="A220" s="39" t="s">
        <v>108</v>
      </c>
      <c r="B220" s="40" t="s">
        <v>140</v>
      </c>
      <c r="C220" s="41" t="s">
        <v>115</v>
      </c>
      <c r="D220" s="40" t="s">
        <v>116</v>
      </c>
      <c r="E220" s="24">
        <v>21000000</v>
      </c>
      <c r="F220" s="39">
        <v>44330</v>
      </c>
      <c r="G220" s="24">
        <v>21000000</v>
      </c>
      <c r="H220" s="23">
        <v>5.0000000000000001E-3</v>
      </c>
      <c r="I220" s="39">
        <v>44440</v>
      </c>
      <c r="J220" s="39">
        <v>44469</v>
      </c>
      <c r="K220" s="24">
        <v>30</v>
      </c>
      <c r="L220" s="24">
        <v>8630</v>
      </c>
      <c r="M220" s="24">
        <v>21000000</v>
      </c>
      <c r="N220" s="39">
        <v>46155</v>
      </c>
    </row>
    <row r="221" spans="1:14" s="5" customFormat="1" outlineLevel="2">
      <c r="A221" s="39" t="s">
        <v>108</v>
      </c>
      <c r="B221" s="40" t="s">
        <v>169</v>
      </c>
      <c r="C221" s="41" t="s">
        <v>79</v>
      </c>
      <c r="D221" s="40" t="s">
        <v>80</v>
      </c>
      <c r="E221" s="24">
        <v>39150000</v>
      </c>
      <c r="F221" s="39">
        <v>44336</v>
      </c>
      <c r="G221" s="24">
        <v>39150000</v>
      </c>
      <c r="H221" s="23">
        <v>5.0000000000000001E-3</v>
      </c>
      <c r="I221" s="39">
        <v>44440</v>
      </c>
      <c r="J221" s="39">
        <v>44469</v>
      </c>
      <c r="K221" s="24">
        <v>30</v>
      </c>
      <c r="L221" s="24">
        <v>16089</v>
      </c>
      <c r="M221" s="24">
        <v>39150000</v>
      </c>
      <c r="N221" s="39">
        <v>46161</v>
      </c>
    </row>
    <row r="222" spans="1:14" s="5" customFormat="1" outlineLevel="2">
      <c r="A222" s="39" t="s">
        <v>108</v>
      </c>
      <c r="B222" s="40" t="s">
        <v>170</v>
      </c>
      <c r="C222" s="41" t="s">
        <v>123</v>
      </c>
      <c r="D222" s="40" t="s">
        <v>124</v>
      </c>
      <c r="E222" s="24">
        <v>92500000</v>
      </c>
      <c r="F222" s="39">
        <v>44341</v>
      </c>
      <c r="G222" s="24">
        <v>92500000</v>
      </c>
      <c r="H222" s="23">
        <v>5.0000000000000001E-3</v>
      </c>
      <c r="I222" s="39">
        <v>44440</v>
      </c>
      <c r="J222" s="39">
        <v>44469</v>
      </c>
      <c r="K222" s="24">
        <v>30</v>
      </c>
      <c r="L222" s="24">
        <v>38014</v>
      </c>
      <c r="M222" s="24">
        <v>92500000</v>
      </c>
      <c r="N222" s="39">
        <v>46166</v>
      </c>
    </row>
    <row r="223" spans="1:14" s="5" customFormat="1" outlineLevel="2">
      <c r="A223" s="39" t="s">
        <v>108</v>
      </c>
      <c r="B223" s="40" t="s">
        <v>171</v>
      </c>
      <c r="C223" s="41" t="s">
        <v>123</v>
      </c>
      <c r="D223" s="40" t="s">
        <v>124</v>
      </c>
      <c r="E223" s="24">
        <v>33500000</v>
      </c>
      <c r="F223" s="39">
        <v>44354</v>
      </c>
      <c r="G223" s="24">
        <v>33500000</v>
      </c>
      <c r="H223" s="23">
        <v>5.0000000000000001E-3</v>
      </c>
      <c r="I223" s="39">
        <v>44440</v>
      </c>
      <c r="J223" s="39">
        <v>44469</v>
      </c>
      <c r="K223" s="24">
        <v>30</v>
      </c>
      <c r="L223" s="24">
        <v>13767</v>
      </c>
      <c r="M223" s="24">
        <v>33500000</v>
      </c>
      <c r="N223" s="39">
        <v>46179</v>
      </c>
    </row>
    <row r="224" spans="1:14" s="5" customFormat="1" outlineLevel="2">
      <c r="A224" s="39" t="s">
        <v>108</v>
      </c>
      <c r="B224" s="40" t="s">
        <v>172</v>
      </c>
      <c r="C224" s="41" t="s">
        <v>111</v>
      </c>
      <c r="D224" s="40" t="s">
        <v>112</v>
      </c>
      <c r="E224" s="24">
        <v>810000</v>
      </c>
      <c r="F224" s="39">
        <v>44362</v>
      </c>
      <c r="G224" s="24">
        <v>810000</v>
      </c>
      <c r="H224" s="23">
        <v>5.0000000000000001E-3</v>
      </c>
      <c r="I224" s="39">
        <v>44440</v>
      </c>
      <c r="J224" s="39">
        <v>44469</v>
      </c>
      <c r="K224" s="24">
        <v>30</v>
      </c>
      <c r="L224" s="24">
        <v>333</v>
      </c>
      <c r="M224" s="24">
        <v>810000</v>
      </c>
      <c r="N224" s="39">
        <v>46187</v>
      </c>
    </row>
    <row r="225" spans="1:14" s="5" customFormat="1" outlineLevel="2">
      <c r="A225" s="39" t="s">
        <v>108</v>
      </c>
      <c r="B225" s="40" t="s">
        <v>173</v>
      </c>
      <c r="C225" s="41" t="s">
        <v>111</v>
      </c>
      <c r="D225" s="40" t="s">
        <v>112</v>
      </c>
      <c r="E225" s="24">
        <v>3800000</v>
      </c>
      <c r="F225" s="39">
        <v>44362</v>
      </c>
      <c r="G225" s="24">
        <v>3800000</v>
      </c>
      <c r="H225" s="23">
        <v>5.0000000000000001E-3</v>
      </c>
      <c r="I225" s="39">
        <v>44440</v>
      </c>
      <c r="J225" s="39">
        <v>44469</v>
      </c>
      <c r="K225" s="24">
        <v>30</v>
      </c>
      <c r="L225" s="24">
        <v>1562</v>
      </c>
      <c r="M225" s="24">
        <v>3800000</v>
      </c>
      <c r="N225" s="39">
        <v>46187</v>
      </c>
    </row>
    <row r="226" spans="1:14" s="5" customFormat="1" outlineLevel="2">
      <c r="A226" s="39" t="s">
        <v>108</v>
      </c>
      <c r="B226" s="40" t="s">
        <v>62</v>
      </c>
      <c r="C226" s="41" t="s">
        <v>113</v>
      </c>
      <c r="D226" s="40" t="s">
        <v>114</v>
      </c>
      <c r="E226" s="24">
        <v>28240000</v>
      </c>
      <c r="F226" s="39">
        <v>43951</v>
      </c>
      <c r="G226" s="24">
        <v>22860960</v>
      </c>
      <c r="H226" s="23">
        <v>5.0000000000000001E-3</v>
      </c>
      <c r="I226" s="39">
        <v>44440</v>
      </c>
      <c r="J226" s="39">
        <v>44453</v>
      </c>
      <c r="K226" s="24">
        <v>14</v>
      </c>
      <c r="L226" s="24">
        <v>4384</v>
      </c>
      <c r="M226" s="24">
        <v>22524770</v>
      </c>
      <c r="N226" s="39">
        <v>45776</v>
      </c>
    </row>
    <row r="227" spans="1:14" s="5" customFormat="1" outlineLevel="2">
      <c r="A227" s="39" t="s">
        <v>108</v>
      </c>
      <c r="B227" s="40" t="s">
        <v>62</v>
      </c>
      <c r="C227" s="41" t="s">
        <v>113</v>
      </c>
      <c r="D227" s="40"/>
      <c r="E227" s="24"/>
      <c r="F227" s="39"/>
      <c r="G227" s="24">
        <v>22524770</v>
      </c>
      <c r="H227" s="23">
        <v>5.0000000000000001E-3</v>
      </c>
      <c r="I227" s="39">
        <v>44454</v>
      </c>
      <c r="J227" s="39">
        <v>44469</v>
      </c>
      <c r="K227" s="24">
        <v>16</v>
      </c>
      <c r="L227" s="24">
        <v>4937</v>
      </c>
      <c r="M227" s="24"/>
      <c r="N227" s="39">
        <v>45776</v>
      </c>
    </row>
    <row r="228" spans="1:14" s="5" customFormat="1" outlineLevel="2">
      <c r="A228" s="39" t="s">
        <v>108</v>
      </c>
      <c r="B228" s="40" t="s">
        <v>174</v>
      </c>
      <c r="C228" s="41" t="s">
        <v>117</v>
      </c>
      <c r="D228" s="40" t="s">
        <v>118</v>
      </c>
      <c r="E228" s="24">
        <v>10000000</v>
      </c>
      <c r="F228" s="39">
        <v>44372</v>
      </c>
      <c r="G228" s="24">
        <v>9811322</v>
      </c>
      <c r="H228" s="23">
        <v>5.0000000000000001E-3</v>
      </c>
      <c r="I228" s="39">
        <v>44440</v>
      </c>
      <c r="J228" s="39">
        <v>44453</v>
      </c>
      <c r="K228" s="24">
        <v>14</v>
      </c>
      <c r="L228" s="24">
        <v>1882</v>
      </c>
      <c r="M228" s="24">
        <v>9716983</v>
      </c>
      <c r="N228" s="39">
        <v>46197</v>
      </c>
    </row>
    <row r="229" spans="1:14" s="5" customFormat="1" outlineLevel="2">
      <c r="A229" s="39" t="s">
        <v>108</v>
      </c>
      <c r="B229" s="40" t="s">
        <v>174</v>
      </c>
      <c r="C229" s="41" t="s">
        <v>117</v>
      </c>
      <c r="D229" s="40"/>
      <c r="E229" s="24"/>
      <c r="F229" s="39"/>
      <c r="G229" s="24">
        <v>9716983</v>
      </c>
      <c r="H229" s="23">
        <v>5.0000000000000001E-3</v>
      </c>
      <c r="I229" s="39">
        <v>44454</v>
      </c>
      <c r="J229" s="39">
        <v>44469</v>
      </c>
      <c r="K229" s="24">
        <v>16</v>
      </c>
      <c r="L229" s="24">
        <v>2130</v>
      </c>
      <c r="M229" s="24"/>
      <c r="N229" s="39">
        <v>46197</v>
      </c>
    </row>
    <row r="230" spans="1:14" s="5" customFormat="1" outlineLevel="2">
      <c r="A230" s="39" t="s">
        <v>108</v>
      </c>
      <c r="B230" s="40" t="s">
        <v>175</v>
      </c>
      <c r="C230" s="41" t="s">
        <v>123</v>
      </c>
      <c r="D230" s="40" t="s">
        <v>124</v>
      </c>
      <c r="E230" s="24">
        <v>41700000</v>
      </c>
      <c r="F230" s="39">
        <v>44379</v>
      </c>
      <c r="G230" s="24">
        <v>41700000</v>
      </c>
      <c r="H230" s="23">
        <v>5.0000000000000001E-3</v>
      </c>
      <c r="I230" s="39">
        <v>44440</v>
      </c>
      <c r="J230" s="39">
        <v>44469</v>
      </c>
      <c r="K230" s="24">
        <v>30</v>
      </c>
      <c r="L230" s="24">
        <v>17137</v>
      </c>
      <c r="M230" s="24">
        <v>41700000</v>
      </c>
      <c r="N230" s="39">
        <v>46204</v>
      </c>
    </row>
    <row r="231" spans="1:14" s="5" customFormat="1" outlineLevel="2">
      <c r="A231" s="39" t="s">
        <v>108</v>
      </c>
      <c r="B231" s="40" t="s">
        <v>176</v>
      </c>
      <c r="C231" s="41" t="s">
        <v>113</v>
      </c>
      <c r="D231" s="40" t="s">
        <v>114</v>
      </c>
      <c r="E231" s="24">
        <v>23200000</v>
      </c>
      <c r="F231" s="39">
        <v>44392</v>
      </c>
      <c r="G231" s="24">
        <v>22983178</v>
      </c>
      <c r="H231" s="23">
        <v>5.0000000000000001E-3</v>
      </c>
      <c r="I231" s="39">
        <v>44440</v>
      </c>
      <c r="J231" s="39">
        <v>44453</v>
      </c>
      <c r="K231" s="24">
        <v>14</v>
      </c>
      <c r="L231" s="24">
        <v>4408</v>
      </c>
      <c r="M231" s="24">
        <v>22766356</v>
      </c>
      <c r="N231" s="39">
        <v>46217</v>
      </c>
    </row>
    <row r="232" spans="1:14" s="5" customFormat="1" outlineLevel="2">
      <c r="A232" s="39" t="s">
        <v>108</v>
      </c>
      <c r="B232" s="40" t="s">
        <v>176</v>
      </c>
      <c r="C232" s="41" t="s">
        <v>113</v>
      </c>
      <c r="D232" s="40"/>
      <c r="E232" s="24"/>
      <c r="F232" s="39"/>
      <c r="G232" s="24">
        <v>22766356</v>
      </c>
      <c r="H232" s="23">
        <v>5.0000000000000001E-3</v>
      </c>
      <c r="I232" s="39">
        <v>44454</v>
      </c>
      <c r="J232" s="39">
        <v>44469</v>
      </c>
      <c r="K232" s="24">
        <v>16</v>
      </c>
      <c r="L232" s="24">
        <v>4990</v>
      </c>
      <c r="M232" s="24"/>
      <c r="N232" s="39">
        <v>46217</v>
      </c>
    </row>
    <row r="233" spans="1:14" s="5" customFormat="1" outlineLevel="2">
      <c r="A233" s="39" t="s">
        <v>108</v>
      </c>
      <c r="B233" s="40" t="s">
        <v>177</v>
      </c>
      <c r="C233" s="41" t="s">
        <v>406</v>
      </c>
      <c r="D233" s="40" t="s">
        <v>405</v>
      </c>
      <c r="E233" s="24">
        <v>920000</v>
      </c>
      <c r="F233" s="39">
        <v>44420</v>
      </c>
      <c r="G233" s="24">
        <v>920000</v>
      </c>
      <c r="H233" s="23">
        <v>5.0000000000000001E-3</v>
      </c>
      <c r="I233" s="39">
        <v>44440</v>
      </c>
      <c r="J233" s="39">
        <v>44469</v>
      </c>
      <c r="K233" s="24">
        <v>30</v>
      </c>
      <c r="L233" s="24">
        <v>378</v>
      </c>
      <c r="M233" s="24">
        <v>920000</v>
      </c>
      <c r="N233" s="39">
        <v>45515</v>
      </c>
    </row>
    <row r="234" spans="1:14" s="5" customFormat="1" outlineLevel="2">
      <c r="A234" s="39" t="s">
        <v>108</v>
      </c>
      <c r="B234" s="40" t="s">
        <v>178</v>
      </c>
      <c r="C234" s="41" t="s">
        <v>406</v>
      </c>
      <c r="D234" s="40" t="s">
        <v>405</v>
      </c>
      <c r="E234" s="24">
        <v>4360000</v>
      </c>
      <c r="F234" s="39">
        <v>44420</v>
      </c>
      <c r="G234" s="24">
        <v>4360000</v>
      </c>
      <c r="H234" s="23">
        <v>5.0000000000000001E-3</v>
      </c>
      <c r="I234" s="39">
        <v>44440</v>
      </c>
      <c r="J234" s="39">
        <v>44469</v>
      </c>
      <c r="K234" s="24">
        <v>30</v>
      </c>
      <c r="L234" s="24">
        <v>1792</v>
      </c>
      <c r="M234" s="24">
        <v>4360000</v>
      </c>
      <c r="N234" s="39">
        <v>45515</v>
      </c>
    </row>
    <row r="235" spans="1:14" s="5" customFormat="1" outlineLevel="2">
      <c r="A235" s="39" t="s">
        <v>108</v>
      </c>
      <c r="B235" s="40" t="s">
        <v>179</v>
      </c>
      <c r="C235" s="41" t="s">
        <v>406</v>
      </c>
      <c r="D235" s="40" t="s">
        <v>405</v>
      </c>
      <c r="E235" s="24">
        <v>1740000</v>
      </c>
      <c r="F235" s="39">
        <v>44420</v>
      </c>
      <c r="G235" s="24">
        <v>1740000</v>
      </c>
      <c r="H235" s="23">
        <v>5.0000000000000001E-3</v>
      </c>
      <c r="I235" s="39">
        <v>44440</v>
      </c>
      <c r="J235" s="39">
        <v>44469</v>
      </c>
      <c r="K235" s="24">
        <v>30</v>
      </c>
      <c r="L235" s="24">
        <v>715</v>
      </c>
      <c r="M235" s="24">
        <v>1740000</v>
      </c>
      <c r="N235" s="39">
        <v>45515</v>
      </c>
    </row>
    <row r="236" spans="1:14" s="5" customFormat="1" outlineLevel="2">
      <c r="A236" s="39" t="s">
        <v>108</v>
      </c>
      <c r="B236" s="40" t="s">
        <v>180</v>
      </c>
      <c r="C236" s="41" t="s">
        <v>406</v>
      </c>
      <c r="D236" s="40" t="s">
        <v>405</v>
      </c>
      <c r="E236" s="24">
        <v>25280000</v>
      </c>
      <c r="F236" s="39">
        <v>44420</v>
      </c>
      <c r="G236" s="24">
        <v>25280000</v>
      </c>
      <c r="H236" s="23">
        <v>5.0000000000000001E-3</v>
      </c>
      <c r="I236" s="39">
        <v>44440</v>
      </c>
      <c r="J236" s="39">
        <v>44469</v>
      </c>
      <c r="K236" s="24">
        <v>30</v>
      </c>
      <c r="L236" s="24">
        <v>10389</v>
      </c>
      <c r="M236" s="24">
        <v>25280000</v>
      </c>
      <c r="N236" s="39">
        <v>45515</v>
      </c>
    </row>
    <row r="237" spans="1:14" s="5" customFormat="1" outlineLevel="2">
      <c r="A237" s="39" t="s">
        <v>108</v>
      </c>
      <c r="B237" s="40" t="s">
        <v>181</v>
      </c>
      <c r="C237" s="41" t="s">
        <v>406</v>
      </c>
      <c r="D237" s="40" t="s">
        <v>405</v>
      </c>
      <c r="E237" s="24">
        <v>6500000</v>
      </c>
      <c r="F237" s="39">
        <v>44420</v>
      </c>
      <c r="G237" s="24">
        <v>6500000</v>
      </c>
      <c r="H237" s="23">
        <v>5.0000000000000001E-3</v>
      </c>
      <c r="I237" s="39">
        <v>44440</v>
      </c>
      <c r="J237" s="39">
        <v>44469</v>
      </c>
      <c r="K237" s="24">
        <v>30</v>
      </c>
      <c r="L237" s="24">
        <v>2671</v>
      </c>
      <c r="M237" s="24">
        <v>6500000</v>
      </c>
      <c r="N237" s="39">
        <v>45515</v>
      </c>
    </row>
    <row r="238" spans="1:14" s="5" customFormat="1" outlineLevel="2">
      <c r="A238" s="39" t="s">
        <v>108</v>
      </c>
      <c r="B238" s="40" t="s">
        <v>182</v>
      </c>
      <c r="C238" s="41" t="s">
        <v>406</v>
      </c>
      <c r="D238" s="40" t="s">
        <v>405</v>
      </c>
      <c r="E238" s="24">
        <v>4790000</v>
      </c>
      <c r="F238" s="39">
        <v>44420</v>
      </c>
      <c r="G238" s="24">
        <v>4790000</v>
      </c>
      <c r="H238" s="23">
        <v>5.0000000000000001E-3</v>
      </c>
      <c r="I238" s="39">
        <v>44440</v>
      </c>
      <c r="J238" s="39">
        <v>44469</v>
      </c>
      <c r="K238" s="24">
        <v>30</v>
      </c>
      <c r="L238" s="24">
        <v>1968</v>
      </c>
      <c r="M238" s="24">
        <v>4790000</v>
      </c>
      <c r="N238" s="39">
        <v>45515</v>
      </c>
    </row>
    <row r="239" spans="1:14" s="5" customFormat="1" outlineLevel="2">
      <c r="A239" s="39" t="s">
        <v>108</v>
      </c>
      <c r="B239" s="40" t="s">
        <v>183</v>
      </c>
      <c r="C239" s="41" t="s">
        <v>115</v>
      </c>
      <c r="D239" s="40" t="s">
        <v>116</v>
      </c>
      <c r="E239" s="24">
        <v>4240000</v>
      </c>
      <c r="F239" s="39">
        <v>44427</v>
      </c>
      <c r="G239" s="24">
        <v>4240000</v>
      </c>
      <c r="H239" s="23">
        <v>5.0000000000000001E-3</v>
      </c>
      <c r="I239" s="39">
        <v>44440</v>
      </c>
      <c r="J239" s="39">
        <v>44469</v>
      </c>
      <c r="K239" s="24">
        <v>30</v>
      </c>
      <c r="L239" s="24">
        <v>1742</v>
      </c>
      <c r="M239" s="24">
        <v>4240000</v>
      </c>
      <c r="N239" s="39">
        <v>46252</v>
      </c>
    </row>
    <row r="240" spans="1:14" s="5" customFormat="1" outlineLevel="2">
      <c r="A240" s="39" t="s">
        <v>108</v>
      </c>
      <c r="B240" s="40" t="s">
        <v>63</v>
      </c>
      <c r="C240" s="41" t="s">
        <v>111</v>
      </c>
      <c r="D240" s="40" t="s">
        <v>112</v>
      </c>
      <c r="E240" s="24">
        <v>8000000</v>
      </c>
      <c r="F240" s="39">
        <v>43957</v>
      </c>
      <c r="G240" s="24">
        <v>5866672</v>
      </c>
      <c r="H240" s="23">
        <v>5.0000000000000001E-3</v>
      </c>
      <c r="I240" s="39">
        <v>44440</v>
      </c>
      <c r="J240" s="39">
        <v>44453</v>
      </c>
      <c r="K240" s="24">
        <v>14</v>
      </c>
      <c r="L240" s="24">
        <v>1125</v>
      </c>
      <c r="M240" s="24">
        <v>5733339</v>
      </c>
      <c r="N240" s="39">
        <v>45782</v>
      </c>
    </row>
    <row r="241" spans="1:14" s="5" customFormat="1" outlineLevel="2">
      <c r="A241" s="39" t="s">
        <v>108</v>
      </c>
      <c r="B241" s="40" t="s">
        <v>63</v>
      </c>
      <c r="C241" s="41" t="s">
        <v>111</v>
      </c>
      <c r="D241" s="40"/>
      <c r="E241" s="24"/>
      <c r="F241" s="39"/>
      <c r="G241" s="24">
        <v>5733339</v>
      </c>
      <c r="H241" s="23">
        <v>5.0000000000000001E-3</v>
      </c>
      <c r="I241" s="39">
        <v>44454</v>
      </c>
      <c r="J241" s="39">
        <v>44469</v>
      </c>
      <c r="K241" s="24">
        <v>16</v>
      </c>
      <c r="L241" s="24">
        <v>1257</v>
      </c>
      <c r="M241" s="24"/>
      <c r="N241" s="39">
        <v>45782</v>
      </c>
    </row>
    <row r="242" spans="1:14" s="5" customFormat="1" outlineLevel="2">
      <c r="A242" s="39" t="s">
        <v>108</v>
      </c>
      <c r="B242" s="40" t="s">
        <v>184</v>
      </c>
      <c r="C242" s="41" t="s">
        <v>123</v>
      </c>
      <c r="D242" s="40" t="s">
        <v>124</v>
      </c>
      <c r="E242" s="24">
        <v>19800000</v>
      </c>
      <c r="F242" s="39">
        <v>44410</v>
      </c>
      <c r="G242" s="24">
        <v>19800000</v>
      </c>
      <c r="H242" s="23">
        <v>5.0000000000000001E-3</v>
      </c>
      <c r="I242" s="39">
        <v>44440</v>
      </c>
      <c r="J242" s="39">
        <v>44469</v>
      </c>
      <c r="K242" s="24">
        <v>30</v>
      </c>
      <c r="L242" s="24">
        <v>8137</v>
      </c>
      <c r="M242" s="24">
        <v>19800000</v>
      </c>
      <c r="N242" s="39">
        <v>46235</v>
      </c>
    </row>
    <row r="243" spans="1:14" s="5" customFormat="1" outlineLevel="2">
      <c r="A243" s="39" t="s">
        <v>108</v>
      </c>
      <c r="B243" s="40" t="s">
        <v>185</v>
      </c>
      <c r="C243" s="41" t="s">
        <v>406</v>
      </c>
      <c r="D243" s="40" t="s">
        <v>405</v>
      </c>
      <c r="E243" s="24">
        <v>12710000</v>
      </c>
      <c r="F243" s="39">
        <v>44442</v>
      </c>
      <c r="G243" s="24">
        <v>12710000</v>
      </c>
      <c r="H243" s="23">
        <v>5.0000000000000001E-3</v>
      </c>
      <c r="I243" s="39">
        <v>44442</v>
      </c>
      <c r="J243" s="39">
        <v>44469</v>
      </c>
      <c r="K243" s="24">
        <v>28</v>
      </c>
      <c r="L243" s="24">
        <v>4875</v>
      </c>
      <c r="M243" s="24">
        <v>12710000</v>
      </c>
      <c r="N243" s="39">
        <v>45537</v>
      </c>
    </row>
    <row r="244" spans="1:14" s="5" customFormat="1" outlineLevel="2">
      <c r="A244" s="39" t="s">
        <v>108</v>
      </c>
      <c r="B244" s="40" t="s">
        <v>186</v>
      </c>
      <c r="C244" s="41" t="s">
        <v>406</v>
      </c>
      <c r="D244" s="40" t="s">
        <v>405</v>
      </c>
      <c r="E244" s="24">
        <v>1600000</v>
      </c>
      <c r="F244" s="39">
        <v>44442</v>
      </c>
      <c r="G244" s="24">
        <v>1600000</v>
      </c>
      <c r="H244" s="23">
        <v>5.0000000000000001E-3</v>
      </c>
      <c r="I244" s="39">
        <v>44442</v>
      </c>
      <c r="J244" s="39">
        <v>44469</v>
      </c>
      <c r="K244" s="24">
        <v>28</v>
      </c>
      <c r="L244" s="24">
        <v>614</v>
      </c>
      <c r="M244" s="24">
        <v>1600000</v>
      </c>
      <c r="N244" s="39">
        <v>45537</v>
      </c>
    </row>
    <row r="245" spans="1:14" s="5" customFormat="1" outlineLevel="2">
      <c r="A245" s="39" t="s">
        <v>108</v>
      </c>
      <c r="B245" s="40" t="s">
        <v>189</v>
      </c>
      <c r="C245" s="41" t="s">
        <v>363</v>
      </c>
      <c r="D245" s="40" t="s">
        <v>362</v>
      </c>
      <c r="E245" s="24">
        <v>5790000</v>
      </c>
      <c r="F245" s="39">
        <v>44468</v>
      </c>
      <c r="G245" s="24">
        <v>5790000</v>
      </c>
      <c r="H245" s="23">
        <v>5.0000000000000001E-3</v>
      </c>
      <c r="I245" s="39">
        <v>44468</v>
      </c>
      <c r="J245" s="39">
        <v>44469</v>
      </c>
      <c r="K245" s="24">
        <v>2</v>
      </c>
      <c r="L245" s="24">
        <v>159</v>
      </c>
      <c r="M245" s="24">
        <v>5790000</v>
      </c>
      <c r="N245" s="39">
        <v>45563</v>
      </c>
    </row>
    <row r="246" spans="1:14" s="5" customFormat="1" outlineLevel="2">
      <c r="A246" s="39" t="s">
        <v>108</v>
      </c>
      <c r="B246" s="40" t="s">
        <v>190</v>
      </c>
      <c r="C246" s="41" t="s">
        <v>123</v>
      </c>
      <c r="D246" s="40" t="s">
        <v>124</v>
      </c>
      <c r="E246" s="24">
        <v>11500000</v>
      </c>
      <c r="F246" s="39">
        <v>44441</v>
      </c>
      <c r="G246" s="24">
        <v>11500000</v>
      </c>
      <c r="H246" s="23">
        <v>5.0000000000000001E-3</v>
      </c>
      <c r="I246" s="39">
        <v>44441</v>
      </c>
      <c r="J246" s="39">
        <v>44469</v>
      </c>
      <c r="K246" s="24">
        <v>29</v>
      </c>
      <c r="L246" s="24">
        <v>4568</v>
      </c>
      <c r="M246" s="24">
        <v>11500000</v>
      </c>
      <c r="N246" s="39">
        <v>46266</v>
      </c>
    </row>
    <row r="247" spans="1:14" s="5" customFormat="1" outlineLevel="2">
      <c r="A247" s="39" t="s">
        <v>108</v>
      </c>
      <c r="B247" s="40" t="s">
        <v>191</v>
      </c>
      <c r="C247" s="41" t="s">
        <v>422</v>
      </c>
      <c r="D247" s="40" t="s">
        <v>421</v>
      </c>
      <c r="E247" s="24">
        <v>100000000</v>
      </c>
      <c r="F247" s="39">
        <v>44468</v>
      </c>
      <c r="G247" s="24">
        <v>100000000</v>
      </c>
      <c r="H247" s="23">
        <v>5.0000000000000001E-3</v>
      </c>
      <c r="I247" s="39">
        <v>44468</v>
      </c>
      <c r="J247" s="39">
        <v>44469</v>
      </c>
      <c r="K247" s="24">
        <v>2</v>
      </c>
      <c r="L247" s="24">
        <v>2740</v>
      </c>
      <c r="M247" s="24">
        <v>100000000</v>
      </c>
      <c r="N247" s="39">
        <v>45563</v>
      </c>
    </row>
    <row r="248" spans="1:14" s="5" customFormat="1" outlineLevel="2">
      <c r="A248" s="39" t="s">
        <v>108</v>
      </c>
      <c r="B248" s="40" t="s">
        <v>192</v>
      </c>
      <c r="C248" s="41" t="s">
        <v>422</v>
      </c>
      <c r="D248" s="40" t="s">
        <v>421</v>
      </c>
      <c r="E248" s="24">
        <v>85600000</v>
      </c>
      <c r="F248" s="39">
        <v>44468</v>
      </c>
      <c r="G248" s="24">
        <v>85600000</v>
      </c>
      <c r="H248" s="23">
        <v>5.0000000000000001E-3</v>
      </c>
      <c r="I248" s="39">
        <v>44468</v>
      </c>
      <c r="J248" s="39">
        <v>44469</v>
      </c>
      <c r="K248" s="24">
        <v>2</v>
      </c>
      <c r="L248" s="24">
        <v>2345</v>
      </c>
      <c r="M248" s="24">
        <v>85600000</v>
      </c>
      <c r="N248" s="39">
        <v>45563</v>
      </c>
    </row>
    <row r="249" spans="1:14" s="5" customFormat="1" outlineLevel="2">
      <c r="A249" s="39" t="s">
        <v>108</v>
      </c>
      <c r="B249" s="40" t="s">
        <v>193</v>
      </c>
      <c r="C249" s="41" t="s">
        <v>113</v>
      </c>
      <c r="D249" s="40" t="s">
        <v>114</v>
      </c>
      <c r="E249" s="24">
        <v>23200000</v>
      </c>
      <c r="F249" s="39">
        <v>44468</v>
      </c>
      <c r="G249" s="24">
        <v>23200000</v>
      </c>
      <c r="H249" s="23">
        <v>5.0000000000000001E-3</v>
      </c>
      <c r="I249" s="39">
        <v>44468</v>
      </c>
      <c r="J249" s="39">
        <v>44469</v>
      </c>
      <c r="K249" s="24">
        <v>2</v>
      </c>
      <c r="L249" s="24">
        <v>636</v>
      </c>
      <c r="M249" s="24">
        <v>23200000</v>
      </c>
      <c r="N249" s="39">
        <v>46293</v>
      </c>
    </row>
    <row r="250" spans="1:14" s="5" customFormat="1" outlineLevel="2">
      <c r="A250" s="39" t="s">
        <v>108</v>
      </c>
      <c r="B250" s="40" t="s">
        <v>64</v>
      </c>
      <c r="C250" s="41" t="s">
        <v>111</v>
      </c>
      <c r="D250" s="40" t="s">
        <v>112</v>
      </c>
      <c r="E250" s="24">
        <v>5910000</v>
      </c>
      <c r="F250" s="39">
        <v>43966</v>
      </c>
      <c r="G250" s="24">
        <v>5910000</v>
      </c>
      <c r="H250" s="23">
        <v>5.0000000000000001E-3</v>
      </c>
      <c r="I250" s="39">
        <v>44440</v>
      </c>
      <c r="J250" s="39">
        <v>44469</v>
      </c>
      <c r="K250" s="24">
        <v>30</v>
      </c>
      <c r="L250" s="24">
        <v>2429</v>
      </c>
      <c r="M250" s="24">
        <v>5910000</v>
      </c>
      <c r="N250" s="39">
        <v>45791</v>
      </c>
    </row>
    <row r="251" spans="1:14" s="5" customFormat="1" outlineLevel="2">
      <c r="A251" s="39" t="s">
        <v>108</v>
      </c>
      <c r="B251" s="40" t="s">
        <v>65</v>
      </c>
      <c r="C251" s="41" t="s">
        <v>113</v>
      </c>
      <c r="D251" s="40" t="s">
        <v>114</v>
      </c>
      <c r="E251" s="24">
        <v>20510000</v>
      </c>
      <c r="F251" s="39">
        <v>43966</v>
      </c>
      <c r="G251" s="24">
        <v>16803380</v>
      </c>
      <c r="H251" s="23">
        <v>5.0000000000000001E-3</v>
      </c>
      <c r="I251" s="39">
        <v>44440</v>
      </c>
      <c r="J251" s="39">
        <v>44453</v>
      </c>
      <c r="K251" s="24">
        <v>14</v>
      </c>
      <c r="L251" s="24">
        <v>3223</v>
      </c>
      <c r="M251" s="24">
        <v>16556272</v>
      </c>
      <c r="N251" s="39">
        <v>45791</v>
      </c>
    </row>
    <row r="252" spans="1:14" s="5" customFormat="1" outlineLevel="2">
      <c r="A252" s="39" t="s">
        <v>108</v>
      </c>
      <c r="B252" s="40" t="s">
        <v>65</v>
      </c>
      <c r="C252" s="41" t="s">
        <v>113</v>
      </c>
      <c r="D252" s="40"/>
      <c r="E252" s="24"/>
      <c r="F252" s="39"/>
      <c r="G252" s="24">
        <v>16556272</v>
      </c>
      <c r="H252" s="23">
        <v>5.0000000000000001E-3</v>
      </c>
      <c r="I252" s="39">
        <v>44454</v>
      </c>
      <c r="J252" s="39">
        <v>44469</v>
      </c>
      <c r="K252" s="24">
        <v>16</v>
      </c>
      <c r="L252" s="24">
        <v>3629</v>
      </c>
      <c r="M252" s="24"/>
      <c r="N252" s="39">
        <v>45791</v>
      </c>
    </row>
    <row r="253" spans="1:14" s="5" customFormat="1" outlineLevel="2">
      <c r="A253" s="39" t="s">
        <v>108</v>
      </c>
      <c r="B253" s="40" t="s">
        <v>68</v>
      </c>
      <c r="C253" s="41" t="s">
        <v>109</v>
      </c>
      <c r="D253" s="40" t="s">
        <v>110</v>
      </c>
      <c r="E253" s="24">
        <v>33960000</v>
      </c>
      <c r="F253" s="39">
        <v>43978</v>
      </c>
      <c r="G253" s="24">
        <v>33960000</v>
      </c>
      <c r="H253" s="23">
        <v>5.0000000000000001E-3</v>
      </c>
      <c r="I253" s="39">
        <v>44440</v>
      </c>
      <c r="J253" s="39">
        <v>44469</v>
      </c>
      <c r="K253" s="24">
        <v>30</v>
      </c>
      <c r="L253" s="24">
        <v>13956</v>
      </c>
      <c r="M253" s="24">
        <v>33960000</v>
      </c>
      <c r="N253" s="39">
        <v>45803</v>
      </c>
    </row>
    <row r="254" spans="1:14" s="5" customFormat="1" outlineLevel="1">
      <c r="A254" s="42" t="s">
        <v>119</v>
      </c>
      <c r="B254" s="43"/>
      <c r="C254" s="44"/>
      <c r="D254" s="43"/>
      <c r="E254" s="45">
        <v>1342455386</v>
      </c>
      <c r="F254" s="46"/>
      <c r="G254" s="45"/>
      <c r="H254" s="47"/>
      <c r="I254" s="46"/>
      <c r="J254" s="46"/>
      <c r="K254" s="45"/>
      <c r="L254" s="45">
        <v>447954</v>
      </c>
      <c r="M254" s="45">
        <v>1289598526</v>
      </c>
      <c r="N254" s="46"/>
    </row>
    <row r="255" spans="1:14" s="5" customFormat="1" outlineLevel="2">
      <c r="A255" s="39" t="s">
        <v>120</v>
      </c>
      <c r="B255" s="40" t="s">
        <v>16</v>
      </c>
      <c r="C255" s="41" t="s">
        <v>121</v>
      </c>
      <c r="D255" s="40" t="s">
        <v>122</v>
      </c>
      <c r="E255" s="24">
        <v>69000000</v>
      </c>
      <c r="F255" s="39">
        <v>43822</v>
      </c>
      <c r="G255" s="24">
        <v>69000000</v>
      </c>
      <c r="H255" s="23">
        <v>5.0000000000000001E-3</v>
      </c>
      <c r="I255" s="39">
        <v>44440</v>
      </c>
      <c r="J255" s="39">
        <v>44469</v>
      </c>
      <c r="K255" s="24">
        <v>30</v>
      </c>
      <c r="L255" s="24">
        <v>28356</v>
      </c>
      <c r="M255" s="24">
        <v>69000000</v>
      </c>
      <c r="N255" s="39">
        <v>45648</v>
      </c>
    </row>
    <row r="256" spans="1:14" s="5" customFormat="1" outlineLevel="2">
      <c r="A256" s="39" t="s">
        <v>120</v>
      </c>
      <c r="B256" s="40" t="s">
        <v>19</v>
      </c>
      <c r="C256" s="41" t="s">
        <v>37</v>
      </c>
      <c r="D256" s="40" t="s">
        <v>38</v>
      </c>
      <c r="E256" s="24">
        <v>247700000</v>
      </c>
      <c r="F256" s="39">
        <v>43985</v>
      </c>
      <c r="G256" s="24">
        <v>247700000</v>
      </c>
      <c r="H256" s="23">
        <v>5.0000000000000001E-3</v>
      </c>
      <c r="I256" s="39">
        <v>44440</v>
      </c>
      <c r="J256" s="39">
        <v>44469</v>
      </c>
      <c r="K256" s="24">
        <v>30</v>
      </c>
      <c r="L256" s="24">
        <v>101795</v>
      </c>
      <c r="M256" s="24">
        <v>247700000</v>
      </c>
      <c r="N256" s="39">
        <v>45810</v>
      </c>
    </row>
    <row r="257" spans="1:14" s="5" customFormat="1" outlineLevel="2">
      <c r="A257" s="39" t="s">
        <v>120</v>
      </c>
      <c r="B257" s="40" t="s">
        <v>22</v>
      </c>
      <c r="C257" s="41" t="s">
        <v>123</v>
      </c>
      <c r="D257" s="40" t="s">
        <v>124</v>
      </c>
      <c r="E257" s="24">
        <v>18612000</v>
      </c>
      <c r="F257" s="39">
        <v>43997</v>
      </c>
      <c r="G257" s="24">
        <v>3722400</v>
      </c>
      <c r="H257" s="23">
        <v>5.0000000000000001E-3</v>
      </c>
      <c r="I257" s="39">
        <v>44440</v>
      </c>
      <c r="J257" s="39">
        <v>44469</v>
      </c>
      <c r="K257" s="24">
        <v>30</v>
      </c>
      <c r="L257" s="24">
        <v>1530</v>
      </c>
      <c r="M257" s="24">
        <v>3722400</v>
      </c>
      <c r="N257" s="39">
        <v>45822</v>
      </c>
    </row>
    <row r="258" spans="1:14" s="5" customFormat="1" outlineLevel="2">
      <c r="A258" s="39" t="s">
        <v>120</v>
      </c>
      <c r="B258" s="40" t="s">
        <v>25</v>
      </c>
      <c r="C258" s="41" t="s">
        <v>20</v>
      </c>
      <c r="D258" s="40" t="s">
        <v>21</v>
      </c>
      <c r="E258" s="24">
        <v>624000000</v>
      </c>
      <c r="F258" s="39">
        <v>44014</v>
      </c>
      <c r="G258" s="24">
        <v>624000000</v>
      </c>
      <c r="H258" s="23">
        <v>5.0000000000000001E-3</v>
      </c>
      <c r="I258" s="39">
        <v>44440</v>
      </c>
      <c r="J258" s="39">
        <v>44469</v>
      </c>
      <c r="K258" s="24">
        <v>30</v>
      </c>
      <c r="L258" s="24">
        <v>256438</v>
      </c>
      <c r="M258" s="24">
        <v>624000000</v>
      </c>
      <c r="N258" s="39">
        <v>45839</v>
      </c>
    </row>
    <row r="259" spans="1:14" s="5" customFormat="1" outlineLevel="2">
      <c r="A259" s="39" t="s">
        <v>120</v>
      </c>
      <c r="B259" s="40" t="s">
        <v>26</v>
      </c>
      <c r="C259" s="41" t="s">
        <v>20</v>
      </c>
      <c r="D259" s="40" t="s">
        <v>21</v>
      </c>
      <c r="E259" s="24">
        <v>82000000</v>
      </c>
      <c r="F259" s="39">
        <v>44042</v>
      </c>
      <c r="G259" s="24">
        <v>82000000</v>
      </c>
      <c r="H259" s="23">
        <v>5.0000000000000001E-3</v>
      </c>
      <c r="I259" s="39">
        <v>44440</v>
      </c>
      <c r="J259" s="39">
        <v>44469</v>
      </c>
      <c r="K259" s="24">
        <v>30</v>
      </c>
      <c r="L259" s="24">
        <v>33699</v>
      </c>
      <c r="M259" s="24">
        <v>82000000</v>
      </c>
      <c r="N259" s="39">
        <v>45867</v>
      </c>
    </row>
    <row r="260" spans="1:14" s="5" customFormat="1" outlineLevel="2">
      <c r="A260" s="39" t="s">
        <v>120</v>
      </c>
      <c r="B260" s="40" t="s">
        <v>29</v>
      </c>
      <c r="C260" s="41" t="s">
        <v>20</v>
      </c>
      <c r="D260" s="40" t="s">
        <v>21</v>
      </c>
      <c r="E260" s="24">
        <v>406400000</v>
      </c>
      <c r="F260" s="39">
        <v>44042</v>
      </c>
      <c r="G260" s="24">
        <v>406400000</v>
      </c>
      <c r="H260" s="23">
        <v>3.0000000000000001E-3</v>
      </c>
      <c r="I260" s="39">
        <v>44440</v>
      </c>
      <c r="J260" s="39">
        <v>44469</v>
      </c>
      <c r="K260" s="24">
        <v>30</v>
      </c>
      <c r="L260" s="24">
        <v>100208</v>
      </c>
      <c r="M260" s="24">
        <v>406400000</v>
      </c>
      <c r="N260" s="39">
        <v>45867</v>
      </c>
    </row>
    <row r="261" spans="1:14" s="5" customFormat="1" outlineLevel="2">
      <c r="A261" s="39" t="s">
        <v>120</v>
      </c>
      <c r="B261" s="40" t="s">
        <v>32</v>
      </c>
      <c r="C261" s="41" t="s">
        <v>20</v>
      </c>
      <c r="D261" s="40" t="s">
        <v>21</v>
      </c>
      <c r="E261" s="24">
        <v>51600000</v>
      </c>
      <c r="F261" s="39">
        <v>44042</v>
      </c>
      <c r="G261" s="24">
        <v>51600000</v>
      </c>
      <c r="H261" s="23">
        <v>3.0000000000000001E-3</v>
      </c>
      <c r="I261" s="39">
        <v>44440</v>
      </c>
      <c r="J261" s="39">
        <v>44469</v>
      </c>
      <c r="K261" s="24">
        <v>30</v>
      </c>
      <c r="L261" s="24">
        <v>12723</v>
      </c>
      <c r="M261" s="24">
        <v>51600000</v>
      </c>
      <c r="N261" s="39">
        <v>45867</v>
      </c>
    </row>
    <row r="262" spans="1:14" s="5" customFormat="1" outlineLevel="2">
      <c r="A262" s="39" t="s">
        <v>120</v>
      </c>
      <c r="B262" s="40" t="s">
        <v>33</v>
      </c>
      <c r="C262" s="41" t="s">
        <v>125</v>
      </c>
      <c r="D262" s="40" t="s">
        <v>126</v>
      </c>
      <c r="E262" s="24">
        <v>1850000</v>
      </c>
      <c r="F262" s="39">
        <v>44018</v>
      </c>
      <c r="G262" s="24">
        <v>1850000</v>
      </c>
      <c r="H262" s="23">
        <v>5.0000000000000001E-3</v>
      </c>
      <c r="I262" s="39">
        <v>44440</v>
      </c>
      <c r="J262" s="39">
        <v>44469</v>
      </c>
      <c r="K262" s="24">
        <v>30</v>
      </c>
      <c r="L262" s="24">
        <v>760</v>
      </c>
      <c r="M262" s="24">
        <v>1850000</v>
      </c>
      <c r="N262" s="39">
        <v>45843</v>
      </c>
    </row>
    <row r="263" spans="1:14" s="5" customFormat="1" outlineLevel="2">
      <c r="A263" s="39" t="s">
        <v>120</v>
      </c>
      <c r="B263" s="40" t="s">
        <v>34</v>
      </c>
      <c r="C263" s="41" t="s">
        <v>125</v>
      </c>
      <c r="D263" s="40" t="s">
        <v>126</v>
      </c>
      <c r="E263" s="24">
        <v>5400000</v>
      </c>
      <c r="F263" s="39">
        <v>44019</v>
      </c>
      <c r="G263" s="24">
        <v>5400000</v>
      </c>
      <c r="H263" s="23">
        <v>5.0000000000000001E-3</v>
      </c>
      <c r="I263" s="39">
        <v>44440</v>
      </c>
      <c r="J263" s="39">
        <v>44469</v>
      </c>
      <c r="K263" s="24">
        <v>30</v>
      </c>
      <c r="L263" s="24">
        <v>2219</v>
      </c>
      <c r="M263" s="24">
        <v>5400000</v>
      </c>
      <c r="N263" s="39">
        <v>45844</v>
      </c>
    </row>
    <row r="264" spans="1:14" s="5" customFormat="1" outlineLevel="2">
      <c r="A264" s="39" t="s">
        <v>120</v>
      </c>
      <c r="B264" s="40" t="s">
        <v>35</v>
      </c>
      <c r="C264" s="41" t="s">
        <v>125</v>
      </c>
      <c r="D264" s="40" t="s">
        <v>126</v>
      </c>
      <c r="E264" s="24">
        <v>2300000</v>
      </c>
      <c r="F264" s="39">
        <v>44027</v>
      </c>
      <c r="G264" s="24">
        <v>2300000</v>
      </c>
      <c r="H264" s="23">
        <v>5.0000000000000001E-3</v>
      </c>
      <c r="I264" s="39">
        <v>44440</v>
      </c>
      <c r="J264" s="39">
        <v>44469</v>
      </c>
      <c r="K264" s="24">
        <v>30</v>
      </c>
      <c r="L264" s="24">
        <v>945</v>
      </c>
      <c r="M264" s="24">
        <v>2300000</v>
      </c>
      <c r="N264" s="39">
        <v>45852</v>
      </c>
    </row>
    <row r="265" spans="1:14" s="5" customFormat="1" outlineLevel="2">
      <c r="A265" s="39" t="s">
        <v>120</v>
      </c>
      <c r="B265" s="40" t="s">
        <v>36</v>
      </c>
      <c r="C265" s="41" t="s">
        <v>125</v>
      </c>
      <c r="D265" s="40" t="s">
        <v>126</v>
      </c>
      <c r="E265" s="24">
        <v>16280000</v>
      </c>
      <c r="F265" s="39">
        <v>44041</v>
      </c>
      <c r="G265" s="24">
        <v>16280000</v>
      </c>
      <c r="H265" s="23">
        <v>5.0000000000000001E-3</v>
      </c>
      <c r="I265" s="39">
        <v>44440</v>
      </c>
      <c r="J265" s="39">
        <v>44469</v>
      </c>
      <c r="K265" s="24">
        <v>30</v>
      </c>
      <c r="L265" s="24">
        <v>6690</v>
      </c>
      <c r="M265" s="24">
        <v>16280000</v>
      </c>
      <c r="N265" s="39">
        <v>45866</v>
      </c>
    </row>
    <row r="266" spans="1:14" s="5" customFormat="1" outlineLevel="2">
      <c r="A266" s="39" t="s">
        <v>120</v>
      </c>
      <c r="B266" s="40" t="s">
        <v>39</v>
      </c>
      <c r="C266" s="41" t="s">
        <v>17</v>
      </c>
      <c r="D266" s="40" t="s">
        <v>18</v>
      </c>
      <c r="E266" s="24">
        <v>162300000</v>
      </c>
      <c r="F266" s="39">
        <v>43829</v>
      </c>
      <c r="G266" s="24">
        <v>108200000</v>
      </c>
      <c r="H266" s="23">
        <v>5.0000000000000001E-3</v>
      </c>
      <c r="I266" s="39">
        <v>44440</v>
      </c>
      <c r="J266" s="39">
        <v>44469</v>
      </c>
      <c r="K266" s="24">
        <v>30</v>
      </c>
      <c r="L266" s="24">
        <v>44466</v>
      </c>
      <c r="M266" s="24">
        <v>108200000</v>
      </c>
      <c r="N266" s="39">
        <v>45655</v>
      </c>
    </row>
    <row r="267" spans="1:14" s="5" customFormat="1" outlineLevel="2">
      <c r="A267" s="39" t="s">
        <v>120</v>
      </c>
      <c r="B267" s="40" t="s">
        <v>40</v>
      </c>
      <c r="C267" s="41" t="s">
        <v>71</v>
      </c>
      <c r="D267" s="40" t="s">
        <v>72</v>
      </c>
      <c r="E267" s="24">
        <v>30000000</v>
      </c>
      <c r="F267" s="39">
        <v>44020</v>
      </c>
      <c r="G267" s="24">
        <v>30000000</v>
      </c>
      <c r="H267" s="23">
        <v>5.0000000000000001E-3</v>
      </c>
      <c r="I267" s="39">
        <v>44440</v>
      </c>
      <c r="J267" s="39">
        <v>44469</v>
      </c>
      <c r="K267" s="24">
        <v>30</v>
      </c>
      <c r="L267" s="24">
        <v>12329</v>
      </c>
      <c r="M267" s="24">
        <v>30000000</v>
      </c>
      <c r="N267" s="39">
        <v>45845</v>
      </c>
    </row>
    <row r="268" spans="1:14" s="5" customFormat="1" outlineLevel="2">
      <c r="A268" s="39" t="s">
        <v>120</v>
      </c>
      <c r="B268" s="40" t="s">
        <v>41</v>
      </c>
      <c r="C268" s="41" t="s">
        <v>27</v>
      </c>
      <c r="D268" s="40" t="s">
        <v>28</v>
      </c>
      <c r="E268" s="24">
        <v>35100000</v>
      </c>
      <c r="F268" s="39">
        <v>44013</v>
      </c>
      <c r="G268" s="24">
        <v>33637500</v>
      </c>
      <c r="H268" s="23">
        <v>5.0000000000000001E-3</v>
      </c>
      <c r="I268" s="39">
        <v>44440</v>
      </c>
      <c r="J268" s="39">
        <v>44453</v>
      </c>
      <c r="K268" s="24">
        <v>14</v>
      </c>
      <c r="L268" s="24">
        <v>6451</v>
      </c>
      <c r="M268" s="24">
        <v>32906250</v>
      </c>
      <c r="N268" s="39">
        <v>45838</v>
      </c>
    </row>
    <row r="269" spans="1:14" s="5" customFormat="1" outlineLevel="2">
      <c r="A269" s="39" t="s">
        <v>120</v>
      </c>
      <c r="B269" s="40" t="s">
        <v>41</v>
      </c>
      <c r="C269" s="41" t="s">
        <v>27</v>
      </c>
      <c r="D269" s="40"/>
      <c r="E269" s="24"/>
      <c r="F269" s="39"/>
      <c r="G269" s="24">
        <v>32906250</v>
      </c>
      <c r="H269" s="23">
        <v>5.0000000000000001E-3</v>
      </c>
      <c r="I269" s="39">
        <v>44454</v>
      </c>
      <c r="J269" s="39">
        <v>44469</v>
      </c>
      <c r="K269" s="24">
        <v>16</v>
      </c>
      <c r="L269" s="24">
        <v>7212</v>
      </c>
      <c r="M269" s="24"/>
      <c r="N269" s="39">
        <v>45838</v>
      </c>
    </row>
    <row r="270" spans="1:14" s="5" customFormat="1" outlineLevel="2">
      <c r="A270" s="39" t="s">
        <v>120</v>
      </c>
      <c r="B270" s="40" t="s">
        <v>42</v>
      </c>
      <c r="C270" s="41" t="s">
        <v>27</v>
      </c>
      <c r="D270" s="40" t="s">
        <v>28</v>
      </c>
      <c r="E270" s="24">
        <v>14900000</v>
      </c>
      <c r="F270" s="39">
        <v>44021</v>
      </c>
      <c r="G270" s="24">
        <v>14279168</v>
      </c>
      <c r="H270" s="23">
        <v>5.0000000000000001E-3</v>
      </c>
      <c r="I270" s="39">
        <v>44440</v>
      </c>
      <c r="J270" s="39">
        <v>44453</v>
      </c>
      <c r="K270" s="24">
        <v>14</v>
      </c>
      <c r="L270" s="24">
        <v>2738</v>
      </c>
      <c r="M270" s="24">
        <v>13968752</v>
      </c>
      <c r="N270" s="39">
        <v>45846</v>
      </c>
    </row>
    <row r="271" spans="1:14" s="5" customFormat="1" outlineLevel="2">
      <c r="A271" s="39" t="s">
        <v>120</v>
      </c>
      <c r="B271" s="40" t="s">
        <v>42</v>
      </c>
      <c r="C271" s="41" t="s">
        <v>27</v>
      </c>
      <c r="D271" s="40"/>
      <c r="E271" s="24"/>
      <c r="F271" s="39"/>
      <c r="G271" s="24">
        <v>13968752</v>
      </c>
      <c r="H271" s="23">
        <v>5.0000000000000001E-3</v>
      </c>
      <c r="I271" s="39">
        <v>44454</v>
      </c>
      <c r="J271" s="39">
        <v>44469</v>
      </c>
      <c r="K271" s="24">
        <v>16</v>
      </c>
      <c r="L271" s="24">
        <v>3062</v>
      </c>
      <c r="M271" s="24"/>
      <c r="N271" s="39">
        <v>45846</v>
      </c>
    </row>
    <row r="272" spans="1:14" s="5" customFormat="1" outlineLevel="2">
      <c r="A272" s="39" t="s">
        <v>120</v>
      </c>
      <c r="B272" s="40" t="s">
        <v>43</v>
      </c>
      <c r="C272" s="41" t="s">
        <v>71</v>
      </c>
      <c r="D272" s="40" t="s">
        <v>72</v>
      </c>
      <c r="E272" s="24">
        <v>30000000</v>
      </c>
      <c r="F272" s="39">
        <v>44050</v>
      </c>
      <c r="G272" s="24">
        <v>30000000</v>
      </c>
      <c r="H272" s="23">
        <v>5.0000000000000001E-3</v>
      </c>
      <c r="I272" s="39">
        <v>44440</v>
      </c>
      <c r="J272" s="39">
        <v>44469</v>
      </c>
      <c r="K272" s="24">
        <v>30</v>
      </c>
      <c r="L272" s="24">
        <v>12329</v>
      </c>
      <c r="M272" s="24">
        <v>30000000</v>
      </c>
      <c r="N272" s="39">
        <v>45875</v>
      </c>
    </row>
    <row r="273" spans="1:14" s="5" customFormat="1" outlineLevel="2">
      <c r="A273" s="39" t="s">
        <v>120</v>
      </c>
      <c r="B273" s="40" t="s">
        <v>44</v>
      </c>
      <c r="C273" s="41" t="s">
        <v>83</v>
      </c>
      <c r="D273" s="40" t="s">
        <v>84</v>
      </c>
      <c r="E273" s="24">
        <v>72450000</v>
      </c>
      <c r="F273" s="39">
        <v>44064</v>
      </c>
      <c r="G273" s="24">
        <v>72450000</v>
      </c>
      <c r="H273" s="23">
        <v>5.0000000000000001E-3</v>
      </c>
      <c r="I273" s="39">
        <v>44440</v>
      </c>
      <c r="J273" s="39">
        <v>44469</v>
      </c>
      <c r="K273" s="24">
        <v>30</v>
      </c>
      <c r="L273" s="24">
        <v>29774</v>
      </c>
      <c r="M273" s="24">
        <v>72450000</v>
      </c>
      <c r="N273" s="39">
        <v>45889</v>
      </c>
    </row>
    <row r="274" spans="1:14" s="5" customFormat="1" outlineLevel="2">
      <c r="A274" s="39" t="s">
        <v>120</v>
      </c>
      <c r="B274" s="40" t="s">
        <v>47</v>
      </c>
      <c r="C274" s="41" t="s">
        <v>97</v>
      </c>
      <c r="D274" s="40" t="s">
        <v>98</v>
      </c>
      <c r="E274" s="24">
        <v>77500000</v>
      </c>
      <c r="F274" s="39">
        <v>44060</v>
      </c>
      <c r="G274" s="24">
        <v>77500000</v>
      </c>
      <c r="H274" s="23">
        <v>5.0000000000000001E-3</v>
      </c>
      <c r="I274" s="39">
        <v>44440</v>
      </c>
      <c r="J274" s="39">
        <v>44469</v>
      </c>
      <c r="K274" s="24">
        <v>30</v>
      </c>
      <c r="L274" s="24">
        <v>31849</v>
      </c>
      <c r="M274" s="24">
        <v>77500000</v>
      </c>
      <c r="N274" s="39">
        <v>45885</v>
      </c>
    </row>
    <row r="275" spans="1:14" s="5" customFormat="1" outlineLevel="2">
      <c r="A275" s="39" t="s">
        <v>120</v>
      </c>
      <c r="B275" s="40" t="s">
        <v>50</v>
      </c>
      <c r="C275" s="41" t="s">
        <v>83</v>
      </c>
      <c r="D275" s="40" t="s">
        <v>84</v>
      </c>
      <c r="E275" s="24">
        <v>160000000</v>
      </c>
      <c r="F275" s="39">
        <v>44098</v>
      </c>
      <c r="G275" s="24">
        <v>160000000</v>
      </c>
      <c r="H275" s="23">
        <v>5.0000000000000001E-3</v>
      </c>
      <c r="I275" s="39">
        <v>44440</v>
      </c>
      <c r="J275" s="39">
        <v>44469</v>
      </c>
      <c r="K275" s="24">
        <v>30</v>
      </c>
      <c r="L275" s="24">
        <v>65753</v>
      </c>
      <c r="M275" s="24">
        <v>160000000</v>
      </c>
      <c r="N275" s="39">
        <v>45923</v>
      </c>
    </row>
    <row r="276" spans="1:14" s="5" customFormat="1" outlineLevel="2">
      <c r="A276" s="39" t="s">
        <v>120</v>
      </c>
      <c r="B276" s="40" t="s">
        <v>51</v>
      </c>
      <c r="C276" s="41" t="s">
        <v>128</v>
      </c>
      <c r="D276" s="40" t="s">
        <v>129</v>
      </c>
      <c r="E276" s="24">
        <v>73100000</v>
      </c>
      <c r="F276" s="39">
        <v>44095</v>
      </c>
      <c r="G276" s="24">
        <v>73100000</v>
      </c>
      <c r="H276" s="23">
        <v>5.0000000000000001E-3</v>
      </c>
      <c r="I276" s="39">
        <v>44440</v>
      </c>
      <c r="J276" s="39">
        <v>44469</v>
      </c>
      <c r="K276" s="24">
        <v>30</v>
      </c>
      <c r="L276" s="24">
        <v>30041</v>
      </c>
      <c r="M276" s="24">
        <v>73100000</v>
      </c>
      <c r="N276" s="39">
        <v>45920</v>
      </c>
    </row>
    <row r="277" spans="1:14" s="5" customFormat="1" outlineLevel="2">
      <c r="A277" s="39" t="s">
        <v>120</v>
      </c>
      <c r="B277" s="40" t="s">
        <v>52</v>
      </c>
      <c r="C277" s="41" t="s">
        <v>125</v>
      </c>
      <c r="D277" s="40" t="s">
        <v>126</v>
      </c>
      <c r="E277" s="24">
        <v>3000000</v>
      </c>
      <c r="F277" s="39">
        <v>44132</v>
      </c>
      <c r="G277" s="24">
        <v>3000000</v>
      </c>
      <c r="H277" s="23">
        <v>5.0000000000000001E-3</v>
      </c>
      <c r="I277" s="39">
        <v>44440</v>
      </c>
      <c r="J277" s="39">
        <v>44469</v>
      </c>
      <c r="K277" s="24">
        <v>30</v>
      </c>
      <c r="L277" s="24">
        <v>1233</v>
      </c>
      <c r="M277" s="24">
        <v>3000000</v>
      </c>
      <c r="N277" s="39">
        <v>45957</v>
      </c>
    </row>
    <row r="278" spans="1:14" s="5" customFormat="1" outlineLevel="2">
      <c r="A278" s="39" t="s">
        <v>120</v>
      </c>
      <c r="B278" s="40" t="s">
        <v>53</v>
      </c>
      <c r="C278" s="41" t="s">
        <v>97</v>
      </c>
      <c r="D278" s="40" t="s">
        <v>98</v>
      </c>
      <c r="E278" s="24">
        <v>141000000</v>
      </c>
      <c r="F278" s="39">
        <v>44119</v>
      </c>
      <c r="G278" s="24">
        <v>141000000</v>
      </c>
      <c r="H278" s="23">
        <v>5.0000000000000001E-3</v>
      </c>
      <c r="I278" s="39">
        <v>44440</v>
      </c>
      <c r="J278" s="39">
        <v>44469</v>
      </c>
      <c r="K278" s="24">
        <v>30</v>
      </c>
      <c r="L278" s="24">
        <v>57945</v>
      </c>
      <c r="M278" s="24">
        <v>141000000</v>
      </c>
      <c r="N278" s="39">
        <v>45944</v>
      </c>
    </row>
    <row r="279" spans="1:14" s="5" customFormat="1" outlineLevel="2">
      <c r="A279" s="39" t="s">
        <v>120</v>
      </c>
      <c r="B279" s="40" t="s">
        <v>54</v>
      </c>
      <c r="C279" s="41" t="s">
        <v>20</v>
      </c>
      <c r="D279" s="40" t="s">
        <v>21</v>
      </c>
      <c r="E279" s="24">
        <v>60000000</v>
      </c>
      <c r="F279" s="39">
        <v>43922</v>
      </c>
      <c r="G279" s="24">
        <v>60000000</v>
      </c>
      <c r="H279" s="23">
        <v>3.0000000000000001E-3</v>
      </c>
      <c r="I279" s="39">
        <v>44440</v>
      </c>
      <c r="J279" s="39">
        <v>44469</v>
      </c>
      <c r="K279" s="24">
        <v>30</v>
      </c>
      <c r="L279" s="24">
        <v>14795</v>
      </c>
      <c r="M279" s="24">
        <v>60000000</v>
      </c>
      <c r="N279" s="39">
        <v>45747</v>
      </c>
    </row>
    <row r="280" spans="1:14" s="5" customFormat="1" outlineLevel="2">
      <c r="A280" s="39" t="s">
        <v>120</v>
      </c>
      <c r="B280" s="40" t="s">
        <v>57</v>
      </c>
      <c r="C280" s="41" t="s">
        <v>125</v>
      </c>
      <c r="D280" s="40" t="s">
        <v>126</v>
      </c>
      <c r="E280" s="24">
        <v>2500000</v>
      </c>
      <c r="F280" s="39">
        <v>44146</v>
      </c>
      <c r="G280" s="24">
        <v>2500000</v>
      </c>
      <c r="H280" s="23">
        <v>5.0000000000000001E-3</v>
      </c>
      <c r="I280" s="39">
        <v>44440</v>
      </c>
      <c r="J280" s="39">
        <v>44469</v>
      </c>
      <c r="K280" s="24">
        <v>30</v>
      </c>
      <c r="L280" s="24">
        <v>1027</v>
      </c>
      <c r="M280" s="24">
        <v>2500000</v>
      </c>
      <c r="N280" s="39">
        <v>45971</v>
      </c>
    </row>
    <row r="281" spans="1:14" s="5" customFormat="1" outlineLevel="2">
      <c r="A281" s="39" t="s">
        <v>120</v>
      </c>
      <c r="B281" s="40" t="s">
        <v>58</v>
      </c>
      <c r="C281" s="41" t="s">
        <v>71</v>
      </c>
      <c r="D281" s="40" t="s">
        <v>72</v>
      </c>
      <c r="E281" s="24">
        <v>11610900</v>
      </c>
      <c r="F281" s="39">
        <v>44137</v>
      </c>
      <c r="G281" s="24">
        <v>11610900</v>
      </c>
      <c r="H281" s="23">
        <v>5.0000000000000001E-3</v>
      </c>
      <c r="I281" s="39">
        <v>44440</v>
      </c>
      <c r="J281" s="39">
        <v>44469</v>
      </c>
      <c r="K281" s="24">
        <v>30</v>
      </c>
      <c r="L281" s="24">
        <v>4772</v>
      </c>
      <c r="M281" s="24">
        <v>11610900</v>
      </c>
      <c r="N281" s="39">
        <v>45962</v>
      </c>
    </row>
    <row r="282" spans="1:14" s="5" customFormat="1" outlineLevel="2">
      <c r="A282" s="39" t="s">
        <v>120</v>
      </c>
      <c r="B282" s="40" t="s">
        <v>99</v>
      </c>
      <c r="C282" s="41" t="s">
        <v>130</v>
      </c>
      <c r="D282" s="40" t="s">
        <v>131</v>
      </c>
      <c r="E282" s="24">
        <v>12000000</v>
      </c>
      <c r="F282" s="39">
        <v>44145</v>
      </c>
      <c r="G282" s="24">
        <v>7000000</v>
      </c>
      <c r="H282" s="23">
        <v>5.0000000000000001E-3</v>
      </c>
      <c r="I282" s="39">
        <v>44440</v>
      </c>
      <c r="J282" s="39">
        <v>44469</v>
      </c>
      <c r="K282" s="24">
        <v>30</v>
      </c>
      <c r="L282" s="24">
        <v>2877</v>
      </c>
      <c r="M282" s="24">
        <v>7000000</v>
      </c>
      <c r="N282" s="39">
        <v>45970</v>
      </c>
    </row>
    <row r="283" spans="1:14" s="5" customFormat="1" outlineLevel="2">
      <c r="A283" s="39" t="s">
        <v>120</v>
      </c>
      <c r="B283" s="40" t="s">
        <v>100</v>
      </c>
      <c r="C283" s="41" t="s">
        <v>132</v>
      </c>
      <c r="D283" s="40" t="s">
        <v>133</v>
      </c>
      <c r="E283" s="24">
        <v>23000000</v>
      </c>
      <c r="F283" s="39">
        <v>44137</v>
      </c>
      <c r="G283" s="24">
        <v>19166670</v>
      </c>
      <c r="H283" s="23">
        <v>5.0000000000000001E-3</v>
      </c>
      <c r="I283" s="39">
        <v>44440</v>
      </c>
      <c r="J283" s="39">
        <v>44453</v>
      </c>
      <c r="K283" s="24">
        <v>14</v>
      </c>
      <c r="L283" s="24">
        <v>3676</v>
      </c>
      <c r="M283" s="24">
        <v>18783337</v>
      </c>
      <c r="N283" s="39">
        <v>45962</v>
      </c>
    </row>
    <row r="284" spans="1:14" s="5" customFormat="1" outlineLevel="2">
      <c r="A284" s="39" t="s">
        <v>120</v>
      </c>
      <c r="B284" s="40" t="s">
        <v>100</v>
      </c>
      <c r="C284" s="41" t="s">
        <v>132</v>
      </c>
      <c r="D284" s="40"/>
      <c r="E284" s="24"/>
      <c r="F284" s="39"/>
      <c r="G284" s="24">
        <v>18783337</v>
      </c>
      <c r="H284" s="23">
        <v>5.0000000000000001E-3</v>
      </c>
      <c r="I284" s="39">
        <v>44454</v>
      </c>
      <c r="J284" s="39">
        <v>44469</v>
      </c>
      <c r="K284" s="24">
        <v>16</v>
      </c>
      <c r="L284" s="24">
        <v>4117</v>
      </c>
      <c r="M284" s="24"/>
      <c r="N284" s="39">
        <v>45962</v>
      </c>
    </row>
    <row r="285" spans="1:14" s="5" customFormat="1" outlineLevel="2">
      <c r="A285" s="39" t="s">
        <v>120</v>
      </c>
      <c r="B285" s="40" t="s">
        <v>101</v>
      </c>
      <c r="C285" s="41" t="s">
        <v>132</v>
      </c>
      <c r="D285" s="40" t="s">
        <v>133</v>
      </c>
      <c r="E285" s="24">
        <v>17000000</v>
      </c>
      <c r="F285" s="39">
        <v>44145</v>
      </c>
      <c r="G285" s="24">
        <v>14166670</v>
      </c>
      <c r="H285" s="23">
        <v>5.0000000000000001E-3</v>
      </c>
      <c r="I285" s="39">
        <v>44440</v>
      </c>
      <c r="J285" s="39">
        <v>44453</v>
      </c>
      <c r="K285" s="24">
        <v>14</v>
      </c>
      <c r="L285" s="24">
        <v>2717</v>
      </c>
      <c r="M285" s="24">
        <v>13883337</v>
      </c>
      <c r="N285" s="39">
        <v>45970</v>
      </c>
    </row>
    <row r="286" spans="1:14" s="5" customFormat="1" outlineLevel="2">
      <c r="A286" s="39" t="s">
        <v>120</v>
      </c>
      <c r="B286" s="40" t="s">
        <v>101</v>
      </c>
      <c r="C286" s="41" t="s">
        <v>132</v>
      </c>
      <c r="D286" s="40"/>
      <c r="E286" s="24"/>
      <c r="F286" s="39"/>
      <c r="G286" s="24">
        <v>13883337</v>
      </c>
      <c r="H286" s="23">
        <v>5.0000000000000001E-3</v>
      </c>
      <c r="I286" s="39">
        <v>44454</v>
      </c>
      <c r="J286" s="39">
        <v>44469</v>
      </c>
      <c r="K286" s="24">
        <v>16</v>
      </c>
      <c r="L286" s="24">
        <v>3043</v>
      </c>
      <c r="M286" s="24"/>
      <c r="N286" s="39">
        <v>45970</v>
      </c>
    </row>
    <row r="287" spans="1:14" s="5" customFormat="1" outlineLevel="2">
      <c r="A287" s="39" t="s">
        <v>120</v>
      </c>
      <c r="B287" s="40" t="s">
        <v>102</v>
      </c>
      <c r="C287" s="41" t="s">
        <v>17</v>
      </c>
      <c r="D287" s="40" t="s">
        <v>18</v>
      </c>
      <c r="E287" s="24">
        <v>4591000</v>
      </c>
      <c r="F287" s="39">
        <v>44160</v>
      </c>
      <c r="G287" s="24">
        <v>3902347</v>
      </c>
      <c r="H287" s="23">
        <v>5.0000000000000001E-3</v>
      </c>
      <c r="I287" s="39">
        <v>44440</v>
      </c>
      <c r="J287" s="39">
        <v>44453</v>
      </c>
      <c r="K287" s="24">
        <v>14</v>
      </c>
      <c r="L287" s="24">
        <v>748</v>
      </c>
      <c r="M287" s="24">
        <v>3825830</v>
      </c>
      <c r="N287" s="39">
        <v>45985</v>
      </c>
    </row>
    <row r="288" spans="1:14" s="5" customFormat="1" outlineLevel="2">
      <c r="A288" s="39" t="s">
        <v>120</v>
      </c>
      <c r="B288" s="40" t="s">
        <v>102</v>
      </c>
      <c r="C288" s="41" t="s">
        <v>17</v>
      </c>
      <c r="D288" s="40"/>
      <c r="E288" s="24"/>
      <c r="F288" s="39"/>
      <c r="G288" s="24">
        <v>3825830</v>
      </c>
      <c r="H288" s="23">
        <v>5.0000000000000001E-3</v>
      </c>
      <c r="I288" s="39">
        <v>44454</v>
      </c>
      <c r="J288" s="39">
        <v>44469</v>
      </c>
      <c r="K288" s="24">
        <v>16</v>
      </c>
      <c r="L288" s="24">
        <v>839</v>
      </c>
      <c r="M288" s="24"/>
      <c r="N288" s="39">
        <v>45985</v>
      </c>
    </row>
    <row r="289" spans="1:14" s="5" customFormat="1" outlineLevel="2">
      <c r="A289" s="39" t="s">
        <v>120</v>
      </c>
      <c r="B289" s="40" t="s">
        <v>103</v>
      </c>
      <c r="C289" s="41" t="s">
        <v>83</v>
      </c>
      <c r="D289" s="40" t="s">
        <v>84</v>
      </c>
      <c r="E289" s="24">
        <v>238000000</v>
      </c>
      <c r="F289" s="39">
        <v>44189</v>
      </c>
      <c r="G289" s="24">
        <v>238000000</v>
      </c>
      <c r="H289" s="23">
        <v>5.0000000000000001E-3</v>
      </c>
      <c r="I289" s="39">
        <v>44440</v>
      </c>
      <c r="J289" s="39">
        <v>44469</v>
      </c>
      <c r="K289" s="24">
        <v>30</v>
      </c>
      <c r="L289" s="24">
        <v>97808</v>
      </c>
      <c r="M289" s="24">
        <v>238000000</v>
      </c>
      <c r="N289" s="39">
        <v>46014</v>
      </c>
    </row>
    <row r="290" spans="1:14" s="5" customFormat="1" outlineLevel="2">
      <c r="A290" s="39" t="s">
        <v>120</v>
      </c>
      <c r="B290" s="40" t="s">
        <v>104</v>
      </c>
      <c r="C290" s="41" t="s">
        <v>97</v>
      </c>
      <c r="D290" s="40" t="s">
        <v>98</v>
      </c>
      <c r="E290" s="24">
        <v>17000000</v>
      </c>
      <c r="F290" s="39">
        <v>44180</v>
      </c>
      <c r="G290" s="24">
        <v>17000000</v>
      </c>
      <c r="H290" s="23">
        <v>5.0000000000000001E-3</v>
      </c>
      <c r="I290" s="39">
        <v>44440</v>
      </c>
      <c r="J290" s="39">
        <v>44469</v>
      </c>
      <c r="K290" s="24">
        <v>30</v>
      </c>
      <c r="L290" s="24">
        <v>6986</v>
      </c>
      <c r="M290" s="24">
        <v>17000000</v>
      </c>
      <c r="N290" s="39">
        <v>46005</v>
      </c>
    </row>
    <row r="291" spans="1:14" s="5" customFormat="1" outlineLevel="2">
      <c r="A291" s="39" t="s">
        <v>120</v>
      </c>
      <c r="B291" s="40" t="s">
        <v>105</v>
      </c>
      <c r="C291" s="41" t="s">
        <v>134</v>
      </c>
      <c r="D291" s="40" t="s">
        <v>135</v>
      </c>
      <c r="E291" s="24">
        <v>8000000</v>
      </c>
      <c r="F291" s="39">
        <v>44169</v>
      </c>
      <c r="G291" s="24">
        <v>8000000</v>
      </c>
      <c r="H291" s="23">
        <v>5.0000000000000001E-3</v>
      </c>
      <c r="I291" s="39">
        <v>44440</v>
      </c>
      <c r="J291" s="39">
        <v>44469</v>
      </c>
      <c r="K291" s="24">
        <v>30</v>
      </c>
      <c r="L291" s="24">
        <v>3288</v>
      </c>
      <c r="M291" s="24">
        <v>8000000</v>
      </c>
      <c r="N291" s="39">
        <v>45994</v>
      </c>
    </row>
    <row r="292" spans="1:14" s="5" customFormat="1" outlineLevel="2">
      <c r="A292" s="39" t="s">
        <v>120</v>
      </c>
      <c r="B292" s="40" t="s">
        <v>106</v>
      </c>
      <c r="C292" s="41" t="s">
        <v>134</v>
      </c>
      <c r="D292" s="40" t="s">
        <v>135</v>
      </c>
      <c r="E292" s="24">
        <v>15000000</v>
      </c>
      <c r="F292" s="39">
        <v>44169</v>
      </c>
      <c r="G292" s="24">
        <v>15000000</v>
      </c>
      <c r="H292" s="23">
        <v>5.0000000000000001E-3</v>
      </c>
      <c r="I292" s="39">
        <v>44440</v>
      </c>
      <c r="J292" s="39">
        <v>44469</v>
      </c>
      <c r="K292" s="24">
        <v>30</v>
      </c>
      <c r="L292" s="24">
        <v>6164</v>
      </c>
      <c r="M292" s="24">
        <v>15000000</v>
      </c>
      <c r="N292" s="39">
        <v>45994</v>
      </c>
    </row>
    <row r="293" spans="1:14" s="5" customFormat="1" outlineLevel="2">
      <c r="A293" s="39" t="s">
        <v>120</v>
      </c>
      <c r="B293" s="40" t="s">
        <v>59</v>
      </c>
      <c r="C293" s="41" t="s">
        <v>20</v>
      </c>
      <c r="D293" s="40" t="s">
        <v>21</v>
      </c>
      <c r="E293" s="24">
        <v>144000000</v>
      </c>
      <c r="F293" s="39">
        <v>43922</v>
      </c>
      <c r="G293" s="24">
        <v>144000000</v>
      </c>
      <c r="H293" s="23">
        <v>5.0000000000000001E-3</v>
      </c>
      <c r="I293" s="39">
        <v>44440</v>
      </c>
      <c r="J293" s="39">
        <v>44469</v>
      </c>
      <c r="K293" s="24">
        <v>30</v>
      </c>
      <c r="L293" s="24">
        <v>59178</v>
      </c>
      <c r="M293" s="24">
        <v>144000000</v>
      </c>
      <c r="N293" s="39">
        <v>45747</v>
      </c>
    </row>
    <row r="294" spans="1:14" s="5" customFormat="1" outlineLevel="2">
      <c r="A294" s="39" t="s">
        <v>120</v>
      </c>
      <c r="B294" s="40" t="s">
        <v>136</v>
      </c>
      <c r="C294" s="41" t="s">
        <v>125</v>
      </c>
      <c r="D294" s="40" t="s">
        <v>126</v>
      </c>
      <c r="E294" s="24">
        <v>7000000</v>
      </c>
      <c r="F294" s="39">
        <v>44202</v>
      </c>
      <c r="G294" s="24">
        <v>7000000</v>
      </c>
      <c r="H294" s="23">
        <v>5.0000000000000001E-3</v>
      </c>
      <c r="I294" s="39">
        <v>44440</v>
      </c>
      <c r="J294" s="39">
        <v>44469</v>
      </c>
      <c r="K294" s="24">
        <v>30</v>
      </c>
      <c r="L294" s="24">
        <v>2877</v>
      </c>
      <c r="M294" s="24">
        <v>7000000</v>
      </c>
      <c r="N294" s="39">
        <v>46027</v>
      </c>
    </row>
    <row r="295" spans="1:14" s="5" customFormat="1" outlineLevel="2">
      <c r="A295" s="39" t="s">
        <v>120</v>
      </c>
      <c r="B295" s="40" t="s">
        <v>137</v>
      </c>
      <c r="C295" s="41" t="s">
        <v>125</v>
      </c>
      <c r="D295" s="40" t="s">
        <v>126</v>
      </c>
      <c r="E295" s="24">
        <v>26000000</v>
      </c>
      <c r="F295" s="39">
        <v>44218</v>
      </c>
      <c r="G295" s="24">
        <v>26000000</v>
      </c>
      <c r="H295" s="23">
        <v>5.0000000000000001E-3</v>
      </c>
      <c r="I295" s="39">
        <v>44440</v>
      </c>
      <c r="J295" s="39">
        <v>44469</v>
      </c>
      <c r="K295" s="24">
        <v>30</v>
      </c>
      <c r="L295" s="24">
        <v>10685</v>
      </c>
      <c r="M295" s="24">
        <v>26000000</v>
      </c>
      <c r="N295" s="39">
        <v>46043</v>
      </c>
    </row>
    <row r="296" spans="1:14" s="5" customFormat="1" outlineLevel="2">
      <c r="A296" s="39" t="s">
        <v>120</v>
      </c>
      <c r="B296" s="40" t="s">
        <v>138</v>
      </c>
      <c r="C296" s="41" t="s">
        <v>134</v>
      </c>
      <c r="D296" s="40" t="s">
        <v>135</v>
      </c>
      <c r="E296" s="24">
        <v>15000000</v>
      </c>
      <c r="F296" s="39">
        <v>44200</v>
      </c>
      <c r="G296" s="24">
        <v>15000000</v>
      </c>
      <c r="H296" s="23">
        <v>5.0000000000000001E-3</v>
      </c>
      <c r="I296" s="39">
        <v>44440</v>
      </c>
      <c r="J296" s="39">
        <v>44469</v>
      </c>
      <c r="K296" s="24">
        <v>30</v>
      </c>
      <c r="L296" s="24">
        <v>6164</v>
      </c>
      <c r="M296" s="24">
        <v>15000000</v>
      </c>
      <c r="N296" s="39">
        <v>46025</v>
      </c>
    </row>
    <row r="297" spans="1:14" s="5" customFormat="1" outlineLevel="2">
      <c r="A297" s="39" t="s">
        <v>120</v>
      </c>
      <c r="B297" s="40" t="s">
        <v>139</v>
      </c>
      <c r="C297" s="41" t="s">
        <v>134</v>
      </c>
      <c r="D297" s="40" t="s">
        <v>135</v>
      </c>
      <c r="E297" s="24">
        <v>6000000</v>
      </c>
      <c r="F297" s="39">
        <v>44203</v>
      </c>
      <c r="G297" s="24">
        <v>6000000</v>
      </c>
      <c r="H297" s="23">
        <v>5.0000000000000001E-3</v>
      </c>
      <c r="I297" s="39">
        <v>44440</v>
      </c>
      <c r="J297" s="39">
        <v>44469</v>
      </c>
      <c r="K297" s="24">
        <v>30</v>
      </c>
      <c r="L297" s="24">
        <v>2466</v>
      </c>
      <c r="M297" s="24">
        <v>6000000</v>
      </c>
      <c r="N297" s="39">
        <v>46028</v>
      </c>
    </row>
    <row r="298" spans="1:14" s="5" customFormat="1" outlineLevel="2">
      <c r="A298" s="39" t="s">
        <v>120</v>
      </c>
      <c r="B298" s="40" t="s">
        <v>140</v>
      </c>
      <c r="C298" s="41" t="s">
        <v>134</v>
      </c>
      <c r="D298" s="40" t="s">
        <v>135</v>
      </c>
      <c r="E298" s="24">
        <v>9000000</v>
      </c>
      <c r="F298" s="39">
        <v>44216</v>
      </c>
      <c r="G298" s="24">
        <v>9000000</v>
      </c>
      <c r="H298" s="23">
        <v>5.0000000000000001E-3</v>
      </c>
      <c r="I298" s="39">
        <v>44440</v>
      </c>
      <c r="J298" s="39">
        <v>44469</v>
      </c>
      <c r="K298" s="24">
        <v>30</v>
      </c>
      <c r="L298" s="24">
        <v>3699</v>
      </c>
      <c r="M298" s="24">
        <v>9000000</v>
      </c>
      <c r="N298" s="39">
        <v>46041</v>
      </c>
    </row>
    <row r="299" spans="1:14" s="5" customFormat="1" outlineLevel="2">
      <c r="A299" s="39" t="s">
        <v>120</v>
      </c>
      <c r="B299" s="40" t="s">
        <v>169</v>
      </c>
      <c r="C299" s="41" t="s">
        <v>20</v>
      </c>
      <c r="D299" s="40" t="s">
        <v>21</v>
      </c>
      <c r="E299" s="24">
        <v>150000000</v>
      </c>
      <c r="F299" s="39">
        <v>44231</v>
      </c>
      <c r="G299" s="24">
        <v>150000000</v>
      </c>
      <c r="H299" s="23">
        <v>3.0000000000000001E-3</v>
      </c>
      <c r="I299" s="39">
        <v>44440</v>
      </c>
      <c r="J299" s="39">
        <v>44469</v>
      </c>
      <c r="K299" s="24">
        <v>30</v>
      </c>
      <c r="L299" s="24">
        <v>36986</v>
      </c>
      <c r="M299" s="24">
        <v>150000000</v>
      </c>
      <c r="N299" s="39">
        <v>46056</v>
      </c>
    </row>
    <row r="300" spans="1:14" s="5" customFormat="1" outlineLevel="2">
      <c r="A300" s="39" t="s">
        <v>120</v>
      </c>
      <c r="B300" s="40" t="s">
        <v>170</v>
      </c>
      <c r="C300" s="41" t="s">
        <v>134</v>
      </c>
      <c r="D300" s="40" t="s">
        <v>135</v>
      </c>
      <c r="E300" s="24">
        <v>2000000</v>
      </c>
      <c r="F300" s="39">
        <v>44228</v>
      </c>
      <c r="G300" s="24">
        <v>2000000</v>
      </c>
      <c r="H300" s="23">
        <v>5.0000000000000001E-3</v>
      </c>
      <c r="I300" s="39">
        <v>44440</v>
      </c>
      <c r="J300" s="39">
        <v>44469</v>
      </c>
      <c r="K300" s="24">
        <v>30</v>
      </c>
      <c r="L300" s="24">
        <v>822</v>
      </c>
      <c r="M300" s="24">
        <v>2000000</v>
      </c>
      <c r="N300" s="39">
        <v>46053</v>
      </c>
    </row>
    <row r="301" spans="1:14" s="5" customFormat="1" outlineLevel="2">
      <c r="A301" s="39" t="s">
        <v>120</v>
      </c>
      <c r="B301" s="40" t="s">
        <v>171</v>
      </c>
      <c r="C301" s="41" t="s">
        <v>134</v>
      </c>
      <c r="D301" s="40" t="s">
        <v>135</v>
      </c>
      <c r="E301" s="24">
        <v>13000000</v>
      </c>
      <c r="F301" s="39">
        <v>44231</v>
      </c>
      <c r="G301" s="24">
        <v>13000000</v>
      </c>
      <c r="H301" s="23">
        <v>5.0000000000000001E-3</v>
      </c>
      <c r="I301" s="39">
        <v>44440</v>
      </c>
      <c r="J301" s="39">
        <v>44469</v>
      </c>
      <c r="K301" s="24">
        <v>30</v>
      </c>
      <c r="L301" s="24">
        <v>5342</v>
      </c>
      <c r="M301" s="24">
        <v>13000000</v>
      </c>
      <c r="N301" s="39">
        <v>46056</v>
      </c>
    </row>
    <row r="302" spans="1:14" s="5" customFormat="1" outlineLevel="2">
      <c r="A302" s="39" t="s">
        <v>120</v>
      </c>
      <c r="B302" s="40" t="s">
        <v>172</v>
      </c>
      <c r="C302" s="41" t="s">
        <v>134</v>
      </c>
      <c r="D302" s="40" t="s">
        <v>135</v>
      </c>
      <c r="E302" s="24">
        <v>8000000</v>
      </c>
      <c r="F302" s="39">
        <v>44235</v>
      </c>
      <c r="G302" s="24">
        <v>8000000</v>
      </c>
      <c r="H302" s="23">
        <v>5.0000000000000001E-3</v>
      </c>
      <c r="I302" s="39">
        <v>44440</v>
      </c>
      <c r="J302" s="39">
        <v>44469</v>
      </c>
      <c r="K302" s="24">
        <v>30</v>
      </c>
      <c r="L302" s="24">
        <v>3288</v>
      </c>
      <c r="M302" s="24">
        <v>8000000</v>
      </c>
      <c r="N302" s="39">
        <v>46060</v>
      </c>
    </row>
    <row r="303" spans="1:14" s="5" customFormat="1" outlineLevel="2">
      <c r="A303" s="39" t="s">
        <v>120</v>
      </c>
      <c r="B303" s="40" t="s">
        <v>173</v>
      </c>
      <c r="C303" s="41" t="s">
        <v>134</v>
      </c>
      <c r="D303" s="40" t="s">
        <v>135</v>
      </c>
      <c r="E303" s="24">
        <v>6000000</v>
      </c>
      <c r="F303" s="39">
        <v>44231</v>
      </c>
      <c r="G303" s="24">
        <v>6000000</v>
      </c>
      <c r="H303" s="23">
        <v>5.0000000000000001E-3</v>
      </c>
      <c r="I303" s="39">
        <v>44440</v>
      </c>
      <c r="J303" s="39">
        <v>44469</v>
      </c>
      <c r="K303" s="24">
        <v>30</v>
      </c>
      <c r="L303" s="24">
        <v>2466</v>
      </c>
      <c r="M303" s="24">
        <v>6000000</v>
      </c>
      <c r="N303" s="39">
        <v>46056</v>
      </c>
    </row>
    <row r="304" spans="1:14" s="5" customFormat="1" outlineLevel="2">
      <c r="A304" s="39" t="s">
        <v>120</v>
      </c>
      <c r="B304" s="40" t="s">
        <v>62</v>
      </c>
      <c r="C304" s="41" t="s">
        <v>125</v>
      </c>
      <c r="D304" s="40" t="s">
        <v>126</v>
      </c>
      <c r="E304" s="24">
        <v>34480000</v>
      </c>
      <c r="F304" s="39">
        <v>43980</v>
      </c>
      <c r="G304" s="24">
        <v>34480000</v>
      </c>
      <c r="H304" s="23">
        <v>5.0000000000000001E-3</v>
      </c>
      <c r="I304" s="39">
        <v>44440</v>
      </c>
      <c r="J304" s="39">
        <v>44469</v>
      </c>
      <c r="K304" s="24">
        <v>30</v>
      </c>
      <c r="L304" s="24">
        <v>14170</v>
      </c>
      <c r="M304" s="24">
        <v>34480000</v>
      </c>
      <c r="N304" s="39">
        <v>45805</v>
      </c>
    </row>
    <row r="305" spans="1:14" s="5" customFormat="1" outlineLevel="2">
      <c r="A305" s="39" t="s">
        <v>120</v>
      </c>
      <c r="B305" s="40" t="s">
        <v>174</v>
      </c>
      <c r="C305" s="41" t="s">
        <v>246</v>
      </c>
      <c r="D305" s="40" t="s">
        <v>247</v>
      </c>
      <c r="E305" s="24">
        <v>11000000</v>
      </c>
      <c r="F305" s="39">
        <v>44235</v>
      </c>
      <c r="G305" s="24">
        <v>11000000</v>
      </c>
      <c r="H305" s="23">
        <v>5.0000000000000001E-3</v>
      </c>
      <c r="I305" s="39">
        <v>44440</v>
      </c>
      <c r="J305" s="39">
        <v>44469</v>
      </c>
      <c r="K305" s="24">
        <v>30</v>
      </c>
      <c r="L305" s="24">
        <v>4521</v>
      </c>
      <c r="M305" s="24">
        <v>11000000</v>
      </c>
      <c r="N305" s="39">
        <v>46060</v>
      </c>
    </row>
    <row r="306" spans="1:14" s="5" customFormat="1" outlineLevel="2">
      <c r="A306" s="39" t="s">
        <v>120</v>
      </c>
      <c r="B306" s="40" t="s">
        <v>175</v>
      </c>
      <c r="C306" s="41" t="s">
        <v>246</v>
      </c>
      <c r="D306" s="40" t="s">
        <v>247</v>
      </c>
      <c r="E306" s="24">
        <v>67000000</v>
      </c>
      <c r="F306" s="39">
        <v>44251</v>
      </c>
      <c r="G306" s="24">
        <v>67000000</v>
      </c>
      <c r="H306" s="23">
        <v>5.0000000000000001E-3</v>
      </c>
      <c r="I306" s="39">
        <v>44440</v>
      </c>
      <c r="J306" s="39">
        <v>44469</v>
      </c>
      <c r="K306" s="24">
        <v>30</v>
      </c>
      <c r="L306" s="24">
        <v>27534</v>
      </c>
      <c r="M306" s="24">
        <v>67000000</v>
      </c>
      <c r="N306" s="39">
        <v>46076</v>
      </c>
    </row>
    <row r="307" spans="1:14" s="5" customFormat="1" outlineLevel="2">
      <c r="A307" s="39" t="s">
        <v>120</v>
      </c>
      <c r="B307" s="40" t="s">
        <v>176</v>
      </c>
      <c r="C307" s="41" t="s">
        <v>306</v>
      </c>
      <c r="D307" s="40" t="s">
        <v>305</v>
      </c>
      <c r="E307" s="24">
        <v>320000000</v>
      </c>
      <c r="F307" s="39">
        <v>44228</v>
      </c>
      <c r="G307" s="24">
        <v>320000000</v>
      </c>
      <c r="H307" s="23">
        <v>5.0000000000000001E-3</v>
      </c>
      <c r="I307" s="39">
        <v>44440</v>
      </c>
      <c r="J307" s="39">
        <v>44469</v>
      </c>
      <c r="K307" s="24">
        <v>30</v>
      </c>
      <c r="L307" s="24">
        <v>131507</v>
      </c>
      <c r="M307" s="24">
        <v>320000000</v>
      </c>
      <c r="N307" s="39">
        <v>46053</v>
      </c>
    </row>
    <row r="308" spans="1:14" s="5" customFormat="1" outlineLevel="2">
      <c r="A308" s="39" t="s">
        <v>120</v>
      </c>
      <c r="B308" s="40" t="s">
        <v>177</v>
      </c>
      <c r="C308" s="41" t="s">
        <v>306</v>
      </c>
      <c r="D308" s="40" t="s">
        <v>305</v>
      </c>
      <c r="E308" s="24">
        <v>17000000</v>
      </c>
      <c r="F308" s="39">
        <v>44246</v>
      </c>
      <c r="G308" s="24">
        <v>17000000</v>
      </c>
      <c r="H308" s="23">
        <v>5.0000000000000001E-3</v>
      </c>
      <c r="I308" s="39">
        <v>44440</v>
      </c>
      <c r="J308" s="39">
        <v>44469</v>
      </c>
      <c r="K308" s="24">
        <v>30</v>
      </c>
      <c r="L308" s="24">
        <v>6986</v>
      </c>
      <c r="M308" s="24">
        <v>17000000</v>
      </c>
      <c r="N308" s="39">
        <v>46071</v>
      </c>
    </row>
    <row r="309" spans="1:14" s="5" customFormat="1" outlineLevel="2">
      <c r="A309" s="39" t="s">
        <v>120</v>
      </c>
      <c r="B309" s="40" t="s">
        <v>178</v>
      </c>
      <c r="C309" s="41" t="s">
        <v>71</v>
      </c>
      <c r="D309" s="40" t="s">
        <v>72</v>
      </c>
      <c r="E309" s="24">
        <v>19980000</v>
      </c>
      <c r="F309" s="39">
        <v>44252</v>
      </c>
      <c r="G309" s="24">
        <v>19980000</v>
      </c>
      <c r="H309" s="23">
        <v>5.0000000000000001E-3</v>
      </c>
      <c r="I309" s="39">
        <v>44440</v>
      </c>
      <c r="J309" s="39">
        <v>44469</v>
      </c>
      <c r="K309" s="24">
        <v>30</v>
      </c>
      <c r="L309" s="24">
        <v>8211</v>
      </c>
      <c r="M309" s="24">
        <v>19980000</v>
      </c>
      <c r="N309" s="39">
        <v>46077</v>
      </c>
    </row>
    <row r="310" spans="1:14" s="5" customFormat="1" outlineLevel="2">
      <c r="A310" s="39" t="s">
        <v>120</v>
      </c>
      <c r="B310" s="40" t="s">
        <v>179</v>
      </c>
      <c r="C310" s="41" t="s">
        <v>219</v>
      </c>
      <c r="D310" s="40" t="s">
        <v>220</v>
      </c>
      <c r="E310" s="24">
        <v>9000000</v>
      </c>
      <c r="F310" s="39">
        <v>44253</v>
      </c>
      <c r="G310" s="24">
        <v>9000000</v>
      </c>
      <c r="H310" s="23">
        <v>5.0000000000000001E-3</v>
      </c>
      <c r="I310" s="39">
        <v>44440</v>
      </c>
      <c r="J310" s="39">
        <v>44469</v>
      </c>
      <c r="K310" s="24">
        <v>30</v>
      </c>
      <c r="L310" s="24">
        <v>3699</v>
      </c>
      <c r="M310" s="24">
        <v>9000000</v>
      </c>
      <c r="N310" s="39">
        <v>46078</v>
      </c>
    </row>
    <row r="311" spans="1:14" s="5" customFormat="1" outlineLevel="2">
      <c r="A311" s="39" t="s">
        <v>120</v>
      </c>
      <c r="B311" s="40" t="s">
        <v>180</v>
      </c>
      <c r="C311" s="41" t="s">
        <v>219</v>
      </c>
      <c r="D311" s="40" t="s">
        <v>220</v>
      </c>
      <c r="E311" s="24">
        <v>17000000</v>
      </c>
      <c r="F311" s="39">
        <v>44253</v>
      </c>
      <c r="G311" s="24">
        <v>17000000</v>
      </c>
      <c r="H311" s="23">
        <v>5.0000000000000001E-3</v>
      </c>
      <c r="I311" s="39">
        <v>44440</v>
      </c>
      <c r="J311" s="39">
        <v>44469</v>
      </c>
      <c r="K311" s="24">
        <v>30</v>
      </c>
      <c r="L311" s="24">
        <v>6986</v>
      </c>
      <c r="M311" s="24">
        <v>17000000</v>
      </c>
      <c r="N311" s="39">
        <v>46078</v>
      </c>
    </row>
    <row r="312" spans="1:14" s="5" customFormat="1" outlineLevel="2">
      <c r="A312" s="39" t="s">
        <v>120</v>
      </c>
      <c r="B312" s="40" t="s">
        <v>181</v>
      </c>
      <c r="C312" s="41" t="s">
        <v>37</v>
      </c>
      <c r="D312" s="40" t="s">
        <v>38</v>
      </c>
      <c r="E312" s="24">
        <v>90862000</v>
      </c>
      <c r="F312" s="39">
        <v>44285</v>
      </c>
      <c r="G312" s="24">
        <v>90862000</v>
      </c>
      <c r="H312" s="23">
        <v>5.0000000000000001E-3</v>
      </c>
      <c r="I312" s="39">
        <v>44440</v>
      </c>
      <c r="J312" s="39">
        <v>44469</v>
      </c>
      <c r="K312" s="24">
        <v>30</v>
      </c>
      <c r="L312" s="24">
        <v>37341</v>
      </c>
      <c r="M312" s="24">
        <v>90862000</v>
      </c>
      <c r="N312" s="39">
        <v>46110</v>
      </c>
    </row>
    <row r="313" spans="1:14" s="5" customFormat="1" outlineLevel="2">
      <c r="A313" s="39" t="s">
        <v>120</v>
      </c>
      <c r="B313" s="40" t="s">
        <v>182</v>
      </c>
      <c r="C313" s="41" t="s">
        <v>37</v>
      </c>
      <c r="D313" s="40" t="s">
        <v>38</v>
      </c>
      <c r="E313" s="24">
        <v>49390000</v>
      </c>
      <c r="F313" s="39">
        <v>44285</v>
      </c>
      <c r="G313" s="24">
        <v>49390000</v>
      </c>
      <c r="H313" s="23">
        <v>5.0000000000000001E-3</v>
      </c>
      <c r="I313" s="39">
        <v>44440</v>
      </c>
      <c r="J313" s="39">
        <v>44469</v>
      </c>
      <c r="K313" s="24">
        <v>30</v>
      </c>
      <c r="L313" s="24">
        <v>20297</v>
      </c>
      <c r="M313" s="24">
        <v>49390000</v>
      </c>
      <c r="N313" s="39">
        <v>46110</v>
      </c>
    </row>
    <row r="314" spans="1:14" s="5" customFormat="1" outlineLevel="2">
      <c r="A314" s="39" t="s">
        <v>120</v>
      </c>
      <c r="B314" s="40" t="s">
        <v>183</v>
      </c>
      <c r="C314" s="41" t="s">
        <v>134</v>
      </c>
      <c r="D314" s="40" t="s">
        <v>135</v>
      </c>
      <c r="E314" s="24">
        <v>9000000</v>
      </c>
      <c r="F314" s="39">
        <v>44285</v>
      </c>
      <c r="G314" s="24">
        <v>9000000</v>
      </c>
      <c r="H314" s="23">
        <v>5.0000000000000001E-3</v>
      </c>
      <c r="I314" s="39">
        <v>44440</v>
      </c>
      <c r="J314" s="39">
        <v>44469</v>
      </c>
      <c r="K314" s="24">
        <v>30</v>
      </c>
      <c r="L314" s="24">
        <v>3699</v>
      </c>
      <c r="M314" s="24">
        <v>9000000</v>
      </c>
      <c r="N314" s="39">
        <v>46110</v>
      </c>
    </row>
    <row r="315" spans="1:14" s="5" customFormat="1" outlineLevel="2">
      <c r="A315" s="39" t="s">
        <v>120</v>
      </c>
      <c r="B315" s="40" t="s">
        <v>63</v>
      </c>
      <c r="C315" s="41" t="s">
        <v>66</v>
      </c>
      <c r="D315" s="40" t="s">
        <v>67</v>
      </c>
      <c r="E315" s="24">
        <v>56000000</v>
      </c>
      <c r="F315" s="39">
        <v>43966</v>
      </c>
      <c r="G315" s="24">
        <v>56000000</v>
      </c>
      <c r="H315" s="23">
        <v>5.0000000000000001E-3</v>
      </c>
      <c r="I315" s="39">
        <v>44440</v>
      </c>
      <c r="J315" s="39">
        <v>44469</v>
      </c>
      <c r="K315" s="24">
        <v>30</v>
      </c>
      <c r="L315" s="24">
        <v>23014</v>
      </c>
      <c r="M315" s="24">
        <v>56000000</v>
      </c>
      <c r="N315" s="39">
        <v>45791</v>
      </c>
    </row>
    <row r="316" spans="1:14" s="5" customFormat="1" outlineLevel="2">
      <c r="A316" s="39" t="s">
        <v>120</v>
      </c>
      <c r="B316" s="40" t="s">
        <v>184</v>
      </c>
      <c r="C316" s="41" t="s">
        <v>125</v>
      </c>
      <c r="D316" s="40" t="s">
        <v>126</v>
      </c>
      <c r="E316" s="24">
        <v>28000000</v>
      </c>
      <c r="F316" s="39">
        <v>44264</v>
      </c>
      <c r="G316" s="24">
        <v>28000000</v>
      </c>
      <c r="H316" s="23">
        <v>5.0000000000000001E-3</v>
      </c>
      <c r="I316" s="39">
        <v>44440</v>
      </c>
      <c r="J316" s="39">
        <v>44469</v>
      </c>
      <c r="K316" s="24">
        <v>30</v>
      </c>
      <c r="L316" s="24">
        <v>11507</v>
      </c>
      <c r="M316" s="24">
        <v>28000000</v>
      </c>
      <c r="N316" s="39">
        <v>46089</v>
      </c>
    </row>
    <row r="317" spans="1:14" s="5" customFormat="1" outlineLevel="2">
      <c r="A317" s="39" t="s">
        <v>120</v>
      </c>
      <c r="B317" s="40" t="s">
        <v>185</v>
      </c>
      <c r="C317" s="41" t="s">
        <v>125</v>
      </c>
      <c r="D317" s="40" t="s">
        <v>126</v>
      </c>
      <c r="E317" s="24">
        <v>26000000</v>
      </c>
      <c r="F317" s="39">
        <v>44264</v>
      </c>
      <c r="G317" s="24">
        <v>26000000</v>
      </c>
      <c r="H317" s="23">
        <v>5.0000000000000001E-3</v>
      </c>
      <c r="I317" s="39">
        <v>44440</v>
      </c>
      <c r="J317" s="39">
        <v>44469</v>
      </c>
      <c r="K317" s="24">
        <v>30</v>
      </c>
      <c r="L317" s="24">
        <v>10685</v>
      </c>
      <c r="M317" s="24">
        <v>26000000</v>
      </c>
      <c r="N317" s="39">
        <v>46089</v>
      </c>
    </row>
    <row r="318" spans="1:14" s="5" customFormat="1" outlineLevel="2">
      <c r="A318" s="39" t="s">
        <v>120</v>
      </c>
      <c r="B318" s="40" t="s">
        <v>186</v>
      </c>
      <c r="C318" s="41" t="s">
        <v>30</v>
      </c>
      <c r="D318" s="40" t="s">
        <v>31</v>
      </c>
      <c r="E318" s="24">
        <v>60000000</v>
      </c>
      <c r="F318" s="39">
        <v>44272</v>
      </c>
      <c r="G318" s="24">
        <v>60000000</v>
      </c>
      <c r="H318" s="23">
        <v>5.0000000000000001E-3</v>
      </c>
      <c r="I318" s="39">
        <v>44440</v>
      </c>
      <c r="J318" s="39">
        <v>44469</v>
      </c>
      <c r="K318" s="24">
        <v>30</v>
      </c>
      <c r="L318" s="24">
        <v>24658</v>
      </c>
      <c r="M318" s="24">
        <v>60000000</v>
      </c>
      <c r="N318" s="39">
        <v>46097</v>
      </c>
    </row>
    <row r="319" spans="1:14" s="5" customFormat="1" outlineLevel="2">
      <c r="A319" s="39" t="s">
        <v>120</v>
      </c>
      <c r="B319" s="40" t="s">
        <v>189</v>
      </c>
      <c r="C319" s="41" t="s">
        <v>324</v>
      </c>
      <c r="D319" s="40" t="s">
        <v>323</v>
      </c>
      <c r="E319" s="24">
        <v>37000000</v>
      </c>
      <c r="F319" s="39">
        <v>44270</v>
      </c>
      <c r="G319" s="24">
        <v>35458330</v>
      </c>
      <c r="H319" s="23">
        <v>5.0000000000000001E-3</v>
      </c>
      <c r="I319" s="39">
        <v>44440</v>
      </c>
      <c r="J319" s="39">
        <v>44453</v>
      </c>
      <c r="K319" s="24">
        <v>14</v>
      </c>
      <c r="L319" s="24">
        <v>6800</v>
      </c>
      <c r="M319" s="24">
        <v>35149996</v>
      </c>
      <c r="N319" s="39">
        <v>46095</v>
      </c>
    </row>
    <row r="320" spans="1:14" s="5" customFormat="1" outlineLevel="2">
      <c r="A320" s="39" t="s">
        <v>120</v>
      </c>
      <c r="B320" s="40" t="s">
        <v>189</v>
      </c>
      <c r="C320" s="41" t="s">
        <v>324</v>
      </c>
      <c r="D320" s="40"/>
      <c r="E320" s="24"/>
      <c r="F320" s="39"/>
      <c r="G320" s="24">
        <v>35149996</v>
      </c>
      <c r="H320" s="23">
        <v>5.0000000000000001E-3</v>
      </c>
      <c r="I320" s="39">
        <v>44454</v>
      </c>
      <c r="J320" s="39">
        <v>44469</v>
      </c>
      <c r="K320" s="24">
        <v>16</v>
      </c>
      <c r="L320" s="24">
        <v>7704</v>
      </c>
      <c r="M320" s="24"/>
      <c r="N320" s="39">
        <v>46095</v>
      </c>
    </row>
    <row r="321" spans="1:14" s="5" customFormat="1" outlineLevel="2">
      <c r="A321" s="39" t="s">
        <v>120</v>
      </c>
      <c r="B321" s="40" t="s">
        <v>190</v>
      </c>
      <c r="C321" s="41" t="s">
        <v>324</v>
      </c>
      <c r="D321" s="40" t="s">
        <v>323</v>
      </c>
      <c r="E321" s="24">
        <v>23000000</v>
      </c>
      <c r="F321" s="39">
        <v>44270</v>
      </c>
      <c r="G321" s="24">
        <v>21630950</v>
      </c>
      <c r="H321" s="23">
        <v>5.0000000000000001E-3</v>
      </c>
      <c r="I321" s="39">
        <v>44440</v>
      </c>
      <c r="J321" s="39">
        <v>44453</v>
      </c>
      <c r="K321" s="24">
        <v>14</v>
      </c>
      <c r="L321" s="24">
        <v>4148</v>
      </c>
      <c r="M321" s="24">
        <v>21357140</v>
      </c>
      <c r="N321" s="39">
        <v>46095</v>
      </c>
    </row>
    <row r="322" spans="1:14" s="5" customFormat="1" outlineLevel="2">
      <c r="A322" s="39" t="s">
        <v>120</v>
      </c>
      <c r="B322" s="40" t="s">
        <v>190</v>
      </c>
      <c r="C322" s="41" t="s">
        <v>324</v>
      </c>
      <c r="D322" s="40"/>
      <c r="E322" s="24"/>
      <c r="F322" s="39"/>
      <c r="G322" s="24">
        <v>21357140</v>
      </c>
      <c r="H322" s="23">
        <v>5.0000000000000001E-3</v>
      </c>
      <c r="I322" s="39">
        <v>44454</v>
      </c>
      <c r="J322" s="39">
        <v>44469</v>
      </c>
      <c r="K322" s="24">
        <v>16</v>
      </c>
      <c r="L322" s="24">
        <v>4681</v>
      </c>
      <c r="M322" s="24"/>
      <c r="N322" s="39">
        <v>46095</v>
      </c>
    </row>
    <row r="323" spans="1:14" s="5" customFormat="1" outlineLevel="2">
      <c r="A323" s="39" t="s">
        <v>120</v>
      </c>
      <c r="B323" s="40" t="s">
        <v>191</v>
      </c>
      <c r="C323" s="41" t="s">
        <v>324</v>
      </c>
      <c r="D323" s="40" t="s">
        <v>323</v>
      </c>
      <c r="E323" s="24">
        <v>30000000</v>
      </c>
      <c r="F323" s="39">
        <v>44270</v>
      </c>
      <c r="G323" s="24">
        <v>28214285</v>
      </c>
      <c r="H323" s="23">
        <v>5.0000000000000001E-3</v>
      </c>
      <c r="I323" s="39">
        <v>44440</v>
      </c>
      <c r="J323" s="39">
        <v>44453</v>
      </c>
      <c r="K323" s="24">
        <v>14</v>
      </c>
      <c r="L323" s="24">
        <v>5411</v>
      </c>
      <c r="M323" s="24">
        <v>27857142</v>
      </c>
      <c r="N323" s="39">
        <v>46095</v>
      </c>
    </row>
    <row r="324" spans="1:14" s="5" customFormat="1" outlineLevel="2">
      <c r="A324" s="39" t="s">
        <v>120</v>
      </c>
      <c r="B324" s="40" t="s">
        <v>191</v>
      </c>
      <c r="C324" s="41" t="s">
        <v>324</v>
      </c>
      <c r="D324" s="40"/>
      <c r="E324" s="24"/>
      <c r="F324" s="39"/>
      <c r="G324" s="24">
        <v>27857142</v>
      </c>
      <c r="H324" s="23">
        <v>5.0000000000000001E-3</v>
      </c>
      <c r="I324" s="39">
        <v>44454</v>
      </c>
      <c r="J324" s="39">
        <v>44469</v>
      </c>
      <c r="K324" s="24">
        <v>16</v>
      </c>
      <c r="L324" s="24">
        <v>6106</v>
      </c>
      <c r="M324" s="24"/>
      <c r="N324" s="39">
        <v>46095</v>
      </c>
    </row>
    <row r="325" spans="1:14" s="5" customFormat="1" outlineLevel="2">
      <c r="A325" s="39" t="s">
        <v>120</v>
      </c>
      <c r="B325" s="40" t="s">
        <v>192</v>
      </c>
      <c r="C325" s="41" t="s">
        <v>341</v>
      </c>
      <c r="D325" s="40" t="s">
        <v>340</v>
      </c>
      <c r="E325" s="24">
        <v>33600000</v>
      </c>
      <c r="F325" s="39">
        <v>44314</v>
      </c>
      <c r="G325" s="24">
        <v>33600000</v>
      </c>
      <c r="H325" s="23">
        <v>5.0000000000000001E-3</v>
      </c>
      <c r="I325" s="39">
        <v>44440</v>
      </c>
      <c r="J325" s="39">
        <v>44469</v>
      </c>
      <c r="K325" s="24">
        <v>30</v>
      </c>
      <c r="L325" s="24">
        <v>13808</v>
      </c>
      <c r="M325" s="24">
        <v>33600000</v>
      </c>
      <c r="N325" s="39">
        <v>46139</v>
      </c>
    </row>
    <row r="326" spans="1:14" s="5" customFormat="1" outlineLevel="2">
      <c r="A326" s="39" t="s">
        <v>120</v>
      </c>
      <c r="B326" s="40" t="s">
        <v>193</v>
      </c>
      <c r="C326" s="41" t="s">
        <v>219</v>
      </c>
      <c r="D326" s="40" t="s">
        <v>220</v>
      </c>
      <c r="E326" s="24">
        <v>22000000</v>
      </c>
      <c r="F326" s="39">
        <v>44314</v>
      </c>
      <c r="G326" s="24">
        <v>22000000</v>
      </c>
      <c r="H326" s="23">
        <v>5.0000000000000001E-3</v>
      </c>
      <c r="I326" s="39">
        <v>44440</v>
      </c>
      <c r="J326" s="39">
        <v>44469</v>
      </c>
      <c r="K326" s="24">
        <v>30</v>
      </c>
      <c r="L326" s="24">
        <v>9041</v>
      </c>
      <c r="M326" s="24">
        <v>22000000</v>
      </c>
      <c r="N326" s="39">
        <v>46139</v>
      </c>
    </row>
    <row r="327" spans="1:14" s="5" customFormat="1" outlineLevel="2">
      <c r="A327" s="39" t="s">
        <v>120</v>
      </c>
      <c r="B327" s="40" t="s">
        <v>194</v>
      </c>
      <c r="C327" s="41" t="s">
        <v>345</v>
      </c>
      <c r="D327" s="40" t="s">
        <v>344</v>
      </c>
      <c r="E327" s="24">
        <v>16000000</v>
      </c>
      <c r="F327" s="39">
        <v>44315</v>
      </c>
      <c r="G327" s="24">
        <v>16000000</v>
      </c>
      <c r="H327" s="23">
        <v>3.0000000000000001E-3</v>
      </c>
      <c r="I327" s="39">
        <v>44440</v>
      </c>
      <c r="J327" s="39">
        <v>44469</v>
      </c>
      <c r="K327" s="24">
        <v>30</v>
      </c>
      <c r="L327" s="24">
        <v>3945</v>
      </c>
      <c r="M327" s="24">
        <v>16000000</v>
      </c>
      <c r="N327" s="39">
        <v>46140</v>
      </c>
    </row>
    <row r="328" spans="1:14" s="5" customFormat="1" outlineLevel="2">
      <c r="A328" s="39" t="s">
        <v>120</v>
      </c>
      <c r="B328" s="40" t="s">
        <v>195</v>
      </c>
      <c r="C328" s="41" t="s">
        <v>363</v>
      </c>
      <c r="D328" s="40" t="s">
        <v>362</v>
      </c>
      <c r="E328" s="24">
        <v>3800000</v>
      </c>
      <c r="F328" s="39">
        <v>44309</v>
      </c>
      <c r="G328" s="24">
        <v>3800000</v>
      </c>
      <c r="H328" s="23">
        <v>5.0000000000000001E-3</v>
      </c>
      <c r="I328" s="39">
        <v>44440</v>
      </c>
      <c r="J328" s="39">
        <v>44469</v>
      </c>
      <c r="K328" s="24">
        <v>30</v>
      </c>
      <c r="L328" s="24">
        <v>1562</v>
      </c>
      <c r="M328" s="24">
        <v>3800000</v>
      </c>
      <c r="N328" s="39">
        <v>46134</v>
      </c>
    </row>
    <row r="329" spans="1:14" s="5" customFormat="1" outlineLevel="2">
      <c r="A329" s="39" t="s">
        <v>120</v>
      </c>
      <c r="B329" s="40" t="s">
        <v>64</v>
      </c>
      <c r="C329" s="41" t="s">
        <v>20</v>
      </c>
      <c r="D329" s="40" t="s">
        <v>21</v>
      </c>
      <c r="E329" s="24">
        <v>150000000</v>
      </c>
      <c r="F329" s="39">
        <v>43958</v>
      </c>
      <c r="G329" s="24">
        <v>150000000</v>
      </c>
      <c r="H329" s="23">
        <v>5.0000000000000001E-3</v>
      </c>
      <c r="I329" s="39">
        <v>44440</v>
      </c>
      <c r="J329" s="39">
        <v>44469</v>
      </c>
      <c r="K329" s="24">
        <v>30</v>
      </c>
      <c r="L329" s="24">
        <v>61644</v>
      </c>
      <c r="M329" s="24">
        <v>150000000</v>
      </c>
      <c r="N329" s="39">
        <v>45783</v>
      </c>
    </row>
    <row r="330" spans="1:14" s="5" customFormat="1" outlineLevel="2">
      <c r="A330" s="39" t="s">
        <v>120</v>
      </c>
      <c r="B330" s="40" t="s">
        <v>196</v>
      </c>
      <c r="C330" s="41" t="s">
        <v>17</v>
      </c>
      <c r="D330" s="40" t="s">
        <v>18</v>
      </c>
      <c r="E330" s="24">
        <v>2245530</v>
      </c>
      <c r="F330" s="39">
        <v>44334</v>
      </c>
      <c r="G330" s="24">
        <v>2120778</v>
      </c>
      <c r="H330" s="23">
        <v>5.0000000000000001E-3</v>
      </c>
      <c r="I330" s="39">
        <v>44440</v>
      </c>
      <c r="J330" s="39">
        <v>44453</v>
      </c>
      <c r="K330" s="24">
        <v>14</v>
      </c>
      <c r="L330" s="24">
        <v>407</v>
      </c>
      <c r="M330" s="24">
        <v>2079194</v>
      </c>
      <c r="N330" s="39">
        <v>46159</v>
      </c>
    </row>
    <row r="331" spans="1:14" s="5" customFormat="1" outlineLevel="2">
      <c r="A331" s="39" t="s">
        <v>120</v>
      </c>
      <c r="B331" s="40" t="s">
        <v>196</v>
      </c>
      <c r="C331" s="41" t="s">
        <v>17</v>
      </c>
      <c r="D331" s="40"/>
      <c r="E331" s="24"/>
      <c r="F331" s="39"/>
      <c r="G331" s="24">
        <v>2079194</v>
      </c>
      <c r="H331" s="23">
        <v>5.0000000000000001E-3</v>
      </c>
      <c r="I331" s="39">
        <v>44454</v>
      </c>
      <c r="J331" s="39">
        <v>44469</v>
      </c>
      <c r="K331" s="24">
        <v>16</v>
      </c>
      <c r="L331" s="24">
        <v>456</v>
      </c>
      <c r="M331" s="24"/>
      <c r="N331" s="39">
        <v>46159</v>
      </c>
    </row>
    <row r="332" spans="1:14" s="5" customFormat="1" outlineLevel="2">
      <c r="A332" s="39" t="s">
        <v>120</v>
      </c>
      <c r="B332" s="40" t="s">
        <v>197</v>
      </c>
      <c r="C332" s="41" t="s">
        <v>134</v>
      </c>
      <c r="D332" s="40" t="s">
        <v>135</v>
      </c>
      <c r="E332" s="24">
        <v>1000000</v>
      </c>
      <c r="F332" s="39">
        <v>44376</v>
      </c>
      <c r="G332" s="24">
        <v>1000000</v>
      </c>
      <c r="H332" s="23">
        <v>5.0000000000000001E-3</v>
      </c>
      <c r="I332" s="39">
        <v>44440</v>
      </c>
      <c r="J332" s="39">
        <v>44469</v>
      </c>
      <c r="K332" s="24">
        <v>30</v>
      </c>
      <c r="L332" s="24">
        <v>411</v>
      </c>
      <c r="M332" s="24">
        <v>1000000</v>
      </c>
      <c r="N332" s="39">
        <v>46201</v>
      </c>
    </row>
    <row r="333" spans="1:14" s="5" customFormat="1" outlineLevel="2">
      <c r="A333" s="39" t="s">
        <v>120</v>
      </c>
      <c r="B333" s="40" t="s">
        <v>198</v>
      </c>
      <c r="C333" s="41" t="s">
        <v>134</v>
      </c>
      <c r="D333" s="40" t="s">
        <v>135</v>
      </c>
      <c r="E333" s="24">
        <v>3000000</v>
      </c>
      <c r="F333" s="39">
        <v>44376</v>
      </c>
      <c r="G333" s="24">
        <v>3000000</v>
      </c>
      <c r="H333" s="23">
        <v>5.0000000000000001E-3</v>
      </c>
      <c r="I333" s="39">
        <v>44440</v>
      </c>
      <c r="J333" s="39">
        <v>44469</v>
      </c>
      <c r="K333" s="24">
        <v>30</v>
      </c>
      <c r="L333" s="24">
        <v>1233</v>
      </c>
      <c r="M333" s="24">
        <v>3000000</v>
      </c>
      <c r="N333" s="39">
        <v>46201</v>
      </c>
    </row>
    <row r="334" spans="1:14" s="5" customFormat="1" outlineLevel="2">
      <c r="A334" s="39" t="s">
        <v>120</v>
      </c>
      <c r="B334" s="40" t="s">
        <v>199</v>
      </c>
      <c r="C334" s="41" t="s">
        <v>219</v>
      </c>
      <c r="D334" s="40" t="s">
        <v>220</v>
      </c>
      <c r="E334" s="24">
        <v>28000000</v>
      </c>
      <c r="F334" s="39">
        <v>44375</v>
      </c>
      <c r="G334" s="24">
        <v>28000000</v>
      </c>
      <c r="H334" s="23">
        <v>5.0000000000000001E-3</v>
      </c>
      <c r="I334" s="39">
        <v>44440</v>
      </c>
      <c r="J334" s="39">
        <v>44469</v>
      </c>
      <c r="K334" s="24">
        <v>30</v>
      </c>
      <c r="L334" s="24">
        <v>11507</v>
      </c>
      <c r="M334" s="24">
        <v>28000000</v>
      </c>
      <c r="N334" s="39">
        <v>46200</v>
      </c>
    </row>
    <row r="335" spans="1:14" s="5" customFormat="1" outlineLevel="2">
      <c r="A335" s="39" t="s">
        <v>120</v>
      </c>
      <c r="B335" s="40" t="s">
        <v>200</v>
      </c>
      <c r="C335" s="41" t="s">
        <v>20</v>
      </c>
      <c r="D335" s="40" t="s">
        <v>21</v>
      </c>
      <c r="E335" s="24">
        <v>79200000</v>
      </c>
      <c r="F335" s="39">
        <v>44405</v>
      </c>
      <c r="G335" s="24">
        <v>79200000</v>
      </c>
      <c r="H335" s="23">
        <v>3.0000000000000001E-3</v>
      </c>
      <c r="I335" s="39">
        <v>44440</v>
      </c>
      <c r="J335" s="39">
        <v>44469</v>
      </c>
      <c r="K335" s="24">
        <v>30</v>
      </c>
      <c r="L335" s="24">
        <v>19529</v>
      </c>
      <c r="M335" s="24">
        <v>79200000</v>
      </c>
      <c r="N335" s="39">
        <v>46230</v>
      </c>
    </row>
    <row r="336" spans="1:14" s="5" customFormat="1" outlineLevel="2">
      <c r="A336" s="39" t="s">
        <v>120</v>
      </c>
      <c r="B336" s="40" t="s">
        <v>201</v>
      </c>
      <c r="C336" s="41" t="s">
        <v>125</v>
      </c>
      <c r="D336" s="40" t="s">
        <v>126</v>
      </c>
      <c r="E336" s="24">
        <v>6000000</v>
      </c>
      <c r="F336" s="39">
        <v>44386</v>
      </c>
      <c r="G336" s="24">
        <v>6000000</v>
      </c>
      <c r="H336" s="23">
        <v>5.0000000000000001E-3</v>
      </c>
      <c r="I336" s="39">
        <v>44440</v>
      </c>
      <c r="J336" s="39">
        <v>44469</v>
      </c>
      <c r="K336" s="24">
        <v>30</v>
      </c>
      <c r="L336" s="24">
        <v>2466</v>
      </c>
      <c r="M336" s="24">
        <v>6000000</v>
      </c>
      <c r="N336" s="39">
        <v>46211</v>
      </c>
    </row>
    <row r="337" spans="1:14" s="5" customFormat="1" outlineLevel="2">
      <c r="A337" s="39" t="s">
        <v>120</v>
      </c>
      <c r="B337" s="40" t="s">
        <v>202</v>
      </c>
      <c r="C337" s="41" t="s">
        <v>404</v>
      </c>
      <c r="D337" s="40" t="s">
        <v>403</v>
      </c>
      <c r="E337" s="24">
        <v>63360000</v>
      </c>
      <c r="F337" s="39">
        <v>44438</v>
      </c>
      <c r="G337" s="24">
        <v>63360000</v>
      </c>
      <c r="H337" s="23">
        <v>5.0000000000000001E-3</v>
      </c>
      <c r="I337" s="39">
        <v>44440</v>
      </c>
      <c r="J337" s="39">
        <v>44469</v>
      </c>
      <c r="K337" s="24">
        <v>30</v>
      </c>
      <c r="L337" s="24">
        <v>26038</v>
      </c>
      <c r="M337" s="24">
        <v>63360000</v>
      </c>
      <c r="N337" s="39">
        <v>45533</v>
      </c>
    </row>
    <row r="338" spans="1:14" s="5" customFormat="1" outlineLevel="2">
      <c r="A338" s="39" t="s">
        <v>120</v>
      </c>
      <c r="B338" s="40" t="s">
        <v>203</v>
      </c>
      <c r="C338" s="41" t="s">
        <v>37</v>
      </c>
      <c r="D338" s="40" t="s">
        <v>38</v>
      </c>
      <c r="E338" s="24">
        <v>6249000</v>
      </c>
      <c r="F338" s="39">
        <v>44454</v>
      </c>
      <c r="G338" s="24">
        <v>6249000</v>
      </c>
      <c r="H338" s="23">
        <v>5.0000000000000001E-3</v>
      </c>
      <c r="I338" s="39">
        <v>44454</v>
      </c>
      <c r="J338" s="39">
        <v>44469</v>
      </c>
      <c r="K338" s="24">
        <v>16</v>
      </c>
      <c r="L338" s="24">
        <v>1370</v>
      </c>
      <c r="M338" s="24">
        <v>6249000</v>
      </c>
      <c r="N338" s="39">
        <v>46279</v>
      </c>
    </row>
    <row r="339" spans="1:14" s="5" customFormat="1" outlineLevel="2">
      <c r="A339" s="39" t="s">
        <v>120</v>
      </c>
      <c r="B339" s="40" t="s">
        <v>204</v>
      </c>
      <c r="C339" s="41" t="s">
        <v>37</v>
      </c>
      <c r="D339" s="40" t="s">
        <v>38</v>
      </c>
      <c r="E339" s="24">
        <v>193961000</v>
      </c>
      <c r="F339" s="39">
        <v>44454</v>
      </c>
      <c r="G339" s="24">
        <v>193961000</v>
      </c>
      <c r="H339" s="23">
        <v>5.0000000000000001E-3</v>
      </c>
      <c r="I339" s="39">
        <v>44454</v>
      </c>
      <c r="J339" s="39">
        <v>44469</v>
      </c>
      <c r="K339" s="24">
        <v>16</v>
      </c>
      <c r="L339" s="24">
        <v>42512</v>
      </c>
      <c r="M339" s="24">
        <v>193961000</v>
      </c>
      <c r="N339" s="39">
        <v>46279</v>
      </c>
    </row>
    <row r="340" spans="1:14" s="5" customFormat="1" outlineLevel="2">
      <c r="A340" s="39" t="s">
        <v>120</v>
      </c>
      <c r="B340" s="40" t="s">
        <v>205</v>
      </c>
      <c r="C340" s="41" t="s">
        <v>97</v>
      </c>
      <c r="D340" s="40" t="s">
        <v>98</v>
      </c>
      <c r="E340" s="24">
        <v>188800000</v>
      </c>
      <c r="F340" s="39">
        <v>44454</v>
      </c>
      <c r="G340" s="24">
        <v>188800000</v>
      </c>
      <c r="H340" s="23">
        <v>5.0000000000000001E-3</v>
      </c>
      <c r="I340" s="39">
        <v>44454</v>
      </c>
      <c r="J340" s="39">
        <v>44469</v>
      </c>
      <c r="K340" s="24">
        <v>16</v>
      </c>
      <c r="L340" s="24">
        <v>41381</v>
      </c>
      <c r="M340" s="24">
        <v>188800000</v>
      </c>
      <c r="N340" s="39">
        <v>46279</v>
      </c>
    </row>
    <row r="341" spans="1:14" s="5" customFormat="1" outlineLevel="2">
      <c r="A341" s="39" t="s">
        <v>120</v>
      </c>
      <c r="B341" s="40" t="s">
        <v>65</v>
      </c>
      <c r="C341" s="41" t="s">
        <v>125</v>
      </c>
      <c r="D341" s="40" t="s">
        <v>126</v>
      </c>
      <c r="E341" s="24">
        <v>5000000</v>
      </c>
      <c r="F341" s="39">
        <v>43998</v>
      </c>
      <c r="G341" s="24">
        <v>5000000</v>
      </c>
      <c r="H341" s="23">
        <v>5.0000000000000001E-3</v>
      </c>
      <c r="I341" s="39">
        <v>44440</v>
      </c>
      <c r="J341" s="39">
        <v>44469</v>
      </c>
      <c r="K341" s="24">
        <v>30</v>
      </c>
      <c r="L341" s="24">
        <v>2055</v>
      </c>
      <c r="M341" s="24">
        <v>5000000</v>
      </c>
      <c r="N341" s="39">
        <v>45823</v>
      </c>
    </row>
    <row r="342" spans="1:14" s="5" customFormat="1" outlineLevel="2">
      <c r="A342" s="39" t="s">
        <v>120</v>
      </c>
      <c r="B342" s="40" t="s">
        <v>206</v>
      </c>
      <c r="C342" s="41" t="s">
        <v>71</v>
      </c>
      <c r="D342" s="40" t="s">
        <v>72</v>
      </c>
      <c r="E342" s="24">
        <v>29880000</v>
      </c>
      <c r="F342" s="39">
        <v>44448</v>
      </c>
      <c r="G342" s="24">
        <v>29880000</v>
      </c>
      <c r="H342" s="23">
        <v>5.0000000000000001E-3</v>
      </c>
      <c r="I342" s="39">
        <v>44448</v>
      </c>
      <c r="J342" s="39">
        <v>44469</v>
      </c>
      <c r="K342" s="24">
        <v>22</v>
      </c>
      <c r="L342" s="24">
        <v>9005</v>
      </c>
      <c r="M342" s="24">
        <v>29880000</v>
      </c>
      <c r="N342" s="39">
        <v>46273</v>
      </c>
    </row>
    <row r="343" spans="1:14" s="5" customFormat="1" outlineLevel="2">
      <c r="A343" s="39" t="s">
        <v>120</v>
      </c>
      <c r="B343" s="40" t="s">
        <v>207</v>
      </c>
      <c r="C343" s="41" t="s">
        <v>219</v>
      </c>
      <c r="D343" s="40" t="s">
        <v>220</v>
      </c>
      <c r="E343" s="24">
        <v>29000000</v>
      </c>
      <c r="F343" s="39">
        <v>44468</v>
      </c>
      <c r="G343" s="24">
        <v>29000000</v>
      </c>
      <c r="H343" s="23">
        <v>5.0000000000000001E-3</v>
      </c>
      <c r="I343" s="39">
        <v>44468</v>
      </c>
      <c r="J343" s="39">
        <v>44469</v>
      </c>
      <c r="K343" s="24">
        <v>2</v>
      </c>
      <c r="L343" s="24">
        <v>795</v>
      </c>
      <c r="M343" s="24">
        <v>29000000</v>
      </c>
      <c r="N343" s="39">
        <v>46293</v>
      </c>
    </row>
    <row r="344" spans="1:14" s="5" customFormat="1" outlineLevel="2">
      <c r="A344" s="39" t="s">
        <v>120</v>
      </c>
      <c r="B344" s="40" t="s">
        <v>68</v>
      </c>
      <c r="C344" s="41" t="s">
        <v>125</v>
      </c>
      <c r="D344" s="40" t="s">
        <v>126</v>
      </c>
      <c r="E344" s="24">
        <v>17292000</v>
      </c>
      <c r="F344" s="39">
        <v>44002</v>
      </c>
      <c r="G344" s="24">
        <v>17292000</v>
      </c>
      <c r="H344" s="23">
        <v>5.0000000000000001E-3</v>
      </c>
      <c r="I344" s="39">
        <v>44440</v>
      </c>
      <c r="J344" s="39">
        <v>44469</v>
      </c>
      <c r="K344" s="24">
        <v>30</v>
      </c>
      <c r="L344" s="24">
        <v>7106</v>
      </c>
      <c r="M344" s="24">
        <v>17292000</v>
      </c>
      <c r="N344" s="39">
        <v>45827</v>
      </c>
    </row>
    <row r="345" spans="1:14" s="5" customFormat="1" outlineLevel="1">
      <c r="A345" s="42" t="s">
        <v>141</v>
      </c>
      <c r="B345" s="43"/>
      <c r="C345" s="44"/>
      <c r="D345" s="43"/>
      <c r="E345" s="45">
        <v>4902293430</v>
      </c>
      <c r="F345" s="46"/>
      <c r="G345" s="45"/>
      <c r="H345" s="47"/>
      <c r="I345" s="46"/>
      <c r="J345" s="46"/>
      <c r="K345" s="45"/>
      <c r="L345" s="45">
        <v>1763311</v>
      </c>
      <c r="M345" s="45">
        <v>4811278278</v>
      </c>
      <c r="N345" s="46"/>
    </row>
    <row r="346" spans="1:14" s="5" customFormat="1" outlineLevel="2">
      <c r="A346" s="39" t="s">
        <v>142</v>
      </c>
      <c r="B346" s="40" t="s">
        <v>16</v>
      </c>
      <c r="C346" s="41" t="s">
        <v>143</v>
      </c>
      <c r="D346" s="40" t="s">
        <v>144</v>
      </c>
      <c r="E346" s="24">
        <v>38000000</v>
      </c>
      <c r="F346" s="39">
        <v>43762</v>
      </c>
      <c r="G346" s="24">
        <v>38000000</v>
      </c>
      <c r="H346" s="23">
        <v>5.0000000000000001E-3</v>
      </c>
      <c r="I346" s="39">
        <v>44440</v>
      </c>
      <c r="J346" s="39">
        <v>44469</v>
      </c>
      <c r="K346" s="24">
        <v>30</v>
      </c>
      <c r="L346" s="24">
        <v>15616</v>
      </c>
      <c r="M346" s="24">
        <v>38000000</v>
      </c>
      <c r="N346" s="39">
        <v>45588</v>
      </c>
    </row>
    <row r="347" spans="1:14" s="5" customFormat="1" outlineLevel="2">
      <c r="A347" s="39" t="s">
        <v>142</v>
      </c>
      <c r="B347" s="40" t="s">
        <v>19</v>
      </c>
      <c r="C347" s="41" t="s">
        <v>60</v>
      </c>
      <c r="D347" s="40" t="s">
        <v>61</v>
      </c>
      <c r="E347" s="24">
        <v>110000000</v>
      </c>
      <c r="F347" s="39">
        <v>43913</v>
      </c>
      <c r="G347" s="24">
        <v>110000000</v>
      </c>
      <c r="H347" s="23">
        <v>5.0000000000000001E-3</v>
      </c>
      <c r="I347" s="39">
        <v>44440</v>
      </c>
      <c r="J347" s="39">
        <v>44469</v>
      </c>
      <c r="K347" s="24">
        <v>30</v>
      </c>
      <c r="L347" s="24">
        <v>45205</v>
      </c>
      <c r="M347" s="24">
        <v>110000000</v>
      </c>
      <c r="N347" s="39">
        <v>45738</v>
      </c>
    </row>
    <row r="348" spans="1:14" s="5" customFormat="1" outlineLevel="2">
      <c r="A348" s="39" t="s">
        <v>142</v>
      </c>
      <c r="B348" s="40" t="s">
        <v>145</v>
      </c>
      <c r="C348" s="41" t="s">
        <v>146</v>
      </c>
      <c r="D348" s="40" t="s">
        <v>147</v>
      </c>
      <c r="E348" s="24">
        <v>5000000</v>
      </c>
      <c r="F348" s="39">
        <v>44204</v>
      </c>
      <c r="G348" s="24">
        <v>5000000</v>
      </c>
      <c r="H348" s="23">
        <v>5.0000000000000001E-3</v>
      </c>
      <c r="I348" s="39">
        <v>44440</v>
      </c>
      <c r="J348" s="39">
        <v>44469</v>
      </c>
      <c r="K348" s="24">
        <v>30</v>
      </c>
      <c r="L348" s="24">
        <v>2055</v>
      </c>
      <c r="M348" s="24">
        <v>5000000</v>
      </c>
      <c r="N348" s="39">
        <v>46029</v>
      </c>
    </row>
    <row r="349" spans="1:14" s="5" customFormat="1" outlineLevel="2">
      <c r="A349" s="39" t="s">
        <v>142</v>
      </c>
      <c r="B349" s="40" t="s">
        <v>148</v>
      </c>
      <c r="C349" s="41" t="s">
        <v>149</v>
      </c>
      <c r="D349" s="40" t="s">
        <v>150</v>
      </c>
      <c r="E349" s="24">
        <v>3528000</v>
      </c>
      <c r="F349" s="39">
        <v>44207</v>
      </c>
      <c r="G349" s="24">
        <v>3528000</v>
      </c>
      <c r="H349" s="23">
        <v>5.0000000000000001E-3</v>
      </c>
      <c r="I349" s="39">
        <v>44440</v>
      </c>
      <c r="J349" s="39">
        <v>44469</v>
      </c>
      <c r="K349" s="24">
        <v>30</v>
      </c>
      <c r="L349" s="24">
        <v>1450</v>
      </c>
      <c r="M349" s="24">
        <v>3528000</v>
      </c>
      <c r="N349" s="39">
        <v>46032</v>
      </c>
    </row>
    <row r="350" spans="1:14" s="5" customFormat="1" outlineLevel="2">
      <c r="A350" s="39" t="s">
        <v>142</v>
      </c>
      <c r="B350" s="40" t="s">
        <v>151</v>
      </c>
      <c r="C350" s="41" t="s">
        <v>149</v>
      </c>
      <c r="D350" s="40" t="s">
        <v>150</v>
      </c>
      <c r="E350" s="24">
        <v>2520000</v>
      </c>
      <c r="F350" s="39">
        <v>44207</v>
      </c>
      <c r="G350" s="24">
        <v>2520000</v>
      </c>
      <c r="H350" s="23">
        <v>5.0000000000000001E-3</v>
      </c>
      <c r="I350" s="39">
        <v>44440</v>
      </c>
      <c r="J350" s="39">
        <v>44469</v>
      </c>
      <c r="K350" s="24">
        <v>30</v>
      </c>
      <c r="L350" s="24">
        <v>1036</v>
      </c>
      <c r="M350" s="24">
        <v>2520000</v>
      </c>
      <c r="N350" s="39">
        <v>46032</v>
      </c>
    </row>
    <row r="351" spans="1:14" s="5" customFormat="1" outlineLevel="2">
      <c r="A351" s="39" t="s">
        <v>142</v>
      </c>
      <c r="B351" s="40" t="s">
        <v>152</v>
      </c>
      <c r="C351" s="41" t="s">
        <v>149</v>
      </c>
      <c r="D351" s="40" t="s">
        <v>150</v>
      </c>
      <c r="E351" s="24">
        <v>4368000</v>
      </c>
      <c r="F351" s="39">
        <v>44210</v>
      </c>
      <c r="G351" s="24">
        <v>4368000</v>
      </c>
      <c r="H351" s="23">
        <v>5.0000000000000001E-3</v>
      </c>
      <c r="I351" s="39">
        <v>44440</v>
      </c>
      <c r="J351" s="39">
        <v>44469</v>
      </c>
      <c r="K351" s="24">
        <v>30</v>
      </c>
      <c r="L351" s="24">
        <v>1795</v>
      </c>
      <c r="M351" s="24">
        <v>4368000</v>
      </c>
      <c r="N351" s="39">
        <v>46035</v>
      </c>
    </row>
    <row r="352" spans="1:14" s="5" customFormat="1" outlineLevel="2">
      <c r="A352" s="39" t="s">
        <v>142</v>
      </c>
      <c r="B352" s="40" t="s">
        <v>153</v>
      </c>
      <c r="C352" s="41" t="s">
        <v>149</v>
      </c>
      <c r="D352" s="40" t="s">
        <v>150</v>
      </c>
      <c r="E352" s="24">
        <v>95583736</v>
      </c>
      <c r="F352" s="39">
        <v>44225</v>
      </c>
      <c r="G352" s="24">
        <v>95583736</v>
      </c>
      <c r="H352" s="23">
        <v>5.0000000000000001E-3</v>
      </c>
      <c r="I352" s="39">
        <v>44440</v>
      </c>
      <c r="J352" s="39">
        <v>44469</v>
      </c>
      <c r="K352" s="24">
        <v>30</v>
      </c>
      <c r="L352" s="24">
        <v>39281</v>
      </c>
      <c r="M352" s="24">
        <v>95583736</v>
      </c>
      <c r="N352" s="39">
        <v>46050</v>
      </c>
    </row>
    <row r="353" spans="1:14" s="5" customFormat="1" outlineLevel="2">
      <c r="A353" s="39" t="s">
        <v>142</v>
      </c>
      <c r="B353" s="40" t="s">
        <v>154</v>
      </c>
      <c r="C353" s="41" t="s">
        <v>155</v>
      </c>
      <c r="D353" s="40" t="s">
        <v>156</v>
      </c>
      <c r="E353" s="24">
        <v>200000000</v>
      </c>
      <c r="F353" s="39">
        <v>44211</v>
      </c>
      <c r="G353" s="24">
        <v>200000000</v>
      </c>
      <c r="H353" s="23">
        <v>5.0000000000000001E-3</v>
      </c>
      <c r="I353" s="39">
        <v>44440</v>
      </c>
      <c r="J353" s="39">
        <v>44469</v>
      </c>
      <c r="K353" s="24">
        <v>30</v>
      </c>
      <c r="L353" s="24">
        <v>82192</v>
      </c>
      <c r="M353" s="24">
        <v>200000000</v>
      </c>
      <c r="N353" s="39">
        <v>46036</v>
      </c>
    </row>
    <row r="354" spans="1:14" s="5" customFormat="1" outlineLevel="2">
      <c r="A354" s="39" t="s">
        <v>142</v>
      </c>
      <c r="B354" s="40" t="s">
        <v>157</v>
      </c>
      <c r="C354" s="41" t="s">
        <v>125</v>
      </c>
      <c r="D354" s="40" t="s">
        <v>126</v>
      </c>
      <c r="E354" s="24">
        <v>3000000</v>
      </c>
      <c r="F354" s="39">
        <v>44216</v>
      </c>
      <c r="G354" s="24">
        <v>3000000</v>
      </c>
      <c r="H354" s="23">
        <v>5.0000000000000001E-3</v>
      </c>
      <c r="I354" s="39">
        <v>44440</v>
      </c>
      <c r="J354" s="39">
        <v>44469</v>
      </c>
      <c r="K354" s="24">
        <v>30</v>
      </c>
      <c r="L354" s="24">
        <v>1233</v>
      </c>
      <c r="M354" s="24">
        <v>3000000</v>
      </c>
      <c r="N354" s="39">
        <v>46041</v>
      </c>
    </row>
    <row r="355" spans="1:14" s="5" customFormat="1" outlineLevel="2">
      <c r="A355" s="39" t="s">
        <v>142</v>
      </c>
      <c r="B355" s="40" t="s">
        <v>158</v>
      </c>
      <c r="C355" s="41" t="s">
        <v>125</v>
      </c>
      <c r="D355" s="40" t="s">
        <v>126</v>
      </c>
      <c r="E355" s="24">
        <v>10000000</v>
      </c>
      <c r="F355" s="39">
        <v>44216</v>
      </c>
      <c r="G355" s="24">
        <v>10000000</v>
      </c>
      <c r="H355" s="23">
        <v>5.0000000000000001E-3</v>
      </c>
      <c r="I355" s="39">
        <v>44440</v>
      </c>
      <c r="J355" s="39">
        <v>44469</v>
      </c>
      <c r="K355" s="24">
        <v>30</v>
      </c>
      <c r="L355" s="24">
        <v>4110</v>
      </c>
      <c r="M355" s="24">
        <v>10000000</v>
      </c>
      <c r="N355" s="39">
        <v>46041</v>
      </c>
    </row>
    <row r="356" spans="1:14" s="5" customFormat="1" outlineLevel="2">
      <c r="A356" s="39" t="s">
        <v>142</v>
      </c>
      <c r="B356" s="40" t="s">
        <v>159</v>
      </c>
      <c r="C356" s="41" t="s">
        <v>87</v>
      </c>
      <c r="D356" s="40" t="s">
        <v>88</v>
      </c>
      <c r="E356" s="24">
        <v>14776161</v>
      </c>
      <c r="F356" s="39">
        <v>44221</v>
      </c>
      <c r="G356" s="24">
        <v>14776161</v>
      </c>
      <c r="H356" s="23">
        <v>5.0000000000000001E-3</v>
      </c>
      <c r="I356" s="39">
        <v>44440</v>
      </c>
      <c r="J356" s="39">
        <v>44469</v>
      </c>
      <c r="K356" s="24">
        <v>30</v>
      </c>
      <c r="L356" s="24">
        <v>6072</v>
      </c>
      <c r="M356" s="24">
        <v>14776161</v>
      </c>
      <c r="N356" s="39">
        <v>46046</v>
      </c>
    </row>
    <row r="357" spans="1:14" s="5" customFormat="1" outlineLevel="2">
      <c r="A357" s="39" t="s">
        <v>142</v>
      </c>
      <c r="B357" s="40" t="s">
        <v>320</v>
      </c>
      <c r="C357" s="41" t="s">
        <v>143</v>
      </c>
      <c r="D357" s="40" t="s">
        <v>144</v>
      </c>
      <c r="E357" s="24">
        <v>4100000</v>
      </c>
      <c r="F357" s="39">
        <v>44228</v>
      </c>
      <c r="G357" s="24">
        <v>4100000</v>
      </c>
      <c r="H357" s="23">
        <v>5.0000000000000001E-3</v>
      </c>
      <c r="I357" s="39">
        <v>44440</v>
      </c>
      <c r="J357" s="39">
        <v>44469</v>
      </c>
      <c r="K357" s="24">
        <v>30</v>
      </c>
      <c r="L357" s="24">
        <v>1685</v>
      </c>
      <c r="M357" s="24">
        <v>4100000</v>
      </c>
      <c r="N357" s="39">
        <v>46053</v>
      </c>
    </row>
    <row r="358" spans="1:14" s="5" customFormat="1" outlineLevel="2">
      <c r="A358" s="39" t="s">
        <v>142</v>
      </c>
      <c r="B358" s="40" t="s">
        <v>22</v>
      </c>
      <c r="C358" s="41" t="s">
        <v>149</v>
      </c>
      <c r="D358" s="40" t="s">
        <v>150</v>
      </c>
      <c r="E358" s="24">
        <v>95655336</v>
      </c>
      <c r="F358" s="39">
        <v>43951</v>
      </c>
      <c r="G358" s="24">
        <v>95655336</v>
      </c>
      <c r="H358" s="23">
        <v>5.0000000000000001E-3</v>
      </c>
      <c r="I358" s="39">
        <v>44440</v>
      </c>
      <c r="J358" s="39">
        <v>44469</v>
      </c>
      <c r="K358" s="24">
        <v>30</v>
      </c>
      <c r="L358" s="24">
        <v>39310</v>
      </c>
      <c r="M358" s="24">
        <v>95655336</v>
      </c>
      <c r="N358" s="39">
        <v>45776</v>
      </c>
    </row>
    <row r="359" spans="1:14" s="5" customFormat="1" outlineLevel="2">
      <c r="A359" s="39" t="s">
        <v>142</v>
      </c>
      <c r="B359" s="40" t="s">
        <v>319</v>
      </c>
      <c r="C359" s="41" t="s">
        <v>149</v>
      </c>
      <c r="D359" s="40" t="s">
        <v>150</v>
      </c>
      <c r="E359" s="24">
        <v>13843200</v>
      </c>
      <c r="F359" s="39">
        <v>44232</v>
      </c>
      <c r="G359" s="24">
        <v>13843200</v>
      </c>
      <c r="H359" s="23">
        <v>5.0000000000000001E-3</v>
      </c>
      <c r="I359" s="39">
        <v>44440</v>
      </c>
      <c r="J359" s="39">
        <v>44469</v>
      </c>
      <c r="K359" s="24">
        <v>30</v>
      </c>
      <c r="L359" s="24">
        <v>5689</v>
      </c>
      <c r="M359" s="24">
        <v>13843200</v>
      </c>
      <c r="N359" s="39">
        <v>46057</v>
      </c>
    </row>
    <row r="360" spans="1:14" s="5" customFormat="1" outlineLevel="2">
      <c r="A360" s="39" t="s">
        <v>142</v>
      </c>
      <c r="B360" s="40" t="s">
        <v>318</v>
      </c>
      <c r="C360" s="41" t="s">
        <v>149</v>
      </c>
      <c r="D360" s="40" t="s">
        <v>150</v>
      </c>
      <c r="E360" s="24">
        <v>7056000</v>
      </c>
      <c r="F360" s="39">
        <v>44235</v>
      </c>
      <c r="G360" s="24">
        <v>7056000</v>
      </c>
      <c r="H360" s="23">
        <v>5.0000000000000001E-3</v>
      </c>
      <c r="I360" s="39">
        <v>44440</v>
      </c>
      <c r="J360" s="39">
        <v>44469</v>
      </c>
      <c r="K360" s="24">
        <v>30</v>
      </c>
      <c r="L360" s="24">
        <v>2900</v>
      </c>
      <c r="M360" s="24">
        <v>7056000</v>
      </c>
      <c r="N360" s="39">
        <v>46060</v>
      </c>
    </row>
    <row r="361" spans="1:14" s="5" customFormat="1" outlineLevel="2">
      <c r="A361" s="39" t="s">
        <v>142</v>
      </c>
      <c r="B361" s="40" t="s">
        <v>317</v>
      </c>
      <c r="C361" s="41" t="s">
        <v>149</v>
      </c>
      <c r="D361" s="40" t="s">
        <v>150</v>
      </c>
      <c r="E361" s="24">
        <v>2184000</v>
      </c>
      <c r="F361" s="39">
        <v>44235</v>
      </c>
      <c r="G361" s="24">
        <v>2184000</v>
      </c>
      <c r="H361" s="23">
        <v>5.0000000000000001E-3</v>
      </c>
      <c r="I361" s="39">
        <v>44440</v>
      </c>
      <c r="J361" s="39">
        <v>44469</v>
      </c>
      <c r="K361" s="24">
        <v>30</v>
      </c>
      <c r="L361" s="24">
        <v>898</v>
      </c>
      <c r="M361" s="24">
        <v>2184000</v>
      </c>
      <c r="N361" s="39">
        <v>46060</v>
      </c>
    </row>
    <row r="362" spans="1:14" s="5" customFormat="1" outlineLevel="2">
      <c r="A362" s="39" t="s">
        <v>142</v>
      </c>
      <c r="B362" s="40" t="s">
        <v>316</v>
      </c>
      <c r="C362" s="41" t="s">
        <v>149</v>
      </c>
      <c r="D362" s="40" t="s">
        <v>150</v>
      </c>
      <c r="E362" s="24">
        <v>5040000</v>
      </c>
      <c r="F362" s="39">
        <v>44235</v>
      </c>
      <c r="G362" s="24">
        <v>5040000</v>
      </c>
      <c r="H362" s="23">
        <v>5.0000000000000001E-3</v>
      </c>
      <c r="I362" s="39">
        <v>44440</v>
      </c>
      <c r="J362" s="39">
        <v>44469</v>
      </c>
      <c r="K362" s="24">
        <v>30</v>
      </c>
      <c r="L362" s="24">
        <v>2071</v>
      </c>
      <c r="M362" s="24">
        <v>5040000</v>
      </c>
      <c r="N362" s="39">
        <v>46060</v>
      </c>
    </row>
    <row r="363" spans="1:14" s="5" customFormat="1" outlineLevel="2">
      <c r="A363" s="39" t="s">
        <v>142</v>
      </c>
      <c r="B363" s="40" t="s">
        <v>315</v>
      </c>
      <c r="C363" s="41" t="s">
        <v>149</v>
      </c>
      <c r="D363" s="40" t="s">
        <v>150</v>
      </c>
      <c r="E363" s="24">
        <v>8316000</v>
      </c>
      <c r="F363" s="39">
        <v>44244</v>
      </c>
      <c r="G363" s="24">
        <v>8316000</v>
      </c>
      <c r="H363" s="23">
        <v>5.0000000000000001E-3</v>
      </c>
      <c r="I363" s="39">
        <v>44440</v>
      </c>
      <c r="J363" s="39">
        <v>44469</v>
      </c>
      <c r="K363" s="24">
        <v>30</v>
      </c>
      <c r="L363" s="24">
        <v>3418</v>
      </c>
      <c r="M363" s="24">
        <v>8316000</v>
      </c>
      <c r="N363" s="39">
        <v>46069</v>
      </c>
    </row>
    <row r="364" spans="1:14" s="5" customFormat="1" outlineLevel="2">
      <c r="A364" s="39" t="s">
        <v>142</v>
      </c>
      <c r="B364" s="40" t="s">
        <v>314</v>
      </c>
      <c r="C364" s="41" t="s">
        <v>149</v>
      </c>
      <c r="D364" s="40" t="s">
        <v>150</v>
      </c>
      <c r="E364" s="24">
        <v>8547840</v>
      </c>
      <c r="F364" s="39">
        <v>44244</v>
      </c>
      <c r="G364" s="24">
        <v>8547840</v>
      </c>
      <c r="H364" s="23">
        <v>5.0000000000000001E-3</v>
      </c>
      <c r="I364" s="39">
        <v>44440</v>
      </c>
      <c r="J364" s="39">
        <v>44469</v>
      </c>
      <c r="K364" s="24">
        <v>30</v>
      </c>
      <c r="L364" s="24">
        <v>3513</v>
      </c>
      <c r="M364" s="24">
        <v>8547840</v>
      </c>
      <c r="N364" s="39">
        <v>46069</v>
      </c>
    </row>
    <row r="365" spans="1:14" s="5" customFormat="1" outlineLevel="2">
      <c r="A365" s="39" t="s">
        <v>142</v>
      </c>
      <c r="B365" s="40" t="s">
        <v>313</v>
      </c>
      <c r="C365" s="41" t="s">
        <v>149</v>
      </c>
      <c r="D365" s="40" t="s">
        <v>150</v>
      </c>
      <c r="E365" s="24">
        <v>6384000</v>
      </c>
      <c r="F365" s="39">
        <v>44244</v>
      </c>
      <c r="G365" s="24">
        <v>6384000</v>
      </c>
      <c r="H365" s="23">
        <v>5.0000000000000001E-3</v>
      </c>
      <c r="I365" s="39">
        <v>44440</v>
      </c>
      <c r="J365" s="39">
        <v>44469</v>
      </c>
      <c r="K365" s="24">
        <v>30</v>
      </c>
      <c r="L365" s="24">
        <v>2624</v>
      </c>
      <c r="M365" s="24">
        <v>6384000</v>
      </c>
      <c r="N365" s="39">
        <v>46069</v>
      </c>
    </row>
    <row r="366" spans="1:14" s="5" customFormat="1" outlineLevel="2">
      <c r="A366" s="39" t="s">
        <v>142</v>
      </c>
      <c r="B366" s="40" t="s">
        <v>312</v>
      </c>
      <c r="C366" s="41" t="s">
        <v>149</v>
      </c>
      <c r="D366" s="40" t="s">
        <v>150</v>
      </c>
      <c r="E366" s="24">
        <v>226800</v>
      </c>
      <c r="F366" s="39">
        <v>44244</v>
      </c>
      <c r="G366" s="24">
        <v>226800</v>
      </c>
      <c r="H366" s="23">
        <v>5.0000000000000001E-3</v>
      </c>
      <c r="I366" s="39">
        <v>44440</v>
      </c>
      <c r="J366" s="39">
        <v>44469</v>
      </c>
      <c r="K366" s="24">
        <v>30</v>
      </c>
      <c r="L366" s="24">
        <v>93</v>
      </c>
      <c r="M366" s="24">
        <v>226800</v>
      </c>
      <c r="N366" s="39">
        <v>46069</v>
      </c>
    </row>
    <row r="367" spans="1:14" s="5" customFormat="1" outlineLevel="2">
      <c r="A367" s="39" t="s">
        <v>142</v>
      </c>
      <c r="B367" s="40" t="s">
        <v>311</v>
      </c>
      <c r="C367" s="41" t="s">
        <v>155</v>
      </c>
      <c r="D367" s="40" t="s">
        <v>156</v>
      </c>
      <c r="E367" s="24">
        <v>100000000</v>
      </c>
      <c r="F367" s="39">
        <v>44236</v>
      </c>
      <c r="G367" s="24">
        <v>100000000</v>
      </c>
      <c r="H367" s="23">
        <v>5.0000000000000001E-3</v>
      </c>
      <c r="I367" s="39">
        <v>44440</v>
      </c>
      <c r="J367" s="39">
        <v>44469</v>
      </c>
      <c r="K367" s="24">
        <v>30</v>
      </c>
      <c r="L367" s="24">
        <v>41096</v>
      </c>
      <c r="M367" s="24">
        <v>100000000</v>
      </c>
      <c r="N367" s="39">
        <v>46061</v>
      </c>
    </row>
    <row r="368" spans="1:14" s="5" customFormat="1" outlineLevel="2">
      <c r="A368" s="39" t="s">
        <v>142</v>
      </c>
      <c r="B368" s="40" t="s">
        <v>310</v>
      </c>
      <c r="C368" s="41" t="s">
        <v>155</v>
      </c>
      <c r="D368" s="40" t="s">
        <v>156</v>
      </c>
      <c r="E368" s="24">
        <v>200000000</v>
      </c>
      <c r="F368" s="39">
        <v>44244</v>
      </c>
      <c r="G368" s="24">
        <v>200000000</v>
      </c>
      <c r="H368" s="23">
        <v>5.0000000000000001E-3</v>
      </c>
      <c r="I368" s="39">
        <v>44440</v>
      </c>
      <c r="J368" s="39">
        <v>44469</v>
      </c>
      <c r="K368" s="24">
        <v>30</v>
      </c>
      <c r="L368" s="24">
        <v>82192</v>
      </c>
      <c r="M368" s="24">
        <v>200000000</v>
      </c>
      <c r="N368" s="39">
        <v>46069</v>
      </c>
    </row>
    <row r="369" spans="1:14" s="5" customFormat="1" outlineLevel="2">
      <c r="A369" s="39" t="s">
        <v>142</v>
      </c>
      <c r="B369" s="40" t="s">
        <v>25</v>
      </c>
      <c r="C369" s="41" t="s">
        <v>143</v>
      </c>
      <c r="D369" s="40" t="s">
        <v>144</v>
      </c>
      <c r="E369" s="24">
        <v>38000000</v>
      </c>
      <c r="F369" s="39">
        <v>43962</v>
      </c>
      <c r="G369" s="24">
        <v>38000000</v>
      </c>
      <c r="H369" s="23">
        <v>5.0000000000000001E-3</v>
      </c>
      <c r="I369" s="39">
        <v>44440</v>
      </c>
      <c r="J369" s="39">
        <v>44469</v>
      </c>
      <c r="K369" s="24">
        <v>30</v>
      </c>
      <c r="L369" s="24">
        <v>15616</v>
      </c>
      <c r="M369" s="24">
        <v>38000000</v>
      </c>
      <c r="N369" s="39">
        <v>45787</v>
      </c>
    </row>
    <row r="370" spans="1:14" s="5" customFormat="1" outlineLevel="2">
      <c r="A370" s="39" t="s">
        <v>142</v>
      </c>
      <c r="B370" s="40" t="s">
        <v>309</v>
      </c>
      <c r="C370" s="41" t="s">
        <v>219</v>
      </c>
      <c r="D370" s="40" t="s">
        <v>220</v>
      </c>
      <c r="E370" s="24">
        <v>20000000</v>
      </c>
      <c r="F370" s="39">
        <v>44251</v>
      </c>
      <c r="G370" s="24">
        <v>20000000</v>
      </c>
      <c r="H370" s="23">
        <v>5.0000000000000001E-3</v>
      </c>
      <c r="I370" s="39">
        <v>44440</v>
      </c>
      <c r="J370" s="39">
        <v>44469</v>
      </c>
      <c r="K370" s="24">
        <v>30</v>
      </c>
      <c r="L370" s="24">
        <v>8219</v>
      </c>
      <c r="M370" s="24">
        <v>20000000</v>
      </c>
      <c r="N370" s="39">
        <v>46076</v>
      </c>
    </row>
    <row r="371" spans="1:14" s="5" customFormat="1" outlineLevel="2">
      <c r="A371" s="39" t="s">
        <v>142</v>
      </c>
      <c r="B371" s="40" t="s">
        <v>308</v>
      </c>
      <c r="C371" s="41" t="s">
        <v>125</v>
      </c>
      <c r="D371" s="40" t="s">
        <v>126</v>
      </c>
      <c r="E371" s="24">
        <v>5000000</v>
      </c>
      <c r="F371" s="39">
        <v>44251</v>
      </c>
      <c r="G371" s="24">
        <v>5000000</v>
      </c>
      <c r="H371" s="23">
        <v>5.0000000000000001E-3</v>
      </c>
      <c r="I371" s="39">
        <v>44440</v>
      </c>
      <c r="J371" s="39">
        <v>44469</v>
      </c>
      <c r="K371" s="24">
        <v>30</v>
      </c>
      <c r="L371" s="24">
        <v>2055</v>
      </c>
      <c r="M371" s="24">
        <v>5000000</v>
      </c>
      <c r="N371" s="39">
        <v>46076</v>
      </c>
    </row>
    <row r="372" spans="1:14" s="5" customFormat="1" outlineLevel="2">
      <c r="A372" s="39" t="s">
        <v>142</v>
      </c>
      <c r="B372" s="40" t="s">
        <v>307</v>
      </c>
      <c r="C372" s="41" t="s">
        <v>89</v>
      </c>
      <c r="D372" s="40" t="s">
        <v>90</v>
      </c>
      <c r="E372" s="24">
        <v>80000000</v>
      </c>
      <c r="F372" s="39">
        <v>44253</v>
      </c>
      <c r="G372" s="24">
        <v>80000000</v>
      </c>
      <c r="H372" s="23">
        <v>5.0000000000000001E-3</v>
      </c>
      <c r="I372" s="39">
        <v>44440</v>
      </c>
      <c r="J372" s="39">
        <v>44469</v>
      </c>
      <c r="K372" s="24">
        <v>30</v>
      </c>
      <c r="L372" s="24">
        <v>32877</v>
      </c>
      <c r="M372" s="24">
        <v>80000000</v>
      </c>
      <c r="N372" s="39">
        <v>46078</v>
      </c>
    </row>
    <row r="373" spans="1:14" s="5" customFormat="1" outlineLevel="2">
      <c r="A373" s="39" t="s">
        <v>142</v>
      </c>
      <c r="B373" s="40" t="s">
        <v>335</v>
      </c>
      <c r="C373" s="41" t="s">
        <v>143</v>
      </c>
      <c r="D373" s="40" t="s">
        <v>144</v>
      </c>
      <c r="E373" s="24">
        <v>1350000</v>
      </c>
      <c r="F373" s="39">
        <v>44257</v>
      </c>
      <c r="G373" s="24">
        <v>1350000</v>
      </c>
      <c r="H373" s="23">
        <v>5.0000000000000001E-3</v>
      </c>
      <c r="I373" s="39">
        <v>44440</v>
      </c>
      <c r="J373" s="39">
        <v>44469</v>
      </c>
      <c r="K373" s="24">
        <v>30</v>
      </c>
      <c r="L373" s="24">
        <v>555</v>
      </c>
      <c r="M373" s="24">
        <v>1350000</v>
      </c>
      <c r="N373" s="39">
        <v>46082</v>
      </c>
    </row>
    <row r="374" spans="1:14" s="5" customFormat="1" outlineLevel="2">
      <c r="A374" s="39" t="s">
        <v>142</v>
      </c>
      <c r="B374" s="40" t="s">
        <v>334</v>
      </c>
      <c r="C374" s="41" t="s">
        <v>143</v>
      </c>
      <c r="D374" s="40" t="s">
        <v>144</v>
      </c>
      <c r="E374" s="24">
        <v>3000000</v>
      </c>
      <c r="F374" s="39">
        <v>44286</v>
      </c>
      <c r="G374" s="24">
        <v>3000000</v>
      </c>
      <c r="H374" s="23">
        <v>5.0000000000000001E-3</v>
      </c>
      <c r="I374" s="39">
        <v>44440</v>
      </c>
      <c r="J374" s="39">
        <v>44469</v>
      </c>
      <c r="K374" s="24">
        <v>30</v>
      </c>
      <c r="L374" s="24">
        <v>1233</v>
      </c>
      <c r="M374" s="24">
        <v>3000000</v>
      </c>
      <c r="N374" s="39">
        <v>46111</v>
      </c>
    </row>
    <row r="375" spans="1:14" s="5" customFormat="1" outlineLevel="2">
      <c r="A375" s="39" t="s">
        <v>142</v>
      </c>
      <c r="B375" s="40" t="s">
        <v>333</v>
      </c>
      <c r="C375" s="41" t="s">
        <v>143</v>
      </c>
      <c r="D375" s="40" t="s">
        <v>144</v>
      </c>
      <c r="E375" s="24">
        <v>12800000</v>
      </c>
      <c r="F375" s="39">
        <v>44286</v>
      </c>
      <c r="G375" s="24">
        <v>12800000</v>
      </c>
      <c r="H375" s="23">
        <v>5.0000000000000001E-3</v>
      </c>
      <c r="I375" s="39">
        <v>44440</v>
      </c>
      <c r="J375" s="39">
        <v>44469</v>
      </c>
      <c r="K375" s="24">
        <v>30</v>
      </c>
      <c r="L375" s="24">
        <v>5260</v>
      </c>
      <c r="M375" s="24">
        <v>12800000</v>
      </c>
      <c r="N375" s="39">
        <v>46111</v>
      </c>
    </row>
    <row r="376" spans="1:14" s="5" customFormat="1" outlineLevel="2">
      <c r="A376" s="39" t="s">
        <v>142</v>
      </c>
      <c r="B376" s="40" t="s">
        <v>332</v>
      </c>
      <c r="C376" s="41" t="s">
        <v>125</v>
      </c>
      <c r="D376" s="40" t="s">
        <v>126</v>
      </c>
      <c r="E376" s="24">
        <v>29000000</v>
      </c>
      <c r="F376" s="39">
        <v>44257</v>
      </c>
      <c r="G376" s="24">
        <v>29000000</v>
      </c>
      <c r="H376" s="23">
        <v>5.0000000000000001E-3</v>
      </c>
      <c r="I376" s="39">
        <v>44440</v>
      </c>
      <c r="J376" s="39">
        <v>44469</v>
      </c>
      <c r="K376" s="24">
        <v>30</v>
      </c>
      <c r="L376" s="24">
        <v>11918</v>
      </c>
      <c r="M376" s="24">
        <v>29000000</v>
      </c>
      <c r="N376" s="39">
        <v>46082</v>
      </c>
    </row>
    <row r="377" spans="1:14" s="5" customFormat="1" outlineLevel="2">
      <c r="A377" s="39" t="s">
        <v>142</v>
      </c>
      <c r="B377" s="40" t="s">
        <v>331</v>
      </c>
      <c r="C377" s="41" t="s">
        <v>125</v>
      </c>
      <c r="D377" s="40" t="s">
        <v>126</v>
      </c>
      <c r="E377" s="24">
        <v>5000000</v>
      </c>
      <c r="F377" s="39">
        <v>44279</v>
      </c>
      <c r="G377" s="24">
        <v>5000000</v>
      </c>
      <c r="H377" s="23">
        <v>5.0000000000000001E-3</v>
      </c>
      <c r="I377" s="39">
        <v>44440</v>
      </c>
      <c r="J377" s="39">
        <v>44469</v>
      </c>
      <c r="K377" s="24">
        <v>30</v>
      </c>
      <c r="L377" s="24">
        <v>2055</v>
      </c>
      <c r="M377" s="24">
        <v>5000000</v>
      </c>
      <c r="N377" s="39">
        <v>46104</v>
      </c>
    </row>
    <row r="378" spans="1:14" s="5" customFormat="1" outlineLevel="2">
      <c r="A378" s="39" t="s">
        <v>142</v>
      </c>
      <c r="B378" s="40" t="s">
        <v>330</v>
      </c>
      <c r="C378" s="41" t="s">
        <v>125</v>
      </c>
      <c r="D378" s="40" t="s">
        <v>126</v>
      </c>
      <c r="E378" s="24">
        <v>5000000</v>
      </c>
      <c r="F378" s="39">
        <v>44286</v>
      </c>
      <c r="G378" s="24">
        <v>5000000</v>
      </c>
      <c r="H378" s="23">
        <v>5.0000000000000001E-3</v>
      </c>
      <c r="I378" s="39">
        <v>44440</v>
      </c>
      <c r="J378" s="39">
        <v>44469</v>
      </c>
      <c r="K378" s="24">
        <v>30</v>
      </c>
      <c r="L378" s="24">
        <v>2055</v>
      </c>
      <c r="M378" s="24">
        <v>5000000</v>
      </c>
      <c r="N378" s="39">
        <v>46111</v>
      </c>
    </row>
    <row r="379" spans="1:14" s="5" customFormat="1" outlineLevel="2">
      <c r="A379" s="39" t="s">
        <v>142</v>
      </c>
      <c r="B379" s="40" t="s">
        <v>329</v>
      </c>
      <c r="C379" s="41" t="s">
        <v>149</v>
      </c>
      <c r="D379" s="40" t="s">
        <v>150</v>
      </c>
      <c r="E379" s="24">
        <v>1176000</v>
      </c>
      <c r="F379" s="39">
        <v>44270</v>
      </c>
      <c r="G379" s="24">
        <v>1176000</v>
      </c>
      <c r="H379" s="23">
        <v>5.0000000000000001E-3</v>
      </c>
      <c r="I379" s="39">
        <v>44440</v>
      </c>
      <c r="J379" s="39">
        <v>44469</v>
      </c>
      <c r="K379" s="24">
        <v>30</v>
      </c>
      <c r="L379" s="24">
        <v>483</v>
      </c>
      <c r="M379" s="24">
        <v>1176000</v>
      </c>
      <c r="N379" s="39">
        <v>46095</v>
      </c>
    </row>
    <row r="380" spans="1:14" s="5" customFormat="1" outlineLevel="2">
      <c r="A380" s="39" t="s">
        <v>142</v>
      </c>
      <c r="B380" s="40" t="s">
        <v>26</v>
      </c>
      <c r="C380" s="41" t="s">
        <v>143</v>
      </c>
      <c r="D380" s="40" t="s">
        <v>144</v>
      </c>
      <c r="E380" s="24">
        <v>10500000</v>
      </c>
      <c r="F380" s="39">
        <v>43962</v>
      </c>
      <c r="G380" s="24">
        <v>10500000</v>
      </c>
      <c r="H380" s="23">
        <v>5.0000000000000001E-3</v>
      </c>
      <c r="I380" s="39">
        <v>44440</v>
      </c>
      <c r="J380" s="39">
        <v>44469</v>
      </c>
      <c r="K380" s="24">
        <v>30</v>
      </c>
      <c r="L380" s="24">
        <v>4315</v>
      </c>
      <c r="M380" s="24">
        <v>10500000</v>
      </c>
      <c r="N380" s="39">
        <v>45787</v>
      </c>
    </row>
    <row r="381" spans="1:14" s="5" customFormat="1" outlineLevel="2">
      <c r="A381" s="39" t="s">
        <v>142</v>
      </c>
      <c r="B381" s="40" t="s">
        <v>328</v>
      </c>
      <c r="C381" s="41" t="s">
        <v>149</v>
      </c>
      <c r="D381" s="40" t="s">
        <v>150</v>
      </c>
      <c r="E381" s="24">
        <v>840000</v>
      </c>
      <c r="F381" s="39">
        <v>44270</v>
      </c>
      <c r="G381" s="24">
        <v>840000</v>
      </c>
      <c r="H381" s="23">
        <v>5.0000000000000001E-3</v>
      </c>
      <c r="I381" s="39">
        <v>44440</v>
      </c>
      <c r="J381" s="39">
        <v>44469</v>
      </c>
      <c r="K381" s="24">
        <v>30</v>
      </c>
      <c r="L381" s="24">
        <v>345</v>
      </c>
      <c r="M381" s="24">
        <v>840000</v>
      </c>
      <c r="N381" s="39">
        <v>46095</v>
      </c>
    </row>
    <row r="382" spans="1:14" s="5" customFormat="1" outlineLevel="2">
      <c r="A382" s="39" t="s">
        <v>142</v>
      </c>
      <c r="B382" s="40" t="s">
        <v>327</v>
      </c>
      <c r="C382" s="41" t="s">
        <v>187</v>
      </c>
      <c r="D382" s="40" t="s">
        <v>188</v>
      </c>
      <c r="E382" s="24">
        <v>190400000</v>
      </c>
      <c r="F382" s="39">
        <v>44273</v>
      </c>
      <c r="G382" s="24">
        <v>190400000</v>
      </c>
      <c r="H382" s="23">
        <v>5.0000000000000001E-3</v>
      </c>
      <c r="I382" s="39">
        <v>44440</v>
      </c>
      <c r="J382" s="39">
        <v>44469</v>
      </c>
      <c r="K382" s="24">
        <v>30</v>
      </c>
      <c r="L382" s="24">
        <v>78247</v>
      </c>
      <c r="M382" s="24">
        <v>190400000</v>
      </c>
      <c r="N382" s="39">
        <v>46098</v>
      </c>
    </row>
    <row r="383" spans="1:14" s="5" customFormat="1" outlineLevel="2">
      <c r="A383" s="39" t="s">
        <v>142</v>
      </c>
      <c r="B383" s="40" t="s">
        <v>326</v>
      </c>
      <c r="C383" s="41" t="s">
        <v>121</v>
      </c>
      <c r="D383" s="40" t="s">
        <v>122</v>
      </c>
      <c r="E383" s="24">
        <v>54000000</v>
      </c>
      <c r="F383" s="39">
        <v>44278</v>
      </c>
      <c r="G383" s="24">
        <v>54000000</v>
      </c>
      <c r="H383" s="23">
        <v>5.0000000000000001E-3</v>
      </c>
      <c r="I383" s="39">
        <v>44440</v>
      </c>
      <c r="J383" s="39">
        <v>44469</v>
      </c>
      <c r="K383" s="24">
        <v>30</v>
      </c>
      <c r="L383" s="24">
        <v>22192</v>
      </c>
      <c r="M383" s="24">
        <v>54000000</v>
      </c>
      <c r="N383" s="39">
        <v>46103</v>
      </c>
    </row>
    <row r="384" spans="1:14" s="5" customFormat="1" outlineLevel="2">
      <c r="A384" s="39" t="s">
        <v>142</v>
      </c>
      <c r="B384" s="40" t="s">
        <v>325</v>
      </c>
      <c r="C384" s="41" t="s">
        <v>165</v>
      </c>
      <c r="D384" s="40" t="s">
        <v>166</v>
      </c>
      <c r="E384" s="24">
        <v>24800000</v>
      </c>
      <c r="F384" s="39">
        <v>44284</v>
      </c>
      <c r="G384" s="24">
        <v>24800000</v>
      </c>
      <c r="H384" s="23">
        <v>5.0000000000000001E-3</v>
      </c>
      <c r="I384" s="39">
        <v>44440</v>
      </c>
      <c r="J384" s="39">
        <v>44469</v>
      </c>
      <c r="K384" s="24">
        <v>30</v>
      </c>
      <c r="L384" s="24">
        <v>10192</v>
      </c>
      <c r="M384" s="24">
        <v>24800000</v>
      </c>
      <c r="N384" s="39">
        <v>45379</v>
      </c>
    </row>
    <row r="385" spans="1:14" s="5" customFormat="1" outlineLevel="2">
      <c r="A385" s="39" t="s">
        <v>142</v>
      </c>
      <c r="B385" s="40" t="s">
        <v>361</v>
      </c>
      <c r="C385" s="41" t="s">
        <v>85</v>
      </c>
      <c r="D385" s="40" t="s">
        <v>86</v>
      </c>
      <c r="E385" s="24">
        <v>2500000</v>
      </c>
      <c r="F385" s="39">
        <v>44287</v>
      </c>
      <c r="G385" s="24">
        <v>2500000</v>
      </c>
      <c r="H385" s="23">
        <v>5.0000000000000001E-3</v>
      </c>
      <c r="I385" s="39">
        <v>44440</v>
      </c>
      <c r="J385" s="39">
        <v>44469</v>
      </c>
      <c r="K385" s="24">
        <v>30</v>
      </c>
      <c r="L385" s="24">
        <v>1027</v>
      </c>
      <c r="M385" s="24">
        <v>2500000</v>
      </c>
      <c r="N385" s="39">
        <v>46112</v>
      </c>
    </row>
    <row r="386" spans="1:14" s="5" customFormat="1" outlineLevel="2">
      <c r="A386" s="39" t="s">
        <v>142</v>
      </c>
      <c r="B386" s="40" t="s">
        <v>360</v>
      </c>
      <c r="C386" s="41" t="s">
        <v>85</v>
      </c>
      <c r="D386" s="40" t="s">
        <v>86</v>
      </c>
      <c r="E386" s="24">
        <v>7500000</v>
      </c>
      <c r="F386" s="39">
        <v>44287</v>
      </c>
      <c r="G386" s="24">
        <v>7500000</v>
      </c>
      <c r="H386" s="23">
        <v>5.0000000000000001E-3</v>
      </c>
      <c r="I386" s="39">
        <v>44440</v>
      </c>
      <c r="J386" s="39">
        <v>44469</v>
      </c>
      <c r="K386" s="24">
        <v>30</v>
      </c>
      <c r="L386" s="24">
        <v>3082</v>
      </c>
      <c r="M386" s="24">
        <v>7500000</v>
      </c>
      <c r="N386" s="39">
        <v>46112</v>
      </c>
    </row>
    <row r="387" spans="1:14" s="5" customFormat="1" outlineLevel="2">
      <c r="A387" s="39" t="s">
        <v>142</v>
      </c>
      <c r="B387" s="40" t="s">
        <v>359</v>
      </c>
      <c r="C387" s="41" t="s">
        <v>85</v>
      </c>
      <c r="D387" s="40" t="s">
        <v>86</v>
      </c>
      <c r="E387" s="24">
        <v>4975000</v>
      </c>
      <c r="F387" s="39">
        <v>44306</v>
      </c>
      <c r="G387" s="24">
        <v>4975000</v>
      </c>
      <c r="H387" s="23">
        <v>5.0000000000000001E-3</v>
      </c>
      <c r="I387" s="39">
        <v>44440</v>
      </c>
      <c r="J387" s="39">
        <v>44469</v>
      </c>
      <c r="K387" s="24">
        <v>30</v>
      </c>
      <c r="L387" s="24">
        <v>2045</v>
      </c>
      <c r="M387" s="24">
        <v>4975000</v>
      </c>
      <c r="N387" s="39">
        <v>46131</v>
      </c>
    </row>
    <row r="388" spans="1:14" s="5" customFormat="1" outlineLevel="2">
      <c r="A388" s="39" t="s">
        <v>142</v>
      </c>
      <c r="B388" s="40" t="s">
        <v>358</v>
      </c>
      <c r="C388" s="41" t="s">
        <v>85</v>
      </c>
      <c r="D388" s="40" t="s">
        <v>86</v>
      </c>
      <c r="E388" s="24">
        <v>14925000</v>
      </c>
      <c r="F388" s="39">
        <v>44306</v>
      </c>
      <c r="G388" s="24">
        <v>14925000</v>
      </c>
      <c r="H388" s="23">
        <v>5.0000000000000001E-3</v>
      </c>
      <c r="I388" s="39">
        <v>44440</v>
      </c>
      <c r="J388" s="39">
        <v>44469</v>
      </c>
      <c r="K388" s="24">
        <v>30</v>
      </c>
      <c r="L388" s="24">
        <v>6134</v>
      </c>
      <c r="M388" s="24">
        <v>14925000</v>
      </c>
      <c r="N388" s="39">
        <v>46131</v>
      </c>
    </row>
    <row r="389" spans="1:14" s="5" customFormat="1" outlineLevel="2">
      <c r="A389" s="39" t="s">
        <v>142</v>
      </c>
      <c r="B389" s="40" t="s">
        <v>357</v>
      </c>
      <c r="C389" s="41" t="s">
        <v>149</v>
      </c>
      <c r="D389" s="40" t="s">
        <v>150</v>
      </c>
      <c r="E389" s="24">
        <v>1663200</v>
      </c>
      <c r="F389" s="39">
        <v>44294</v>
      </c>
      <c r="G389" s="24">
        <v>1663200</v>
      </c>
      <c r="H389" s="23">
        <v>5.0000000000000001E-3</v>
      </c>
      <c r="I389" s="39">
        <v>44440</v>
      </c>
      <c r="J389" s="39">
        <v>44469</v>
      </c>
      <c r="K389" s="24">
        <v>30</v>
      </c>
      <c r="L389" s="24">
        <v>684</v>
      </c>
      <c r="M389" s="24">
        <v>1663200</v>
      </c>
      <c r="N389" s="39">
        <v>46119</v>
      </c>
    </row>
    <row r="390" spans="1:14" s="5" customFormat="1" outlineLevel="2">
      <c r="A390" s="39" t="s">
        <v>142</v>
      </c>
      <c r="B390" s="40" t="s">
        <v>356</v>
      </c>
      <c r="C390" s="41" t="s">
        <v>149</v>
      </c>
      <c r="D390" s="40" t="s">
        <v>150</v>
      </c>
      <c r="E390" s="24">
        <v>3528000</v>
      </c>
      <c r="F390" s="39">
        <v>44300</v>
      </c>
      <c r="G390" s="24">
        <v>3528000</v>
      </c>
      <c r="H390" s="23">
        <v>5.0000000000000001E-3</v>
      </c>
      <c r="I390" s="39">
        <v>44440</v>
      </c>
      <c r="J390" s="39">
        <v>44469</v>
      </c>
      <c r="K390" s="24">
        <v>30</v>
      </c>
      <c r="L390" s="24">
        <v>1450</v>
      </c>
      <c r="M390" s="24">
        <v>3528000</v>
      </c>
      <c r="N390" s="39">
        <v>46125</v>
      </c>
    </row>
    <row r="391" spans="1:14" s="5" customFormat="1" outlineLevel="2">
      <c r="A391" s="39" t="s">
        <v>142</v>
      </c>
      <c r="B391" s="40" t="s">
        <v>29</v>
      </c>
      <c r="C391" s="41" t="s">
        <v>123</v>
      </c>
      <c r="D391" s="40" t="s">
        <v>124</v>
      </c>
      <c r="E391" s="24">
        <v>160000000</v>
      </c>
      <c r="F391" s="39">
        <v>43970</v>
      </c>
      <c r="G391" s="24">
        <v>160000000</v>
      </c>
      <c r="H391" s="23">
        <v>5.0000000000000001E-3</v>
      </c>
      <c r="I391" s="39">
        <v>44440</v>
      </c>
      <c r="J391" s="39">
        <v>44469</v>
      </c>
      <c r="K391" s="24">
        <v>30</v>
      </c>
      <c r="L391" s="24">
        <v>65753</v>
      </c>
      <c r="M391" s="24">
        <v>160000000</v>
      </c>
      <c r="N391" s="39">
        <v>45795</v>
      </c>
    </row>
    <row r="392" spans="1:14" s="5" customFormat="1" outlineLevel="2">
      <c r="A392" s="39" t="s">
        <v>142</v>
      </c>
      <c r="B392" s="40" t="s">
        <v>355</v>
      </c>
      <c r="C392" s="41" t="s">
        <v>149</v>
      </c>
      <c r="D392" s="40" t="s">
        <v>150</v>
      </c>
      <c r="E392" s="24">
        <v>12213027</v>
      </c>
      <c r="F392" s="39">
        <v>44307</v>
      </c>
      <c r="G392" s="24">
        <v>12213027</v>
      </c>
      <c r="H392" s="23">
        <v>5.0000000000000001E-3</v>
      </c>
      <c r="I392" s="39">
        <v>44440</v>
      </c>
      <c r="J392" s="39">
        <v>44469</v>
      </c>
      <c r="K392" s="24">
        <v>30</v>
      </c>
      <c r="L392" s="24">
        <v>5019</v>
      </c>
      <c r="M392" s="24">
        <v>12213027</v>
      </c>
      <c r="N392" s="39">
        <v>46132</v>
      </c>
    </row>
    <row r="393" spans="1:14" s="5" customFormat="1" outlineLevel="2">
      <c r="A393" s="39" t="s">
        <v>142</v>
      </c>
      <c r="B393" s="40" t="s">
        <v>354</v>
      </c>
      <c r="C393" s="41" t="s">
        <v>149</v>
      </c>
      <c r="D393" s="40" t="s">
        <v>150</v>
      </c>
      <c r="E393" s="24">
        <v>11337919</v>
      </c>
      <c r="F393" s="39">
        <v>44314</v>
      </c>
      <c r="G393" s="24">
        <v>11337919</v>
      </c>
      <c r="H393" s="23">
        <v>5.0000000000000001E-3</v>
      </c>
      <c r="I393" s="39">
        <v>44440</v>
      </c>
      <c r="J393" s="39">
        <v>44469</v>
      </c>
      <c r="K393" s="24">
        <v>30</v>
      </c>
      <c r="L393" s="24">
        <v>4659</v>
      </c>
      <c r="M393" s="24">
        <v>11337919</v>
      </c>
      <c r="N393" s="39">
        <v>46139</v>
      </c>
    </row>
    <row r="394" spans="1:14" s="5" customFormat="1" outlineLevel="2">
      <c r="A394" s="39" t="s">
        <v>142</v>
      </c>
      <c r="B394" s="40" t="s">
        <v>353</v>
      </c>
      <c r="C394" s="41" t="s">
        <v>219</v>
      </c>
      <c r="D394" s="40" t="s">
        <v>220</v>
      </c>
      <c r="E394" s="24">
        <v>20000000</v>
      </c>
      <c r="F394" s="39">
        <v>44308</v>
      </c>
      <c r="G394" s="24">
        <v>20000000</v>
      </c>
      <c r="H394" s="23">
        <v>5.0000000000000001E-3</v>
      </c>
      <c r="I394" s="39">
        <v>44440</v>
      </c>
      <c r="J394" s="39">
        <v>44469</v>
      </c>
      <c r="K394" s="24">
        <v>30</v>
      </c>
      <c r="L394" s="24">
        <v>8219</v>
      </c>
      <c r="M394" s="24">
        <v>20000000</v>
      </c>
      <c r="N394" s="39">
        <v>46133</v>
      </c>
    </row>
    <row r="395" spans="1:14" s="5" customFormat="1" outlineLevel="2">
      <c r="A395" s="39" t="s">
        <v>142</v>
      </c>
      <c r="B395" s="40" t="s">
        <v>352</v>
      </c>
      <c r="C395" s="41" t="s">
        <v>351</v>
      </c>
      <c r="D395" s="40" t="s">
        <v>350</v>
      </c>
      <c r="E395" s="24">
        <v>9800000</v>
      </c>
      <c r="F395" s="39">
        <v>44313</v>
      </c>
      <c r="G395" s="24">
        <v>9800000</v>
      </c>
      <c r="H395" s="23">
        <v>5.0000000000000001E-3</v>
      </c>
      <c r="I395" s="39">
        <v>44440</v>
      </c>
      <c r="J395" s="39">
        <v>44469</v>
      </c>
      <c r="K395" s="24">
        <v>30</v>
      </c>
      <c r="L395" s="24">
        <v>4027</v>
      </c>
      <c r="M395" s="24">
        <v>9800000</v>
      </c>
      <c r="N395" s="39">
        <v>46138</v>
      </c>
    </row>
    <row r="396" spans="1:14" s="5" customFormat="1" outlineLevel="2">
      <c r="A396" s="39" t="s">
        <v>142</v>
      </c>
      <c r="B396" s="40" t="s">
        <v>349</v>
      </c>
      <c r="C396" s="41" t="s">
        <v>345</v>
      </c>
      <c r="D396" s="40" t="s">
        <v>344</v>
      </c>
      <c r="E396" s="24">
        <v>37000000</v>
      </c>
      <c r="F396" s="39">
        <v>44314</v>
      </c>
      <c r="G396" s="24">
        <v>37000000</v>
      </c>
      <c r="H396" s="23">
        <v>5.0000000000000001E-3</v>
      </c>
      <c r="I396" s="39">
        <v>44440</v>
      </c>
      <c r="J396" s="39">
        <v>44469</v>
      </c>
      <c r="K396" s="24">
        <v>30</v>
      </c>
      <c r="L396" s="24">
        <v>15205</v>
      </c>
      <c r="M396" s="24">
        <v>37000000</v>
      </c>
      <c r="N396" s="39">
        <v>46139</v>
      </c>
    </row>
    <row r="397" spans="1:14" s="5" customFormat="1" outlineLevel="2">
      <c r="A397" s="39" t="s">
        <v>142</v>
      </c>
      <c r="B397" s="40" t="s">
        <v>348</v>
      </c>
      <c r="C397" s="41" t="s">
        <v>163</v>
      </c>
      <c r="D397" s="40" t="s">
        <v>164</v>
      </c>
      <c r="E397" s="24">
        <v>70000000</v>
      </c>
      <c r="F397" s="39">
        <v>44315</v>
      </c>
      <c r="G397" s="24">
        <v>67454544</v>
      </c>
      <c r="H397" s="23">
        <v>5.0000000000000001E-3</v>
      </c>
      <c r="I397" s="39">
        <v>44440</v>
      </c>
      <c r="J397" s="39">
        <v>44453</v>
      </c>
      <c r="K397" s="24">
        <v>14</v>
      </c>
      <c r="L397" s="24">
        <v>12936</v>
      </c>
      <c r="M397" s="24">
        <v>66818180</v>
      </c>
      <c r="N397" s="39">
        <v>46140</v>
      </c>
    </row>
    <row r="398" spans="1:14" s="5" customFormat="1" outlineLevel="2">
      <c r="A398" s="39" t="s">
        <v>142</v>
      </c>
      <c r="B398" s="40" t="s">
        <v>348</v>
      </c>
      <c r="C398" s="41" t="s">
        <v>163</v>
      </c>
      <c r="D398" s="40"/>
      <c r="E398" s="24"/>
      <c r="F398" s="39"/>
      <c r="G398" s="24">
        <v>66818180</v>
      </c>
      <c r="H398" s="23">
        <v>5.0000000000000001E-3</v>
      </c>
      <c r="I398" s="39">
        <v>44454</v>
      </c>
      <c r="J398" s="39">
        <v>44469</v>
      </c>
      <c r="K398" s="24">
        <v>16</v>
      </c>
      <c r="L398" s="24">
        <v>14645</v>
      </c>
      <c r="M398" s="24"/>
      <c r="N398" s="39">
        <v>46140</v>
      </c>
    </row>
    <row r="399" spans="1:14" s="5" customFormat="1" outlineLevel="2">
      <c r="A399" s="39" t="s">
        <v>142</v>
      </c>
      <c r="B399" s="40" t="s">
        <v>347</v>
      </c>
      <c r="C399" s="41" t="s">
        <v>163</v>
      </c>
      <c r="D399" s="40" t="s">
        <v>164</v>
      </c>
      <c r="E399" s="24">
        <v>10000000</v>
      </c>
      <c r="F399" s="39">
        <v>44315</v>
      </c>
      <c r="G399" s="24">
        <v>9523808</v>
      </c>
      <c r="H399" s="23">
        <v>5.0000000000000001E-3</v>
      </c>
      <c r="I399" s="39">
        <v>44440</v>
      </c>
      <c r="J399" s="39">
        <v>44453</v>
      </c>
      <c r="K399" s="24">
        <v>14</v>
      </c>
      <c r="L399" s="24">
        <v>1826</v>
      </c>
      <c r="M399" s="24">
        <v>9404760</v>
      </c>
      <c r="N399" s="39">
        <v>46140</v>
      </c>
    </row>
    <row r="400" spans="1:14" s="5" customFormat="1" outlineLevel="2">
      <c r="A400" s="39" t="s">
        <v>142</v>
      </c>
      <c r="B400" s="40" t="s">
        <v>347</v>
      </c>
      <c r="C400" s="41" t="s">
        <v>163</v>
      </c>
      <c r="D400" s="40"/>
      <c r="E400" s="24"/>
      <c r="F400" s="39"/>
      <c r="G400" s="24">
        <v>9404760</v>
      </c>
      <c r="H400" s="23">
        <v>5.0000000000000001E-3</v>
      </c>
      <c r="I400" s="39">
        <v>44454</v>
      </c>
      <c r="J400" s="39">
        <v>44469</v>
      </c>
      <c r="K400" s="24">
        <v>16</v>
      </c>
      <c r="L400" s="24">
        <v>2061</v>
      </c>
      <c r="M400" s="24"/>
      <c r="N400" s="39">
        <v>46140</v>
      </c>
    </row>
    <row r="401" spans="1:14" s="5" customFormat="1" outlineLevel="2">
      <c r="A401" s="39" t="s">
        <v>142</v>
      </c>
      <c r="B401" s="40" t="s">
        <v>346</v>
      </c>
      <c r="C401" s="41" t="s">
        <v>163</v>
      </c>
      <c r="D401" s="40" t="s">
        <v>164</v>
      </c>
      <c r="E401" s="24">
        <v>40000000</v>
      </c>
      <c r="F401" s="39">
        <v>44315</v>
      </c>
      <c r="G401" s="24">
        <v>38095240</v>
      </c>
      <c r="H401" s="23">
        <v>5.0000000000000001E-3</v>
      </c>
      <c r="I401" s="39">
        <v>44440</v>
      </c>
      <c r="J401" s="39">
        <v>44453</v>
      </c>
      <c r="K401" s="24">
        <v>14</v>
      </c>
      <c r="L401" s="24">
        <v>7306</v>
      </c>
      <c r="M401" s="24">
        <v>37619050</v>
      </c>
      <c r="N401" s="39">
        <v>46140</v>
      </c>
    </row>
    <row r="402" spans="1:14" s="5" customFormat="1" outlineLevel="2">
      <c r="A402" s="39" t="s">
        <v>142</v>
      </c>
      <c r="B402" s="40" t="s">
        <v>346</v>
      </c>
      <c r="C402" s="41" t="s">
        <v>163</v>
      </c>
      <c r="D402" s="40"/>
      <c r="E402" s="24"/>
      <c r="F402" s="39"/>
      <c r="G402" s="24">
        <v>37619050</v>
      </c>
      <c r="H402" s="23">
        <v>5.0000000000000001E-3</v>
      </c>
      <c r="I402" s="39">
        <v>44454</v>
      </c>
      <c r="J402" s="39">
        <v>44469</v>
      </c>
      <c r="K402" s="24">
        <v>16</v>
      </c>
      <c r="L402" s="24">
        <v>8245</v>
      </c>
      <c r="M402" s="24"/>
      <c r="N402" s="39">
        <v>46140</v>
      </c>
    </row>
    <row r="403" spans="1:14" s="5" customFormat="1" outlineLevel="2">
      <c r="A403" s="39" t="s">
        <v>142</v>
      </c>
      <c r="B403" s="40" t="s">
        <v>373</v>
      </c>
      <c r="C403" s="41" t="s">
        <v>149</v>
      </c>
      <c r="D403" s="40" t="s">
        <v>150</v>
      </c>
      <c r="E403" s="24">
        <v>10752000</v>
      </c>
      <c r="F403" s="39">
        <v>44320</v>
      </c>
      <c r="G403" s="24">
        <v>10752000</v>
      </c>
      <c r="H403" s="23">
        <v>5.0000000000000001E-3</v>
      </c>
      <c r="I403" s="39">
        <v>44440</v>
      </c>
      <c r="J403" s="39">
        <v>44469</v>
      </c>
      <c r="K403" s="24">
        <v>30</v>
      </c>
      <c r="L403" s="24">
        <v>4419</v>
      </c>
      <c r="M403" s="24">
        <v>10752000</v>
      </c>
      <c r="N403" s="39">
        <v>46145</v>
      </c>
    </row>
    <row r="404" spans="1:14" s="5" customFormat="1" outlineLevel="2">
      <c r="A404" s="39" t="s">
        <v>142</v>
      </c>
      <c r="B404" s="40" t="s">
        <v>372</v>
      </c>
      <c r="C404" s="41" t="s">
        <v>149</v>
      </c>
      <c r="D404" s="40" t="s">
        <v>150</v>
      </c>
      <c r="E404" s="24">
        <v>4200000</v>
      </c>
      <c r="F404" s="39">
        <v>44320</v>
      </c>
      <c r="G404" s="24">
        <v>4200000</v>
      </c>
      <c r="H404" s="23">
        <v>5.0000000000000001E-3</v>
      </c>
      <c r="I404" s="39">
        <v>44440</v>
      </c>
      <c r="J404" s="39">
        <v>44469</v>
      </c>
      <c r="K404" s="24">
        <v>30</v>
      </c>
      <c r="L404" s="24">
        <v>1726</v>
      </c>
      <c r="M404" s="24">
        <v>4200000</v>
      </c>
      <c r="N404" s="39">
        <v>46145</v>
      </c>
    </row>
    <row r="405" spans="1:14" s="5" customFormat="1" outlineLevel="2">
      <c r="A405" s="39" t="s">
        <v>142</v>
      </c>
      <c r="B405" s="40" t="s">
        <v>32</v>
      </c>
      <c r="C405" s="41" t="s">
        <v>149</v>
      </c>
      <c r="D405" s="40" t="s">
        <v>150</v>
      </c>
      <c r="E405" s="24">
        <v>13104000</v>
      </c>
      <c r="F405" s="39">
        <v>43979</v>
      </c>
      <c r="G405" s="24">
        <v>13104000</v>
      </c>
      <c r="H405" s="23">
        <v>5.0000000000000001E-3</v>
      </c>
      <c r="I405" s="39">
        <v>44440</v>
      </c>
      <c r="J405" s="39">
        <v>44469</v>
      </c>
      <c r="K405" s="24">
        <v>30</v>
      </c>
      <c r="L405" s="24">
        <v>5385</v>
      </c>
      <c r="M405" s="24">
        <v>13104000</v>
      </c>
      <c r="N405" s="39">
        <v>45804</v>
      </c>
    </row>
    <row r="406" spans="1:14" s="5" customFormat="1" outlineLevel="2">
      <c r="A406" s="39" t="s">
        <v>142</v>
      </c>
      <c r="B406" s="40" t="s">
        <v>371</v>
      </c>
      <c r="C406" s="41" t="s">
        <v>149</v>
      </c>
      <c r="D406" s="40" t="s">
        <v>150</v>
      </c>
      <c r="E406" s="24">
        <v>4200000</v>
      </c>
      <c r="F406" s="39">
        <v>44320</v>
      </c>
      <c r="G406" s="24">
        <v>4200000</v>
      </c>
      <c r="H406" s="23">
        <v>5.0000000000000001E-3</v>
      </c>
      <c r="I406" s="39">
        <v>44440</v>
      </c>
      <c r="J406" s="39">
        <v>44469</v>
      </c>
      <c r="K406" s="24">
        <v>30</v>
      </c>
      <c r="L406" s="24">
        <v>1726</v>
      </c>
      <c r="M406" s="24">
        <v>4200000</v>
      </c>
      <c r="N406" s="39">
        <v>46145</v>
      </c>
    </row>
    <row r="407" spans="1:14" s="5" customFormat="1" outlineLevel="2">
      <c r="A407" s="39" t="s">
        <v>142</v>
      </c>
      <c r="B407" s="40" t="s">
        <v>370</v>
      </c>
      <c r="C407" s="41" t="s">
        <v>351</v>
      </c>
      <c r="D407" s="40" t="s">
        <v>350</v>
      </c>
      <c r="E407" s="24">
        <v>5100000</v>
      </c>
      <c r="F407" s="39">
        <v>44330</v>
      </c>
      <c r="G407" s="24">
        <v>5100000</v>
      </c>
      <c r="H407" s="23">
        <v>5.0000000000000001E-3</v>
      </c>
      <c r="I407" s="39">
        <v>44440</v>
      </c>
      <c r="J407" s="39">
        <v>44469</v>
      </c>
      <c r="K407" s="24">
        <v>30</v>
      </c>
      <c r="L407" s="24">
        <v>2096</v>
      </c>
      <c r="M407" s="24">
        <v>5100000</v>
      </c>
      <c r="N407" s="39">
        <v>46155</v>
      </c>
    </row>
    <row r="408" spans="1:14" s="5" customFormat="1" outlineLevel="2">
      <c r="A408" s="39" t="s">
        <v>142</v>
      </c>
      <c r="B408" s="40" t="s">
        <v>369</v>
      </c>
      <c r="C408" s="41" t="s">
        <v>149</v>
      </c>
      <c r="D408" s="40" t="s">
        <v>150</v>
      </c>
      <c r="E408" s="24">
        <v>100000000</v>
      </c>
      <c r="F408" s="39">
        <v>44335</v>
      </c>
      <c r="G408" s="24">
        <v>100000000</v>
      </c>
      <c r="H408" s="23">
        <v>5.0000000000000001E-3</v>
      </c>
      <c r="I408" s="39">
        <v>44440</v>
      </c>
      <c r="J408" s="39">
        <v>44469</v>
      </c>
      <c r="K408" s="24">
        <v>30</v>
      </c>
      <c r="L408" s="24">
        <v>41096</v>
      </c>
      <c r="M408" s="24">
        <v>100000000</v>
      </c>
      <c r="N408" s="39">
        <v>46160</v>
      </c>
    </row>
    <row r="409" spans="1:14" s="5" customFormat="1" outlineLevel="2">
      <c r="A409" s="39" t="s">
        <v>142</v>
      </c>
      <c r="B409" s="40" t="s">
        <v>368</v>
      </c>
      <c r="C409" s="41" t="s">
        <v>87</v>
      </c>
      <c r="D409" s="40" t="s">
        <v>88</v>
      </c>
      <c r="E409" s="24">
        <v>9464321</v>
      </c>
      <c r="F409" s="39">
        <v>44337</v>
      </c>
      <c r="G409" s="24">
        <v>9464321</v>
      </c>
      <c r="H409" s="23">
        <v>5.0000000000000001E-3</v>
      </c>
      <c r="I409" s="39">
        <v>44440</v>
      </c>
      <c r="J409" s="39">
        <v>44469</v>
      </c>
      <c r="K409" s="24">
        <v>30</v>
      </c>
      <c r="L409" s="24">
        <v>3889</v>
      </c>
      <c r="M409" s="24">
        <v>9464321</v>
      </c>
      <c r="N409" s="39">
        <v>46162</v>
      </c>
    </row>
    <row r="410" spans="1:14" s="5" customFormat="1" outlineLevel="2">
      <c r="A410" s="39" t="s">
        <v>142</v>
      </c>
      <c r="B410" s="40" t="s">
        <v>388</v>
      </c>
      <c r="C410" s="41" t="s">
        <v>149</v>
      </c>
      <c r="D410" s="40" t="s">
        <v>150</v>
      </c>
      <c r="E410" s="24">
        <v>3360000</v>
      </c>
      <c r="F410" s="39">
        <v>44350</v>
      </c>
      <c r="G410" s="24">
        <v>3360000</v>
      </c>
      <c r="H410" s="23">
        <v>5.0000000000000001E-3</v>
      </c>
      <c r="I410" s="39">
        <v>44440</v>
      </c>
      <c r="J410" s="39">
        <v>44469</v>
      </c>
      <c r="K410" s="24">
        <v>30</v>
      </c>
      <c r="L410" s="24">
        <v>1381</v>
      </c>
      <c r="M410" s="24">
        <v>3360000</v>
      </c>
      <c r="N410" s="39">
        <v>46175</v>
      </c>
    </row>
    <row r="411" spans="1:14" s="5" customFormat="1" outlineLevel="2">
      <c r="A411" s="39" t="s">
        <v>142</v>
      </c>
      <c r="B411" s="40" t="s">
        <v>387</v>
      </c>
      <c r="C411" s="41" t="s">
        <v>149</v>
      </c>
      <c r="D411" s="40" t="s">
        <v>150</v>
      </c>
      <c r="E411" s="24">
        <v>3360000</v>
      </c>
      <c r="F411" s="39">
        <v>44350</v>
      </c>
      <c r="G411" s="24">
        <v>3360000</v>
      </c>
      <c r="H411" s="23">
        <v>5.0000000000000001E-3</v>
      </c>
      <c r="I411" s="39">
        <v>44440</v>
      </c>
      <c r="J411" s="39">
        <v>44469</v>
      </c>
      <c r="K411" s="24">
        <v>30</v>
      </c>
      <c r="L411" s="24">
        <v>1381</v>
      </c>
      <c r="M411" s="24">
        <v>3360000</v>
      </c>
      <c r="N411" s="39">
        <v>46175</v>
      </c>
    </row>
    <row r="412" spans="1:14" s="5" customFormat="1" outlineLevel="2">
      <c r="A412" s="39" t="s">
        <v>142</v>
      </c>
      <c r="B412" s="40" t="s">
        <v>386</v>
      </c>
      <c r="C412" s="41" t="s">
        <v>149</v>
      </c>
      <c r="D412" s="40" t="s">
        <v>150</v>
      </c>
      <c r="E412" s="24">
        <v>3326400</v>
      </c>
      <c r="F412" s="39">
        <v>44351</v>
      </c>
      <c r="G412" s="24">
        <v>3326400</v>
      </c>
      <c r="H412" s="23">
        <v>5.0000000000000001E-3</v>
      </c>
      <c r="I412" s="39">
        <v>44440</v>
      </c>
      <c r="J412" s="39">
        <v>44469</v>
      </c>
      <c r="K412" s="24">
        <v>30</v>
      </c>
      <c r="L412" s="24">
        <v>1367</v>
      </c>
      <c r="M412" s="24">
        <v>3326400</v>
      </c>
      <c r="N412" s="39">
        <v>46176</v>
      </c>
    </row>
    <row r="413" spans="1:14" s="5" customFormat="1" outlineLevel="2">
      <c r="A413" s="39" t="s">
        <v>142</v>
      </c>
      <c r="B413" s="40" t="s">
        <v>385</v>
      </c>
      <c r="C413" s="41" t="s">
        <v>149</v>
      </c>
      <c r="D413" s="40" t="s">
        <v>150</v>
      </c>
      <c r="E413" s="24">
        <v>150000000</v>
      </c>
      <c r="F413" s="39">
        <v>44354</v>
      </c>
      <c r="G413" s="24">
        <v>150000000</v>
      </c>
      <c r="H413" s="23">
        <v>5.0000000000000001E-3</v>
      </c>
      <c r="I413" s="39">
        <v>44440</v>
      </c>
      <c r="J413" s="39">
        <v>44469</v>
      </c>
      <c r="K413" s="24">
        <v>30</v>
      </c>
      <c r="L413" s="24">
        <v>61644</v>
      </c>
      <c r="M413" s="24">
        <v>150000000</v>
      </c>
      <c r="N413" s="39">
        <v>46179</v>
      </c>
    </row>
    <row r="414" spans="1:14" s="5" customFormat="1" outlineLevel="2">
      <c r="A414" s="39" t="s">
        <v>142</v>
      </c>
      <c r="B414" s="40" t="s">
        <v>384</v>
      </c>
      <c r="C414" s="41" t="s">
        <v>149</v>
      </c>
      <c r="D414" s="40" t="s">
        <v>150</v>
      </c>
      <c r="E414" s="24">
        <v>1663200</v>
      </c>
      <c r="F414" s="39">
        <v>44356</v>
      </c>
      <c r="G414" s="24">
        <v>1663200</v>
      </c>
      <c r="H414" s="23">
        <v>5.0000000000000001E-3</v>
      </c>
      <c r="I414" s="39">
        <v>44440</v>
      </c>
      <c r="J414" s="39">
        <v>44469</v>
      </c>
      <c r="K414" s="24">
        <v>30</v>
      </c>
      <c r="L414" s="24">
        <v>684</v>
      </c>
      <c r="M414" s="24">
        <v>1663200</v>
      </c>
      <c r="N414" s="39">
        <v>46181</v>
      </c>
    </row>
    <row r="415" spans="1:14" s="5" customFormat="1" outlineLevel="2">
      <c r="A415" s="39" t="s">
        <v>142</v>
      </c>
      <c r="B415" s="40" t="s">
        <v>383</v>
      </c>
      <c r="C415" s="41" t="s">
        <v>149</v>
      </c>
      <c r="D415" s="40" t="s">
        <v>150</v>
      </c>
      <c r="E415" s="24">
        <v>312002</v>
      </c>
      <c r="F415" s="39">
        <v>44358</v>
      </c>
      <c r="G415" s="24">
        <v>312002</v>
      </c>
      <c r="H415" s="23">
        <v>5.0000000000000001E-3</v>
      </c>
      <c r="I415" s="39">
        <v>44440</v>
      </c>
      <c r="J415" s="39">
        <v>44469</v>
      </c>
      <c r="K415" s="24">
        <v>30</v>
      </c>
      <c r="L415" s="24">
        <v>128</v>
      </c>
      <c r="M415" s="24">
        <v>312002</v>
      </c>
      <c r="N415" s="39">
        <v>46183</v>
      </c>
    </row>
    <row r="416" spans="1:14" s="5" customFormat="1" outlineLevel="2">
      <c r="A416" s="39" t="s">
        <v>142</v>
      </c>
      <c r="B416" s="40" t="s">
        <v>33</v>
      </c>
      <c r="C416" s="41" t="s">
        <v>89</v>
      </c>
      <c r="D416" s="40" t="s">
        <v>90</v>
      </c>
      <c r="E416" s="24">
        <v>6550000</v>
      </c>
      <c r="F416" s="39">
        <v>43993</v>
      </c>
      <c r="G416" s="24">
        <v>6550000</v>
      </c>
      <c r="H416" s="23">
        <v>5.0000000000000001E-3</v>
      </c>
      <c r="I416" s="39">
        <v>44440</v>
      </c>
      <c r="J416" s="39">
        <v>44469</v>
      </c>
      <c r="K416" s="24">
        <v>30</v>
      </c>
      <c r="L416" s="24">
        <v>2692</v>
      </c>
      <c r="M416" s="24">
        <v>6550000</v>
      </c>
      <c r="N416" s="39">
        <v>45818</v>
      </c>
    </row>
    <row r="417" spans="1:14" s="5" customFormat="1" outlineLevel="2">
      <c r="A417" s="39" t="s">
        <v>142</v>
      </c>
      <c r="B417" s="40" t="s">
        <v>382</v>
      </c>
      <c r="C417" s="41" t="s">
        <v>149</v>
      </c>
      <c r="D417" s="40" t="s">
        <v>150</v>
      </c>
      <c r="E417" s="24">
        <v>478800</v>
      </c>
      <c r="F417" s="39">
        <v>44358</v>
      </c>
      <c r="G417" s="24">
        <v>478800</v>
      </c>
      <c r="H417" s="23">
        <v>5.0000000000000001E-3</v>
      </c>
      <c r="I417" s="39">
        <v>44440</v>
      </c>
      <c r="J417" s="39">
        <v>44469</v>
      </c>
      <c r="K417" s="24">
        <v>30</v>
      </c>
      <c r="L417" s="24">
        <v>197</v>
      </c>
      <c r="M417" s="24">
        <v>478800</v>
      </c>
      <c r="N417" s="39">
        <v>46183</v>
      </c>
    </row>
    <row r="418" spans="1:14" s="5" customFormat="1" outlineLevel="2">
      <c r="A418" s="39" t="s">
        <v>142</v>
      </c>
      <c r="B418" s="40" t="s">
        <v>381</v>
      </c>
      <c r="C418" s="41" t="s">
        <v>149</v>
      </c>
      <c r="D418" s="40" t="s">
        <v>150</v>
      </c>
      <c r="E418" s="24">
        <v>70000000</v>
      </c>
      <c r="F418" s="39">
        <v>44362</v>
      </c>
      <c r="G418" s="24">
        <v>70000000</v>
      </c>
      <c r="H418" s="23">
        <v>5.0000000000000001E-3</v>
      </c>
      <c r="I418" s="39">
        <v>44440</v>
      </c>
      <c r="J418" s="39">
        <v>44469</v>
      </c>
      <c r="K418" s="24">
        <v>30</v>
      </c>
      <c r="L418" s="24">
        <v>28767</v>
      </c>
      <c r="M418" s="24">
        <v>70000000</v>
      </c>
      <c r="N418" s="39">
        <v>46187</v>
      </c>
    </row>
    <row r="419" spans="1:14" s="5" customFormat="1" outlineLevel="2">
      <c r="A419" s="39" t="s">
        <v>142</v>
      </c>
      <c r="B419" s="40" t="s">
        <v>380</v>
      </c>
      <c r="C419" s="41" t="s">
        <v>149</v>
      </c>
      <c r="D419" s="40" t="s">
        <v>150</v>
      </c>
      <c r="E419" s="24">
        <v>806400</v>
      </c>
      <c r="F419" s="39">
        <v>44376</v>
      </c>
      <c r="G419" s="24">
        <v>806400</v>
      </c>
      <c r="H419" s="23">
        <v>5.0000000000000001E-3</v>
      </c>
      <c r="I419" s="39">
        <v>44440</v>
      </c>
      <c r="J419" s="39">
        <v>44469</v>
      </c>
      <c r="K419" s="24">
        <v>30</v>
      </c>
      <c r="L419" s="24">
        <v>331</v>
      </c>
      <c r="M419" s="24">
        <v>806400</v>
      </c>
      <c r="N419" s="39">
        <v>46201</v>
      </c>
    </row>
    <row r="420" spans="1:14" s="5" customFormat="1" outlineLevel="2">
      <c r="A420" s="39" t="s">
        <v>142</v>
      </c>
      <c r="B420" s="40" t="s">
        <v>379</v>
      </c>
      <c r="C420" s="41" t="s">
        <v>89</v>
      </c>
      <c r="D420" s="40" t="s">
        <v>90</v>
      </c>
      <c r="E420" s="24">
        <v>34000000</v>
      </c>
      <c r="F420" s="39">
        <v>44369</v>
      </c>
      <c r="G420" s="24">
        <v>34000000</v>
      </c>
      <c r="H420" s="23">
        <v>5.0000000000000001E-3</v>
      </c>
      <c r="I420" s="39">
        <v>44440</v>
      </c>
      <c r="J420" s="39">
        <v>44469</v>
      </c>
      <c r="K420" s="24">
        <v>30</v>
      </c>
      <c r="L420" s="24">
        <v>13973</v>
      </c>
      <c r="M420" s="24">
        <v>34000000</v>
      </c>
      <c r="N420" s="39">
        <v>46194</v>
      </c>
    </row>
    <row r="421" spans="1:14" s="5" customFormat="1" outlineLevel="2">
      <c r="A421" s="39" t="s">
        <v>142</v>
      </c>
      <c r="B421" s="40" t="s">
        <v>378</v>
      </c>
      <c r="C421" s="41" t="s">
        <v>89</v>
      </c>
      <c r="D421" s="40" t="s">
        <v>90</v>
      </c>
      <c r="E421" s="24">
        <v>34000000</v>
      </c>
      <c r="F421" s="39">
        <v>44369</v>
      </c>
      <c r="G421" s="24">
        <v>34000000</v>
      </c>
      <c r="H421" s="23">
        <v>5.0000000000000001E-3</v>
      </c>
      <c r="I421" s="39">
        <v>44440</v>
      </c>
      <c r="J421" s="39">
        <v>44469</v>
      </c>
      <c r="K421" s="24">
        <v>30</v>
      </c>
      <c r="L421" s="24">
        <v>13973</v>
      </c>
      <c r="M421" s="24">
        <v>34000000</v>
      </c>
      <c r="N421" s="39">
        <v>46194</v>
      </c>
    </row>
    <row r="422" spans="1:14" s="5" customFormat="1" outlineLevel="2">
      <c r="A422" s="39" t="s">
        <v>142</v>
      </c>
      <c r="B422" s="40" t="s">
        <v>377</v>
      </c>
      <c r="C422" s="41" t="s">
        <v>219</v>
      </c>
      <c r="D422" s="40" t="s">
        <v>220</v>
      </c>
      <c r="E422" s="24">
        <v>35000000</v>
      </c>
      <c r="F422" s="39">
        <v>44371</v>
      </c>
      <c r="G422" s="24">
        <v>35000000</v>
      </c>
      <c r="H422" s="23">
        <v>5.0000000000000001E-3</v>
      </c>
      <c r="I422" s="39">
        <v>44440</v>
      </c>
      <c r="J422" s="39">
        <v>44469</v>
      </c>
      <c r="K422" s="24">
        <v>30</v>
      </c>
      <c r="L422" s="24">
        <v>14384</v>
      </c>
      <c r="M422" s="24">
        <v>35000000</v>
      </c>
      <c r="N422" s="39">
        <v>46196</v>
      </c>
    </row>
    <row r="423" spans="1:14" s="5" customFormat="1" outlineLevel="2">
      <c r="A423" s="39" t="s">
        <v>142</v>
      </c>
      <c r="B423" s="40" t="s">
        <v>376</v>
      </c>
      <c r="C423" s="41" t="s">
        <v>87</v>
      </c>
      <c r="D423" s="40" t="s">
        <v>88</v>
      </c>
      <c r="E423" s="24">
        <v>13481921</v>
      </c>
      <c r="F423" s="39">
        <v>44372</v>
      </c>
      <c r="G423" s="24">
        <v>13481921</v>
      </c>
      <c r="H423" s="23">
        <v>5.0000000000000001E-3</v>
      </c>
      <c r="I423" s="39">
        <v>44440</v>
      </c>
      <c r="J423" s="39">
        <v>44469</v>
      </c>
      <c r="K423" s="24">
        <v>30</v>
      </c>
      <c r="L423" s="24">
        <v>5541</v>
      </c>
      <c r="M423" s="24">
        <v>13481921</v>
      </c>
      <c r="N423" s="39">
        <v>46197</v>
      </c>
    </row>
    <row r="424" spans="1:14" s="5" customFormat="1" outlineLevel="2">
      <c r="A424" s="39" t="s">
        <v>142</v>
      </c>
      <c r="B424" s="40" t="s">
        <v>375</v>
      </c>
      <c r="C424" s="41" t="s">
        <v>87</v>
      </c>
      <c r="D424" s="40" t="s">
        <v>88</v>
      </c>
      <c r="E424" s="24">
        <v>21053378</v>
      </c>
      <c r="F424" s="39">
        <v>44372</v>
      </c>
      <c r="G424" s="24">
        <v>21053378</v>
      </c>
      <c r="H424" s="23">
        <v>5.0000000000000001E-3</v>
      </c>
      <c r="I424" s="39">
        <v>44440</v>
      </c>
      <c r="J424" s="39">
        <v>44469</v>
      </c>
      <c r="K424" s="24">
        <v>30</v>
      </c>
      <c r="L424" s="24">
        <v>8652</v>
      </c>
      <c r="M424" s="24">
        <v>21053378</v>
      </c>
      <c r="N424" s="39">
        <v>46197</v>
      </c>
    </row>
    <row r="425" spans="1:14" s="5" customFormat="1" outlineLevel="2">
      <c r="A425" s="39" t="s">
        <v>142</v>
      </c>
      <c r="B425" s="40" t="s">
        <v>396</v>
      </c>
      <c r="C425" s="41" t="s">
        <v>187</v>
      </c>
      <c r="D425" s="40" t="s">
        <v>188</v>
      </c>
      <c r="E425" s="24">
        <v>66500000</v>
      </c>
      <c r="F425" s="39">
        <v>44379</v>
      </c>
      <c r="G425" s="24">
        <v>66500000</v>
      </c>
      <c r="H425" s="23">
        <v>5.0000000000000001E-3</v>
      </c>
      <c r="I425" s="39">
        <v>44440</v>
      </c>
      <c r="J425" s="39">
        <v>44469</v>
      </c>
      <c r="K425" s="24">
        <v>30</v>
      </c>
      <c r="L425" s="24">
        <v>27329</v>
      </c>
      <c r="M425" s="24">
        <v>66500000</v>
      </c>
      <c r="N425" s="39">
        <v>46204</v>
      </c>
    </row>
    <row r="426" spans="1:14" s="5" customFormat="1" outlineLevel="2">
      <c r="A426" s="39" t="s">
        <v>142</v>
      </c>
      <c r="B426" s="40" t="s">
        <v>395</v>
      </c>
      <c r="C426" s="41" t="s">
        <v>149</v>
      </c>
      <c r="D426" s="40" t="s">
        <v>150</v>
      </c>
      <c r="E426" s="24">
        <v>840000</v>
      </c>
      <c r="F426" s="39">
        <v>44379</v>
      </c>
      <c r="G426" s="24">
        <v>840000</v>
      </c>
      <c r="H426" s="23">
        <v>5.0000000000000001E-3</v>
      </c>
      <c r="I426" s="39">
        <v>44440</v>
      </c>
      <c r="J426" s="39">
        <v>44469</v>
      </c>
      <c r="K426" s="24">
        <v>30</v>
      </c>
      <c r="L426" s="24">
        <v>345</v>
      </c>
      <c r="M426" s="24">
        <v>840000</v>
      </c>
      <c r="N426" s="39">
        <v>46204</v>
      </c>
    </row>
    <row r="427" spans="1:14" s="5" customFormat="1" outlineLevel="2">
      <c r="A427" s="39" t="s">
        <v>142</v>
      </c>
      <c r="B427" s="40" t="s">
        <v>34</v>
      </c>
      <c r="C427" s="41" t="s">
        <v>89</v>
      </c>
      <c r="D427" s="40" t="s">
        <v>90</v>
      </c>
      <c r="E427" s="24">
        <v>19710000</v>
      </c>
      <c r="F427" s="39">
        <v>43993</v>
      </c>
      <c r="G427" s="24">
        <v>19710000</v>
      </c>
      <c r="H427" s="23">
        <v>5.0000000000000001E-3</v>
      </c>
      <c r="I427" s="39">
        <v>44440</v>
      </c>
      <c r="J427" s="39">
        <v>44469</v>
      </c>
      <c r="K427" s="24">
        <v>30</v>
      </c>
      <c r="L427" s="24">
        <v>8100</v>
      </c>
      <c r="M427" s="24">
        <v>19710000</v>
      </c>
      <c r="N427" s="39">
        <v>45818</v>
      </c>
    </row>
    <row r="428" spans="1:14" s="5" customFormat="1" outlineLevel="2">
      <c r="A428" s="39" t="s">
        <v>142</v>
      </c>
      <c r="B428" s="40" t="s">
        <v>394</v>
      </c>
      <c r="C428" s="41" t="s">
        <v>149</v>
      </c>
      <c r="D428" s="40" t="s">
        <v>150</v>
      </c>
      <c r="E428" s="24">
        <v>840000</v>
      </c>
      <c r="F428" s="39">
        <v>44379</v>
      </c>
      <c r="G428" s="24">
        <v>840000</v>
      </c>
      <c r="H428" s="23">
        <v>5.0000000000000001E-3</v>
      </c>
      <c r="I428" s="39">
        <v>44440</v>
      </c>
      <c r="J428" s="39">
        <v>44469</v>
      </c>
      <c r="K428" s="24">
        <v>30</v>
      </c>
      <c r="L428" s="24">
        <v>345</v>
      </c>
      <c r="M428" s="24">
        <v>840000</v>
      </c>
      <c r="N428" s="39">
        <v>46204</v>
      </c>
    </row>
    <row r="429" spans="1:14" s="5" customFormat="1" outlineLevel="2">
      <c r="A429" s="39" t="s">
        <v>142</v>
      </c>
      <c r="B429" s="40" t="s">
        <v>393</v>
      </c>
      <c r="C429" s="41" t="s">
        <v>149</v>
      </c>
      <c r="D429" s="40" t="s">
        <v>150</v>
      </c>
      <c r="E429" s="24">
        <v>1646400</v>
      </c>
      <c r="F429" s="39">
        <v>44384</v>
      </c>
      <c r="G429" s="24">
        <v>1646400</v>
      </c>
      <c r="H429" s="23">
        <v>5.0000000000000001E-3</v>
      </c>
      <c r="I429" s="39">
        <v>44440</v>
      </c>
      <c r="J429" s="39">
        <v>44469</v>
      </c>
      <c r="K429" s="24">
        <v>30</v>
      </c>
      <c r="L429" s="24">
        <v>677</v>
      </c>
      <c r="M429" s="24">
        <v>1646400</v>
      </c>
      <c r="N429" s="39">
        <v>46209</v>
      </c>
    </row>
    <row r="430" spans="1:14" s="5" customFormat="1" outlineLevel="2">
      <c r="A430" s="39" t="s">
        <v>142</v>
      </c>
      <c r="B430" s="40" t="s">
        <v>392</v>
      </c>
      <c r="C430" s="41" t="s">
        <v>149</v>
      </c>
      <c r="D430" s="40" t="s">
        <v>150</v>
      </c>
      <c r="E430" s="24">
        <v>1092000</v>
      </c>
      <c r="F430" s="39">
        <v>44407</v>
      </c>
      <c r="G430" s="24">
        <v>1092000</v>
      </c>
      <c r="H430" s="23">
        <v>5.0000000000000001E-3</v>
      </c>
      <c r="I430" s="39">
        <v>44440</v>
      </c>
      <c r="J430" s="39">
        <v>44469</v>
      </c>
      <c r="K430" s="24">
        <v>30</v>
      </c>
      <c r="L430" s="24">
        <v>449</v>
      </c>
      <c r="M430" s="24">
        <v>1092000</v>
      </c>
      <c r="N430" s="39">
        <v>46232</v>
      </c>
    </row>
    <row r="431" spans="1:14" s="5" customFormat="1" outlineLevel="2">
      <c r="A431" s="39" t="s">
        <v>142</v>
      </c>
      <c r="B431" s="40" t="s">
        <v>391</v>
      </c>
      <c r="C431" s="41" t="s">
        <v>149</v>
      </c>
      <c r="D431" s="40" t="s">
        <v>150</v>
      </c>
      <c r="E431" s="24">
        <v>430080</v>
      </c>
      <c r="F431" s="39">
        <v>44407</v>
      </c>
      <c r="G431" s="24">
        <v>430080</v>
      </c>
      <c r="H431" s="23">
        <v>5.0000000000000001E-3</v>
      </c>
      <c r="I431" s="39">
        <v>44440</v>
      </c>
      <c r="J431" s="39">
        <v>44469</v>
      </c>
      <c r="K431" s="24">
        <v>30</v>
      </c>
      <c r="L431" s="24">
        <v>177</v>
      </c>
      <c r="M431" s="24">
        <v>430080</v>
      </c>
      <c r="N431" s="39">
        <v>46232</v>
      </c>
    </row>
    <row r="432" spans="1:14" s="5" customFormat="1" outlineLevel="2">
      <c r="A432" s="39" t="s">
        <v>142</v>
      </c>
      <c r="B432" s="40" t="s">
        <v>390</v>
      </c>
      <c r="C432" s="41" t="s">
        <v>125</v>
      </c>
      <c r="D432" s="40" t="s">
        <v>126</v>
      </c>
      <c r="E432" s="24">
        <v>7000000</v>
      </c>
      <c r="F432" s="39">
        <v>44389</v>
      </c>
      <c r="G432" s="24">
        <v>7000000</v>
      </c>
      <c r="H432" s="23">
        <v>5.0000000000000001E-3</v>
      </c>
      <c r="I432" s="39">
        <v>44440</v>
      </c>
      <c r="J432" s="39">
        <v>44469</v>
      </c>
      <c r="K432" s="24">
        <v>30</v>
      </c>
      <c r="L432" s="24">
        <v>2877</v>
      </c>
      <c r="M432" s="24">
        <v>7000000</v>
      </c>
      <c r="N432" s="39">
        <v>46214</v>
      </c>
    </row>
    <row r="433" spans="1:14" s="5" customFormat="1" outlineLevel="2">
      <c r="A433" s="39" t="s">
        <v>142</v>
      </c>
      <c r="B433" s="40" t="s">
        <v>389</v>
      </c>
      <c r="C433" s="41" t="s">
        <v>87</v>
      </c>
      <c r="D433" s="40" t="s">
        <v>88</v>
      </c>
      <c r="E433" s="24">
        <v>13481921</v>
      </c>
      <c r="F433" s="39">
        <v>44403</v>
      </c>
      <c r="G433" s="24">
        <v>13481921</v>
      </c>
      <c r="H433" s="23">
        <v>5.0000000000000001E-3</v>
      </c>
      <c r="I433" s="39">
        <v>44440</v>
      </c>
      <c r="J433" s="39">
        <v>44469</v>
      </c>
      <c r="K433" s="24">
        <v>30</v>
      </c>
      <c r="L433" s="24">
        <v>5541</v>
      </c>
      <c r="M433" s="24">
        <v>13481921</v>
      </c>
      <c r="N433" s="39">
        <v>46228</v>
      </c>
    </row>
    <row r="434" spans="1:14" s="5" customFormat="1" outlineLevel="2">
      <c r="A434" s="39" t="s">
        <v>142</v>
      </c>
      <c r="B434" s="40" t="s">
        <v>402</v>
      </c>
      <c r="C434" s="41" t="s">
        <v>149</v>
      </c>
      <c r="D434" s="40" t="s">
        <v>150</v>
      </c>
      <c r="E434" s="24">
        <v>40666</v>
      </c>
      <c r="F434" s="39">
        <v>44417</v>
      </c>
      <c r="G434" s="24">
        <v>40666</v>
      </c>
      <c r="H434" s="23">
        <v>5.0000000000000001E-3</v>
      </c>
      <c r="I434" s="39">
        <v>44440</v>
      </c>
      <c r="J434" s="39">
        <v>44469</v>
      </c>
      <c r="K434" s="24">
        <v>30</v>
      </c>
      <c r="L434" s="24">
        <v>17</v>
      </c>
      <c r="M434" s="24">
        <v>40666</v>
      </c>
      <c r="N434" s="39">
        <v>46242</v>
      </c>
    </row>
    <row r="435" spans="1:14" s="5" customFormat="1" outlineLevel="2">
      <c r="A435" s="39" t="s">
        <v>142</v>
      </c>
      <c r="B435" s="40" t="s">
        <v>401</v>
      </c>
      <c r="C435" s="41" t="s">
        <v>149</v>
      </c>
      <c r="D435" s="40" t="s">
        <v>150</v>
      </c>
      <c r="E435" s="24">
        <v>160704</v>
      </c>
      <c r="F435" s="39">
        <v>44435</v>
      </c>
      <c r="G435" s="24">
        <v>160704</v>
      </c>
      <c r="H435" s="23">
        <v>5.0000000000000001E-3</v>
      </c>
      <c r="I435" s="39">
        <v>44440</v>
      </c>
      <c r="J435" s="39">
        <v>44469</v>
      </c>
      <c r="K435" s="24">
        <v>30</v>
      </c>
      <c r="L435" s="24">
        <v>66</v>
      </c>
      <c r="M435" s="24">
        <v>160704</v>
      </c>
      <c r="N435" s="39">
        <v>46260</v>
      </c>
    </row>
    <row r="436" spans="1:14" s="5" customFormat="1" outlineLevel="2">
      <c r="A436" s="39" t="s">
        <v>142</v>
      </c>
      <c r="B436" s="40" t="s">
        <v>400</v>
      </c>
      <c r="C436" s="41" t="s">
        <v>149</v>
      </c>
      <c r="D436" s="40" t="s">
        <v>150</v>
      </c>
      <c r="E436" s="24">
        <v>1302000</v>
      </c>
      <c r="F436" s="39">
        <v>44438</v>
      </c>
      <c r="G436" s="24">
        <v>1302000</v>
      </c>
      <c r="H436" s="23">
        <v>5.0000000000000001E-3</v>
      </c>
      <c r="I436" s="39">
        <v>44440</v>
      </c>
      <c r="J436" s="39">
        <v>44469</v>
      </c>
      <c r="K436" s="24">
        <v>30</v>
      </c>
      <c r="L436" s="24">
        <v>535</v>
      </c>
      <c r="M436" s="24">
        <v>1302000</v>
      </c>
      <c r="N436" s="39">
        <v>46263</v>
      </c>
    </row>
    <row r="437" spans="1:14" s="5" customFormat="1" outlineLevel="2">
      <c r="A437" s="39" t="s">
        <v>142</v>
      </c>
      <c r="B437" s="40" t="s">
        <v>399</v>
      </c>
      <c r="C437" s="41" t="s">
        <v>219</v>
      </c>
      <c r="D437" s="40" t="s">
        <v>220</v>
      </c>
      <c r="E437" s="24">
        <v>40000000</v>
      </c>
      <c r="F437" s="39">
        <v>44432</v>
      </c>
      <c r="G437" s="24">
        <v>40000000</v>
      </c>
      <c r="H437" s="23">
        <v>5.0000000000000001E-3</v>
      </c>
      <c r="I437" s="39">
        <v>44440</v>
      </c>
      <c r="J437" s="39">
        <v>44469</v>
      </c>
      <c r="K437" s="24">
        <v>30</v>
      </c>
      <c r="L437" s="24">
        <v>16438</v>
      </c>
      <c r="M437" s="24">
        <v>40000000</v>
      </c>
      <c r="N437" s="39">
        <v>46257</v>
      </c>
    </row>
    <row r="438" spans="1:14" s="5" customFormat="1" outlineLevel="2">
      <c r="A438" s="39" t="s">
        <v>142</v>
      </c>
      <c r="B438" s="40" t="s">
        <v>35</v>
      </c>
      <c r="C438" s="41" t="s">
        <v>89</v>
      </c>
      <c r="D438" s="40" t="s">
        <v>90</v>
      </c>
      <c r="E438" s="24">
        <v>16860000</v>
      </c>
      <c r="F438" s="39">
        <v>43993</v>
      </c>
      <c r="G438" s="24">
        <v>16860000</v>
      </c>
      <c r="H438" s="23">
        <v>5.0000000000000001E-3</v>
      </c>
      <c r="I438" s="39">
        <v>44440</v>
      </c>
      <c r="J438" s="39">
        <v>44469</v>
      </c>
      <c r="K438" s="24">
        <v>30</v>
      </c>
      <c r="L438" s="24">
        <v>6929</v>
      </c>
      <c r="M438" s="24">
        <v>16860000</v>
      </c>
      <c r="N438" s="39">
        <v>45818</v>
      </c>
    </row>
    <row r="439" spans="1:14" s="5" customFormat="1" outlineLevel="2">
      <c r="A439" s="39" t="s">
        <v>142</v>
      </c>
      <c r="B439" s="40" t="s">
        <v>420</v>
      </c>
      <c r="C439" s="41" t="s">
        <v>149</v>
      </c>
      <c r="D439" s="40" t="s">
        <v>150</v>
      </c>
      <c r="E439" s="24">
        <v>78606</v>
      </c>
      <c r="F439" s="39">
        <v>44450</v>
      </c>
      <c r="G439" s="24">
        <v>78606</v>
      </c>
      <c r="H439" s="23">
        <v>5.0000000000000001E-3</v>
      </c>
      <c r="I439" s="39">
        <v>44450</v>
      </c>
      <c r="J439" s="39">
        <v>44469</v>
      </c>
      <c r="K439" s="24">
        <v>20</v>
      </c>
      <c r="L439" s="24">
        <v>22</v>
      </c>
      <c r="M439" s="24">
        <v>78606</v>
      </c>
      <c r="N439" s="39">
        <v>46275</v>
      </c>
    </row>
    <row r="440" spans="1:14" s="5" customFormat="1" outlineLevel="2">
      <c r="A440" s="39" t="s">
        <v>142</v>
      </c>
      <c r="B440" s="40" t="s">
        <v>419</v>
      </c>
      <c r="C440" s="41" t="s">
        <v>149</v>
      </c>
      <c r="D440" s="40" t="s">
        <v>150</v>
      </c>
      <c r="E440" s="24">
        <v>160332</v>
      </c>
      <c r="F440" s="39">
        <v>44454</v>
      </c>
      <c r="G440" s="24">
        <v>160332</v>
      </c>
      <c r="H440" s="23">
        <v>5.0000000000000001E-3</v>
      </c>
      <c r="I440" s="39">
        <v>44454</v>
      </c>
      <c r="J440" s="39">
        <v>44469</v>
      </c>
      <c r="K440" s="24">
        <v>16</v>
      </c>
      <c r="L440" s="24">
        <v>35</v>
      </c>
      <c r="M440" s="24">
        <v>160332</v>
      </c>
      <c r="N440" s="39">
        <v>46279</v>
      </c>
    </row>
    <row r="441" spans="1:14" s="5" customFormat="1" outlineLevel="2">
      <c r="A441" s="39" t="s">
        <v>142</v>
      </c>
      <c r="B441" s="40" t="s">
        <v>418</v>
      </c>
      <c r="C441" s="41" t="s">
        <v>149</v>
      </c>
      <c r="D441" s="40" t="s">
        <v>150</v>
      </c>
      <c r="E441" s="24">
        <v>2016000</v>
      </c>
      <c r="F441" s="39">
        <v>44463</v>
      </c>
      <c r="G441" s="24">
        <v>2016000</v>
      </c>
      <c r="H441" s="23">
        <v>5.0000000000000001E-3</v>
      </c>
      <c r="I441" s="39">
        <v>44463</v>
      </c>
      <c r="J441" s="39">
        <v>44469</v>
      </c>
      <c r="K441" s="24">
        <v>7</v>
      </c>
      <c r="L441" s="24">
        <v>193</v>
      </c>
      <c r="M441" s="24">
        <v>2016000</v>
      </c>
      <c r="N441" s="39">
        <v>46288</v>
      </c>
    </row>
    <row r="442" spans="1:14" s="5" customFormat="1" outlineLevel="2">
      <c r="A442" s="39" t="s">
        <v>142</v>
      </c>
      <c r="B442" s="40" t="s">
        <v>417</v>
      </c>
      <c r="C442" s="41" t="s">
        <v>219</v>
      </c>
      <c r="D442" s="40" t="s">
        <v>220</v>
      </c>
      <c r="E442" s="24">
        <v>40000000</v>
      </c>
      <c r="F442" s="39">
        <v>44462</v>
      </c>
      <c r="G442" s="24">
        <v>40000000</v>
      </c>
      <c r="H442" s="23">
        <v>5.0000000000000001E-3</v>
      </c>
      <c r="I442" s="39">
        <v>44462</v>
      </c>
      <c r="J442" s="39">
        <v>44469</v>
      </c>
      <c r="K442" s="24">
        <v>8</v>
      </c>
      <c r="L442" s="24">
        <v>4384</v>
      </c>
      <c r="M442" s="24">
        <v>40000000</v>
      </c>
      <c r="N442" s="39">
        <v>46287</v>
      </c>
    </row>
    <row r="443" spans="1:14" s="5" customFormat="1" outlineLevel="2">
      <c r="A443" s="39" t="s">
        <v>142</v>
      </c>
      <c r="B443" s="40" t="s">
        <v>416</v>
      </c>
      <c r="C443" s="41" t="s">
        <v>87</v>
      </c>
      <c r="D443" s="40" t="s">
        <v>88</v>
      </c>
      <c r="E443" s="24">
        <v>22231681</v>
      </c>
      <c r="F443" s="39">
        <v>44466</v>
      </c>
      <c r="G443" s="24">
        <v>22231681</v>
      </c>
      <c r="H443" s="23">
        <v>5.0000000000000001E-3</v>
      </c>
      <c r="I443" s="39">
        <v>44466</v>
      </c>
      <c r="J443" s="39">
        <v>44469</v>
      </c>
      <c r="K443" s="24">
        <v>4</v>
      </c>
      <c r="L443" s="24">
        <v>1218</v>
      </c>
      <c r="M443" s="24">
        <v>22231681</v>
      </c>
      <c r="N443" s="39">
        <v>46291</v>
      </c>
    </row>
    <row r="444" spans="1:14" s="5" customFormat="1" outlineLevel="2">
      <c r="A444" s="39" t="s">
        <v>142</v>
      </c>
      <c r="B444" s="40" t="s">
        <v>415</v>
      </c>
      <c r="C444" s="41" t="s">
        <v>165</v>
      </c>
      <c r="D444" s="40" t="s">
        <v>166</v>
      </c>
      <c r="E444" s="24">
        <v>8010000</v>
      </c>
      <c r="F444" s="39">
        <v>44468</v>
      </c>
      <c r="G444" s="24">
        <v>8010000</v>
      </c>
      <c r="H444" s="23">
        <v>5.0000000000000001E-3</v>
      </c>
      <c r="I444" s="39">
        <v>44468</v>
      </c>
      <c r="J444" s="39">
        <v>44469</v>
      </c>
      <c r="K444" s="24">
        <v>2</v>
      </c>
      <c r="L444" s="24">
        <v>219</v>
      </c>
      <c r="M444" s="24">
        <v>8010000</v>
      </c>
      <c r="N444" s="39">
        <v>45563</v>
      </c>
    </row>
    <row r="445" spans="1:14" s="5" customFormat="1" outlineLevel="2">
      <c r="A445" s="39" t="s">
        <v>142</v>
      </c>
      <c r="B445" s="40" t="s">
        <v>36</v>
      </c>
      <c r="C445" s="41" t="s">
        <v>161</v>
      </c>
      <c r="D445" s="40" t="s">
        <v>162</v>
      </c>
      <c r="E445" s="24">
        <v>240000000</v>
      </c>
      <c r="F445" s="39">
        <v>44000</v>
      </c>
      <c r="G445" s="24">
        <v>240000000</v>
      </c>
      <c r="H445" s="23">
        <v>5.0000000000000001E-3</v>
      </c>
      <c r="I445" s="39">
        <v>44440</v>
      </c>
      <c r="J445" s="39">
        <v>44469</v>
      </c>
      <c r="K445" s="24">
        <v>30</v>
      </c>
      <c r="L445" s="24">
        <v>98630</v>
      </c>
      <c r="M445" s="24">
        <v>240000000</v>
      </c>
      <c r="N445" s="39">
        <v>45825</v>
      </c>
    </row>
    <row r="446" spans="1:14" s="5" customFormat="1" outlineLevel="2">
      <c r="A446" s="39" t="s">
        <v>142</v>
      </c>
      <c r="B446" s="40" t="s">
        <v>39</v>
      </c>
      <c r="C446" s="41" t="s">
        <v>143</v>
      </c>
      <c r="D446" s="40" t="s">
        <v>144</v>
      </c>
      <c r="E446" s="24">
        <v>57000000</v>
      </c>
      <c r="F446" s="39">
        <v>43822</v>
      </c>
      <c r="G446" s="24">
        <v>57000000</v>
      </c>
      <c r="H446" s="23">
        <v>5.0000000000000001E-3</v>
      </c>
      <c r="I446" s="39">
        <v>44440</v>
      </c>
      <c r="J446" s="39">
        <v>44469</v>
      </c>
      <c r="K446" s="24">
        <v>30</v>
      </c>
      <c r="L446" s="24">
        <v>23425</v>
      </c>
      <c r="M446" s="24">
        <v>57000000</v>
      </c>
      <c r="N446" s="39">
        <v>45648</v>
      </c>
    </row>
    <row r="447" spans="1:14" s="5" customFormat="1" outlineLevel="2">
      <c r="A447" s="39" t="s">
        <v>142</v>
      </c>
      <c r="B447" s="40" t="s">
        <v>40</v>
      </c>
      <c r="C447" s="41" t="s">
        <v>123</v>
      </c>
      <c r="D447" s="40" t="s">
        <v>124</v>
      </c>
      <c r="E447" s="24">
        <v>55000000</v>
      </c>
      <c r="F447" s="39">
        <v>44001</v>
      </c>
      <c r="G447" s="24">
        <v>55000000</v>
      </c>
      <c r="H447" s="23">
        <v>5.0000000000000001E-3</v>
      </c>
      <c r="I447" s="39">
        <v>44440</v>
      </c>
      <c r="J447" s="39">
        <v>44469</v>
      </c>
      <c r="K447" s="24">
        <v>30</v>
      </c>
      <c r="L447" s="24">
        <v>22603</v>
      </c>
      <c r="M447" s="24">
        <v>55000000</v>
      </c>
      <c r="N447" s="39">
        <v>45826</v>
      </c>
    </row>
    <row r="448" spans="1:14" s="5" customFormat="1" outlineLevel="2">
      <c r="A448" s="39" t="s">
        <v>142</v>
      </c>
      <c r="B448" s="40" t="s">
        <v>41</v>
      </c>
      <c r="C448" s="41" t="s">
        <v>87</v>
      </c>
      <c r="D448" s="40" t="s">
        <v>88</v>
      </c>
      <c r="E448" s="24">
        <v>8907064</v>
      </c>
      <c r="F448" s="39">
        <v>44006</v>
      </c>
      <c r="G448" s="24">
        <v>8907064</v>
      </c>
      <c r="H448" s="23">
        <v>5.0000000000000001E-3</v>
      </c>
      <c r="I448" s="39">
        <v>44440</v>
      </c>
      <c r="J448" s="39">
        <v>44469</v>
      </c>
      <c r="K448" s="24">
        <v>30</v>
      </c>
      <c r="L448" s="24">
        <v>3660</v>
      </c>
      <c r="M448" s="24">
        <v>8907064</v>
      </c>
      <c r="N448" s="39">
        <v>45831</v>
      </c>
    </row>
    <row r="449" spans="1:14" s="5" customFormat="1" outlineLevel="2">
      <c r="A449" s="39" t="s">
        <v>142</v>
      </c>
      <c r="B449" s="40" t="s">
        <v>42</v>
      </c>
      <c r="C449" s="41" t="s">
        <v>149</v>
      </c>
      <c r="D449" s="40" t="s">
        <v>150</v>
      </c>
      <c r="E449" s="24">
        <v>7560000</v>
      </c>
      <c r="F449" s="39">
        <v>44018</v>
      </c>
      <c r="G449" s="24">
        <v>7560000</v>
      </c>
      <c r="H449" s="23">
        <v>5.0000000000000001E-3</v>
      </c>
      <c r="I449" s="39">
        <v>44440</v>
      </c>
      <c r="J449" s="39">
        <v>44469</v>
      </c>
      <c r="K449" s="24">
        <v>30</v>
      </c>
      <c r="L449" s="24">
        <v>3107</v>
      </c>
      <c r="M449" s="24">
        <v>7560000</v>
      </c>
      <c r="N449" s="39">
        <v>45843</v>
      </c>
    </row>
    <row r="450" spans="1:14" s="5" customFormat="1" outlineLevel="2">
      <c r="A450" s="39" t="s">
        <v>142</v>
      </c>
      <c r="B450" s="40" t="s">
        <v>43</v>
      </c>
      <c r="C450" s="41" t="s">
        <v>143</v>
      </c>
      <c r="D450" s="40" t="s">
        <v>144</v>
      </c>
      <c r="E450" s="24">
        <v>38000000</v>
      </c>
      <c r="F450" s="39">
        <v>44022</v>
      </c>
      <c r="G450" s="24">
        <v>38000000</v>
      </c>
      <c r="H450" s="23">
        <v>5.0000000000000001E-3</v>
      </c>
      <c r="I450" s="39">
        <v>44440</v>
      </c>
      <c r="J450" s="39">
        <v>44469</v>
      </c>
      <c r="K450" s="24">
        <v>30</v>
      </c>
      <c r="L450" s="24">
        <v>15616</v>
      </c>
      <c r="M450" s="24">
        <v>38000000</v>
      </c>
      <c r="N450" s="39">
        <v>45847</v>
      </c>
    </row>
    <row r="451" spans="1:14" s="5" customFormat="1" outlineLevel="2">
      <c r="A451" s="39" t="s">
        <v>142</v>
      </c>
      <c r="B451" s="40" t="s">
        <v>44</v>
      </c>
      <c r="C451" s="41" t="s">
        <v>143</v>
      </c>
      <c r="D451" s="40" t="s">
        <v>144</v>
      </c>
      <c r="E451" s="24">
        <v>10500000</v>
      </c>
      <c r="F451" s="39">
        <v>44022</v>
      </c>
      <c r="G451" s="24">
        <v>10500000</v>
      </c>
      <c r="H451" s="23">
        <v>5.0000000000000001E-3</v>
      </c>
      <c r="I451" s="39">
        <v>44440</v>
      </c>
      <c r="J451" s="39">
        <v>44469</v>
      </c>
      <c r="K451" s="24">
        <v>30</v>
      </c>
      <c r="L451" s="24">
        <v>4315</v>
      </c>
      <c r="M451" s="24">
        <v>10500000</v>
      </c>
      <c r="N451" s="39">
        <v>45847</v>
      </c>
    </row>
    <row r="452" spans="1:14" s="5" customFormat="1" outlineLevel="2">
      <c r="A452" s="39" t="s">
        <v>142</v>
      </c>
      <c r="B452" s="40" t="s">
        <v>47</v>
      </c>
      <c r="C452" s="41" t="s">
        <v>163</v>
      </c>
      <c r="D452" s="40" t="s">
        <v>164</v>
      </c>
      <c r="E452" s="24">
        <v>72000000</v>
      </c>
      <c r="F452" s="39">
        <v>44025</v>
      </c>
      <c r="G452" s="24">
        <v>64134454</v>
      </c>
      <c r="H452" s="23">
        <v>5.0000000000000001E-3</v>
      </c>
      <c r="I452" s="39">
        <v>44440</v>
      </c>
      <c r="J452" s="39">
        <v>44453</v>
      </c>
      <c r="K452" s="24">
        <v>14</v>
      </c>
      <c r="L452" s="24">
        <v>12300</v>
      </c>
      <c r="M452" s="24">
        <v>63529412</v>
      </c>
      <c r="N452" s="39">
        <v>45850</v>
      </c>
    </row>
    <row r="453" spans="1:14" s="5" customFormat="1" outlineLevel="2">
      <c r="A453" s="39" t="s">
        <v>142</v>
      </c>
      <c r="B453" s="40" t="s">
        <v>47</v>
      </c>
      <c r="C453" s="41" t="s">
        <v>163</v>
      </c>
      <c r="D453" s="40"/>
      <c r="E453" s="24"/>
      <c r="F453" s="39"/>
      <c r="G453" s="24">
        <v>63529412</v>
      </c>
      <c r="H453" s="23">
        <v>5.0000000000000001E-3</v>
      </c>
      <c r="I453" s="39">
        <v>44454</v>
      </c>
      <c r="J453" s="39">
        <v>44469</v>
      </c>
      <c r="K453" s="24">
        <v>16</v>
      </c>
      <c r="L453" s="24">
        <v>13924</v>
      </c>
      <c r="M453" s="24"/>
      <c r="N453" s="39">
        <v>45850</v>
      </c>
    </row>
    <row r="454" spans="1:14" s="5" customFormat="1" outlineLevel="2">
      <c r="A454" s="39" t="s">
        <v>142</v>
      </c>
      <c r="B454" s="40" t="s">
        <v>50</v>
      </c>
      <c r="C454" s="41" t="s">
        <v>97</v>
      </c>
      <c r="D454" s="40" t="s">
        <v>98</v>
      </c>
      <c r="E454" s="24">
        <v>87500000</v>
      </c>
      <c r="F454" s="39">
        <v>44027</v>
      </c>
      <c r="G454" s="24">
        <v>87500000</v>
      </c>
      <c r="H454" s="23">
        <v>5.0000000000000001E-3</v>
      </c>
      <c r="I454" s="39">
        <v>44440</v>
      </c>
      <c r="J454" s="39">
        <v>44469</v>
      </c>
      <c r="K454" s="24">
        <v>30</v>
      </c>
      <c r="L454" s="24">
        <v>35959</v>
      </c>
      <c r="M454" s="24">
        <v>87500000</v>
      </c>
      <c r="N454" s="39">
        <v>45852</v>
      </c>
    </row>
    <row r="455" spans="1:14" s="5" customFormat="1" outlineLevel="2">
      <c r="A455" s="39" t="s">
        <v>142</v>
      </c>
      <c r="B455" s="40" t="s">
        <v>51</v>
      </c>
      <c r="C455" s="41" t="s">
        <v>165</v>
      </c>
      <c r="D455" s="40" t="s">
        <v>166</v>
      </c>
      <c r="E455" s="24">
        <v>84000000</v>
      </c>
      <c r="F455" s="39">
        <v>44027</v>
      </c>
      <c r="G455" s="24">
        <v>80500000</v>
      </c>
      <c r="H455" s="23">
        <v>5.0000000000000001E-3</v>
      </c>
      <c r="I455" s="39">
        <v>44440</v>
      </c>
      <c r="J455" s="39">
        <v>44453</v>
      </c>
      <c r="K455" s="24">
        <v>14</v>
      </c>
      <c r="L455" s="24">
        <v>15438</v>
      </c>
      <c r="M455" s="24">
        <v>77000000</v>
      </c>
      <c r="N455" s="39">
        <v>45121</v>
      </c>
    </row>
    <row r="456" spans="1:14" s="5" customFormat="1" outlineLevel="2">
      <c r="A456" s="39" t="s">
        <v>142</v>
      </c>
      <c r="B456" s="40" t="s">
        <v>51</v>
      </c>
      <c r="C456" s="41" t="s">
        <v>165</v>
      </c>
      <c r="D456" s="40"/>
      <c r="E456" s="24"/>
      <c r="F456" s="39"/>
      <c r="G456" s="24">
        <v>77000000</v>
      </c>
      <c r="H456" s="23">
        <v>5.0000000000000001E-3</v>
      </c>
      <c r="I456" s="39">
        <v>44454</v>
      </c>
      <c r="J456" s="39">
        <v>44469</v>
      </c>
      <c r="K456" s="24">
        <v>16</v>
      </c>
      <c r="L456" s="24">
        <v>16877</v>
      </c>
      <c r="M456" s="24"/>
      <c r="N456" s="39">
        <v>45121</v>
      </c>
    </row>
    <row r="457" spans="1:14" s="5" customFormat="1" outlineLevel="2">
      <c r="A457" s="39" t="s">
        <v>142</v>
      </c>
      <c r="B457" s="40" t="s">
        <v>52</v>
      </c>
      <c r="C457" s="41" t="s">
        <v>30</v>
      </c>
      <c r="D457" s="40" t="s">
        <v>31</v>
      </c>
      <c r="E457" s="24">
        <v>12230000</v>
      </c>
      <c r="F457" s="39">
        <v>44034</v>
      </c>
      <c r="G457" s="24">
        <v>12230000</v>
      </c>
      <c r="H457" s="23">
        <v>5.0000000000000001E-3</v>
      </c>
      <c r="I457" s="39">
        <v>44440</v>
      </c>
      <c r="J457" s="39">
        <v>44469</v>
      </c>
      <c r="K457" s="24">
        <v>30</v>
      </c>
      <c r="L457" s="24">
        <v>5026</v>
      </c>
      <c r="M457" s="24">
        <v>12230000</v>
      </c>
      <c r="N457" s="39">
        <v>45859</v>
      </c>
    </row>
    <row r="458" spans="1:14" s="5" customFormat="1" outlineLevel="2">
      <c r="A458" s="39" t="s">
        <v>142</v>
      </c>
      <c r="B458" s="40" t="s">
        <v>53</v>
      </c>
      <c r="C458" s="41" t="s">
        <v>123</v>
      </c>
      <c r="D458" s="40" t="s">
        <v>124</v>
      </c>
      <c r="E458" s="24">
        <v>40000000</v>
      </c>
      <c r="F458" s="39">
        <v>44040</v>
      </c>
      <c r="G458" s="24">
        <v>40000000</v>
      </c>
      <c r="H458" s="23">
        <v>5.0000000000000001E-3</v>
      </c>
      <c r="I458" s="39">
        <v>44440</v>
      </c>
      <c r="J458" s="39">
        <v>44469</v>
      </c>
      <c r="K458" s="24">
        <v>30</v>
      </c>
      <c r="L458" s="24">
        <v>16438</v>
      </c>
      <c r="M458" s="24">
        <v>40000000</v>
      </c>
      <c r="N458" s="39">
        <v>45865</v>
      </c>
    </row>
    <row r="459" spans="1:14" s="5" customFormat="1" outlineLevel="2">
      <c r="A459" s="39" t="s">
        <v>142</v>
      </c>
      <c r="B459" s="40" t="s">
        <v>54</v>
      </c>
      <c r="C459" s="41" t="s">
        <v>121</v>
      </c>
      <c r="D459" s="40" t="s">
        <v>122</v>
      </c>
      <c r="E459" s="24">
        <v>171000000</v>
      </c>
      <c r="F459" s="39">
        <v>43822</v>
      </c>
      <c r="G459" s="24">
        <v>171000000</v>
      </c>
      <c r="H459" s="23">
        <v>5.0000000000000001E-3</v>
      </c>
      <c r="I459" s="39">
        <v>44440</v>
      </c>
      <c r="J459" s="39">
        <v>44469</v>
      </c>
      <c r="K459" s="24">
        <v>30</v>
      </c>
      <c r="L459" s="24">
        <v>70274</v>
      </c>
      <c r="M459" s="24">
        <v>171000000</v>
      </c>
      <c r="N459" s="39">
        <v>45648</v>
      </c>
    </row>
    <row r="460" spans="1:14" s="5" customFormat="1" outlineLevel="2">
      <c r="A460" s="39" t="s">
        <v>142</v>
      </c>
      <c r="B460" s="40" t="s">
        <v>57</v>
      </c>
      <c r="C460" s="41" t="s">
        <v>167</v>
      </c>
      <c r="D460" s="40" t="s">
        <v>168</v>
      </c>
      <c r="E460" s="24">
        <v>18000000</v>
      </c>
      <c r="F460" s="39">
        <v>44043</v>
      </c>
      <c r="G460" s="24">
        <v>17625000</v>
      </c>
      <c r="H460" s="23">
        <v>5.0000000000000001E-3</v>
      </c>
      <c r="I460" s="39">
        <v>44440</v>
      </c>
      <c r="J460" s="39">
        <v>44453</v>
      </c>
      <c r="K460" s="24">
        <v>14</v>
      </c>
      <c r="L460" s="24">
        <v>3380</v>
      </c>
      <c r="M460" s="24">
        <v>17250000</v>
      </c>
      <c r="N460" s="39">
        <v>45868</v>
      </c>
    </row>
    <row r="461" spans="1:14" s="5" customFormat="1" outlineLevel="2">
      <c r="A461" s="39" t="s">
        <v>142</v>
      </c>
      <c r="B461" s="40" t="s">
        <v>57</v>
      </c>
      <c r="C461" s="41" t="s">
        <v>167</v>
      </c>
      <c r="D461" s="40"/>
      <c r="E461" s="24"/>
      <c r="F461" s="39"/>
      <c r="G461" s="24">
        <v>17250000</v>
      </c>
      <c r="H461" s="23">
        <v>5.0000000000000001E-3</v>
      </c>
      <c r="I461" s="39">
        <v>44454</v>
      </c>
      <c r="J461" s="39">
        <v>44469</v>
      </c>
      <c r="K461" s="24">
        <v>16</v>
      </c>
      <c r="L461" s="24">
        <v>3781</v>
      </c>
      <c r="M461" s="24"/>
      <c r="N461" s="39">
        <v>45868</v>
      </c>
    </row>
    <row r="462" spans="1:14" s="5" customFormat="1" outlineLevel="2">
      <c r="A462" s="39" t="s">
        <v>142</v>
      </c>
      <c r="B462" s="40" t="s">
        <v>58</v>
      </c>
      <c r="C462" s="41" t="s">
        <v>167</v>
      </c>
      <c r="D462" s="40" t="s">
        <v>168</v>
      </c>
      <c r="E462" s="24">
        <v>21000000</v>
      </c>
      <c r="F462" s="39">
        <v>44043</v>
      </c>
      <c r="G462" s="24">
        <v>20562500</v>
      </c>
      <c r="H462" s="23">
        <v>5.0000000000000001E-3</v>
      </c>
      <c r="I462" s="39">
        <v>44440</v>
      </c>
      <c r="J462" s="39">
        <v>44453</v>
      </c>
      <c r="K462" s="24">
        <v>14</v>
      </c>
      <c r="L462" s="24">
        <v>3943</v>
      </c>
      <c r="M462" s="24">
        <v>20125000</v>
      </c>
      <c r="N462" s="39">
        <v>45868</v>
      </c>
    </row>
    <row r="463" spans="1:14" s="5" customFormat="1" outlineLevel="2">
      <c r="A463" s="39" t="s">
        <v>142</v>
      </c>
      <c r="B463" s="40" t="s">
        <v>58</v>
      </c>
      <c r="C463" s="41" t="s">
        <v>167</v>
      </c>
      <c r="D463" s="40"/>
      <c r="E463" s="24"/>
      <c r="F463" s="39"/>
      <c r="G463" s="24">
        <v>20125000</v>
      </c>
      <c r="H463" s="23">
        <v>5.0000000000000001E-3</v>
      </c>
      <c r="I463" s="39">
        <v>44454</v>
      </c>
      <c r="J463" s="39">
        <v>44469</v>
      </c>
      <c r="K463" s="24">
        <v>16</v>
      </c>
      <c r="L463" s="24">
        <v>4411</v>
      </c>
      <c r="M463" s="24"/>
      <c r="N463" s="39">
        <v>45868</v>
      </c>
    </row>
    <row r="464" spans="1:14" s="5" customFormat="1" outlineLevel="2">
      <c r="A464" s="39" t="s">
        <v>142</v>
      </c>
      <c r="B464" s="40" t="s">
        <v>99</v>
      </c>
      <c r="C464" s="41" t="s">
        <v>167</v>
      </c>
      <c r="D464" s="40" t="s">
        <v>168</v>
      </c>
      <c r="E464" s="24">
        <v>13600000</v>
      </c>
      <c r="F464" s="39">
        <v>44043</v>
      </c>
      <c r="G464" s="24">
        <v>13316667</v>
      </c>
      <c r="H464" s="23">
        <v>5.0000000000000001E-3</v>
      </c>
      <c r="I464" s="39">
        <v>44440</v>
      </c>
      <c r="J464" s="39">
        <v>44453</v>
      </c>
      <c r="K464" s="24">
        <v>14</v>
      </c>
      <c r="L464" s="24">
        <v>2554</v>
      </c>
      <c r="M464" s="24">
        <v>13033334</v>
      </c>
      <c r="N464" s="39">
        <v>45868</v>
      </c>
    </row>
    <row r="465" spans="1:14" s="5" customFormat="1" outlineLevel="2">
      <c r="A465" s="39" t="s">
        <v>142</v>
      </c>
      <c r="B465" s="40" t="s">
        <v>99</v>
      </c>
      <c r="C465" s="41" t="s">
        <v>167</v>
      </c>
      <c r="D465" s="40"/>
      <c r="E465" s="24"/>
      <c r="F465" s="39"/>
      <c r="G465" s="24">
        <v>13033334</v>
      </c>
      <c r="H465" s="23">
        <v>5.0000000000000001E-3</v>
      </c>
      <c r="I465" s="39">
        <v>44454</v>
      </c>
      <c r="J465" s="39">
        <v>44469</v>
      </c>
      <c r="K465" s="24">
        <v>16</v>
      </c>
      <c r="L465" s="24">
        <v>2857</v>
      </c>
      <c r="M465" s="24"/>
      <c r="N465" s="39">
        <v>45868</v>
      </c>
    </row>
    <row r="466" spans="1:14" s="5" customFormat="1" outlineLevel="2">
      <c r="A466" s="39" t="s">
        <v>142</v>
      </c>
      <c r="B466" s="40" t="s">
        <v>100</v>
      </c>
      <c r="C466" s="41" t="s">
        <v>143</v>
      </c>
      <c r="D466" s="40" t="s">
        <v>144</v>
      </c>
      <c r="E466" s="24">
        <v>28000000</v>
      </c>
      <c r="F466" s="39">
        <v>44046</v>
      </c>
      <c r="G466" s="24">
        <v>28000000</v>
      </c>
      <c r="H466" s="23">
        <v>5.0000000000000001E-3</v>
      </c>
      <c r="I466" s="39">
        <v>44440</v>
      </c>
      <c r="J466" s="39">
        <v>44469</v>
      </c>
      <c r="K466" s="24">
        <v>30</v>
      </c>
      <c r="L466" s="24">
        <v>11507</v>
      </c>
      <c r="M466" s="24">
        <v>28000000</v>
      </c>
      <c r="N466" s="39">
        <v>45871</v>
      </c>
    </row>
    <row r="467" spans="1:14" s="5" customFormat="1" outlineLevel="2">
      <c r="A467" s="39" t="s">
        <v>142</v>
      </c>
      <c r="B467" s="40" t="s">
        <v>101</v>
      </c>
      <c r="C467" s="41" t="s">
        <v>143</v>
      </c>
      <c r="D467" s="40" t="s">
        <v>144</v>
      </c>
      <c r="E467" s="24">
        <v>2700000</v>
      </c>
      <c r="F467" s="39">
        <v>44056</v>
      </c>
      <c r="G467" s="24">
        <v>2700000</v>
      </c>
      <c r="H467" s="23">
        <v>5.0000000000000001E-3</v>
      </c>
      <c r="I467" s="39">
        <v>44440</v>
      </c>
      <c r="J467" s="39">
        <v>44469</v>
      </c>
      <c r="K467" s="24">
        <v>30</v>
      </c>
      <c r="L467" s="24">
        <v>1110</v>
      </c>
      <c r="M467" s="24">
        <v>2700000</v>
      </c>
      <c r="N467" s="39">
        <v>45881</v>
      </c>
    </row>
    <row r="468" spans="1:14" s="5" customFormat="1" outlineLevel="2">
      <c r="A468" s="39" t="s">
        <v>142</v>
      </c>
      <c r="B468" s="40" t="s">
        <v>102</v>
      </c>
      <c r="C468" s="41" t="s">
        <v>143</v>
      </c>
      <c r="D468" s="40" t="s">
        <v>144</v>
      </c>
      <c r="E468" s="24">
        <v>29500000</v>
      </c>
      <c r="F468" s="39">
        <v>44074</v>
      </c>
      <c r="G468" s="24">
        <v>29500000</v>
      </c>
      <c r="H468" s="23">
        <v>5.0000000000000001E-3</v>
      </c>
      <c r="I468" s="39">
        <v>44440</v>
      </c>
      <c r="J468" s="39">
        <v>44469</v>
      </c>
      <c r="K468" s="24">
        <v>30</v>
      </c>
      <c r="L468" s="24">
        <v>12123</v>
      </c>
      <c r="M468" s="24">
        <v>29500000</v>
      </c>
      <c r="N468" s="39">
        <v>45899</v>
      </c>
    </row>
    <row r="469" spans="1:14" s="5" customFormat="1" outlineLevel="2">
      <c r="A469" s="39" t="s">
        <v>142</v>
      </c>
      <c r="B469" s="40" t="s">
        <v>103</v>
      </c>
      <c r="C469" s="41" t="s">
        <v>79</v>
      </c>
      <c r="D469" s="40" t="s">
        <v>80</v>
      </c>
      <c r="E469" s="24">
        <v>120000000</v>
      </c>
      <c r="F469" s="39">
        <v>44046</v>
      </c>
      <c r="G469" s="24">
        <v>120000000</v>
      </c>
      <c r="H469" s="23">
        <v>5.0000000000000001E-3</v>
      </c>
      <c r="I469" s="39">
        <v>44440</v>
      </c>
      <c r="J469" s="39">
        <v>44469</v>
      </c>
      <c r="K469" s="24">
        <v>30</v>
      </c>
      <c r="L469" s="24">
        <v>49315</v>
      </c>
      <c r="M469" s="24">
        <v>120000000</v>
      </c>
      <c r="N469" s="39">
        <v>45871</v>
      </c>
    </row>
    <row r="470" spans="1:14" s="5" customFormat="1" outlineLevel="2">
      <c r="A470" s="39" t="s">
        <v>142</v>
      </c>
      <c r="B470" s="40" t="s">
        <v>104</v>
      </c>
      <c r="C470" s="41" t="s">
        <v>149</v>
      </c>
      <c r="D470" s="40" t="s">
        <v>150</v>
      </c>
      <c r="E470" s="24">
        <v>8736000</v>
      </c>
      <c r="F470" s="39">
        <v>44047</v>
      </c>
      <c r="G470" s="24">
        <v>8736000</v>
      </c>
      <c r="H470" s="23">
        <v>5.0000000000000001E-3</v>
      </c>
      <c r="I470" s="39">
        <v>44440</v>
      </c>
      <c r="J470" s="39">
        <v>44469</v>
      </c>
      <c r="K470" s="24">
        <v>30</v>
      </c>
      <c r="L470" s="24">
        <v>3590</v>
      </c>
      <c r="M470" s="24">
        <v>8736000</v>
      </c>
      <c r="N470" s="39">
        <v>45872</v>
      </c>
    </row>
    <row r="471" spans="1:14" s="5" customFormat="1" outlineLevel="2">
      <c r="A471" s="39" t="s">
        <v>142</v>
      </c>
      <c r="B471" s="40" t="s">
        <v>105</v>
      </c>
      <c r="C471" s="41" t="s">
        <v>149</v>
      </c>
      <c r="D471" s="40" t="s">
        <v>150</v>
      </c>
      <c r="E471" s="24">
        <v>8988000</v>
      </c>
      <c r="F471" s="39">
        <v>44067</v>
      </c>
      <c r="G471" s="24">
        <v>8988000</v>
      </c>
      <c r="H471" s="23">
        <v>5.0000000000000001E-3</v>
      </c>
      <c r="I471" s="39">
        <v>44440</v>
      </c>
      <c r="J471" s="39">
        <v>44469</v>
      </c>
      <c r="K471" s="24">
        <v>30</v>
      </c>
      <c r="L471" s="24">
        <v>3694</v>
      </c>
      <c r="M471" s="24">
        <v>8988000</v>
      </c>
      <c r="N471" s="39">
        <v>45892</v>
      </c>
    </row>
    <row r="472" spans="1:14" s="5" customFormat="1" outlineLevel="2">
      <c r="A472" s="39" t="s">
        <v>142</v>
      </c>
      <c r="B472" s="40" t="s">
        <v>106</v>
      </c>
      <c r="C472" s="41" t="s">
        <v>149</v>
      </c>
      <c r="D472" s="40" t="s">
        <v>150</v>
      </c>
      <c r="E472" s="24">
        <v>34608000</v>
      </c>
      <c r="F472" s="39">
        <v>44070</v>
      </c>
      <c r="G472" s="24">
        <v>34608000</v>
      </c>
      <c r="H472" s="23">
        <v>5.0000000000000001E-3</v>
      </c>
      <c r="I472" s="39">
        <v>44440</v>
      </c>
      <c r="J472" s="39">
        <v>44469</v>
      </c>
      <c r="K472" s="24">
        <v>30</v>
      </c>
      <c r="L472" s="24">
        <v>14222</v>
      </c>
      <c r="M472" s="24">
        <v>34608000</v>
      </c>
      <c r="N472" s="39">
        <v>45895</v>
      </c>
    </row>
    <row r="473" spans="1:14" s="5" customFormat="1" outlineLevel="2">
      <c r="A473" s="39" t="s">
        <v>142</v>
      </c>
      <c r="B473" s="40" t="s">
        <v>59</v>
      </c>
      <c r="C473" s="41" t="s">
        <v>143</v>
      </c>
      <c r="D473" s="40" t="s">
        <v>144</v>
      </c>
      <c r="E473" s="24">
        <v>38000000</v>
      </c>
      <c r="F473" s="39">
        <v>43850</v>
      </c>
      <c r="G473" s="24">
        <v>38000000</v>
      </c>
      <c r="H473" s="23">
        <v>5.0000000000000001E-3</v>
      </c>
      <c r="I473" s="39">
        <v>44440</v>
      </c>
      <c r="J473" s="39">
        <v>44469</v>
      </c>
      <c r="K473" s="24">
        <v>30</v>
      </c>
      <c r="L473" s="24">
        <v>15616</v>
      </c>
      <c r="M473" s="24">
        <v>38000000</v>
      </c>
      <c r="N473" s="39">
        <v>45676</v>
      </c>
    </row>
    <row r="474" spans="1:14" s="5" customFormat="1" outlineLevel="2">
      <c r="A474" s="39" t="s">
        <v>142</v>
      </c>
      <c r="B474" s="40" t="s">
        <v>136</v>
      </c>
      <c r="C474" s="41" t="s">
        <v>146</v>
      </c>
      <c r="D474" s="40" t="s">
        <v>147</v>
      </c>
      <c r="E474" s="24">
        <v>13000000</v>
      </c>
      <c r="F474" s="39">
        <v>44047</v>
      </c>
      <c r="G474" s="24">
        <v>13000000</v>
      </c>
      <c r="H474" s="23">
        <v>5.0000000000000001E-3</v>
      </c>
      <c r="I474" s="39">
        <v>44440</v>
      </c>
      <c r="J474" s="39">
        <v>44469</v>
      </c>
      <c r="K474" s="24">
        <v>30</v>
      </c>
      <c r="L474" s="24">
        <v>5342</v>
      </c>
      <c r="M474" s="24">
        <v>13000000</v>
      </c>
      <c r="N474" s="39">
        <v>45872</v>
      </c>
    </row>
    <row r="475" spans="1:14" s="5" customFormat="1" outlineLevel="2">
      <c r="A475" s="39" t="s">
        <v>142</v>
      </c>
      <c r="B475" s="40" t="s">
        <v>137</v>
      </c>
      <c r="C475" s="41" t="s">
        <v>146</v>
      </c>
      <c r="D475" s="40" t="s">
        <v>147</v>
      </c>
      <c r="E475" s="24">
        <v>5000000</v>
      </c>
      <c r="F475" s="39">
        <v>44053</v>
      </c>
      <c r="G475" s="24">
        <v>5000000</v>
      </c>
      <c r="H475" s="23">
        <v>5.0000000000000001E-3</v>
      </c>
      <c r="I475" s="39">
        <v>44440</v>
      </c>
      <c r="J475" s="39">
        <v>44469</v>
      </c>
      <c r="K475" s="24">
        <v>30</v>
      </c>
      <c r="L475" s="24">
        <v>2055</v>
      </c>
      <c r="M475" s="24">
        <v>5000000</v>
      </c>
      <c r="N475" s="39">
        <v>45878</v>
      </c>
    </row>
    <row r="476" spans="1:14" s="5" customFormat="1" outlineLevel="2">
      <c r="A476" s="39" t="s">
        <v>142</v>
      </c>
      <c r="B476" s="40" t="s">
        <v>138</v>
      </c>
      <c r="C476" s="41" t="s">
        <v>163</v>
      </c>
      <c r="D476" s="40" t="s">
        <v>164</v>
      </c>
      <c r="E476" s="24">
        <v>5300000</v>
      </c>
      <c r="F476" s="39">
        <v>44050</v>
      </c>
      <c r="G476" s="24">
        <v>4761020</v>
      </c>
      <c r="H476" s="23">
        <v>5.0000000000000001E-3</v>
      </c>
      <c r="I476" s="39">
        <v>44440</v>
      </c>
      <c r="J476" s="39">
        <v>44453</v>
      </c>
      <c r="K476" s="24">
        <v>14</v>
      </c>
      <c r="L476" s="24">
        <v>913</v>
      </c>
      <c r="M476" s="24">
        <v>4716105</v>
      </c>
      <c r="N476" s="39">
        <v>45875</v>
      </c>
    </row>
    <row r="477" spans="1:14" s="5" customFormat="1" outlineLevel="2">
      <c r="A477" s="39" t="s">
        <v>142</v>
      </c>
      <c r="B477" s="40" t="s">
        <v>138</v>
      </c>
      <c r="C477" s="41" t="s">
        <v>163</v>
      </c>
      <c r="D477" s="40"/>
      <c r="E477" s="24"/>
      <c r="F477" s="39"/>
      <c r="G477" s="24">
        <v>4716105</v>
      </c>
      <c r="H477" s="23">
        <v>5.0000000000000001E-3</v>
      </c>
      <c r="I477" s="39">
        <v>44454</v>
      </c>
      <c r="J477" s="39">
        <v>44469</v>
      </c>
      <c r="K477" s="24">
        <v>16</v>
      </c>
      <c r="L477" s="24">
        <v>1034</v>
      </c>
      <c r="M477" s="24"/>
      <c r="N477" s="39">
        <v>45875</v>
      </c>
    </row>
    <row r="478" spans="1:14" s="5" customFormat="1" outlineLevel="2">
      <c r="A478" s="39" t="s">
        <v>142</v>
      </c>
      <c r="B478" s="40" t="s">
        <v>139</v>
      </c>
      <c r="C478" s="41" t="s">
        <v>117</v>
      </c>
      <c r="D478" s="40" t="s">
        <v>118</v>
      </c>
      <c r="E478" s="24">
        <v>40000000</v>
      </c>
      <c r="F478" s="39">
        <v>44060</v>
      </c>
      <c r="G478" s="24">
        <v>40000000</v>
      </c>
      <c r="H478" s="23">
        <v>5.0000000000000001E-3</v>
      </c>
      <c r="I478" s="39">
        <v>44440</v>
      </c>
      <c r="J478" s="39">
        <v>44469</v>
      </c>
      <c r="K478" s="24">
        <v>30</v>
      </c>
      <c r="L478" s="24">
        <v>16438</v>
      </c>
      <c r="M478" s="24">
        <v>40000000</v>
      </c>
      <c r="N478" s="39">
        <v>45885</v>
      </c>
    </row>
    <row r="479" spans="1:14" s="5" customFormat="1" outlineLevel="2">
      <c r="A479" s="39" t="s">
        <v>142</v>
      </c>
      <c r="B479" s="40" t="s">
        <v>140</v>
      </c>
      <c r="C479" s="41" t="s">
        <v>45</v>
      </c>
      <c r="D479" s="40" t="s">
        <v>46</v>
      </c>
      <c r="E479" s="24">
        <v>10000000</v>
      </c>
      <c r="F479" s="39">
        <v>44067</v>
      </c>
      <c r="G479" s="24">
        <v>10000000</v>
      </c>
      <c r="H479" s="23">
        <v>5.0000000000000001E-3</v>
      </c>
      <c r="I479" s="39">
        <v>44440</v>
      </c>
      <c r="J479" s="39">
        <v>44469</v>
      </c>
      <c r="K479" s="24">
        <v>30</v>
      </c>
      <c r="L479" s="24">
        <v>4110</v>
      </c>
      <c r="M479" s="24">
        <v>10000000</v>
      </c>
      <c r="N479" s="39">
        <v>45892</v>
      </c>
    </row>
    <row r="480" spans="1:14" s="5" customFormat="1" outlineLevel="2">
      <c r="A480" s="39" t="s">
        <v>142</v>
      </c>
      <c r="B480" s="40" t="s">
        <v>169</v>
      </c>
      <c r="C480" s="41" t="s">
        <v>79</v>
      </c>
      <c r="D480" s="40" t="s">
        <v>80</v>
      </c>
      <c r="E480" s="24">
        <v>125000000</v>
      </c>
      <c r="F480" s="39">
        <v>44075</v>
      </c>
      <c r="G480" s="24">
        <v>125000000</v>
      </c>
      <c r="H480" s="23">
        <v>5.0000000000000001E-3</v>
      </c>
      <c r="I480" s="39">
        <v>44440</v>
      </c>
      <c r="J480" s="39">
        <v>44469</v>
      </c>
      <c r="K480" s="24">
        <v>30</v>
      </c>
      <c r="L480" s="24">
        <v>51370</v>
      </c>
      <c r="M480" s="24">
        <v>125000000</v>
      </c>
      <c r="N480" s="39">
        <v>45900</v>
      </c>
    </row>
    <row r="481" spans="1:14" s="5" customFormat="1" outlineLevel="2">
      <c r="A481" s="39" t="s">
        <v>142</v>
      </c>
      <c r="B481" s="40" t="s">
        <v>170</v>
      </c>
      <c r="C481" s="41" t="s">
        <v>79</v>
      </c>
      <c r="D481" s="40" t="s">
        <v>80</v>
      </c>
      <c r="E481" s="24">
        <v>105000000</v>
      </c>
      <c r="F481" s="39">
        <v>44104</v>
      </c>
      <c r="G481" s="24">
        <v>105000000</v>
      </c>
      <c r="H481" s="23">
        <v>5.0000000000000001E-3</v>
      </c>
      <c r="I481" s="39">
        <v>44440</v>
      </c>
      <c r="J481" s="39">
        <v>44469</v>
      </c>
      <c r="K481" s="24">
        <v>30</v>
      </c>
      <c r="L481" s="24">
        <v>43151</v>
      </c>
      <c r="M481" s="24">
        <v>105000000</v>
      </c>
      <c r="N481" s="39">
        <v>45929</v>
      </c>
    </row>
    <row r="482" spans="1:14" s="5" customFormat="1" outlineLevel="2">
      <c r="A482" s="39" t="s">
        <v>142</v>
      </c>
      <c r="B482" s="40" t="s">
        <v>171</v>
      </c>
      <c r="C482" s="41" t="s">
        <v>146</v>
      </c>
      <c r="D482" s="40" t="s">
        <v>147</v>
      </c>
      <c r="E482" s="24">
        <v>13000000</v>
      </c>
      <c r="F482" s="39">
        <v>44077</v>
      </c>
      <c r="G482" s="24">
        <v>13000000</v>
      </c>
      <c r="H482" s="23">
        <v>5.0000000000000001E-3</v>
      </c>
      <c r="I482" s="39">
        <v>44440</v>
      </c>
      <c r="J482" s="39">
        <v>44469</v>
      </c>
      <c r="K482" s="24">
        <v>30</v>
      </c>
      <c r="L482" s="24">
        <v>5342</v>
      </c>
      <c r="M482" s="24">
        <v>13000000</v>
      </c>
      <c r="N482" s="39">
        <v>45902</v>
      </c>
    </row>
    <row r="483" spans="1:14" s="5" customFormat="1" outlineLevel="2">
      <c r="A483" s="39" t="s">
        <v>142</v>
      </c>
      <c r="B483" s="40" t="s">
        <v>172</v>
      </c>
      <c r="C483" s="41" t="s">
        <v>146</v>
      </c>
      <c r="D483" s="40" t="s">
        <v>147</v>
      </c>
      <c r="E483" s="24">
        <v>5800000</v>
      </c>
      <c r="F483" s="39">
        <v>44083</v>
      </c>
      <c r="G483" s="24">
        <v>5800000</v>
      </c>
      <c r="H483" s="23">
        <v>5.0000000000000001E-3</v>
      </c>
      <c r="I483" s="39">
        <v>44440</v>
      </c>
      <c r="J483" s="39">
        <v>44469</v>
      </c>
      <c r="K483" s="24">
        <v>30</v>
      </c>
      <c r="L483" s="24">
        <v>2384</v>
      </c>
      <c r="M483" s="24">
        <v>5800000</v>
      </c>
      <c r="N483" s="39">
        <v>45908</v>
      </c>
    </row>
    <row r="484" spans="1:14" s="5" customFormat="1" outlineLevel="2">
      <c r="A484" s="39" t="s">
        <v>142</v>
      </c>
      <c r="B484" s="40" t="s">
        <v>173</v>
      </c>
      <c r="C484" s="41" t="s">
        <v>149</v>
      </c>
      <c r="D484" s="40" t="s">
        <v>150</v>
      </c>
      <c r="E484" s="24">
        <v>4989600</v>
      </c>
      <c r="F484" s="39">
        <v>44088</v>
      </c>
      <c r="G484" s="24">
        <v>4989600</v>
      </c>
      <c r="H484" s="23">
        <v>5.0000000000000001E-3</v>
      </c>
      <c r="I484" s="39">
        <v>44440</v>
      </c>
      <c r="J484" s="39">
        <v>44469</v>
      </c>
      <c r="K484" s="24">
        <v>30</v>
      </c>
      <c r="L484" s="24">
        <v>2051</v>
      </c>
      <c r="M484" s="24">
        <v>4989600</v>
      </c>
      <c r="N484" s="39">
        <v>45913</v>
      </c>
    </row>
    <row r="485" spans="1:14" s="5" customFormat="1" outlineLevel="2">
      <c r="A485" s="39" t="s">
        <v>142</v>
      </c>
      <c r="B485" s="40" t="s">
        <v>62</v>
      </c>
      <c r="C485" s="41" t="s">
        <v>143</v>
      </c>
      <c r="D485" s="40" t="s">
        <v>144</v>
      </c>
      <c r="E485" s="24">
        <v>10000000</v>
      </c>
      <c r="F485" s="39">
        <v>43850</v>
      </c>
      <c r="G485" s="24">
        <v>10000000</v>
      </c>
      <c r="H485" s="23">
        <v>5.0000000000000001E-3</v>
      </c>
      <c r="I485" s="39">
        <v>44440</v>
      </c>
      <c r="J485" s="39">
        <v>44469</v>
      </c>
      <c r="K485" s="24">
        <v>30</v>
      </c>
      <c r="L485" s="24">
        <v>4110</v>
      </c>
      <c r="M485" s="24">
        <v>10000000</v>
      </c>
      <c r="N485" s="39">
        <v>45676</v>
      </c>
    </row>
    <row r="486" spans="1:14" s="5" customFormat="1" outlineLevel="2">
      <c r="A486" s="39" t="s">
        <v>142</v>
      </c>
      <c r="B486" s="40" t="s">
        <v>174</v>
      </c>
      <c r="C486" s="41" t="s">
        <v>66</v>
      </c>
      <c r="D486" s="40" t="s">
        <v>67</v>
      </c>
      <c r="E486" s="24">
        <v>96000000</v>
      </c>
      <c r="F486" s="39">
        <v>44089</v>
      </c>
      <c r="G486" s="24">
        <v>96000000</v>
      </c>
      <c r="H486" s="23">
        <v>5.0000000000000001E-3</v>
      </c>
      <c r="I486" s="39">
        <v>44440</v>
      </c>
      <c r="J486" s="39">
        <v>44469</v>
      </c>
      <c r="K486" s="24">
        <v>30</v>
      </c>
      <c r="L486" s="24">
        <v>39452</v>
      </c>
      <c r="M486" s="24">
        <v>96000000</v>
      </c>
      <c r="N486" s="39">
        <v>45914</v>
      </c>
    </row>
    <row r="487" spans="1:14" s="5" customFormat="1" outlineLevel="2">
      <c r="A487" s="39" t="s">
        <v>142</v>
      </c>
      <c r="B487" s="40" t="s">
        <v>175</v>
      </c>
      <c r="C487" s="41" t="s">
        <v>66</v>
      </c>
      <c r="D487" s="40" t="s">
        <v>67</v>
      </c>
      <c r="E487" s="24">
        <v>16000000</v>
      </c>
      <c r="F487" s="39">
        <v>44089</v>
      </c>
      <c r="G487" s="24">
        <v>16000000</v>
      </c>
      <c r="H487" s="23">
        <v>5.0000000000000001E-3</v>
      </c>
      <c r="I487" s="39">
        <v>44440</v>
      </c>
      <c r="J487" s="39">
        <v>44469</v>
      </c>
      <c r="K487" s="24">
        <v>30</v>
      </c>
      <c r="L487" s="24">
        <v>6575</v>
      </c>
      <c r="M487" s="24">
        <v>16000000</v>
      </c>
      <c r="N487" s="39">
        <v>45914</v>
      </c>
    </row>
    <row r="488" spans="1:14" s="5" customFormat="1" outlineLevel="2">
      <c r="A488" s="39" t="s">
        <v>142</v>
      </c>
      <c r="B488" s="40" t="s">
        <v>176</v>
      </c>
      <c r="C488" s="41" t="s">
        <v>143</v>
      </c>
      <c r="D488" s="40" t="s">
        <v>144</v>
      </c>
      <c r="E488" s="24">
        <v>21600000</v>
      </c>
      <c r="F488" s="39">
        <v>44095</v>
      </c>
      <c r="G488" s="24">
        <v>21600000</v>
      </c>
      <c r="H488" s="23">
        <v>5.0000000000000001E-3</v>
      </c>
      <c r="I488" s="39">
        <v>44440</v>
      </c>
      <c r="J488" s="39">
        <v>44469</v>
      </c>
      <c r="K488" s="24">
        <v>30</v>
      </c>
      <c r="L488" s="24">
        <v>8877</v>
      </c>
      <c r="M488" s="24">
        <v>21600000</v>
      </c>
      <c r="N488" s="39">
        <v>45920</v>
      </c>
    </row>
    <row r="489" spans="1:14" s="5" customFormat="1" outlineLevel="2">
      <c r="A489" s="39" t="s">
        <v>142</v>
      </c>
      <c r="B489" s="40" t="s">
        <v>177</v>
      </c>
      <c r="C489" s="41" t="s">
        <v>123</v>
      </c>
      <c r="D489" s="40" t="s">
        <v>124</v>
      </c>
      <c r="E489" s="24">
        <v>40000000</v>
      </c>
      <c r="F489" s="39">
        <v>44100</v>
      </c>
      <c r="G489" s="24">
        <v>40000000</v>
      </c>
      <c r="H489" s="23">
        <v>5.0000000000000001E-3</v>
      </c>
      <c r="I489" s="39">
        <v>44440</v>
      </c>
      <c r="J489" s="39">
        <v>44469</v>
      </c>
      <c r="K489" s="24">
        <v>30</v>
      </c>
      <c r="L489" s="24">
        <v>16438</v>
      </c>
      <c r="M489" s="24">
        <v>40000000</v>
      </c>
      <c r="N489" s="39">
        <v>45925</v>
      </c>
    </row>
    <row r="490" spans="1:14" s="5" customFormat="1" outlineLevel="2">
      <c r="A490" s="39" t="s">
        <v>142</v>
      </c>
      <c r="B490" s="40" t="s">
        <v>178</v>
      </c>
      <c r="C490" s="41" t="s">
        <v>125</v>
      </c>
      <c r="D490" s="40" t="s">
        <v>126</v>
      </c>
      <c r="E490" s="24">
        <v>2000000</v>
      </c>
      <c r="F490" s="39">
        <v>44103</v>
      </c>
      <c r="G490" s="24">
        <v>2000000</v>
      </c>
      <c r="H490" s="23">
        <v>5.0000000000000001E-3</v>
      </c>
      <c r="I490" s="39">
        <v>44440</v>
      </c>
      <c r="J490" s="39">
        <v>44469</v>
      </c>
      <c r="K490" s="24">
        <v>30</v>
      </c>
      <c r="L490" s="24">
        <v>822</v>
      </c>
      <c r="M490" s="24">
        <v>2000000</v>
      </c>
      <c r="N490" s="39">
        <v>45928</v>
      </c>
    </row>
    <row r="491" spans="1:14" s="5" customFormat="1" outlineLevel="2">
      <c r="A491" s="39" t="s">
        <v>142</v>
      </c>
      <c r="B491" s="40" t="s">
        <v>179</v>
      </c>
      <c r="C491" s="41" t="s">
        <v>146</v>
      </c>
      <c r="D491" s="40" t="s">
        <v>147</v>
      </c>
      <c r="E491" s="24">
        <v>13200000</v>
      </c>
      <c r="F491" s="39">
        <v>44109</v>
      </c>
      <c r="G491" s="24">
        <v>13200000</v>
      </c>
      <c r="H491" s="23">
        <v>5.0000000000000001E-3</v>
      </c>
      <c r="I491" s="39">
        <v>44440</v>
      </c>
      <c r="J491" s="39">
        <v>44469</v>
      </c>
      <c r="K491" s="24">
        <v>30</v>
      </c>
      <c r="L491" s="24">
        <v>5425</v>
      </c>
      <c r="M491" s="24">
        <v>13200000</v>
      </c>
      <c r="N491" s="39">
        <v>45934</v>
      </c>
    </row>
    <row r="492" spans="1:14" s="5" customFormat="1" outlineLevel="2">
      <c r="A492" s="39" t="s">
        <v>142</v>
      </c>
      <c r="B492" s="40" t="s">
        <v>180</v>
      </c>
      <c r="C492" s="41" t="s">
        <v>146</v>
      </c>
      <c r="D492" s="40" t="s">
        <v>147</v>
      </c>
      <c r="E492" s="24">
        <v>3000000</v>
      </c>
      <c r="F492" s="39">
        <v>44116</v>
      </c>
      <c r="G492" s="24">
        <v>3000000</v>
      </c>
      <c r="H492" s="23">
        <v>5.0000000000000001E-3</v>
      </c>
      <c r="I492" s="39">
        <v>44440</v>
      </c>
      <c r="J492" s="39">
        <v>44469</v>
      </c>
      <c r="K492" s="24">
        <v>30</v>
      </c>
      <c r="L492" s="24">
        <v>1233</v>
      </c>
      <c r="M492" s="24">
        <v>3000000</v>
      </c>
      <c r="N492" s="39">
        <v>45941</v>
      </c>
    </row>
    <row r="493" spans="1:14" s="5" customFormat="1" outlineLevel="2">
      <c r="A493" s="39" t="s">
        <v>142</v>
      </c>
      <c r="B493" s="40" t="s">
        <v>181</v>
      </c>
      <c r="C493" s="41" t="s">
        <v>149</v>
      </c>
      <c r="D493" s="40" t="s">
        <v>150</v>
      </c>
      <c r="E493" s="24">
        <v>8736000</v>
      </c>
      <c r="F493" s="39">
        <v>44109</v>
      </c>
      <c r="G493" s="24">
        <v>8736000</v>
      </c>
      <c r="H493" s="23">
        <v>5.0000000000000001E-3</v>
      </c>
      <c r="I493" s="39">
        <v>44440</v>
      </c>
      <c r="J493" s="39">
        <v>44469</v>
      </c>
      <c r="K493" s="24">
        <v>30</v>
      </c>
      <c r="L493" s="24">
        <v>3590</v>
      </c>
      <c r="M493" s="24">
        <v>8736000</v>
      </c>
      <c r="N493" s="39">
        <v>45934</v>
      </c>
    </row>
    <row r="494" spans="1:14" s="5" customFormat="1" outlineLevel="2">
      <c r="A494" s="39" t="s">
        <v>142</v>
      </c>
      <c r="B494" s="40" t="s">
        <v>182</v>
      </c>
      <c r="C494" s="41" t="s">
        <v>149</v>
      </c>
      <c r="D494" s="40" t="s">
        <v>150</v>
      </c>
      <c r="E494" s="24">
        <v>4273920</v>
      </c>
      <c r="F494" s="39">
        <v>44111</v>
      </c>
      <c r="G494" s="24">
        <v>4273920</v>
      </c>
      <c r="H494" s="23">
        <v>5.0000000000000001E-3</v>
      </c>
      <c r="I494" s="39">
        <v>44440</v>
      </c>
      <c r="J494" s="39">
        <v>44469</v>
      </c>
      <c r="K494" s="24">
        <v>30</v>
      </c>
      <c r="L494" s="24">
        <v>1756</v>
      </c>
      <c r="M494" s="24">
        <v>4273920</v>
      </c>
      <c r="N494" s="39">
        <v>45936</v>
      </c>
    </row>
    <row r="495" spans="1:14" s="5" customFormat="1" outlineLevel="2">
      <c r="A495" s="39" t="s">
        <v>142</v>
      </c>
      <c r="B495" s="40" t="s">
        <v>183</v>
      </c>
      <c r="C495" s="41" t="s">
        <v>149</v>
      </c>
      <c r="D495" s="40" t="s">
        <v>150</v>
      </c>
      <c r="E495" s="24">
        <v>4368000</v>
      </c>
      <c r="F495" s="39">
        <v>44132</v>
      </c>
      <c r="G495" s="24">
        <v>4368000</v>
      </c>
      <c r="H495" s="23">
        <v>5.0000000000000001E-3</v>
      </c>
      <c r="I495" s="39">
        <v>44440</v>
      </c>
      <c r="J495" s="39">
        <v>44469</v>
      </c>
      <c r="K495" s="24">
        <v>30</v>
      </c>
      <c r="L495" s="24">
        <v>1795</v>
      </c>
      <c r="M495" s="24">
        <v>4368000</v>
      </c>
      <c r="N495" s="39">
        <v>45957</v>
      </c>
    </row>
    <row r="496" spans="1:14" s="5" customFormat="1" outlineLevel="2">
      <c r="A496" s="39" t="s">
        <v>142</v>
      </c>
      <c r="B496" s="40" t="s">
        <v>63</v>
      </c>
      <c r="C496" s="41" t="s">
        <v>149</v>
      </c>
      <c r="D496" s="40" t="s">
        <v>150</v>
      </c>
      <c r="E496" s="24">
        <v>96176976</v>
      </c>
      <c r="F496" s="39">
        <v>43861</v>
      </c>
      <c r="G496" s="24">
        <v>96176976</v>
      </c>
      <c r="H496" s="23">
        <v>5.0000000000000001E-3</v>
      </c>
      <c r="I496" s="39">
        <v>44440</v>
      </c>
      <c r="J496" s="39">
        <v>44469</v>
      </c>
      <c r="K496" s="24">
        <v>30</v>
      </c>
      <c r="L496" s="24">
        <v>39525</v>
      </c>
      <c r="M496" s="24">
        <v>96176976</v>
      </c>
      <c r="N496" s="39">
        <v>45687</v>
      </c>
    </row>
    <row r="497" spans="1:14" s="5" customFormat="1" outlineLevel="2">
      <c r="A497" s="39" t="s">
        <v>142</v>
      </c>
      <c r="B497" s="40" t="s">
        <v>184</v>
      </c>
      <c r="C497" s="41" t="s">
        <v>149</v>
      </c>
      <c r="D497" s="40" t="s">
        <v>150</v>
      </c>
      <c r="E497" s="24">
        <v>8064000</v>
      </c>
      <c r="F497" s="39">
        <v>44133</v>
      </c>
      <c r="G497" s="24">
        <v>8064000</v>
      </c>
      <c r="H497" s="23">
        <v>5.0000000000000001E-3</v>
      </c>
      <c r="I497" s="39">
        <v>44440</v>
      </c>
      <c r="J497" s="39">
        <v>44469</v>
      </c>
      <c r="K497" s="24">
        <v>30</v>
      </c>
      <c r="L497" s="24">
        <v>3314</v>
      </c>
      <c r="M497" s="24">
        <v>8064000</v>
      </c>
      <c r="N497" s="39">
        <v>45958</v>
      </c>
    </row>
    <row r="498" spans="1:14" s="5" customFormat="1" outlineLevel="2">
      <c r="A498" s="39" t="s">
        <v>142</v>
      </c>
      <c r="B498" s="40" t="s">
        <v>185</v>
      </c>
      <c r="C498" s="41" t="s">
        <v>149</v>
      </c>
      <c r="D498" s="40" t="s">
        <v>150</v>
      </c>
      <c r="E498" s="24">
        <v>113400</v>
      </c>
      <c r="F498" s="39">
        <v>44133</v>
      </c>
      <c r="G498" s="24">
        <v>113400</v>
      </c>
      <c r="H498" s="23">
        <v>5.0000000000000001E-3</v>
      </c>
      <c r="I498" s="39">
        <v>44440</v>
      </c>
      <c r="J498" s="39">
        <v>44469</v>
      </c>
      <c r="K498" s="24">
        <v>30</v>
      </c>
      <c r="L498" s="24">
        <v>47</v>
      </c>
      <c r="M498" s="24">
        <v>113400</v>
      </c>
      <c r="N498" s="39">
        <v>45958</v>
      </c>
    </row>
    <row r="499" spans="1:14" s="5" customFormat="1" outlineLevel="2">
      <c r="A499" s="39" t="s">
        <v>142</v>
      </c>
      <c r="B499" s="40" t="s">
        <v>186</v>
      </c>
      <c r="C499" s="41" t="s">
        <v>187</v>
      </c>
      <c r="D499" s="40" t="s">
        <v>188</v>
      </c>
      <c r="E499" s="24">
        <v>93700000</v>
      </c>
      <c r="F499" s="39">
        <v>44109</v>
      </c>
      <c r="G499" s="24">
        <v>93700000</v>
      </c>
      <c r="H499" s="23">
        <v>5.0000000000000001E-3</v>
      </c>
      <c r="I499" s="39">
        <v>44440</v>
      </c>
      <c r="J499" s="39">
        <v>44469</v>
      </c>
      <c r="K499" s="24">
        <v>30</v>
      </c>
      <c r="L499" s="24">
        <v>38507</v>
      </c>
      <c r="M499" s="24">
        <v>93700000</v>
      </c>
      <c r="N499" s="39">
        <v>45934</v>
      </c>
    </row>
    <row r="500" spans="1:14" s="5" customFormat="1" outlineLevel="2">
      <c r="A500" s="39" t="s">
        <v>142</v>
      </c>
      <c r="B500" s="40" t="s">
        <v>189</v>
      </c>
      <c r="C500" s="41" t="s">
        <v>187</v>
      </c>
      <c r="D500" s="40" t="s">
        <v>188</v>
      </c>
      <c r="E500" s="24">
        <v>21400000</v>
      </c>
      <c r="F500" s="39">
        <v>44109</v>
      </c>
      <c r="G500" s="24">
        <v>21400000</v>
      </c>
      <c r="H500" s="23">
        <v>5.0000000000000001E-3</v>
      </c>
      <c r="I500" s="39">
        <v>44440</v>
      </c>
      <c r="J500" s="39">
        <v>44469</v>
      </c>
      <c r="K500" s="24">
        <v>30</v>
      </c>
      <c r="L500" s="24">
        <v>8795</v>
      </c>
      <c r="M500" s="24">
        <v>21400000</v>
      </c>
      <c r="N500" s="39">
        <v>45934</v>
      </c>
    </row>
    <row r="501" spans="1:14" s="5" customFormat="1" outlineLevel="2">
      <c r="A501" s="39" t="s">
        <v>142</v>
      </c>
      <c r="B501" s="40" t="s">
        <v>190</v>
      </c>
      <c r="C501" s="41" t="s">
        <v>143</v>
      </c>
      <c r="D501" s="40" t="s">
        <v>144</v>
      </c>
      <c r="E501" s="24">
        <v>7150000</v>
      </c>
      <c r="F501" s="39">
        <v>44119</v>
      </c>
      <c r="G501" s="24">
        <v>7150000</v>
      </c>
      <c r="H501" s="23">
        <v>5.0000000000000001E-3</v>
      </c>
      <c r="I501" s="39">
        <v>44440</v>
      </c>
      <c r="J501" s="39">
        <v>44469</v>
      </c>
      <c r="K501" s="24">
        <v>30</v>
      </c>
      <c r="L501" s="24">
        <v>2938</v>
      </c>
      <c r="M501" s="24">
        <v>7150000</v>
      </c>
      <c r="N501" s="39">
        <v>45944</v>
      </c>
    </row>
    <row r="502" spans="1:14" s="5" customFormat="1" outlineLevel="2">
      <c r="A502" s="39" t="s">
        <v>142</v>
      </c>
      <c r="B502" s="40" t="s">
        <v>191</v>
      </c>
      <c r="C502" s="41" t="s">
        <v>143</v>
      </c>
      <c r="D502" s="40" t="s">
        <v>144</v>
      </c>
      <c r="E502" s="24">
        <v>14400000</v>
      </c>
      <c r="F502" s="39">
        <v>44124</v>
      </c>
      <c r="G502" s="24">
        <v>14400000</v>
      </c>
      <c r="H502" s="23">
        <v>5.0000000000000001E-3</v>
      </c>
      <c r="I502" s="39">
        <v>44440</v>
      </c>
      <c r="J502" s="39">
        <v>44469</v>
      </c>
      <c r="K502" s="24">
        <v>30</v>
      </c>
      <c r="L502" s="24">
        <v>5918</v>
      </c>
      <c r="M502" s="24">
        <v>14400000</v>
      </c>
      <c r="N502" s="39">
        <v>45949</v>
      </c>
    </row>
    <row r="503" spans="1:14" s="5" customFormat="1" outlineLevel="2">
      <c r="A503" s="39" t="s">
        <v>142</v>
      </c>
      <c r="B503" s="40" t="s">
        <v>192</v>
      </c>
      <c r="C503" s="41" t="s">
        <v>125</v>
      </c>
      <c r="D503" s="40" t="s">
        <v>126</v>
      </c>
      <c r="E503" s="24">
        <v>24000000</v>
      </c>
      <c r="F503" s="39">
        <v>44120</v>
      </c>
      <c r="G503" s="24">
        <v>24000000</v>
      </c>
      <c r="H503" s="23">
        <v>5.0000000000000001E-3</v>
      </c>
      <c r="I503" s="39">
        <v>44440</v>
      </c>
      <c r="J503" s="39">
        <v>44469</v>
      </c>
      <c r="K503" s="24">
        <v>30</v>
      </c>
      <c r="L503" s="24">
        <v>9863</v>
      </c>
      <c r="M503" s="24">
        <v>24000000</v>
      </c>
      <c r="N503" s="39">
        <v>45945</v>
      </c>
    </row>
    <row r="504" spans="1:14" s="5" customFormat="1" outlineLevel="2">
      <c r="A504" s="39" t="s">
        <v>142</v>
      </c>
      <c r="B504" s="40" t="s">
        <v>193</v>
      </c>
      <c r="C504" s="41" t="s">
        <v>125</v>
      </c>
      <c r="D504" s="40" t="s">
        <v>126</v>
      </c>
      <c r="E504" s="24">
        <v>24000000</v>
      </c>
      <c r="F504" s="39">
        <v>44127</v>
      </c>
      <c r="G504" s="24">
        <v>24000000</v>
      </c>
      <c r="H504" s="23">
        <v>5.0000000000000001E-3</v>
      </c>
      <c r="I504" s="39">
        <v>44440</v>
      </c>
      <c r="J504" s="39">
        <v>44469</v>
      </c>
      <c r="K504" s="24">
        <v>30</v>
      </c>
      <c r="L504" s="24">
        <v>9863</v>
      </c>
      <c r="M504" s="24">
        <v>24000000</v>
      </c>
      <c r="N504" s="39">
        <v>45952</v>
      </c>
    </row>
    <row r="505" spans="1:14" s="5" customFormat="1" outlineLevel="2">
      <c r="A505" s="39" t="s">
        <v>142</v>
      </c>
      <c r="B505" s="40" t="s">
        <v>194</v>
      </c>
      <c r="C505" s="41" t="s">
        <v>123</v>
      </c>
      <c r="D505" s="40" t="s">
        <v>124</v>
      </c>
      <c r="E505" s="24">
        <v>5000000</v>
      </c>
      <c r="F505" s="39">
        <v>44134</v>
      </c>
      <c r="G505" s="24">
        <v>5000000</v>
      </c>
      <c r="H505" s="23">
        <v>5.0000000000000001E-3</v>
      </c>
      <c r="I505" s="39">
        <v>44440</v>
      </c>
      <c r="J505" s="39">
        <v>44469</v>
      </c>
      <c r="K505" s="24">
        <v>30</v>
      </c>
      <c r="L505" s="24">
        <v>2055</v>
      </c>
      <c r="M505" s="24">
        <v>5000000</v>
      </c>
      <c r="N505" s="39">
        <v>45959</v>
      </c>
    </row>
    <row r="506" spans="1:14" s="5" customFormat="1" outlineLevel="2">
      <c r="A506" s="39" t="s">
        <v>142</v>
      </c>
      <c r="B506" s="40" t="s">
        <v>195</v>
      </c>
      <c r="C506" s="41" t="s">
        <v>146</v>
      </c>
      <c r="D506" s="40" t="s">
        <v>147</v>
      </c>
      <c r="E506" s="24">
        <v>16000000</v>
      </c>
      <c r="F506" s="39">
        <v>44139</v>
      </c>
      <c r="G506" s="24">
        <v>16000000</v>
      </c>
      <c r="H506" s="23">
        <v>5.0000000000000001E-3</v>
      </c>
      <c r="I506" s="39">
        <v>44440</v>
      </c>
      <c r="J506" s="39">
        <v>44469</v>
      </c>
      <c r="K506" s="24">
        <v>30</v>
      </c>
      <c r="L506" s="24">
        <v>6575</v>
      </c>
      <c r="M506" s="24">
        <v>16000000</v>
      </c>
      <c r="N506" s="39">
        <v>45964</v>
      </c>
    </row>
    <row r="507" spans="1:14" s="5" customFormat="1" outlineLevel="2">
      <c r="A507" s="39" t="s">
        <v>142</v>
      </c>
      <c r="B507" s="40" t="s">
        <v>64</v>
      </c>
      <c r="C507" s="41" t="s">
        <v>143</v>
      </c>
      <c r="D507" s="40" t="s">
        <v>144</v>
      </c>
      <c r="E507" s="24">
        <v>1800000</v>
      </c>
      <c r="F507" s="39">
        <v>43876</v>
      </c>
      <c r="G507" s="24">
        <v>1800000</v>
      </c>
      <c r="H507" s="23">
        <v>5.0000000000000001E-3</v>
      </c>
      <c r="I507" s="39">
        <v>44440</v>
      </c>
      <c r="J507" s="39">
        <v>44469</v>
      </c>
      <c r="K507" s="24">
        <v>30</v>
      </c>
      <c r="L507" s="24">
        <v>740</v>
      </c>
      <c r="M507" s="24">
        <v>1800000</v>
      </c>
      <c r="N507" s="39">
        <v>45702</v>
      </c>
    </row>
    <row r="508" spans="1:14" s="5" customFormat="1" outlineLevel="2">
      <c r="A508" s="39" t="s">
        <v>142</v>
      </c>
      <c r="B508" s="40" t="s">
        <v>196</v>
      </c>
      <c r="C508" s="41" t="s">
        <v>146</v>
      </c>
      <c r="D508" s="40" t="s">
        <v>147</v>
      </c>
      <c r="E508" s="24">
        <v>6000000</v>
      </c>
      <c r="F508" s="39">
        <v>44145</v>
      </c>
      <c r="G508" s="24">
        <v>6000000</v>
      </c>
      <c r="H508" s="23">
        <v>5.0000000000000001E-3</v>
      </c>
      <c r="I508" s="39">
        <v>44440</v>
      </c>
      <c r="J508" s="39">
        <v>44469</v>
      </c>
      <c r="K508" s="24">
        <v>30</v>
      </c>
      <c r="L508" s="24">
        <v>2466</v>
      </c>
      <c r="M508" s="24">
        <v>6000000</v>
      </c>
      <c r="N508" s="39">
        <v>45970</v>
      </c>
    </row>
    <row r="509" spans="1:14" s="5" customFormat="1" outlineLevel="2">
      <c r="A509" s="39" t="s">
        <v>142</v>
      </c>
      <c r="B509" s="40" t="s">
        <v>197</v>
      </c>
      <c r="C509" s="41" t="s">
        <v>143</v>
      </c>
      <c r="D509" s="40" t="s">
        <v>144</v>
      </c>
      <c r="E509" s="24">
        <v>19000000</v>
      </c>
      <c r="F509" s="39">
        <v>44140</v>
      </c>
      <c r="G509" s="24">
        <v>19000000</v>
      </c>
      <c r="H509" s="23">
        <v>5.0000000000000001E-3</v>
      </c>
      <c r="I509" s="39">
        <v>44440</v>
      </c>
      <c r="J509" s="39">
        <v>44469</v>
      </c>
      <c r="K509" s="24">
        <v>30</v>
      </c>
      <c r="L509" s="24">
        <v>7808</v>
      </c>
      <c r="M509" s="24">
        <v>19000000</v>
      </c>
      <c r="N509" s="39">
        <v>45965</v>
      </c>
    </row>
    <row r="510" spans="1:14" s="5" customFormat="1" outlineLevel="2">
      <c r="A510" s="39" t="s">
        <v>142</v>
      </c>
      <c r="B510" s="40" t="s">
        <v>198</v>
      </c>
      <c r="C510" s="41" t="s">
        <v>143</v>
      </c>
      <c r="D510" s="40" t="s">
        <v>144</v>
      </c>
      <c r="E510" s="24">
        <v>1800000</v>
      </c>
      <c r="F510" s="39">
        <v>44165</v>
      </c>
      <c r="G510" s="24">
        <v>1800000</v>
      </c>
      <c r="H510" s="23">
        <v>5.0000000000000001E-3</v>
      </c>
      <c r="I510" s="39">
        <v>44440</v>
      </c>
      <c r="J510" s="39">
        <v>44469</v>
      </c>
      <c r="K510" s="24">
        <v>30</v>
      </c>
      <c r="L510" s="24">
        <v>740</v>
      </c>
      <c r="M510" s="24">
        <v>1800000</v>
      </c>
      <c r="N510" s="39">
        <v>45990</v>
      </c>
    </row>
    <row r="511" spans="1:14" s="5" customFormat="1" outlineLevel="2">
      <c r="A511" s="39" t="s">
        <v>142</v>
      </c>
      <c r="B511" s="40" t="s">
        <v>199</v>
      </c>
      <c r="C511" s="41" t="s">
        <v>143</v>
      </c>
      <c r="D511" s="40" t="s">
        <v>144</v>
      </c>
      <c r="E511" s="24">
        <v>5500000</v>
      </c>
      <c r="F511" s="39">
        <v>44165</v>
      </c>
      <c r="G511" s="24">
        <v>5500000</v>
      </c>
      <c r="H511" s="23">
        <v>5.0000000000000001E-3</v>
      </c>
      <c r="I511" s="39">
        <v>44440</v>
      </c>
      <c r="J511" s="39">
        <v>44469</v>
      </c>
      <c r="K511" s="24">
        <v>30</v>
      </c>
      <c r="L511" s="24">
        <v>2260</v>
      </c>
      <c r="M511" s="24">
        <v>5500000</v>
      </c>
      <c r="N511" s="39">
        <v>45990</v>
      </c>
    </row>
    <row r="512" spans="1:14" s="5" customFormat="1" outlineLevel="2">
      <c r="A512" s="39" t="s">
        <v>142</v>
      </c>
      <c r="B512" s="40" t="s">
        <v>200</v>
      </c>
      <c r="C512" s="41" t="s">
        <v>143</v>
      </c>
      <c r="D512" s="40" t="s">
        <v>144</v>
      </c>
      <c r="E512" s="24">
        <v>8600000</v>
      </c>
      <c r="F512" s="39">
        <v>44165</v>
      </c>
      <c r="G512" s="24">
        <v>8600000</v>
      </c>
      <c r="H512" s="23">
        <v>5.0000000000000001E-3</v>
      </c>
      <c r="I512" s="39">
        <v>44440</v>
      </c>
      <c r="J512" s="39">
        <v>44469</v>
      </c>
      <c r="K512" s="24">
        <v>30</v>
      </c>
      <c r="L512" s="24">
        <v>3534</v>
      </c>
      <c r="M512" s="24">
        <v>8600000</v>
      </c>
      <c r="N512" s="39">
        <v>45990</v>
      </c>
    </row>
    <row r="513" spans="1:14" s="5" customFormat="1" outlineLevel="2">
      <c r="A513" s="39" t="s">
        <v>142</v>
      </c>
      <c r="B513" s="40" t="s">
        <v>201</v>
      </c>
      <c r="C513" s="41" t="s">
        <v>161</v>
      </c>
      <c r="D513" s="40" t="s">
        <v>162</v>
      </c>
      <c r="E513" s="24">
        <v>150000000</v>
      </c>
      <c r="F513" s="39">
        <v>44144</v>
      </c>
      <c r="G513" s="24">
        <v>150000000</v>
      </c>
      <c r="H513" s="23">
        <v>5.0000000000000001E-3</v>
      </c>
      <c r="I513" s="39">
        <v>44440</v>
      </c>
      <c r="J513" s="39">
        <v>44469</v>
      </c>
      <c r="K513" s="24">
        <v>30</v>
      </c>
      <c r="L513" s="24">
        <v>61644</v>
      </c>
      <c r="M513" s="24">
        <v>150000000</v>
      </c>
      <c r="N513" s="39">
        <v>45969</v>
      </c>
    </row>
    <row r="514" spans="1:14" s="5" customFormat="1" outlineLevel="2">
      <c r="A514" s="39" t="s">
        <v>142</v>
      </c>
      <c r="B514" s="40" t="s">
        <v>202</v>
      </c>
      <c r="C514" s="41" t="s">
        <v>125</v>
      </c>
      <c r="D514" s="40" t="s">
        <v>126</v>
      </c>
      <c r="E514" s="24">
        <v>2500000</v>
      </c>
      <c r="F514" s="39">
        <v>44147</v>
      </c>
      <c r="G514" s="24">
        <v>2500000</v>
      </c>
      <c r="H514" s="23">
        <v>5.0000000000000001E-3</v>
      </c>
      <c r="I514" s="39">
        <v>44440</v>
      </c>
      <c r="J514" s="39">
        <v>44469</v>
      </c>
      <c r="K514" s="24">
        <v>30</v>
      </c>
      <c r="L514" s="24">
        <v>1027</v>
      </c>
      <c r="M514" s="24">
        <v>2500000</v>
      </c>
      <c r="N514" s="39">
        <v>45972</v>
      </c>
    </row>
    <row r="515" spans="1:14" s="5" customFormat="1" outlineLevel="2">
      <c r="A515" s="39" t="s">
        <v>142</v>
      </c>
      <c r="B515" s="40" t="s">
        <v>203</v>
      </c>
      <c r="C515" s="41" t="s">
        <v>125</v>
      </c>
      <c r="D515" s="40" t="s">
        <v>126</v>
      </c>
      <c r="E515" s="24">
        <v>18000000</v>
      </c>
      <c r="F515" s="39">
        <v>44158</v>
      </c>
      <c r="G515" s="24">
        <v>18000000</v>
      </c>
      <c r="H515" s="23">
        <v>5.0000000000000001E-3</v>
      </c>
      <c r="I515" s="39">
        <v>44440</v>
      </c>
      <c r="J515" s="39">
        <v>44469</v>
      </c>
      <c r="K515" s="24">
        <v>30</v>
      </c>
      <c r="L515" s="24">
        <v>7397</v>
      </c>
      <c r="M515" s="24">
        <v>18000000</v>
      </c>
      <c r="N515" s="39">
        <v>45983</v>
      </c>
    </row>
    <row r="516" spans="1:14" s="5" customFormat="1" outlineLevel="2">
      <c r="A516" s="39" t="s">
        <v>142</v>
      </c>
      <c r="B516" s="40" t="s">
        <v>204</v>
      </c>
      <c r="C516" s="41" t="s">
        <v>149</v>
      </c>
      <c r="D516" s="40" t="s">
        <v>150</v>
      </c>
      <c r="E516" s="24">
        <v>1764000</v>
      </c>
      <c r="F516" s="39">
        <v>44147</v>
      </c>
      <c r="G516" s="24">
        <v>1764000</v>
      </c>
      <c r="H516" s="23">
        <v>5.0000000000000001E-3</v>
      </c>
      <c r="I516" s="39">
        <v>44440</v>
      </c>
      <c r="J516" s="39">
        <v>44469</v>
      </c>
      <c r="K516" s="24">
        <v>30</v>
      </c>
      <c r="L516" s="24">
        <v>725</v>
      </c>
      <c r="M516" s="24">
        <v>1764000</v>
      </c>
      <c r="N516" s="39">
        <v>45972</v>
      </c>
    </row>
    <row r="517" spans="1:14" s="5" customFormat="1" outlineLevel="2">
      <c r="A517" s="39" t="s">
        <v>142</v>
      </c>
      <c r="B517" s="40" t="s">
        <v>205</v>
      </c>
      <c r="C517" s="41" t="s">
        <v>163</v>
      </c>
      <c r="D517" s="40" t="s">
        <v>164</v>
      </c>
      <c r="E517" s="24">
        <v>15000000</v>
      </c>
      <c r="F517" s="39">
        <v>44153</v>
      </c>
      <c r="G517" s="24">
        <v>13826085</v>
      </c>
      <c r="H517" s="23">
        <v>5.0000000000000001E-3</v>
      </c>
      <c r="I517" s="39">
        <v>44440</v>
      </c>
      <c r="J517" s="39">
        <v>44453</v>
      </c>
      <c r="K517" s="24">
        <v>14</v>
      </c>
      <c r="L517" s="24">
        <v>2652</v>
      </c>
      <c r="M517" s="24">
        <v>13695650</v>
      </c>
      <c r="N517" s="39">
        <v>45978</v>
      </c>
    </row>
    <row r="518" spans="1:14" s="5" customFormat="1" outlineLevel="2">
      <c r="A518" s="39" t="s">
        <v>142</v>
      </c>
      <c r="B518" s="40" t="s">
        <v>205</v>
      </c>
      <c r="C518" s="41" t="s">
        <v>163</v>
      </c>
      <c r="D518" s="40"/>
      <c r="E518" s="24"/>
      <c r="F518" s="39"/>
      <c r="G518" s="24">
        <v>13695650</v>
      </c>
      <c r="H518" s="23">
        <v>5.0000000000000001E-3</v>
      </c>
      <c r="I518" s="39">
        <v>44454</v>
      </c>
      <c r="J518" s="39">
        <v>44469</v>
      </c>
      <c r="K518" s="24">
        <v>16</v>
      </c>
      <c r="L518" s="24">
        <v>3002</v>
      </c>
      <c r="M518" s="24"/>
      <c r="N518" s="39">
        <v>45978</v>
      </c>
    </row>
    <row r="519" spans="1:14" s="5" customFormat="1" outlineLevel="2">
      <c r="A519" s="39" t="s">
        <v>142</v>
      </c>
      <c r="B519" s="40" t="s">
        <v>65</v>
      </c>
      <c r="C519" s="41" t="s">
        <v>117</v>
      </c>
      <c r="D519" s="40" t="s">
        <v>118</v>
      </c>
      <c r="E519" s="24">
        <v>30000000</v>
      </c>
      <c r="F519" s="39">
        <v>43906</v>
      </c>
      <c r="G519" s="24">
        <v>30000000</v>
      </c>
      <c r="H519" s="23">
        <v>5.0000000000000001E-3</v>
      </c>
      <c r="I519" s="39">
        <v>44440</v>
      </c>
      <c r="J519" s="39">
        <v>44469</v>
      </c>
      <c r="K519" s="24">
        <v>30</v>
      </c>
      <c r="L519" s="24">
        <v>12329</v>
      </c>
      <c r="M519" s="24">
        <v>30000000</v>
      </c>
      <c r="N519" s="39">
        <v>45731</v>
      </c>
    </row>
    <row r="520" spans="1:14" s="5" customFormat="1" outlineLevel="2">
      <c r="A520" s="39" t="s">
        <v>142</v>
      </c>
      <c r="B520" s="40" t="s">
        <v>206</v>
      </c>
      <c r="C520" s="41" t="s">
        <v>87</v>
      </c>
      <c r="D520" s="40" t="s">
        <v>88</v>
      </c>
      <c r="E520" s="24">
        <v>13481921</v>
      </c>
      <c r="F520" s="39">
        <v>44158</v>
      </c>
      <c r="G520" s="24">
        <v>13481921</v>
      </c>
      <c r="H520" s="23">
        <v>5.0000000000000001E-3</v>
      </c>
      <c r="I520" s="39">
        <v>44440</v>
      </c>
      <c r="J520" s="39">
        <v>44469</v>
      </c>
      <c r="K520" s="24">
        <v>30</v>
      </c>
      <c r="L520" s="24">
        <v>5541</v>
      </c>
      <c r="M520" s="24">
        <v>13481921</v>
      </c>
      <c r="N520" s="39">
        <v>45983</v>
      </c>
    </row>
    <row r="521" spans="1:14" s="5" customFormat="1" outlineLevel="2">
      <c r="A521" s="39" t="s">
        <v>142</v>
      </c>
      <c r="B521" s="40" t="s">
        <v>207</v>
      </c>
      <c r="C521" s="41" t="s">
        <v>85</v>
      </c>
      <c r="D521" s="40" t="s">
        <v>86</v>
      </c>
      <c r="E521" s="24">
        <v>2682500</v>
      </c>
      <c r="F521" s="39">
        <v>44165</v>
      </c>
      <c r="G521" s="24">
        <v>2682500</v>
      </c>
      <c r="H521" s="23">
        <v>5.0000000000000001E-3</v>
      </c>
      <c r="I521" s="39">
        <v>44440</v>
      </c>
      <c r="J521" s="39">
        <v>44469</v>
      </c>
      <c r="K521" s="24">
        <v>30</v>
      </c>
      <c r="L521" s="24">
        <v>1102</v>
      </c>
      <c r="M521" s="24">
        <v>2682500</v>
      </c>
      <c r="N521" s="39">
        <v>45990</v>
      </c>
    </row>
    <row r="522" spans="1:14" s="5" customFormat="1" outlineLevel="2">
      <c r="A522" s="39" t="s">
        <v>142</v>
      </c>
      <c r="B522" s="40" t="s">
        <v>208</v>
      </c>
      <c r="C522" s="41" t="s">
        <v>85</v>
      </c>
      <c r="D522" s="40" t="s">
        <v>86</v>
      </c>
      <c r="E522" s="24">
        <v>8047500</v>
      </c>
      <c r="F522" s="39">
        <v>44165</v>
      </c>
      <c r="G522" s="24">
        <v>8047500</v>
      </c>
      <c r="H522" s="23">
        <v>5.0000000000000001E-3</v>
      </c>
      <c r="I522" s="39">
        <v>44440</v>
      </c>
      <c r="J522" s="39">
        <v>44469</v>
      </c>
      <c r="K522" s="24">
        <v>30</v>
      </c>
      <c r="L522" s="24">
        <v>3307</v>
      </c>
      <c r="M522" s="24">
        <v>8047500</v>
      </c>
      <c r="N522" s="39">
        <v>45990</v>
      </c>
    </row>
    <row r="523" spans="1:14" s="5" customFormat="1" outlineLevel="2">
      <c r="A523" s="39" t="s">
        <v>142</v>
      </c>
      <c r="B523" s="40" t="s">
        <v>209</v>
      </c>
      <c r="C523" s="41" t="s">
        <v>146</v>
      </c>
      <c r="D523" s="40" t="s">
        <v>147</v>
      </c>
      <c r="E523" s="24">
        <v>15600000</v>
      </c>
      <c r="F523" s="39">
        <v>44168</v>
      </c>
      <c r="G523" s="24">
        <v>15600000</v>
      </c>
      <c r="H523" s="23">
        <v>5.0000000000000001E-3</v>
      </c>
      <c r="I523" s="39">
        <v>44440</v>
      </c>
      <c r="J523" s="39">
        <v>44469</v>
      </c>
      <c r="K523" s="24">
        <v>30</v>
      </c>
      <c r="L523" s="24">
        <v>6411</v>
      </c>
      <c r="M523" s="24">
        <v>15600000</v>
      </c>
      <c r="N523" s="39">
        <v>45993</v>
      </c>
    </row>
    <row r="524" spans="1:14" s="5" customFormat="1" outlineLevel="2">
      <c r="A524" s="39" t="s">
        <v>142</v>
      </c>
      <c r="B524" s="40" t="s">
        <v>210</v>
      </c>
      <c r="C524" s="41" t="s">
        <v>146</v>
      </c>
      <c r="D524" s="40" t="s">
        <v>147</v>
      </c>
      <c r="E524" s="24">
        <v>4400000</v>
      </c>
      <c r="F524" s="39">
        <v>44173</v>
      </c>
      <c r="G524" s="24">
        <v>4400000</v>
      </c>
      <c r="H524" s="23">
        <v>5.0000000000000001E-3</v>
      </c>
      <c r="I524" s="39">
        <v>44440</v>
      </c>
      <c r="J524" s="39">
        <v>44469</v>
      </c>
      <c r="K524" s="24">
        <v>30</v>
      </c>
      <c r="L524" s="24">
        <v>1808</v>
      </c>
      <c r="M524" s="24">
        <v>4400000</v>
      </c>
      <c r="N524" s="39">
        <v>45998</v>
      </c>
    </row>
    <row r="525" spans="1:14" s="5" customFormat="1" outlineLevel="2">
      <c r="A525" s="39" t="s">
        <v>142</v>
      </c>
      <c r="B525" s="40" t="s">
        <v>211</v>
      </c>
      <c r="C525" s="41" t="s">
        <v>187</v>
      </c>
      <c r="D525" s="40" t="s">
        <v>188</v>
      </c>
      <c r="E525" s="24">
        <v>88900000</v>
      </c>
      <c r="F525" s="39">
        <v>44169</v>
      </c>
      <c r="G525" s="24">
        <v>88900000</v>
      </c>
      <c r="H525" s="23">
        <v>5.0000000000000001E-3</v>
      </c>
      <c r="I525" s="39">
        <v>44440</v>
      </c>
      <c r="J525" s="39">
        <v>44469</v>
      </c>
      <c r="K525" s="24">
        <v>30</v>
      </c>
      <c r="L525" s="24">
        <v>36534</v>
      </c>
      <c r="M525" s="24">
        <v>88900000</v>
      </c>
      <c r="N525" s="39">
        <v>45994</v>
      </c>
    </row>
    <row r="526" spans="1:14" s="5" customFormat="1" outlineLevel="2">
      <c r="A526" s="39" t="s">
        <v>142</v>
      </c>
      <c r="B526" s="40" t="s">
        <v>212</v>
      </c>
      <c r="C526" s="41" t="s">
        <v>163</v>
      </c>
      <c r="D526" s="40" t="s">
        <v>164</v>
      </c>
      <c r="E526" s="24">
        <v>7300000</v>
      </c>
      <c r="F526" s="39">
        <v>44173</v>
      </c>
      <c r="G526" s="24">
        <v>6787720</v>
      </c>
      <c r="H526" s="23">
        <v>5.0000000000000001E-3</v>
      </c>
      <c r="I526" s="39">
        <v>44440</v>
      </c>
      <c r="J526" s="39">
        <v>44453</v>
      </c>
      <c r="K526" s="24">
        <v>14</v>
      </c>
      <c r="L526" s="24">
        <v>1302</v>
      </c>
      <c r="M526" s="24">
        <v>6723685</v>
      </c>
      <c r="N526" s="39">
        <v>45998</v>
      </c>
    </row>
    <row r="527" spans="1:14" s="5" customFormat="1" outlineLevel="2">
      <c r="A527" s="39" t="s">
        <v>142</v>
      </c>
      <c r="B527" s="40" t="s">
        <v>212</v>
      </c>
      <c r="C527" s="41" t="s">
        <v>163</v>
      </c>
      <c r="D527" s="40"/>
      <c r="E527" s="24"/>
      <c r="F527" s="39"/>
      <c r="G527" s="24">
        <v>6723685</v>
      </c>
      <c r="H527" s="23">
        <v>5.0000000000000001E-3</v>
      </c>
      <c r="I527" s="39">
        <v>44454</v>
      </c>
      <c r="J527" s="39">
        <v>44469</v>
      </c>
      <c r="K527" s="24">
        <v>16</v>
      </c>
      <c r="L527" s="24">
        <v>1474</v>
      </c>
      <c r="M527" s="24"/>
      <c r="N527" s="39">
        <v>45998</v>
      </c>
    </row>
    <row r="528" spans="1:14" s="5" customFormat="1" outlineLevel="2">
      <c r="A528" s="39" t="s">
        <v>142</v>
      </c>
      <c r="B528" s="40" t="s">
        <v>213</v>
      </c>
      <c r="C528" s="41" t="s">
        <v>149</v>
      </c>
      <c r="D528" s="40" t="s">
        <v>150</v>
      </c>
      <c r="E528" s="24">
        <v>2184000</v>
      </c>
      <c r="F528" s="39">
        <v>44174</v>
      </c>
      <c r="G528" s="24">
        <v>2184000</v>
      </c>
      <c r="H528" s="23">
        <v>5.0000000000000001E-3</v>
      </c>
      <c r="I528" s="39">
        <v>44440</v>
      </c>
      <c r="J528" s="39">
        <v>44469</v>
      </c>
      <c r="K528" s="24">
        <v>30</v>
      </c>
      <c r="L528" s="24">
        <v>898</v>
      </c>
      <c r="M528" s="24">
        <v>2184000</v>
      </c>
      <c r="N528" s="39">
        <v>45999</v>
      </c>
    </row>
    <row r="529" spans="1:14" s="5" customFormat="1" outlineLevel="2">
      <c r="A529" s="39" t="s">
        <v>142</v>
      </c>
      <c r="B529" s="40" t="s">
        <v>214</v>
      </c>
      <c r="C529" s="41" t="s">
        <v>149</v>
      </c>
      <c r="D529" s="40" t="s">
        <v>150</v>
      </c>
      <c r="E529" s="24">
        <v>20764000</v>
      </c>
      <c r="F529" s="39">
        <v>44176</v>
      </c>
      <c r="G529" s="24">
        <v>20764000</v>
      </c>
      <c r="H529" s="23">
        <v>5.0000000000000001E-3</v>
      </c>
      <c r="I529" s="39">
        <v>44440</v>
      </c>
      <c r="J529" s="39">
        <v>44469</v>
      </c>
      <c r="K529" s="24">
        <v>30</v>
      </c>
      <c r="L529" s="24">
        <v>8533</v>
      </c>
      <c r="M529" s="24">
        <v>20764000</v>
      </c>
      <c r="N529" s="39">
        <v>46001</v>
      </c>
    </row>
    <row r="530" spans="1:14" s="5" customFormat="1" outlineLevel="2">
      <c r="A530" s="39" t="s">
        <v>142</v>
      </c>
      <c r="B530" s="40" t="s">
        <v>215</v>
      </c>
      <c r="C530" s="41" t="s">
        <v>149</v>
      </c>
      <c r="D530" s="40" t="s">
        <v>150</v>
      </c>
      <c r="E530" s="24">
        <v>2423030</v>
      </c>
      <c r="F530" s="39">
        <v>44190</v>
      </c>
      <c r="G530" s="24">
        <v>2423030</v>
      </c>
      <c r="H530" s="23">
        <v>5.0000000000000001E-3</v>
      </c>
      <c r="I530" s="39">
        <v>44440</v>
      </c>
      <c r="J530" s="39">
        <v>44469</v>
      </c>
      <c r="K530" s="24">
        <v>30</v>
      </c>
      <c r="L530" s="24">
        <v>996</v>
      </c>
      <c r="M530" s="24">
        <v>2423030</v>
      </c>
      <c r="N530" s="39">
        <v>46015</v>
      </c>
    </row>
    <row r="531" spans="1:14" s="5" customFormat="1" outlineLevel="2">
      <c r="A531" s="39" t="s">
        <v>142</v>
      </c>
      <c r="B531" s="40" t="s">
        <v>68</v>
      </c>
      <c r="C531" s="41" t="s">
        <v>117</v>
      </c>
      <c r="D531" s="40" t="s">
        <v>118</v>
      </c>
      <c r="E531" s="24">
        <v>50000000</v>
      </c>
      <c r="F531" s="39">
        <v>43908</v>
      </c>
      <c r="G531" s="24">
        <v>50000000</v>
      </c>
      <c r="H531" s="23">
        <v>5.0000000000000001E-3</v>
      </c>
      <c r="I531" s="39">
        <v>44440</v>
      </c>
      <c r="J531" s="39">
        <v>44469</v>
      </c>
      <c r="K531" s="24">
        <v>30</v>
      </c>
      <c r="L531" s="24">
        <v>20548</v>
      </c>
      <c r="M531" s="24">
        <v>50000000</v>
      </c>
      <c r="N531" s="39">
        <v>45733</v>
      </c>
    </row>
    <row r="532" spans="1:14" s="5" customFormat="1" outlineLevel="2">
      <c r="A532" s="39" t="s">
        <v>142</v>
      </c>
      <c r="B532" s="40" t="s">
        <v>216</v>
      </c>
      <c r="C532" s="41" t="s">
        <v>149</v>
      </c>
      <c r="D532" s="40" t="s">
        <v>150</v>
      </c>
      <c r="E532" s="24">
        <v>5653738</v>
      </c>
      <c r="F532" s="39">
        <v>44196</v>
      </c>
      <c r="G532" s="24">
        <v>5653738</v>
      </c>
      <c r="H532" s="23">
        <v>5.0000000000000001E-3</v>
      </c>
      <c r="I532" s="39">
        <v>44440</v>
      </c>
      <c r="J532" s="39">
        <v>44469</v>
      </c>
      <c r="K532" s="24">
        <v>30</v>
      </c>
      <c r="L532" s="24">
        <v>2323</v>
      </c>
      <c r="M532" s="24">
        <v>5653738</v>
      </c>
      <c r="N532" s="39">
        <v>46021</v>
      </c>
    </row>
    <row r="533" spans="1:14" s="5" customFormat="1" outlineLevel="2">
      <c r="A533" s="39" t="s">
        <v>142</v>
      </c>
      <c r="B533" s="40" t="s">
        <v>217</v>
      </c>
      <c r="C533" s="41" t="s">
        <v>155</v>
      </c>
      <c r="D533" s="40" t="s">
        <v>156</v>
      </c>
      <c r="E533" s="24">
        <v>200000000</v>
      </c>
      <c r="F533" s="39">
        <v>44190</v>
      </c>
      <c r="G533" s="24">
        <v>200000000</v>
      </c>
      <c r="H533" s="23">
        <v>5.0000000000000001E-3</v>
      </c>
      <c r="I533" s="39">
        <v>44440</v>
      </c>
      <c r="J533" s="39">
        <v>44469</v>
      </c>
      <c r="K533" s="24">
        <v>30</v>
      </c>
      <c r="L533" s="24">
        <v>82192</v>
      </c>
      <c r="M533" s="24">
        <v>200000000</v>
      </c>
      <c r="N533" s="39">
        <v>46015</v>
      </c>
    </row>
    <row r="534" spans="1:14" s="5" customFormat="1" outlineLevel="2">
      <c r="A534" s="39" t="s">
        <v>142</v>
      </c>
      <c r="B534" s="40" t="s">
        <v>218</v>
      </c>
      <c r="C534" s="41" t="s">
        <v>219</v>
      </c>
      <c r="D534" s="40" t="s">
        <v>220</v>
      </c>
      <c r="E534" s="24">
        <v>14160000</v>
      </c>
      <c r="F534" s="39">
        <v>44190</v>
      </c>
      <c r="G534" s="24">
        <v>14160000</v>
      </c>
      <c r="H534" s="23">
        <v>5.0000000000000001E-3</v>
      </c>
      <c r="I534" s="39">
        <v>44440</v>
      </c>
      <c r="J534" s="39">
        <v>44469</v>
      </c>
      <c r="K534" s="24">
        <v>30</v>
      </c>
      <c r="L534" s="24">
        <v>5819</v>
      </c>
      <c r="M534" s="24">
        <v>14160000</v>
      </c>
      <c r="N534" s="39">
        <v>46015</v>
      </c>
    </row>
    <row r="535" spans="1:14" s="5" customFormat="1" outlineLevel="2">
      <c r="A535" s="39" t="s">
        <v>142</v>
      </c>
      <c r="B535" s="40" t="s">
        <v>221</v>
      </c>
      <c r="C535" s="41" t="s">
        <v>87</v>
      </c>
      <c r="D535" s="40" t="s">
        <v>88</v>
      </c>
      <c r="E535" s="24">
        <v>13481921</v>
      </c>
      <c r="F535" s="39">
        <v>44190</v>
      </c>
      <c r="G535" s="24">
        <v>13481921</v>
      </c>
      <c r="H535" s="23">
        <v>5.0000000000000001E-3</v>
      </c>
      <c r="I535" s="39">
        <v>44440</v>
      </c>
      <c r="J535" s="39">
        <v>44469</v>
      </c>
      <c r="K535" s="24">
        <v>30</v>
      </c>
      <c r="L535" s="24">
        <v>5541</v>
      </c>
      <c r="M535" s="24">
        <v>13481921</v>
      </c>
      <c r="N535" s="39">
        <v>46015</v>
      </c>
    </row>
    <row r="536" spans="1:14" s="5" customFormat="1" outlineLevel="2">
      <c r="A536" s="39" t="s">
        <v>142</v>
      </c>
      <c r="B536" s="40" t="s">
        <v>222</v>
      </c>
      <c r="C536" s="41" t="s">
        <v>143</v>
      </c>
      <c r="D536" s="40" t="s">
        <v>144</v>
      </c>
      <c r="E536" s="24">
        <v>1800000</v>
      </c>
      <c r="F536" s="39">
        <v>44190</v>
      </c>
      <c r="G536" s="24">
        <v>1800000</v>
      </c>
      <c r="H536" s="23">
        <v>5.0000000000000001E-3</v>
      </c>
      <c r="I536" s="39">
        <v>44440</v>
      </c>
      <c r="J536" s="39">
        <v>44469</v>
      </c>
      <c r="K536" s="24">
        <v>30</v>
      </c>
      <c r="L536" s="24">
        <v>740</v>
      </c>
      <c r="M536" s="24">
        <v>1800000</v>
      </c>
      <c r="N536" s="39">
        <v>46015</v>
      </c>
    </row>
    <row r="537" spans="1:14" s="5" customFormat="1" outlineLevel="2">
      <c r="A537" s="39" t="s">
        <v>142</v>
      </c>
      <c r="B537" s="40" t="s">
        <v>223</v>
      </c>
      <c r="C537" s="41" t="s">
        <v>143</v>
      </c>
      <c r="D537" s="40" t="s">
        <v>144</v>
      </c>
      <c r="E537" s="24">
        <v>8300000</v>
      </c>
      <c r="F537" s="39">
        <v>44196</v>
      </c>
      <c r="G537" s="24">
        <v>8300000</v>
      </c>
      <c r="H537" s="23">
        <v>5.0000000000000001E-3</v>
      </c>
      <c r="I537" s="39">
        <v>44440</v>
      </c>
      <c r="J537" s="39">
        <v>44469</v>
      </c>
      <c r="K537" s="24">
        <v>30</v>
      </c>
      <c r="L537" s="24">
        <v>3411</v>
      </c>
      <c r="M537" s="24">
        <v>8300000</v>
      </c>
      <c r="N537" s="39">
        <v>46021</v>
      </c>
    </row>
    <row r="538" spans="1:14" s="5" customFormat="1" outlineLevel="2">
      <c r="A538" s="39" t="s">
        <v>142</v>
      </c>
      <c r="B538" s="40" t="s">
        <v>224</v>
      </c>
      <c r="C538" s="41" t="s">
        <v>165</v>
      </c>
      <c r="D538" s="40" t="s">
        <v>166</v>
      </c>
      <c r="E538" s="24">
        <v>39740000</v>
      </c>
      <c r="F538" s="39">
        <v>44195</v>
      </c>
      <c r="G538" s="24">
        <v>39740000</v>
      </c>
      <c r="H538" s="23">
        <v>5.0000000000000001E-3</v>
      </c>
      <c r="I538" s="39">
        <v>44440</v>
      </c>
      <c r="J538" s="39">
        <v>44469</v>
      </c>
      <c r="K538" s="24">
        <v>30</v>
      </c>
      <c r="L538" s="24">
        <v>16332</v>
      </c>
      <c r="M538" s="24">
        <v>39740000</v>
      </c>
      <c r="N538" s="39">
        <v>45289</v>
      </c>
    </row>
    <row r="539" spans="1:14" s="5" customFormat="1" outlineLevel="2">
      <c r="A539" s="39" t="s">
        <v>142</v>
      </c>
      <c r="B539" s="40" t="s">
        <v>225</v>
      </c>
      <c r="C539" s="41" t="s">
        <v>85</v>
      </c>
      <c r="D539" s="40" t="s">
        <v>86</v>
      </c>
      <c r="E539" s="24">
        <v>4842500</v>
      </c>
      <c r="F539" s="39">
        <v>44202</v>
      </c>
      <c r="G539" s="24">
        <v>4842500</v>
      </c>
      <c r="H539" s="23">
        <v>5.0000000000000001E-3</v>
      </c>
      <c r="I539" s="39">
        <v>44440</v>
      </c>
      <c r="J539" s="39">
        <v>44469</v>
      </c>
      <c r="K539" s="24">
        <v>30</v>
      </c>
      <c r="L539" s="24">
        <v>1990</v>
      </c>
      <c r="M539" s="24">
        <v>4842500</v>
      </c>
      <c r="N539" s="39">
        <v>46027</v>
      </c>
    </row>
    <row r="540" spans="1:14" s="5" customFormat="1" outlineLevel="2">
      <c r="A540" s="39" t="s">
        <v>142</v>
      </c>
      <c r="B540" s="40" t="s">
        <v>226</v>
      </c>
      <c r="C540" s="41" t="s">
        <v>85</v>
      </c>
      <c r="D540" s="40" t="s">
        <v>86</v>
      </c>
      <c r="E540" s="24">
        <v>14527500</v>
      </c>
      <c r="F540" s="39">
        <v>44202</v>
      </c>
      <c r="G540" s="24">
        <v>14527500</v>
      </c>
      <c r="H540" s="23">
        <v>5.0000000000000001E-3</v>
      </c>
      <c r="I540" s="39">
        <v>44440</v>
      </c>
      <c r="J540" s="39">
        <v>44469</v>
      </c>
      <c r="K540" s="24">
        <v>30</v>
      </c>
      <c r="L540" s="24">
        <v>5970</v>
      </c>
      <c r="M540" s="24">
        <v>14527500</v>
      </c>
      <c r="N540" s="39">
        <v>46027</v>
      </c>
    </row>
    <row r="541" spans="1:14" s="5" customFormat="1" outlineLevel="2">
      <c r="A541" s="39" t="s">
        <v>142</v>
      </c>
      <c r="B541" s="40" t="s">
        <v>227</v>
      </c>
      <c r="C541" s="41" t="s">
        <v>143</v>
      </c>
      <c r="D541" s="40" t="s">
        <v>144</v>
      </c>
      <c r="E541" s="24">
        <v>4600000</v>
      </c>
      <c r="F541" s="39">
        <v>44204</v>
      </c>
      <c r="G541" s="24">
        <v>4600000</v>
      </c>
      <c r="H541" s="23">
        <v>5.0000000000000001E-3</v>
      </c>
      <c r="I541" s="39">
        <v>44440</v>
      </c>
      <c r="J541" s="39">
        <v>44469</v>
      </c>
      <c r="K541" s="24">
        <v>30</v>
      </c>
      <c r="L541" s="24">
        <v>1890</v>
      </c>
      <c r="M541" s="24">
        <v>4600000</v>
      </c>
      <c r="N541" s="39">
        <v>46029</v>
      </c>
    </row>
    <row r="542" spans="1:14" s="5" customFormat="1" outlineLevel="1">
      <c r="A542" s="42" t="s">
        <v>228</v>
      </c>
      <c r="B542" s="43"/>
      <c r="C542" s="44"/>
      <c r="D542" s="43"/>
      <c r="E542" s="45">
        <v>5437003601</v>
      </c>
      <c r="F542" s="46"/>
      <c r="G542" s="45"/>
      <c r="H542" s="47"/>
      <c r="I542" s="46"/>
      <c r="J542" s="46"/>
      <c r="K542" s="45"/>
      <c r="L542" s="45">
        <v>2201146</v>
      </c>
      <c r="M542" s="45">
        <v>5410718777</v>
      </c>
      <c r="N542" s="46"/>
    </row>
    <row r="543" spans="1:14" s="5" customFormat="1" outlineLevel="2">
      <c r="A543" s="39" t="s">
        <v>229</v>
      </c>
      <c r="B543" s="40" t="s">
        <v>16</v>
      </c>
      <c r="C543" s="41" t="s">
        <v>117</v>
      </c>
      <c r="D543" s="40" t="s">
        <v>118</v>
      </c>
      <c r="E543" s="24">
        <v>1210000</v>
      </c>
      <c r="F543" s="39">
        <v>44061</v>
      </c>
      <c r="G543" s="24">
        <v>1210000</v>
      </c>
      <c r="H543" s="23">
        <v>5.0000000000000001E-3</v>
      </c>
      <c r="I543" s="39">
        <v>44440</v>
      </c>
      <c r="J543" s="39">
        <v>44469</v>
      </c>
      <c r="K543" s="24">
        <v>30</v>
      </c>
      <c r="L543" s="24">
        <v>497</v>
      </c>
      <c r="M543" s="24">
        <v>1210000</v>
      </c>
      <c r="N543" s="39">
        <v>45886</v>
      </c>
    </row>
    <row r="544" spans="1:14" s="5" customFormat="1" outlineLevel="2">
      <c r="A544" s="39" t="s">
        <v>229</v>
      </c>
      <c r="B544" s="40" t="s">
        <v>39</v>
      </c>
      <c r="C544" s="41" t="s">
        <v>117</v>
      </c>
      <c r="D544" s="40" t="s">
        <v>118</v>
      </c>
      <c r="E544" s="24">
        <v>27550000</v>
      </c>
      <c r="F544" s="39">
        <v>44393</v>
      </c>
      <c r="G544" s="24">
        <v>27550000</v>
      </c>
      <c r="H544" s="23">
        <v>5.0000000000000001E-3</v>
      </c>
      <c r="I544" s="39">
        <v>44440</v>
      </c>
      <c r="J544" s="39">
        <v>44469</v>
      </c>
      <c r="K544" s="24">
        <v>30</v>
      </c>
      <c r="L544" s="24">
        <v>11322</v>
      </c>
      <c r="M544" s="24">
        <v>27550000</v>
      </c>
      <c r="N544" s="39">
        <v>46218</v>
      </c>
    </row>
    <row r="545" spans="1:14" s="5" customFormat="1" outlineLevel="2">
      <c r="A545" s="39" t="s">
        <v>229</v>
      </c>
      <c r="B545" s="40" t="s">
        <v>54</v>
      </c>
      <c r="C545" s="41" t="s">
        <v>219</v>
      </c>
      <c r="D545" s="40" t="s">
        <v>220</v>
      </c>
      <c r="E545" s="24">
        <v>35340000</v>
      </c>
      <c r="F545" s="39">
        <v>44442</v>
      </c>
      <c r="G545" s="24">
        <v>35340000</v>
      </c>
      <c r="H545" s="23">
        <v>5.0000000000000001E-3</v>
      </c>
      <c r="I545" s="39">
        <v>44442</v>
      </c>
      <c r="J545" s="39">
        <v>44453</v>
      </c>
      <c r="K545" s="24">
        <v>12</v>
      </c>
      <c r="L545" s="24">
        <v>5809</v>
      </c>
      <c r="M545" s="24">
        <v>34751000</v>
      </c>
      <c r="N545" s="39">
        <v>45537</v>
      </c>
    </row>
    <row r="546" spans="1:14" s="5" customFormat="1" outlineLevel="2">
      <c r="A546" s="39" t="s">
        <v>229</v>
      </c>
      <c r="B546" s="40" t="s">
        <v>54</v>
      </c>
      <c r="C546" s="41" t="s">
        <v>219</v>
      </c>
      <c r="D546" s="40"/>
      <c r="E546" s="24"/>
      <c r="F546" s="39"/>
      <c r="G546" s="24">
        <v>34751000</v>
      </c>
      <c r="H546" s="23">
        <v>5.0000000000000001E-3</v>
      </c>
      <c r="I546" s="39">
        <v>44454</v>
      </c>
      <c r="J546" s="39">
        <v>44469</v>
      </c>
      <c r="K546" s="24">
        <v>16</v>
      </c>
      <c r="L546" s="24">
        <v>7617</v>
      </c>
      <c r="M546" s="24"/>
      <c r="N546" s="39">
        <v>45537</v>
      </c>
    </row>
    <row r="547" spans="1:14" s="5" customFormat="1" outlineLevel="2">
      <c r="A547" s="39" t="s">
        <v>229</v>
      </c>
      <c r="B547" s="40" t="s">
        <v>59</v>
      </c>
      <c r="C547" s="41" t="s">
        <v>117</v>
      </c>
      <c r="D547" s="40" t="s">
        <v>118</v>
      </c>
      <c r="E547" s="24">
        <v>21240000</v>
      </c>
      <c r="F547" s="39">
        <v>44448</v>
      </c>
      <c r="G547" s="24">
        <v>21240000</v>
      </c>
      <c r="H547" s="23">
        <v>5.0000000000000001E-3</v>
      </c>
      <c r="I547" s="39">
        <v>44448</v>
      </c>
      <c r="J547" s="39">
        <v>44469</v>
      </c>
      <c r="K547" s="24">
        <v>22</v>
      </c>
      <c r="L547" s="24">
        <v>6401</v>
      </c>
      <c r="M547" s="24">
        <v>21240000</v>
      </c>
      <c r="N547" s="39">
        <v>46273</v>
      </c>
    </row>
    <row r="548" spans="1:14" s="5" customFormat="1" outlineLevel="2">
      <c r="A548" s="39" t="s">
        <v>229</v>
      </c>
      <c r="B548" s="40" t="s">
        <v>62</v>
      </c>
      <c r="C548" s="41" t="s">
        <v>414</v>
      </c>
      <c r="D548" s="40" t="s">
        <v>413</v>
      </c>
      <c r="E548" s="24">
        <v>88000000</v>
      </c>
      <c r="F548" s="39">
        <v>44463</v>
      </c>
      <c r="G548" s="24">
        <v>88000000</v>
      </c>
      <c r="H548" s="23">
        <v>5.0000000000000001E-3</v>
      </c>
      <c r="I548" s="39">
        <v>44463</v>
      </c>
      <c r="J548" s="39">
        <v>44469</v>
      </c>
      <c r="K548" s="24">
        <v>7</v>
      </c>
      <c r="L548" s="24">
        <v>8438</v>
      </c>
      <c r="M548" s="24">
        <v>88000000</v>
      </c>
      <c r="N548" s="39">
        <v>45558</v>
      </c>
    </row>
    <row r="549" spans="1:14" s="5" customFormat="1" outlineLevel="2">
      <c r="A549" s="39" t="s">
        <v>229</v>
      </c>
      <c r="B549" s="40" t="s">
        <v>63</v>
      </c>
      <c r="C549" s="41" t="s">
        <v>414</v>
      </c>
      <c r="D549" s="40" t="s">
        <v>413</v>
      </c>
      <c r="E549" s="24">
        <v>6700000</v>
      </c>
      <c r="F549" s="39">
        <v>44463</v>
      </c>
      <c r="G549" s="24">
        <v>6700000</v>
      </c>
      <c r="H549" s="23">
        <v>5.0000000000000001E-3</v>
      </c>
      <c r="I549" s="39">
        <v>44463</v>
      </c>
      <c r="J549" s="39">
        <v>44469</v>
      </c>
      <c r="K549" s="24">
        <v>7</v>
      </c>
      <c r="L549" s="24">
        <v>642</v>
      </c>
      <c r="M549" s="24">
        <v>6700000</v>
      </c>
      <c r="N549" s="39">
        <v>45558</v>
      </c>
    </row>
    <row r="550" spans="1:14" s="5" customFormat="1" outlineLevel="1">
      <c r="A550" s="42" t="s">
        <v>230</v>
      </c>
      <c r="B550" s="43"/>
      <c r="C550" s="44"/>
      <c r="D550" s="43"/>
      <c r="E550" s="45">
        <v>180040000</v>
      </c>
      <c r="F550" s="46"/>
      <c r="G550" s="45"/>
      <c r="H550" s="47"/>
      <c r="I550" s="46"/>
      <c r="J550" s="46"/>
      <c r="K550" s="45"/>
      <c r="L550" s="45">
        <v>40726</v>
      </c>
      <c r="M550" s="45">
        <v>179451000</v>
      </c>
      <c r="N550" s="46"/>
    </row>
    <row r="551" spans="1:14" s="5" customFormat="1" outlineLevel="2">
      <c r="A551" s="39" t="s">
        <v>231</v>
      </c>
      <c r="B551" s="40" t="s">
        <v>16</v>
      </c>
      <c r="C551" s="41" t="s">
        <v>17</v>
      </c>
      <c r="D551" s="40" t="s">
        <v>18</v>
      </c>
      <c r="E551" s="24">
        <v>150000000</v>
      </c>
      <c r="F551" s="39">
        <v>43829</v>
      </c>
      <c r="G551" s="24">
        <v>100000000</v>
      </c>
      <c r="H551" s="23">
        <v>5.0000000000000001E-3</v>
      </c>
      <c r="I551" s="39">
        <v>44440</v>
      </c>
      <c r="J551" s="39">
        <v>44453</v>
      </c>
      <c r="K551" s="24">
        <v>14</v>
      </c>
      <c r="L551" s="24">
        <v>19178</v>
      </c>
      <c r="M551" s="24">
        <v>97500000</v>
      </c>
      <c r="N551" s="39">
        <v>45655</v>
      </c>
    </row>
    <row r="552" spans="1:14" s="5" customFormat="1" outlineLevel="2">
      <c r="A552" s="39" t="s">
        <v>231</v>
      </c>
      <c r="B552" s="40" t="s">
        <v>16</v>
      </c>
      <c r="C552" s="41" t="s">
        <v>17</v>
      </c>
      <c r="D552" s="40"/>
      <c r="E552" s="24"/>
      <c r="F552" s="39"/>
      <c r="G552" s="24">
        <v>97500000</v>
      </c>
      <c r="H552" s="23">
        <v>5.0000000000000001E-3</v>
      </c>
      <c r="I552" s="39">
        <v>44454</v>
      </c>
      <c r="J552" s="39">
        <v>44469</v>
      </c>
      <c r="K552" s="24">
        <v>16</v>
      </c>
      <c r="L552" s="24">
        <v>21370</v>
      </c>
      <c r="M552" s="24"/>
      <c r="N552" s="39">
        <v>45655</v>
      </c>
    </row>
    <row r="553" spans="1:14" s="5" customFormat="1" outlineLevel="2">
      <c r="A553" s="39" t="s">
        <v>231</v>
      </c>
      <c r="B553" s="40" t="s">
        <v>19</v>
      </c>
      <c r="C553" s="41" t="s">
        <v>17</v>
      </c>
      <c r="D553" s="40" t="s">
        <v>18</v>
      </c>
      <c r="E553" s="24">
        <v>9460000</v>
      </c>
      <c r="F553" s="39">
        <v>43990</v>
      </c>
      <c r="G553" s="24">
        <v>6880000</v>
      </c>
      <c r="H553" s="23">
        <v>5.0000000000000001E-3</v>
      </c>
      <c r="I553" s="39">
        <v>44440</v>
      </c>
      <c r="J553" s="39">
        <v>44453</v>
      </c>
      <c r="K553" s="24">
        <v>14</v>
      </c>
      <c r="L553" s="24">
        <v>1319</v>
      </c>
      <c r="M553" s="24">
        <v>6708000</v>
      </c>
      <c r="N553" s="39">
        <v>45815</v>
      </c>
    </row>
    <row r="554" spans="1:14" s="5" customFormat="1" outlineLevel="2">
      <c r="A554" s="39" t="s">
        <v>231</v>
      </c>
      <c r="B554" s="40" t="s">
        <v>19</v>
      </c>
      <c r="C554" s="41" t="s">
        <v>17</v>
      </c>
      <c r="D554" s="40"/>
      <c r="E554" s="24"/>
      <c r="F554" s="39"/>
      <c r="G554" s="24">
        <v>6708000</v>
      </c>
      <c r="H554" s="23">
        <v>5.0000000000000001E-3</v>
      </c>
      <c r="I554" s="39">
        <v>44454</v>
      </c>
      <c r="J554" s="39">
        <v>44469</v>
      </c>
      <c r="K554" s="24">
        <v>16</v>
      </c>
      <c r="L554" s="24">
        <v>1470</v>
      </c>
      <c r="M554" s="24"/>
      <c r="N554" s="39">
        <v>45815</v>
      </c>
    </row>
    <row r="555" spans="1:14" s="5" customFormat="1" outlineLevel="2">
      <c r="A555" s="39" t="s">
        <v>231</v>
      </c>
      <c r="B555" s="40" t="s">
        <v>22</v>
      </c>
      <c r="C555" s="41" t="s">
        <v>45</v>
      </c>
      <c r="D555" s="40" t="s">
        <v>46</v>
      </c>
      <c r="E555" s="24">
        <v>5000000</v>
      </c>
      <c r="F555" s="39">
        <v>44046</v>
      </c>
      <c r="G555" s="24">
        <v>5000000</v>
      </c>
      <c r="H555" s="23">
        <v>5.0000000000000001E-3</v>
      </c>
      <c r="I555" s="39">
        <v>44440</v>
      </c>
      <c r="J555" s="39">
        <v>44469</v>
      </c>
      <c r="K555" s="24">
        <v>30</v>
      </c>
      <c r="L555" s="24">
        <v>2055</v>
      </c>
      <c r="M555" s="24">
        <v>5000000</v>
      </c>
      <c r="N555" s="39">
        <v>45871</v>
      </c>
    </row>
    <row r="556" spans="1:14" s="5" customFormat="1" outlineLevel="2">
      <c r="A556" s="39" t="s">
        <v>231</v>
      </c>
      <c r="B556" s="40" t="s">
        <v>25</v>
      </c>
      <c r="C556" s="41" t="s">
        <v>143</v>
      </c>
      <c r="D556" s="40" t="s">
        <v>144</v>
      </c>
      <c r="E556" s="24">
        <v>20000000</v>
      </c>
      <c r="F556" s="39">
        <v>44155</v>
      </c>
      <c r="G556" s="24">
        <v>20000000</v>
      </c>
      <c r="H556" s="23">
        <v>5.0000000000000001E-3</v>
      </c>
      <c r="I556" s="39">
        <v>44440</v>
      </c>
      <c r="J556" s="39">
        <v>44469</v>
      </c>
      <c r="K556" s="24">
        <v>30</v>
      </c>
      <c r="L556" s="24">
        <v>8219</v>
      </c>
      <c r="M556" s="24">
        <v>20000000</v>
      </c>
      <c r="N556" s="39">
        <v>45980</v>
      </c>
    </row>
    <row r="557" spans="1:14" s="5" customFormat="1" outlineLevel="2">
      <c r="A557" s="39" t="s">
        <v>231</v>
      </c>
      <c r="B557" s="40" t="s">
        <v>26</v>
      </c>
      <c r="C557" s="41" t="s">
        <v>232</v>
      </c>
      <c r="D557" s="40" t="s">
        <v>233</v>
      </c>
      <c r="E557" s="24">
        <v>125000000</v>
      </c>
      <c r="F557" s="39">
        <v>44193</v>
      </c>
      <c r="G557" s="24">
        <v>125000000</v>
      </c>
      <c r="H557" s="23">
        <v>5.0000000000000001E-3</v>
      </c>
      <c r="I557" s="39">
        <v>44440</v>
      </c>
      <c r="J557" s="39">
        <v>44469</v>
      </c>
      <c r="K557" s="24">
        <v>30</v>
      </c>
      <c r="L557" s="24">
        <v>51370</v>
      </c>
      <c r="M557" s="24">
        <v>125000000</v>
      </c>
      <c r="N557" s="39">
        <v>46018</v>
      </c>
    </row>
    <row r="558" spans="1:14" s="5" customFormat="1" outlineLevel="2">
      <c r="A558" s="39" t="s">
        <v>231</v>
      </c>
      <c r="B558" s="40" t="s">
        <v>29</v>
      </c>
      <c r="C558" s="41" t="s">
        <v>143</v>
      </c>
      <c r="D558" s="40" t="s">
        <v>144</v>
      </c>
      <c r="E558" s="24">
        <v>20000000</v>
      </c>
      <c r="F558" s="39">
        <v>44194</v>
      </c>
      <c r="G558" s="24">
        <v>20000000</v>
      </c>
      <c r="H558" s="23">
        <v>5.0000000000000001E-3</v>
      </c>
      <c r="I558" s="39">
        <v>44440</v>
      </c>
      <c r="J558" s="39">
        <v>44469</v>
      </c>
      <c r="K558" s="24">
        <v>30</v>
      </c>
      <c r="L558" s="24">
        <v>8219</v>
      </c>
      <c r="M558" s="24">
        <v>20000000</v>
      </c>
      <c r="N558" s="39">
        <v>46019</v>
      </c>
    </row>
    <row r="559" spans="1:14" s="5" customFormat="1" outlineLevel="2">
      <c r="A559" s="39" t="s">
        <v>231</v>
      </c>
      <c r="B559" s="40" t="s">
        <v>32</v>
      </c>
      <c r="C559" s="41" t="s">
        <v>30</v>
      </c>
      <c r="D559" s="40" t="s">
        <v>31</v>
      </c>
      <c r="E559" s="24">
        <v>120000000</v>
      </c>
      <c r="F559" s="39">
        <v>44214</v>
      </c>
      <c r="G559" s="24">
        <v>120000000</v>
      </c>
      <c r="H559" s="23">
        <v>5.0000000000000001E-3</v>
      </c>
      <c r="I559" s="39">
        <v>44440</v>
      </c>
      <c r="J559" s="39">
        <v>44469</v>
      </c>
      <c r="K559" s="24">
        <v>30</v>
      </c>
      <c r="L559" s="24">
        <v>49315</v>
      </c>
      <c r="M559" s="24">
        <v>120000000</v>
      </c>
      <c r="N559" s="39">
        <v>46039</v>
      </c>
    </row>
    <row r="560" spans="1:14" s="5" customFormat="1" outlineLevel="2">
      <c r="A560" s="39" t="s">
        <v>231</v>
      </c>
      <c r="B560" s="40" t="s">
        <v>33</v>
      </c>
      <c r="C560" s="41" t="s">
        <v>143</v>
      </c>
      <c r="D560" s="40" t="s">
        <v>144</v>
      </c>
      <c r="E560" s="24">
        <v>20000000</v>
      </c>
      <c r="F560" s="39">
        <v>44225</v>
      </c>
      <c r="G560" s="24">
        <v>20000000</v>
      </c>
      <c r="H560" s="23">
        <v>5.0000000000000001E-3</v>
      </c>
      <c r="I560" s="39">
        <v>44440</v>
      </c>
      <c r="J560" s="39">
        <v>44469</v>
      </c>
      <c r="K560" s="24">
        <v>30</v>
      </c>
      <c r="L560" s="24">
        <v>8219</v>
      </c>
      <c r="M560" s="24">
        <v>20000000</v>
      </c>
      <c r="N560" s="39">
        <v>46050</v>
      </c>
    </row>
    <row r="561" spans="1:14" s="5" customFormat="1" outlineLevel="2">
      <c r="A561" s="39" t="s">
        <v>231</v>
      </c>
      <c r="B561" s="40" t="s">
        <v>34</v>
      </c>
      <c r="C561" s="41" t="s">
        <v>280</v>
      </c>
      <c r="D561" s="40" t="s">
        <v>281</v>
      </c>
      <c r="E561" s="24">
        <v>250000000</v>
      </c>
      <c r="F561" s="39">
        <v>44228</v>
      </c>
      <c r="G561" s="24">
        <v>250000000</v>
      </c>
      <c r="H561" s="23">
        <v>3.0000000000000001E-3</v>
      </c>
      <c r="I561" s="39">
        <v>44440</v>
      </c>
      <c r="J561" s="39">
        <v>44469</v>
      </c>
      <c r="K561" s="24">
        <v>30</v>
      </c>
      <c r="L561" s="24">
        <v>61644</v>
      </c>
      <c r="M561" s="24">
        <v>250000000</v>
      </c>
      <c r="N561" s="39">
        <v>46053</v>
      </c>
    </row>
    <row r="562" spans="1:14" s="5" customFormat="1" outlineLevel="2">
      <c r="A562" s="39" t="s">
        <v>231</v>
      </c>
      <c r="B562" s="40" t="s">
        <v>35</v>
      </c>
      <c r="C562" s="41" t="s">
        <v>143</v>
      </c>
      <c r="D562" s="40" t="s">
        <v>144</v>
      </c>
      <c r="E562" s="24">
        <v>20000000</v>
      </c>
      <c r="F562" s="39">
        <v>44253</v>
      </c>
      <c r="G562" s="24">
        <v>20000000</v>
      </c>
      <c r="H562" s="23">
        <v>5.0000000000000001E-3</v>
      </c>
      <c r="I562" s="39">
        <v>44440</v>
      </c>
      <c r="J562" s="39">
        <v>44469</v>
      </c>
      <c r="K562" s="24">
        <v>30</v>
      </c>
      <c r="L562" s="24">
        <v>8219</v>
      </c>
      <c r="M562" s="24">
        <v>20000000</v>
      </c>
      <c r="N562" s="39">
        <v>46078</v>
      </c>
    </row>
    <row r="563" spans="1:14" s="5" customFormat="1" outlineLevel="2">
      <c r="A563" s="39" t="s">
        <v>231</v>
      </c>
      <c r="B563" s="40" t="s">
        <v>36</v>
      </c>
      <c r="C563" s="41" t="s">
        <v>280</v>
      </c>
      <c r="D563" s="40" t="s">
        <v>281</v>
      </c>
      <c r="E563" s="24">
        <v>160000000</v>
      </c>
      <c r="F563" s="39">
        <v>44286</v>
      </c>
      <c r="G563" s="24">
        <v>160000000</v>
      </c>
      <c r="H563" s="23">
        <v>3.0000000000000001E-3</v>
      </c>
      <c r="I563" s="39">
        <v>44440</v>
      </c>
      <c r="J563" s="39">
        <v>44469</v>
      </c>
      <c r="K563" s="24">
        <v>30</v>
      </c>
      <c r="L563" s="24">
        <v>39452</v>
      </c>
      <c r="M563" s="24">
        <v>160000000</v>
      </c>
      <c r="N563" s="39">
        <v>46111</v>
      </c>
    </row>
    <row r="564" spans="1:14" s="5" customFormat="1" outlineLevel="2">
      <c r="A564" s="39" t="s">
        <v>231</v>
      </c>
      <c r="B564" s="40" t="s">
        <v>39</v>
      </c>
      <c r="C564" s="41" t="s">
        <v>17</v>
      </c>
      <c r="D564" s="40" t="s">
        <v>18</v>
      </c>
      <c r="E564" s="24">
        <v>32900000</v>
      </c>
      <c r="F564" s="39">
        <v>43829</v>
      </c>
      <c r="G564" s="24">
        <v>21933340</v>
      </c>
      <c r="H564" s="23">
        <v>5.0000000000000001E-3</v>
      </c>
      <c r="I564" s="39">
        <v>44440</v>
      </c>
      <c r="J564" s="39">
        <v>44453</v>
      </c>
      <c r="K564" s="24">
        <v>14</v>
      </c>
      <c r="L564" s="24">
        <v>4206</v>
      </c>
      <c r="M564" s="24">
        <v>21385007</v>
      </c>
      <c r="N564" s="39">
        <v>45655</v>
      </c>
    </row>
    <row r="565" spans="1:14" s="5" customFormat="1" outlineLevel="2">
      <c r="A565" s="39" t="s">
        <v>231</v>
      </c>
      <c r="B565" s="40" t="s">
        <v>39</v>
      </c>
      <c r="C565" s="41" t="s">
        <v>17</v>
      </c>
      <c r="D565" s="40"/>
      <c r="E565" s="24"/>
      <c r="F565" s="39"/>
      <c r="G565" s="24">
        <v>21385007</v>
      </c>
      <c r="H565" s="23">
        <v>5.0000000000000001E-3</v>
      </c>
      <c r="I565" s="39">
        <v>44454</v>
      </c>
      <c r="J565" s="39">
        <v>44469</v>
      </c>
      <c r="K565" s="24">
        <v>16</v>
      </c>
      <c r="L565" s="24">
        <v>4687</v>
      </c>
      <c r="M565" s="24"/>
      <c r="N565" s="39">
        <v>45655</v>
      </c>
    </row>
    <row r="566" spans="1:14" s="5" customFormat="1" outlineLevel="2">
      <c r="A566" s="39" t="s">
        <v>231</v>
      </c>
      <c r="B566" s="40" t="s">
        <v>40</v>
      </c>
      <c r="C566" s="41" t="s">
        <v>246</v>
      </c>
      <c r="D566" s="40" t="s">
        <v>247</v>
      </c>
      <c r="E566" s="24">
        <v>3400000</v>
      </c>
      <c r="F566" s="39">
        <v>44294</v>
      </c>
      <c r="G566" s="24">
        <v>3400000</v>
      </c>
      <c r="H566" s="23">
        <v>5.0000000000000001E-3</v>
      </c>
      <c r="I566" s="39">
        <v>44440</v>
      </c>
      <c r="J566" s="39">
        <v>44469</v>
      </c>
      <c r="K566" s="24">
        <v>30</v>
      </c>
      <c r="L566" s="24">
        <v>1397</v>
      </c>
      <c r="M566" s="24">
        <v>3400000</v>
      </c>
      <c r="N566" s="39">
        <v>46119</v>
      </c>
    </row>
    <row r="567" spans="1:14" s="5" customFormat="1" outlineLevel="2">
      <c r="A567" s="39" t="s">
        <v>231</v>
      </c>
      <c r="B567" s="40" t="s">
        <v>41</v>
      </c>
      <c r="C567" s="41" t="s">
        <v>280</v>
      </c>
      <c r="D567" s="40" t="s">
        <v>281</v>
      </c>
      <c r="E567" s="24">
        <v>500000000</v>
      </c>
      <c r="F567" s="39">
        <v>44376</v>
      </c>
      <c r="G567" s="24">
        <v>500000000</v>
      </c>
      <c r="H567" s="23">
        <v>3.0000000000000001E-3</v>
      </c>
      <c r="I567" s="39">
        <v>44440</v>
      </c>
      <c r="J567" s="39">
        <v>44469</v>
      </c>
      <c r="K567" s="24">
        <v>30</v>
      </c>
      <c r="L567" s="24">
        <v>123288</v>
      </c>
      <c r="M567" s="24">
        <v>500000000</v>
      </c>
      <c r="N567" s="39">
        <v>46201</v>
      </c>
    </row>
    <row r="568" spans="1:14" s="5" customFormat="1" outlineLevel="2">
      <c r="A568" s="39" t="s">
        <v>231</v>
      </c>
      <c r="B568" s="40" t="s">
        <v>42</v>
      </c>
      <c r="C568" s="41" t="s">
        <v>89</v>
      </c>
      <c r="D568" s="40" t="s">
        <v>90</v>
      </c>
      <c r="E568" s="24">
        <v>40000000</v>
      </c>
      <c r="F568" s="39">
        <v>44424</v>
      </c>
      <c r="G568" s="24">
        <v>40000000</v>
      </c>
      <c r="H568" s="23">
        <v>5.0000000000000001E-3</v>
      </c>
      <c r="I568" s="39">
        <v>44440</v>
      </c>
      <c r="J568" s="39">
        <v>44469</v>
      </c>
      <c r="K568" s="24">
        <v>30</v>
      </c>
      <c r="L568" s="24">
        <v>16438</v>
      </c>
      <c r="M568" s="24">
        <v>40000000</v>
      </c>
      <c r="N568" s="39">
        <v>46249</v>
      </c>
    </row>
    <row r="569" spans="1:14" s="5" customFormat="1" outlineLevel="2">
      <c r="A569" s="39" t="s">
        <v>231</v>
      </c>
      <c r="B569" s="40" t="s">
        <v>54</v>
      </c>
      <c r="C569" s="41" t="s">
        <v>17</v>
      </c>
      <c r="D569" s="40" t="s">
        <v>18</v>
      </c>
      <c r="E569" s="24">
        <v>2790000</v>
      </c>
      <c r="F569" s="39">
        <v>43921</v>
      </c>
      <c r="G569" s="24">
        <v>1957901</v>
      </c>
      <c r="H569" s="23">
        <v>5.0000000000000001E-3</v>
      </c>
      <c r="I569" s="39">
        <v>44440</v>
      </c>
      <c r="J569" s="39">
        <v>44453</v>
      </c>
      <c r="K569" s="24">
        <v>14</v>
      </c>
      <c r="L569" s="24">
        <v>375</v>
      </c>
      <c r="M569" s="24">
        <v>1908954</v>
      </c>
      <c r="N569" s="39">
        <v>45746</v>
      </c>
    </row>
    <row r="570" spans="1:14" s="5" customFormat="1" outlineLevel="2">
      <c r="A570" s="39" t="s">
        <v>231</v>
      </c>
      <c r="B570" s="40" t="s">
        <v>54</v>
      </c>
      <c r="C570" s="41" t="s">
        <v>17</v>
      </c>
      <c r="D570" s="40"/>
      <c r="E570" s="24"/>
      <c r="F570" s="39"/>
      <c r="G570" s="24">
        <v>1908954</v>
      </c>
      <c r="H570" s="23">
        <v>5.0000000000000001E-3</v>
      </c>
      <c r="I570" s="39">
        <v>44454</v>
      </c>
      <c r="J570" s="39">
        <v>44469</v>
      </c>
      <c r="K570" s="24">
        <v>16</v>
      </c>
      <c r="L570" s="24">
        <v>418</v>
      </c>
      <c r="M570" s="24"/>
      <c r="N570" s="39">
        <v>45746</v>
      </c>
    </row>
    <row r="571" spans="1:14" s="5" customFormat="1" outlineLevel="2">
      <c r="A571" s="39" t="s">
        <v>231</v>
      </c>
      <c r="B571" s="40" t="s">
        <v>59</v>
      </c>
      <c r="C571" s="41" t="s">
        <v>55</v>
      </c>
      <c r="D571" s="40" t="s">
        <v>56</v>
      </c>
      <c r="E571" s="24">
        <v>12000000</v>
      </c>
      <c r="F571" s="39">
        <v>43948</v>
      </c>
      <c r="G571" s="24">
        <v>8800000</v>
      </c>
      <c r="H571" s="23">
        <v>5.0000000000000001E-3</v>
      </c>
      <c r="I571" s="39">
        <v>44440</v>
      </c>
      <c r="J571" s="39">
        <v>44453</v>
      </c>
      <c r="K571" s="24">
        <v>14</v>
      </c>
      <c r="L571" s="24">
        <v>1688</v>
      </c>
      <c r="M571" s="24">
        <v>8600000</v>
      </c>
      <c r="N571" s="39">
        <v>45773</v>
      </c>
    </row>
    <row r="572" spans="1:14" s="5" customFormat="1" outlineLevel="2">
      <c r="A572" s="39" t="s">
        <v>231</v>
      </c>
      <c r="B572" s="40" t="s">
        <v>59</v>
      </c>
      <c r="C572" s="41" t="s">
        <v>55</v>
      </c>
      <c r="D572" s="40"/>
      <c r="E572" s="24"/>
      <c r="F572" s="39"/>
      <c r="G572" s="24">
        <v>8600000</v>
      </c>
      <c r="H572" s="23">
        <v>5.0000000000000001E-3</v>
      </c>
      <c r="I572" s="39">
        <v>44454</v>
      </c>
      <c r="J572" s="39">
        <v>44469</v>
      </c>
      <c r="K572" s="24">
        <v>16</v>
      </c>
      <c r="L572" s="24">
        <v>1885</v>
      </c>
      <c r="M572" s="24"/>
      <c r="N572" s="39">
        <v>45773</v>
      </c>
    </row>
    <row r="573" spans="1:14" s="5" customFormat="1" outlineLevel="2">
      <c r="A573" s="39" t="s">
        <v>231</v>
      </c>
      <c r="B573" s="40" t="s">
        <v>62</v>
      </c>
      <c r="C573" s="41" t="s">
        <v>30</v>
      </c>
      <c r="D573" s="40" t="s">
        <v>31</v>
      </c>
      <c r="E573" s="24">
        <v>71750000</v>
      </c>
      <c r="F573" s="39">
        <v>43955</v>
      </c>
      <c r="G573" s="24">
        <v>71750000</v>
      </c>
      <c r="H573" s="23">
        <v>5.0000000000000001E-3</v>
      </c>
      <c r="I573" s="39">
        <v>44440</v>
      </c>
      <c r="J573" s="39">
        <v>44469</v>
      </c>
      <c r="K573" s="24">
        <v>30</v>
      </c>
      <c r="L573" s="24">
        <v>29486</v>
      </c>
      <c r="M573" s="24">
        <v>71750000</v>
      </c>
      <c r="N573" s="39">
        <v>45780</v>
      </c>
    </row>
    <row r="574" spans="1:14" s="5" customFormat="1" outlineLevel="2">
      <c r="A574" s="39" t="s">
        <v>231</v>
      </c>
      <c r="B574" s="40" t="s">
        <v>63</v>
      </c>
      <c r="C574" s="41" t="s">
        <v>55</v>
      </c>
      <c r="D574" s="40" t="s">
        <v>56</v>
      </c>
      <c r="E574" s="24">
        <v>10000000</v>
      </c>
      <c r="F574" s="39">
        <v>43963</v>
      </c>
      <c r="G574" s="24">
        <v>7333343</v>
      </c>
      <c r="H574" s="23">
        <v>5.0000000000000001E-3</v>
      </c>
      <c r="I574" s="39">
        <v>44440</v>
      </c>
      <c r="J574" s="39">
        <v>44453</v>
      </c>
      <c r="K574" s="24">
        <v>14</v>
      </c>
      <c r="L574" s="24">
        <v>1406</v>
      </c>
      <c r="M574" s="24">
        <v>7166677</v>
      </c>
      <c r="N574" s="39">
        <v>45788</v>
      </c>
    </row>
    <row r="575" spans="1:14" s="5" customFormat="1" outlineLevel="2">
      <c r="A575" s="39" t="s">
        <v>231</v>
      </c>
      <c r="B575" s="40" t="s">
        <v>63</v>
      </c>
      <c r="C575" s="41" t="s">
        <v>55</v>
      </c>
      <c r="D575" s="40"/>
      <c r="E575" s="24"/>
      <c r="F575" s="39"/>
      <c r="G575" s="24">
        <v>7166677</v>
      </c>
      <c r="H575" s="23">
        <v>5.0000000000000001E-3</v>
      </c>
      <c r="I575" s="39">
        <v>44454</v>
      </c>
      <c r="J575" s="39">
        <v>44469</v>
      </c>
      <c r="K575" s="24">
        <v>16</v>
      </c>
      <c r="L575" s="24">
        <v>1571</v>
      </c>
      <c r="M575" s="24"/>
      <c r="N575" s="39">
        <v>45788</v>
      </c>
    </row>
    <row r="576" spans="1:14" s="5" customFormat="1" outlineLevel="2">
      <c r="A576" s="39" t="s">
        <v>231</v>
      </c>
      <c r="B576" s="40" t="s">
        <v>64</v>
      </c>
      <c r="C576" s="41" t="s">
        <v>55</v>
      </c>
      <c r="D576" s="40" t="s">
        <v>56</v>
      </c>
      <c r="E576" s="24">
        <v>4000000</v>
      </c>
      <c r="F576" s="39">
        <v>43970</v>
      </c>
      <c r="G576" s="24">
        <v>2983060</v>
      </c>
      <c r="H576" s="23">
        <v>5.0000000000000001E-3</v>
      </c>
      <c r="I576" s="39">
        <v>44440</v>
      </c>
      <c r="J576" s="39">
        <v>44453</v>
      </c>
      <c r="K576" s="24">
        <v>14</v>
      </c>
      <c r="L576" s="24">
        <v>572</v>
      </c>
      <c r="M576" s="24">
        <v>2915264</v>
      </c>
      <c r="N576" s="39">
        <v>45795</v>
      </c>
    </row>
    <row r="577" spans="1:14" s="5" customFormat="1" outlineLevel="2">
      <c r="A577" s="39" t="s">
        <v>231</v>
      </c>
      <c r="B577" s="40" t="s">
        <v>64</v>
      </c>
      <c r="C577" s="41" t="s">
        <v>55</v>
      </c>
      <c r="D577" s="40"/>
      <c r="E577" s="24"/>
      <c r="F577" s="39"/>
      <c r="G577" s="24">
        <v>2915264</v>
      </c>
      <c r="H577" s="23">
        <v>5.0000000000000001E-3</v>
      </c>
      <c r="I577" s="39">
        <v>44454</v>
      </c>
      <c r="J577" s="39">
        <v>44469</v>
      </c>
      <c r="K577" s="24">
        <v>16</v>
      </c>
      <c r="L577" s="24">
        <v>639</v>
      </c>
      <c r="M577" s="24"/>
      <c r="N577" s="39">
        <v>45795</v>
      </c>
    </row>
    <row r="578" spans="1:14" s="5" customFormat="1" outlineLevel="2">
      <c r="A578" s="39" t="s">
        <v>231</v>
      </c>
      <c r="B578" s="40" t="s">
        <v>65</v>
      </c>
      <c r="C578" s="41" t="s">
        <v>55</v>
      </c>
      <c r="D578" s="40" t="s">
        <v>56</v>
      </c>
      <c r="E578" s="24">
        <v>18000000</v>
      </c>
      <c r="F578" s="39">
        <v>43977</v>
      </c>
      <c r="G578" s="24">
        <v>13423740</v>
      </c>
      <c r="H578" s="23">
        <v>5.0000000000000001E-3</v>
      </c>
      <c r="I578" s="39">
        <v>44440</v>
      </c>
      <c r="J578" s="39">
        <v>44453</v>
      </c>
      <c r="K578" s="24">
        <v>14</v>
      </c>
      <c r="L578" s="24">
        <v>2574</v>
      </c>
      <c r="M578" s="24">
        <v>13118656</v>
      </c>
      <c r="N578" s="39">
        <v>45802</v>
      </c>
    </row>
    <row r="579" spans="1:14" s="5" customFormat="1" outlineLevel="2">
      <c r="A579" s="39" t="s">
        <v>231</v>
      </c>
      <c r="B579" s="40" t="s">
        <v>65</v>
      </c>
      <c r="C579" s="41" t="s">
        <v>55</v>
      </c>
      <c r="D579" s="40"/>
      <c r="E579" s="24"/>
      <c r="F579" s="39"/>
      <c r="G579" s="24">
        <v>13118656</v>
      </c>
      <c r="H579" s="23">
        <v>5.0000000000000001E-3</v>
      </c>
      <c r="I579" s="39">
        <v>44454</v>
      </c>
      <c r="J579" s="39">
        <v>44469</v>
      </c>
      <c r="K579" s="24">
        <v>16</v>
      </c>
      <c r="L579" s="24">
        <v>2875</v>
      </c>
      <c r="M579" s="24"/>
      <c r="N579" s="39">
        <v>45802</v>
      </c>
    </row>
    <row r="580" spans="1:14" s="5" customFormat="1" outlineLevel="2">
      <c r="A580" s="39" t="s">
        <v>231</v>
      </c>
      <c r="B580" s="40" t="s">
        <v>68</v>
      </c>
      <c r="C580" s="41" t="s">
        <v>55</v>
      </c>
      <c r="D580" s="40" t="s">
        <v>56</v>
      </c>
      <c r="E580" s="24">
        <v>6000000</v>
      </c>
      <c r="F580" s="39">
        <v>43984</v>
      </c>
      <c r="G580" s="24">
        <v>4474590</v>
      </c>
      <c r="H580" s="23">
        <v>5.0000000000000001E-3</v>
      </c>
      <c r="I580" s="39">
        <v>44440</v>
      </c>
      <c r="J580" s="39">
        <v>44453</v>
      </c>
      <c r="K580" s="24">
        <v>14</v>
      </c>
      <c r="L580" s="24">
        <v>858</v>
      </c>
      <c r="M580" s="24">
        <v>4372896</v>
      </c>
      <c r="N580" s="39">
        <v>45809</v>
      </c>
    </row>
    <row r="581" spans="1:14" s="5" customFormat="1" outlineLevel="2">
      <c r="A581" s="39" t="s">
        <v>231</v>
      </c>
      <c r="B581" s="40" t="s">
        <v>68</v>
      </c>
      <c r="C581" s="41" t="s">
        <v>55</v>
      </c>
      <c r="D581" s="40"/>
      <c r="E581" s="24"/>
      <c r="F581" s="39"/>
      <c r="G581" s="24">
        <v>4372896</v>
      </c>
      <c r="H581" s="23">
        <v>5.0000000000000001E-3</v>
      </c>
      <c r="I581" s="39">
        <v>44454</v>
      </c>
      <c r="J581" s="39">
        <v>44469</v>
      </c>
      <c r="K581" s="24">
        <v>16</v>
      </c>
      <c r="L581" s="24">
        <v>958</v>
      </c>
      <c r="M581" s="24"/>
      <c r="N581" s="39">
        <v>45809</v>
      </c>
    </row>
    <row r="582" spans="1:14" s="5" customFormat="1" outlineLevel="1">
      <c r="A582" s="42" t="s">
        <v>234</v>
      </c>
      <c r="B582" s="43"/>
      <c r="C582" s="44"/>
      <c r="D582" s="43"/>
      <c r="E582" s="45">
        <v>1600300000</v>
      </c>
      <c r="F582" s="46"/>
      <c r="G582" s="45"/>
      <c r="H582" s="47"/>
      <c r="I582" s="46"/>
      <c r="J582" s="46"/>
      <c r="K582" s="45"/>
      <c r="L582" s="45">
        <v>475370</v>
      </c>
      <c r="M582" s="45">
        <v>1518825454</v>
      </c>
      <c r="N582" s="46"/>
    </row>
    <row r="583" spans="1:14" s="5" customFormat="1" outlineLevel="2">
      <c r="A583" s="39" t="s">
        <v>235</v>
      </c>
      <c r="B583" s="40" t="s">
        <v>16</v>
      </c>
      <c r="C583" s="41" t="s">
        <v>17</v>
      </c>
      <c r="D583" s="40" t="s">
        <v>18</v>
      </c>
      <c r="E583" s="24">
        <v>50000000</v>
      </c>
      <c r="F583" s="39">
        <v>43829</v>
      </c>
      <c r="G583" s="24">
        <v>33333320</v>
      </c>
      <c r="H583" s="23">
        <v>5.0000000000000001E-3</v>
      </c>
      <c r="I583" s="39">
        <v>44440</v>
      </c>
      <c r="J583" s="39">
        <v>44453</v>
      </c>
      <c r="K583" s="24">
        <v>14</v>
      </c>
      <c r="L583" s="24">
        <v>6393</v>
      </c>
      <c r="M583" s="24">
        <v>32499986</v>
      </c>
      <c r="N583" s="39">
        <v>45655</v>
      </c>
    </row>
    <row r="584" spans="1:14" s="5" customFormat="1" outlineLevel="2">
      <c r="A584" s="39" t="s">
        <v>235</v>
      </c>
      <c r="B584" s="40" t="s">
        <v>16</v>
      </c>
      <c r="C584" s="41" t="s">
        <v>17</v>
      </c>
      <c r="D584" s="40"/>
      <c r="E584" s="24"/>
      <c r="F584" s="39"/>
      <c r="G584" s="24">
        <v>32499986</v>
      </c>
      <c r="H584" s="23">
        <v>5.0000000000000001E-3</v>
      </c>
      <c r="I584" s="39">
        <v>44454</v>
      </c>
      <c r="J584" s="39">
        <v>44469</v>
      </c>
      <c r="K584" s="24">
        <v>16</v>
      </c>
      <c r="L584" s="24">
        <v>7123</v>
      </c>
      <c r="M584" s="24"/>
      <c r="N584" s="39">
        <v>45655</v>
      </c>
    </row>
    <row r="585" spans="1:14" s="5" customFormat="1" outlineLevel="2">
      <c r="A585" s="39" t="s">
        <v>235</v>
      </c>
      <c r="B585" s="40" t="s">
        <v>39</v>
      </c>
      <c r="C585" s="41" t="s">
        <v>17</v>
      </c>
      <c r="D585" s="40" t="s">
        <v>18</v>
      </c>
      <c r="E585" s="24">
        <v>25200000</v>
      </c>
      <c r="F585" s="39">
        <v>43829</v>
      </c>
      <c r="G585" s="24">
        <v>16800000</v>
      </c>
      <c r="H585" s="23">
        <v>5.0000000000000001E-3</v>
      </c>
      <c r="I585" s="39">
        <v>44440</v>
      </c>
      <c r="J585" s="39">
        <v>44453</v>
      </c>
      <c r="K585" s="24">
        <v>14</v>
      </c>
      <c r="L585" s="24">
        <v>3222</v>
      </c>
      <c r="M585" s="24">
        <v>16380000</v>
      </c>
      <c r="N585" s="39">
        <v>45655</v>
      </c>
    </row>
    <row r="586" spans="1:14" s="5" customFormat="1" outlineLevel="2">
      <c r="A586" s="39" t="s">
        <v>235</v>
      </c>
      <c r="B586" s="40" t="s">
        <v>39</v>
      </c>
      <c r="C586" s="41" t="s">
        <v>17</v>
      </c>
      <c r="D586" s="40"/>
      <c r="E586" s="24"/>
      <c r="F586" s="39"/>
      <c r="G586" s="24">
        <v>16380000</v>
      </c>
      <c r="H586" s="23">
        <v>5.0000000000000001E-3</v>
      </c>
      <c r="I586" s="39">
        <v>44454</v>
      </c>
      <c r="J586" s="39">
        <v>44469</v>
      </c>
      <c r="K586" s="24">
        <v>16</v>
      </c>
      <c r="L586" s="24">
        <v>3590</v>
      </c>
      <c r="M586" s="24"/>
      <c r="N586" s="39">
        <v>45655</v>
      </c>
    </row>
    <row r="587" spans="1:14" s="5" customFormat="1" outlineLevel="2">
      <c r="A587" s="39" t="s">
        <v>235</v>
      </c>
      <c r="B587" s="40" t="s">
        <v>54</v>
      </c>
      <c r="C587" s="41" t="s">
        <v>17</v>
      </c>
      <c r="D587" s="40" t="s">
        <v>18</v>
      </c>
      <c r="E587" s="24">
        <v>11310000</v>
      </c>
      <c r="F587" s="39">
        <v>43920</v>
      </c>
      <c r="G587" s="24">
        <v>7936843</v>
      </c>
      <c r="H587" s="23">
        <v>5.0000000000000001E-3</v>
      </c>
      <c r="I587" s="39">
        <v>44440</v>
      </c>
      <c r="J587" s="39">
        <v>44453</v>
      </c>
      <c r="K587" s="24">
        <v>14</v>
      </c>
      <c r="L587" s="24">
        <v>1522</v>
      </c>
      <c r="M587" s="24">
        <v>7738422</v>
      </c>
      <c r="N587" s="39">
        <v>45745</v>
      </c>
    </row>
    <row r="588" spans="1:14" s="5" customFormat="1" outlineLevel="2">
      <c r="A588" s="39" t="s">
        <v>235</v>
      </c>
      <c r="B588" s="40" t="s">
        <v>54</v>
      </c>
      <c r="C588" s="41" t="s">
        <v>17</v>
      </c>
      <c r="D588" s="40"/>
      <c r="E588" s="24"/>
      <c r="F588" s="39"/>
      <c r="G588" s="24">
        <v>7738422</v>
      </c>
      <c r="H588" s="23">
        <v>5.0000000000000001E-3</v>
      </c>
      <c r="I588" s="39">
        <v>44454</v>
      </c>
      <c r="J588" s="39">
        <v>44469</v>
      </c>
      <c r="K588" s="24">
        <v>16</v>
      </c>
      <c r="L588" s="24">
        <v>1696</v>
      </c>
      <c r="M588" s="24"/>
      <c r="N588" s="39">
        <v>45745</v>
      </c>
    </row>
    <row r="589" spans="1:14" s="5" customFormat="1" outlineLevel="2">
      <c r="A589" s="39" t="s">
        <v>235</v>
      </c>
      <c r="B589" s="40" t="s">
        <v>59</v>
      </c>
      <c r="C589" s="41" t="s">
        <v>17</v>
      </c>
      <c r="D589" s="40" t="s">
        <v>18</v>
      </c>
      <c r="E589" s="24">
        <v>6050000</v>
      </c>
      <c r="F589" s="39">
        <v>43990</v>
      </c>
      <c r="G589" s="24">
        <v>4400000</v>
      </c>
      <c r="H589" s="23">
        <v>5.0000000000000001E-3</v>
      </c>
      <c r="I589" s="39">
        <v>44440</v>
      </c>
      <c r="J589" s="39">
        <v>44453</v>
      </c>
      <c r="K589" s="24">
        <v>14</v>
      </c>
      <c r="L589" s="24">
        <v>844</v>
      </c>
      <c r="M589" s="24">
        <v>4290000</v>
      </c>
      <c r="N589" s="39">
        <v>45815</v>
      </c>
    </row>
    <row r="590" spans="1:14" s="5" customFormat="1" outlineLevel="2">
      <c r="A590" s="39" t="s">
        <v>235</v>
      </c>
      <c r="B590" s="40" t="s">
        <v>59</v>
      </c>
      <c r="C590" s="41" t="s">
        <v>17</v>
      </c>
      <c r="D590" s="40"/>
      <c r="E590" s="24"/>
      <c r="F590" s="39"/>
      <c r="G590" s="24">
        <v>4290000</v>
      </c>
      <c r="H590" s="23">
        <v>5.0000000000000001E-3</v>
      </c>
      <c r="I590" s="39">
        <v>44454</v>
      </c>
      <c r="J590" s="39">
        <v>44469</v>
      </c>
      <c r="K590" s="24">
        <v>16</v>
      </c>
      <c r="L590" s="24">
        <v>940</v>
      </c>
      <c r="M590" s="24"/>
      <c r="N590" s="39">
        <v>45815</v>
      </c>
    </row>
    <row r="591" spans="1:14" s="5" customFormat="1" outlineLevel="2">
      <c r="A591" s="39" t="s">
        <v>235</v>
      </c>
      <c r="B591" s="40" t="s">
        <v>62</v>
      </c>
      <c r="C591" s="41" t="s">
        <v>17</v>
      </c>
      <c r="D591" s="40" t="s">
        <v>18</v>
      </c>
      <c r="E591" s="24">
        <v>7541000</v>
      </c>
      <c r="F591" s="39">
        <v>44074</v>
      </c>
      <c r="G591" s="24">
        <v>5800772</v>
      </c>
      <c r="H591" s="23">
        <v>5.0000000000000001E-3</v>
      </c>
      <c r="I591" s="39">
        <v>44440</v>
      </c>
      <c r="J591" s="39">
        <v>44453</v>
      </c>
      <c r="K591" s="24">
        <v>14</v>
      </c>
      <c r="L591" s="24">
        <v>1112</v>
      </c>
      <c r="M591" s="24">
        <v>5655753</v>
      </c>
      <c r="N591" s="39">
        <v>45899</v>
      </c>
    </row>
    <row r="592" spans="1:14" s="5" customFormat="1" outlineLevel="2">
      <c r="A592" s="39" t="s">
        <v>235</v>
      </c>
      <c r="B592" s="40" t="s">
        <v>62</v>
      </c>
      <c r="C592" s="41" t="s">
        <v>17</v>
      </c>
      <c r="D592" s="40"/>
      <c r="E592" s="24"/>
      <c r="F592" s="39"/>
      <c r="G592" s="24">
        <v>5655753</v>
      </c>
      <c r="H592" s="23">
        <v>5.0000000000000001E-3</v>
      </c>
      <c r="I592" s="39">
        <v>44454</v>
      </c>
      <c r="J592" s="39">
        <v>44469</v>
      </c>
      <c r="K592" s="24">
        <v>16</v>
      </c>
      <c r="L592" s="24">
        <v>1240</v>
      </c>
      <c r="M592" s="24"/>
      <c r="N592" s="39">
        <v>45899</v>
      </c>
    </row>
    <row r="593" spans="1:14" s="5" customFormat="1" outlineLevel="2">
      <c r="A593" s="39" t="s">
        <v>235</v>
      </c>
      <c r="B593" s="40" t="s">
        <v>63</v>
      </c>
      <c r="C593" s="41" t="s">
        <v>17</v>
      </c>
      <c r="D593" s="40" t="s">
        <v>18</v>
      </c>
      <c r="E593" s="24">
        <v>8986000</v>
      </c>
      <c r="F593" s="39">
        <v>44160</v>
      </c>
      <c r="G593" s="24">
        <v>7335508</v>
      </c>
      <c r="H593" s="23">
        <v>5.0000000000000001E-3</v>
      </c>
      <c r="I593" s="39">
        <v>44440</v>
      </c>
      <c r="J593" s="39">
        <v>44453</v>
      </c>
      <c r="K593" s="24">
        <v>14</v>
      </c>
      <c r="L593" s="24">
        <v>1407</v>
      </c>
      <c r="M593" s="24">
        <v>7152120</v>
      </c>
      <c r="N593" s="39">
        <v>45985</v>
      </c>
    </row>
    <row r="594" spans="1:14" s="5" customFormat="1" outlineLevel="2">
      <c r="A594" s="39" t="s">
        <v>235</v>
      </c>
      <c r="B594" s="40" t="s">
        <v>63</v>
      </c>
      <c r="C594" s="41" t="s">
        <v>17</v>
      </c>
      <c r="D594" s="40"/>
      <c r="E594" s="24"/>
      <c r="F594" s="39"/>
      <c r="G594" s="24">
        <v>7152120</v>
      </c>
      <c r="H594" s="23">
        <v>5.0000000000000001E-3</v>
      </c>
      <c r="I594" s="39">
        <v>44454</v>
      </c>
      <c r="J594" s="39">
        <v>44469</v>
      </c>
      <c r="K594" s="24">
        <v>16</v>
      </c>
      <c r="L594" s="24">
        <v>1568</v>
      </c>
      <c r="M594" s="24"/>
      <c r="N594" s="39">
        <v>45985</v>
      </c>
    </row>
    <row r="595" spans="1:14" s="5" customFormat="1" outlineLevel="2">
      <c r="A595" s="39" t="s">
        <v>235</v>
      </c>
      <c r="B595" s="40" t="s">
        <v>64</v>
      </c>
      <c r="C595" s="41" t="s">
        <v>17</v>
      </c>
      <c r="D595" s="40" t="s">
        <v>18</v>
      </c>
      <c r="E595" s="24">
        <v>2534784</v>
      </c>
      <c r="F595" s="39">
        <v>44334</v>
      </c>
      <c r="G595" s="24">
        <v>2357937</v>
      </c>
      <c r="H595" s="23">
        <v>5.0000000000000001E-3</v>
      </c>
      <c r="I595" s="39">
        <v>44440</v>
      </c>
      <c r="J595" s="39">
        <v>44453</v>
      </c>
      <c r="K595" s="24">
        <v>14</v>
      </c>
      <c r="L595" s="24">
        <v>452</v>
      </c>
      <c r="M595" s="24">
        <v>2298988</v>
      </c>
      <c r="N595" s="39">
        <v>46159</v>
      </c>
    </row>
    <row r="596" spans="1:14" s="5" customFormat="1" outlineLevel="2">
      <c r="A596" s="39" t="s">
        <v>235</v>
      </c>
      <c r="B596" s="40" t="s">
        <v>64</v>
      </c>
      <c r="C596" s="41" t="s">
        <v>17</v>
      </c>
      <c r="D596" s="40"/>
      <c r="E596" s="24"/>
      <c r="F596" s="39"/>
      <c r="G596" s="24">
        <v>2298988</v>
      </c>
      <c r="H596" s="23">
        <v>5.0000000000000001E-3</v>
      </c>
      <c r="I596" s="39">
        <v>44454</v>
      </c>
      <c r="J596" s="39">
        <v>44469</v>
      </c>
      <c r="K596" s="24">
        <v>16</v>
      </c>
      <c r="L596" s="24">
        <v>504</v>
      </c>
      <c r="M596" s="24"/>
      <c r="N596" s="39">
        <v>46159</v>
      </c>
    </row>
    <row r="597" spans="1:14" s="5" customFormat="1" outlineLevel="1">
      <c r="A597" s="42" t="s">
        <v>236</v>
      </c>
      <c r="B597" s="43"/>
      <c r="C597" s="44"/>
      <c r="D597" s="43"/>
      <c r="E597" s="45">
        <v>111621784</v>
      </c>
      <c r="F597" s="46"/>
      <c r="G597" s="45"/>
      <c r="H597" s="47"/>
      <c r="I597" s="46"/>
      <c r="J597" s="46"/>
      <c r="K597" s="45"/>
      <c r="L597" s="45">
        <v>31613</v>
      </c>
      <c r="M597" s="45">
        <v>76015269</v>
      </c>
      <c r="N597" s="46"/>
    </row>
    <row r="598" spans="1:14" s="5" customFormat="1" outlineLevel="2">
      <c r="A598" s="39" t="s">
        <v>237</v>
      </c>
      <c r="B598" s="40" t="s">
        <v>16</v>
      </c>
      <c r="C598" s="41" t="s">
        <v>45</v>
      </c>
      <c r="D598" s="40" t="s">
        <v>46</v>
      </c>
      <c r="E598" s="24">
        <v>4300000</v>
      </c>
      <c r="F598" s="39">
        <v>43966</v>
      </c>
      <c r="G598" s="24">
        <v>4300000</v>
      </c>
      <c r="H598" s="23">
        <v>5.0000000000000001E-3</v>
      </c>
      <c r="I598" s="39">
        <v>44440</v>
      </c>
      <c r="J598" s="39">
        <v>44469</v>
      </c>
      <c r="K598" s="24">
        <v>30</v>
      </c>
      <c r="L598" s="24">
        <v>1767</v>
      </c>
      <c r="M598" s="24">
        <v>4300000</v>
      </c>
      <c r="N598" s="39">
        <v>45791</v>
      </c>
    </row>
    <row r="599" spans="1:14" s="5" customFormat="1" outlineLevel="2">
      <c r="A599" s="39" t="s">
        <v>237</v>
      </c>
      <c r="B599" s="40" t="s">
        <v>39</v>
      </c>
      <c r="C599" s="41" t="s">
        <v>66</v>
      </c>
      <c r="D599" s="40" t="s">
        <v>67</v>
      </c>
      <c r="E599" s="24">
        <v>120000000</v>
      </c>
      <c r="F599" s="39">
        <v>44060</v>
      </c>
      <c r="G599" s="24">
        <v>120000000</v>
      </c>
      <c r="H599" s="23">
        <v>5.0000000000000001E-3</v>
      </c>
      <c r="I599" s="39">
        <v>44440</v>
      </c>
      <c r="J599" s="39">
        <v>44469</v>
      </c>
      <c r="K599" s="24">
        <v>30</v>
      </c>
      <c r="L599" s="24">
        <v>49315</v>
      </c>
      <c r="M599" s="24">
        <v>120000000</v>
      </c>
      <c r="N599" s="39">
        <v>45885</v>
      </c>
    </row>
    <row r="600" spans="1:14" s="5" customFormat="1" outlineLevel="1">
      <c r="A600" s="42" t="s">
        <v>238</v>
      </c>
      <c r="B600" s="43"/>
      <c r="C600" s="44"/>
      <c r="D600" s="43"/>
      <c r="E600" s="45">
        <v>124300000</v>
      </c>
      <c r="F600" s="46"/>
      <c r="G600" s="45"/>
      <c r="H600" s="47"/>
      <c r="I600" s="46"/>
      <c r="J600" s="46"/>
      <c r="K600" s="45"/>
      <c r="L600" s="45">
        <v>51082</v>
      </c>
      <c r="M600" s="45">
        <v>124300000</v>
      </c>
      <c r="N600" s="46"/>
    </row>
    <row r="601" spans="1:14" s="5" customFormat="1" outlineLevel="2">
      <c r="A601" s="39" t="s">
        <v>239</v>
      </c>
      <c r="B601" s="40" t="s">
        <v>16</v>
      </c>
      <c r="C601" s="41" t="s">
        <v>109</v>
      </c>
      <c r="D601" s="40" t="s">
        <v>110</v>
      </c>
      <c r="E601" s="24">
        <v>38650000</v>
      </c>
      <c r="F601" s="39">
        <v>43986</v>
      </c>
      <c r="G601" s="24">
        <v>38650000</v>
      </c>
      <c r="H601" s="23">
        <v>5.0000000000000001E-3</v>
      </c>
      <c r="I601" s="39">
        <v>44440</v>
      </c>
      <c r="J601" s="39">
        <v>44469</v>
      </c>
      <c r="K601" s="24">
        <v>30</v>
      </c>
      <c r="L601" s="24">
        <v>15884</v>
      </c>
      <c r="M601" s="24">
        <v>38650000</v>
      </c>
      <c r="N601" s="39">
        <v>45811</v>
      </c>
    </row>
    <row r="602" spans="1:14" s="5" customFormat="1" outlineLevel="2">
      <c r="A602" s="39" t="s">
        <v>239</v>
      </c>
      <c r="B602" s="40" t="s">
        <v>19</v>
      </c>
      <c r="C602" s="41" t="s">
        <v>125</v>
      </c>
      <c r="D602" s="40" t="s">
        <v>126</v>
      </c>
      <c r="E602" s="24">
        <v>23000000</v>
      </c>
      <c r="F602" s="39">
        <v>44155</v>
      </c>
      <c r="G602" s="24">
        <v>23000000</v>
      </c>
      <c r="H602" s="23">
        <v>5.0000000000000001E-3</v>
      </c>
      <c r="I602" s="39">
        <v>44440</v>
      </c>
      <c r="J602" s="39">
        <v>44469</v>
      </c>
      <c r="K602" s="24">
        <v>30</v>
      </c>
      <c r="L602" s="24">
        <v>9452</v>
      </c>
      <c r="M602" s="24">
        <v>23000000</v>
      </c>
      <c r="N602" s="39">
        <v>45980</v>
      </c>
    </row>
    <row r="603" spans="1:14" s="5" customFormat="1" outlineLevel="2">
      <c r="A603" s="39" t="s">
        <v>239</v>
      </c>
      <c r="B603" s="40" t="s">
        <v>22</v>
      </c>
      <c r="C603" s="41" t="s">
        <v>125</v>
      </c>
      <c r="D603" s="40" t="s">
        <v>126</v>
      </c>
      <c r="E603" s="24">
        <v>1000000</v>
      </c>
      <c r="F603" s="39">
        <v>44160</v>
      </c>
      <c r="G603" s="24">
        <v>1000000</v>
      </c>
      <c r="H603" s="23">
        <v>5.0000000000000001E-3</v>
      </c>
      <c r="I603" s="39">
        <v>44440</v>
      </c>
      <c r="J603" s="39">
        <v>44469</v>
      </c>
      <c r="K603" s="24">
        <v>30</v>
      </c>
      <c r="L603" s="24">
        <v>411</v>
      </c>
      <c r="M603" s="24">
        <v>1000000</v>
      </c>
      <c r="N603" s="39">
        <v>45985</v>
      </c>
    </row>
    <row r="604" spans="1:14" s="5" customFormat="1" outlineLevel="2">
      <c r="A604" s="39" t="s">
        <v>239</v>
      </c>
      <c r="B604" s="40" t="s">
        <v>25</v>
      </c>
      <c r="C604" s="41" t="s">
        <v>95</v>
      </c>
      <c r="D604" s="40" t="s">
        <v>96</v>
      </c>
      <c r="E604" s="24">
        <v>6030000</v>
      </c>
      <c r="F604" s="39">
        <v>44145</v>
      </c>
      <c r="G604" s="24">
        <v>6030000</v>
      </c>
      <c r="H604" s="23">
        <v>5.0000000000000001E-3</v>
      </c>
      <c r="I604" s="39">
        <v>44440</v>
      </c>
      <c r="J604" s="39">
        <v>44469</v>
      </c>
      <c r="K604" s="24">
        <v>30</v>
      </c>
      <c r="L604" s="24">
        <v>2478</v>
      </c>
      <c r="M604" s="24">
        <v>6030000</v>
      </c>
      <c r="N604" s="39">
        <v>45970</v>
      </c>
    </row>
    <row r="605" spans="1:14" s="5" customFormat="1" outlineLevel="2">
      <c r="A605" s="39" t="s">
        <v>239</v>
      </c>
      <c r="B605" s="40" t="s">
        <v>26</v>
      </c>
      <c r="C605" s="41" t="s">
        <v>240</v>
      </c>
      <c r="D605" s="40" t="s">
        <v>241</v>
      </c>
      <c r="E605" s="24">
        <v>16018839</v>
      </c>
      <c r="F605" s="39">
        <v>44188</v>
      </c>
      <c r="G605" s="24">
        <v>16018839</v>
      </c>
      <c r="H605" s="23">
        <v>5.0000000000000001E-3</v>
      </c>
      <c r="I605" s="39">
        <v>44440</v>
      </c>
      <c r="J605" s="39">
        <v>44469</v>
      </c>
      <c r="K605" s="24">
        <v>30</v>
      </c>
      <c r="L605" s="24">
        <v>6583</v>
      </c>
      <c r="M605" s="24">
        <v>16018839</v>
      </c>
      <c r="N605" s="39">
        <v>46013</v>
      </c>
    </row>
    <row r="606" spans="1:14" s="5" customFormat="1" outlineLevel="2">
      <c r="A606" s="39" t="s">
        <v>239</v>
      </c>
      <c r="B606" s="40" t="s">
        <v>29</v>
      </c>
      <c r="C606" s="41" t="s">
        <v>240</v>
      </c>
      <c r="D606" s="40" t="s">
        <v>241</v>
      </c>
      <c r="E606" s="24">
        <v>31481161</v>
      </c>
      <c r="F606" s="39">
        <v>44188</v>
      </c>
      <c r="G606" s="24">
        <v>31481161</v>
      </c>
      <c r="H606" s="23">
        <v>5.0000000000000001E-3</v>
      </c>
      <c r="I606" s="39">
        <v>44440</v>
      </c>
      <c r="J606" s="39">
        <v>44469</v>
      </c>
      <c r="K606" s="24">
        <v>30</v>
      </c>
      <c r="L606" s="24">
        <v>12937</v>
      </c>
      <c r="M606" s="24">
        <v>31481161</v>
      </c>
      <c r="N606" s="39">
        <v>46013</v>
      </c>
    </row>
    <row r="607" spans="1:14" s="5" customFormat="1" outlineLevel="2">
      <c r="A607" s="39" t="s">
        <v>239</v>
      </c>
      <c r="B607" s="40" t="s">
        <v>32</v>
      </c>
      <c r="C607" s="41" t="s">
        <v>242</v>
      </c>
      <c r="D607" s="40" t="s">
        <v>243</v>
      </c>
      <c r="E607" s="24">
        <v>10000000</v>
      </c>
      <c r="F607" s="39">
        <v>44172</v>
      </c>
      <c r="G607" s="24">
        <v>10000000</v>
      </c>
      <c r="H607" s="23">
        <v>5.0000000000000001E-3</v>
      </c>
      <c r="I607" s="39">
        <v>44440</v>
      </c>
      <c r="J607" s="39">
        <v>44469</v>
      </c>
      <c r="K607" s="24">
        <v>30</v>
      </c>
      <c r="L607" s="24">
        <v>4110</v>
      </c>
      <c r="M607" s="24">
        <v>10000000</v>
      </c>
      <c r="N607" s="39">
        <v>45997</v>
      </c>
    </row>
    <row r="608" spans="1:14" s="5" customFormat="1" outlineLevel="2">
      <c r="A608" s="39" t="s">
        <v>239</v>
      </c>
      <c r="B608" s="40" t="s">
        <v>33</v>
      </c>
      <c r="C608" s="41" t="s">
        <v>242</v>
      </c>
      <c r="D608" s="40" t="s">
        <v>243</v>
      </c>
      <c r="E608" s="24">
        <v>10000000</v>
      </c>
      <c r="F608" s="39">
        <v>44181</v>
      </c>
      <c r="G608" s="24">
        <v>10000000</v>
      </c>
      <c r="H608" s="23">
        <v>5.0000000000000001E-3</v>
      </c>
      <c r="I608" s="39">
        <v>44440</v>
      </c>
      <c r="J608" s="39">
        <v>44469</v>
      </c>
      <c r="K608" s="24">
        <v>30</v>
      </c>
      <c r="L608" s="24">
        <v>4110</v>
      </c>
      <c r="M608" s="24">
        <v>10000000</v>
      </c>
      <c r="N608" s="39">
        <v>46006</v>
      </c>
    </row>
    <row r="609" spans="1:14" s="5" customFormat="1" outlineLevel="2">
      <c r="A609" s="39" t="s">
        <v>239</v>
      </c>
      <c r="B609" s="40" t="s">
        <v>34</v>
      </c>
      <c r="C609" s="41" t="s">
        <v>244</v>
      </c>
      <c r="D609" s="40" t="s">
        <v>245</v>
      </c>
      <c r="E609" s="24">
        <v>210000000</v>
      </c>
      <c r="F609" s="39">
        <v>44172</v>
      </c>
      <c r="G609" s="24">
        <v>210000000</v>
      </c>
      <c r="H609" s="23">
        <v>5.0000000000000001E-3</v>
      </c>
      <c r="I609" s="39">
        <v>44440</v>
      </c>
      <c r="J609" s="39">
        <v>44469</v>
      </c>
      <c r="K609" s="24">
        <v>30</v>
      </c>
      <c r="L609" s="24">
        <v>86301</v>
      </c>
      <c r="M609" s="24">
        <v>210000000</v>
      </c>
      <c r="N609" s="39">
        <v>45997</v>
      </c>
    </row>
    <row r="610" spans="1:14" s="5" customFormat="1" outlineLevel="2">
      <c r="A610" s="39" t="s">
        <v>239</v>
      </c>
      <c r="B610" s="40" t="s">
        <v>35</v>
      </c>
      <c r="C610" s="41" t="s">
        <v>246</v>
      </c>
      <c r="D610" s="40" t="s">
        <v>247</v>
      </c>
      <c r="E610" s="24">
        <v>3000000</v>
      </c>
      <c r="F610" s="39">
        <v>44167</v>
      </c>
      <c r="G610" s="24">
        <v>3000000</v>
      </c>
      <c r="H610" s="23">
        <v>5.0000000000000001E-3</v>
      </c>
      <c r="I610" s="39">
        <v>44440</v>
      </c>
      <c r="J610" s="39">
        <v>44469</v>
      </c>
      <c r="K610" s="24">
        <v>30</v>
      </c>
      <c r="L610" s="24">
        <v>1233</v>
      </c>
      <c r="M610" s="24">
        <v>3000000</v>
      </c>
      <c r="N610" s="39">
        <v>45992</v>
      </c>
    </row>
    <row r="611" spans="1:14" s="5" customFormat="1" outlineLevel="2">
      <c r="A611" s="39" t="s">
        <v>239</v>
      </c>
      <c r="B611" s="40" t="s">
        <v>36</v>
      </c>
      <c r="C611" s="41" t="s">
        <v>95</v>
      </c>
      <c r="D611" s="40" t="s">
        <v>96</v>
      </c>
      <c r="E611" s="24">
        <v>5530000</v>
      </c>
      <c r="F611" s="39">
        <v>44168</v>
      </c>
      <c r="G611" s="24">
        <v>5530000</v>
      </c>
      <c r="H611" s="23">
        <v>5.0000000000000001E-3</v>
      </c>
      <c r="I611" s="39">
        <v>44440</v>
      </c>
      <c r="J611" s="39">
        <v>44469</v>
      </c>
      <c r="K611" s="24">
        <v>30</v>
      </c>
      <c r="L611" s="24">
        <v>2273</v>
      </c>
      <c r="M611" s="24">
        <v>5530000</v>
      </c>
      <c r="N611" s="39">
        <v>45993</v>
      </c>
    </row>
    <row r="612" spans="1:14" s="5" customFormat="1" outlineLevel="2">
      <c r="A612" s="39" t="s">
        <v>239</v>
      </c>
      <c r="B612" s="40" t="s">
        <v>39</v>
      </c>
      <c r="C612" s="41" t="s">
        <v>248</v>
      </c>
      <c r="D612" s="40" t="s">
        <v>249</v>
      </c>
      <c r="E612" s="24">
        <v>23530000</v>
      </c>
      <c r="F612" s="39">
        <v>44013</v>
      </c>
      <c r="G612" s="24">
        <v>23530000</v>
      </c>
      <c r="H612" s="23">
        <v>5.0000000000000001E-3</v>
      </c>
      <c r="I612" s="39">
        <v>44440</v>
      </c>
      <c r="J612" s="39">
        <v>44469</v>
      </c>
      <c r="K612" s="24">
        <v>30</v>
      </c>
      <c r="L612" s="24">
        <v>9670</v>
      </c>
      <c r="M612" s="24">
        <v>23530000</v>
      </c>
      <c r="N612" s="39">
        <v>45838</v>
      </c>
    </row>
    <row r="613" spans="1:14" s="5" customFormat="1" outlineLevel="2">
      <c r="A613" s="39" t="s">
        <v>239</v>
      </c>
      <c r="B613" s="40" t="s">
        <v>40</v>
      </c>
      <c r="C613" s="41" t="s">
        <v>242</v>
      </c>
      <c r="D613" s="40" t="s">
        <v>243</v>
      </c>
      <c r="E613" s="24">
        <v>10000000</v>
      </c>
      <c r="F613" s="39">
        <v>44208</v>
      </c>
      <c r="G613" s="24">
        <v>10000000</v>
      </c>
      <c r="H613" s="23">
        <v>5.0000000000000001E-3</v>
      </c>
      <c r="I613" s="39">
        <v>44440</v>
      </c>
      <c r="J613" s="39">
        <v>44469</v>
      </c>
      <c r="K613" s="24">
        <v>30</v>
      </c>
      <c r="L613" s="24">
        <v>4110</v>
      </c>
      <c r="M613" s="24">
        <v>10000000</v>
      </c>
      <c r="N613" s="39">
        <v>46033</v>
      </c>
    </row>
    <row r="614" spans="1:14" s="5" customFormat="1" outlineLevel="2">
      <c r="A614" s="39" t="s">
        <v>239</v>
      </c>
      <c r="B614" s="40" t="s">
        <v>41</v>
      </c>
      <c r="C614" s="41" t="s">
        <v>125</v>
      </c>
      <c r="D614" s="40" t="s">
        <v>126</v>
      </c>
      <c r="E614" s="24">
        <v>28000000</v>
      </c>
      <c r="F614" s="39">
        <v>44217</v>
      </c>
      <c r="G614" s="24">
        <v>28000000</v>
      </c>
      <c r="H614" s="23">
        <v>5.0000000000000001E-3</v>
      </c>
      <c r="I614" s="39">
        <v>44440</v>
      </c>
      <c r="J614" s="39">
        <v>44469</v>
      </c>
      <c r="K614" s="24">
        <v>30</v>
      </c>
      <c r="L614" s="24">
        <v>11507</v>
      </c>
      <c r="M614" s="24">
        <v>28000000</v>
      </c>
      <c r="N614" s="39">
        <v>46042</v>
      </c>
    </row>
    <row r="615" spans="1:14" s="5" customFormat="1" outlineLevel="2">
      <c r="A615" s="39" t="s">
        <v>239</v>
      </c>
      <c r="B615" s="40" t="s">
        <v>42</v>
      </c>
      <c r="C615" s="41" t="s">
        <v>250</v>
      </c>
      <c r="D615" s="40" t="s">
        <v>251</v>
      </c>
      <c r="E615" s="24">
        <v>22500000</v>
      </c>
      <c r="F615" s="39">
        <v>44215</v>
      </c>
      <c r="G615" s="24">
        <v>19875000</v>
      </c>
      <c r="H615" s="23">
        <v>5.0000000000000001E-3</v>
      </c>
      <c r="I615" s="39">
        <v>44440</v>
      </c>
      <c r="J615" s="39">
        <v>44453</v>
      </c>
      <c r="K615" s="24">
        <v>14</v>
      </c>
      <c r="L615" s="24">
        <v>3812</v>
      </c>
      <c r="M615" s="24">
        <v>19500000</v>
      </c>
      <c r="N615" s="39">
        <v>46040</v>
      </c>
    </row>
    <row r="616" spans="1:14" s="5" customFormat="1" outlineLevel="2">
      <c r="A616" s="39" t="s">
        <v>239</v>
      </c>
      <c r="B616" s="40" t="s">
        <v>42</v>
      </c>
      <c r="C616" s="41" t="s">
        <v>250</v>
      </c>
      <c r="D616" s="40"/>
      <c r="E616" s="24"/>
      <c r="F616" s="39"/>
      <c r="G616" s="24">
        <v>19500000</v>
      </c>
      <c r="H616" s="23">
        <v>5.0000000000000001E-3</v>
      </c>
      <c r="I616" s="39">
        <v>44454</v>
      </c>
      <c r="J616" s="39">
        <v>44469</v>
      </c>
      <c r="K616" s="24">
        <v>16</v>
      </c>
      <c r="L616" s="24">
        <v>4274</v>
      </c>
      <c r="M616" s="24"/>
      <c r="N616" s="39">
        <v>46040</v>
      </c>
    </row>
    <row r="617" spans="1:14" s="5" customFormat="1" outlineLevel="2">
      <c r="A617" s="39" t="s">
        <v>239</v>
      </c>
      <c r="B617" s="40" t="s">
        <v>43</v>
      </c>
      <c r="C617" s="41" t="s">
        <v>250</v>
      </c>
      <c r="D617" s="40" t="s">
        <v>251</v>
      </c>
      <c r="E617" s="24">
        <v>4950000</v>
      </c>
      <c r="F617" s="39">
        <v>44215</v>
      </c>
      <c r="G617" s="24">
        <v>4372500</v>
      </c>
      <c r="H617" s="23">
        <v>5.0000000000000001E-3</v>
      </c>
      <c r="I617" s="39">
        <v>44440</v>
      </c>
      <c r="J617" s="39">
        <v>44453</v>
      </c>
      <c r="K617" s="24">
        <v>14</v>
      </c>
      <c r="L617" s="24">
        <v>839</v>
      </c>
      <c r="M617" s="24">
        <v>4290000</v>
      </c>
      <c r="N617" s="39">
        <v>46040</v>
      </c>
    </row>
    <row r="618" spans="1:14" s="5" customFormat="1" outlineLevel="2">
      <c r="A618" s="39" t="s">
        <v>239</v>
      </c>
      <c r="B618" s="40" t="s">
        <v>43</v>
      </c>
      <c r="C618" s="41" t="s">
        <v>250</v>
      </c>
      <c r="D618" s="40"/>
      <c r="E618" s="24"/>
      <c r="F618" s="39"/>
      <c r="G618" s="24">
        <v>4290000</v>
      </c>
      <c r="H618" s="23">
        <v>5.0000000000000001E-3</v>
      </c>
      <c r="I618" s="39">
        <v>44454</v>
      </c>
      <c r="J618" s="39">
        <v>44469</v>
      </c>
      <c r="K618" s="24">
        <v>16</v>
      </c>
      <c r="L618" s="24">
        <v>940</v>
      </c>
      <c r="M618" s="24"/>
      <c r="N618" s="39">
        <v>46040</v>
      </c>
    </row>
    <row r="619" spans="1:14" s="5" customFormat="1" outlineLevel="2">
      <c r="A619" s="39" t="s">
        <v>239</v>
      </c>
      <c r="B619" s="40" t="s">
        <v>44</v>
      </c>
      <c r="C619" s="41" t="s">
        <v>242</v>
      </c>
      <c r="D619" s="40" t="s">
        <v>243</v>
      </c>
      <c r="E619" s="24">
        <v>10000000</v>
      </c>
      <c r="F619" s="39">
        <v>44244</v>
      </c>
      <c r="G619" s="24">
        <v>10000000</v>
      </c>
      <c r="H619" s="23">
        <v>5.0000000000000001E-3</v>
      </c>
      <c r="I619" s="39">
        <v>44440</v>
      </c>
      <c r="J619" s="39">
        <v>44469</v>
      </c>
      <c r="K619" s="24">
        <v>30</v>
      </c>
      <c r="L619" s="24">
        <v>4110</v>
      </c>
      <c r="M619" s="24">
        <v>10000000</v>
      </c>
      <c r="N619" s="39">
        <v>46069</v>
      </c>
    </row>
    <row r="620" spans="1:14" s="5" customFormat="1" outlineLevel="2">
      <c r="A620" s="39" t="s">
        <v>239</v>
      </c>
      <c r="B620" s="40" t="s">
        <v>47</v>
      </c>
      <c r="C620" s="41" t="s">
        <v>242</v>
      </c>
      <c r="D620" s="40" t="s">
        <v>243</v>
      </c>
      <c r="E620" s="24">
        <v>4000000</v>
      </c>
      <c r="F620" s="39">
        <v>44249</v>
      </c>
      <c r="G620" s="24">
        <v>4000000</v>
      </c>
      <c r="H620" s="23">
        <v>5.0000000000000001E-3</v>
      </c>
      <c r="I620" s="39">
        <v>44440</v>
      </c>
      <c r="J620" s="39">
        <v>44469</v>
      </c>
      <c r="K620" s="24">
        <v>30</v>
      </c>
      <c r="L620" s="24">
        <v>1644</v>
      </c>
      <c r="M620" s="24">
        <v>4000000</v>
      </c>
      <c r="N620" s="39">
        <v>46074</v>
      </c>
    </row>
    <row r="621" spans="1:14" s="5" customFormat="1" outlineLevel="2">
      <c r="A621" s="39" t="s">
        <v>239</v>
      </c>
      <c r="B621" s="40" t="s">
        <v>50</v>
      </c>
      <c r="C621" s="41" t="s">
        <v>306</v>
      </c>
      <c r="D621" s="40" t="s">
        <v>305</v>
      </c>
      <c r="E621" s="24">
        <v>23949000</v>
      </c>
      <c r="F621" s="39">
        <v>44251</v>
      </c>
      <c r="G621" s="24">
        <v>23949000</v>
      </c>
      <c r="H621" s="23">
        <v>5.0000000000000001E-3</v>
      </c>
      <c r="I621" s="39">
        <v>44440</v>
      </c>
      <c r="J621" s="39">
        <v>44469</v>
      </c>
      <c r="K621" s="24">
        <v>30</v>
      </c>
      <c r="L621" s="24">
        <v>9842</v>
      </c>
      <c r="M621" s="24">
        <v>23949000</v>
      </c>
      <c r="N621" s="39">
        <v>46076</v>
      </c>
    </row>
    <row r="622" spans="1:14" s="5" customFormat="1" outlineLevel="2">
      <c r="A622" s="39" t="s">
        <v>239</v>
      </c>
      <c r="B622" s="40" t="s">
        <v>51</v>
      </c>
      <c r="C622" s="41" t="s">
        <v>66</v>
      </c>
      <c r="D622" s="40" t="s">
        <v>67</v>
      </c>
      <c r="E622" s="24">
        <v>40000000</v>
      </c>
      <c r="F622" s="39">
        <v>44235</v>
      </c>
      <c r="G622" s="24">
        <v>40000000</v>
      </c>
      <c r="H622" s="23">
        <v>5.0000000000000001E-3</v>
      </c>
      <c r="I622" s="39">
        <v>44440</v>
      </c>
      <c r="J622" s="39">
        <v>44469</v>
      </c>
      <c r="K622" s="24">
        <v>30</v>
      </c>
      <c r="L622" s="24">
        <v>16438</v>
      </c>
      <c r="M622" s="24">
        <v>40000000</v>
      </c>
      <c r="N622" s="39">
        <v>46060</v>
      </c>
    </row>
    <row r="623" spans="1:14" s="5" customFormat="1" outlineLevel="2">
      <c r="A623" s="39" t="s">
        <v>239</v>
      </c>
      <c r="B623" s="40" t="s">
        <v>52</v>
      </c>
      <c r="C623" s="41" t="s">
        <v>244</v>
      </c>
      <c r="D623" s="40" t="s">
        <v>245</v>
      </c>
      <c r="E623" s="24">
        <v>64000000</v>
      </c>
      <c r="F623" s="39">
        <v>44228</v>
      </c>
      <c r="G623" s="24">
        <v>64000000</v>
      </c>
      <c r="H623" s="23">
        <v>5.0000000000000001E-3</v>
      </c>
      <c r="I623" s="39">
        <v>44440</v>
      </c>
      <c r="J623" s="39">
        <v>44469</v>
      </c>
      <c r="K623" s="24">
        <v>30</v>
      </c>
      <c r="L623" s="24">
        <v>26301</v>
      </c>
      <c r="M623" s="24">
        <v>64000000</v>
      </c>
      <c r="N623" s="39">
        <v>46053</v>
      </c>
    </row>
    <row r="624" spans="1:14" s="5" customFormat="1" outlineLevel="2">
      <c r="A624" s="39" t="s">
        <v>239</v>
      </c>
      <c r="B624" s="40" t="s">
        <v>53</v>
      </c>
      <c r="C624" s="41" t="s">
        <v>246</v>
      </c>
      <c r="D624" s="40" t="s">
        <v>247</v>
      </c>
      <c r="E624" s="24">
        <v>100000000</v>
      </c>
      <c r="F624" s="39">
        <v>44251</v>
      </c>
      <c r="G624" s="24">
        <v>100000000</v>
      </c>
      <c r="H624" s="23">
        <v>5.0000000000000001E-3</v>
      </c>
      <c r="I624" s="39">
        <v>44440</v>
      </c>
      <c r="J624" s="39">
        <v>44469</v>
      </c>
      <c r="K624" s="24">
        <v>30</v>
      </c>
      <c r="L624" s="24">
        <v>41096</v>
      </c>
      <c r="M624" s="24">
        <v>100000000</v>
      </c>
      <c r="N624" s="39">
        <v>46076</v>
      </c>
    </row>
    <row r="625" spans="1:14" s="5" customFormat="1" outlineLevel="2">
      <c r="A625" s="39" t="s">
        <v>239</v>
      </c>
      <c r="B625" s="40" t="s">
        <v>54</v>
      </c>
      <c r="C625" s="41" t="s">
        <v>248</v>
      </c>
      <c r="D625" s="40" t="s">
        <v>249</v>
      </c>
      <c r="E625" s="24">
        <v>47470000</v>
      </c>
      <c r="F625" s="39">
        <v>44013</v>
      </c>
      <c r="G625" s="24">
        <v>47470000</v>
      </c>
      <c r="H625" s="23">
        <v>5.0000000000000001E-3</v>
      </c>
      <c r="I625" s="39">
        <v>44440</v>
      </c>
      <c r="J625" s="39">
        <v>44469</v>
      </c>
      <c r="K625" s="24">
        <v>30</v>
      </c>
      <c r="L625" s="24">
        <v>19508</v>
      </c>
      <c r="M625" s="24">
        <v>47470000</v>
      </c>
      <c r="N625" s="39">
        <v>45838</v>
      </c>
    </row>
    <row r="626" spans="1:14" s="5" customFormat="1" outlineLevel="2">
      <c r="A626" s="39" t="s">
        <v>239</v>
      </c>
      <c r="B626" s="40" t="s">
        <v>57</v>
      </c>
      <c r="C626" s="41" t="s">
        <v>246</v>
      </c>
      <c r="D626" s="40" t="s">
        <v>247</v>
      </c>
      <c r="E626" s="24">
        <v>93000000</v>
      </c>
      <c r="F626" s="39">
        <v>44251</v>
      </c>
      <c r="G626" s="24">
        <v>93000000</v>
      </c>
      <c r="H626" s="23">
        <v>5.0000000000000001E-3</v>
      </c>
      <c r="I626" s="39">
        <v>44440</v>
      </c>
      <c r="J626" s="39">
        <v>44469</v>
      </c>
      <c r="K626" s="24">
        <v>30</v>
      </c>
      <c r="L626" s="24">
        <v>38219</v>
      </c>
      <c r="M626" s="24">
        <v>93000000</v>
      </c>
      <c r="N626" s="39">
        <v>46076</v>
      </c>
    </row>
    <row r="627" spans="1:14" s="5" customFormat="1" outlineLevel="2">
      <c r="A627" s="39" t="s">
        <v>239</v>
      </c>
      <c r="B627" s="40" t="s">
        <v>99</v>
      </c>
      <c r="C627" s="41" t="s">
        <v>95</v>
      </c>
      <c r="D627" s="40" t="s">
        <v>96</v>
      </c>
      <c r="E627" s="24">
        <v>4840000</v>
      </c>
      <c r="F627" s="39">
        <v>44235</v>
      </c>
      <c r="G627" s="24">
        <v>4840000</v>
      </c>
      <c r="H627" s="23">
        <v>5.0000000000000001E-3</v>
      </c>
      <c r="I627" s="39">
        <v>44440</v>
      </c>
      <c r="J627" s="39">
        <v>44469</v>
      </c>
      <c r="K627" s="24">
        <v>30</v>
      </c>
      <c r="L627" s="24">
        <v>1989</v>
      </c>
      <c r="M627" s="24">
        <v>4840000</v>
      </c>
      <c r="N627" s="39">
        <v>46060</v>
      </c>
    </row>
    <row r="628" spans="1:14" s="5" customFormat="1" outlineLevel="2">
      <c r="A628" s="39" t="s">
        <v>239</v>
      </c>
      <c r="B628" s="40" t="s">
        <v>100</v>
      </c>
      <c r="C628" s="41" t="s">
        <v>130</v>
      </c>
      <c r="D628" s="40" t="s">
        <v>131</v>
      </c>
      <c r="E628" s="24">
        <v>10000000</v>
      </c>
      <c r="F628" s="39">
        <v>44284</v>
      </c>
      <c r="G628" s="24">
        <v>5000000</v>
      </c>
      <c r="H628" s="23">
        <v>5.0000000000000001E-3</v>
      </c>
      <c r="I628" s="39">
        <v>44440</v>
      </c>
      <c r="J628" s="39">
        <v>44469</v>
      </c>
      <c r="K628" s="24">
        <v>30</v>
      </c>
      <c r="L628" s="24">
        <v>2055</v>
      </c>
      <c r="M628" s="24">
        <v>5000000</v>
      </c>
      <c r="N628" s="39">
        <v>46109</v>
      </c>
    </row>
    <row r="629" spans="1:14" s="5" customFormat="1" outlineLevel="2">
      <c r="A629" s="39" t="s">
        <v>239</v>
      </c>
      <c r="B629" s="40" t="s">
        <v>101</v>
      </c>
      <c r="C629" s="41" t="s">
        <v>244</v>
      </c>
      <c r="D629" s="40" t="s">
        <v>245</v>
      </c>
      <c r="E629" s="24">
        <v>70000000</v>
      </c>
      <c r="F629" s="39">
        <v>44260</v>
      </c>
      <c r="G629" s="24">
        <v>70000000</v>
      </c>
      <c r="H629" s="23">
        <v>5.0000000000000001E-3</v>
      </c>
      <c r="I629" s="39">
        <v>44440</v>
      </c>
      <c r="J629" s="39">
        <v>44469</v>
      </c>
      <c r="K629" s="24">
        <v>30</v>
      </c>
      <c r="L629" s="24">
        <v>28767</v>
      </c>
      <c r="M629" s="24">
        <v>70000000</v>
      </c>
      <c r="N629" s="39">
        <v>46085</v>
      </c>
    </row>
    <row r="630" spans="1:14" s="5" customFormat="1" outlineLevel="2">
      <c r="A630" s="39" t="s">
        <v>239</v>
      </c>
      <c r="B630" s="40" t="s">
        <v>102</v>
      </c>
      <c r="C630" s="41" t="s">
        <v>125</v>
      </c>
      <c r="D630" s="40" t="s">
        <v>126</v>
      </c>
      <c r="E630" s="24">
        <v>5000000</v>
      </c>
      <c r="F630" s="39">
        <v>44259</v>
      </c>
      <c r="G630" s="24">
        <v>5000000</v>
      </c>
      <c r="H630" s="23">
        <v>5.0000000000000001E-3</v>
      </c>
      <c r="I630" s="39">
        <v>44440</v>
      </c>
      <c r="J630" s="39">
        <v>44469</v>
      </c>
      <c r="K630" s="24">
        <v>30</v>
      </c>
      <c r="L630" s="24">
        <v>2055</v>
      </c>
      <c r="M630" s="24">
        <v>5000000</v>
      </c>
      <c r="N630" s="39">
        <v>46084</v>
      </c>
    </row>
    <row r="631" spans="1:14" s="5" customFormat="1" outlineLevel="2">
      <c r="A631" s="39" t="s">
        <v>239</v>
      </c>
      <c r="B631" s="40" t="s">
        <v>103</v>
      </c>
      <c r="C631" s="41" t="s">
        <v>66</v>
      </c>
      <c r="D631" s="40" t="s">
        <v>67</v>
      </c>
      <c r="E631" s="24">
        <v>49780000</v>
      </c>
      <c r="F631" s="39">
        <v>44306</v>
      </c>
      <c r="G631" s="24">
        <v>49780000</v>
      </c>
      <c r="H631" s="23">
        <v>5.0000000000000001E-3</v>
      </c>
      <c r="I631" s="39">
        <v>44440</v>
      </c>
      <c r="J631" s="39">
        <v>44469</v>
      </c>
      <c r="K631" s="24">
        <v>30</v>
      </c>
      <c r="L631" s="24">
        <v>20458</v>
      </c>
      <c r="M631" s="24">
        <v>49780000</v>
      </c>
      <c r="N631" s="39">
        <v>46131</v>
      </c>
    </row>
    <row r="632" spans="1:14" s="5" customFormat="1" outlineLevel="2">
      <c r="A632" s="39" t="s">
        <v>239</v>
      </c>
      <c r="B632" s="40" t="s">
        <v>104</v>
      </c>
      <c r="C632" s="41" t="s">
        <v>244</v>
      </c>
      <c r="D632" s="40" t="s">
        <v>245</v>
      </c>
      <c r="E632" s="24">
        <v>39000000</v>
      </c>
      <c r="F632" s="39">
        <v>44295</v>
      </c>
      <c r="G632" s="24">
        <v>39000000</v>
      </c>
      <c r="H632" s="23">
        <v>5.0000000000000001E-3</v>
      </c>
      <c r="I632" s="39">
        <v>44440</v>
      </c>
      <c r="J632" s="39">
        <v>44469</v>
      </c>
      <c r="K632" s="24">
        <v>30</v>
      </c>
      <c r="L632" s="24">
        <v>16027</v>
      </c>
      <c r="M632" s="24">
        <v>39000000</v>
      </c>
      <c r="N632" s="39">
        <v>46120</v>
      </c>
    </row>
    <row r="633" spans="1:14" s="5" customFormat="1" outlineLevel="2">
      <c r="A633" s="39" t="s">
        <v>239</v>
      </c>
      <c r="B633" s="40" t="s">
        <v>105</v>
      </c>
      <c r="C633" s="41" t="s">
        <v>95</v>
      </c>
      <c r="D633" s="40" t="s">
        <v>96</v>
      </c>
      <c r="E633" s="24">
        <v>2600000</v>
      </c>
      <c r="F633" s="39">
        <v>44314</v>
      </c>
      <c r="G633" s="24">
        <v>2600000</v>
      </c>
      <c r="H633" s="23">
        <v>5.0000000000000001E-3</v>
      </c>
      <c r="I633" s="39">
        <v>44440</v>
      </c>
      <c r="J633" s="39">
        <v>44469</v>
      </c>
      <c r="K633" s="24">
        <v>30</v>
      </c>
      <c r="L633" s="24">
        <v>1068</v>
      </c>
      <c r="M633" s="24">
        <v>2600000</v>
      </c>
      <c r="N633" s="39">
        <v>46139</v>
      </c>
    </row>
    <row r="634" spans="1:14" s="5" customFormat="1" outlineLevel="2">
      <c r="A634" s="39" t="s">
        <v>239</v>
      </c>
      <c r="B634" s="40" t="s">
        <v>106</v>
      </c>
      <c r="C634" s="41" t="s">
        <v>339</v>
      </c>
      <c r="D634" s="40" t="s">
        <v>338</v>
      </c>
      <c r="E634" s="24">
        <v>1000000</v>
      </c>
      <c r="F634" s="39">
        <v>44292</v>
      </c>
      <c r="G634" s="24">
        <v>1000000</v>
      </c>
      <c r="H634" s="23">
        <v>5.0000000000000001E-3</v>
      </c>
      <c r="I634" s="39">
        <v>44440</v>
      </c>
      <c r="J634" s="39">
        <v>44469</v>
      </c>
      <c r="K634" s="24">
        <v>30</v>
      </c>
      <c r="L634" s="24">
        <v>411</v>
      </c>
      <c r="M634" s="24">
        <v>1000000</v>
      </c>
      <c r="N634" s="39">
        <v>46117</v>
      </c>
    </row>
    <row r="635" spans="1:14" s="5" customFormat="1" outlineLevel="2">
      <c r="A635" s="39" t="s">
        <v>239</v>
      </c>
      <c r="B635" s="40" t="s">
        <v>59</v>
      </c>
      <c r="C635" s="41" t="s">
        <v>240</v>
      </c>
      <c r="D635" s="40" t="s">
        <v>241</v>
      </c>
      <c r="E635" s="24">
        <v>6665394</v>
      </c>
      <c r="F635" s="39">
        <v>44029</v>
      </c>
      <c r="G635" s="24">
        <v>6665394</v>
      </c>
      <c r="H635" s="23">
        <v>5.0000000000000001E-3</v>
      </c>
      <c r="I635" s="39">
        <v>44440</v>
      </c>
      <c r="J635" s="39">
        <v>44469</v>
      </c>
      <c r="K635" s="24">
        <v>30</v>
      </c>
      <c r="L635" s="24">
        <v>2739</v>
      </c>
      <c r="M635" s="24">
        <v>6665394</v>
      </c>
      <c r="N635" s="39">
        <v>45854</v>
      </c>
    </row>
    <row r="636" spans="1:14" s="5" customFormat="1" outlineLevel="2">
      <c r="A636" s="39" t="s">
        <v>239</v>
      </c>
      <c r="B636" s="40" t="s">
        <v>136</v>
      </c>
      <c r="C636" s="41" t="s">
        <v>345</v>
      </c>
      <c r="D636" s="40" t="s">
        <v>344</v>
      </c>
      <c r="E636" s="24">
        <v>10000000</v>
      </c>
      <c r="F636" s="39">
        <v>44315</v>
      </c>
      <c r="G636" s="24">
        <v>10000000</v>
      </c>
      <c r="H636" s="23">
        <v>3.0000000000000001E-3</v>
      </c>
      <c r="I636" s="39">
        <v>44440</v>
      </c>
      <c r="J636" s="39">
        <v>44469</v>
      </c>
      <c r="K636" s="24">
        <v>30</v>
      </c>
      <c r="L636" s="24">
        <v>2466</v>
      </c>
      <c r="M636" s="24">
        <v>10000000</v>
      </c>
      <c r="N636" s="39">
        <v>46140</v>
      </c>
    </row>
    <row r="637" spans="1:14" s="5" customFormat="1" outlineLevel="2">
      <c r="A637" s="39" t="s">
        <v>239</v>
      </c>
      <c r="B637" s="40" t="s">
        <v>137</v>
      </c>
      <c r="C637" s="41" t="s">
        <v>244</v>
      </c>
      <c r="D637" s="40" t="s">
        <v>245</v>
      </c>
      <c r="E637" s="24">
        <v>67000000</v>
      </c>
      <c r="F637" s="39">
        <v>44321</v>
      </c>
      <c r="G637" s="24">
        <v>67000000</v>
      </c>
      <c r="H637" s="23">
        <v>5.0000000000000001E-3</v>
      </c>
      <c r="I637" s="39">
        <v>44440</v>
      </c>
      <c r="J637" s="39">
        <v>44469</v>
      </c>
      <c r="K637" s="24">
        <v>30</v>
      </c>
      <c r="L637" s="24">
        <v>27534</v>
      </c>
      <c r="M637" s="24">
        <v>67000000</v>
      </c>
      <c r="N637" s="39">
        <v>46146</v>
      </c>
    </row>
    <row r="638" spans="1:14" s="5" customFormat="1" outlineLevel="2">
      <c r="A638" s="39" t="s">
        <v>239</v>
      </c>
      <c r="B638" s="40" t="s">
        <v>138</v>
      </c>
      <c r="C638" s="41" t="s">
        <v>232</v>
      </c>
      <c r="D638" s="40" t="s">
        <v>233</v>
      </c>
      <c r="E638" s="24">
        <v>287705120</v>
      </c>
      <c r="F638" s="39">
        <v>44327</v>
      </c>
      <c r="G638" s="24">
        <v>287705120</v>
      </c>
      <c r="H638" s="23">
        <v>5.0000000000000001E-3</v>
      </c>
      <c r="I638" s="39">
        <v>44440</v>
      </c>
      <c r="J638" s="39">
        <v>44469</v>
      </c>
      <c r="K638" s="24">
        <v>30</v>
      </c>
      <c r="L638" s="24">
        <v>118235</v>
      </c>
      <c r="M638" s="24">
        <v>287705120</v>
      </c>
      <c r="N638" s="39">
        <v>46152</v>
      </c>
    </row>
    <row r="639" spans="1:14" s="5" customFormat="1" outlineLevel="2">
      <c r="A639" s="39" t="s">
        <v>239</v>
      </c>
      <c r="B639" s="40" t="s">
        <v>139</v>
      </c>
      <c r="C639" s="41" t="s">
        <v>367</v>
      </c>
      <c r="D639" s="40" t="s">
        <v>366</v>
      </c>
      <c r="E639" s="24">
        <v>14000000</v>
      </c>
      <c r="F639" s="39">
        <v>44336</v>
      </c>
      <c r="G639" s="24">
        <v>14000000</v>
      </c>
      <c r="H639" s="23">
        <v>5.0000000000000001E-3</v>
      </c>
      <c r="I639" s="39">
        <v>44440</v>
      </c>
      <c r="J639" s="39">
        <v>44469</v>
      </c>
      <c r="K639" s="24">
        <v>30</v>
      </c>
      <c r="L639" s="24">
        <v>5753</v>
      </c>
      <c r="M639" s="24">
        <v>14000000</v>
      </c>
      <c r="N639" s="39">
        <v>46161</v>
      </c>
    </row>
    <row r="640" spans="1:14" s="5" customFormat="1" outlineLevel="2">
      <c r="A640" s="39" t="s">
        <v>239</v>
      </c>
      <c r="B640" s="40" t="s">
        <v>140</v>
      </c>
      <c r="C640" s="41" t="s">
        <v>244</v>
      </c>
      <c r="D640" s="40" t="s">
        <v>245</v>
      </c>
      <c r="E640" s="24">
        <v>64000000</v>
      </c>
      <c r="F640" s="39">
        <v>44354</v>
      </c>
      <c r="G640" s="24">
        <v>64000000</v>
      </c>
      <c r="H640" s="23">
        <v>5.0000000000000001E-3</v>
      </c>
      <c r="I640" s="39">
        <v>44440</v>
      </c>
      <c r="J640" s="39">
        <v>44469</v>
      </c>
      <c r="K640" s="24">
        <v>30</v>
      </c>
      <c r="L640" s="24">
        <v>26301</v>
      </c>
      <c r="M640" s="24">
        <v>64000000</v>
      </c>
      <c r="N640" s="39">
        <v>46179</v>
      </c>
    </row>
    <row r="641" spans="1:14" s="5" customFormat="1" outlineLevel="2">
      <c r="A641" s="39" t="s">
        <v>239</v>
      </c>
      <c r="B641" s="40" t="s">
        <v>169</v>
      </c>
      <c r="C641" s="41" t="s">
        <v>250</v>
      </c>
      <c r="D641" s="40" t="s">
        <v>251</v>
      </c>
      <c r="E641" s="24">
        <v>33500000</v>
      </c>
      <c r="F641" s="39">
        <v>44362</v>
      </c>
      <c r="G641" s="24">
        <v>32281818</v>
      </c>
      <c r="H641" s="23">
        <v>5.0000000000000001E-3</v>
      </c>
      <c r="I641" s="39">
        <v>44440</v>
      </c>
      <c r="J641" s="39">
        <v>44453</v>
      </c>
      <c r="K641" s="24">
        <v>14</v>
      </c>
      <c r="L641" s="24">
        <v>6191</v>
      </c>
      <c r="M641" s="24">
        <v>31672727</v>
      </c>
      <c r="N641" s="39">
        <v>46187</v>
      </c>
    </row>
    <row r="642" spans="1:14" s="5" customFormat="1" outlineLevel="2">
      <c r="A642" s="39" t="s">
        <v>239</v>
      </c>
      <c r="B642" s="40" t="s">
        <v>169</v>
      </c>
      <c r="C642" s="41" t="s">
        <v>250</v>
      </c>
      <c r="D642" s="40"/>
      <c r="E642" s="24"/>
      <c r="F642" s="39"/>
      <c r="G642" s="24">
        <v>31672727</v>
      </c>
      <c r="H642" s="23">
        <v>5.0000000000000001E-3</v>
      </c>
      <c r="I642" s="39">
        <v>44454</v>
      </c>
      <c r="J642" s="39">
        <v>44469</v>
      </c>
      <c r="K642" s="24">
        <v>16</v>
      </c>
      <c r="L642" s="24">
        <v>6942</v>
      </c>
      <c r="M642" s="24"/>
      <c r="N642" s="39">
        <v>46187</v>
      </c>
    </row>
    <row r="643" spans="1:14" s="5" customFormat="1" outlineLevel="2">
      <c r="A643" s="39" t="s">
        <v>239</v>
      </c>
      <c r="B643" s="40" t="s">
        <v>170</v>
      </c>
      <c r="C643" s="41" t="s">
        <v>250</v>
      </c>
      <c r="D643" s="40" t="s">
        <v>251</v>
      </c>
      <c r="E643" s="24">
        <v>7400000</v>
      </c>
      <c r="F643" s="39">
        <v>44362</v>
      </c>
      <c r="G643" s="24">
        <v>7130908</v>
      </c>
      <c r="H643" s="23">
        <v>5.0000000000000001E-3</v>
      </c>
      <c r="I643" s="39">
        <v>44440</v>
      </c>
      <c r="J643" s="39">
        <v>44453</v>
      </c>
      <c r="K643" s="24">
        <v>14</v>
      </c>
      <c r="L643" s="24">
        <v>1368</v>
      </c>
      <c r="M643" s="24">
        <v>6996362</v>
      </c>
      <c r="N643" s="39">
        <v>46187</v>
      </c>
    </row>
    <row r="644" spans="1:14" s="5" customFormat="1" outlineLevel="2">
      <c r="A644" s="39" t="s">
        <v>239</v>
      </c>
      <c r="B644" s="40" t="s">
        <v>170</v>
      </c>
      <c r="C644" s="41" t="s">
        <v>250</v>
      </c>
      <c r="D644" s="40"/>
      <c r="E644" s="24"/>
      <c r="F644" s="39"/>
      <c r="G644" s="24">
        <v>6996362</v>
      </c>
      <c r="H644" s="23">
        <v>5.0000000000000001E-3</v>
      </c>
      <c r="I644" s="39">
        <v>44454</v>
      </c>
      <c r="J644" s="39">
        <v>44469</v>
      </c>
      <c r="K644" s="24">
        <v>16</v>
      </c>
      <c r="L644" s="24">
        <v>1533</v>
      </c>
      <c r="M644" s="24"/>
      <c r="N644" s="39">
        <v>46187</v>
      </c>
    </row>
    <row r="645" spans="1:14" s="5" customFormat="1" outlineLevel="2">
      <c r="A645" s="39" t="s">
        <v>239</v>
      </c>
      <c r="B645" s="40" t="s">
        <v>171</v>
      </c>
      <c r="C645" s="41" t="s">
        <v>66</v>
      </c>
      <c r="D645" s="40" t="s">
        <v>67</v>
      </c>
      <c r="E645" s="24">
        <v>35910000</v>
      </c>
      <c r="F645" s="39">
        <v>44400</v>
      </c>
      <c r="G645" s="24">
        <v>35910000</v>
      </c>
      <c r="H645" s="23">
        <v>5.0000000000000001E-3</v>
      </c>
      <c r="I645" s="39">
        <v>44440</v>
      </c>
      <c r="J645" s="39">
        <v>44469</v>
      </c>
      <c r="K645" s="24">
        <v>30</v>
      </c>
      <c r="L645" s="24">
        <v>14758</v>
      </c>
      <c r="M645" s="24">
        <v>35910000</v>
      </c>
      <c r="N645" s="39">
        <v>46225</v>
      </c>
    </row>
    <row r="646" spans="1:14" s="5" customFormat="1" outlineLevel="2">
      <c r="A646" s="39" t="s">
        <v>239</v>
      </c>
      <c r="B646" s="40" t="s">
        <v>172</v>
      </c>
      <c r="C646" s="41" t="s">
        <v>367</v>
      </c>
      <c r="D646" s="40" t="s">
        <v>366</v>
      </c>
      <c r="E646" s="24">
        <v>6552000</v>
      </c>
      <c r="F646" s="39">
        <v>44386</v>
      </c>
      <c r="G646" s="24">
        <v>6552000</v>
      </c>
      <c r="H646" s="23">
        <v>5.0000000000000001E-3</v>
      </c>
      <c r="I646" s="39">
        <v>44440</v>
      </c>
      <c r="J646" s="39">
        <v>44469</v>
      </c>
      <c r="K646" s="24">
        <v>30</v>
      </c>
      <c r="L646" s="24">
        <v>2693</v>
      </c>
      <c r="M646" s="24">
        <v>6552000</v>
      </c>
      <c r="N646" s="39">
        <v>46211</v>
      </c>
    </row>
    <row r="647" spans="1:14" s="5" customFormat="1" outlineLevel="2">
      <c r="A647" s="39" t="s">
        <v>239</v>
      </c>
      <c r="B647" s="40" t="s">
        <v>173</v>
      </c>
      <c r="C647" s="41" t="s">
        <v>367</v>
      </c>
      <c r="D647" s="40" t="s">
        <v>366</v>
      </c>
      <c r="E647" s="24">
        <v>7062000</v>
      </c>
      <c r="F647" s="39">
        <v>44405</v>
      </c>
      <c r="G647" s="24">
        <v>7062000</v>
      </c>
      <c r="H647" s="23">
        <v>5.0000000000000001E-3</v>
      </c>
      <c r="I647" s="39">
        <v>44440</v>
      </c>
      <c r="J647" s="39">
        <v>44469</v>
      </c>
      <c r="K647" s="24">
        <v>30</v>
      </c>
      <c r="L647" s="24">
        <v>2902</v>
      </c>
      <c r="M647" s="24">
        <v>7062000</v>
      </c>
      <c r="N647" s="39">
        <v>46230</v>
      </c>
    </row>
    <row r="648" spans="1:14" s="5" customFormat="1" outlineLevel="2">
      <c r="A648" s="39" t="s">
        <v>239</v>
      </c>
      <c r="B648" s="40" t="s">
        <v>62</v>
      </c>
      <c r="C648" s="41" t="s">
        <v>240</v>
      </c>
      <c r="D648" s="40" t="s">
        <v>241</v>
      </c>
      <c r="E648" s="24">
        <v>12334606</v>
      </c>
      <c r="F648" s="39">
        <v>44029</v>
      </c>
      <c r="G648" s="24">
        <v>12334606</v>
      </c>
      <c r="H648" s="23">
        <v>5.0000000000000001E-3</v>
      </c>
      <c r="I648" s="39">
        <v>44440</v>
      </c>
      <c r="J648" s="39">
        <v>44469</v>
      </c>
      <c r="K648" s="24">
        <v>30</v>
      </c>
      <c r="L648" s="24">
        <v>5069</v>
      </c>
      <c r="M648" s="24">
        <v>12334606</v>
      </c>
      <c r="N648" s="39">
        <v>45854</v>
      </c>
    </row>
    <row r="649" spans="1:14" s="5" customFormat="1" outlineLevel="2">
      <c r="A649" s="39" t="s">
        <v>239</v>
      </c>
      <c r="B649" s="40" t="s">
        <v>174</v>
      </c>
      <c r="C649" s="41" t="s">
        <v>367</v>
      </c>
      <c r="D649" s="40" t="s">
        <v>366</v>
      </c>
      <c r="E649" s="24">
        <v>8000000</v>
      </c>
      <c r="F649" s="39">
        <v>44428</v>
      </c>
      <c r="G649" s="24">
        <v>8000000</v>
      </c>
      <c r="H649" s="23">
        <v>5.0000000000000001E-3</v>
      </c>
      <c r="I649" s="39">
        <v>44440</v>
      </c>
      <c r="J649" s="39">
        <v>44469</v>
      </c>
      <c r="K649" s="24">
        <v>30</v>
      </c>
      <c r="L649" s="24">
        <v>3288</v>
      </c>
      <c r="M649" s="24">
        <v>8000000</v>
      </c>
      <c r="N649" s="39">
        <v>46253</v>
      </c>
    </row>
    <row r="650" spans="1:14" s="5" customFormat="1" outlineLevel="2">
      <c r="A650" s="39" t="s">
        <v>239</v>
      </c>
      <c r="B650" s="40" t="s">
        <v>175</v>
      </c>
      <c r="C650" s="41" t="s">
        <v>244</v>
      </c>
      <c r="D650" s="40" t="s">
        <v>245</v>
      </c>
      <c r="E650" s="24">
        <v>100000000</v>
      </c>
      <c r="F650" s="39">
        <v>44468</v>
      </c>
      <c r="G650" s="24">
        <v>100000000</v>
      </c>
      <c r="H650" s="23">
        <v>5.0000000000000001E-3</v>
      </c>
      <c r="I650" s="39">
        <v>44468</v>
      </c>
      <c r="J650" s="39">
        <v>44469</v>
      </c>
      <c r="K650" s="24">
        <v>2</v>
      </c>
      <c r="L650" s="24">
        <v>2740</v>
      </c>
      <c r="M650" s="24">
        <v>100000000</v>
      </c>
      <c r="N650" s="39">
        <v>46293</v>
      </c>
    </row>
    <row r="651" spans="1:14" s="5" customFormat="1" outlineLevel="2">
      <c r="A651" s="39" t="s">
        <v>239</v>
      </c>
      <c r="B651" s="40" t="s">
        <v>176</v>
      </c>
      <c r="C651" s="41" t="s">
        <v>339</v>
      </c>
      <c r="D651" s="40" t="s">
        <v>338</v>
      </c>
      <c r="E651" s="24">
        <v>50000000</v>
      </c>
      <c r="F651" s="39">
        <v>44469</v>
      </c>
      <c r="G651" s="24">
        <v>50000000</v>
      </c>
      <c r="H651" s="23">
        <v>5.0000000000000001E-3</v>
      </c>
      <c r="I651" s="39">
        <v>44469</v>
      </c>
      <c r="J651" s="39">
        <v>44469</v>
      </c>
      <c r="K651" s="24">
        <v>1</v>
      </c>
      <c r="L651" s="24">
        <v>685</v>
      </c>
      <c r="M651" s="24">
        <v>50000000</v>
      </c>
      <c r="N651" s="39">
        <v>46294</v>
      </c>
    </row>
    <row r="652" spans="1:14" s="5" customFormat="1" outlineLevel="2">
      <c r="A652" s="39" t="s">
        <v>239</v>
      </c>
      <c r="B652" s="40" t="s">
        <v>177</v>
      </c>
      <c r="C652" s="41" t="s">
        <v>412</v>
      </c>
      <c r="D652" s="40" t="s">
        <v>411</v>
      </c>
      <c r="E652" s="24">
        <v>7700000</v>
      </c>
      <c r="F652" s="39">
        <v>44453</v>
      </c>
      <c r="G652" s="24">
        <v>7700000</v>
      </c>
      <c r="H652" s="23">
        <v>5.0000000000000001E-3</v>
      </c>
      <c r="I652" s="39">
        <v>44453</v>
      </c>
      <c r="J652" s="39">
        <v>44469</v>
      </c>
      <c r="K652" s="24">
        <v>17</v>
      </c>
      <c r="L652" s="24">
        <v>1793</v>
      </c>
      <c r="M652" s="24">
        <v>7700000</v>
      </c>
      <c r="N652" s="39">
        <v>45548</v>
      </c>
    </row>
    <row r="653" spans="1:14" s="5" customFormat="1" outlineLevel="2">
      <c r="A653" s="39" t="s">
        <v>239</v>
      </c>
      <c r="B653" s="40" t="s">
        <v>178</v>
      </c>
      <c r="C653" s="41" t="s">
        <v>412</v>
      </c>
      <c r="D653" s="40" t="s">
        <v>411</v>
      </c>
      <c r="E653" s="24">
        <v>2800000</v>
      </c>
      <c r="F653" s="39">
        <v>44454</v>
      </c>
      <c r="G653" s="24">
        <v>2800000</v>
      </c>
      <c r="H653" s="23">
        <v>5.0000000000000001E-3</v>
      </c>
      <c r="I653" s="39">
        <v>44454</v>
      </c>
      <c r="J653" s="39">
        <v>44469</v>
      </c>
      <c r="K653" s="24">
        <v>16</v>
      </c>
      <c r="L653" s="24">
        <v>614</v>
      </c>
      <c r="M653" s="24">
        <v>2800000</v>
      </c>
      <c r="N653" s="39">
        <v>45549</v>
      </c>
    </row>
    <row r="654" spans="1:14" s="5" customFormat="1" outlineLevel="2">
      <c r="A654" s="39" t="s">
        <v>239</v>
      </c>
      <c r="B654" s="40" t="s">
        <v>179</v>
      </c>
      <c r="C654" s="41" t="s">
        <v>412</v>
      </c>
      <c r="D654" s="40" t="s">
        <v>411</v>
      </c>
      <c r="E654" s="24">
        <v>1700000</v>
      </c>
      <c r="F654" s="39">
        <v>44453</v>
      </c>
      <c r="G654" s="24">
        <v>1700000</v>
      </c>
      <c r="H654" s="23">
        <v>5.0000000000000001E-3</v>
      </c>
      <c r="I654" s="39">
        <v>44453</v>
      </c>
      <c r="J654" s="39">
        <v>44469</v>
      </c>
      <c r="K654" s="24">
        <v>17</v>
      </c>
      <c r="L654" s="24">
        <v>396</v>
      </c>
      <c r="M654" s="24">
        <v>1700000</v>
      </c>
      <c r="N654" s="39">
        <v>45548</v>
      </c>
    </row>
    <row r="655" spans="1:14" s="5" customFormat="1" outlineLevel="2">
      <c r="A655" s="39" t="s">
        <v>239</v>
      </c>
      <c r="B655" s="40" t="s">
        <v>180</v>
      </c>
      <c r="C655" s="41" t="s">
        <v>412</v>
      </c>
      <c r="D655" s="40" t="s">
        <v>411</v>
      </c>
      <c r="E655" s="24">
        <v>400000</v>
      </c>
      <c r="F655" s="39">
        <v>44453</v>
      </c>
      <c r="G655" s="24">
        <v>400000</v>
      </c>
      <c r="H655" s="23">
        <v>5.0000000000000001E-3</v>
      </c>
      <c r="I655" s="39">
        <v>44453</v>
      </c>
      <c r="J655" s="39">
        <v>44469</v>
      </c>
      <c r="K655" s="24">
        <v>17</v>
      </c>
      <c r="L655" s="24">
        <v>93</v>
      </c>
      <c r="M655" s="24">
        <v>400000</v>
      </c>
      <c r="N655" s="39">
        <v>45548</v>
      </c>
    </row>
    <row r="656" spans="1:14" s="5" customFormat="1" outlineLevel="2">
      <c r="A656" s="39" t="s">
        <v>239</v>
      </c>
      <c r="B656" s="40" t="s">
        <v>181</v>
      </c>
      <c r="C656" s="41" t="s">
        <v>280</v>
      </c>
      <c r="D656" s="40" t="s">
        <v>281</v>
      </c>
      <c r="E656" s="24">
        <v>300000000</v>
      </c>
      <c r="F656" s="39">
        <v>44468</v>
      </c>
      <c r="G656" s="24">
        <v>300000000</v>
      </c>
      <c r="H656" s="23">
        <v>3.0000000000000001E-3</v>
      </c>
      <c r="I656" s="39">
        <v>44468</v>
      </c>
      <c r="J656" s="39">
        <v>44469</v>
      </c>
      <c r="K656" s="24">
        <v>2</v>
      </c>
      <c r="L656" s="24">
        <v>4932</v>
      </c>
      <c r="M656" s="24">
        <v>300000000</v>
      </c>
      <c r="N656" s="39">
        <v>45563</v>
      </c>
    </row>
    <row r="657" spans="1:14" s="5" customFormat="1" outlineLevel="2">
      <c r="A657" s="39" t="s">
        <v>239</v>
      </c>
      <c r="B657" s="40" t="s">
        <v>63</v>
      </c>
      <c r="C657" s="41" t="s">
        <v>252</v>
      </c>
      <c r="D657" s="40" t="s">
        <v>253</v>
      </c>
      <c r="E657" s="24">
        <v>131500000</v>
      </c>
      <c r="F657" s="39">
        <v>44089</v>
      </c>
      <c r="G657" s="24">
        <v>131500000</v>
      </c>
      <c r="H657" s="23">
        <v>5.0000000000000001E-3</v>
      </c>
      <c r="I657" s="39">
        <v>44440</v>
      </c>
      <c r="J657" s="39">
        <v>44469</v>
      </c>
      <c r="K657" s="24">
        <v>30</v>
      </c>
      <c r="L657" s="24">
        <v>54041</v>
      </c>
      <c r="M657" s="24">
        <v>131500000</v>
      </c>
      <c r="N657" s="39">
        <v>45914</v>
      </c>
    </row>
    <row r="658" spans="1:14" s="5" customFormat="1" outlineLevel="2">
      <c r="A658" s="39" t="s">
        <v>239</v>
      </c>
      <c r="B658" s="40" t="s">
        <v>64</v>
      </c>
      <c r="C658" s="41" t="s">
        <v>109</v>
      </c>
      <c r="D658" s="40" t="s">
        <v>110</v>
      </c>
      <c r="E658" s="24">
        <v>10400000</v>
      </c>
      <c r="F658" s="39">
        <v>44096</v>
      </c>
      <c r="G658" s="24">
        <v>10400000</v>
      </c>
      <c r="H658" s="23">
        <v>5.0000000000000001E-3</v>
      </c>
      <c r="I658" s="39">
        <v>44440</v>
      </c>
      <c r="J658" s="39">
        <v>44469</v>
      </c>
      <c r="K658" s="24">
        <v>30</v>
      </c>
      <c r="L658" s="24">
        <v>4274</v>
      </c>
      <c r="M658" s="24">
        <v>10400000</v>
      </c>
      <c r="N658" s="39">
        <v>45921</v>
      </c>
    </row>
    <row r="659" spans="1:14" s="5" customFormat="1" outlineLevel="2">
      <c r="A659" s="39" t="s">
        <v>239</v>
      </c>
      <c r="B659" s="40" t="s">
        <v>65</v>
      </c>
      <c r="C659" s="41" t="s">
        <v>242</v>
      </c>
      <c r="D659" s="40" t="s">
        <v>243</v>
      </c>
      <c r="E659" s="24">
        <v>10000000</v>
      </c>
      <c r="F659" s="39">
        <v>44139</v>
      </c>
      <c r="G659" s="24">
        <v>10000000</v>
      </c>
      <c r="H659" s="23">
        <v>5.0000000000000001E-3</v>
      </c>
      <c r="I659" s="39">
        <v>44440</v>
      </c>
      <c r="J659" s="39">
        <v>44469</v>
      </c>
      <c r="K659" s="24">
        <v>30</v>
      </c>
      <c r="L659" s="24">
        <v>4110</v>
      </c>
      <c r="M659" s="24">
        <v>10000000</v>
      </c>
      <c r="N659" s="39">
        <v>45964</v>
      </c>
    </row>
    <row r="660" spans="1:14" s="5" customFormat="1" outlineLevel="2">
      <c r="A660" s="39" t="s">
        <v>239</v>
      </c>
      <c r="B660" s="40" t="s">
        <v>68</v>
      </c>
      <c r="C660" s="41" t="s">
        <v>242</v>
      </c>
      <c r="D660" s="40" t="s">
        <v>243</v>
      </c>
      <c r="E660" s="24">
        <v>10000000</v>
      </c>
      <c r="F660" s="39">
        <v>44152</v>
      </c>
      <c r="G660" s="24">
        <v>10000000</v>
      </c>
      <c r="H660" s="23">
        <v>5.0000000000000001E-3</v>
      </c>
      <c r="I660" s="39">
        <v>44440</v>
      </c>
      <c r="J660" s="39">
        <v>44469</v>
      </c>
      <c r="K660" s="24">
        <v>30</v>
      </c>
      <c r="L660" s="24">
        <v>4110</v>
      </c>
      <c r="M660" s="24">
        <v>10000000</v>
      </c>
      <c r="N660" s="39">
        <v>45977</v>
      </c>
    </row>
    <row r="661" spans="1:14" s="5" customFormat="1" outlineLevel="1">
      <c r="A661" s="42" t="s">
        <v>254</v>
      </c>
      <c r="B661" s="43"/>
      <c r="C661" s="44"/>
      <c r="D661" s="43"/>
      <c r="E661" s="45">
        <v>2192958120</v>
      </c>
      <c r="F661" s="46"/>
      <c r="G661" s="45"/>
      <c r="H661" s="47"/>
      <c r="I661" s="46"/>
      <c r="J661" s="46"/>
      <c r="K661" s="45"/>
      <c r="L661" s="45">
        <v>716472</v>
      </c>
      <c r="M661" s="45">
        <v>2182067209</v>
      </c>
      <c r="N661" s="46"/>
    </row>
    <row r="662" spans="1:14" s="5" customFormat="1" outlineLevel="2">
      <c r="A662" s="39" t="s">
        <v>255</v>
      </c>
      <c r="B662" s="40" t="s">
        <v>16</v>
      </c>
      <c r="C662" s="41" t="s">
        <v>20</v>
      </c>
      <c r="D662" s="40" t="s">
        <v>21</v>
      </c>
      <c r="E662" s="24">
        <v>330000000</v>
      </c>
      <c r="F662" s="39">
        <v>43915</v>
      </c>
      <c r="G662" s="24">
        <v>330000000</v>
      </c>
      <c r="H662" s="23">
        <v>5.0000000000000001E-3</v>
      </c>
      <c r="I662" s="39">
        <v>44440</v>
      </c>
      <c r="J662" s="39">
        <v>44469</v>
      </c>
      <c r="K662" s="24">
        <v>30</v>
      </c>
      <c r="L662" s="24">
        <v>135616</v>
      </c>
      <c r="M662" s="24">
        <v>330000000</v>
      </c>
      <c r="N662" s="39">
        <v>45740</v>
      </c>
    </row>
    <row r="663" spans="1:14" s="5" customFormat="1" outlineLevel="2">
      <c r="A663" s="39" t="s">
        <v>255</v>
      </c>
      <c r="B663" s="40" t="s">
        <v>39</v>
      </c>
      <c r="C663" s="41" t="s">
        <v>20</v>
      </c>
      <c r="D663" s="40" t="s">
        <v>21</v>
      </c>
      <c r="E663" s="24">
        <v>93600000</v>
      </c>
      <c r="F663" s="39">
        <v>43955</v>
      </c>
      <c r="G663" s="24">
        <v>93600000</v>
      </c>
      <c r="H663" s="23">
        <v>5.0000000000000001E-3</v>
      </c>
      <c r="I663" s="39">
        <v>44440</v>
      </c>
      <c r="J663" s="39">
        <v>44469</v>
      </c>
      <c r="K663" s="24">
        <v>30</v>
      </c>
      <c r="L663" s="24">
        <v>38466</v>
      </c>
      <c r="M663" s="24">
        <v>93600000</v>
      </c>
      <c r="N663" s="39">
        <v>45780</v>
      </c>
    </row>
    <row r="664" spans="1:14" s="5" customFormat="1" outlineLevel="2">
      <c r="A664" s="39" t="s">
        <v>255</v>
      </c>
      <c r="B664" s="40" t="s">
        <v>54</v>
      </c>
      <c r="C664" s="41" t="s">
        <v>20</v>
      </c>
      <c r="D664" s="40" t="s">
        <v>21</v>
      </c>
      <c r="E664" s="24">
        <v>576400000</v>
      </c>
      <c r="F664" s="39">
        <v>44013</v>
      </c>
      <c r="G664" s="24">
        <v>576400000</v>
      </c>
      <c r="H664" s="23">
        <v>5.0000000000000001E-3</v>
      </c>
      <c r="I664" s="39">
        <v>44440</v>
      </c>
      <c r="J664" s="39">
        <v>44469</v>
      </c>
      <c r="K664" s="24">
        <v>30</v>
      </c>
      <c r="L664" s="24">
        <v>236877</v>
      </c>
      <c r="M664" s="24">
        <v>576400000</v>
      </c>
      <c r="N664" s="39">
        <v>45838</v>
      </c>
    </row>
    <row r="665" spans="1:14" s="5" customFormat="1" outlineLevel="1">
      <c r="A665" s="42" t="s">
        <v>256</v>
      </c>
      <c r="B665" s="43"/>
      <c r="C665" s="44"/>
      <c r="D665" s="43"/>
      <c r="E665" s="45">
        <v>1000000000</v>
      </c>
      <c r="F665" s="46"/>
      <c r="G665" s="45"/>
      <c r="H665" s="47"/>
      <c r="I665" s="46"/>
      <c r="J665" s="46"/>
      <c r="K665" s="45"/>
      <c r="L665" s="45">
        <v>410959</v>
      </c>
      <c r="M665" s="45">
        <v>1000000000</v>
      </c>
      <c r="N665" s="46"/>
    </row>
    <row r="666" spans="1:14" s="5" customFormat="1" outlineLevel="2">
      <c r="A666" s="39" t="s">
        <v>257</v>
      </c>
      <c r="B666" s="40" t="s">
        <v>16</v>
      </c>
      <c r="C666" s="41" t="s">
        <v>262</v>
      </c>
      <c r="D666" s="40" t="s">
        <v>259</v>
      </c>
      <c r="E666" s="24">
        <v>3400000</v>
      </c>
      <c r="F666" s="39">
        <v>43927</v>
      </c>
      <c r="G666" s="24">
        <v>3400000</v>
      </c>
      <c r="H666" s="23">
        <v>5.0000000000000001E-3</v>
      </c>
      <c r="I666" s="39">
        <v>44440</v>
      </c>
      <c r="J666" s="39">
        <v>44469</v>
      </c>
      <c r="K666" s="24">
        <v>30</v>
      </c>
      <c r="L666" s="24">
        <v>1397</v>
      </c>
      <c r="M666" s="24">
        <v>3400000</v>
      </c>
      <c r="N666" s="39">
        <v>45752</v>
      </c>
    </row>
    <row r="667" spans="1:14" s="5" customFormat="1" outlineLevel="2">
      <c r="A667" s="39" t="s">
        <v>257</v>
      </c>
      <c r="B667" s="40" t="s">
        <v>19</v>
      </c>
      <c r="C667" s="41" t="s">
        <v>260</v>
      </c>
      <c r="D667" s="40" t="s">
        <v>261</v>
      </c>
      <c r="E667" s="24">
        <v>620000</v>
      </c>
      <c r="F667" s="39">
        <v>44148</v>
      </c>
      <c r="G667" s="24">
        <v>480000</v>
      </c>
      <c r="H667" s="23">
        <v>5.0000000000000001E-3</v>
      </c>
      <c r="I667" s="39">
        <v>44440</v>
      </c>
      <c r="J667" s="39">
        <v>44453</v>
      </c>
      <c r="K667" s="24">
        <v>14</v>
      </c>
      <c r="L667" s="24">
        <v>92</v>
      </c>
      <c r="M667" s="24">
        <v>470000</v>
      </c>
      <c r="N667" s="39">
        <v>45973</v>
      </c>
    </row>
    <row r="668" spans="1:14" s="5" customFormat="1" outlineLevel="2">
      <c r="A668" s="39" t="s">
        <v>257</v>
      </c>
      <c r="B668" s="40" t="s">
        <v>19</v>
      </c>
      <c r="C668" s="41" t="s">
        <v>260</v>
      </c>
      <c r="D668" s="40"/>
      <c r="E668" s="24"/>
      <c r="F668" s="39"/>
      <c r="G668" s="24">
        <v>470000</v>
      </c>
      <c r="H668" s="23">
        <v>5.0000000000000001E-3</v>
      </c>
      <c r="I668" s="39">
        <v>44454</v>
      </c>
      <c r="J668" s="39">
        <v>44469</v>
      </c>
      <c r="K668" s="24">
        <v>16</v>
      </c>
      <c r="L668" s="24">
        <v>103</v>
      </c>
      <c r="M668" s="24"/>
      <c r="N668" s="39">
        <v>45973</v>
      </c>
    </row>
    <row r="669" spans="1:14" s="5" customFormat="1" outlineLevel="2">
      <c r="A669" s="39" t="s">
        <v>257</v>
      </c>
      <c r="B669" s="40" t="s">
        <v>22</v>
      </c>
      <c r="C669" s="41" t="s">
        <v>260</v>
      </c>
      <c r="D669" s="40" t="s">
        <v>261</v>
      </c>
      <c r="E669" s="24">
        <v>3910000</v>
      </c>
      <c r="F669" s="39">
        <v>44165</v>
      </c>
      <c r="G669" s="24">
        <v>3264000</v>
      </c>
      <c r="H669" s="23">
        <v>5.0000000000000001E-3</v>
      </c>
      <c r="I669" s="39">
        <v>44440</v>
      </c>
      <c r="J669" s="39">
        <v>44453</v>
      </c>
      <c r="K669" s="24">
        <v>14</v>
      </c>
      <c r="L669" s="24">
        <v>626</v>
      </c>
      <c r="M669" s="24">
        <v>3196000</v>
      </c>
      <c r="N669" s="39">
        <v>45990</v>
      </c>
    </row>
    <row r="670" spans="1:14" s="5" customFormat="1" outlineLevel="2">
      <c r="A670" s="39" t="s">
        <v>257</v>
      </c>
      <c r="B670" s="40" t="s">
        <v>22</v>
      </c>
      <c r="C670" s="41" t="s">
        <v>260</v>
      </c>
      <c r="D670" s="40"/>
      <c r="E670" s="24"/>
      <c r="F670" s="39"/>
      <c r="G670" s="24">
        <v>3196000</v>
      </c>
      <c r="H670" s="23">
        <v>5.0000000000000001E-3</v>
      </c>
      <c r="I670" s="39">
        <v>44454</v>
      </c>
      <c r="J670" s="39">
        <v>44469</v>
      </c>
      <c r="K670" s="24">
        <v>16</v>
      </c>
      <c r="L670" s="24">
        <v>700</v>
      </c>
      <c r="M670" s="24"/>
      <c r="N670" s="39">
        <v>45990</v>
      </c>
    </row>
    <row r="671" spans="1:14" s="5" customFormat="1" outlineLevel="2">
      <c r="A671" s="39" t="s">
        <v>257</v>
      </c>
      <c r="B671" s="40" t="s">
        <v>25</v>
      </c>
      <c r="C671" s="41" t="s">
        <v>260</v>
      </c>
      <c r="D671" s="40" t="s">
        <v>261</v>
      </c>
      <c r="E671" s="24">
        <v>4030000</v>
      </c>
      <c r="F671" s="39">
        <v>44165</v>
      </c>
      <c r="G671" s="24">
        <v>3360000</v>
      </c>
      <c r="H671" s="23">
        <v>5.0000000000000001E-3</v>
      </c>
      <c r="I671" s="39">
        <v>44440</v>
      </c>
      <c r="J671" s="39">
        <v>44453</v>
      </c>
      <c r="K671" s="24">
        <v>14</v>
      </c>
      <c r="L671" s="24">
        <v>644</v>
      </c>
      <c r="M671" s="24">
        <v>3290000</v>
      </c>
      <c r="N671" s="39">
        <v>45990</v>
      </c>
    </row>
    <row r="672" spans="1:14" s="5" customFormat="1" outlineLevel="2">
      <c r="A672" s="39" t="s">
        <v>257</v>
      </c>
      <c r="B672" s="40" t="s">
        <v>25</v>
      </c>
      <c r="C672" s="41" t="s">
        <v>260</v>
      </c>
      <c r="D672" s="40"/>
      <c r="E672" s="24"/>
      <c r="F672" s="39"/>
      <c r="G672" s="24">
        <v>3290000</v>
      </c>
      <c r="H672" s="23">
        <v>5.0000000000000001E-3</v>
      </c>
      <c r="I672" s="39">
        <v>44454</v>
      </c>
      <c r="J672" s="39">
        <v>44469</v>
      </c>
      <c r="K672" s="24">
        <v>16</v>
      </c>
      <c r="L672" s="24">
        <v>721</v>
      </c>
      <c r="M672" s="24"/>
      <c r="N672" s="39">
        <v>45990</v>
      </c>
    </row>
    <row r="673" spans="1:14" s="5" customFormat="1" outlineLevel="2">
      <c r="A673" s="39" t="s">
        <v>257</v>
      </c>
      <c r="B673" s="40" t="s">
        <v>26</v>
      </c>
      <c r="C673" s="41" t="s">
        <v>260</v>
      </c>
      <c r="D673" s="40" t="s">
        <v>261</v>
      </c>
      <c r="E673" s="24">
        <v>570000</v>
      </c>
      <c r="F673" s="39">
        <v>44155</v>
      </c>
      <c r="G673" s="24">
        <v>570000</v>
      </c>
      <c r="H673" s="23">
        <v>5.0000000000000001E-3</v>
      </c>
      <c r="I673" s="39">
        <v>44440</v>
      </c>
      <c r="J673" s="39">
        <v>44469</v>
      </c>
      <c r="K673" s="24">
        <v>30</v>
      </c>
      <c r="L673" s="24">
        <v>234</v>
      </c>
      <c r="M673" s="24">
        <v>570000</v>
      </c>
      <c r="N673" s="39">
        <v>45980</v>
      </c>
    </row>
    <row r="674" spans="1:14" s="5" customFormat="1" outlineLevel="2">
      <c r="A674" s="39" t="s">
        <v>257</v>
      </c>
      <c r="B674" s="40" t="s">
        <v>29</v>
      </c>
      <c r="C674" s="41" t="s">
        <v>260</v>
      </c>
      <c r="D674" s="40" t="s">
        <v>261</v>
      </c>
      <c r="E674" s="24">
        <v>6000000</v>
      </c>
      <c r="F674" s="39">
        <v>44155</v>
      </c>
      <c r="G674" s="24">
        <v>6000000</v>
      </c>
      <c r="H674" s="23">
        <v>5.0000000000000001E-3</v>
      </c>
      <c r="I674" s="39">
        <v>44440</v>
      </c>
      <c r="J674" s="39">
        <v>44469</v>
      </c>
      <c r="K674" s="24">
        <v>30</v>
      </c>
      <c r="L674" s="24">
        <v>2466</v>
      </c>
      <c r="M674" s="24">
        <v>6000000</v>
      </c>
      <c r="N674" s="39">
        <v>45980</v>
      </c>
    </row>
    <row r="675" spans="1:14" s="5" customFormat="1" outlineLevel="2">
      <c r="A675" s="39" t="s">
        <v>257</v>
      </c>
      <c r="B675" s="40" t="s">
        <v>32</v>
      </c>
      <c r="C675" s="41" t="s">
        <v>260</v>
      </c>
      <c r="D675" s="40" t="s">
        <v>261</v>
      </c>
      <c r="E675" s="24">
        <v>270000</v>
      </c>
      <c r="F675" s="39">
        <v>44181</v>
      </c>
      <c r="G675" s="24">
        <v>192000</v>
      </c>
      <c r="H675" s="23">
        <v>5.0000000000000001E-3</v>
      </c>
      <c r="I675" s="39">
        <v>44440</v>
      </c>
      <c r="J675" s="39">
        <v>44453</v>
      </c>
      <c r="K675" s="24">
        <v>14</v>
      </c>
      <c r="L675" s="24">
        <v>37</v>
      </c>
      <c r="M675" s="24">
        <v>188000</v>
      </c>
      <c r="N675" s="39">
        <v>46006</v>
      </c>
    </row>
    <row r="676" spans="1:14" s="5" customFormat="1" outlineLevel="2">
      <c r="A676" s="39" t="s">
        <v>257</v>
      </c>
      <c r="B676" s="40" t="s">
        <v>32</v>
      </c>
      <c r="C676" s="41" t="s">
        <v>260</v>
      </c>
      <c r="D676" s="40"/>
      <c r="E676" s="24"/>
      <c r="F676" s="39"/>
      <c r="G676" s="24">
        <v>188000</v>
      </c>
      <c r="H676" s="23">
        <v>5.0000000000000001E-3</v>
      </c>
      <c r="I676" s="39">
        <v>44454</v>
      </c>
      <c r="J676" s="39">
        <v>44469</v>
      </c>
      <c r="K676" s="24">
        <v>16</v>
      </c>
      <c r="L676" s="24">
        <v>41</v>
      </c>
      <c r="M676" s="24"/>
      <c r="N676" s="39">
        <v>46006</v>
      </c>
    </row>
    <row r="677" spans="1:14" s="5" customFormat="1" outlineLevel="2">
      <c r="A677" s="39" t="s">
        <v>257</v>
      </c>
      <c r="B677" s="40" t="s">
        <v>33</v>
      </c>
      <c r="C677" s="41" t="s">
        <v>260</v>
      </c>
      <c r="D677" s="40" t="s">
        <v>261</v>
      </c>
      <c r="E677" s="24">
        <v>2400000</v>
      </c>
      <c r="F677" s="39">
        <v>44181</v>
      </c>
      <c r="G677" s="24">
        <v>2400000</v>
      </c>
      <c r="H677" s="23">
        <v>5.0000000000000001E-3</v>
      </c>
      <c r="I677" s="39">
        <v>44440</v>
      </c>
      <c r="J677" s="39">
        <v>44469</v>
      </c>
      <c r="K677" s="24">
        <v>30</v>
      </c>
      <c r="L677" s="24">
        <v>986</v>
      </c>
      <c r="M677" s="24">
        <v>2400000</v>
      </c>
      <c r="N677" s="39">
        <v>46006</v>
      </c>
    </row>
    <row r="678" spans="1:14" s="5" customFormat="1" outlineLevel="2">
      <c r="A678" s="39" t="s">
        <v>257</v>
      </c>
      <c r="B678" s="40" t="s">
        <v>34</v>
      </c>
      <c r="C678" s="41" t="s">
        <v>260</v>
      </c>
      <c r="D678" s="40" t="s">
        <v>261</v>
      </c>
      <c r="E678" s="24">
        <v>11000000</v>
      </c>
      <c r="F678" s="39">
        <v>44181</v>
      </c>
      <c r="G678" s="24">
        <v>11000000</v>
      </c>
      <c r="H678" s="23">
        <v>5.0000000000000001E-3</v>
      </c>
      <c r="I678" s="39">
        <v>44440</v>
      </c>
      <c r="J678" s="39">
        <v>44469</v>
      </c>
      <c r="K678" s="24">
        <v>30</v>
      </c>
      <c r="L678" s="24">
        <v>4521</v>
      </c>
      <c r="M678" s="24">
        <v>11000000</v>
      </c>
      <c r="N678" s="39">
        <v>46006</v>
      </c>
    </row>
    <row r="679" spans="1:14" s="5" customFormat="1" outlineLevel="2">
      <c r="A679" s="39" t="s">
        <v>257</v>
      </c>
      <c r="B679" s="40" t="s">
        <v>35</v>
      </c>
      <c r="C679" s="41" t="s">
        <v>260</v>
      </c>
      <c r="D679" s="40" t="s">
        <v>261</v>
      </c>
      <c r="E679" s="24">
        <v>220000</v>
      </c>
      <c r="F679" s="39">
        <v>44215</v>
      </c>
      <c r="G679" s="24">
        <v>192000</v>
      </c>
      <c r="H679" s="23">
        <v>5.0000000000000001E-3</v>
      </c>
      <c r="I679" s="39">
        <v>44440</v>
      </c>
      <c r="J679" s="39">
        <v>44453</v>
      </c>
      <c r="K679" s="24">
        <v>14</v>
      </c>
      <c r="L679" s="24">
        <v>37</v>
      </c>
      <c r="M679" s="24">
        <v>188000</v>
      </c>
      <c r="N679" s="39">
        <v>46040</v>
      </c>
    </row>
    <row r="680" spans="1:14" s="5" customFormat="1" outlineLevel="2">
      <c r="A680" s="39" t="s">
        <v>257</v>
      </c>
      <c r="B680" s="40" t="s">
        <v>35</v>
      </c>
      <c r="C680" s="41" t="s">
        <v>260</v>
      </c>
      <c r="D680" s="40"/>
      <c r="E680" s="24"/>
      <c r="F680" s="39"/>
      <c r="G680" s="24">
        <v>188000</v>
      </c>
      <c r="H680" s="23">
        <v>5.0000000000000001E-3</v>
      </c>
      <c r="I680" s="39">
        <v>44454</v>
      </c>
      <c r="J680" s="39">
        <v>44469</v>
      </c>
      <c r="K680" s="24">
        <v>16</v>
      </c>
      <c r="L680" s="24">
        <v>41</v>
      </c>
      <c r="M680" s="24"/>
      <c r="N680" s="39">
        <v>46040</v>
      </c>
    </row>
    <row r="681" spans="1:14" s="5" customFormat="1" outlineLevel="2">
      <c r="A681" s="39" t="s">
        <v>257</v>
      </c>
      <c r="B681" s="40" t="s">
        <v>36</v>
      </c>
      <c r="C681" s="41" t="s">
        <v>260</v>
      </c>
      <c r="D681" s="40" t="s">
        <v>261</v>
      </c>
      <c r="E681" s="24">
        <v>1000000</v>
      </c>
      <c r="F681" s="39">
        <v>44215</v>
      </c>
      <c r="G681" s="24">
        <v>864000</v>
      </c>
      <c r="H681" s="23">
        <v>5.0000000000000001E-3</v>
      </c>
      <c r="I681" s="39">
        <v>44440</v>
      </c>
      <c r="J681" s="39">
        <v>44453</v>
      </c>
      <c r="K681" s="24">
        <v>14</v>
      </c>
      <c r="L681" s="24">
        <v>166</v>
      </c>
      <c r="M681" s="24">
        <v>846000</v>
      </c>
      <c r="N681" s="39">
        <v>46040</v>
      </c>
    </row>
    <row r="682" spans="1:14" s="5" customFormat="1" outlineLevel="2">
      <c r="A682" s="39" t="s">
        <v>257</v>
      </c>
      <c r="B682" s="40" t="s">
        <v>36</v>
      </c>
      <c r="C682" s="41" t="s">
        <v>260</v>
      </c>
      <c r="D682" s="40"/>
      <c r="E682" s="24"/>
      <c r="F682" s="39"/>
      <c r="G682" s="24">
        <v>846000</v>
      </c>
      <c r="H682" s="23">
        <v>5.0000000000000001E-3</v>
      </c>
      <c r="I682" s="39">
        <v>44454</v>
      </c>
      <c r="J682" s="39">
        <v>44469</v>
      </c>
      <c r="K682" s="24">
        <v>16</v>
      </c>
      <c r="L682" s="24">
        <v>185</v>
      </c>
      <c r="M682" s="24"/>
      <c r="N682" s="39">
        <v>46040</v>
      </c>
    </row>
    <row r="683" spans="1:14" s="5" customFormat="1" outlineLevel="2">
      <c r="A683" s="39" t="s">
        <v>257</v>
      </c>
      <c r="B683" s="40" t="s">
        <v>39</v>
      </c>
      <c r="C683" s="41" t="s">
        <v>262</v>
      </c>
      <c r="D683" s="40" t="s">
        <v>259</v>
      </c>
      <c r="E683" s="24">
        <v>70440000</v>
      </c>
      <c r="F683" s="39">
        <v>43951</v>
      </c>
      <c r="G683" s="24">
        <v>70440000</v>
      </c>
      <c r="H683" s="23">
        <v>5.0000000000000001E-3</v>
      </c>
      <c r="I683" s="39">
        <v>44440</v>
      </c>
      <c r="J683" s="39">
        <v>44469</v>
      </c>
      <c r="K683" s="24">
        <v>30</v>
      </c>
      <c r="L683" s="24">
        <v>28948</v>
      </c>
      <c r="M683" s="24">
        <v>70440000</v>
      </c>
      <c r="N683" s="39">
        <v>45776</v>
      </c>
    </row>
    <row r="684" spans="1:14" s="5" customFormat="1" outlineLevel="2">
      <c r="A684" s="39" t="s">
        <v>257</v>
      </c>
      <c r="B684" s="40" t="s">
        <v>40</v>
      </c>
      <c r="C684" s="41" t="s">
        <v>262</v>
      </c>
      <c r="D684" s="40" t="s">
        <v>259</v>
      </c>
      <c r="E684" s="24">
        <v>54250000</v>
      </c>
      <c r="F684" s="39">
        <v>44228</v>
      </c>
      <c r="G684" s="24">
        <v>54250000</v>
      </c>
      <c r="H684" s="23">
        <v>5.0000000000000001E-3</v>
      </c>
      <c r="I684" s="39">
        <v>44440</v>
      </c>
      <c r="J684" s="39">
        <v>44469</v>
      </c>
      <c r="K684" s="24">
        <v>30</v>
      </c>
      <c r="L684" s="24">
        <v>22295</v>
      </c>
      <c r="M684" s="24">
        <v>54250000</v>
      </c>
      <c r="N684" s="39">
        <v>46053</v>
      </c>
    </row>
    <row r="685" spans="1:14" s="5" customFormat="1" outlineLevel="2">
      <c r="A685" s="39" t="s">
        <v>257</v>
      </c>
      <c r="B685" s="40" t="s">
        <v>41</v>
      </c>
      <c r="C685" s="41" t="s">
        <v>304</v>
      </c>
      <c r="D685" s="40" t="s">
        <v>303</v>
      </c>
      <c r="E685" s="24">
        <v>40000000</v>
      </c>
      <c r="F685" s="39">
        <v>44229</v>
      </c>
      <c r="G685" s="24">
        <v>40000000</v>
      </c>
      <c r="H685" s="23">
        <v>5.0000000000000001E-3</v>
      </c>
      <c r="I685" s="39">
        <v>44440</v>
      </c>
      <c r="J685" s="39">
        <v>44469</v>
      </c>
      <c r="K685" s="24">
        <v>30</v>
      </c>
      <c r="L685" s="24">
        <v>16438</v>
      </c>
      <c r="M685" s="24">
        <v>40000000</v>
      </c>
      <c r="N685" s="39">
        <v>46054</v>
      </c>
    </row>
    <row r="686" spans="1:14" s="5" customFormat="1" outlineLevel="2">
      <c r="A686" s="39" t="s">
        <v>257</v>
      </c>
      <c r="B686" s="40" t="s">
        <v>42</v>
      </c>
      <c r="C686" s="41" t="s">
        <v>304</v>
      </c>
      <c r="D686" s="40" t="s">
        <v>303</v>
      </c>
      <c r="E686" s="24">
        <v>38000000</v>
      </c>
      <c r="F686" s="39">
        <v>44245</v>
      </c>
      <c r="G686" s="24">
        <v>38000000</v>
      </c>
      <c r="H686" s="23">
        <v>5.0000000000000001E-3</v>
      </c>
      <c r="I686" s="39">
        <v>44440</v>
      </c>
      <c r="J686" s="39">
        <v>44469</v>
      </c>
      <c r="K686" s="24">
        <v>30</v>
      </c>
      <c r="L686" s="24">
        <v>15616</v>
      </c>
      <c r="M686" s="24">
        <v>38000000</v>
      </c>
      <c r="N686" s="39">
        <v>46070</v>
      </c>
    </row>
    <row r="687" spans="1:14" s="5" customFormat="1" outlineLevel="2">
      <c r="A687" s="39" t="s">
        <v>257</v>
      </c>
      <c r="B687" s="40" t="s">
        <v>43</v>
      </c>
      <c r="C687" s="41" t="s">
        <v>89</v>
      </c>
      <c r="D687" s="40" t="s">
        <v>90</v>
      </c>
      <c r="E687" s="24">
        <v>66000000</v>
      </c>
      <c r="F687" s="39">
        <v>44270</v>
      </c>
      <c r="G687" s="24">
        <v>66000000</v>
      </c>
      <c r="H687" s="23">
        <v>5.0000000000000001E-3</v>
      </c>
      <c r="I687" s="39">
        <v>44440</v>
      </c>
      <c r="J687" s="39">
        <v>44469</v>
      </c>
      <c r="K687" s="24">
        <v>30</v>
      </c>
      <c r="L687" s="24">
        <v>27123</v>
      </c>
      <c r="M687" s="24">
        <v>66000000</v>
      </c>
      <c r="N687" s="39">
        <v>46095</v>
      </c>
    </row>
    <row r="688" spans="1:14" s="5" customFormat="1" outlineLevel="2">
      <c r="A688" s="39" t="s">
        <v>257</v>
      </c>
      <c r="B688" s="40" t="s">
        <v>44</v>
      </c>
      <c r="C688" s="41" t="s">
        <v>260</v>
      </c>
      <c r="D688" s="40" t="s">
        <v>261</v>
      </c>
      <c r="E688" s="24">
        <v>10800000</v>
      </c>
      <c r="F688" s="39">
        <v>44273</v>
      </c>
      <c r="G688" s="24">
        <v>10800000</v>
      </c>
      <c r="H688" s="23">
        <v>5.0000000000000001E-3</v>
      </c>
      <c r="I688" s="39">
        <v>44440</v>
      </c>
      <c r="J688" s="39">
        <v>44469</v>
      </c>
      <c r="K688" s="24">
        <v>30</v>
      </c>
      <c r="L688" s="24">
        <v>4438</v>
      </c>
      <c r="M688" s="24">
        <v>10800000</v>
      </c>
      <c r="N688" s="39">
        <v>46098</v>
      </c>
    </row>
    <row r="689" spans="1:14" s="5" customFormat="1" outlineLevel="2">
      <c r="A689" s="39" t="s">
        <v>257</v>
      </c>
      <c r="B689" s="40" t="s">
        <v>47</v>
      </c>
      <c r="C689" s="41" t="s">
        <v>260</v>
      </c>
      <c r="D689" s="40" t="s">
        <v>261</v>
      </c>
      <c r="E689" s="24">
        <v>1720000</v>
      </c>
      <c r="F689" s="39">
        <v>44285</v>
      </c>
      <c r="G689" s="24">
        <v>1720000</v>
      </c>
      <c r="H689" s="23">
        <v>5.0000000000000001E-3</v>
      </c>
      <c r="I689" s="39">
        <v>44440</v>
      </c>
      <c r="J689" s="39">
        <v>44469</v>
      </c>
      <c r="K689" s="24">
        <v>30</v>
      </c>
      <c r="L689" s="24">
        <v>707</v>
      </c>
      <c r="M689" s="24">
        <v>1720000</v>
      </c>
      <c r="N689" s="39">
        <v>46110</v>
      </c>
    </row>
    <row r="690" spans="1:14" s="5" customFormat="1" outlineLevel="2">
      <c r="A690" s="39" t="s">
        <v>257</v>
      </c>
      <c r="B690" s="40" t="s">
        <v>50</v>
      </c>
      <c r="C690" s="41" t="s">
        <v>324</v>
      </c>
      <c r="D690" s="40" t="s">
        <v>323</v>
      </c>
      <c r="E690" s="24">
        <v>28800000</v>
      </c>
      <c r="F690" s="39">
        <v>44271</v>
      </c>
      <c r="G690" s="24">
        <v>27600000</v>
      </c>
      <c r="H690" s="23">
        <v>5.0000000000000001E-3</v>
      </c>
      <c r="I690" s="39">
        <v>44440</v>
      </c>
      <c r="J690" s="39">
        <v>44453</v>
      </c>
      <c r="K690" s="24">
        <v>14</v>
      </c>
      <c r="L690" s="24">
        <v>5293</v>
      </c>
      <c r="M690" s="24">
        <v>27360000</v>
      </c>
      <c r="N690" s="39">
        <v>46096</v>
      </c>
    </row>
    <row r="691" spans="1:14" s="5" customFormat="1" outlineLevel="2">
      <c r="A691" s="39" t="s">
        <v>257</v>
      </c>
      <c r="B691" s="40" t="s">
        <v>50</v>
      </c>
      <c r="C691" s="41" t="s">
        <v>324</v>
      </c>
      <c r="D691" s="40"/>
      <c r="E691" s="24"/>
      <c r="F691" s="39"/>
      <c r="G691" s="24">
        <v>27360000</v>
      </c>
      <c r="H691" s="23">
        <v>5.0000000000000001E-3</v>
      </c>
      <c r="I691" s="39">
        <v>44454</v>
      </c>
      <c r="J691" s="39">
        <v>44469</v>
      </c>
      <c r="K691" s="24">
        <v>16</v>
      </c>
      <c r="L691" s="24">
        <v>5997</v>
      </c>
      <c r="M691" s="24"/>
      <c r="N691" s="39">
        <v>46096</v>
      </c>
    </row>
    <row r="692" spans="1:14" s="5" customFormat="1" outlineLevel="2">
      <c r="A692" s="39" t="s">
        <v>257</v>
      </c>
      <c r="B692" s="40" t="s">
        <v>51</v>
      </c>
      <c r="C692" s="41" t="s">
        <v>324</v>
      </c>
      <c r="D692" s="40" t="s">
        <v>323</v>
      </c>
      <c r="E692" s="24">
        <v>45270000</v>
      </c>
      <c r="F692" s="39">
        <v>44271</v>
      </c>
      <c r="G692" s="24">
        <v>43383750</v>
      </c>
      <c r="H692" s="23">
        <v>5.0000000000000001E-3</v>
      </c>
      <c r="I692" s="39">
        <v>44440</v>
      </c>
      <c r="J692" s="39">
        <v>44453</v>
      </c>
      <c r="K692" s="24">
        <v>14</v>
      </c>
      <c r="L692" s="24">
        <v>8320</v>
      </c>
      <c r="M692" s="24">
        <v>43006500</v>
      </c>
      <c r="N692" s="39">
        <v>46096</v>
      </c>
    </row>
    <row r="693" spans="1:14" s="5" customFormat="1" outlineLevel="2">
      <c r="A693" s="39" t="s">
        <v>257</v>
      </c>
      <c r="B693" s="40" t="s">
        <v>51</v>
      </c>
      <c r="C693" s="41" t="s">
        <v>324</v>
      </c>
      <c r="D693" s="40"/>
      <c r="E693" s="24"/>
      <c r="F693" s="39"/>
      <c r="G693" s="24">
        <v>43006500</v>
      </c>
      <c r="H693" s="23">
        <v>5.0000000000000001E-3</v>
      </c>
      <c r="I693" s="39">
        <v>44454</v>
      </c>
      <c r="J693" s="39">
        <v>44469</v>
      </c>
      <c r="K693" s="24">
        <v>16</v>
      </c>
      <c r="L693" s="24">
        <v>9426</v>
      </c>
      <c r="M693" s="24"/>
      <c r="N693" s="39">
        <v>46096</v>
      </c>
    </row>
    <row r="694" spans="1:14" s="5" customFormat="1" outlineLevel="2">
      <c r="A694" s="39" t="s">
        <v>257</v>
      </c>
      <c r="B694" s="40" t="s">
        <v>52</v>
      </c>
      <c r="C694" s="41" t="s">
        <v>324</v>
      </c>
      <c r="D694" s="40" t="s">
        <v>323</v>
      </c>
      <c r="E694" s="24">
        <v>32000000</v>
      </c>
      <c r="F694" s="39">
        <v>44271</v>
      </c>
      <c r="G694" s="24">
        <v>30095240</v>
      </c>
      <c r="H694" s="23">
        <v>5.0000000000000001E-3</v>
      </c>
      <c r="I694" s="39">
        <v>44440</v>
      </c>
      <c r="J694" s="39">
        <v>44453</v>
      </c>
      <c r="K694" s="24">
        <v>14</v>
      </c>
      <c r="L694" s="24">
        <v>5772</v>
      </c>
      <c r="M694" s="24">
        <v>29714288</v>
      </c>
      <c r="N694" s="39">
        <v>46096</v>
      </c>
    </row>
    <row r="695" spans="1:14" s="5" customFormat="1" outlineLevel="2">
      <c r="A695" s="39" t="s">
        <v>257</v>
      </c>
      <c r="B695" s="40" t="s">
        <v>52</v>
      </c>
      <c r="C695" s="41" t="s">
        <v>324</v>
      </c>
      <c r="D695" s="40"/>
      <c r="E695" s="24"/>
      <c r="F695" s="39"/>
      <c r="G695" s="24">
        <v>29714288</v>
      </c>
      <c r="H695" s="23">
        <v>5.0000000000000001E-3</v>
      </c>
      <c r="I695" s="39">
        <v>44454</v>
      </c>
      <c r="J695" s="39">
        <v>44469</v>
      </c>
      <c r="K695" s="24">
        <v>16</v>
      </c>
      <c r="L695" s="24">
        <v>6513</v>
      </c>
      <c r="M695" s="24"/>
      <c r="N695" s="39">
        <v>46096</v>
      </c>
    </row>
    <row r="696" spans="1:14" s="5" customFormat="1" outlineLevel="2">
      <c r="A696" s="39" t="s">
        <v>257</v>
      </c>
      <c r="B696" s="40" t="s">
        <v>53</v>
      </c>
      <c r="C696" s="41" t="s">
        <v>262</v>
      </c>
      <c r="D696" s="40" t="s">
        <v>259</v>
      </c>
      <c r="E696" s="24">
        <v>21700000</v>
      </c>
      <c r="F696" s="39">
        <v>44287</v>
      </c>
      <c r="G696" s="24">
        <v>21700000</v>
      </c>
      <c r="H696" s="23">
        <v>5.0000000000000001E-3</v>
      </c>
      <c r="I696" s="39">
        <v>44440</v>
      </c>
      <c r="J696" s="39">
        <v>44469</v>
      </c>
      <c r="K696" s="24">
        <v>30</v>
      </c>
      <c r="L696" s="24">
        <v>8918</v>
      </c>
      <c r="M696" s="24">
        <v>21700000</v>
      </c>
      <c r="N696" s="39">
        <v>46112</v>
      </c>
    </row>
    <row r="697" spans="1:14" s="5" customFormat="1" outlineLevel="2">
      <c r="A697" s="39" t="s">
        <v>257</v>
      </c>
      <c r="B697" s="40" t="s">
        <v>54</v>
      </c>
      <c r="C697" s="41" t="s">
        <v>248</v>
      </c>
      <c r="D697" s="40" t="s">
        <v>249</v>
      </c>
      <c r="E697" s="24">
        <v>182300000</v>
      </c>
      <c r="F697" s="39">
        <v>43959</v>
      </c>
      <c r="G697" s="24">
        <v>172040000</v>
      </c>
      <c r="H697" s="23">
        <v>5.0000000000000001E-3</v>
      </c>
      <c r="I697" s="39">
        <v>44440</v>
      </c>
      <c r="J697" s="39">
        <v>44453</v>
      </c>
      <c r="K697" s="24">
        <v>14</v>
      </c>
      <c r="L697" s="24">
        <v>32994</v>
      </c>
      <c r="M697" s="24">
        <v>169510000</v>
      </c>
      <c r="N697" s="39">
        <v>45784</v>
      </c>
    </row>
    <row r="698" spans="1:14" s="5" customFormat="1" outlineLevel="2">
      <c r="A698" s="39" t="s">
        <v>257</v>
      </c>
      <c r="B698" s="40" t="s">
        <v>54</v>
      </c>
      <c r="C698" s="41" t="s">
        <v>248</v>
      </c>
      <c r="D698" s="40"/>
      <c r="E698" s="24"/>
      <c r="F698" s="39"/>
      <c r="G698" s="24">
        <v>169510000</v>
      </c>
      <c r="H698" s="23">
        <v>5.0000000000000001E-3</v>
      </c>
      <c r="I698" s="39">
        <v>44454</v>
      </c>
      <c r="J698" s="39">
        <v>44469</v>
      </c>
      <c r="K698" s="24">
        <v>16</v>
      </c>
      <c r="L698" s="24">
        <v>37153</v>
      </c>
      <c r="M698" s="24"/>
      <c r="N698" s="39">
        <v>45784</v>
      </c>
    </row>
    <row r="699" spans="1:14" s="5" customFormat="1" outlineLevel="2">
      <c r="A699" s="39" t="s">
        <v>257</v>
      </c>
      <c r="B699" s="40" t="s">
        <v>57</v>
      </c>
      <c r="C699" s="41" t="s">
        <v>260</v>
      </c>
      <c r="D699" s="40" t="s">
        <v>261</v>
      </c>
      <c r="E699" s="24">
        <v>20900000</v>
      </c>
      <c r="F699" s="39">
        <v>44300</v>
      </c>
      <c r="G699" s="24">
        <v>18720000</v>
      </c>
      <c r="H699" s="23">
        <v>5.0000000000000001E-3</v>
      </c>
      <c r="I699" s="39">
        <v>44440</v>
      </c>
      <c r="J699" s="39">
        <v>44453</v>
      </c>
      <c r="K699" s="24">
        <v>14</v>
      </c>
      <c r="L699" s="24">
        <v>3590</v>
      </c>
      <c r="M699" s="24">
        <v>18330000</v>
      </c>
      <c r="N699" s="39">
        <v>46125</v>
      </c>
    </row>
    <row r="700" spans="1:14" s="5" customFormat="1" outlineLevel="2">
      <c r="A700" s="39" t="s">
        <v>257</v>
      </c>
      <c r="B700" s="40" t="s">
        <v>57</v>
      </c>
      <c r="C700" s="41" t="s">
        <v>260</v>
      </c>
      <c r="D700" s="40"/>
      <c r="E700" s="24"/>
      <c r="F700" s="39"/>
      <c r="G700" s="24">
        <v>18330000</v>
      </c>
      <c r="H700" s="23">
        <v>5.0000000000000001E-3</v>
      </c>
      <c r="I700" s="39">
        <v>44454</v>
      </c>
      <c r="J700" s="39">
        <v>44469</v>
      </c>
      <c r="K700" s="24">
        <v>16</v>
      </c>
      <c r="L700" s="24">
        <v>4018</v>
      </c>
      <c r="M700" s="24"/>
      <c r="N700" s="39">
        <v>46125</v>
      </c>
    </row>
    <row r="701" spans="1:14" s="5" customFormat="1" outlineLevel="2">
      <c r="A701" s="39" t="s">
        <v>257</v>
      </c>
      <c r="B701" s="40" t="s">
        <v>58</v>
      </c>
      <c r="C701" s="41" t="s">
        <v>262</v>
      </c>
      <c r="D701" s="40" t="s">
        <v>259</v>
      </c>
      <c r="E701" s="24">
        <v>21700000</v>
      </c>
      <c r="F701" s="39">
        <v>44319</v>
      </c>
      <c r="G701" s="24">
        <v>21700000</v>
      </c>
      <c r="H701" s="23">
        <v>5.0000000000000001E-3</v>
      </c>
      <c r="I701" s="39">
        <v>44440</v>
      </c>
      <c r="J701" s="39">
        <v>44469</v>
      </c>
      <c r="K701" s="24">
        <v>30</v>
      </c>
      <c r="L701" s="24">
        <v>8918</v>
      </c>
      <c r="M701" s="24">
        <v>21700000</v>
      </c>
      <c r="N701" s="39">
        <v>46144</v>
      </c>
    </row>
    <row r="702" spans="1:14" s="5" customFormat="1" outlineLevel="2">
      <c r="A702" s="39" t="s">
        <v>257</v>
      </c>
      <c r="B702" s="40" t="s">
        <v>99</v>
      </c>
      <c r="C702" s="41" t="s">
        <v>262</v>
      </c>
      <c r="D702" s="40" t="s">
        <v>259</v>
      </c>
      <c r="E702" s="24">
        <v>21700000</v>
      </c>
      <c r="F702" s="39">
        <v>44333</v>
      </c>
      <c r="G702" s="24">
        <v>21700000</v>
      </c>
      <c r="H702" s="23">
        <v>5.0000000000000001E-3</v>
      </c>
      <c r="I702" s="39">
        <v>44440</v>
      </c>
      <c r="J702" s="39">
        <v>44469</v>
      </c>
      <c r="K702" s="24">
        <v>30</v>
      </c>
      <c r="L702" s="24">
        <v>8918</v>
      </c>
      <c r="M702" s="24">
        <v>21700000</v>
      </c>
      <c r="N702" s="39">
        <v>46158</v>
      </c>
    </row>
    <row r="703" spans="1:14" s="5" customFormat="1" outlineLevel="2">
      <c r="A703" s="39" t="s">
        <v>257</v>
      </c>
      <c r="B703" s="40" t="s">
        <v>100</v>
      </c>
      <c r="C703" s="41" t="s">
        <v>260</v>
      </c>
      <c r="D703" s="40" t="s">
        <v>261</v>
      </c>
      <c r="E703" s="24">
        <v>12860000</v>
      </c>
      <c r="F703" s="39">
        <v>44326</v>
      </c>
      <c r="G703" s="24">
        <v>11856000</v>
      </c>
      <c r="H703" s="23">
        <v>5.0000000000000001E-3</v>
      </c>
      <c r="I703" s="39">
        <v>44440</v>
      </c>
      <c r="J703" s="39">
        <v>44453</v>
      </c>
      <c r="K703" s="24">
        <v>14</v>
      </c>
      <c r="L703" s="24">
        <v>2274</v>
      </c>
      <c r="M703" s="24">
        <v>11609000</v>
      </c>
      <c r="N703" s="39">
        <v>46151</v>
      </c>
    </row>
    <row r="704" spans="1:14" s="5" customFormat="1" outlineLevel="2">
      <c r="A704" s="39" t="s">
        <v>257</v>
      </c>
      <c r="B704" s="40" t="s">
        <v>100</v>
      </c>
      <c r="C704" s="41" t="s">
        <v>260</v>
      </c>
      <c r="D704" s="40"/>
      <c r="E704" s="24"/>
      <c r="F704" s="39"/>
      <c r="G704" s="24">
        <v>11609000</v>
      </c>
      <c r="H704" s="23">
        <v>5.0000000000000001E-3</v>
      </c>
      <c r="I704" s="39">
        <v>44454</v>
      </c>
      <c r="J704" s="39">
        <v>44469</v>
      </c>
      <c r="K704" s="24">
        <v>16</v>
      </c>
      <c r="L704" s="24">
        <v>2544</v>
      </c>
      <c r="M704" s="24"/>
      <c r="N704" s="39">
        <v>46151</v>
      </c>
    </row>
    <row r="705" spans="1:14" s="5" customFormat="1" outlineLevel="2">
      <c r="A705" s="39" t="s">
        <v>257</v>
      </c>
      <c r="B705" s="40" t="s">
        <v>101</v>
      </c>
      <c r="C705" s="41" t="s">
        <v>304</v>
      </c>
      <c r="D705" s="40" t="s">
        <v>303</v>
      </c>
      <c r="E705" s="24">
        <v>37500000</v>
      </c>
      <c r="F705" s="39">
        <v>44377</v>
      </c>
      <c r="G705" s="24">
        <v>37500000</v>
      </c>
      <c r="H705" s="23">
        <v>5.0000000000000001E-3</v>
      </c>
      <c r="I705" s="39">
        <v>44440</v>
      </c>
      <c r="J705" s="39">
        <v>44469</v>
      </c>
      <c r="K705" s="24">
        <v>30</v>
      </c>
      <c r="L705" s="24">
        <v>15411</v>
      </c>
      <c r="M705" s="24">
        <v>37500000</v>
      </c>
      <c r="N705" s="39">
        <v>46202</v>
      </c>
    </row>
    <row r="706" spans="1:14" s="5" customFormat="1" outlineLevel="2">
      <c r="A706" s="39" t="s">
        <v>257</v>
      </c>
      <c r="B706" s="40" t="s">
        <v>102</v>
      </c>
      <c r="C706" s="41" t="s">
        <v>260</v>
      </c>
      <c r="D706" s="40" t="s">
        <v>261</v>
      </c>
      <c r="E706" s="24">
        <v>3350000</v>
      </c>
      <c r="F706" s="39">
        <v>44355</v>
      </c>
      <c r="G706" s="24">
        <v>3120000</v>
      </c>
      <c r="H706" s="23">
        <v>5.0000000000000001E-3</v>
      </c>
      <c r="I706" s="39">
        <v>44440</v>
      </c>
      <c r="J706" s="39">
        <v>44453</v>
      </c>
      <c r="K706" s="24">
        <v>14</v>
      </c>
      <c r="L706" s="24">
        <v>598</v>
      </c>
      <c r="M706" s="24">
        <v>3055000</v>
      </c>
      <c r="N706" s="39">
        <v>46180</v>
      </c>
    </row>
    <row r="707" spans="1:14" s="5" customFormat="1" outlineLevel="2">
      <c r="A707" s="39" t="s">
        <v>257</v>
      </c>
      <c r="B707" s="40" t="s">
        <v>102</v>
      </c>
      <c r="C707" s="41" t="s">
        <v>260</v>
      </c>
      <c r="D707" s="40"/>
      <c r="E707" s="24"/>
      <c r="F707" s="39"/>
      <c r="G707" s="24">
        <v>3055000</v>
      </c>
      <c r="H707" s="23">
        <v>5.0000000000000001E-3</v>
      </c>
      <c r="I707" s="39">
        <v>44454</v>
      </c>
      <c r="J707" s="39">
        <v>44469</v>
      </c>
      <c r="K707" s="24">
        <v>16</v>
      </c>
      <c r="L707" s="24">
        <v>670</v>
      </c>
      <c r="M707" s="24"/>
      <c r="N707" s="39">
        <v>46180</v>
      </c>
    </row>
    <row r="708" spans="1:14" s="5" customFormat="1" outlineLevel="2">
      <c r="A708" s="39" t="s">
        <v>257</v>
      </c>
      <c r="B708" s="40" t="s">
        <v>103</v>
      </c>
      <c r="C708" s="41" t="s">
        <v>262</v>
      </c>
      <c r="D708" s="40" t="s">
        <v>259</v>
      </c>
      <c r="E708" s="24">
        <v>680000</v>
      </c>
      <c r="F708" s="39">
        <v>44364</v>
      </c>
      <c r="G708" s="24">
        <v>680000</v>
      </c>
      <c r="H708" s="23">
        <v>5.0000000000000001E-3</v>
      </c>
      <c r="I708" s="39">
        <v>44440</v>
      </c>
      <c r="J708" s="39">
        <v>44469</v>
      </c>
      <c r="K708" s="24">
        <v>30</v>
      </c>
      <c r="L708" s="24">
        <v>279</v>
      </c>
      <c r="M708" s="24">
        <v>680000</v>
      </c>
      <c r="N708" s="39">
        <v>46189</v>
      </c>
    </row>
    <row r="709" spans="1:14" s="5" customFormat="1" outlineLevel="2">
      <c r="A709" s="39" t="s">
        <v>257</v>
      </c>
      <c r="B709" s="40" t="s">
        <v>104</v>
      </c>
      <c r="C709" s="41" t="s">
        <v>262</v>
      </c>
      <c r="D709" s="40" t="s">
        <v>259</v>
      </c>
      <c r="E709" s="24">
        <v>18080000</v>
      </c>
      <c r="F709" s="39">
        <v>44364</v>
      </c>
      <c r="G709" s="24">
        <v>18080000</v>
      </c>
      <c r="H709" s="23">
        <v>5.0000000000000001E-3</v>
      </c>
      <c r="I709" s="39">
        <v>44440</v>
      </c>
      <c r="J709" s="39">
        <v>44469</v>
      </c>
      <c r="K709" s="24">
        <v>30</v>
      </c>
      <c r="L709" s="24">
        <v>7430</v>
      </c>
      <c r="M709" s="24">
        <v>18080000</v>
      </c>
      <c r="N709" s="39">
        <v>46189</v>
      </c>
    </row>
    <row r="710" spans="1:14" s="5" customFormat="1" outlineLevel="2">
      <c r="A710" s="39" t="s">
        <v>257</v>
      </c>
      <c r="B710" s="40" t="s">
        <v>105</v>
      </c>
      <c r="C710" s="41" t="s">
        <v>262</v>
      </c>
      <c r="D710" s="40" t="s">
        <v>259</v>
      </c>
      <c r="E710" s="24">
        <v>5790000</v>
      </c>
      <c r="F710" s="39">
        <v>44364</v>
      </c>
      <c r="G710" s="24">
        <v>5790000</v>
      </c>
      <c r="H710" s="23">
        <v>5.0000000000000001E-3</v>
      </c>
      <c r="I710" s="39">
        <v>44440</v>
      </c>
      <c r="J710" s="39">
        <v>44469</v>
      </c>
      <c r="K710" s="24">
        <v>30</v>
      </c>
      <c r="L710" s="24">
        <v>2379</v>
      </c>
      <c r="M710" s="24">
        <v>5790000</v>
      </c>
      <c r="N710" s="39">
        <v>46189</v>
      </c>
    </row>
    <row r="711" spans="1:14" s="5" customFormat="1" outlineLevel="2">
      <c r="A711" s="39" t="s">
        <v>257</v>
      </c>
      <c r="B711" s="40" t="s">
        <v>106</v>
      </c>
      <c r="C711" s="41" t="s">
        <v>248</v>
      </c>
      <c r="D711" s="40" t="s">
        <v>249</v>
      </c>
      <c r="E711" s="24">
        <v>120000000</v>
      </c>
      <c r="F711" s="39">
        <v>44399</v>
      </c>
      <c r="G711" s="24">
        <v>118524000</v>
      </c>
      <c r="H711" s="23">
        <v>5.0000000000000001E-3</v>
      </c>
      <c r="I711" s="39">
        <v>44440</v>
      </c>
      <c r="J711" s="39">
        <v>44453</v>
      </c>
      <c r="K711" s="24">
        <v>14</v>
      </c>
      <c r="L711" s="24">
        <v>22731</v>
      </c>
      <c r="M711" s="24">
        <v>117096000</v>
      </c>
      <c r="N711" s="39">
        <v>46224</v>
      </c>
    </row>
    <row r="712" spans="1:14" s="5" customFormat="1" outlineLevel="2">
      <c r="A712" s="39" t="s">
        <v>257</v>
      </c>
      <c r="B712" s="40" t="s">
        <v>106</v>
      </c>
      <c r="C712" s="41" t="s">
        <v>248</v>
      </c>
      <c r="D712" s="40"/>
      <c r="E712" s="24"/>
      <c r="F712" s="39"/>
      <c r="G712" s="24">
        <v>117096000</v>
      </c>
      <c r="H712" s="23">
        <v>5.0000000000000001E-3</v>
      </c>
      <c r="I712" s="39">
        <v>44454</v>
      </c>
      <c r="J712" s="39">
        <v>44469</v>
      </c>
      <c r="K712" s="24">
        <v>16</v>
      </c>
      <c r="L712" s="24">
        <v>25665</v>
      </c>
      <c r="M712" s="24"/>
      <c r="N712" s="39">
        <v>46224</v>
      </c>
    </row>
    <row r="713" spans="1:14" s="5" customFormat="1" outlineLevel="2">
      <c r="A713" s="39" t="s">
        <v>257</v>
      </c>
      <c r="B713" s="40" t="s">
        <v>59</v>
      </c>
      <c r="C713" s="41" t="s">
        <v>260</v>
      </c>
      <c r="D713" s="40" t="s">
        <v>261</v>
      </c>
      <c r="E713" s="24">
        <v>610000</v>
      </c>
      <c r="F713" s="39">
        <v>44085</v>
      </c>
      <c r="G713" s="24">
        <v>480000</v>
      </c>
      <c r="H713" s="23">
        <v>5.0000000000000001E-3</v>
      </c>
      <c r="I713" s="39">
        <v>44440</v>
      </c>
      <c r="J713" s="39">
        <v>44453</v>
      </c>
      <c r="K713" s="24">
        <v>14</v>
      </c>
      <c r="L713" s="24">
        <v>92</v>
      </c>
      <c r="M713" s="24">
        <v>470000</v>
      </c>
      <c r="N713" s="39">
        <v>45910</v>
      </c>
    </row>
    <row r="714" spans="1:14" s="5" customFormat="1" outlineLevel="2">
      <c r="A714" s="39" t="s">
        <v>257</v>
      </c>
      <c r="B714" s="40" t="s">
        <v>59</v>
      </c>
      <c r="C714" s="41" t="s">
        <v>260</v>
      </c>
      <c r="D714" s="40"/>
      <c r="E714" s="24"/>
      <c r="F714" s="39"/>
      <c r="G714" s="24">
        <v>470000</v>
      </c>
      <c r="H714" s="23">
        <v>5.0000000000000001E-3</v>
      </c>
      <c r="I714" s="39">
        <v>44454</v>
      </c>
      <c r="J714" s="39">
        <v>44469</v>
      </c>
      <c r="K714" s="24">
        <v>16</v>
      </c>
      <c r="L714" s="24">
        <v>103</v>
      </c>
      <c r="M714" s="24"/>
      <c r="N714" s="39">
        <v>45910</v>
      </c>
    </row>
    <row r="715" spans="1:14" s="5" customFormat="1" outlineLevel="2">
      <c r="A715" s="39" t="s">
        <v>257</v>
      </c>
      <c r="B715" s="40" t="s">
        <v>136</v>
      </c>
      <c r="C715" s="41" t="s">
        <v>262</v>
      </c>
      <c r="D715" s="40" t="s">
        <v>259</v>
      </c>
      <c r="E715" s="24">
        <v>39000000</v>
      </c>
      <c r="F715" s="39">
        <v>44425</v>
      </c>
      <c r="G715" s="24">
        <v>39000000</v>
      </c>
      <c r="H715" s="23">
        <v>5.0000000000000001E-3</v>
      </c>
      <c r="I715" s="39">
        <v>44440</v>
      </c>
      <c r="J715" s="39">
        <v>44453</v>
      </c>
      <c r="K715" s="24">
        <v>14</v>
      </c>
      <c r="L715" s="24">
        <v>7479</v>
      </c>
      <c r="M715" s="24">
        <v>38350000</v>
      </c>
      <c r="N715" s="39">
        <v>46250</v>
      </c>
    </row>
    <row r="716" spans="1:14" s="5" customFormat="1" outlineLevel="2">
      <c r="A716" s="39" t="s">
        <v>257</v>
      </c>
      <c r="B716" s="40" t="s">
        <v>136</v>
      </c>
      <c r="C716" s="41" t="s">
        <v>262</v>
      </c>
      <c r="D716" s="40"/>
      <c r="E716" s="24"/>
      <c r="F716" s="39"/>
      <c r="G716" s="24">
        <v>38350000</v>
      </c>
      <c r="H716" s="23">
        <v>5.0000000000000001E-3</v>
      </c>
      <c r="I716" s="39">
        <v>44454</v>
      </c>
      <c r="J716" s="39">
        <v>44469</v>
      </c>
      <c r="K716" s="24">
        <v>16</v>
      </c>
      <c r="L716" s="24">
        <v>8405</v>
      </c>
      <c r="M716" s="24"/>
      <c r="N716" s="39">
        <v>46250</v>
      </c>
    </row>
    <row r="717" spans="1:14" s="5" customFormat="1" outlineLevel="2">
      <c r="A717" s="39" t="s">
        <v>257</v>
      </c>
      <c r="B717" s="40" t="s">
        <v>137</v>
      </c>
      <c r="C717" s="41" t="s">
        <v>262</v>
      </c>
      <c r="D717" s="40" t="s">
        <v>259</v>
      </c>
      <c r="E717" s="24">
        <v>18080000</v>
      </c>
      <c r="F717" s="39">
        <v>44425</v>
      </c>
      <c r="G717" s="24">
        <v>18080000</v>
      </c>
      <c r="H717" s="23">
        <v>5.0000000000000001E-3</v>
      </c>
      <c r="I717" s="39">
        <v>44440</v>
      </c>
      <c r="J717" s="39">
        <v>44469</v>
      </c>
      <c r="K717" s="24">
        <v>30</v>
      </c>
      <c r="L717" s="24">
        <v>7430</v>
      </c>
      <c r="M717" s="24">
        <v>18080000</v>
      </c>
      <c r="N717" s="39">
        <v>46250</v>
      </c>
    </row>
    <row r="718" spans="1:14" s="5" customFormat="1" outlineLevel="2">
      <c r="A718" s="39" t="s">
        <v>257</v>
      </c>
      <c r="B718" s="40" t="s">
        <v>138</v>
      </c>
      <c r="C718" s="41" t="s">
        <v>398</v>
      </c>
      <c r="D718" s="40" t="s">
        <v>397</v>
      </c>
      <c r="E718" s="24">
        <v>2920000</v>
      </c>
      <c r="F718" s="39">
        <v>44439</v>
      </c>
      <c r="G718" s="24">
        <v>2920000</v>
      </c>
      <c r="H718" s="23">
        <v>5.0000000000000001E-3</v>
      </c>
      <c r="I718" s="39">
        <v>44440</v>
      </c>
      <c r="J718" s="39">
        <v>44453</v>
      </c>
      <c r="K718" s="24">
        <v>14</v>
      </c>
      <c r="L718" s="24">
        <v>560</v>
      </c>
      <c r="M718" s="24">
        <v>2895667</v>
      </c>
      <c r="N718" s="39">
        <v>46264</v>
      </c>
    </row>
    <row r="719" spans="1:14" s="5" customFormat="1" outlineLevel="2">
      <c r="A719" s="39" t="s">
        <v>257</v>
      </c>
      <c r="B719" s="40" t="s">
        <v>138</v>
      </c>
      <c r="C719" s="41" t="s">
        <v>398</v>
      </c>
      <c r="D719" s="40"/>
      <c r="E719" s="24"/>
      <c r="F719" s="39"/>
      <c r="G719" s="24">
        <v>2895667</v>
      </c>
      <c r="H719" s="23">
        <v>5.0000000000000001E-3</v>
      </c>
      <c r="I719" s="39">
        <v>44454</v>
      </c>
      <c r="J719" s="39">
        <v>44469</v>
      </c>
      <c r="K719" s="24">
        <v>16</v>
      </c>
      <c r="L719" s="24">
        <v>635</v>
      </c>
      <c r="M719" s="24"/>
      <c r="N719" s="39">
        <v>46264</v>
      </c>
    </row>
    <row r="720" spans="1:14" s="5" customFormat="1" outlineLevel="2">
      <c r="A720" s="39" t="s">
        <v>257</v>
      </c>
      <c r="B720" s="40" t="s">
        <v>139</v>
      </c>
      <c r="C720" s="41" t="s">
        <v>398</v>
      </c>
      <c r="D720" s="40" t="s">
        <v>397</v>
      </c>
      <c r="E720" s="24">
        <v>4770000</v>
      </c>
      <c r="F720" s="39">
        <v>44439</v>
      </c>
      <c r="G720" s="24">
        <v>4770000</v>
      </c>
      <c r="H720" s="23">
        <v>5.0000000000000001E-3</v>
      </c>
      <c r="I720" s="39">
        <v>44440</v>
      </c>
      <c r="J720" s="39">
        <v>44453</v>
      </c>
      <c r="K720" s="24">
        <v>14</v>
      </c>
      <c r="L720" s="24">
        <v>915</v>
      </c>
      <c r="M720" s="24">
        <v>4713214</v>
      </c>
      <c r="N720" s="39">
        <v>46264</v>
      </c>
    </row>
    <row r="721" spans="1:14" s="5" customFormat="1" outlineLevel="2">
      <c r="A721" s="39" t="s">
        <v>257</v>
      </c>
      <c r="B721" s="40" t="s">
        <v>139</v>
      </c>
      <c r="C721" s="41" t="s">
        <v>398</v>
      </c>
      <c r="D721" s="40"/>
      <c r="E721" s="24"/>
      <c r="F721" s="39"/>
      <c r="G721" s="24">
        <v>4713214</v>
      </c>
      <c r="H721" s="23">
        <v>5.0000000000000001E-3</v>
      </c>
      <c r="I721" s="39">
        <v>44454</v>
      </c>
      <c r="J721" s="39">
        <v>44469</v>
      </c>
      <c r="K721" s="24">
        <v>16</v>
      </c>
      <c r="L721" s="24">
        <v>1033</v>
      </c>
      <c r="M721" s="24"/>
      <c r="N721" s="39">
        <v>46264</v>
      </c>
    </row>
    <row r="722" spans="1:14" s="5" customFormat="1" outlineLevel="2">
      <c r="A722" s="39" t="s">
        <v>257</v>
      </c>
      <c r="B722" s="40" t="s">
        <v>140</v>
      </c>
      <c r="C722" s="41" t="s">
        <v>260</v>
      </c>
      <c r="D722" s="40" t="s">
        <v>261</v>
      </c>
      <c r="E722" s="24">
        <v>1930000</v>
      </c>
      <c r="F722" s="39">
        <v>44427</v>
      </c>
      <c r="G722" s="24">
        <v>1930000</v>
      </c>
      <c r="H722" s="23">
        <v>5.0000000000000001E-3</v>
      </c>
      <c r="I722" s="39">
        <v>44440</v>
      </c>
      <c r="J722" s="39">
        <v>44469</v>
      </c>
      <c r="K722" s="24">
        <v>30</v>
      </c>
      <c r="L722" s="24">
        <v>793</v>
      </c>
      <c r="M722" s="24">
        <v>1930000</v>
      </c>
      <c r="N722" s="39">
        <v>46252</v>
      </c>
    </row>
    <row r="723" spans="1:14" s="5" customFormat="1" outlineLevel="2">
      <c r="A723" s="39" t="s">
        <v>257</v>
      </c>
      <c r="B723" s="40" t="s">
        <v>169</v>
      </c>
      <c r="C723" s="41" t="s">
        <v>262</v>
      </c>
      <c r="D723" s="40" t="s">
        <v>259</v>
      </c>
      <c r="E723" s="24">
        <v>4800000</v>
      </c>
      <c r="F723" s="39">
        <v>44454</v>
      </c>
      <c r="G723" s="24">
        <v>4800000</v>
      </c>
      <c r="H723" s="23">
        <v>5.0000000000000001E-3</v>
      </c>
      <c r="I723" s="39">
        <v>44454</v>
      </c>
      <c r="J723" s="39">
        <v>44469</v>
      </c>
      <c r="K723" s="24">
        <v>16</v>
      </c>
      <c r="L723" s="24">
        <v>1052</v>
      </c>
      <c r="M723" s="24">
        <v>4800000</v>
      </c>
      <c r="N723" s="39">
        <v>46279</v>
      </c>
    </row>
    <row r="724" spans="1:14" s="5" customFormat="1" outlineLevel="2">
      <c r="A724" s="39" t="s">
        <v>257</v>
      </c>
      <c r="B724" s="40" t="s">
        <v>170</v>
      </c>
      <c r="C724" s="41" t="s">
        <v>262</v>
      </c>
      <c r="D724" s="40" t="s">
        <v>259</v>
      </c>
      <c r="E724" s="24">
        <v>1200000</v>
      </c>
      <c r="F724" s="39">
        <v>44454</v>
      </c>
      <c r="G724" s="24">
        <v>1200000</v>
      </c>
      <c r="H724" s="23">
        <v>5.0000000000000001E-3</v>
      </c>
      <c r="I724" s="39">
        <v>44454</v>
      </c>
      <c r="J724" s="39">
        <v>44469</v>
      </c>
      <c r="K724" s="24">
        <v>16</v>
      </c>
      <c r="L724" s="24">
        <v>263</v>
      </c>
      <c r="M724" s="24">
        <v>1200000</v>
      </c>
      <c r="N724" s="39">
        <v>45549</v>
      </c>
    </row>
    <row r="725" spans="1:14" s="5" customFormat="1" outlineLevel="2">
      <c r="A725" s="39" t="s">
        <v>257</v>
      </c>
      <c r="B725" s="40" t="s">
        <v>171</v>
      </c>
      <c r="C725" s="41" t="s">
        <v>262</v>
      </c>
      <c r="D725" s="40" t="s">
        <v>259</v>
      </c>
      <c r="E725" s="24">
        <v>10700000</v>
      </c>
      <c r="F725" s="39">
        <v>44454</v>
      </c>
      <c r="G725" s="24">
        <v>10700000</v>
      </c>
      <c r="H725" s="23">
        <v>5.0000000000000001E-3</v>
      </c>
      <c r="I725" s="39">
        <v>44454</v>
      </c>
      <c r="J725" s="39">
        <v>44469</v>
      </c>
      <c r="K725" s="24">
        <v>16</v>
      </c>
      <c r="L725" s="24">
        <v>2345</v>
      </c>
      <c r="M725" s="24">
        <v>10700000</v>
      </c>
      <c r="N725" s="39">
        <v>46279</v>
      </c>
    </row>
    <row r="726" spans="1:14" s="5" customFormat="1" outlineLevel="2">
      <c r="A726" s="39" t="s">
        <v>257</v>
      </c>
      <c r="B726" s="40" t="s">
        <v>172</v>
      </c>
      <c r="C726" s="41" t="s">
        <v>262</v>
      </c>
      <c r="D726" s="40" t="s">
        <v>259</v>
      </c>
      <c r="E726" s="24">
        <v>14460000</v>
      </c>
      <c r="F726" s="39">
        <v>44456</v>
      </c>
      <c r="G726" s="24">
        <v>14460000</v>
      </c>
      <c r="H726" s="23">
        <v>5.0000000000000001E-3</v>
      </c>
      <c r="I726" s="39">
        <v>44456</v>
      </c>
      <c r="J726" s="39">
        <v>44469</v>
      </c>
      <c r="K726" s="24">
        <v>14</v>
      </c>
      <c r="L726" s="24">
        <v>2773</v>
      </c>
      <c r="M726" s="24">
        <v>14460000</v>
      </c>
      <c r="N726" s="39">
        <v>46281</v>
      </c>
    </row>
    <row r="727" spans="1:14" s="5" customFormat="1" outlineLevel="2">
      <c r="A727" s="39" t="s">
        <v>257</v>
      </c>
      <c r="B727" s="40" t="s">
        <v>173</v>
      </c>
      <c r="C727" s="41" t="s">
        <v>262</v>
      </c>
      <c r="D727" s="40" t="s">
        <v>259</v>
      </c>
      <c r="E727" s="24">
        <v>7200000</v>
      </c>
      <c r="F727" s="39">
        <v>44456</v>
      </c>
      <c r="G727" s="24">
        <v>7200000</v>
      </c>
      <c r="H727" s="23">
        <v>5.0000000000000001E-3</v>
      </c>
      <c r="I727" s="39">
        <v>44456</v>
      </c>
      <c r="J727" s="39">
        <v>44469</v>
      </c>
      <c r="K727" s="24">
        <v>14</v>
      </c>
      <c r="L727" s="24">
        <v>1381</v>
      </c>
      <c r="M727" s="24">
        <v>7200000</v>
      </c>
      <c r="N727" s="39">
        <v>46281</v>
      </c>
    </row>
    <row r="728" spans="1:14" s="5" customFormat="1" outlineLevel="2">
      <c r="A728" s="39" t="s">
        <v>257</v>
      </c>
      <c r="B728" s="40" t="s">
        <v>62</v>
      </c>
      <c r="C728" s="41" t="s">
        <v>262</v>
      </c>
      <c r="D728" s="40" t="s">
        <v>259</v>
      </c>
      <c r="E728" s="24">
        <v>18080000</v>
      </c>
      <c r="F728" s="39">
        <v>44102</v>
      </c>
      <c r="G728" s="24">
        <v>18080000</v>
      </c>
      <c r="H728" s="23">
        <v>5.0000000000000001E-3</v>
      </c>
      <c r="I728" s="39">
        <v>44440</v>
      </c>
      <c r="J728" s="39">
        <v>44469</v>
      </c>
      <c r="K728" s="24">
        <v>30</v>
      </c>
      <c r="L728" s="24">
        <v>7430</v>
      </c>
      <c r="M728" s="24">
        <v>18080000</v>
      </c>
      <c r="N728" s="39">
        <v>45927</v>
      </c>
    </row>
    <row r="729" spans="1:14" s="5" customFormat="1" outlineLevel="2">
      <c r="A729" s="39" t="s">
        <v>257</v>
      </c>
      <c r="B729" s="40" t="s">
        <v>174</v>
      </c>
      <c r="C729" s="41" t="s">
        <v>262</v>
      </c>
      <c r="D729" s="40" t="s">
        <v>259</v>
      </c>
      <c r="E729" s="24">
        <v>8680000</v>
      </c>
      <c r="F729" s="39">
        <v>44456</v>
      </c>
      <c r="G729" s="24">
        <v>8680000</v>
      </c>
      <c r="H729" s="23">
        <v>5.0000000000000001E-3</v>
      </c>
      <c r="I729" s="39">
        <v>44456</v>
      </c>
      <c r="J729" s="39">
        <v>44469</v>
      </c>
      <c r="K729" s="24">
        <v>14</v>
      </c>
      <c r="L729" s="24">
        <v>1665</v>
      </c>
      <c r="M729" s="24">
        <v>8680000</v>
      </c>
      <c r="N729" s="39">
        <v>46281</v>
      </c>
    </row>
    <row r="730" spans="1:14" s="5" customFormat="1" outlineLevel="2">
      <c r="A730" s="39" t="s">
        <v>257</v>
      </c>
      <c r="B730" s="40" t="s">
        <v>175</v>
      </c>
      <c r="C730" s="41" t="s">
        <v>398</v>
      </c>
      <c r="D730" s="40" t="s">
        <v>397</v>
      </c>
      <c r="E730" s="24">
        <v>153080000</v>
      </c>
      <c r="F730" s="39">
        <v>44466</v>
      </c>
      <c r="G730" s="24">
        <v>153080000</v>
      </c>
      <c r="H730" s="23">
        <v>5.0000000000000001E-3</v>
      </c>
      <c r="I730" s="39">
        <v>44466</v>
      </c>
      <c r="J730" s="39">
        <v>44469</v>
      </c>
      <c r="K730" s="24">
        <v>4</v>
      </c>
      <c r="L730" s="24">
        <v>8388</v>
      </c>
      <c r="M730" s="24">
        <v>153080000</v>
      </c>
      <c r="N730" s="39">
        <v>46291</v>
      </c>
    </row>
    <row r="731" spans="1:14" s="5" customFormat="1" outlineLevel="2">
      <c r="A731" s="39" t="s">
        <v>257</v>
      </c>
      <c r="B731" s="40" t="s">
        <v>176</v>
      </c>
      <c r="C731" s="41" t="s">
        <v>260</v>
      </c>
      <c r="D731" s="40" t="s">
        <v>261</v>
      </c>
      <c r="E731" s="24">
        <v>50510000</v>
      </c>
      <c r="F731" s="39">
        <v>44469</v>
      </c>
      <c r="G731" s="24">
        <v>50510000</v>
      </c>
      <c r="H731" s="23">
        <v>5.0000000000000001E-3</v>
      </c>
      <c r="I731" s="39">
        <v>44469</v>
      </c>
      <c r="J731" s="39">
        <v>44469</v>
      </c>
      <c r="K731" s="24">
        <v>1</v>
      </c>
      <c r="L731" s="24">
        <v>692</v>
      </c>
      <c r="M731" s="24">
        <v>50510000</v>
      </c>
      <c r="N731" s="39">
        <v>46294</v>
      </c>
    </row>
    <row r="732" spans="1:14" s="5" customFormat="1" outlineLevel="2">
      <c r="A732" s="39" t="s">
        <v>257</v>
      </c>
      <c r="B732" s="40" t="s">
        <v>63</v>
      </c>
      <c r="C732" s="41" t="s">
        <v>262</v>
      </c>
      <c r="D732" s="40" t="s">
        <v>259</v>
      </c>
      <c r="E732" s="24">
        <v>50630000</v>
      </c>
      <c r="F732" s="39">
        <v>44131</v>
      </c>
      <c r="G732" s="24">
        <v>50630000</v>
      </c>
      <c r="H732" s="23">
        <v>5.0000000000000001E-3</v>
      </c>
      <c r="I732" s="39">
        <v>44440</v>
      </c>
      <c r="J732" s="39">
        <v>44469</v>
      </c>
      <c r="K732" s="24">
        <v>30</v>
      </c>
      <c r="L732" s="24">
        <v>20807</v>
      </c>
      <c r="M732" s="24">
        <v>50630000</v>
      </c>
      <c r="N732" s="39">
        <v>45956</v>
      </c>
    </row>
    <row r="733" spans="1:14" s="5" customFormat="1" outlineLevel="2">
      <c r="A733" s="39" t="s">
        <v>257</v>
      </c>
      <c r="B733" s="40" t="s">
        <v>64</v>
      </c>
      <c r="C733" s="41" t="s">
        <v>260</v>
      </c>
      <c r="D733" s="40" t="s">
        <v>261</v>
      </c>
      <c r="E733" s="24">
        <v>710000</v>
      </c>
      <c r="F733" s="39">
        <v>44110</v>
      </c>
      <c r="G733" s="24">
        <v>576000</v>
      </c>
      <c r="H733" s="23">
        <v>5.0000000000000001E-3</v>
      </c>
      <c r="I733" s="39">
        <v>44440</v>
      </c>
      <c r="J733" s="39">
        <v>44453</v>
      </c>
      <c r="K733" s="24">
        <v>14</v>
      </c>
      <c r="L733" s="24">
        <v>110</v>
      </c>
      <c r="M733" s="24">
        <v>564000</v>
      </c>
      <c r="N733" s="39">
        <v>45935</v>
      </c>
    </row>
    <row r="734" spans="1:14" s="5" customFormat="1" outlineLevel="2">
      <c r="A734" s="39" t="s">
        <v>257</v>
      </c>
      <c r="B734" s="40" t="s">
        <v>64</v>
      </c>
      <c r="C734" s="41" t="s">
        <v>260</v>
      </c>
      <c r="D734" s="40"/>
      <c r="E734" s="24"/>
      <c r="F734" s="39"/>
      <c r="G734" s="24">
        <v>564000</v>
      </c>
      <c r="H734" s="23">
        <v>5.0000000000000001E-3</v>
      </c>
      <c r="I734" s="39">
        <v>44454</v>
      </c>
      <c r="J734" s="39">
        <v>44469</v>
      </c>
      <c r="K734" s="24">
        <v>16</v>
      </c>
      <c r="L734" s="24">
        <v>124</v>
      </c>
      <c r="M734" s="24"/>
      <c r="N734" s="39">
        <v>45935</v>
      </c>
    </row>
    <row r="735" spans="1:14" s="5" customFormat="1" outlineLevel="2">
      <c r="A735" s="39" t="s">
        <v>257</v>
      </c>
      <c r="B735" s="40" t="s">
        <v>65</v>
      </c>
      <c r="C735" s="41" t="s">
        <v>260</v>
      </c>
      <c r="D735" s="40" t="s">
        <v>261</v>
      </c>
      <c r="E735" s="24">
        <v>830000</v>
      </c>
      <c r="F735" s="39">
        <v>44137</v>
      </c>
      <c r="G735" s="24">
        <v>672000</v>
      </c>
      <c r="H735" s="23">
        <v>5.0000000000000001E-3</v>
      </c>
      <c r="I735" s="39">
        <v>44440</v>
      </c>
      <c r="J735" s="39">
        <v>44453</v>
      </c>
      <c r="K735" s="24">
        <v>14</v>
      </c>
      <c r="L735" s="24">
        <v>129</v>
      </c>
      <c r="M735" s="24">
        <v>658000</v>
      </c>
      <c r="N735" s="39">
        <v>45962</v>
      </c>
    </row>
    <row r="736" spans="1:14" s="5" customFormat="1" outlineLevel="2">
      <c r="A736" s="39" t="s">
        <v>257</v>
      </c>
      <c r="B736" s="40" t="s">
        <v>65</v>
      </c>
      <c r="C736" s="41" t="s">
        <v>260</v>
      </c>
      <c r="D736" s="40"/>
      <c r="E736" s="24"/>
      <c r="F736" s="39"/>
      <c r="G736" s="24">
        <v>658000</v>
      </c>
      <c r="H736" s="23">
        <v>5.0000000000000001E-3</v>
      </c>
      <c r="I736" s="39">
        <v>44454</v>
      </c>
      <c r="J736" s="39">
        <v>44469</v>
      </c>
      <c r="K736" s="24">
        <v>16</v>
      </c>
      <c r="L736" s="24">
        <v>144</v>
      </c>
      <c r="M736" s="24"/>
      <c r="N736" s="39">
        <v>45962</v>
      </c>
    </row>
    <row r="737" spans="1:14" s="5" customFormat="1" outlineLevel="2">
      <c r="A737" s="39" t="s">
        <v>257</v>
      </c>
      <c r="B737" s="40" t="s">
        <v>68</v>
      </c>
      <c r="C737" s="41" t="s">
        <v>260</v>
      </c>
      <c r="D737" s="40" t="s">
        <v>261</v>
      </c>
      <c r="E737" s="24">
        <v>180000</v>
      </c>
      <c r="F737" s="39">
        <v>44141</v>
      </c>
      <c r="G737" s="24">
        <v>144000</v>
      </c>
      <c r="H737" s="23">
        <v>5.0000000000000001E-3</v>
      </c>
      <c r="I737" s="39">
        <v>44440</v>
      </c>
      <c r="J737" s="39">
        <v>44453</v>
      </c>
      <c r="K737" s="24">
        <v>14</v>
      </c>
      <c r="L737" s="24">
        <v>28</v>
      </c>
      <c r="M737" s="24">
        <v>141000</v>
      </c>
      <c r="N737" s="39">
        <v>45966</v>
      </c>
    </row>
    <row r="738" spans="1:14" s="5" customFormat="1" outlineLevel="2">
      <c r="A738" s="39" t="s">
        <v>257</v>
      </c>
      <c r="B738" s="40" t="s">
        <v>68</v>
      </c>
      <c r="C738" s="41" t="s">
        <v>260</v>
      </c>
      <c r="D738" s="40"/>
      <c r="E738" s="24"/>
      <c r="F738" s="39"/>
      <c r="G738" s="24">
        <v>141000</v>
      </c>
      <c r="H738" s="23">
        <v>5.0000000000000001E-3</v>
      </c>
      <c r="I738" s="39">
        <v>44454</v>
      </c>
      <c r="J738" s="39">
        <v>44469</v>
      </c>
      <c r="K738" s="24">
        <v>16</v>
      </c>
      <c r="L738" s="24">
        <v>31</v>
      </c>
      <c r="M738" s="24"/>
      <c r="N738" s="39">
        <v>45966</v>
      </c>
    </row>
    <row r="739" spans="1:14" s="5" customFormat="1" outlineLevel="1">
      <c r="A739" s="42" t="s">
        <v>263</v>
      </c>
      <c r="B739" s="43"/>
      <c r="C739" s="44"/>
      <c r="D739" s="43"/>
      <c r="E739" s="45">
        <v>1275630000</v>
      </c>
      <c r="F739" s="46"/>
      <c r="G739" s="45"/>
      <c r="H739" s="47"/>
      <c r="I739" s="46"/>
      <c r="J739" s="46"/>
      <c r="K739" s="45"/>
      <c r="L739" s="45">
        <v>429180</v>
      </c>
      <c r="M739" s="45">
        <v>1246730669</v>
      </c>
      <c r="N739" s="46"/>
    </row>
    <row r="740" spans="1:14" s="5" customFormat="1" outlineLevel="2">
      <c r="A740" s="39" t="s">
        <v>264</v>
      </c>
      <c r="B740" s="40" t="s">
        <v>16</v>
      </c>
      <c r="C740" s="41" t="s">
        <v>27</v>
      </c>
      <c r="D740" s="40" t="s">
        <v>28</v>
      </c>
      <c r="E740" s="24">
        <v>26000000</v>
      </c>
      <c r="F740" s="39">
        <v>44140</v>
      </c>
      <c r="G740" s="24">
        <v>26000000</v>
      </c>
      <c r="H740" s="23">
        <v>5.0000000000000001E-3</v>
      </c>
      <c r="I740" s="39">
        <v>44440</v>
      </c>
      <c r="J740" s="39">
        <v>44469</v>
      </c>
      <c r="K740" s="24">
        <v>30</v>
      </c>
      <c r="L740" s="24">
        <v>10685</v>
      </c>
      <c r="M740" s="24">
        <v>26000000</v>
      </c>
      <c r="N740" s="39">
        <v>45965</v>
      </c>
    </row>
    <row r="741" spans="1:14" s="5" customFormat="1" outlineLevel="2">
      <c r="A741" s="39" t="s">
        <v>264</v>
      </c>
      <c r="B741" s="40" t="s">
        <v>39</v>
      </c>
      <c r="C741" s="41" t="s">
        <v>27</v>
      </c>
      <c r="D741" s="40" t="s">
        <v>28</v>
      </c>
      <c r="E741" s="24">
        <v>10250000</v>
      </c>
      <c r="F741" s="39">
        <v>44140</v>
      </c>
      <c r="G741" s="24">
        <v>10250000</v>
      </c>
      <c r="H741" s="23">
        <v>5.0000000000000001E-3</v>
      </c>
      <c r="I741" s="39">
        <v>44440</v>
      </c>
      <c r="J741" s="39">
        <v>44469</v>
      </c>
      <c r="K741" s="24">
        <v>30</v>
      </c>
      <c r="L741" s="24">
        <v>4212</v>
      </c>
      <c r="M741" s="24">
        <v>10250000</v>
      </c>
      <c r="N741" s="39">
        <v>45965</v>
      </c>
    </row>
    <row r="742" spans="1:14" s="5" customFormat="1" outlineLevel="2">
      <c r="A742" s="39" t="s">
        <v>264</v>
      </c>
      <c r="B742" s="40" t="s">
        <v>54</v>
      </c>
      <c r="C742" s="41" t="s">
        <v>27</v>
      </c>
      <c r="D742" s="40" t="s">
        <v>28</v>
      </c>
      <c r="E742" s="24">
        <v>3960000</v>
      </c>
      <c r="F742" s="39">
        <v>44148</v>
      </c>
      <c r="G742" s="24">
        <v>3960000</v>
      </c>
      <c r="H742" s="23">
        <v>5.0000000000000001E-3</v>
      </c>
      <c r="I742" s="39">
        <v>44440</v>
      </c>
      <c r="J742" s="39">
        <v>44469</v>
      </c>
      <c r="K742" s="24">
        <v>30</v>
      </c>
      <c r="L742" s="24">
        <v>1627</v>
      </c>
      <c r="M742" s="24">
        <v>3960000</v>
      </c>
      <c r="N742" s="39">
        <v>45973</v>
      </c>
    </row>
    <row r="743" spans="1:14" s="5" customFormat="1" outlineLevel="2">
      <c r="A743" s="39" t="s">
        <v>264</v>
      </c>
      <c r="B743" s="40" t="s">
        <v>59</v>
      </c>
      <c r="C743" s="41" t="s">
        <v>27</v>
      </c>
      <c r="D743" s="40" t="s">
        <v>28</v>
      </c>
      <c r="E743" s="24">
        <v>8000000</v>
      </c>
      <c r="F743" s="39">
        <v>44244</v>
      </c>
      <c r="G743" s="24">
        <v>8000000</v>
      </c>
      <c r="H743" s="23">
        <v>5.0000000000000001E-3</v>
      </c>
      <c r="I743" s="39">
        <v>44440</v>
      </c>
      <c r="J743" s="39">
        <v>44469</v>
      </c>
      <c r="K743" s="24">
        <v>30</v>
      </c>
      <c r="L743" s="24">
        <v>3288</v>
      </c>
      <c r="M743" s="24">
        <v>8000000</v>
      </c>
      <c r="N743" s="39">
        <v>46069</v>
      </c>
    </row>
    <row r="744" spans="1:14" s="5" customFormat="1" outlineLevel="2">
      <c r="A744" s="39" t="s">
        <v>264</v>
      </c>
      <c r="B744" s="40" t="s">
        <v>62</v>
      </c>
      <c r="C744" s="41" t="s">
        <v>27</v>
      </c>
      <c r="D744" s="40" t="s">
        <v>28</v>
      </c>
      <c r="E744" s="24">
        <v>28560000</v>
      </c>
      <c r="F744" s="39">
        <v>44403</v>
      </c>
      <c r="G744" s="24">
        <v>28560000</v>
      </c>
      <c r="H744" s="23">
        <v>5.0000000000000001E-3</v>
      </c>
      <c r="I744" s="39">
        <v>44440</v>
      </c>
      <c r="J744" s="39">
        <v>44469</v>
      </c>
      <c r="K744" s="24">
        <v>30</v>
      </c>
      <c r="L744" s="24">
        <v>11737</v>
      </c>
      <c r="M744" s="24">
        <v>28560000</v>
      </c>
      <c r="N744" s="39">
        <v>46228</v>
      </c>
    </row>
    <row r="745" spans="1:14" s="5" customFormat="1" outlineLevel="1">
      <c r="A745" s="42" t="s">
        <v>265</v>
      </c>
      <c r="B745" s="43"/>
      <c r="C745" s="44"/>
      <c r="D745" s="43"/>
      <c r="E745" s="45">
        <v>76770000</v>
      </c>
      <c r="F745" s="46"/>
      <c r="G745" s="45"/>
      <c r="H745" s="47"/>
      <c r="I745" s="46"/>
      <c r="J745" s="46"/>
      <c r="K745" s="45"/>
      <c r="L745" s="45">
        <v>31549</v>
      </c>
      <c r="M745" s="45">
        <v>76770000</v>
      </c>
      <c r="N745" s="46"/>
    </row>
    <row r="746" spans="1:14" s="5" customFormat="1" outlineLevel="2">
      <c r="A746" s="39" t="s">
        <v>266</v>
      </c>
      <c r="B746" s="40" t="s">
        <v>16</v>
      </c>
      <c r="C746" s="41" t="s">
        <v>128</v>
      </c>
      <c r="D746" s="40" t="s">
        <v>129</v>
      </c>
      <c r="E746" s="24">
        <v>50000000</v>
      </c>
      <c r="F746" s="39">
        <v>44099</v>
      </c>
      <c r="G746" s="24">
        <v>50000000</v>
      </c>
      <c r="H746" s="23">
        <v>5.0000000000000001E-3</v>
      </c>
      <c r="I746" s="39">
        <v>44440</v>
      </c>
      <c r="J746" s="39">
        <v>44469</v>
      </c>
      <c r="K746" s="24">
        <v>30</v>
      </c>
      <c r="L746" s="24">
        <v>20548</v>
      </c>
      <c r="M746" s="24">
        <v>50000000</v>
      </c>
      <c r="N746" s="39">
        <v>45924</v>
      </c>
    </row>
    <row r="747" spans="1:14" s="5" customFormat="1" outlineLevel="2">
      <c r="A747" s="39" t="s">
        <v>266</v>
      </c>
      <c r="B747" s="40" t="s">
        <v>39</v>
      </c>
      <c r="C747" s="41" t="s">
        <v>128</v>
      </c>
      <c r="D747" s="40" t="s">
        <v>129</v>
      </c>
      <c r="E747" s="24">
        <v>30000000</v>
      </c>
      <c r="F747" s="39">
        <v>44232</v>
      </c>
      <c r="G747" s="24">
        <v>30000000</v>
      </c>
      <c r="H747" s="23">
        <v>5.0000000000000001E-3</v>
      </c>
      <c r="I747" s="39">
        <v>44440</v>
      </c>
      <c r="J747" s="39">
        <v>44469</v>
      </c>
      <c r="K747" s="24">
        <v>30</v>
      </c>
      <c r="L747" s="24">
        <v>12329</v>
      </c>
      <c r="M747" s="24">
        <v>30000000</v>
      </c>
      <c r="N747" s="39">
        <v>46057</v>
      </c>
    </row>
    <row r="748" spans="1:14" s="5" customFormat="1" outlineLevel="1">
      <c r="A748" s="42" t="s">
        <v>267</v>
      </c>
      <c r="B748" s="43"/>
      <c r="C748" s="44"/>
      <c r="D748" s="43"/>
      <c r="E748" s="45">
        <v>80000000</v>
      </c>
      <c r="F748" s="46"/>
      <c r="G748" s="45"/>
      <c r="H748" s="47"/>
      <c r="I748" s="46"/>
      <c r="J748" s="46"/>
      <c r="K748" s="45"/>
      <c r="L748" s="45">
        <v>32877</v>
      </c>
      <c r="M748" s="45">
        <v>80000000</v>
      </c>
      <c r="N748" s="46"/>
    </row>
    <row r="749" spans="1:14" s="5" customFormat="1" outlineLevel="2">
      <c r="A749" s="39" t="s">
        <v>268</v>
      </c>
      <c r="B749" s="40" t="s">
        <v>16</v>
      </c>
      <c r="C749" s="41" t="s">
        <v>20</v>
      </c>
      <c r="D749" s="40" t="s">
        <v>21</v>
      </c>
      <c r="E749" s="24">
        <v>43200000</v>
      </c>
      <c r="F749" s="39">
        <v>43937</v>
      </c>
      <c r="G749" s="24">
        <v>43200000</v>
      </c>
      <c r="H749" s="23">
        <v>3.0000000000000001E-3</v>
      </c>
      <c r="I749" s="39">
        <v>44440</v>
      </c>
      <c r="J749" s="39">
        <v>44469</v>
      </c>
      <c r="K749" s="24">
        <v>30</v>
      </c>
      <c r="L749" s="24">
        <v>10652</v>
      </c>
      <c r="M749" s="24">
        <v>43200000</v>
      </c>
      <c r="N749" s="39">
        <v>45762</v>
      </c>
    </row>
    <row r="750" spans="1:14" s="5" customFormat="1" outlineLevel="2">
      <c r="A750" s="39" t="s">
        <v>268</v>
      </c>
      <c r="B750" s="40" t="s">
        <v>39</v>
      </c>
      <c r="C750" s="41" t="s">
        <v>20</v>
      </c>
      <c r="D750" s="40" t="s">
        <v>21</v>
      </c>
      <c r="E750" s="24">
        <v>330000000</v>
      </c>
      <c r="F750" s="39">
        <v>44013</v>
      </c>
      <c r="G750" s="24">
        <v>330000000</v>
      </c>
      <c r="H750" s="23">
        <v>3.0000000000000001E-3</v>
      </c>
      <c r="I750" s="39">
        <v>44440</v>
      </c>
      <c r="J750" s="39">
        <v>44469</v>
      </c>
      <c r="K750" s="24">
        <v>30</v>
      </c>
      <c r="L750" s="24">
        <v>81370</v>
      </c>
      <c r="M750" s="24">
        <v>330000000</v>
      </c>
      <c r="N750" s="39">
        <v>45838</v>
      </c>
    </row>
    <row r="751" spans="1:14" s="5" customFormat="1" outlineLevel="2">
      <c r="A751" s="39" t="s">
        <v>268</v>
      </c>
      <c r="B751" s="40" t="s">
        <v>54</v>
      </c>
      <c r="C751" s="41" t="s">
        <v>20</v>
      </c>
      <c r="D751" s="40" t="s">
        <v>21</v>
      </c>
      <c r="E751" s="24">
        <v>120000000</v>
      </c>
      <c r="F751" s="39">
        <v>44049</v>
      </c>
      <c r="G751" s="24">
        <v>120000000</v>
      </c>
      <c r="H751" s="23">
        <v>3.0000000000000001E-3</v>
      </c>
      <c r="I751" s="39">
        <v>44440</v>
      </c>
      <c r="J751" s="39">
        <v>44469</v>
      </c>
      <c r="K751" s="24">
        <v>30</v>
      </c>
      <c r="L751" s="24">
        <v>29589</v>
      </c>
      <c r="M751" s="24">
        <v>120000000</v>
      </c>
      <c r="N751" s="39">
        <v>45874</v>
      </c>
    </row>
    <row r="752" spans="1:14" s="5" customFormat="1" outlineLevel="2">
      <c r="A752" s="39" t="s">
        <v>268</v>
      </c>
      <c r="B752" s="40" t="s">
        <v>59</v>
      </c>
      <c r="C752" s="41" t="s">
        <v>20</v>
      </c>
      <c r="D752" s="40" t="s">
        <v>21</v>
      </c>
      <c r="E752" s="24">
        <v>39840000</v>
      </c>
      <c r="F752" s="39">
        <v>44111</v>
      </c>
      <c r="G752" s="24">
        <v>39840000</v>
      </c>
      <c r="H752" s="23">
        <v>3.0000000000000001E-3</v>
      </c>
      <c r="I752" s="39">
        <v>44440</v>
      </c>
      <c r="J752" s="39">
        <v>44469</v>
      </c>
      <c r="K752" s="24">
        <v>30</v>
      </c>
      <c r="L752" s="24">
        <v>9824</v>
      </c>
      <c r="M752" s="24">
        <v>39840000</v>
      </c>
      <c r="N752" s="39">
        <v>45936</v>
      </c>
    </row>
    <row r="753" spans="1:14" s="5" customFormat="1" outlineLevel="2">
      <c r="A753" s="39" t="s">
        <v>268</v>
      </c>
      <c r="B753" s="40" t="s">
        <v>62</v>
      </c>
      <c r="C753" s="41" t="s">
        <v>20</v>
      </c>
      <c r="D753" s="40" t="s">
        <v>21</v>
      </c>
      <c r="E753" s="24">
        <v>252000000</v>
      </c>
      <c r="F753" s="39">
        <v>44231</v>
      </c>
      <c r="G753" s="24">
        <v>252000000</v>
      </c>
      <c r="H753" s="23">
        <v>3.0000000000000001E-3</v>
      </c>
      <c r="I753" s="39">
        <v>44440</v>
      </c>
      <c r="J753" s="39">
        <v>44469</v>
      </c>
      <c r="K753" s="24">
        <v>30</v>
      </c>
      <c r="L753" s="24">
        <v>62137</v>
      </c>
      <c r="M753" s="24">
        <v>252000000</v>
      </c>
      <c r="N753" s="39">
        <v>46056</v>
      </c>
    </row>
    <row r="754" spans="1:14" s="5" customFormat="1" outlineLevel="2">
      <c r="A754" s="39" t="s">
        <v>268</v>
      </c>
      <c r="B754" s="40" t="s">
        <v>63</v>
      </c>
      <c r="C754" s="41" t="s">
        <v>280</v>
      </c>
      <c r="D754" s="40" t="s">
        <v>281</v>
      </c>
      <c r="E754" s="24">
        <v>250000000</v>
      </c>
      <c r="F754" s="39">
        <v>44228</v>
      </c>
      <c r="G754" s="24">
        <v>250000000</v>
      </c>
      <c r="H754" s="23">
        <v>3.0000000000000001E-3</v>
      </c>
      <c r="I754" s="39">
        <v>44440</v>
      </c>
      <c r="J754" s="39">
        <v>44469</v>
      </c>
      <c r="K754" s="24">
        <v>30</v>
      </c>
      <c r="L754" s="24">
        <v>61644</v>
      </c>
      <c r="M754" s="24">
        <v>250000000</v>
      </c>
      <c r="N754" s="39">
        <v>46053</v>
      </c>
    </row>
    <row r="755" spans="1:14" s="5" customFormat="1" outlineLevel="2">
      <c r="A755" s="39" t="s">
        <v>268</v>
      </c>
      <c r="B755" s="40" t="s">
        <v>64</v>
      </c>
      <c r="C755" s="41" t="s">
        <v>280</v>
      </c>
      <c r="D755" s="40" t="s">
        <v>281</v>
      </c>
      <c r="E755" s="24">
        <v>50000000</v>
      </c>
      <c r="F755" s="39">
        <v>44347</v>
      </c>
      <c r="G755" s="24">
        <v>50000000</v>
      </c>
      <c r="H755" s="23">
        <v>3.0000000000000001E-3</v>
      </c>
      <c r="I755" s="39">
        <v>44440</v>
      </c>
      <c r="J755" s="39">
        <v>44469</v>
      </c>
      <c r="K755" s="24">
        <v>30</v>
      </c>
      <c r="L755" s="24">
        <v>12329</v>
      </c>
      <c r="M755" s="24">
        <v>50000000</v>
      </c>
      <c r="N755" s="39">
        <v>45807</v>
      </c>
    </row>
    <row r="756" spans="1:14" s="5" customFormat="1" outlineLevel="1">
      <c r="A756" s="42" t="s">
        <v>269</v>
      </c>
      <c r="B756" s="43"/>
      <c r="C756" s="44"/>
      <c r="D756" s="43"/>
      <c r="E756" s="45">
        <v>1085040000</v>
      </c>
      <c r="F756" s="46"/>
      <c r="G756" s="45"/>
      <c r="H756" s="47"/>
      <c r="I756" s="46"/>
      <c r="J756" s="46"/>
      <c r="K756" s="45"/>
      <c r="L756" s="45">
        <v>267545</v>
      </c>
      <c r="M756" s="45">
        <v>1085040000</v>
      </c>
      <c r="N756" s="46"/>
    </row>
    <row r="757" spans="1:14" s="5" customFormat="1" outlineLevel="2">
      <c r="A757" s="39" t="s">
        <v>343</v>
      </c>
      <c r="B757" s="40" t="s">
        <v>16</v>
      </c>
      <c r="C757" s="41" t="s">
        <v>246</v>
      </c>
      <c r="D757" s="40" t="s">
        <v>247</v>
      </c>
      <c r="E757" s="24">
        <v>1230000</v>
      </c>
      <c r="F757" s="39">
        <v>44308</v>
      </c>
      <c r="G757" s="24">
        <v>1230000</v>
      </c>
      <c r="H757" s="23">
        <v>5.0000000000000001E-3</v>
      </c>
      <c r="I757" s="39">
        <v>44440</v>
      </c>
      <c r="J757" s="39">
        <v>44469</v>
      </c>
      <c r="K757" s="24">
        <v>30</v>
      </c>
      <c r="L757" s="24">
        <v>505</v>
      </c>
      <c r="M757" s="24">
        <v>1230000</v>
      </c>
      <c r="N757" s="39">
        <v>46133</v>
      </c>
    </row>
    <row r="758" spans="1:14" s="5" customFormat="1" outlineLevel="2">
      <c r="A758" s="39" t="s">
        <v>343</v>
      </c>
      <c r="B758" s="40" t="s">
        <v>39</v>
      </c>
      <c r="C758" s="41" t="s">
        <v>246</v>
      </c>
      <c r="D758" s="40" t="s">
        <v>247</v>
      </c>
      <c r="E758" s="24">
        <v>298770000</v>
      </c>
      <c r="F758" s="39">
        <v>44455</v>
      </c>
      <c r="G758" s="24">
        <v>298770000</v>
      </c>
      <c r="H758" s="23">
        <v>5.0000000000000001E-3</v>
      </c>
      <c r="I758" s="39">
        <v>44455</v>
      </c>
      <c r="J758" s="39">
        <v>44469</v>
      </c>
      <c r="K758" s="24">
        <v>15</v>
      </c>
      <c r="L758" s="24">
        <v>61391</v>
      </c>
      <c r="M758" s="24">
        <v>298770000</v>
      </c>
      <c r="N758" s="39">
        <v>46280</v>
      </c>
    </row>
    <row r="759" spans="1:14" s="5" customFormat="1" outlineLevel="1">
      <c r="A759" s="42" t="s">
        <v>342</v>
      </c>
      <c r="B759" s="43"/>
      <c r="C759" s="44"/>
      <c r="D759" s="43"/>
      <c r="E759" s="45">
        <v>300000000</v>
      </c>
      <c r="F759" s="46"/>
      <c r="G759" s="45"/>
      <c r="H759" s="47"/>
      <c r="I759" s="46"/>
      <c r="J759" s="46"/>
      <c r="K759" s="45"/>
      <c r="L759" s="45">
        <v>61896</v>
      </c>
      <c r="M759" s="45">
        <v>300000000</v>
      </c>
      <c r="N759" s="46"/>
    </row>
    <row r="760" spans="1:14" s="5" customFormat="1" outlineLevel="2">
      <c r="A760" s="39" t="s">
        <v>270</v>
      </c>
      <c r="B760" s="40" t="s">
        <v>16</v>
      </c>
      <c r="C760" s="41" t="s">
        <v>273</v>
      </c>
      <c r="D760" s="40" t="s">
        <v>272</v>
      </c>
      <c r="E760" s="24">
        <v>126000000</v>
      </c>
      <c r="F760" s="39">
        <v>43804</v>
      </c>
      <c r="G760" s="24">
        <v>126000000</v>
      </c>
      <c r="H760" s="23">
        <v>5.0000000000000001E-3</v>
      </c>
      <c r="I760" s="39">
        <v>44440</v>
      </c>
      <c r="J760" s="39">
        <v>44469</v>
      </c>
      <c r="K760" s="24">
        <v>30</v>
      </c>
      <c r="L760" s="24">
        <v>51781</v>
      </c>
      <c r="M760" s="24">
        <v>126000000</v>
      </c>
      <c r="N760" s="39">
        <v>45630</v>
      </c>
    </row>
    <row r="761" spans="1:14" s="5" customFormat="1" outlineLevel="2">
      <c r="A761" s="39" t="s">
        <v>270</v>
      </c>
      <c r="B761" s="40" t="s">
        <v>19</v>
      </c>
      <c r="C761" s="41" t="s">
        <v>273</v>
      </c>
      <c r="D761" s="40" t="s">
        <v>272</v>
      </c>
      <c r="E761" s="24">
        <v>46600000</v>
      </c>
      <c r="F761" s="39">
        <v>43866</v>
      </c>
      <c r="G761" s="24">
        <v>46600000</v>
      </c>
      <c r="H761" s="23">
        <v>5.0000000000000001E-3</v>
      </c>
      <c r="I761" s="39">
        <v>44440</v>
      </c>
      <c r="J761" s="39">
        <v>44469</v>
      </c>
      <c r="K761" s="24">
        <v>30</v>
      </c>
      <c r="L761" s="24">
        <v>19151</v>
      </c>
      <c r="M761" s="24">
        <v>46600000</v>
      </c>
      <c r="N761" s="39">
        <v>45692</v>
      </c>
    </row>
    <row r="762" spans="1:14" s="5" customFormat="1" outlineLevel="2">
      <c r="A762" s="39" t="s">
        <v>270</v>
      </c>
      <c r="B762" s="40" t="s">
        <v>145</v>
      </c>
      <c r="C762" s="41" t="s">
        <v>115</v>
      </c>
      <c r="D762" s="40" t="s">
        <v>116</v>
      </c>
      <c r="E762" s="24">
        <v>41000000</v>
      </c>
      <c r="F762" s="39">
        <v>44337</v>
      </c>
      <c r="G762" s="24">
        <v>41000000</v>
      </c>
      <c r="H762" s="23">
        <v>5.0000000000000001E-3</v>
      </c>
      <c r="I762" s="39">
        <v>44440</v>
      </c>
      <c r="J762" s="39">
        <v>44469</v>
      </c>
      <c r="K762" s="24">
        <v>30</v>
      </c>
      <c r="L762" s="24">
        <v>16849</v>
      </c>
      <c r="M762" s="24">
        <v>41000000</v>
      </c>
      <c r="N762" s="39">
        <v>46162</v>
      </c>
    </row>
    <row r="763" spans="1:14" s="5" customFormat="1" outlineLevel="2">
      <c r="A763" s="39" t="s">
        <v>270</v>
      </c>
      <c r="B763" s="40" t="s">
        <v>148</v>
      </c>
      <c r="C763" s="41" t="s">
        <v>143</v>
      </c>
      <c r="D763" s="40" t="s">
        <v>144</v>
      </c>
      <c r="E763" s="24">
        <v>2900000</v>
      </c>
      <c r="F763" s="39">
        <v>44319</v>
      </c>
      <c r="G763" s="24">
        <v>2900000</v>
      </c>
      <c r="H763" s="23">
        <v>5.0000000000000001E-3</v>
      </c>
      <c r="I763" s="39">
        <v>44440</v>
      </c>
      <c r="J763" s="39">
        <v>44469</v>
      </c>
      <c r="K763" s="24">
        <v>30</v>
      </c>
      <c r="L763" s="24">
        <v>1192</v>
      </c>
      <c r="M763" s="24">
        <v>2900000</v>
      </c>
      <c r="N763" s="39">
        <v>46144</v>
      </c>
    </row>
    <row r="764" spans="1:14" s="5" customFormat="1" outlineLevel="2">
      <c r="A764" s="39" t="s">
        <v>270</v>
      </c>
      <c r="B764" s="40" t="s">
        <v>151</v>
      </c>
      <c r="C764" s="41" t="s">
        <v>143</v>
      </c>
      <c r="D764" s="40" t="s">
        <v>144</v>
      </c>
      <c r="E764" s="24">
        <v>6800000</v>
      </c>
      <c r="F764" s="39">
        <v>44327</v>
      </c>
      <c r="G764" s="24">
        <v>6800000</v>
      </c>
      <c r="H764" s="23">
        <v>5.0000000000000001E-3</v>
      </c>
      <c r="I764" s="39">
        <v>44440</v>
      </c>
      <c r="J764" s="39">
        <v>44469</v>
      </c>
      <c r="K764" s="24">
        <v>30</v>
      </c>
      <c r="L764" s="24">
        <v>2795</v>
      </c>
      <c r="M764" s="24">
        <v>6800000</v>
      </c>
      <c r="N764" s="39">
        <v>46152</v>
      </c>
    </row>
    <row r="765" spans="1:14" s="5" customFormat="1" outlineLevel="2">
      <c r="A765" s="39" t="s">
        <v>270</v>
      </c>
      <c r="B765" s="40" t="s">
        <v>152</v>
      </c>
      <c r="C765" s="41" t="s">
        <v>143</v>
      </c>
      <c r="D765" s="40" t="s">
        <v>144</v>
      </c>
      <c r="E765" s="24">
        <v>1620000</v>
      </c>
      <c r="F765" s="39">
        <v>44347</v>
      </c>
      <c r="G765" s="24">
        <v>1620000</v>
      </c>
      <c r="H765" s="23">
        <v>5.0000000000000001E-3</v>
      </c>
      <c r="I765" s="39">
        <v>44440</v>
      </c>
      <c r="J765" s="39">
        <v>44469</v>
      </c>
      <c r="K765" s="24">
        <v>30</v>
      </c>
      <c r="L765" s="24">
        <v>666</v>
      </c>
      <c r="M765" s="24">
        <v>1620000</v>
      </c>
      <c r="N765" s="39">
        <v>46172</v>
      </c>
    </row>
    <row r="766" spans="1:14" s="5" customFormat="1" outlineLevel="2">
      <c r="A766" s="39" t="s">
        <v>270</v>
      </c>
      <c r="B766" s="40" t="s">
        <v>153</v>
      </c>
      <c r="C766" s="41" t="s">
        <v>273</v>
      </c>
      <c r="D766" s="40" t="s">
        <v>272</v>
      </c>
      <c r="E766" s="24">
        <v>1500000</v>
      </c>
      <c r="F766" s="39">
        <v>44321</v>
      </c>
      <c r="G766" s="24">
        <v>1500000</v>
      </c>
      <c r="H766" s="23">
        <v>5.0000000000000001E-3</v>
      </c>
      <c r="I766" s="39">
        <v>44440</v>
      </c>
      <c r="J766" s="39">
        <v>44469</v>
      </c>
      <c r="K766" s="24">
        <v>30</v>
      </c>
      <c r="L766" s="24">
        <v>616</v>
      </c>
      <c r="M766" s="24">
        <v>1500000</v>
      </c>
      <c r="N766" s="39">
        <v>46146</v>
      </c>
    </row>
    <row r="767" spans="1:14" s="5" customFormat="1" outlineLevel="2">
      <c r="A767" s="39" t="s">
        <v>270</v>
      </c>
      <c r="B767" s="40" t="s">
        <v>154</v>
      </c>
      <c r="C767" s="41" t="s">
        <v>273</v>
      </c>
      <c r="D767" s="40" t="s">
        <v>272</v>
      </c>
      <c r="E767" s="24">
        <v>18000000</v>
      </c>
      <c r="F767" s="39">
        <v>44321</v>
      </c>
      <c r="G767" s="24">
        <v>18000000</v>
      </c>
      <c r="H767" s="23">
        <v>5.0000000000000001E-3</v>
      </c>
      <c r="I767" s="39">
        <v>44440</v>
      </c>
      <c r="J767" s="39">
        <v>44469</v>
      </c>
      <c r="K767" s="24">
        <v>30</v>
      </c>
      <c r="L767" s="24">
        <v>7397</v>
      </c>
      <c r="M767" s="24">
        <v>18000000</v>
      </c>
      <c r="N767" s="39">
        <v>46146</v>
      </c>
    </row>
    <row r="768" spans="1:14" s="5" customFormat="1" outlineLevel="2">
      <c r="A768" s="39" t="s">
        <v>270</v>
      </c>
      <c r="B768" s="40" t="s">
        <v>157</v>
      </c>
      <c r="C768" s="41" t="s">
        <v>75</v>
      </c>
      <c r="D768" s="40" t="s">
        <v>76</v>
      </c>
      <c r="E768" s="24">
        <v>38590000</v>
      </c>
      <c r="F768" s="39">
        <v>44321</v>
      </c>
      <c r="G768" s="24">
        <v>38590000</v>
      </c>
      <c r="H768" s="23">
        <v>5.0000000000000001E-3</v>
      </c>
      <c r="I768" s="39">
        <v>44440</v>
      </c>
      <c r="J768" s="39">
        <v>44469</v>
      </c>
      <c r="K768" s="24">
        <v>30</v>
      </c>
      <c r="L768" s="24">
        <v>15859</v>
      </c>
      <c r="M768" s="24">
        <v>38590000</v>
      </c>
      <c r="N768" s="39">
        <v>46146</v>
      </c>
    </row>
    <row r="769" spans="1:14" s="5" customFormat="1" outlineLevel="2">
      <c r="A769" s="39" t="s">
        <v>270</v>
      </c>
      <c r="B769" s="40" t="s">
        <v>158</v>
      </c>
      <c r="C769" s="41" t="s">
        <v>322</v>
      </c>
      <c r="D769" s="40" t="s">
        <v>321</v>
      </c>
      <c r="E769" s="24">
        <v>4163250</v>
      </c>
      <c r="F769" s="39">
        <v>44377</v>
      </c>
      <c r="G769" s="24">
        <v>4163250</v>
      </c>
      <c r="H769" s="23">
        <v>5.0000000000000001E-3</v>
      </c>
      <c r="I769" s="39">
        <v>44440</v>
      </c>
      <c r="J769" s="39">
        <v>44469</v>
      </c>
      <c r="K769" s="24">
        <v>30</v>
      </c>
      <c r="L769" s="24">
        <v>1711</v>
      </c>
      <c r="M769" s="24">
        <v>4163250</v>
      </c>
      <c r="N769" s="39">
        <v>46202</v>
      </c>
    </row>
    <row r="770" spans="1:14" s="5" customFormat="1" outlineLevel="2">
      <c r="A770" s="39" t="s">
        <v>270</v>
      </c>
      <c r="B770" s="40" t="s">
        <v>159</v>
      </c>
      <c r="C770" s="41" t="s">
        <v>274</v>
      </c>
      <c r="D770" s="40" t="s">
        <v>275</v>
      </c>
      <c r="E770" s="24">
        <v>18388440</v>
      </c>
      <c r="F770" s="39">
        <v>44356</v>
      </c>
      <c r="G770" s="24">
        <v>18388440</v>
      </c>
      <c r="H770" s="23">
        <v>5.0000000000000001E-3</v>
      </c>
      <c r="I770" s="39">
        <v>44440</v>
      </c>
      <c r="J770" s="39">
        <v>44469</v>
      </c>
      <c r="K770" s="24">
        <v>30</v>
      </c>
      <c r="L770" s="24">
        <v>7557</v>
      </c>
      <c r="M770" s="24">
        <v>18388440</v>
      </c>
      <c r="N770" s="39">
        <v>46181</v>
      </c>
    </row>
    <row r="771" spans="1:14" s="5" customFormat="1" outlineLevel="2">
      <c r="A771" s="39" t="s">
        <v>270</v>
      </c>
      <c r="B771" s="40" t="s">
        <v>320</v>
      </c>
      <c r="C771" s="41" t="s">
        <v>274</v>
      </c>
      <c r="D771" s="40" t="s">
        <v>275</v>
      </c>
      <c r="E771" s="24">
        <v>21892380</v>
      </c>
      <c r="F771" s="39">
        <v>44356</v>
      </c>
      <c r="G771" s="24">
        <v>21892380</v>
      </c>
      <c r="H771" s="23">
        <v>5.0000000000000001E-3</v>
      </c>
      <c r="I771" s="39">
        <v>44440</v>
      </c>
      <c r="J771" s="39">
        <v>44469</v>
      </c>
      <c r="K771" s="24">
        <v>30</v>
      </c>
      <c r="L771" s="24">
        <v>8997</v>
      </c>
      <c r="M771" s="24">
        <v>21892380</v>
      </c>
      <c r="N771" s="39">
        <v>46181</v>
      </c>
    </row>
    <row r="772" spans="1:14" s="5" customFormat="1" outlineLevel="2">
      <c r="A772" s="39" t="s">
        <v>270</v>
      </c>
      <c r="B772" s="40" t="s">
        <v>22</v>
      </c>
      <c r="C772" s="41" t="s">
        <v>273</v>
      </c>
      <c r="D772" s="40" t="s">
        <v>272</v>
      </c>
      <c r="E772" s="24">
        <v>1300000</v>
      </c>
      <c r="F772" s="39">
        <v>43866</v>
      </c>
      <c r="G772" s="24">
        <v>1300000</v>
      </c>
      <c r="H772" s="23">
        <v>5.0000000000000001E-3</v>
      </c>
      <c r="I772" s="39">
        <v>44440</v>
      </c>
      <c r="J772" s="39">
        <v>44469</v>
      </c>
      <c r="K772" s="24">
        <v>30</v>
      </c>
      <c r="L772" s="24">
        <v>534</v>
      </c>
      <c r="M772" s="24">
        <v>1300000</v>
      </c>
      <c r="N772" s="39">
        <v>45692</v>
      </c>
    </row>
    <row r="773" spans="1:14" s="5" customFormat="1" outlineLevel="2">
      <c r="A773" s="39" t="s">
        <v>270</v>
      </c>
      <c r="B773" s="40" t="s">
        <v>319</v>
      </c>
      <c r="C773" s="41" t="s">
        <v>143</v>
      </c>
      <c r="D773" s="40" t="s">
        <v>144</v>
      </c>
      <c r="E773" s="24">
        <v>900000</v>
      </c>
      <c r="F773" s="39">
        <v>44368</v>
      </c>
      <c r="G773" s="24">
        <v>900000</v>
      </c>
      <c r="H773" s="23">
        <v>5.0000000000000001E-3</v>
      </c>
      <c r="I773" s="39">
        <v>44440</v>
      </c>
      <c r="J773" s="39">
        <v>44469</v>
      </c>
      <c r="K773" s="24">
        <v>30</v>
      </c>
      <c r="L773" s="24">
        <v>370</v>
      </c>
      <c r="M773" s="24">
        <v>900000</v>
      </c>
      <c r="N773" s="39">
        <v>46193</v>
      </c>
    </row>
    <row r="774" spans="1:14" s="5" customFormat="1" outlineLevel="2">
      <c r="A774" s="39" t="s">
        <v>270</v>
      </c>
      <c r="B774" s="40" t="s">
        <v>318</v>
      </c>
      <c r="C774" s="41" t="s">
        <v>273</v>
      </c>
      <c r="D774" s="40" t="s">
        <v>272</v>
      </c>
      <c r="E774" s="24">
        <v>13700000</v>
      </c>
      <c r="F774" s="39">
        <v>44351</v>
      </c>
      <c r="G774" s="24">
        <v>13700000</v>
      </c>
      <c r="H774" s="23">
        <v>5.0000000000000001E-3</v>
      </c>
      <c r="I774" s="39">
        <v>44440</v>
      </c>
      <c r="J774" s="39">
        <v>44469</v>
      </c>
      <c r="K774" s="24">
        <v>30</v>
      </c>
      <c r="L774" s="24">
        <v>5630</v>
      </c>
      <c r="M774" s="24">
        <v>13700000</v>
      </c>
      <c r="N774" s="39">
        <v>46176</v>
      </c>
    </row>
    <row r="775" spans="1:14" s="5" customFormat="1" outlineLevel="2">
      <c r="A775" s="39" t="s">
        <v>270</v>
      </c>
      <c r="B775" s="40" t="s">
        <v>317</v>
      </c>
      <c r="C775" s="41" t="s">
        <v>274</v>
      </c>
      <c r="D775" s="40" t="s">
        <v>275</v>
      </c>
      <c r="E775" s="24">
        <v>21892380</v>
      </c>
      <c r="F775" s="39">
        <v>44391</v>
      </c>
      <c r="G775" s="24">
        <v>21892380</v>
      </c>
      <c r="H775" s="23">
        <v>5.0000000000000001E-3</v>
      </c>
      <c r="I775" s="39">
        <v>44440</v>
      </c>
      <c r="J775" s="39">
        <v>44469</v>
      </c>
      <c r="K775" s="24">
        <v>30</v>
      </c>
      <c r="L775" s="24">
        <v>8997</v>
      </c>
      <c r="M775" s="24">
        <v>21892380</v>
      </c>
      <c r="N775" s="39">
        <v>46216</v>
      </c>
    </row>
    <row r="776" spans="1:14" s="5" customFormat="1" outlineLevel="2">
      <c r="A776" s="39" t="s">
        <v>270</v>
      </c>
      <c r="B776" s="40" t="s">
        <v>316</v>
      </c>
      <c r="C776" s="41" t="s">
        <v>274</v>
      </c>
      <c r="D776" s="40" t="s">
        <v>275</v>
      </c>
      <c r="E776" s="24">
        <v>14303880</v>
      </c>
      <c r="F776" s="39">
        <v>44391</v>
      </c>
      <c r="G776" s="24">
        <v>14303880</v>
      </c>
      <c r="H776" s="23">
        <v>5.0000000000000001E-3</v>
      </c>
      <c r="I776" s="39">
        <v>44440</v>
      </c>
      <c r="J776" s="39">
        <v>44469</v>
      </c>
      <c r="K776" s="24">
        <v>30</v>
      </c>
      <c r="L776" s="24">
        <v>5878</v>
      </c>
      <c r="M776" s="24">
        <v>14303880</v>
      </c>
      <c r="N776" s="39">
        <v>46216</v>
      </c>
    </row>
    <row r="777" spans="1:14" s="5" customFormat="1" outlineLevel="2">
      <c r="A777" s="39" t="s">
        <v>270</v>
      </c>
      <c r="B777" s="40" t="s">
        <v>315</v>
      </c>
      <c r="C777" s="41" t="s">
        <v>115</v>
      </c>
      <c r="D777" s="40" t="s">
        <v>116</v>
      </c>
      <c r="E777" s="24">
        <v>18650000</v>
      </c>
      <c r="F777" s="39">
        <v>44384</v>
      </c>
      <c r="G777" s="24">
        <v>18650000</v>
      </c>
      <c r="H777" s="23">
        <v>5.0000000000000001E-3</v>
      </c>
      <c r="I777" s="39">
        <v>44440</v>
      </c>
      <c r="J777" s="39">
        <v>44469</v>
      </c>
      <c r="K777" s="24">
        <v>30</v>
      </c>
      <c r="L777" s="24">
        <v>7664</v>
      </c>
      <c r="M777" s="24">
        <v>18650000</v>
      </c>
      <c r="N777" s="39">
        <v>46209</v>
      </c>
    </row>
    <row r="778" spans="1:14" s="5" customFormat="1" outlineLevel="2">
      <c r="A778" s="39" t="s">
        <v>270</v>
      </c>
      <c r="B778" s="40" t="s">
        <v>314</v>
      </c>
      <c r="C778" s="41" t="s">
        <v>273</v>
      </c>
      <c r="D778" s="40" t="s">
        <v>272</v>
      </c>
      <c r="E778" s="24">
        <v>16800000</v>
      </c>
      <c r="F778" s="39">
        <v>44382</v>
      </c>
      <c r="G778" s="24">
        <v>16800000</v>
      </c>
      <c r="H778" s="23">
        <v>5.0000000000000001E-3</v>
      </c>
      <c r="I778" s="39">
        <v>44440</v>
      </c>
      <c r="J778" s="39">
        <v>44469</v>
      </c>
      <c r="K778" s="24">
        <v>30</v>
      </c>
      <c r="L778" s="24">
        <v>6904</v>
      </c>
      <c r="M778" s="24">
        <v>16800000</v>
      </c>
      <c r="N778" s="39">
        <v>46207</v>
      </c>
    </row>
    <row r="779" spans="1:14" s="5" customFormat="1" outlineLevel="2">
      <c r="A779" s="39" t="s">
        <v>270</v>
      </c>
      <c r="B779" s="40" t="s">
        <v>313</v>
      </c>
      <c r="C779" s="41" t="s">
        <v>273</v>
      </c>
      <c r="D779" s="40" t="s">
        <v>272</v>
      </c>
      <c r="E779" s="24">
        <v>8400000</v>
      </c>
      <c r="F779" s="39">
        <v>44382</v>
      </c>
      <c r="G779" s="24">
        <v>8400000</v>
      </c>
      <c r="H779" s="23">
        <v>5.0000000000000001E-3</v>
      </c>
      <c r="I779" s="39">
        <v>44440</v>
      </c>
      <c r="J779" s="39">
        <v>44469</v>
      </c>
      <c r="K779" s="24">
        <v>30</v>
      </c>
      <c r="L779" s="24">
        <v>3452</v>
      </c>
      <c r="M779" s="24">
        <v>8400000</v>
      </c>
      <c r="N779" s="39">
        <v>46207</v>
      </c>
    </row>
    <row r="780" spans="1:14" s="5" customFormat="1" outlineLevel="2">
      <c r="A780" s="39" t="s">
        <v>270</v>
      </c>
      <c r="B780" s="40" t="s">
        <v>312</v>
      </c>
      <c r="C780" s="41" t="s">
        <v>273</v>
      </c>
      <c r="D780" s="40" t="s">
        <v>272</v>
      </c>
      <c r="E780" s="24">
        <v>14100000</v>
      </c>
      <c r="F780" s="39">
        <v>44382</v>
      </c>
      <c r="G780" s="24">
        <v>14100000</v>
      </c>
      <c r="H780" s="23">
        <v>5.0000000000000001E-3</v>
      </c>
      <c r="I780" s="39">
        <v>44440</v>
      </c>
      <c r="J780" s="39">
        <v>44469</v>
      </c>
      <c r="K780" s="24">
        <v>30</v>
      </c>
      <c r="L780" s="24">
        <v>5795</v>
      </c>
      <c r="M780" s="24">
        <v>14100000</v>
      </c>
      <c r="N780" s="39">
        <v>46207</v>
      </c>
    </row>
    <row r="781" spans="1:14" s="5" customFormat="1" outlineLevel="2">
      <c r="A781" s="39" t="s">
        <v>270</v>
      </c>
      <c r="B781" s="40" t="s">
        <v>311</v>
      </c>
      <c r="C781" s="41" t="s">
        <v>75</v>
      </c>
      <c r="D781" s="40" t="s">
        <v>76</v>
      </c>
      <c r="E781" s="24">
        <v>44280000</v>
      </c>
      <c r="F781" s="39">
        <v>44378</v>
      </c>
      <c r="G781" s="24">
        <v>44280000</v>
      </c>
      <c r="H781" s="23">
        <v>5.0000000000000001E-3</v>
      </c>
      <c r="I781" s="39">
        <v>44440</v>
      </c>
      <c r="J781" s="39">
        <v>44469</v>
      </c>
      <c r="K781" s="24">
        <v>30</v>
      </c>
      <c r="L781" s="24">
        <v>18197</v>
      </c>
      <c r="M781" s="24">
        <v>44280000</v>
      </c>
      <c r="N781" s="39">
        <v>46203</v>
      </c>
    </row>
    <row r="782" spans="1:14" s="5" customFormat="1" outlineLevel="2">
      <c r="A782" s="39" t="s">
        <v>270</v>
      </c>
      <c r="B782" s="40" t="s">
        <v>310</v>
      </c>
      <c r="C782" s="41" t="s">
        <v>302</v>
      </c>
      <c r="D782" s="40" t="s">
        <v>301</v>
      </c>
      <c r="E782" s="24">
        <v>20206000</v>
      </c>
      <c r="F782" s="39">
        <v>44431</v>
      </c>
      <c r="G782" s="24">
        <v>20206000</v>
      </c>
      <c r="H782" s="23">
        <v>5.0000000000000001E-3</v>
      </c>
      <c r="I782" s="39">
        <v>44440</v>
      </c>
      <c r="J782" s="39">
        <v>44469</v>
      </c>
      <c r="K782" s="24">
        <v>30</v>
      </c>
      <c r="L782" s="24">
        <v>8304</v>
      </c>
      <c r="M782" s="24">
        <v>20206000</v>
      </c>
      <c r="N782" s="39">
        <v>46256</v>
      </c>
    </row>
    <row r="783" spans="1:14" s="5" customFormat="1" outlineLevel="2">
      <c r="A783" s="39" t="s">
        <v>270</v>
      </c>
      <c r="B783" s="40" t="s">
        <v>25</v>
      </c>
      <c r="C783" s="41" t="s">
        <v>274</v>
      </c>
      <c r="D783" s="40" t="s">
        <v>275</v>
      </c>
      <c r="E783" s="24">
        <v>9087600</v>
      </c>
      <c r="F783" s="39">
        <v>43901</v>
      </c>
      <c r="G783" s="24">
        <v>9087600</v>
      </c>
      <c r="H783" s="23">
        <v>5.0000000000000001E-3</v>
      </c>
      <c r="I783" s="39">
        <v>44440</v>
      </c>
      <c r="J783" s="39">
        <v>44469</v>
      </c>
      <c r="K783" s="24">
        <v>30</v>
      </c>
      <c r="L783" s="24">
        <v>3735</v>
      </c>
      <c r="M783" s="24">
        <v>9087600</v>
      </c>
      <c r="N783" s="39">
        <v>45726</v>
      </c>
    </row>
    <row r="784" spans="1:14" s="5" customFormat="1" outlineLevel="2">
      <c r="A784" s="39" t="s">
        <v>270</v>
      </c>
      <c r="B784" s="40" t="s">
        <v>309</v>
      </c>
      <c r="C784" s="41" t="s">
        <v>322</v>
      </c>
      <c r="D784" s="40" t="s">
        <v>321</v>
      </c>
      <c r="E784" s="24">
        <v>3202500</v>
      </c>
      <c r="F784" s="39">
        <v>44410</v>
      </c>
      <c r="G784" s="24">
        <v>3202500</v>
      </c>
      <c r="H784" s="23">
        <v>5.0000000000000001E-3</v>
      </c>
      <c r="I784" s="39">
        <v>44440</v>
      </c>
      <c r="J784" s="39">
        <v>44469</v>
      </c>
      <c r="K784" s="24">
        <v>30</v>
      </c>
      <c r="L784" s="24">
        <v>1316</v>
      </c>
      <c r="M784" s="24">
        <v>3202500</v>
      </c>
      <c r="N784" s="39">
        <v>46235</v>
      </c>
    </row>
    <row r="785" spans="1:14" s="5" customFormat="1" outlineLevel="2">
      <c r="A785" s="39" t="s">
        <v>270</v>
      </c>
      <c r="B785" s="40" t="s">
        <v>308</v>
      </c>
      <c r="C785" s="41" t="s">
        <v>322</v>
      </c>
      <c r="D785" s="40" t="s">
        <v>321</v>
      </c>
      <c r="E785" s="24">
        <v>3202500</v>
      </c>
      <c r="F785" s="39">
        <v>44439</v>
      </c>
      <c r="G785" s="24">
        <v>3202500</v>
      </c>
      <c r="H785" s="23">
        <v>5.0000000000000001E-3</v>
      </c>
      <c r="I785" s="39">
        <v>44440</v>
      </c>
      <c r="J785" s="39">
        <v>44469</v>
      </c>
      <c r="K785" s="24">
        <v>30</v>
      </c>
      <c r="L785" s="24">
        <v>1316</v>
      </c>
      <c r="M785" s="24">
        <v>3202500</v>
      </c>
      <c r="N785" s="39">
        <v>46264</v>
      </c>
    </row>
    <row r="786" spans="1:14" s="5" customFormat="1" outlineLevel="2">
      <c r="A786" s="39" t="s">
        <v>270</v>
      </c>
      <c r="B786" s="40" t="s">
        <v>307</v>
      </c>
      <c r="C786" s="41" t="s">
        <v>274</v>
      </c>
      <c r="D786" s="40" t="s">
        <v>275</v>
      </c>
      <c r="E786" s="24">
        <v>14303880</v>
      </c>
      <c r="F786" s="39">
        <v>44419</v>
      </c>
      <c r="G786" s="24">
        <v>14303880</v>
      </c>
      <c r="H786" s="23">
        <v>5.0000000000000001E-3</v>
      </c>
      <c r="I786" s="39">
        <v>44440</v>
      </c>
      <c r="J786" s="39">
        <v>44469</v>
      </c>
      <c r="K786" s="24">
        <v>30</v>
      </c>
      <c r="L786" s="24">
        <v>5878</v>
      </c>
      <c r="M786" s="24">
        <v>14303880</v>
      </c>
      <c r="N786" s="39">
        <v>46244</v>
      </c>
    </row>
    <row r="787" spans="1:14" s="5" customFormat="1" outlineLevel="2">
      <c r="A787" s="39" t="s">
        <v>270</v>
      </c>
      <c r="B787" s="40" t="s">
        <v>335</v>
      </c>
      <c r="C787" s="41" t="s">
        <v>274</v>
      </c>
      <c r="D787" s="40" t="s">
        <v>275</v>
      </c>
      <c r="E787" s="24">
        <v>18035040</v>
      </c>
      <c r="F787" s="39">
        <v>44419</v>
      </c>
      <c r="G787" s="24">
        <v>18035040</v>
      </c>
      <c r="H787" s="23">
        <v>5.0000000000000001E-3</v>
      </c>
      <c r="I787" s="39">
        <v>44440</v>
      </c>
      <c r="J787" s="39">
        <v>44469</v>
      </c>
      <c r="K787" s="24">
        <v>30</v>
      </c>
      <c r="L787" s="24">
        <v>7412</v>
      </c>
      <c r="M787" s="24">
        <v>18035040</v>
      </c>
      <c r="N787" s="39">
        <v>46244</v>
      </c>
    </row>
    <row r="788" spans="1:14" s="5" customFormat="1" outlineLevel="2">
      <c r="A788" s="39" t="s">
        <v>270</v>
      </c>
      <c r="B788" s="40" t="s">
        <v>334</v>
      </c>
      <c r="C788" s="41" t="s">
        <v>252</v>
      </c>
      <c r="D788" s="40" t="s">
        <v>253</v>
      </c>
      <c r="E788" s="24">
        <v>54300000</v>
      </c>
      <c r="F788" s="39">
        <v>44414</v>
      </c>
      <c r="G788" s="24">
        <v>54300000</v>
      </c>
      <c r="H788" s="23">
        <v>5.0000000000000001E-3</v>
      </c>
      <c r="I788" s="39">
        <v>44440</v>
      </c>
      <c r="J788" s="39">
        <v>44469</v>
      </c>
      <c r="K788" s="24">
        <v>30</v>
      </c>
      <c r="L788" s="24">
        <v>22315</v>
      </c>
      <c r="M788" s="24">
        <v>54300000</v>
      </c>
      <c r="N788" s="39">
        <v>46239</v>
      </c>
    </row>
    <row r="789" spans="1:14" s="5" customFormat="1" outlineLevel="2">
      <c r="A789" s="39" t="s">
        <v>270</v>
      </c>
      <c r="B789" s="40" t="s">
        <v>333</v>
      </c>
      <c r="C789" s="41" t="s">
        <v>143</v>
      </c>
      <c r="D789" s="40" t="s">
        <v>144</v>
      </c>
      <c r="E789" s="24">
        <v>10000000</v>
      </c>
      <c r="F789" s="39">
        <v>44410</v>
      </c>
      <c r="G789" s="24">
        <v>10000000</v>
      </c>
      <c r="H789" s="23">
        <v>5.0000000000000001E-3</v>
      </c>
      <c r="I789" s="39">
        <v>44440</v>
      </c>
      <c r="J789" s="39">
        <v>44469</v>
      </c>
      <c r="K789" s="24">
        <v>30</v>
      </c>
      <c r="L789" s="24">
        <v>4110</v>
      </c>
      <c r="M789" s="24">
        <v>10000000</v>
      </c>
      <c r="N789" s="39">
        <v>46235</v>
      </c>
    </row>
    <row r="790" spans="1:14" s="5" customFormat="1" outlineLevel="2">
      <c r="A790" s="39" t="s">
        <v>270</v>
      </c>
      <c r="B790" s="40" t="s">
        <v>332</v>
      </c>
      <c r="C790" s="41" t="s">
        <v>143</v>
      </c>
      <c r="D790" s="40" t="s">
        <v>144</v>
      </c>
      <c r="E790" s="24">
        <v>5990000</v>
      </c>
      <c r="F790" s="39">
        <v>44439</v>
      </c>
      <c r="G790" s="24">
        <v>5990000</v>
      </c>
      <c r="H790" s="23">
        <v>5.0000000000000001E-3</v>
      </c>
      <c r="I790" s="39">
        <v>44440</v>
      </c>
      <c r="J790" s="39">
        <v>44469</v>
      </c>
      <c r="K790" s="24">
        <v>30</v>
      </c>
      <c r="L790" s="24">
        <v>2462</v>
      </c>
      <c r="M790" s="24">
        <v>5990000</v>
      </c>
      <c r="N790" s="39">
        <v>46264</v>
      </c>
    </row>
    <row r="791" spans="1:14" s="5" customFormat="1" outlineLevel="2">
      <c r="A791" s="39" t="s">
        <v>270</v>
      </c>
      <c r="B791" s="40" t="s">
        <v>331</v>
      </c>
      <c r="C791" s="41" t="s">
        <v>273</v>
      </c>
      <c r="D791" s="40" t="s">
        <v>272</v>
      </c>
      <c r="E791" s="24">
        <v>10700000</v>
      </c>
      <c r="F791" s="39">
        <v>44413</v>
      </c>
      <c r="G791" s="24">
        <v>10700000</v>
      </c>
      <c r="H791" s="23">
        <v>5.0000000000000001E-3</v>
      </c>
      <c r="I791" s="39">
        <v>44440</v>
      </c>
      <c r="J791" s="39">
        <v>44469</v>
      </c>
      <c r="K791" s="24">
        <v>30</v>
      </c>
      <c r="L791" s="24">
        <v>4397</v>
      </c>
      <c r="M791" s="24">
        <v>10700000</v>
      </c>
      <c r="N791" s="39">
        <v>46238</v>
      </c>
    </row>
    <row r="792" spans="1:14" s="5" customFormat="1" outlineLevel="2">
      <c r="A792" s="39" t="s">
        <v>270</v>
      </c>
      <c r="B792" s="40" t="s">
        <v>330</v>
      </c>
      <c r="C792" s="41" t="s">
        <v>273</v>
      </c>
      <c r="D792" s="40" t="s">
        <v>272</v>
      </c>
      <c r="E792" s="24">
        <v>11600000</v>
      </c>
      <c r="F792" s="39">
        <v>44413</v>
      </c>
      <c r="G792" s="24">
        <v>11600000</v>
      </c>
      <c r="H792" s="23">
        <v>5.0000000000000001E-3</v>
      </c>
      <c r="I792" s="39">
        <v>44440</v>
      </c>
      <c r="J792" s="39">
        <v>44469</v>
      </c>
      <c r="K792" s="24">
        <v>30</v>
      </c>
      <c r="L792" s="24">
        <v>4767</v>
      </c>
      <c r="M792" s="24">
        <v>11600000</v>
      </c>
      <c r="N792" s="39">
        <v>46238</v>
      </c>
    </row>
    <row r="793" spans="1:14" s="5" customFormat="1" outlineLevel="2">
      <c r="A793" s="39" t="s">
        <v>270</v>
      </c>
      <c r="B793" s="40" t="s">
        <v>329</v>
      </c>
      <c r="C793" s="41" t="s">
        <v>273</v>
      </c>
      <c r="D793" s="40" t="s">
        <v>272</v>
      </c>
      <c r="E793" s="24">
        <v>4400000</v>
      </c>
      <c r="F793" s="39">
        <v>44413</v>
      </c>
      <c r="G793" s="24">
        <v>4400000</v>
      </c>
      <c r="H793" s="23">
        <v>5.0000000000000001E-3</v>
      </c>
      <c r="I793" s="39">
        <v>44440</v>
      </c>
      <c r="J793" s="39">
        <v>44469</v>
      </c>
      <c r="K793" s="24">
        <v>30</v>
      </c>
      <c r="L793" s="24">
        <v>1808</v>
      </c>
      <c r="M793" s="24">
        <v>4400000</v>
      </c>
      <c r="N793" s="39">
        <v>46238</v>
      </c>
    </row>
    <row r="794" spans="1:14" s="5" customFormat="1" outlineLevel="2">
      <c r="A794" s="39" t="s">
        <v>270</v>
      </c>
      <c r="B794" s="40" t="s">
        <v>26</v>
      </c>
      <c r="C794" s="41" t="s">
        <v>274</v>
      </c>
      <c r="D794" s="40" t="s">
        <v>275</v>
      </c>
      <c r="E794" s="24">
        <v>7270080</v>
      </c>
      <c r="F794" s="39">
        <v>43901</v>
      </c>
      <c r="G794" s="24">
        <v>7270080</v>
      </c>
      <c r="H794" s="23">
        <v>5.0000000000000001E-3</v>
      </c>
      <c r="I794" s="39">
        <v>44440</v>
      </c>
      <c r="J794" s="39">
        <v>44469</v>
      </c>
      <c r="K794" s="24">
        <v>30</v>
      </c>
      <c r="L794" s="24">
        <v>2988</v>
      </c>
      <c r="M794" s="24">
        <v>7270080</v>
      </c>
      <c r="N794" s="39">
        <v>45726</v>
      </c>
    </row>
    <row r="795" spans="1:14" s="5" customFormat="1" outlineLevel="2">
      <c r="A795" s="39" t="s">
        <v>270</v>
      </c>
      <c r="B795" s="40" t="s">
        <v>328</v>
      </c>
      <c r="C795" s="41" t="s">
        <v>363</v>
      </c>
      <c r="D795" s="40" t="s">
        <v>362</v>
      </c>
      <c r="E795" s="24">
        <v>5700000</v>
      </c>
      <c r="F795" s="39">
        <v>44438</v>
      </c>
      <c r="G795" s="24">
        <v>5700000</v>
      </c>
      <c r="H795" s="23">
        <v>5.0000000000000001E-3</v>
      </c>
      <c r="I795" s="39">
        <v>44440</v>
      </c>
      <c r="J795" s="39">
        <v>44469</v>
      </c>
      <c r="K795" s="24">
        <v>30</v>
      </c>
      <c r="L795" s="24">
        <v>2342</v>
      </c>
      <c r="M795" s="24">
        <v>5700000</v>
      </c>
      <c r="N795" s="39">
        <v>45533</v>
      </c>
    </row>
    <row r="796" spans="1:14" s="5" customFormat="1" outlineLevel="2">
      <c r="A796" s="39" t="s">
        <v>270</v>
      </c>
      <c r="B796" s="40" t="s">
        <v>327</v>
      </c>
      <c r="C796" s="41" t="s">
        <v>410</v>
      </c>
      <c r="D796" s="40" t="s">
        <v>409</v>
      </c>
      <c r="E796" s="24">
        <v>1470000</v>
      </c>
      <c r="F796" s="39">
        <v>44468</v>
      </c>
      <c r="G796" s="24">
        <v>1470000</v>
      </c>
      <c r="H796" s="23">
        <v>5.0000000000000001E-3</v>
      </c>
      <c r="I796" s="39">
        <v>44468</v>
      </c>
      <c r="J796" s="39">
        <v>44469</v>
      </c>
      <c r="K796" s="24">
        <v>2</v>
      </c>
      <c r="L796" s="24">
        <v>40</v>
      </c>
      <c r="M796" s="24">
        <v>1470000</v>
      </c>
      <c r="N796" s="39">
        <v>45563</v>
      </c>
    </row>
    <row r="797" spans="1:14" s="5" customFormat="1" outlineLevel="2">
      <c r="A797" s="39" t="s">
        <v>270</v>
      </c>
      <c r="B797" s="40" t="s">
        <v>326</v>
      </c>
      <c r="C797" s="41" t="s">
        <v>294</v>
      </c>
      <c r="D797" s="40" t="s">
        <v>295</v>
      </c>
      <c r="E797" s="24">
        <v>135260000</v>
      </c>
      <c r="F797" s="39">
        <v>44467</v>
      </c>
      <c r="G797" s="24">
        <v>135260000</v>
      </c>
      <c r="H797" s="23">
        <v>3.0000000000000001E-3</v>
      </c>
      <c r="I797" s="39">
        <v>44467</v>
      </c>
      <c r="J797" s="39">
        <v>44469</v>
      </c>
      <c r="K797" s="24">
        <v>3</v>
      </c>
      <c r="L797" s="24">
        <v>3335</v>
      </c>
      <c r="M797" s="24">
        <v>135260000</v>
      </c>
      <c r="N797" s="39">
        <v>45562</v>
      </c>
    </row>
    <row r="798" spans="1:14" s="5" customFormat="1" outlineLevel="2">
      <c r="A798" s="39" t="s">
        <v>270</v>
      </c>
      <c r="B798" s="40" t="s">
        <v>325</v>
      </c>
      <c r="C798" s="41" t="s">
        <v>302</v>
      </c>
      <c r="D798" s="40" t="s">
        <v>301</v>
      </c>
      <c r="E798" s="24">
        <v>32320000</v>
      </c>
      <c r="F798" s="39">
        <v>44446</v>
      </c>
      <c r="G798" s="24">
        <v>32320000</v>
      </c>
      <c r="H798" s="23">
        <v>5.0000000000000001E-3</v>
      </c>
      <c r="I798" s="39">
        <v>44446</v>
      </c>
      <c r="J798" s="39">
        <v>44469</v>
      </c>
      <c r="K798" s="24">
        <v>24</v>
      </c>
      <c r="L798" s="24">
        <v>10626</v>
      </c>
      <c r="M798" s="24">
        <v>32320000</v>
      </c>
      <c r="N798" s="39">
        <v>46271</v>
      </c>
    </row>
    <row r="799" spans="1:14" s="5" customFormat="1" outlineLevel="2">
      <c r="A799" s="39" t="s">
        <v>270</v>
      </c>
      <c r="B799" s="40" t="s">
        <v>361</v>
      </c>
      <c r="C799" s="41" t="s">
        <v>322</v>
      </c>
      <c r="D799" s="40" t="s">
        <v>321</v>
      </c>
      <c r="E799" s="24">
        <v>3202500</v>
      </c>
      <c r="F799" s="39">
        <v>44469</v>
      </c>
      <c r="G799" s="24">
        <v>3202500</v>
      </c>
      <c r="H799" s="23">
        <v>5.0000000000000001E-3</v>
      </c>
      <c r="I799" s="39">
        <v>44469</v>
      </c>
      <c r="J799" s="39">
        <v>44469</v>
      </c>
      <c r="K799" s="24">
        <v>1</v>
      </c>
      <c r="L799" s="24">
        <v>44</v>
      </c>
      <c r="M799" s="24">
        <v>3202500</v>
      </c>
      <c r="N799" s="39">
        <v>46294</v>
      </c>
    </row>
    <row r="800" spans="1:14" s="5" customFormat="1" outlineLevel="2">
      <c r="A800" s="39" t="s">
        <v>270</v>
      </c>
      <c r="B800" s="40" t="s">
        <v>360</v>
      </c>
      <c r="C800" s="41" t="s">
        <v>408</v>
      </c>
      <c r="D800" s="40" t="s">
        <v>407</v>
      </c>
      <c r="E800" s="24">
        <v>63000000</v>
      </c>
      <c r="F800" s="39">
        <v>44442</v>
      </c>
      <c r="G800" s="24">
        <v>63000000</v>
      </c>
      <c r="H800" s="23">
        <v>5.0000000000000001E-3</v>
      </c>
      <c r="I800" s="39">
        <v>44442</v>
      </c>
      <c r="J800" s="39">
        <v>44469</v>
      </c>
      <c r="K800" s="24">
        <v>28</v>
      </c>
      <c r="L800" s="24">
        <v>24164</v>
      </c>
      <c r="M800" s="24">
        <v>63000000</v>
      </c>
      <c r="N800" s="39">
        <v>45537</v>
      </c>
    </row>
    <row r="801" spans="1:14" s="5" customFormat="1" outlineLevel="2">
      <c r="A801" s="39" t="s">
        <v>270</v>
      </c>
      <c r="B801" s="40" t="s">
        <v>359</v>
      </c>
      <c r="C801" s="41" t="s">
        <v>274</v>
      </c>
      <c r="D801" s="40" t="s">
        <v>275</v>
      </c>
      <c r="E801" s="24">
        <v>18035040</v>
      </c>
      <c r="F801" s="39">
        <v>44447</v>
      </c>
      <c r="G801" s="24">
        <v>18035040</v>
      </c>
      <c r="H801" s="23">
        <v>5.0000000000000001E-3</v>
      </c>
      <c r="I801" s="39">
        <v>44447</v>
      </c>
      <c r="J801" s="39">
        <v>44469</v>
      </c>
      <c r="K801" s="24">
        <v>23</v>
      </c>
      <c r="L801" s="24">
        <v>5682</v>
      </c>
      <c r="M801" s="24">
        <v>18035040</v>
      </c>
      <c r="N801" s="39">
        <v>46272</v>
      </c>
    </row>
    <row r="802" spans="1:14" s="5" customFormat="1" outlineLevel="2">
      <c r="A802" s="39" t="s">
        <v>270</v>
      </c>
      <c r="B802" s="40" t="s">
        <v>358</v>
      </c>
      <c r="C802" s="41" t="s">
        <v>274</v>
      </c>
      <c r="D802" s="40" t="s">
        <v>275</v>
      </c>
      <c r="E802" s="24">
        <v>9909960</v>
      </c>
      <c r="F802" s="39">
        <v>44447</v>
      </c>
      <c r="G802" s="24">
        <v>9909960</v>
      </c>
      <c r="H802" s="23">
        <v>5.0000000000000001E-3</v>
      </c>
      <c r="I802" s="39">
        <v>44447</v>
      </c>
      <c r="J802" s="39">
        <v>44469</v>
      </c>
      <c r="K802" s="24">
        <v>23</v>
      </c>
      <c r="L802" s="24">
        <v>3122</v>
      </c>
      <c r="M802" s="24">
        <v>9909960</v>
      </c>
      <c r="N802" s="39">
        <v>46272</v>
      </c>
    </row>
    <row r="803" spans="1:14" s="5" customFormat="1" outlineLevel="2">
      <c r="A803" s="39" t="s">
        <v>270</v>
      </c>
      <c r="B803" s="40" t="s">
        <v>357</v>
      </c>
      <c r="C803" s="41" t="s">
        <v>143</v>
      </c>
      <c r="D803" s="40" t="s">
        <v>144</v>
      </c>
      <c r="E803" s="24">
        <v>1840000</v>
      </c>
      <c r="F803" s="39">
        <v>44469</v>
      </c>
      <c r="G803" s="24">
        <v>1840000</v>
      </c>
      <c r="H803" s="23">
        <v>5.0000000000000001E-3</v>
      </c>
      <c r="I803" s="39">
        <v>44469</v>
      </c>
      <c r="J803" s="39">
        <v>44469</v>
      </c>
      <c r="K803" s="24">
        <v>1</v>
      </c>
      <c r="L803" s="24">
        <v>25</v>
      </c>
      <c r="M803" s="24">
        <v>1840000</v>
      </c>
      <c r="N803" s="39">
        <v>46294</v>
      </c>
    </row>
    <row r="804" spans="1:14" s="5" customFormat="1" outlineLevel="2">
      <c r="A804" s="39" t="s">
        <v>270</v>
      </c>
      <c r="B804" s="40" t="s">
        <v>356</v>
      </c>
      <c r="C804" s="41" t="s">
        <v>273</v>
      </c>
      <c r="D804" s="40" t="s">
        <v>272</v>
      </c>
      <c r="E804" s="24">
        <v>8600000</v>
      </c>
      <c r="F804" s="39">
        <v>44442</v>
      </c>
      <c r="G804" s="24">
        <v>8600000</v>
      </c>
      <c r="H804" s="23">
        <v>5.0000000000000001E-3</v>
      </c>
      <c r="I804" s="39">
        <v>44442</v>
      </c>
      <c r="J804" s="39">
        <v>44469</v>
      </c>
      <c r="K804" s="24">
        <v>28</v>
      </c>
      <c r="L804" s="24">
        <v>3299</v>
      </c>
      <c r="M804" s="24">
        <v>8600000</v>
      </c>
      <c r="N804" s="39">
        <v>46267</v>
      </c>
    </row>
    <row r="805" spans="1:14" s="5" customFormat="1" outlineLevel="2">
      <c r="A805" s="39" t="s">
        <v>270</v>
      </c>
      <c r="B805" s="40" t="s">
        <v>29</v>
      </c>
      <c r="C805" s="41" t="s">
        <v>273</v>
      </c>
      <c r="D805" s="40" t="s">
        <v>272</v>
      </c>
      <c r="E805" s="24">
        <v>99400000</v>
      </c>
      <c r="F805" s="39">
        <v>43917</v>
      </c>
      <c r="G805" s="24">
        <v>99400000</v>
      </c>
      <c r="H805" s="23">
        <v>5.0000000000000001E-3</v>
      </c>
      <c r="I805" s="39">
        <v>44440</v>
      </c>
      <c r="J805" s="39">
        <v>44469</v>
      </c>
      <c r="K805" s="24">
        <v>30</v>
      </c>
      <c r="L805" s="24">
        <v>40849</v>
      </c>
      <c r="M805" s="24">
        <v>99400000</v>
      </c>
      <c r="N805" s="39">
        <v>45742</v>
      </c>
    </row>
    <row r="806" spans="1:14" s="5" customFormat="1" outlineLevel="2">
      <c r="A806" s="39" t="s">
        <v>270</v>
      </c>
      <c r="B806" s="40" t="s">
        <v>355</v>
      </c>
      <c r="C806" s="41" t="s">
        <v>273</v>
      </c>
      <c r="D806" s="40" t="s">
        <v>272</v>
      </c>
      <c r="E806" s="24">
        <v>2400000</v>
      </c>
      <c r="F806" s="39">
        <v>44442</v>
      </c>
      <c r="G806" s="24">
        <v>2400000</v>
      </c>
      <c r="H806" s="23">
        <v>5.0000000000000001E-3</v>
      </c>
      <c r="I806" s="39">
        <v>44442</v>
      </c>
      <c r="J806" s="39">
        <v>44469</v>
      </c>
      <c r="K806" s="24">
        <v>28</v>
      </c>
      <c r="L806" s="24">
        <v>921</v>
      </c>
      <c r="M806" s="24">
        <v>2400000</v>
      </c>
      <c r="N806" s="39">
        <v>46267</v>
      </c>
    </row>
    <row r="807" spans="1:14" s="5" customFormat="1" outlineLevel="2">
      <c r="A807" s="39" t="s">
        <v>270</v>
      </c>
      <c r="B807" s="40" t="s">
        <v>32</v>
      </c>
      <c r="C807" s="41" t="s">
        <v>274</v>
      </c>
      <c r="D807" s="40" t="s">
        <v>275</v>
      </c>
      <c r="E807" s="24">
        <v>9087600</v>
      </c>
      <c r="F807" s="39">
        <v>43929</v>
      </c>
      <c r="G807" s="24">
        <v>9087600</v>
      </c>
      <c r="H807" s="23">
        <v>5.0000000000000001E-3</v>
      </c>
      <c r="I807" s="39">
        <v>44440</v>
      </c>
      <c r="J807" s="39">
        <v>44469</v>
      </c>
      <c r="K807" s="24">
        <v>30</v>
      </c>
      <c r="L807" s="24">
        <v>3735</v>
      </c>
      <c r="M807" s="24">
        <v>9087600</v>
      </c>
      <c r="N807" s="39">
        <v>45754</v>
      </c>
    </row>
    <row r="808" spans="1:14" s="5" customFormat="1" outlineLevel="2">
      <c r="A808" s="39" t="s">
        <v>270</v>
      </c>
      <c r="B808" s="40" t="s">
        <v>33</v>
      </c>
      <c r="C808" s="41" t="s">
        <v>274</v>
      </c>
      <c r="D808" s="40" t="s">
        <v>275</v>
      </c>
      <c r="E808" s="24">
        <v>13007640</v>
      </c>
      <c r="F808" s="39">
        <v>43929</v>
      </c>
      <c r="G808" s="24">
        <v>13007640</v>
      </c>
      <c r="H808" s="23">
        <v>5.0000000000000001E-3</v>
      </c>
      <c r="I808" s="39">
        <v>44440</v>
      </c>
      <c r="J808" s="39">
        <v>44469</v>
      </c>
      <c r="K808" s="24">
        <v>30</v>
      </c>
      <c r="L808" s="24">
        <v>5346</v>
      </c>
      <c r="M808" s="24">
        <v>13007640</v>
      </c>
      <c r="N808" s="39">
        <v>45754</v>
      </c>
    </row>
    <row r="809" spans="1:14" s="5" customFormat="1" outlineLevel="2">
      <c r="A809" s="39" t="s">
        <v>270</v>
      </c>
      <c r="B809" s="40" t="s">
        <v>34</v>
      </c>
      <c r="C809" s="41" t="s">
        <v>276</v>
      </c>
      <c r="D809" s="40" t="s">
        <v>277</v>
      </c>
      <c r="E809" s="24">
        <v>61668037</v>
      </c>
      <c r="F809" s="39">
        <v>43949</v>
      </c>
      <c r="G809" s="24">
        <v>61668037</v>
      </c>
      <c r="H809" s="23">
        <v>5.0000000000000001E-3</v>
      </c>
      <c r="I809" s="39">
        <v>44440</v>
      </c>
      <c r="J809" s="39">
        <v>44469</v>
      </c>
      <c r="K809" s="24">
        <v>30</v>
      </c>
      <c r="L809" s="24">
        <v>25343</v>
      </c>
      <c r="M809" s="24">
        <v>61668037</v>
      </c>
      <c r="N809" s="39">
        <v>45774</v>
      </c>
    </row>
    <row r="810" spans="1:14" s="5" customFormat="1" outlineLevel="2">
      <c r="A810" s="39" t="s">
        <v>270</v>
      </c>
      <c r="B810" s="40" t="s">
        <v>35</v>
      </c>
      <c r="C810" s="41" t="s">
        <v>274</v>
      </c>
      <c r="D810" s="40" t="s">
        <v>275</v>
      </c>
      <c r="E810" s="24">
        <v>13007640</v>
      </c>
      <c r="F810" s="39">
        <v>43964</v>
      </c>
      <c r="G810" s="24">
        <v>13007640</v>
      </c>
      <c r="H810" s="23">
        <v>5.0000000000000001E-3</v>
      </c>
      <c r="I810" s="39">
        <v>44440</v>
      </c>
      <c r="J810" s="39">
        <v>44469</v>
      </c>
      <c r="K810" s="24">
        <v>30</v>
      </c>
      <c r="L810" s="24">
        <v>5346</v>
      </c>
      <c r="M810" s="24">
        <v>13007640</v>
      </c>
      <c r="N810" s="39">
        <v>45789</v>
      </c>
    </row>
    <row r="811" spans="1:14" s="5" customFormat="1" outlineLevel="2">
      <c r="A811" s="39" t="s">
        <v>270</v>
      </c>
      <c r="B811" s="40" t="s">
        <v>36</v>
      </c>
      <c r="C811" s="41" t="s">
        <v>274</v>
      </c>
      <c r="D811" s="40" t="s">
        <v>275</v>
      </c>
      <c r="E811" s="24">
        <v>6361320</v>
      </c>
      <c r="F811" s="39">
        <v>43964</v>
      </c>
      <c r="G811" s="24">
        <v>6361320</v>
      </c>
      <c r="H811" s="23">
        <v>5.0000000000000001E-3</v>
      </c>
      <c r="I811" s="39">
        <v>44440</v>
      </c>
      <c r="J811" s="39">
        <v>44469</v>
      </c>
      <c r="K811" s="24">
        <v>30</v>
      </c>
      <c r="L811" s="24">
        <v>2614</v>
      </c>
      <c r="M811" s="24">
        <v>6361320</v>
      </c>
      <c r="N811" s="39">
        <v>45789</v>
      </c>
    </row>
    <row r="812" spans="1:14" s="5" customFormat="1" outlineLevel="2">
      <c r="A812" s="39" t="s">
        <v>270</v>
      </c>
      <c r="B812" s="40" t="s">
        <v>39</v>
      </c>
      <c r="C812" s="41" t="s">
        <v>274</v>
      </c>
      <c r="D812" s="40" t="s">
        <v>275</v>
      </c>
      <c r="E812" s="24">
        <v>5452560</v>
      </c>
      <c r="F812" s="39">
        <v>43810</v>
      </c>
      <c r="G812" s="24">
        <v>5452560</v>
      </c>
      <c r="H812" s="23">
        <v>5.0000000000000001E-3</v>
      </c>
      <c r="I812" s="39">
        <v>44440</v>
      </c>
      <c r="J812" s="39">
        <v>44469</v>
      </c>
      <c r="K812" s="24">
        <v>30</v>
      </c>
      <c r="L812" s="24">
        <v>2241</v>
      </c>
      <c r="M812" s="24">
        <v>5452560</v>
      </c>
      <c r="N812" s="39">
        <v>45636</v>
      </c>
    </row>
    <row r="813" spans="1:14" s="5" customFormat="1" outlineLevel="2">
      <c r="A813" s="39" t="s">
        <v>270</v>
      </c>
      <c r="B813" s="40" t="s">
        <v>40</v>
      </c>
      <c r="C813" s="41" t="s">
        <v>273</v>
      </c>
      <c r="D813" s="40" t="s">
        <v>272</v>
      </c>
      <c r="E813" s="24">
        <v>69800000</v>
      </c>
      <c r="F813" s="39">
        <v>43956</v>
      </c>
      <c r="G813" s="24">
        <v>69800000</v>
      </c>
      <c r="H813" s="23">
        <v>5.0000000000000001E-3</v>
      </c>
      <c r="I813" s="39">
        <v>44440</v>
      </c>
      <c r="J813" s="39">
        <v>44469</v>
      </c>
      <c r="K813" s="24">
        <v>30</v>
      </c>
      <c r="L813" s="24">
        <v>28685</v>
      </c>
      <c r="M813" s="24">
        <v>69800000</v>
      </c>
      <c r="N813" s="39">
        <v>45781</v>
      </c>
    </row>
    <row r="814" spans="1:14" s="5" customFormat="1" outlineLevel="2">
      <c r="A814" s="39" t="s">
        <v>270</v>
      </c>
      <c r="B814" s="40" t="s">
        <v>41</v>
      </c>
      <c r="C814" s="41" t="s">
        <v>273</v>
      </c>
      <c r="D814" s="40" t="s">
        <v>272</v>
      </c>
      <c r="E814" s="24">
        <v>1500000</v>
      </c>
      <c r="F814" s="39">
        <v>43956</v>
      </c>
      <c r="G814" s="24">
        <v>1500000</v>
      </c>
      <c r="H814" s="23">
        <v>5.0000000000000001E-3</v>
      </c>
      <c r="I814" s="39">
        <v>44440</v>
      </c>
      <c r="J814" s="39">
        <v>44469</v>
      </c>
      <c r="K814" s="24">
        <v>30</v>
      </c>
      <c r="L814" s="24">
        <v>616</v>
      </c>
      <c r="M814" s="24">
        <v>1500000</v>
      </c>
      <c r="N814" s="39">
        <v>45781</v>
      </c>
    </row>
    <row r="815" spans="1:14" s="5" customFormat="1" outlineLevel="2">
      <c r="A815" s="39" t="s">
        <v>270</v>
      </c>
      <c r="B815" s="40" t="s">
        <v>42</v>
      </c>
      <c r="C815" s="41" t="s">
        <v>30</v>
      </c>
      <c r="D815" s="40" t="s">
        <v>31</v>
      </c>
      <c r="E815" s="24">
        <v>50000000</v>
      </c>
      <c r="F815" s="39">
        <v>43976</v>
      </c>
      <c r="G815" s="24">
        <v>50000000</v>
      </c>
      <c r="H815" s="23">
        <v>5.0000000000000001E-3</v>
      </c>
      <c r="I815" s="39">
        <v>44440</v>
      </c>
      <c r="J815" s="39">
        <v>44469</v>
      </c>
      <c r="K815" s="24">
        <v>30</v>
      </c>
      <c r="L815" s="24">
        <v>20548</v>
      </c>
      <c r="M815" s="24">
        <v>50000000</v>
      </c>
      <c r="N815" s="39">
        <v>45801</v>
      </c>
    </row>
    <row r="816" spans="1:14" s="5" customFormat="1" outlineLevel="2">
      <c r="A816" s="39" t="s">
        <v>270</v>
      </c>
      <c r="B816" s="40" t="s">
        <v>43</v>
      </c>
      <c r="C816" s="41" t="s">
        <v>274</v>
      </c>
      <c r="D816" s="40" t="s">
        <v>275</v>
      </c>
      <c r="E816" s="24">
        <v>6657720</v>
      </c>
      <c r="F816" s="39">
        <v>43992</v>
      </c>
      <c r="G816" s="24">
        <v>6657720</v>
      </c>
      <c r="H816" s="23">
        <v>5.0000000000000001E-3</v>
      </c>
      <c r="I816" s="39">
        <v>44440</v>
      </c>
      <c r="J816" s="39">
        <v>44469</v>
      </c>
      <c r="K816" s="24">
        <v>30</v>
      </c>
      <c r="L816" s="24">
        <v>2736</v>
      </c>
      <c r="M816" s="24">
        <v>6657720</v>
      </c>
      <c r="N816" s="39">
        <v>45817</v>
      </c>
    </row>
    <row r="817" spans="1:14" s="5" customFormat="1" outlineLevel="2">
      <c r="A817" s="39" t="s">
        <v>270</v>
      </c>
      <c r="B817" s="40" t="s">
        <v>44</v>
      </c>
      <c r="C817" s="41" t="s">
        <v>274</v>
      </c>
      <c r="D817" s="40" t="s">
        <v>275</v>
      </c>
      <c r="E817" s="24">
        <v>6361320</v>
      </c>
      <c r="F817" s="39">
        <v>43992</v>
      </c>
      <c r="G817" s="24">
        <v>6361320</v>
      </c>
      <c r="H817" s="23">
        <v>5.0000000000000001E-3</v>
      </c>
      <c r="I817" s="39">
        <v>44440</v>
      </c>
      <c r="J817" s="39">
        <v>44469</v>
      </c>
      <c r="K817" s="24">
        <v>30</v>
      </c>
      <c r="L817" s="24">
        <v>2614</v>
      </c>
      <c r="M817" s="24">
        <v>6361320</v>
      </c>
      <c r="N817" s="39">
        <v>45817</v>
      </c>
    </row>
    <row r="818" spans="1:14" s="5" customFormat="1" outlineLevel="2">
      <c r="A818" s="39" t="s">
        <v>270</v>
      </c>
      <c r="B818" s="40" t="s">
        <v>47</v>
      </c>
      <c r="C818" s="41" t="s">
        <v>273</v>
      </c>
      <c r="D818" s="40" t="s">
        <v>272</v>
      </c>
      <c r="E818" s="24">
        <v>41200000</v>
      </c>
      <c r="F818" s="39">
        <v>43987</v>
      </c>
      <c r="G818" s="24">
        <v>41200000</v>
      </c>
      <c r="H818" s="23">
        <v>5.0000000000000001E-3</v>
      </c>
      <c r="I818" s="39">
        <v>44440</v>
      </c>
      <c r="J818" s="39">
        <v>44469</v>
      </c>
      <c r="K818" s="24">
        <v>30</v>
      </c>
      <c r="L818" s="24">
        <v>16932</v>
      </c>
      <c r="M818" s="24">
        <v>41200000</v>
      </c>
      <c r="N818" s="39">
        <v>45812</v>
      </c>
    </row>
    <row r="819" spans="1:14" s="5" customFormat="1" outlineLevel="2">
      <c r="A819" s="39" t="s">
        <v>270</v>
      </c>
      <c r="B819" s="40" t="s">
        <v>50</v>
      </c>
      <c r="C819" s="41" t="s">
        <v>274</v>
      </c>
      <c r="D819" s="40" t="s">
        <v>275</v>
      </c>
      <c r="E819" s="24">
        <v>6657720</v>
      </c>
      <c r="F819" s="39">
        <v>44020</v>
      </c>
      <c r="G819" s="24">
        <v>6657720</v>
      </c>
      <c r="H819" s="23">
        <v>5.0000000000000001E-3</v>
      </c>
      <c r="I819" s="39">
        <v>44440</v>
      </c>
      <c r="J819" s="39">
        <v>44469</v>
      </c>
      <c r="K819" s="24">
        <v>30</v>
      </c>
      <c r="L819" s="24">
        <v>2736</v>
      </c>
      <c r="M819" s="24">
        <v>6657720</v>
      </c>
      <c r="N819" s="39">
        <v>45845</v>
      </c>
    </row>
    <row r="820" spans="1:14" s="5" customFormat="1" outlineLevel="2">
      <c r="A820" s="39" t="s">
        <v>270</v>
      </c>
      <c r="B820" s="40" t="s">
        <v>51</v>
      </c>
      <c r="C820" s="41" t="s">
        <v>274</v>
      </c>
      <c r="D820" s="40" t="s">
        <v>275</v>
      </c>
      <c r="E820" s="24">
        <v>6657720</v>
      </c>
      <c r="F820" s="39">
        <v>44020</v>
      </c>
      <c r="G820" s="24">
        <v>6657720</v>
      </c>
      <c r="H820" s="23">
        <v>5.0000000000000001E-3</v>
      </c>
      <c r="I820" s="39">
        <v>44440</v>
      </c>
      <c r="J820" s="39">
        <v>44469</v>
      </c>
      <c r="K820" s="24">
        <v>30</v>
      </c>
      <c r="L820" s="24">
        <v>2736</v>
      </c>
      <c r="M820" s="24">
        <v>6657720</v>
      </c>
      <c r="N820" s="39">
        <v>45845</v>
      </c>
    </row>
    <row r="821" spans="1:14" s="5" customFormat="1" outlineLevel="2">
      <c r="A821" s="39" t="s">
        <v>270</v>
      </c>
      <c r="B821" s="40" t="s">
        <v>52</v>
      </c>
      <c r="C821" s="41" t="s">
        <v>273</v>
      </c>
      <c r="D821" s="40" t="s">
        <v>272</v>
      </c>
      <c r="E821" s="24">
        <v>11800000</v>
      </c>
      <c r="F821" s="39">
        <v>44015</v>
      </c>
      <c r="G821" s="24">
        <v>11800000</v>
      </c>
      <c r="H821" s="23">
        <v>5.0000000000000001E-3</v>
      </c>
      <c r="I821" s="39">
        <v>44440</v>
      </c>
      <c r="J821" s="39">
        <v>44469</v>
      </c>
      <c r="K821" s="24">
        <v>30</v>
      </c>
      <c r="L821" s="24">
        <v>4849</v>
      </c>
      <c r="M821" s="24">
        <v>11800000</v>
      </c>
      <c r="N821" s="39">
        <v>45840</v>
      </c>
    </row>
    <row r="822" spans="1:14" s="5" customFormat="1" outlineLevel="2">
      <c r="A822" s="39" t="s">
        <v>270</v>
      </c>
      <c r="B822" s="40" t="s">
        <v>53</v>
      </c>
      <c r="C822" s="41" t="s">
        <v>273</v>
      </c>
      <c r="D822" s="40" t="s">
        <v>272</v>
      </c>
      <c r="E822" s="24">
        <v>2600000</v>
      </c>
      <c r="F822" s="39">
        <v>44015</v>
      </c>
      <c r="G822" s="24">
        <v>2600000</v>
      </c>
      <c r="H822" s="23">
        <v>5.0000000000000001E-3</v>
      </c>
      <c r="I822" s="39">
        <v>44440</v>
      </c>
      <c r="J822" s="39">
        <v>44469</v>
      </c>
      <c r="K822" s="24">
        <v>30</v>
      </c>
      <c r="L822" s="24">
        <v>1068</v>
      </c>
      <c r="M822" s="24">
        <v>2600000</v>
      </c>
      <c r="N822" s="39">
        <v>45840</v>
      </c>
    </row>
    <row r="823" spans="1:14" s="5" customFormat="1" outlineLevel="2">
      <c r="A823" s="39" t="s">
        <v>270</v>
      </c>
      <c r="B823" s="40" t="s">
        <v>54</v>
      </c>
      <c r="C823" s="41" t="s">
        <v>278</v>
      </c>
      <c r="D823" s="40" t="s">
        <v>279</v>
      </c>
      <c r="E823" s="24">
        <v>220000000</v>
      </c>
      <c r="F823" s="39">
        <v>43815</v>
      </c>
      <c r="G823" s="24">
        <v>220000000</v>
      </c>
      <c r="H823" s="23">
        <v>5.0000000000000001E-3</v>
      </c>
      <c r="I823" s="39">
        <v>44440</v>
      </c>
      <c r="J823" s="39">
        <v>44469</v>
      </c>
      <c r="K823" s="24">
        <v>30</v>
      </c>
      <c r="L823" s="24">
        <v>90411</v>
      </c>
      <c r="M823" s="24">
        <v>220000000</v>
      </c>
      <c r="N823" s="39">
        <v>45641</v>
      </c>
    </row>
    <row r="824" spans="1:14" s="5" customFormat="1" outlineLevel="2">
      <c r="A824" s="39" t="s">
        <v>270</v>
      </c>
      <c r="B824" s="40" t="s">
        <v>57</v>
      </c>
      <c r="C824" s="41" t="s">
        <v>143</v>
      </c>
      <c r="D824" s="40" t="s">
        <v>144</v>
      </c>
      <c r="E824" s="24">
        <v>10400000</v>
      </c>
      <c r="F824" s="39">
        <v>44033</v>
      </c>
      <c r="G824" s="24">
        <v>10400000</v>
      </c>
      <c r="H824" s="23">
        <v>5.0000000000000001E-3</v>
      </c>
      <c r="I824" s="39">
        <v>44440</v>
      </c>
      <c r="J824" s="39">
        <v>44469</v>
      </c>
      <c r="K824" s="24">
        <v>30</v>
      </c>
      <c r="L824" s="24">
        <v>4274</v>
      </c>
      <c r="M824" s="24">
        <v>10400000</v>
      </c>
      <c r="N824" s="39">
        <v>45858</v>
      </c>
    </row>
    <row r="825" spans="1:14" s="5" customFormat="1" outlineLevel="2">
      <c r="A825" s="39" t="s">
        <v>270</v>
      </c>
      <c r="B825" s="40" t="s">
        <v>58</v>
      </c>
      <c r="C825" s="41" t="s">
        <v>97</v>
      </c>
      <c r="D825" s="40" t="s">
        <v>98</v>
      </c>
      <c r="E825" s="24">
        <v>28200000</v>
      </c>
      <c r="F825" s="39">
        <v>44027</v>
      </c>
      <c r="G825" s="24">
        <v>28200000</v>
      </c>
      <c r="H825" s="23">
        <v>5.0000000000000001E-3</v>
      </c>
      <c r="I825" s="39">
        <v>44440</v>
      </c>
      <c r="J825" s="39">
        <v>44469</v>
      </c>
      <c r="K825" s="24">
        <v>30</v>
      </c>
      <c r="L825" s="24">
        <v>11589</v>
      </c>
      <c r="M825" s="24">
        <v>28200000</v>
      </c>
      <c r="N825" s="39">
        <v>45852</v>
      </c>
    </row>
    <row r="826" spans="1:14" s="5" customFormat="1" outlineLevel="2">
      <c r="A826" s="39" t="s">
        <v>270</v>
      </c>
      <c r="B826" s="40" t="s">
        <v>99</v>
      </c>
      <c r="C826" s="41" t="s">
        <v>274</v>
      </c>
      <c r="D826" s="40" t="s">
        <v>275</v>
      </c>
      <c r="E826" s="24">
        <v>6657720</v>
      </c>
      <c r="F826" s="39">
        <v>44055</v>
      </c>
      <c r="G826" s="24">
        <v>6657720</v>
      </c>
      <c r="H826" s="23">
        <v>5.0000000000000001E-3</v>
      </c>
      <c r="I826" s="39">
        <v>44440</v>
      </c>
      <c r="J826" s="39">
        <v>44469</v>
      </c>
      <c r="K826" s="24">
        <v>30</v>
      </c>
      <c r="L826" s="24">
        <v>2736</v>
      </c>
      <c r="M826" s="24">
        <v>6657720</v>
      </c>
      <c r="N826" s="39">
        <v>45880</v>
      </c>
    </row>
    <row r="827" spans="1:14" s="5" customFormat="1" outlineLevel="2">
      <c r="A827" s="39" t="s">
        <v>270</v>
      </c>
      <c r="B827" s="40" t="s">
        <v>100</v>
      </c>
      <c r="C827" s="41" t="s">
        <v>274</v>
      </c>
      <c r="D827" s="40" t="s">
        <v>275</v>
      </c>
      <c r="E827" s="24">
        <v>6714720</v>
      </c>
      <c r="F827" s="39">
        <v>44055</v>
      </c>
      <c r="G827" s="24">
        <v>6714720</v>
      </c>
      <c r="H827" s="23">
        <v>5.0000000000000001E-3</v>
      </c>
      <c r="I827" s="39">
        <v>44440</v>
      </c>
      <c r="J827" s="39">
        <v>44469</v>
      </c>
      <c r="K827" s="24">
        <v>30</v>
      </c>
      <c r="L827" s="24">
        <v>2759</v>
      </c>
      <c r="M827" s="24">
        <v>6714720</v>
      </c>
      <c r="N827" s="39">
        <v>45880</v>
      </c>
    </row>
    <row r="828" spans="1:14" s="5" customFormat="1" outlineLevel="2">
      <c r="A828" s="39" t="s">
        <v>270</v>
      </c>
      <c r="B828" s="40" t="s">
        <v>101</v>
      </c>
      <c r="C828" s="41" t="s">
        <v>273</v>
      </c>
      <c r="D828" s="40" t="s">
        <v>272</v>
      </c>
      <c r="E828" s="24">
        <v>47630000</v>
      </c>
      <c r="F828" s="39">
        <v>44048</v>
      </c>
      <c r="G828" s="24">
        <v>47630000</v>
      </c>
      <c r="H828" s="23">
        <v>5.0000000000000001E-3</v>
      </c>
      <c r="I828" s="39">
        <v>44440</v>
      </c>
      <c r="J828" s="39">
        <v>44469</v>
      </c>
      <c r="K828" s="24">
        <v>30</v>
      </c>
      <c r="L828" s="24">
        <v>19574</v>
      </c>
      <c r="M828" s="24">
        <v>47630000</v>
      </c>
      <c r="N828" s="39">
        <v>45873</v>
      </c>
    </row>
    <row r="829" spans="1:14" s="5" customFormat="1" outlineLevel="2">
      <c r="A829" s="39" t="s">
        <v>270</v>
      </c>
      <c r="B829" s="40" t="s">
        <v>102</v>
      </c>
      <c r="C829" s="41" t="s">
        <v>273</v>
      </c>
      <c r="D829" s="40" t="s">
        <v>272</v>
      </c>
      <c r="E829" s="24">
        <v>1970000</v>
      </c>
      <c r="F829" s="39">
        <v>44048</v>
      </c>
      <c r="G829" s="24">
        <v>1970000</v>
      </c>
      <c r="H829" s="23">
        <v>5.0000000000000001E-3</v>
      </c>
      <c r="I829" s="39">
        <v>44440</v>
      </c>
      <c r="J829" s="39">
        <v>44469</v>
      </c>
      <c r="K829" s="24">
        <v>30</v>
      </c>
      <c r="L829" s="24">
        <v>810</v>
      </c>
      <c r="M829" s="24">
        <v>1970000</v>
      </c>
      <c r="N829" s="39">
        <v>45873</v>
      </c>
    </row>
    <row r="830" spans="1:14" s="5" customFormat="1" outlineLevel="2">
      <c r="A830" s="39" t="s">
        <v>270</v>
      </c>
      <c r="B830" s="40" t="s">
        <v>103</v>
      </c>
      <c r="C830" s="41" t="s">
        <v>252</v>
      </c>
      <c r="D830" s="40" t="s">
        <v>253</v>
      </c>
      <c r="E830" s="24">
        <v>27700000</v>
      </c>
      <c r="F830" s="39">
        <v>44071</v>
      </c>
      <c r="G830" s="24">
        <v>27700000</v>
      </c>
      <c r="H830" s="23">
        <v>5.0000000000000001E-3</v>
      </c>
      <c r="I830" s="39">
        <v>44440</v>
      </c>
      <c r="J830" s="39">
        <v>44469</v>
      </c>
      <c r="K830" s="24">
        <v>30</v>
      </c>
      <c r="L830" s="24">
        <v>11384</v>
      </c>
      <c r="M830" s="24">
        <v>27700000</v>
      </c>
      <c r="N830" s="39">
        <v>45896</v>
      </c>
    </row>
    <row r="831" spans="1:14" s="5" customFormat="1" outlineLevel="2">
      <c r="A831" s="39" t="s">
        <v>270</v>
      </c>
      <c r="B831" s="40" t="s">
        <v>104</v>
      </c>
      <c r="C831" s="41" t="s">
        <v>274</v>
      </c>
      <c r="D831" s="40" t="s">
        <v>275</v>
      </c>
      <c r="E831" s="24">
        <v>6714720</v>
      </c>
      <c r="F831" s="39">
        <v>44083</v>
      </c>
      <c r="G831" s="24">
        <v>6714720</v>
      </c>
      <c r="H831" s="23">
        <v>5.0000000000000001E-3</v>
      </c>
      <c r="I831" s="39">
        <v>44440</v>
      </c>
      <c r="J831" s="39">
        <v>44469</v>
      </c>
      <c r="K831" s="24">
        <v>30</v>
      </c>
      <c r="L831" s="24">
        <v>2759</v>
      </c>
      <c r="M831" s="24">
        <v>6714720</v>
      </c>
      <c r="N831" s="39">
        <v>45908</v>
      </c>
    </row>
    <row r="832" spans="1:14" s="5" customFormat="1" outlineLevel="2">
      <c r="A832" s="39" t="s">
        <v>270</v>
      </c>
      <c r="B832" s="40" t="s">
        <v>105</v>
      </c>
      <c r="C832" s="41" t="s">
        <v>274</v>
      </c>
      <c r="D832" s="40" t="s">
        <v>275</v>
      </c>
      <c r="E832" s="24">
        <v>5805960</v>
      </c>
      <c r="F832" s="39">
        <v>44083</v>
      </c>
      <c r="G832" s="24">
        <v>5805960</v>
      </c>
      <c r="H832" s="23">
        <v>5.0000000000000001E-3</v>
      </c>
      <c r="I832" s="39">
        <v>44440</v>
      </c>
      <c r="J832" s="39">
        <v>44469</v>
      </c>
      <c r="K832" s="24">
        <v>30</v>
      </c>
      <c r="L832" s="24">
        <v>2386</v>
      </c>
      <c r="M832" s="24">
        <v>5805960</v>
      </c>
      <c r="N832" s="39">
        <v>45908</v>
      </c>
    </row>
    <row r="833" spans="1:14" s="5" customFormat="1" outlineLevel="2">
      <c r="A833" s="39" t="s">
        <v>270</v>
      </c>
      <c r="B833" s="40" t="s">
        <v>106</v>
      </c>
      <c r="C833" s="41" t="s">
        <v>273</v>
      </c>
      <c r="D833" s="40" t="s">
        <v>272</v>
      </c>
      <c r="E833" s="24">
        <v>19100000</v>
      </c>
      <c r="F833" s="39">
        <v>44078</v>
      </c>
      <c r="G833" s="24">
        <v>19100000</v>
      </c>
      <c r="H833" s="23">
        <v>5.0000000000000001E-3</v>
      </c>
      <c r="I833" s="39">
        <v>44440</v>
      </c>
      <c r="J833" s="39">
        <v>44469</v>
      </c>
      <c r="K833" s="24">
        <v>30</v>
      </c>
      <c r="L833" s="24">
        <v>7849</v>
      </c>
      <c r="M833" s="24">
        <v>19100000</v>
      </c>
      <c r="N833" s="39">
        <v>45903</v>
      </c>
    </row>
    <row r="834" spans="1:14" s="5" customFormat="1" outlineLevel="2">
      <c r="A834" s="39" t="s">
        <v>270</v>
      </c>
      <c r="B834" s="40" t="s">
        <v>59</v>
      </c>
      <c r="C834" s="41" t="s">
        <v>274</v>
      </c>
      <c r="D834" s="40" t="s">
        <v>275</v>
      </c>
      <c r="E834" s="24">
        <v>5452560</v>
      </c>
      <c r="F834" s="39">
        <v>43838</v>
      </c>
      <c r="G834" s="24">
        <v>5452560</v>
      </c>
      <c r="H834" s="23">
        <v>5.0000000000000001E-3</v>
      </c>
      <c r="I834" s="39">
        <v>44440</v>
      </c>
      <c r="J834" s="39">
        <v>44469</v>
      </c>
      <c r="K834" s="24">
        <v>30</v>
      </c>
      <c r="L834" s="24">
        <v>2241</v>
      </c>
      <c r="M834" s="24">
        <v>5452560</v>
      </c>
      <c r="N834" s="39">
        <v>45664</v>
      </c>
    </row>
    <row r="835" spans="1:14" s="5" customFormat="1" outlineLevel="2">
      <c r="A835" s="39" t="s">
        <v>270</v>
      </c>
      <c r="B835" s="40" t="s">
        <v>136</v>
      </c>
      <c r="C835" s="41" t="s">
        <v>30</v>
      </c>
      <c r="D835" s="40" t="s">
        <v>31</v>
      </c>
      <c r="E835" s="24">
        <v>31000000</v>
      </c>
      <c r="F835" s="39">
        <v>44102</v>
      </c>
      <c r="G835" s="24">
        <v>31000000</v>
      </c>
      <c r="H835" s="23">
        <v>5.0000000000000001E-3</v>
      </c>
      <c r="I835" s="39">
        <v>44440</v>
      </c>
      <c r="J835" s="39">
        <v>44469</v>
      </c>
      <c r="K835" s="24">
        <v>30</v>
      </c>
      <c r="L835" s="24">
        <v>12740</v>
      </c>
      <c r="M835" s="24">
        <v>31000000</v>
      </c>
      <c r="N835" s="39">
        <v>45927</v>
      </c>
    </row>
    <row r="836" spans="1:14" s="5" customFormat="1" outlineLevel="2">
      <c r="A836" s="39" t="s">
        <v>270</v>
      </c>
      <c r="B836" s="40" t="s">
        <v>137</v>
      </c>
      <c r="C836" s="41" t="s">
        <v>143</v>
      </c>
      <c r="D836" s="40" t="s">
        <v>144</v>
      </c>
      <c r="E836" s="24">
        <v>10700000</v>
      </c>
      <c r="F836" s="39">
        <v>44104</v>
      </c>
      <c r="G836" s="24">
        <v>10700000</v>
      </c>
      <c r="H836" s="23">
        <v>5.0000000000000001E-3</v>
      </c>
      <c r="I836" s="39">
        <v>44440</v>
      </c>
      <c r="J836" s="39">
        <v>44469</v>
      </c>
      <c r="K836" s="24">
        <v>30</v>
      </c>
      <c r="L836" s="24">
        <v>4397</v>
      </c>
      <c r="M836" s="24">
        <v>10700000</v>
      </c>
      <c r="N836" s="39">
        <v>45929</v>
      </c>
    </row>
    <row r="837" spans="1:14" s="5" customFormat="1" outlineLevel="2">
      <c r="A837" s="39" t="s">
        <v>270</v>
      </c>
      <c r="B837" s="40" t="s">
        <v>138</v>
      </c>
      <c r="C837" s="41" t="s">
        <v>280</v>
      </c>
      <c r="D837" s="40" t="s">
        <v>281</v>
      </c>
      <c r="E837" s="24">
        <v>1000000000</v>
      </c>
      <c r="F837" s="39">
        <v>44102</v>
      </c>
      <c r="G837" s="24">
        <v>1000000000</v>
      </c>
      <c r="H837" s="23">
        <v>5.0000000000000001E-3</v>
      </c>
      <c r="I837" s="39">
        <v>44440</v>
      </c>
      <c r="J837" s="39">
        <v>44469</v>
      </c>
      <c r="K837" s="24">
        <v>30</v>
      </c>
      <c r="L837" s="24">
        <v>410959</v>
      </c>
      <c r="M837" s="24">
        <v>1000000000</v>
      </c>
      <c r="N837" s="39">
        <v>45927</v>
      </c>
    </row>
    <row r="838" spans="1:14" s="5" customFormat="1" outlineLevel="2">
      <c r="A838" s="39" t="s">
        <v>270</v>
      </c>
      <c r="B838" s="40" t="s">
        <v>139</v>
      </c>
      <c r="C838" s="41" t="s">
        <v>274</v>
      </c>
      <c r="D838" s="40" t="s">
        <v>275</v>
      </c>
      <c r="E838" s="24">
        <v>5805960</v>
      </c>
      <c r="F838" s="39">
        <v>44111</v>
      </c>
      <c r="G838" s="24">
        <v>5805960</v>
      </c>
      <c r="H838" s="23">
        <v>5.0000000000000001E-3</v>
      </c>
      <c r="I838" s="39">
        <v>44440</v>
      </c>
      <c r="J838" s="39">
        <v>44469</v>
      </c>
      <c r="K838" s="24">
        <v>30</v>
      </c>
      <c r="L838" s="24">
        <v>2386</v>
      </c>
      <c r="M838" s="24">
        <v>5805960</v>
      </c>
      <c r="N838" s="39">
        <v>45936</v>
      </c>
    </row>
    <row r="839" spans="1:14" s="5" customFormat="1" outlineLevel="2">
      <c r="A839" s="39" t="s">
        <v>270</v>
      </c>
      <c r="B839" s="40" t="s">
        <v>140</v>
      </c>
      <c r="C839" s="41" t="s">
        <v>274</v>
      </c>
      <c r="D839" s="40" t="s">
        <v>275</v>
      </c>
      <c r="E839" s="24">
        <v>5805960</v>
      </c>
      <c r="F839" s="39">
        <v>44111</v>
      </c>
      <c r="G839" s="24">
        <v>5805960</v>
      </c>
      <c r="H839" s="23">
        <v>5.0000000000000001E-3</v>
      </c>
      <c r="I839" s="39">
        <v>44440</v>
      </c>
      <c r="J839" s="39">
        <v>44469</v>
      </c>
      <c r="K839" s="24">
        <v>30</v>
      </c>
      <c r="L839" s="24">
        <v>2386</v>
      </c>
      <c r="M839" s="24">
        <v>5805960</v>
      </c>
      <c r="N839" s="39">
        <v>45936</v>
      </c>
    </row>
    <row r="840" spans="1:14" s="5" customFormat="1" outlineLevel="2">
      <c r="A840" s="39" t="s">
        <v>270</v>
      </c>
      <c r="B840" s="40" t="s">
        <v>169</v>
      </c>
      <c r="C840" s="41" t="s">
        <v>273</v>
      </c>
      <c r="D840" s="40" t="s">
        <v>272</v>
      </c>
      <c r="E840" s="24">
        <v>18400000</v>
      </c>
      <c r="F840" s="39">
        <v>44109</v>
      </c>
      <c r="G840" s="24">
        <v>18400000</v>
      </c>
      <c r="H840" s="23">
        <v>5.0000000000000001E-3</v>
      </c>
      <c r="I840" s="39">
        <v>44440</v>
      </c>
      <c r="J840" s="39">
        <v>44469</v>
      </c>
      <c r="K840" s="24">
        <v>30</v>
      </c>
      <c r="L840" s="24">
        <v>7562</v>
      </c>
      <c r="M840" s="24">
        <v>18400000</v>
      </c>
      <c r="N840" s="39">
        <v>45934</v>
      </c>
    </row>
    <row r="841" spans="1:14" s="5" customFormat="1" outlineLevel="2">
      <c r="A841" s="39" t="s">
        <v>270</v>
      </c>
      <c r="B841" s="40" t="s">
        <v>170</v>
      </c>
      <c r="C841" s="41" t="s">
        <v>273</v>
      </c>
      <c r="D841" s="40" t="s">
        <v>272</v>
      </c>
      <c r="E841" s="24">
        <v>1500000</v>
      </c>
      <c r="F841" s="39">
        <v>44109</v>
      </c>
      <c r="G841" s="24">
        <v>1500000</v>
      </c>
      <c r="H841" s="23">
        <v>5.0000000000000001E-3</v>
      </c>
      <c r="I841" s="39">
        <v>44440</v>
      </c>
      <c r="J841" s="39">
        <v>44469</v>
      </c>
      <c r="K841" s="24">
        <v>30</v>
      </c>
      <c r="L841" s="24">
        <v>616</v>
      </c>
      <c r="M841" s="24">
        <v>1500000</v>
      </c>
      <c r="N841" s="39">
        <v>45934</v>
      </c>
    </row>
    <row r="842" spans="1:14" s="5" customFormat="1" outlineLevel="2">
      <c r="A842" s="39" t="s">
        <v>270</v>
      </c>
      <c r="B842" s="40" t="s">
        <v>171</v>
      </c>
      <c r="C842" s="41" t="s">
        <v>125</v>
      </c>
      <c r="D842" s="40" t="s">
        <v>126</v>
      </c>
      <c r="E842" s="24">
        <v>3480000</v>
      </c>
      <c r="F842" s="39">
        <v>44125</v>
      </c>
      <c r="G842" s="24">
        <v>3480000</v>
      </c>
      <c r="H842" s="23">
        <v>5.0000000000000001E-3</v>
      </c>
      <c r="I842" s="39">
        <v>44440</v>
      </c>
      <c r="J842" s="39">
        <v>44469</v>
      </c>
      <c r="K842" s="24">
        <v>30</v>
      </c>
      <c r="L842" s="24">
        <v>1430</v>
      </c>
      <c r="M842" s="24">
        <v>3480000</v>
      </c>
      <c r="N842" s="39">
        <v>45950</v>
      </c>
    </row>
    <row r="843" spans="1:14" s="5" customFormat="1" outlineLevel="2">
      <c r="A843" s="39" t="s">
        <v>270</v>
      </c>
      <c r="B843" s="40" t="s">
        <v>172</v>
      </c>
      <c r="C843" s="41" t="s">
        <v>276</v>
      </c>
      <c r="D843" s="40" t="s">
        <v>277</v>
      </c>
      <c r="E843" s="24">
        <v>32000000</v>
      </c>
      <c r="F843" s="39">
        <v>44133</v>
      </c>
      <c r="G843" s="24">
        <v>32000000</v>
      </c>
      <c r="H843" s="23">
        <v>5.0000000000000001E-3</v>
      </c>
      <c r="I843" s="39">
        <v>44440</v>
      </c>
      <c r="J843" s="39">
        <v>44469</v>
      </c>
      <c r="K843" s="24">
        <v>30</v>
      </c>
      <c r="L843" s="24">
        <v>13151</v>
      </c>
      <c r="M843" s="24">
        <v>32000000</v>
      </c>
      <c r="N843" s="39">
        <v>45958</v>
      </c>
    </row>
    <row r="844" spans="1:14" s="5" customFormat="1" outlineLevel="2">
      <c r="A844" s="39" t="s">
        <v>270</v>
      </c>
      <c r="B844" s="40" t="s">
        <v>173</v>
      </c>
      <c r="C844" s="41" t="s">
        <v>274</v>
      </c>
      <c r="D844" s="40" t="s">
        <v>275</v>
      </c>
      <c r="E844" s="24">
        <v>5805960</v>
      </c>
      <c r="F844" s="39">
        <v>44146</v>
      </c>
      <c r="G844" s="24">
        <v>5805960</v>
      </c>
      <c r="H844" s="23">
        <v>5.0000000000000001E-3</v>
      </c>
      <c r="I844" s="39">
        <v>44440</v>
      </c>
      <c r="J844" s="39">
        <v>44469</v>
      </c>
      <c r="K844" s="24">
        <v>30</v>
      </c>
      <c r="L844" s="24">
        <v>2386</v>
      </c>
      <c r="M844" s="24">
        <v>5805960</v>
      </c>
      <c r="N844" s="39">
        <v>45971</v>
      </c>
    </row>
    <row r="845" spans="1:14" s="5" customFormat="1" outlineLevel="2">
      <c r="A845" s="39" t="s">
        <v>270</v>
      </c>
      <c r="B845" s="40" t="s">
        <v>62</v>
      </c>
      <c r="C845" s="41" t="s">
        <v>274</v>
      </c>
      <c r="D845" s="40" t="s">
        <v>275</v>
      </c>
      <c r="E845" s="24">
        <v>5452560</v>
      </c>
      <c r="F845" s="39">
        <v>43838</v>
      </c>
      <c r="G845" s="24">
        <v>5452560</v>
      </c>
      <c r="H845" s="23">
        <v>5.0000000000000001E-3</v>
      </c>
      <c r="I845" s="39">
        <v>44440</v>
      </c>
      <c r="J845" s="39">
        <v>44469</v>
      </c>
      <c r="K845" s="24">
        <v>30</v>
      </c>
      <c r="L845" s="24">
        <v>2241</v>
      </c>
      <c r="M845" s="24">
        <v>5452560</v>
      </c>
      <c r="N845" s="39">
        <v>45664</v>
      </c>
    </row>
    <row r="846" spans="1:14" s="5" customFormat="1" outlineLevel="2">
      <c r="A846" s="39" t="s">
        <v>270</v>
      </c>
      <c r="B846" s="40" t="s">
        <v>174</v>
      </c>
      <c r="C846" s="41" t="s">
        <v>274</v>
      </c>
      <c r="D846" s="40" t="s">
        <v>275</v>
      </c>
      <c r="E846" s="24">
        <v>14338200</v>
      </c>
      <c r="F846" s="39">
        <v>44146</v>
      </c>
      <c r="G846" s="24">
        <v>14338200</v>
      </c>
      <c r="H846" s="23">
        <v>5.0000000000000001E-3</v>
      </c>
      <c r="I846" s="39">
        <v>44440</v>
      </c>
      <c r="J846" s="39">
        <v>44469</v>
      </c>
      <c r="K846" s="24">
        <v>30</v>
      </c>
      <c r="L846" s="24">
        <v>5892</v>
      </c>
      <c r="M846" s="24">
        <v>14338200</v>
      </c>
      <c r="N846" s="39">
        <v>45971</v>
      </c>
    </row>
    <row r="847" spans="1:14" s="5" customFormat="1" outlineLevel="2">
      <c r="A847" s="39" t="s">
        <v>270</v>
      </c>
      <c r="B847" s="40" t="s">
        <v>175</v>
      </c>
      <c r="C847" s="41" t="s">
        <v>273</v>
      </c>
      <c r="D847" s="40" t="s">
        <v>272</v>
      </c>
      <c r="E847" s="24">
        <v>31500000</v>
      </c>
      <c r="F847" s="39">
        <v>44140</v>
      </c>
      <c r="G847" s="24">
        <v>31500000</v>
      </c>
      <c r="H847" s="23">
        <v>5.0000000000000001E-3</v>
      </c>
      <c r="I847" s="39">
        <v>44440</v>
      </c>
      <c r="J847" s="39">
        <v>44469</v>
      </c>
      <c r="K847" s="24">
        <v>30</v>
      </c>
      <c r="L847" s="24">
        <v>12945</v>
      </c>
      <c r="M847" s="24">
        <v>31500000</v>
      </c>
      <c r="N847" s="39">
        <v>45965</v>
      </c>
    </row>
    <row r="848" spans="1:14" s="5" customFormat="1" outlineLevel="2">
      <c r="A848" s="39" t="s">
        <v>270</v>
      </c>
      <c r="B848" s="40" t="s">
        <v>176</v>
      </c>
      <c r="C848" s="41" t="s">
        <v>125</v>
      </c>
      <c r="D848" s="40" t="s">
        <v>126</v>
      </c>
      <c r="E848" s="24">
        <v>2500000</v>
      </c>
      <c r="F848" s="39">
        <v>44146</v>
      </c>
      <c r="G848" s="24">
        <v>2500000</v>
      </c>
      <c r="H848" s="23">
        <v>5.0000000000000001E-3</v>
      </c>
      <c r="I848" s="39">
        <v>44440</v>
      </c>
      <c r="J848" s="39">
        <v>44469</v>
      </c>
      <c r="K848" s="24">
        <v>30</v>
      </c>
      <c r="L848" s="24">
        <v>1027</v>
      </c>
      <c r="M848" s="24">
        <v>2500000</v>
      </c>
      <c r="N848" s="39">
        <v>45971</v>
      </c>
    </row>
    <row r="849" spans="1:14" s="5" customFormat="1" outlineLevel="2">
      <c r="A849" s="39" t="s">
        <v>270</v>
      </c>
      <c r="B849" s="40" t="s">
        <v>177</v>
      </c>
      <c r="C849" s="41" t="s">
        <v>276</v>
      </c>
      <c r="D849" s="40" t="s">
        <v>277</v>
      </c>
      <c r="E849" s="24">
        <v>30000000</v>
      </c>
      <c r="F849" s="39">
        <v>44140</v>
      </c>
      <c r="G849" s="24">
        <v>30000000</v>
      </c>
      <c r="H849" s="23">
        <v>5.0000000000000001E-3</v>
      </c>
      <c r="I849" s="39">
        <v>44440</v>
      </c>
      <c r="J849" s="39">
        <v>44469</v>
      </c>
      <c r="K849" s="24">
        <v>30</v>
      </c>
      <c r="L849" s="24">
        <v>12329</v>
      </c>
      <c r="M849" s="24">
        <v>30000000</v>
      </c>
      <c r="N849" s="39">
        <v>45965</v>
      </c>
    </row>
    <row r="850" spans="1:14" s="5" customFormat="1" outlineLevel="2">
      <c r="A850" s="39" t="s">
        <v>270</v>
      </c>
      <c r="B850" s="40" t="s">
        <v>178</v>
      </c>
      <c r="C850" s="41" t="s">
        <v>115</v>
      </c>
      <c r="D850" s="40" t="s">
        <v>116</v>
      </c>
      <c r="E850" s="24">
        <v>6100000</v>
      </c>
      <c r="F850" s="39">
        <v>44138</v>
      </c>
      <c r="G850" s="24">
        <v>6100000</v>
      </c>
      <c r="H850" s="23">
        <v>5.0000000000000001E-3</v>
      </c>
      <c r="I850" s="39">
        <v>44440</v>
      </c>
      <c r="J850" s="39">
        <v>44469</v>
      </c>
      <c r="K850" s="24">
        <v>30</v>
      </c>
      <c r="L850" s="24">
        <v>2507</v>
      </c>
      <c r="M850" s="24">
        <v>6100000</v>
      </c>
      <c r="N850" s="39">
        <v>45963</v>
      </c>
    </row>
    <row r="851" spans="1:14" s="5" customFormat="1" outlineLevel="2">
      <c r="A851" s="39" t="s">
        <v>270</v>
      </c>
      <c r="B851" s="40" t="s">
        <v>179</v>
      </c>
      <c r="C851" s="41" t="s">
        <v>278</v>
      </c>
      <c r="D851" s="40" t="s">
        <v>279</v>
      </c>
      <c r="E851" s="24">
        <v>82036355</v>
      </c>
      <c r="F851" s="39">
        <v>44137</v>
      </c>
      <c r="G851" s="24">
        <v>82036355</v>
      </c>
      <c r="H851" s="23">
        <v>5.0000000000000001E-3</v>
      </c>
      <c r="I851" s="39">
        <v>44440</v>
      </c>
      <c r="J851" s="39">
        <v>44469</v>
      </c>
      <c r="K851" s="24">
        <v>30</v>
      </c>
      <c r="L851" s="24">
        <v>33714</v>
      </c>
      <c r="M851" s="24">
        <v>82036355</v>
      </c>
      <c r="N851" s="39">
        <v>45962</v>
      </c>
    </row>
    <row r="852" spans="1:14" s="5" customFormat="1" outlineLevel="2">
      <c r="A852" s="39" t="s">
        <v>270</v>
      </c>
      <c r="B852" s="40" t="s">
        <v>180</v>
      </c>
      <c r="C852" s="41" t="s">
        <v>280</v>
      </c>
      <c r="D852" s="40" t="s">
        <v>281</v>
      </c>
      <c r="E852" s="24">
        <v>1000000000</v>
      </c>
      <c r="F852" s="39">
        <v>44162</v>
      </c>
      <c r="G852" s="24">
        <v>1000000000</v>
      </c>
      <c r="H852" s="23">
        <v>5.0000000000000001E-3</v>
      </c>
      <c r="I852" s="39">
        <v>44440</v>
      </c>
      <c r="J852" s="39">
        <v>44469</v>
      </c>
      <c r="K852" s="24">
        <v>30</v>
      </c>
      <c r="L852" s="24">
        <v>410959</v>
      </c>
      <c r="M852" s="24">
        <v>1000000000</v>
      </c>
      <c r="N852" s="39">
        <v>45987</v>
      </c>
    </row>
    <row r="853" spans="1:14" s="5" customFormat="1" outlineLevel="2">
      <c r="A853" s="39" t="s">
        <v>270</v>
      </c>
      <c r="B853" s="40" t="s">
        <v>181</v>
      </c>
      <c r="C853" s="41" t="s">
        <v>75</v>
      </c>
      <c r="D853" s="40" t="s">
        <v>76</v>
      </c>
      <c r="E853" s="24">
        <v>47490000</v>
      </c>
      <c r="F853" s="39">
        <v>44137</v>
      </c>
      <c r="G853" s="24">
        <v>47490000</v>
      </c>
      <c r="H853" s="23">
        <v>5.0000000000000001E-3</v>
      </c>
      <c r="I853" s="39">
        <v>44440</v>
      </c>
      <c r="J853" s="39">
        <v>44469</v>
      </c>
      <c r="K853" s="24">
        <v>30</v>
      </c>
      <c r="L853" s="24">
        <v>19516</v>
      </c>
      <c r="M853" s="24">
        <v>47490000</v>
      </c>
      <c r="N853" s="39">
        <v>45962</v>
      </c>
    </row>
    <row r="854" spans="1:14" s="5" customFormat="1" outlineLevel="2">
      <c r="A854" s="39" t="s">
        <v>270</v>
      </c>
      <c r="B854" s="40" t="s">
        <v>182</v>
      </c>
      <c r="C854" s="41" t="s">
        <v>143</v>
      </c>
      <c r="D854" s="40" t="s">
        <v>144</v>
      </c>
      <c r="E854" s="24">
        <v>5300000</v>
      </c>
      <c r="F854" s="39">
        <v>44145</v>
      </c>
      <c r="G854" s="24">
        <v>5300000</v>
      </c>
      <c r="H854" s="23">
        <v>5.0000000000000001E-3</v>
      </c>
      <c r="I854" s="39">
        <v>44440</v>
      </c>
      <c r="J854" s="39">
        <v>44469</v>
      </c>
      <c r="K854" s="24">
        <v>30</v>
      </c>
      <c r="L854" s="24">
        <v>2178</v>
      </c>
      <c r="M854" s="24">
        <v>5300000</v>
      </c>
      <c r="N854" s="39">
        <v>45970</v>
      </c>
    </row>
    <row r="855" spans="1:14" s="5" customFormat="1" outlineLevel="2">
      <c r="A855" s="39" t="s">
        <v>270</v>
      </c>
      <c r="B855" s="40" t="s">
        <v>183</v>
      </c>
      <c r="C855" s="41" t="s">
        <v>143</v>
      </c>
      <c r="D855" s="40" t="s">
        <v>144</v>
      </c>
      <c r="E855" s="24">
        <v>4130000</v>
      </c>
      <c r="F855" s="39">
        <v>44151</v>
      </c>
      <c r="G855" s="24">
        <v>4130000</v>
      </c>
      <c r="H855" s="23">
        <v>5.0000000000000001E-3</v>
      </c>
      <c r="I855" s="39">
        <v>44440</v>
      </c>
      <c r="J855" s="39">
        <v>44469</v>
      </c>
      <c r="K855" s="24">
        <v>30</v>
      </c>
      <c r="L855" s="24">
        <v>1697</v>
      </c>
      <c r="M855" s="24">
        <v>4130000</v>
      </c>
      <c r="N855" s="39">
        <v>45976</v>
      </c>
    </row>
    <row r="856" spans="1:14" s="5" customFormat="1" outlineLevel="2">
      <c r="A856" s="39" t="s">
        <v>270</v>
      </c>
      <c r="B856" s="40" t="s">
        <v>63</v>
      </c>
      <c r="C856" s="41" t="s">
        <v>273</v>
      </c>
      <c r="D856" s="40" t="s">
        <v>272</v>
      </c>
      <c r="E856" s="24">
        <v>55600000</v>
      </c>
      <c r="F856" s="39">
        <v>43833</v>
      </c>
      <c r="G856" s="24">
        <v>55600000</v>
      </c>
      <c r="H856" s="23">
        <v>5.0000000000000001E-3</v>
      </c>
      <c r="I856" s="39">
        <v>44440</v>
      </c>
      <c r="J856" s="39">
        <v>44469</v>
      </c>
      <c r="K856" s="24">
        <v>30</v>
      </c>
      <c r="L856" s="24">
        <v>22849</v>
      </c>
      <c r="M856" s="24">
        <v>55600000</v>
      </c>
      <c r="N856" s="39">
        <v>45659</v>
      </c>
    </row>
    <row r="857" spans="1:14" s="5" customFormat="1" outlineLevel="2">
      <c r="A857" s="39" t="s">
        <v>270</v>
      </c>
      <c r="B857" s="40" t="s">
        <v>184</v>
      </c>
      <c r="C857" s="41" t="s">
        <v>143</v>
      </c>
      <c r="D857" s="40" t="s">
        <v>144</v>
      </c>
      <c r="E857" s="24">
        <v>6450000</v>
      </c>
      <c r="F857" s="39">
        <v>44165</v>
      </c>
      <c r="G857" s="24">
        <v>6450000</v>
      </c>
      <c r="H857" s="23">
        <v>5.0000000000000001E-3</v>
      </c>
      <c r="I857" s="39">
        <v>44440</v>
      </c>
      <c r="J857" s="39">
        <v>44469</v>
      </c>
      <c r="K857" s="24">
        <v>30</v>
      </c>
      <c r="L857" s="24">
        <v>2651</v>
      </c>
      <c r="M857" s="24">
        <v>6450000</v>
      </c>
      <c r="N857" s="39">
        <v>45990</v>
      </c>
    </row>
    <row r="858" spans="1:14" s="5" customFormat="1" outlineLevel="2">
      <c r="A858" s="39" t="s">
        <v>270</v>
      </c>
      <c r="B858" s="40" t="s">
        <v>185</v>
      </c>
      <c r="C858" s="41" t="s">
        <v>55</v>
      </c>
      <c r="D858" s="40" t="s">
        <v>56</v>
      </c>
      <c r="E858" s="24">
        <v>31466520</v>
      </c>
      <c r="F858" s="39">
        <v>44189</v>
      </c>
      <c r="G858" s="24">
        <v>31466520</v>
      </c>
      <c r="H858" s="23">
        <v>5.0000000000000001E-3</v>
      </c>
      <c r="I858" s="39">
        <v>44440</v>
      </c>
      <c r="J858" s="39">
        <v>44469</v>
      </c>
      <c r="K858" s="24">
        <v>30</v>
      </c>
      <c r="L858" s="24">
        <v>12931</v>
      </c>
      <c r="M858" s="24">
        <v>31466520</v>
      </c>
      <c r="N858" s="39">
        <v>46014</v>
      </c>
    </row>
    <row r="859" spans="1:14" s="5" customFormat="1" outlineLevel="2">
      <c r="A859" s="39" t="s">
        <v>270</v>
      </c>
      <c r="B859" s="40" t="s">
        <v>186</v>
      </c>
      <c r="C859" s="41" t="s">
        <v>274</v>
      </c>
      <c r="D859" s="40" t="s">
        <v>275</v>
      </c>
      <c r="E859" s="24">
        <v>14338200</v>
      </c>
      <c r="F859" s="39">
        <v>44174</v>
      </c>
      <c r="G859" s="24">
        <v>14338200</v>
      </c>
      <c r="H859" s="23">
        <v>5.0000000000000001E-3</v>
      </c>
      <c r="I859" s="39">
        <v>44440</v>
      </c>
      <c r="J859" s="39">
        <v>44469</v>
      </c>
      <c r="K859" s="24">
        <v>30</v>
      </c>
      <c r="L859" s="24">
        <v>5892</v>
      </c>
      <c r="M859" s="24">
        <v>14338200</v>
      </c>
      <c r="N859" s="39">
        <v>45999</v>
      </c>
    </row>
    <row r="860" spans="1:14" s="5" customFormat="1" outlineLevel="2">
      <c r="A860" s="39" t="s">
        <v>270</v>
      </c>
      <c r="B860" s="40" t="s">
        <v>189</v>
      </c>
      <c r="C860" s="41" t="s">
        <v>274</v>
      </c>
      <c r="D860" s="40" t="s">
        <v>275</v>
      </c>
      <c r="E860" s="24">
        <v>4977000</v>
      </c>
      <c r="F860" s="39">
        <v>44174</v>
      </c>
      <c r="G860" s="24">
        <v>4977000</v>
      </c>
      <c r="H860" s="23">
        <v>5.0000000000000001E-3</v>
      </c>
      <c r="I860" s="39">
        <v>44440</v>
      </c>
      <c r="J860" s="39">
        <v>44469</v>
      </c>
      <c r="K860" s="24">
        <v>30</v>
      </c>
      <c r="L860" s="24">
        <v>2045</v>
      </c>
      <c r="M860" s="24">
        <v>4977000</v>
      </c>
      <c r="N860" s="39">
        <v>45999</v>
      </c>
    </row>
    <row r="861" spans="1:14" s="5" customFormat="1" outlineLevel="2">
      <c r="A861" s="39" t="s">
        <v>270</v>
      </c>
      <c r="B861" s="40" t="s">
        <v>190</v>
      </c>
      <c r="C861" s="41" t="s">
        <v>115</v>
      </c>
      <c r="D861" s="40" t="s">
        <v>116</v>
      </c>
      <c r="E861" s="24">
        <v>40000000</v>
      </c>
      <c r="F861" s="39">
        <v>44193</v>
      </c>
      <c r="G861" s="24">
        <v>40000000</v>
      </c>
      <c r="H861" s="23">
        <v>5.0000000000000001E-3</v>
      </c>
      <c r="I861" s="39">
        <v>44440</v>
      </c>
      <c r="J861" s="39">
        <v>44469</v>
      </c>
      <c r="K861" s="24">
        <v>30</v>
      </c>
      <c r="L861" s="24">
        <v>16438</v>
      </c>
      <c r="M861" s="24">
        <v>40000000</v>
      </c>
      <c r="N861" s="39">
        <v>46018</v>
      </c>
    </row>
    <row r="862" spans="1:14" s="5" customFormat="1" outlineLevel="2">
      <c r="A862" s="39" t="s">
        <v>270</v>
      </c>
      <c r="B862" s="40" t="s">
        <v>191</v>
      </c>
      <c r="C862" s="41" t="s">
        <v>143</v>
      </c>
      <c r="D862" s="40" t="s">
        <v>144</v>
      </c>
      <c r="E862" s="24">
        <v>8890000</v>
      </c>
      <c r="F862" s="39">
        <v>44175</v>
      </c>
      <c r="G862" s="24">
        <v>8890000</v>
      </c>
      <c r="H862" s="23">
        <v>5.0000000000000001E-3</v>
      </c>
      <c r="I862" s="39">
        <v>44440</v>
      </c>
      <c r="J862" s="39">
        <v>44469</v>
      </c>
      <c r="K862" s="24">
        <v>30</v>
      </c>
      <c r="L862" s="24">
        <v>3653</v>
      </c>
      <c r="M862" s="24">
        <v>8890000</v>
      </c>
      <c r="N862" s="39">
        <v>46000</v>
      </c>
    </row>
    <row r="863" spans="1:14" s="5" customFormat="1" outlineLevel="2">
      <c r="A863" s="39" t="s">
        <v>270</v>
      </c>
      <c r="B863" s="40" t="s">
        <v>192</v>
      </c>
      <c r="C863" s="41" t="s">
        <v>143</v>
      </c>
      <c r="D863" s="40" t="s">
        <v>144</v>
      </c>
      <c r="E863" s="24">
        <v>4020000</v>
      </c>
      <c r="F863" s="39">
        <v>44196</v>
      </c>
      <c r="G863" s="24">
        <v>4020000</v>
      </c>
      <c r="H863" s="23">
        <v>5.0000000000000001E-3</v>
      </c>
      <c r="I863" s="39">
        <v>44440</v>
      </c>
      <c r="J863" s="39">
        <v>44469</v>
      </c>
      <c r="K863" s="24">
        <v>30</v>
      </c>
      <c r="L863" s="24">
        <v>1652</v>
      </c>
      <c r="M863" s="24">
        <v>4020000</v>
      </c>
      <c r="N863" s="39">
        <v>46021</v>
      </c>
    </row>
    <row r="864" spans="1:14" s="5" customFormat="1" outlineLevel="2">
      <c r="A864" s="39" t="s">
        <v>270</v>
      </c>
      <c r="B864" s="40" t="s">
        <v>193</v>
      </c>
      <c r="C864" s="41" t="s">
        <v>273</v>
      </c>
      <c r="D864" s="40" t="s">
        <v>272</v>
      </c>
      <c r="E864" s="24">
        <v>86700000</v>
      </c>
      <c r="F864" s="39">
        <v>44169</v>
      </c>
      <c r="G864" s="24">
        <v>86700000</v>
      </c>
      <c r="H864" s="23">
        <v>5.0000000000000001E-3</v>
      </c>
      <c r="I864" s="39">
        <v>44440</v>
      </c>
      <c r="J864" s="39">
        <v>44469</v>
      </c>
      <c r="K864" s="24">
        <v>30</v>
      </c>
      <c r="L864" s="24">
        <v>35630</v>
      </c>
      <c r="M864" s="24">
        <v>86700000</v>
      </c>
      <c r="N864" s="39">
        <v>45994</v>
      </c>
    </row>
    <row r="865" spans="1:14" s="5" customFormat="1" outlineLevel="2">
      <c r="A865" s="39" t="s">
        <v>270</v>
      </c>
      <c r="B865" s="40" t="s">
        <v>194</v>
      </c>
      <c r="C865" s="41" t="s">
        <v>274</v>
      </c>
      <c r="D865" s="40" t="s">
        <v>275</v>
      </c>
      <c r="E865" s="24">
        <v>4977000</v>
      </c>
      <c r="F865" s="39">
        <v>44209</v>
      </c>
      <c r="G865" s="24">
        <v>4977000</v>
      </c>
      <c r="H865" s="23">
        <v>5.0000000000000001E-3</v>
      </c>
      <c r="I865" s="39">
        <v>44440</v>
      </c>
      <c r="J865" s="39">
        <v>44469</v>
      </c>
      <c r="K865" s="24">
        <v>30</v>
      </c>
      <c r="L865" s="24">
        <v>2045</v>
      </c>
      <c r="M865" s="24">
        <v>4977000</v>
      </c>
      <c r="N865" s="39">
        <v>46034</v>
      </c>
    </row>
    <row r="866" spans="1:14" s="5" customFormat="1" outlineLevel="2">
      <c r="A866" s="39" t="s">
        <v>270</v>
      </c>
      <c r="B866" s="40" t="s">
        <v>195</v>
      </c>
      <c r="C866" s="41" t="s">
        <v>274</v>
      </c>
      <c r="D866" s="40" t="s">
        <v>275</v>
      </c>
      <c r="E866" s="24">
        <v>9862800</v>
      </c>
      <c r="F866" s="39">
        <v>44209</v>
      </c>
      <c r="G866" s="24">
        <v>9862800</v>
      </c>
      <c r="H866" s="23">
        <v>5.0000000000000001E-3</v>
      </c>
      <c r="I866" s="39">
        <v>44440</v>
      </c>
      <c r="J866" s="39">
        <v>44469</v>
      </c>
      <c r="K866" s="24">
        <v>30</v>
      </c>
      <c r="L866" s="24">
        <v>4053</v>
      </c>
      <c r="M866" s="24">
        <v>9862800</v>
      </c>
      <c r="N866" s="39">
        <v>46034</v>
      </c>
    </row>
    <row r="867" spans="1:14" s="5" customFormat="1" outlineLevel="2">
      <c r="A867" s="39" t="s">
        <v>270</v>
      </c>
      <c r="B867" s="40" t="s">
        <v>64</v>
      </c>
      <c r="C867" s="41" t="s">
        <v>273</v>
      </c>
      <c r="D867" s="40" t="s">
        <v>272</v>
      </c>
      <c r="E867" s="24">
        <v>28400000</v>
      </c>
      <c r="F867" s="39">
        <v>43833</v>
      </c>
      <c r="G867" s="24">
        <v>28400000</v>
      </c>
      <c r="H867" s="23">
        <v>5.0000000000000001E-3</v>
      </c>
      <c r="I867" s="39">
        <v>44440</v>
      </c>
      <c r="J867" s="39">
        <v>44469</v>
      </c>
      <c r="K867" s="24">
        <v>30</v>
      </c>
      <c r="L867" s="24">
        <v>11671</v>
      </c>
      <c r="M867" s="24">
        <v>28400000</v>
      </c>
      <c r="N867" s="39">
        <v>45659</v>
      </c>
    </row>
    <row r="868" spans="1:14" s="5" customFormat="1" outlineLevel="2">
      <c r="A868" s="39" t="s">
        <v>270</v>
      </c>
      <c r="B868" s="40" t="s">
        <v>196</v>
      </c>
      <c r="C868" s="41" t="s">
        <v>143</v>
      </c>
      <c r="D868" s="40" t="s">
        <v>144</v>
      </c>
      <c r="E868" s="24">
        <v>3620000</v>
      </c>
      <c r="F868" s="39">
        <v>44207</v>
      </c>
      <c r="G868" s="24">
        <v>3620000</v>
      </c>
      <c r="H868" s="23">
        <v>5.0000000000000001E-3</v>
      </c>
      <c r="I868" s="39">
        <v>44440</v>
      </c>
      <c r="J868" s="39">
        <v>44469</v>
      </c>
      <c r="K868" s="24">
        <v>30</v>
      </c>
      <c r="L868" s="24">
        <v>1488</v>
      </c>
      <c r="M868" s="24">
        <v>3620000</v>
      </c>
      <c r="N868" s="39">
        <v>46032</v>
      </c>
    </row>
    <row r="869" spans="1:14" s="5" customFormat="1" outlineLevel="2">
      <c r="A869" s="39" t="s">
        <v>270</v>
      </c>
      <c r="B869" s="40" t="s">
        <v>197</v>
      </c>
      <c r="C869" s="41" t="s">
        <v>273</v>
      </c>
      <c r="D869" s="40" t="s">
        <v>272</v>
      </c>
      <c r="E869" s="24">
        <v>20600000</v>
      </c>
      <c r="F869" s="39">
        <v>44201</v>
      </c>
      <c r="G869" s="24">
        <v>20600000</v>
      </c>
      <c r="H869" s="23">
        <v>5.0000000000000001E-3</v>
      </c>
      <c r="I869" s="39">
        <v>44440</v>
      </c>
      <c r="J869" s="39">
        <v>44469</v>
      </c>
      <c r="K869" s="24">
        <v>30</v>
      </c>
      <c r="L869" s="24">
        <v>8466</v>
      </c>
      <c r="M869" s="24">
        <v>20600000</v>
      </c>
      <c r="N869" s="39">
        <v>46026</v>
      </c>
    </row>
    <row r="870" spans="1:14" s="5" customFormat="1" outlineLevel="2">
      <c r="A870" s="39" t="s">
        <v>270</v>
      </c>
      <c r="B870" s="40" t="s">
        <v>198</v>
      </c>
      <c r="C870" s="41" t="s">
        <v>75</v>
      </c>
      <c r="D870" s="40" t="s">
        <v>76</v>
      </c>
      <c r="E870" s="24">
        <v>53640000</v>
      </c>
      <c r="F870" s="39">
        <v>44203</v>
      </c>
      <c r="G870" s="24">
        <v>53640000</v>
      </c>
      <c r="H870" s="23">
        <v>5.0000000000000001E-3</v>
      </c>
      <c r="I870" s="39">
        <v>44440</v>
      </c>
      <c r="J870" s="39">
        <v>44469</v>
      </c>
      <c r="K870" s="24">
        <v>30</v>
      </c>
      <c r="L870" s="24">
        <v>22044</v>
      </c>
      <c r="M870" s="24">
        <v>53640000</v>
      </c>
      <c r="N870" s="39">
        <v>46028</v>
      </c>
    </row>
    <row r="871" spans="1:14" s="5" customFormat="1" outlineLevel="2">
      <c r="A871" s="39" t="s">
        <v>270</v>
      </c>
      <c r="B871" s="40" t="s">
        <v>199</v>
      </c>
      <c r="C871" s="41" t="s">
        <v>302</v>
      </c>
      <c r="D871" s="40" t="s">
        <v>301</v>
      </c>
      <c r="E871" s="24">
        <v>40160000</v>
      </c>
      <c r="F871" s="39">
        <v>44232</v>
      </c>
      <c r="G871" s="24">
        <v>40160000</v>
      </c>
      <c r="H871" s="23">
        <v>5.0000000000000001E-3</v>
      </c>
      <c r="I871" s="39">
        <v>44440</v>
      </c>
      <c r="J871" s="39">
        <v>44469</v>
      </c>
      <c r="K871" s="24">
        <v>30</v>
      </c>
      <c r="L871" s="24">
        <v>16504</v>
      </c>
      <c r="M871" s="24">
        <v>40160000</v>
      </c>
      <c r="N871" s="39">
        <v>46057</v>
      </c>
    </row>
    <row r="872" spans="1:14" s="5" customFormat="1" outlineLevel="2">
      <c r="A872" s="39" t="s">
        <v>270</v>
      </c>
      <c r="B872" s="40" t="s">
        <v>200</v>
      </c>
      <c r="C872" s="41" t="s">
        <v>274</v>
      </c>
      <c r="D872" s="40" t="s">
        <v>275</v>
      </c>
      <c r="E872" s="24">
        <v>3655380</v>
      </c>
      <c r="F872" s="39">
        <v>44230</v>
      </c>
      <c r="G872" s="24">
        <v>3655380</v>
      </c>
      <c r="H872" s="23">
        <v>5.0000000000000001E-3</v>
      </c>
      <c r="I872" s="39">
        <v>44440</v>
      </c>
      <c r="J872" s="39">
        <v>44469</v>
      </c>
      <c r="K872" s="24">
        <v>30</v>
      </c>
      <c r="L872" s="24">
        <v>1502</v>
      </c>
      <c r="M872" s="24">
        <v>3655380</v>
      </c>
      <c r="N872" s="39">
        <v>46055</v>
      </c>
    </row>
    <row r="873" spans="1:14" s="5" customFormat="1" outlineLevel="2">
      <c r="A873" s="39" t="s">
        <v>270</v>
      </c>
      <c r="B873" s="40" t="s">
        <v>201</v>
      </c>
      <c r="C873" s="41" t="s">
        <v>274</v>
      </c>
      <c r="D873" s="40" t="s">
        <v>275</v>
      </c>
      <c r="E873" s="24">
        <v>9862800</v>
      </c>
      <c r="F873" s="39">
        <v>44230</v>
      </c>
      <c r="G873" s="24">
        <v>9862800</v>
      </c>
      <c r="H873" s="23">
        <v>5.0000000000000001E-3</v>
      </c>
      <c r="I873" s="39">
        <v>44440</v>
      </c>
      <c r="J873" s="39">
        <v>44469</v>
      </c>
      <c r="K873" s="24">
        <v>30</v>
      </c>
      <c r="L873" s="24">
        <v>4053</v>
      </c>
      <c r="M873" s="24">
        <v>9862800</v>
      </c>
      <c r="N873" s="39">
        <v>46055</v>
      </c>
    </row>
    <row r="874" spans="1:14" s="5" customFormat="1" outlineLevel="2">
      <c r="A874" s="39" t="s">
        <v>270</v>
      </c>
      <c r="B874" s="40" t="s">
        <v>202</v>
      </c>
      <c r="C874" s="41" t="s">
        <v>125</v>
      </c>
      <c r="D874" s="40" t="s">
        <v>126</v>
      </c>
      <c r="E874" s="24">
        <v>32000000</v>
      </c>
      <c r="F874" s="39">
        <v>44250</v>
      </c>
      <c r="G874" s="24">
        <v>32000000</v>
      </c>
      <c r="H874" s="23">
        <v>5.0000000000000001E-3</v>
      </c>
      <c r="I874" s="39">
        <v>44440</v>
      </c>
      <c r="J874" s="39">
        <v>44469</v>
      </c>
      <c r="K874" s="24">
        <v>30</v>
      </c>
      <c r="L874" s="24">
        <v>13151</v>
      </c>
      <c r="M874" s="24">
        <v>32000000</v>
      </c>
      <c r="N874" s="39">
        <v>46075</v>
      </c>
    </row>
    <row r="875" spans="1:14" s="5" customFormat="1" outlineLevel="2">
      <c r="A875" s="39" t="s">
        <v>270</v>
      </c>
      <c r="B875" s="40" t="s">
        <v>203</v>
      </c>
      <c r="C875" s="41" t="s">
        <v>143</v>
      </c>
      <c r="D875" s="40" t="s">
        <v>144</v>
      </c>
      <c r="E875" s="24">
        <v>2390000</v>
      </c>
      <c r="F875" s="39">
        <v>44228</v>
      </c>
      <c r="G875" s="24">
        <v>2390000</v>
      </c>
      <c r="H875" s="23">
        <v>5.0000000000000001E-3</v>
      </c>
      <c r="I875" s="39">
        <v>44440</v>
      </c>
      <c r="J875" s="39">
        <v>44469</v>
      </c>
      <c r="K875" s="24">
        <v>30</v>
      </c>
      <c r="L875" s="24">
        <v>982</v>
      </c>
      <c r="M875" s="24">
        <v>2390000</v>
      </c>
      <c r="N875" s="39">
        <v>46053</v>
      </c>
    </row>
    <row r="876" spans="1:14" s="5" customFormat="1" outlineLevel="2">
      <c r="A876" s="39" t="s">
        <v>270</v>
      </c>
      <c r="B876" s="40" t="s">
        <v>204</v>
      </c>
      <c r="C876" s="41" t="s">
        <v>273</v>
      </c>
      <c r="D876" s="40" t="s">
        <v>272</v>
      </c>
      <c r="E876" s="24">
        <v>43200000</v>
      </c>
      <c r="F876" s="39">
        <v>44232</v>
      </c>
      <c r="G876" s="24">
        <v>43200000</v>
      </c>
      <c r="H876" s="23">
        <v>5.0000000000000001E-3</v>
      </c>
      <c r="I876" s="39">
        <v>44440</v>
      </c>
      <c r="J876" s="39">
        <v>44469</v>
      </c>
      <c r="K876" s="24">
        <v>30</v>
      </c>
      <c r="L876" s="24">
        <v>17753</v>
      </c>
      <c r="M876" s="24">
        <v>43200000</v>
      </c>
      <c r="N876" s="39">
        <v>46057</v>
      </c>
    </row>
    <row r="877" spans="1:14" s="5" customFormat="1" outlineLevel="2">
      <c r="A877" s="39" t="s">
        <v>270</v>
      </c>
      <c r="B877" s="40" t="s">
        <v>205</v>
      </c>
      <c r="C877" s="41" t="s">
        <v>273</v>
      </c>
      <c r="D877" s="40" t="s">
        <v>272</v>
      </c>
      <c r="E877" s="24">
        <v>4600000</v>
      </c>
      <c r="F877" s="39">
        <v>44232</v>
      </c>
      <c r="G877" s="24">
        <v>4600000</v>
      </c>
      <c r="H877" s="23">
        <v>5.0000000000000001E-3</v>
      </c>
      <c r="I877" s="39">
        <v>44440</v>
      </c>
      <c r="J877" s="39">
        <v>44469</v>
      </c>
      <c r="K877" s="24">
        <v>30</v>
      </c>
      <c r="L877" s="24">
        <v>1890</v>
      </c>
      <c r="M877" s="24">
        <v>4600000</v>
      </c>
      <c r="N877" s="39">
        <v>46057</v>
      </c>
    </row>
    <row r="878" spans="1:14" s="5" customFormat="1" outlineLevel="2">
      <c r="A878" s="39" t="s">
        <v>270</v>
      </c>
      <c r="B878" s="40" t="s">
        <v>65</v>
      </c>
      <c r="C878" s="41" t="s">
        <v>274</v>
      </c>
      <c r="D878" s="40" t="s">
        <v>275</v>
      </c>
      <c r="E878" s="24">
        <v>5452560</v>
      </c>
      <c r="F878" s="39">
        <v>43873</v>
      </c>
      <c r="G878" s="24">
        <v>5452560</v>
      </c>
      <c r="H878" s="23">
        <v>5.0000000000000001E-3</v>
      </c>
      <c r="I878" s="39">
        <v>44440</v>
      </c>
      <c r="J878" s="39">
        <v>44469</v>
      </c>
      <c r="K878" s="24">
        <v>30</v>
      </c>
      <c r="L878" s="24">
        <v>2241</v>
      </c>
      <c r="M878" s="24">
        <v>5452560</v>
      </c>
      <c r="N878" s="39">
        <v>45699</v>
      </c>
    </row>
    <row r="879" spans="1:14" s="5" customFormat="1" outlineLevel="2">
      <c r="A879" s="39" t="s">
        <v>270</v>
      </c>
      <c r="B879" s="40" t="s">
        <v>206</v>
      </c>
      <c r="C879" s="41" t="s">
        <v>302</v>
      </c>
      <c r="D879" s="40" t="s">
        <v>301</v>
      </c>
      <c r="E879" s="24">
        <v>40660000</v>
      </c>
      <c r="F879" s="39">
        <v>44272</v>
      </c>
      <c r="G879" s="24">
        <v>40660000</v>
      </c>
      <c r="H879" s="23">
        <v>5.0000000000000001E-3</v>
      </c>
      <c r="I879" s="39">
        <v>44440</v>
      </c>
      <c r="J879" s="39">
        <v>44469</v>
      </c>
      <c r="K879" s="24">
        <v>30</v>
      </c>
      <c r="L879" s="24">
        <v>16710</v>
      </c>
      <c r="M879" s="24">
        <v>40660000</v>
      </c>
      <c r="N879" s="39">
        <v>46097</v>
      </c>
    </row>
    <row r="880" spans="1:14" s="5" customFormat="1" outlineLevel="2">
      <c r="A880" s="39" t="s">
        <v>270</v>
      </c>
      <c r="B880" s="40" t="s">
        <v>207</v>
      </c>
      <c r="C880" s="41" t="s">
        <v>322</v>
      </c>
      <c r="D880" s="40" t="s">
        <v>321</v>
      </c>
      <c r="E880" s="24">
        <v>13800000</v>
      </c>
      <c r="F880" s="39">
        <v>44264</v>
      </c>
      <c r="G880" s="24">
        <v>13800000</v>
      </c>
      <c r="H880" s="23">
        <v>5.0000000000000001E-3</v>
      </c>
      <c r="I880" s="39">
        <v>44440</v>
      </c>
      <c r="J880" s="39">
        <v>44469</v>
      </c>
      <c r="K880" s="24">
        <v>30</v>
      </c>
      <c r="L880" s="24">
        <v>5671</v>
      </c>
      <c r="M880" s="24">
        <v>13800000</v>
      </c>
      <c r="N880" s="39">
        <v>46089</v>
      </c>
    </row>
    <row r="881" spans="1:14" s="5" customFormat="1" outlineLevel="2">
      <c r="A881" s="39" t="s">
        <v>270</v>
      </c>
      <c r="B881" s="40" t="s">
        <v>208</v>
      </c>
      <c r="C881" s="41" t="s">
        <v>274</v>
      </c>
      <c r="D881" s="40" t="s">
        <v>275</v>
      </c>
      <c r="E881" s="24">
        <v>8641320</v>
      </c>
      <c r="F881" s="39">
        <v>44265</v>
      </c>
      <c r="G881" s="24">
        <v>8641320</v>
      </c>
      <c r="H881" s="23">
        <v>5.0000000000000001E-3</v>
      </c>
      <c r="I881" s="39">
        <v>44440</v>
      </c>
      <c r="J881" s="39">
        <v>44469</v>
      </c>
      <c r="K881" s="24">
        <v>30</v>
      </c>
      <c r="L881" s="24">
        <v>3551</v>
      </c>
      <c r="M881" s="24">
        <v>8641320</v>
      </c>
      <c r="N881" s="39">
        <v>46090</v>
      </c>
    </row>
    <row r="882" spans="1:14" s="5" customFormat="1" outlineLevel="2">
      <c r="A882" s="39" t="s">
        <v>270</v>
      </c>
      <c r="B882" s="40" t="s">
        <v>209</v>
      </c>
      <c r="C882" s="41" t="s">
        <v>274</v>
      </c>
      <c r="D882" s="40" t="s">
        <v>275</v>
      </c>
      <c r="E882" s="24">
        <v>3655380</v>
      </c>
      <c r="F882" s="39">
        <v>44265</v>
      </c>
      <c r="G882" s="24">
        <v>3655380</v>
      </c>
      <c r="H882" s="23">
        <v>5.0000000000000001E-3</v>
      </c>
      <c r="I882" s="39">
        <v>44440</v>
      </c>
      <c r="J882" s="39">
        <v>44469</v>
      </c>
      <c r="K882" s="24">
        <v>30</v>
      </c>
      <c r="L882" s="24">
        <v>1502</v>
      </c>
      <c r="M882" s="24">
        <v>3655380</v>
      </c>
      <c r="N882" s="39">
        <v>46090</v>
      </c>
    </row>
    <row r="883" spans="1:14" s="5" customFormat="1" outlineLevel="2">
      <c r="A883" s="39" t="s">
        <v>270</v>
      </c>
      <c r="B883" s="40" t="s">
        <v>210</v>
      </c>
      <c r="C883" s="41" t="s">
        <v>274</v>
      </c>
      <c r="D883" s="40" t="s">
        <v>275</v>
      </c>
      <c r="E883" s="24">
        <v>13280000</v>
      </c>
      <c r="F883" s="39">
        <v>44272</v>
      </c>
      <c r="G883" s="24">
        <v>13280000</v>
      </c>
      <c r="H883" s="23">
        <v>5.0000000000000001E-3</v>
      </c>
      <c r="I883" s="39">
        <v>44440</v>
      </c>
      <c r="J883" s="39">
        <v>44469</v>
      </c>
      <c r="K883" s="24">
        <v>30</v>
      </c>
      <c r="L883" s="24">
        <v>5458</v>
      </c>
      <c r="M883" s="24">
        <v>13280000</v>
      </c>
      <c r="N883" s="39">
        <v>46097</v>
      </c>
    </row>
    <row r="884" spans="1:14" s="5" customFormat="1" outlineLevel="2">
      <c r="A884" s="39" t="s">
        <v>270</v>
      </c>
      <c r="B884" s="40" t="s">
        <v>211</v>
      </c>
      <c r="C884" s="41" t="s">
        <v>115</v>
      </c>
      <c r="D884" s="40" t="s">
        <v>116</v>
      </c>
      <c r="E884" s="24">
        <v>47000000</v>
      </c>
      <c r="F884" s="39">
        <v>44284</v>
      </c>
      <c r="G884" s="24">
        <v>47000000</v>
      </c>
      <c r="H884" s="23">
        <v>5.0000000000000001E-3</v>
      </c>
      <c r="I884" s="39">
        <v>44440</v>
      </c>
      <c r="J884" s="39">
        <v>44469</v>
      </c>
      <c r="K884" s="24">
        <v>30</v>
      </c>
      <c r="L884" s="24">
        <v>19315</v>
      </c>
      <c r="M884" s="24">
        <v>47000000</v>
      </c>
      <c r="N884" s="39">
        <v>46109</v>
      </c>
    </row>
    <row r="885" spans="1:14" s="5" customFormat="1" outlineLevel="2">
      <c r="A885" s="39" t="s">
        <v>270</v>
      </c>
      <c r="B885" s="40" t="s">
        <v>212</v>
      </c>
      <c r="C885" s="41" t="s">
        <v>143</v>
      </c>
      <c r="D885" s="40" t="s">
        <v>144</v>
      </c>
      <c r="E885" s="24">
        <v>5840000</v>
      </c>
      <c r="F885" s="39">
        <v>44257</v>
      </c>
      <c r="G885" s="24">
        <v>5840000</v>
      </c>
      <c r="H885" s="23">
        <v>5.0000000000000001E-3</v>
      </c>
      <c r="I885" s="39">
        <v>44440</v>
      </c>
      <c r="J885" s="39">
        <v>44469</v>
      </c>
      <c r="K885" s="24">
        <v>30</v>
      </c>
      <c r="L885" s="24">
        <v>2400</v>
      </c>
      <c r="M885" s="24">
        <v>5840000</v>
      </c>
      <c r="N885" s="39">
        <v>46082</v>
      </c>
    </row>
    <row r="886" spans="1:14" s="5" customFormat="1" outlineLevel="2">
      <c r="A886" s="39" t="s">
        <v>270</v>
      </c>
      <c r="B886" s="40" t="s">
        <v>213</v>
      </c>
      <c r="C886" s="41" t="s">
        <v>143</v>
      </c>
      <c r="D886" s="40" t="s">
        <v>144</v>
      </c>
      <c r="E886" s="24">
        <v>3570000</v>
      </c>
      <c r="F886" s="39">
        <v>44286</v>
      </c>
      <c r="G886" s="24">
        <v>3570000</v>
      </c>
      <c r="H886" s="23">
        <v>5.0000000000000001E-3</v>
      </c>
      <c r="I886" s="39">
        <v>44440</v>
      </c>
      <c r="J886" s="39">
        <v>44469</v>
      </c>
      <c r="K886" s="24">
        <v>30</v>
      </c>
      <c r="L886" s="24">
        <v>1467</v>
      </c>
      <c r="M886" s="24">
        <v>3570000</v>
      </c>
      <c r="N886" s="39">
        <v>46111</v>
      </c>
    </row>
    <row r="887" spans="1:14" s="5" customFormat="1" outlineLevel="2">
      <c r="A887" s="39" t="s">
        <v>270</v>
      </c>
      <c r="B887" s="40" t="s">
        <v>214</v>
      </c>
      <c r="C887" s="41" t="s">
        <v>273</v>
      </c>
      <c r="D887" s="40" t="s">
        <v>272</v>
      </c>
      <c r="E887" s="24">
        <v>63400000</v>
      </c>
      <c r="F887" s="39">
        <v>44260</v>
      </c>
      <c r="G887" s="24">
        <v>63400000</v>
      </c>
      <c r="H887" s="23">
        <v>5.0000000000000001E-3</v>
      </c>
      <c r="I887" s="39">
        <v>44440</v>
      </c>
      <c r="J887" s="39">
        <v>44469</v>
      </c>
      <c r="K887" s="24">
        <v>30</v>
      </c>
      <c r="L887" s="24">
        <v>26055</v>
      </c>
      <c r="M887" s="24">
        <v>63400000</v>
      </c>
      <c r="N887" s="39">
        <v>46085</v>
      </c>
    </row>
    <row r="888" spans="1:14" s="5" customFormat="1" outlineLevel="2">
      <c r="A888" s="39" t="s">
        <v>270</v>
      </c>
      <c r="B888" s="40" t="s">
        <v>215</v>
      </c>
      <c r="C888" s="41" t="s">
        <v>273</v>
      </c>
      <c r="D888" s="40" t="s">
        <v>272</v>
      </c>
      <c r="E888" s="24">
        <v>2800000</v>
      </c>
      <c r="F888" s="39">
        <v>44260</v>
      </c>
      <c r="G888" s="24">
        <v>2800000</v>
      </c>
      <c r="H888" s="23">
        <v>5.0000000000000001E-3</v>
      </c>
      <c r="I888" s="39">
        <v>44440</v>
      </c>
      <c r="J888" s="39">
        <v>44469</v>
      </c>
      <c r="K888" s="24">
        <v>30</v>
      </c>
      <c r="L888" s="24">
        <v>1151</v>
      </c>
      <c r="M888" s="24">
        <v>2800000</v>
      </c>
      <c r="N888" s="39">
        <v>46085</v>
      </c>
    </row>
    <row r="889" spans="1:14" s="5" customFormat="1" outlineLevel="2">
      <c r="A889" s="39" t="s">
        <v>270</v>
      </c>
      <c r="B889" s="40" t="s">
        <v>68</v>
      </c>
      <c r="C889" s="41" t="s">
        <v>274</v>
      </c>
      <c r="D889" s="40" t="s">
        <v>275</v>
      </c>
      <c r="E889" s="24">
        <v>7270080</v>
      </c>
      <c r="F889" s="39">
        <v>43873</v>
      </c>
      <c r="G889" s="24">
        <v>7270080</v>
      </c>
      <c r="H889" s="23">
        <v>5.0000000000000001E-3</v>
      </c>
      <c r="I889" s="39">
        <v>44440</v>
      </c>
      <c r="J889" s="39">
        <v>44469</v>
      </c>
      <c r="K889" s="24">
        <v>30</v>
      </c>
      <c r="L889" s="24">
        <v>2988</v>
      </c>
      <c r="M889" s="24">
        <v>7270080</v>
      </c>
      <c r="N889" s="39">
        <v>45699</v>
      </c>
    </row>
    <row r="890" spans="1:14" s="5" customFormat="1" outlineLevel="2">
      <c r="A890" s="39" t="s">
        <v>270</v>
      </c>
      <c r="B890" s="40" t="s">
        <v>216</v>
      </c>
      <c r="C890" s="41" t="s">
        <v>75</v>
      </c>
      <c r="D890" s="40" t="s">
        <v>76</v>
      </c>
      <c r="E890" s="24">
        <v>48420000</v>
      </c>
      <c r="F890" s="39">
        <v>44280</v>
      </c>
      <c r="G890" s="24">
        <v>48420000</v>
      </c>
      <c r="H890" s="23">
        <v>5.0000000000000001E-3</v>
      </c>
      <c r="I890" s="39">
        <v>44440</v>
      </c>
      <c r="J890" s="39">
        <v>44469</v>
      </c>
      <c r="K890" s="24">
        <v>30</v>
      </c>
      <c r="L890" s="24">
        <v>19899</v>
      </c>
      <c r="M890" s="24">
        <v>48420000</v>
      </c>
      <c r="N890" s="39">
        <v>46105</v>
      </c>
    </row>
    <row r="891" spans="1:14" s="5" customFormat="1" outlineLevel="2">
      <c r="A891" s="39" t="s">
        <v>270</v>
      </c>
      <c r="B891" s="40" t="s">
        <v>217</v>
      </c>
      <c r="C891" s="41" t="s">
        <v>274</v>
      </c>
      <c r="D891" s="40" t="s">
        <v>275</v>
      </c>
      <c r="E891" s="24">
        <v>8641320</v>
      </c>
      <c r="F891" s="39">
        <v>44293</v>
      </c>
      <c r="G891" s="24">
        <v>8641320</v>
      </c>
      <c r="H891" s="23">
        <v>5.0000000000000001E-3</v>
      </c>
      <c r="I891" s="39">
        <v>44440</v>
      </c>
      <c r="J891" s="39">
        <v>44469</v>
      </c>
      <c r="K891" s="24">
        <v>30</v>
      </c>
      <c r="L891" s="24">
        <v>3551</v>
      </c>
      <c r="M891" s="24">
        <v>8641320</v>
      </c>
      <c r="N891" s="39">
        <v>46118</v>
      </c>
    </row>
    <row r="892" spans="1:14" s="5" customFormat="1" outlineLevel="2">
      <c r="A892" s="39" t="s">
        <v>270</v>
      </c>
      <c r="B892" s="40" t="s">
        <v>218</v>
      </c>
      <c r="C892" s="41" t="s">
        <v>274</v>
      </c>
      <c r="D892" s="40" t="s">
        <v>275</v>
      </c>
      <c r="E892" s="24">
        <v>10475040</v>
      </c>
      <c r="F892" s="39">
        <v>44293</v>
      </c>
      <c r="G892" s="24">
        <v>10475040</v>
      </c>
      <c r="H892" s="23">
        <v>5.0000000000000001E-3</v>
      </c>
      <c r="I892" s="39">
        <v>44440</v>
      </c>
      <c r="J892" s="39">
        <v>44469</v>
      </c>
      <c r="K892" s="24">
        <v>30</v>
      </c>
      <c r="L892" s="24">
        <v>4305</v>
      </c>
      <c r="M892" s="24">
        <v>10475040</v>
      </c>
      <c r="N892" s="39">
        <v>46118</v>
      </c>
    </row>
    <row r="893" spans="1:14" s="5" customFormat="1" outlineLevel="2">
      <c r="A893" s="39" t="s">
        <v>270</v>
      </c>
      <c r="B893" s="40" t="s">
        <v>221</v>
      </c>
      <c r="C893" s="41" t="s">
        <v>143</v>
      </c>
      <c r="D893" s="40" t="s">
        <v>144</v>
      </c>
      <c r="E893" s="24">
        <v>2890000</v>
      </c>
      <c r="F893" s="39">
        <v>44298</v>
      </c>
      <c r="G893" s="24">
        <v>2890000</v>
      </c>
      <c r="H893" s="23">
        <v>5.0000000000000001E-3</v>
      </c>
      <c r="I893" s="39">
        <v>44440</v>
      </c>
      <c r="J893" s="39">
        <v>44469</v>
      </c>
      <c r="K893" s="24">
        <v>30</v>
      </c>
      <c r="L893" s="24">
        <v>1188</v>
      </c>
      <c r="M893" s="24">
        <v>2890000</v>
      </c>
      <c r="N893" s="39">
        <v>46123</v>
      </c>
    </row>
    <row r="894" spans="1:14" s="5" customFormat="1" outlineLevel="2">
      <c r="A894" s="39" t="s">
        <v>270</v>
      </c>
      <c r="B894" s="40" t="s">
        <v>222</v>
      </c>
      <c r="C894" s="41" t="s">
        <v>273</v>
      </c>
      <c r="D894" s="40" t="s">
        <v>272</v>
      </c>
      <c r="E894" s="24">
        <v>5600000</v>
      </c>
      <c r="F894" s="39">
        <v>44287</v>
      </c>
      <c r="G894" s="24">
        <v>5600000</v>
      </c>
      <c r="H894" s="23">
        <v>5.0000000000000001E-3</v>
      </c>
      <c r="I894" s="39">
        <v>44440</v>
      </c>
      <c r="J894" s="39">
        <v>44469</v>
      </c>
      <c r="K894" s="24">
        <v>30</v>
      </c>
      <c r="L894" s="24">
        <v>2301</v>
      </c>
      <c r="M894" s="24">
        <v>5600000</v>
      </c>
      <c r="N894" s="39">
        <v>46112</v>
      </c>
    </row>
    <row r="895" spans="1:14" s="5" customFormat="1" outlineLevel="2">
      <c r="A895" s="39" t="s">
        <v>270</v>
      </c>
      <c r="B895" s="40" t="s">
        <v>223</v>
      </c>
      <c r="C895" s="41" t="s">
        <v>273</v>
      </c>
      <c r="D895" s="40" t="s">
        <v>272</v>
      </c>
      <c r="E895" s="24">
        <v>24000000</v>
      </c>
      <c r="F895" s="39">
        <v>44287</v>
      </c>
      <c r="G895" s="24">
        <v>24000000</v>
      </c>
      <c r="H895" s="23">
        <v>5.0000000000000001E-3</v>
      </c>
      <c r="I895" s="39">
        <v>44440</v>
      </c>
      <c r="J895" s="39">
        <v>44469</v>
      </c>
      <c r="K895" s="24">
        <v>30</v>
      </c>
      <c r="L895" s="24">
        <v>9863</v>
      </c>
      <c r="M895" s="24">
        <v>24000000</v>
      </c>
      <c r="N895" s="39">
        <v>46112</v>
      </c>
    </row>
    <row r="896" spans="1:14" s="5" customFormat="1" outlineLevel="2">
      <c r="A896" s="39" t="s">
        <v>270</v>
      </c>
      <c r="B896" s="40" t="s">
        <v>224</v>
      </c>
      <c r="C896" s="41" t="s">
        <v>341</v>
      </c>
      <c r="D896" s="40" t="s">
        <v>340</v>
      </c>
      <c r="E896" s="24">
        <v>19600000</v>
      </c>
      <c r="F896" s="39">
        <v>44314</v>
      </c>
      <c r="G896" s="24">
        <v>19600000</v>
      </c>
      <c r="H896" s="23">
        <v>5.0000000000000001E-3</v>
      </c>
      <c r="I896" s="39">
        <v>44440</v>
      </c>
      <c r="J896" s="39">
        <v>44469</v>
      </c>
      <c r="K896" s="24">
        <v>30</v>
      </c>
      <c r="L896" s="24">
        <v>8055</v>
      </c>
      <c r="M896" s="24">
        <v>19600000</v>
      </c>
      <c r="N896" s="39">
        <v>46139</v>
      </c>
    </row>
    <row r="897" spans="1:14" s="5" customFormat="1" outlineLevel="2">
      <c r="A897" s="39" t="s">
        <v>270</v>
      </c>
      <c r="B897" s="40" t="s">
        <v>225</v>
      </c>
      <c r="C897" s="41" t="s">
        <v>341</v>
      </c>
      <c r="D897" s="40" t="s">
        <v>340</v>
      </c>
      <c r="E897" s="24">
        <v>46800000</v>
      </c>
      <c r="F897" s="39">
        <v>44314</v>
      </c>
      <c r="G897" s="24">
        <v>46800000</v>
      </c>
      <c r="H897" s="23">
        <v>5.0000000000000001E-3</v>
      </c>
      <c r="I897" s="39">
        <v>44440</v>
      </c>
      <c r="J897" s="39">
        <v>44469</v>
      </c>
      <c r="K897" s="24">
        <v>30</v>
      </c>
      <c r="L897" s="24">
        <v>19233</v>
      </c>
      <c r="M897" s="24">
        <v>46800000</v>
      </c>
      <c r="N897" s="39">
        <v>46139</v>
      </c>
    </row>
    <row r="898" spans="1:14" s="5" customFormat="1" outlineLevel="2">
      <c r="A898" s="39" t="s">
        <v>270</v>
      </c>
      <c r="B898" s="40" t="s">
        <v>226</v>
      </c>
      <c r="C898" s="41" t="s">
        <v>274</v>
      </c>
      <c r="D898" s="40" t="s">
        <v>275</v>
      </c>
      <c r="E898" s="24">
        <v>10475040</v>
      </c>
      <c r="F898" s="39">
        <v>44328</v>
      </c>
      <c r="G898" s="24">
        <v>10475040</v>
      </c>
      <c r="H898" s="23">
        <v>5.0000000000000001E-3</v>
      </c>
      <c r="I898" s="39">
        <v>44440</v>
      </c>
      <c r="J898" s="39">
        <v>44469</v>
      </c>
      <c r="K898" s="24">
        <v>30</v>
      </c>
      <c r="L898" s="24">
        <v>4305</v>
      </c>
      <c r="M898" s="24">
        <v>10475040</v>
      </c>
      <c r="N898" s="39">
        <v>46153</v>
      </c>
    </row>
    <row r="899" spans="1:14" s="5" customFormat="1" outlineLevel="2">
      <c r="A899" s="39" t="s">
        <v>270</v>
      </c>
      <c r="B899" s="40" t="s">
        <v>227</v>
      </c>
      <c r="C899" s="41" t="s">
        <v>274</v>
      </c>
      <c r="D899" s="40" t="s">
        <v>275</v>
      </c>
      <c r="E899" s="24">
        <v>18388440</v>
      </c>
      <c r="F899" s="39">
        <v>44328</v>
      </c>
      <c r="G899" s="24">
        <v>18388440</v>
      </c>
      <c r="H899" s="23">
        <v>5.0000000000000001E-3</v>
      </c>
      <c r="I899" s="39">
        <v>44440</v>
      </c>
      <c r="J899" s="39">
        <v>44469</v>
      </c>
      <c r="K899" s="24">
        <v>30</v>
      </c>
      <c r="L899" s="24">
        <v>7557</v>
      </c>
      <c r="M899" s="24">
        <v>18388440</v>
      </c>
      <c r="N899" s="39">
        <v>46153</v>
      </c>
    </row>
    <row r="900" spans="1:14" s="5" customFormat="1" outlineLevel="1">
      <c r="A900" s="42" t="s">
        <v>282</v>
      </c>
      <c r="B900" s="43"/>
      <c r="C900" s="44"/>
      <c r="D900" s="43"/>
      <c r="E900" s="45">
        <v>4996794262</v>
      </c>
      <c r="F900" s="46"/>
      <c r="G900" s="45"/>
      <c r="H900" s="47"/>
      <c r="I900" s="46"/>
      <c r="J900" s="46"/>
      <c r="K900" s="45"/>
      <c r="L900" s="45">
        <v>1991293</v>
      </c>
      <c r="M900" s="45">
        <v>4996794262</v>
      </c>
      <c r="N900" s="46"/>
    </row>
    <row r="901" spans="1:14" s="5" customFormat="1" outlineLevel="2">
      <c r="A901" s="39" t="s">
        <v>283</v>
      </c>
      <c r="B901" s="40" t="s">
        <v>16</v>
      </c>
      <c r="C901" s="41" t="s">
        <v>284</v>
      </c>
      <c r="D901" s="40" t="s">
        <v>285</v>
      </c>
      <c r="E901" s="24">
        <v>50000000</v>
      </c>
      <c r="F901" s="39">
        <v>44211</v>
      </c>
      <c r="G901" s="24">
        <v>50000000</v>
      </c>
      <c r="H901" s="23">
        <v>5.0000000000000001E-3</v>
      </c>
      <c r="I901" s="39">
        <v>44440</v>
      </c>
      <c r="J901" s="39">
        <v>44469</v>
      </c>
      <c r="K901" s="24">
        <v>30</v>
      </c>
      <c r="L901" s="24">
        <v>20548</v>
      </c>
      <c r="M901" s="24">
        <v>50000000</v>
      </c>
      <c r="N901" s="39">
        <v>46036</v>
      </c>
    </row>
    <row r="902" spans="1:14" s="5" customFormat="1" outlineLevel="1">
      <c r="A902" s="42" t="s">
        <v>286</v>
      </c>
      <c r="B902" s="43"/>
      <c r="C902" s="44"/>
      <c r="D902" s="43"/>
      <c r="E902" s="45">
        <v>50000000</v>
      </c>
      <c r="F902" s="46"/>
      <c r="G902" s="45"/>
      <c r="H902" s="47"/>
      <c r="I902" s="46"/>
      <c r="J902" s="46"/>
      <c r="K902" s="45"/>
      <c r="L902" s="45">
        <v>20548</v>
      </c>
      <c r="M902" s="45">
        <v>50000000</v>
      </c>
      <c r="N902" s="46"/>
    </row>
    <row r="903" spans="1:14" s="5" customFormat="1" outlineLevel="2">
      <c r="A903" s="39" t="s">
        <v>287</v>
      </c>
      <c r="B903" s="40" t="s">
        <v>16</v>
      </c>
      <c r="C903" s="41" t="s">
        <v>30</v>
      </c>
      <c r="D903" s="40" t="s">
        <v>31</v>
      </c>
      <c r="E903" s="24">
        <v>20000000</v>
      </c>
      <c r="F903" s="39">
        <v>43985</v>
      </c>
      <c r="G903" s="24">
        <v>20000000</v>
      </c>
      <c r="H903" s="23">
        <v>5.0000000000000001E-3</v>
      </c>
      <c r="I903" s="39">
        <v>44440</v>
      </c>
      <c r="J903" s="39">
        <v>44469</v>
      </c>
      <c r="K903" s="24">
        <v>30</v>
      </c>
      <c r="L903" s="24">
        <v>8219</v>
      </c>
      <c r="M903" s="24">
        <v>20000000</v>
      </c>
      <c r="N903" s="39">
        <v>45810</v>
      </c>
    </row>
    <row r="904" spans="1:14" s="5" customFormat="1" outlineLevel="2">
      <c r="A904" s="39" t="s">
        <v>287</v>
      </c>
      <c r="B904" s="40" t="s">
        <v>39</v>
      </c>
      <c r="C904" s="41" t="s">
        <v>30</v>
      </c>
      <c r="D904" s="40" t="s">
        <v>31</v>
      </c>
      <c r="E904" s="24">
        <v>13800000</v>
      </c>
      <c r="F904" s="39">
        <v>44034</v>
      </c>
      <c r="G904" s="24">
        <v>13800000</v>
      </c>
      <c r="H904" s="23">
        <v>5.0000000000000001E-3</v>
      </c>
      <c r="I904" s="39">
        <v>44440</v>
      </c>
      <c r="J904" s="39">
        <v>44469</v>
      </c>
      <c r="K904" s="24">
        <v>30</v>
      </c>
      <c r="L904" s="24">
        <v>5671</v>
      </c>
      <c r="M904" s="24">
        <v>13800000</v>
      </c>
      <c r="N904" s="39">
        <v>45859</v>
      </c>
    </row>
    <row r="905" spans="1:14" s="5" customFormat="1" outlineLevel="2">
      <c r="A905" s="39" t="s">
        <v>287</v>
      </c>
      <c r="B905" s="40" t="s">
        <v>54</v>
      </c>
      <c r="C905" s="41" t="s">
        <v>30</v>
      </c>
      <c r="D905" s="40" t="s">
        <v>31</v>
      </c>
      <c r="E905" s="24">
        <v>25000000</v>
      </c>
      <c r="F905" s="39">
        <v>44102</v>
      </c>
      <c r="G905" s="24">
        <v>25000000</v>
      </c>
      <c r="H905" s="23">
        <v>5.0000000000000001E-3</v>
      </c>
      <c r="I905" s="39">
        <v>44440</v>
      </c>
      <c r="J905" s="39">
        <v>44469</v>
      </c>
      <c r="K905" s="24">
        <v>30</v>
      </c>
      <c r="L905" s="24">
        <v>10274</v>
      </c>
      <c r="M905" s="24">
        <v>25000000</v>
      </c>
      <c r="N905" s="39">
        <v>45927</v>
      </c>
    </row>
    <row r="906" spans="1:14" s="5" customFormat="1" outlineLevel="2">
      <c r="A906" s="39" t="s">
        <v>287</v>
      </c>
      <c r="B906" s="40" t="s">
        <v>59</v>
      </c>
      <c r="C906" s="41" t="s">
        <v>30</v>
      </c>
      <c r="D906" s="40" t="s">
        <v>31</v>
      </c>
      <c r="E906" s="24">
        <v>5600000</v>
      </c>
      <c r="F906" s="39">
        <v>44103</v>
      </c>
      <c r="G906" s="24">
        <v>5600000</v>
      </c>
      <c r="H906" s="23">
        <v>5.0000000000000001E-3</v>
      </c>
      <c r="I906" s="39">
        <v>44440</v>
      </c>
      <c r="J906" s="39">
        <v>44469</v>
      </c>
      <c r="K906" s="24">
        <v>30</v>
      </c>
      <c r="L906" s="24">
        <v>2301</v>
      </c>
      <c r="M906" s="24">
        <v>5600000</v>
      </c>
      <c r="N906" s="39">
        <v>45928</v>
      </c>
    </row>
    <row r="907" spans="1:14" s="5" customFormat="1" outlineLevel="1">
      <c r="A907" s="42" t="s">
        <v>288</v>
      </c>
      <c r="B907" s="43"/>
      <c r="C907" s="44"/>
      <c r="D907" s="43"/>
      <c r="E907" s="45">
        <v>64400000</v>
      </c>
      <c r="F907" s="46"/>
      <c r="G907" s="45"/>
      <c r="H907" s="47"/>
      <c r="I907" s="46"/>
      <c r="J907" s="46"/>
      <c r="K907" s="45"/>
      <c r="L907" s="45">
        <v>26465</v>
      </c>
      <c r="M907" s="45">
        <v>64400000</v>
      </c>
      <c r="N907" s="46"/>
    </row>
    <row r="908" spans="1:14" s="5" customFormat="1" outlineLevel="2">
      <c r="A908" s="39" t="s">
        <v>289</v>
      </c>
      <c r="B908" s="40" t="s">
        <v>16</v>
      </c>
      <c r="C908" s="41" t="s">
        <v>121</v>
      </c>
      <c r="D908" s="40" t="s">
        <v>122</v>
      </c>
      <c r="E908" s="24">
        <v>72000000</v>
      </c>
      <c r="F908" s="39">
        <v>43917</v>
      </c>
      <c r="G908" s="24">
        <v>72000000</v>
      </c>
      <c r="H908" s="23">
        <v>5.0000000000000001E-3</v>
      </c>
      <c r="I908" s="39">
        <v>44440</v>
      </c>
      <c r="J908" s="39">
        <v>44469</v>
      </c>
      <c r="K908" s="24">
        <v>30</v>
      </c>
      <c r="L908" s="24">
        <v>29589</v>
      </c>
      <c r="M908" s="24">
        <v>72000000</v>
      </c>
      <c r="N908" s="39">
        <v>45742</v>
      </c>
    </row>
    <row r="909" spans="1:14" s="5" customFormat="1" outlineLevel="2">
      <c r="A909" s="39" t="s">
        <v>289</v>
      </c>
      <c r="B909" s="40" t="s">
        <v>39</v>
      </c>
      <c r="C909" s="41" t="s">
        <v>121</v>
      </c>
      <c r="D909" s="40" t="s">
        <v>122</v>
      </c>
      <c r="E909" s="24">
        <v>144000000</v>
      </c>
      <c r="F909" s="39">
        <v>44018</v>
      </c>
      <c r="G909" s="24">
        <v>144000000</v>
      </c>
      <c r="H909" s="23">
        <v>5.0000000000000001E-3</v>
      </c>
      <c r="I909" s="39">
        <v>44440</v>
      </c>
      <c r="J909" s="39">
        <v>44469</v>
      </c>
      <c r="K909" s="24">
        <v>30</v>
      </c>
      <c r="L909" s="24">
        <v>59178</v>
      </c>
      <c r="M909" s="24">
        <v>144000000</v>
      </c>
      <c r="N909" s="39">
        <v>45843</v>
      </c>
    </row>
    <row r="910" spans="1:14" s="5" customFormat="1" outlineLevel="2">
      <c r="A910" s="39" t="s">
        <v>289</v>
      </c>
      <c r="B910" s="40" t="s">
        <v>54</v>
      </c>
      <c r="C910" s="41" t="s">
        <v>290</v>
      </c>
      <c r="D910" s="40" t="s">
        <v>291</v>
      </c>
      <c r="E910" s="24">
        <v>6820000</v>
      </c>
      <c r="F910" s="39">
        <v>44092</v>
      </c>
      <c r="G910" s="24">
        <v>5569663</v>
      </c>
      <c r="H910" s="23">
        <v>5.0000000000000001E-3</v>
      </c>
      <c r="I910" s="39">
        <v>44440</v>
      </c>
      <c r="J910" s="39">
        <v>44453</v>
      </c>
      <c r="K910" s="24">
        <v>14</v>
      </c>
      <c r="L910" s="24">
        <v>1068</v>
      </c>
      <c r="M910" s="24">
        <v>5455996</v>
      </c>
      <c r="N910" s="39">
        <v>45917</v>
      </c>
    </row>
    <row r="911" spans="1:14" s="5" customFormat="1" outlineLevel="2">
      <c r="A911" s="39" t="s">
        <v>289</v>
      </c>
      <c r="B911" s="40" t="s">
        <v>54</v>
      </c>
      <c r="C911" s="41" t="s">
        <v>290</v>
      </c>
      <c r="D911" s="40"/>
      <c r="E911" s="24"/>
      <c r="F911" s="39"/>
      <c r="G911" s="24">
        <v>5455996</v>
      </c>
      <c r="H911" s="23">
        <v>5.0000000000000001E-3</v>
      </c>
      <c r="I911" s="39">
        <v>44454</v>
      </c>
      <c r="J911" s="39">
        <v>44469</v>
      </c>
      <c r="K911" s="24">
        <v>16</v>
      </c>
      <c r="L911" s="24">
        <v>1196</v>
      </c>
      <c r="M911" s="24"/>
      <c r="N911" s="39">
        <v>45917</v>
      </c>
    </row>
    <row r="912" spans="1:14" s="5" customFormat="1" outlineLevel="2">
      <c r="A912" s="39" t="s">
        <v>289</v>
      </c>
      <c r="B912" s="40" t="s">
        <v>59</v>
      </c>
      <c r="C912" s="41" t="s">
        <v>290</v>
      </c>
      <c r="D912" s="40" t="s">
        <v>291</v>
      </c>
      <c r="E912" s="24">
        <v>17380000</v>
      </c>
      <c r="F912" s="39">
        <v>44092</v>
      </c>
      <c r="G912" s="24">
        <v>12069442</v>
      </c>
      <c r="H912" s="23">
        <v>5.0000000000000001E-3</v>
      </c>
      <c r="I912" s="39">
        <v>44440</v>
      </c>
      <c r="J912" s="39">
        <v>44453</v>
      </c>
      <c r="K912" s="24">
        <v>14</v>
      </c>
      <c r="L912" s="24">
        <v>2315</v>
      </c>
      <c r="M912" s="24">
        <v>11586664</v>
      </c>
      <c r="N912" s="39">
        <v>45186</v>
      </c>
    </row>
    <row r="913" spans="1:14" s="5" customFormat="1" outlineLevel="2">
      <c r="A913" s="39" t="s">
        <v>289</v>
      </c>
      <c r="B913" s="40" t="s">
        <v>59</v>
      </c>
      <c r="C913" s="41" t="s">
        <v>290</v>
      </c>
      <c r="D913" s="40"/>
      <c r="E913" s="24"/>
      <c r="F913" s="39"/>
      <c r="G913" s="24">
        <v>11586664</v>
      </c>
      <c r="H913" s="23">
        <v>5.0000000000000001E-3</v>
      </c>
      <c r="I913" s="39">
        <v>44454</v>
      </c>
      <c r="J913" s="39">
        <v>44469</v>
      </c>
      <c r="K913" s="24">
        <v>16</v>
      </c>
      <c r="L913" s="24">
        <v>2540</v>
      </c>
      <c r="M913" s="24"/>
      <c r="N913" s="39">
        <v>45186</v>
      </c>
    </row>
    <row r="914" spans="1:14" s="5" customFormat="1" outlineLevel="2">
      <c r="A914" s="39" t="s">
        <v>289</v>
      </c>
      <c r="B914" s="40" t="s">
        <v>62</v>
      </c>
      <c r="C914" s="41" t="s">
        <v>121</v>
      </c>
      <c r="D914" s="40" t="s">
        <v>122</v>
      </c>
      <c r="E914" s="24">
        <v>41000000</v>
      </c>
      <c r="F914" s="39">
        <v>44140</v>
      </c>
      <c r="G914" s="24">
        <v>41000000</v>
      </c>
      <c r="H914" s="23">
        <v>5.0000000000000001E-3</v>
      </c>
      <c r="I914" s="39">
        <v>44440</v>
      </c>
      <c r="J914" s="39">
        <v>44469</v>
      </c>
      <c r="K914" s="24">
        <v>30</v>
      </c>
      <c r="L914" s="24">
        <v>16849</v>
      </c>
      <c r="M914" s="24">
        <v>41000000</v>
      </c>
      <c r="N914" s="39">
        <v>45965</v>
      </c>
    </row>
    <row r="915" spans="1:14" s="5" customFormat="1" outlineLevel="2">
      <c r="A915" s="39" t="s">
        <v>289</v>
      </c>
      <c r="B915" s="40" t="s">
        <v>63</v>
      </c>
      <c r="C915" s="41" t="s">
        <v>290</v>
      </c>
      <c r="D915" s="40" t="s">
        <v>291</v>
      </c>
      <c r="E915" s="24">
        <v>3220000</v>
      </c>
      <c r="F915" s="39">
        <v>44161</v>
      </c>
      <c r="G915" s="24">
        <v>2720347</v>
      </c>
      <c r="H915" s="23">
        <v>5.0000000000000001E-3</v>
      </c>
      <c r="I915" s="39">
        <v>44440</v>
      </c>
      <c r="J915" s="39">
        <v>44453</v>
      </c>
      <c r="K915" s="24">
        <v>14</v>
      </c>
      <c r="L915" s="24">
        <v>522</v>
      </c>
      <c r="M915" s="24">
        <v>2664830</v>
      </c>
      <c r="N915" s="39">
        <v>45986</v>
      </c>
    </row>
    <row r="916" spans="1:14" s="5" customFormat="1" outlineLevel="2">
      <c r="A916" s="39" t="s">
        <v>289</v>
      </c>
      <c r="B916" s="40" t="s">
        <v>63</v>
      </c>
      <c r="C916" s="41" t="s">
        <v>290</v>
      </c>
      <c r="D916" s="40"/>
      <c r="E916" s="24"/>
      <c r="F916" s="39"/>
      <c r="G916" s="24">
        <v>2664830</v>
      </c>
      <c r="H916" s="23">
        <v>5.0000000000000001E-3</v>
      </c>
      <c r="I916" s="39">
        <v>44454</v>
      </c>
      <c r="J916" s="39">
        <v>44469</v>
      </c>
      <c r="K916" s="24">
        <v>16</v>
      </c>
      <c r="L916" s="24">
        <v>584</v>
      </c>
      <c r="M916" s="24"/>
      <c r="N916" s="39">
        <v>45986</v>
      </c>
    </row>
    <row r="917" spans="1:14" s="5" customFormat="1" outlineLevel="2">
      <c r="A917" s="39" t="s">
        <v>289</v>
      </c>
      <c r="B917" s="40" t="s">
        <v>64</v>
      </c>
      <c r="C917" s="41" t="s">
        <v>121</v>
      </c>
      <c r="D917" s="40" t="s">
        <v>122</v>
      </c>
      <c r="E917" s="24">
        <v>50000000</v>
      </c>
      <c r="F917" s="39">
        <v>44189</v>
      </c>
      <c r="G917" s="24">
        <v>50000000</v>
      </c>
      <c r="H917" s="23">
        <v>5.0000000000000001E-3</v>
      </c>
      <c r="I917" s="39">
        <v>44440</v>
      </c>
      <c r="J917" s="39">
        <v>44469</v>
      </c>
      <c r="K917" s="24">
        <v>30</v>
      </c>
      <c r="L917" s="24">
        <v>20548</v>
      </c>
      <c r="M917" s="24">
        <v>50000000</v>
      </c>
      <c r="N917" s="39">
        <v>46014</v>
      </c>
    </row>
    <row r="918" spans="1:14" s="5" customFormat="1" outlineLevel="2">
      <c r="A918" s="39" t="s">
        <v>289</v>
      </c>
      <c r="B918" s="40" t="s">
        <v>65</v>
      </c>
      <c r="C918" s="41" t="s">
        <v>121</v>
      </c>
      <c r="D918" s="40" t="s">
        <v>122</v>
      </c>
      <c r="E918" s="24">
        <v>15000000</v>
      </c>
      <c r="F918" s="39">
        <v>44189</v>
      </c>
      <c r="G918" s="24">
        <v>15000000</v>
      </c>
      <c r="H918" s="23">
        <v>5.0000000000000001E-3</v>
      </c>
      <c r="I918" s="39">
        <v>44440</v>
      </c>
      <c r="J918" s="39">
        <v>44469</v>
      </c>
      <c r="K918" s="24">
        <v>30</v>
      </c>
      <c r="L918" s="24">
        <v>6164</v>
      </c>
      <c r="M918" s="24">
        <v>15000000</v>
      </c>
      <c r="N918" s="39">
        <v>46014</v>
      </c>
    </row>
    <row r="919" spans="1:14" s="5" customFormat="1" outlineLevel="2">
      <c r="A919" s="39" t="s">
        <v>289</v>
      </c>
      <c r="B919" s="40" t="s">
        <v>68</v>
      </c>
      <c r="C919" s="41" t="s">
        <v>121</v>
      </c>
      <c r="D919" s="40" t="s">
        <v>122</v>
      </c>
      <c r="E919" s="24">
        <v>850000</v>
      </c>
      <c r="F919" s="39">
        <v>44253</v>
      </c>
      <c r="G919" s="24">
        <v>850000</v>
      </c>
      <c r="H919" s="23">
        <v>5.0000000000000001E-3</v>
      </c>
      <c r="I919" s="39">
        <v>44440</v>
      </c>
      <c r="J919" s="39">
        <v>44469</v>
      </c>
      <c r="K919" s="24">
        <v>30</v>
      </c>
      <c r="L919" s="24">
        <v>349</v>
      </c>
      <c r="M919" s="24">
        <v>850000</v>
      </c>
      <c r="N919" s="39">
        <v>46078</v>
      </c>
    </row>
    <row r="920" spans="1:14" s="5" customFormat="1" outlineLevel="1">
      <c r="A920" s="42" t="s">
        <v>292</v>
      </c>
      <c r="B920" s="43"/>
      <c r="C920" s="44"/>
      <c r="D920" s="43"/>
      <c r="E920" s="45">
        <v>350270000</v>
      </c>
      <c r="F920" s="46"/>
      <c r="G920" s="45"/>
      <c r="H920" s="47"/>
      <c r="I920" s="46"/>
      <c r="J920" s="46"/>
      <c r="K920" s="45"/>
      <c r="L920" s="45">
        <v>140902</v>
      </c>
      <c r="M920" s="45">
        <v>342557490</v>
      </c>
      <c r="N920" s="46"/>
    </row>
    <row r="921" spans="1:14" s="5" customFormat="1" outlineLevel="2">
      <c r="A921" s="39" t="s">
        <v>293</v>
      </c>
      <c r="B921" s="40" t="s">
        <v>16</v>
      </c>
      <c r="C921" s="41" t="s">
        <v>121</v>
      </c>
      <c r="D921" s="40" t="s">
        <v>122</v>
      </c>
      <c r="E921" s="24">
        <v>190000000</v>
      </c>
      <c r="F921" s="39">
        <v>43797</v>
      </c>
      <c r="G921" s="24">
        <v>190000000</v>
      </c>
      <c r="H921" s="23">
        <v>5.0000000000000001E-3</v>
      </c>
      <c r="I921" s="39">
        <v>44440</v>
      </c>
      <c r="J921" s="39">
        <v>44469</v>
      </c>
      <c r="K921" s="24">
        <v>30</v>
      </c>
      <c r="L921" s="24">
        <v>78082</v>
      </c>
      <c r="M921" s="24">
        <v>190000000</v>
      </c>
      <c r="N921" s="39">
        <v>45623</v>
      </c>
    </row>
    <row r="922" spans="1:14" s="5" customFormat="1" outlineLevel="2">
      <c r="A922" s="39" t="s">
        <v>293</v>
      </c>
      <c r="B922" s="40" t="s">
        <v>19</v>
      </c>
      <c r="C922" s="41" t="s">
        <v>55</v>
      </c>
      <c r="D922" s="40" t="s">
        <v>56</v>
      </c>
      <c r="E922" s="24">
        <v>1310400</v>
      </c>
      <c r="F922" s="39">
        <v>44043</v>
      </c>
      <c r="G922" s="24">
        <v>1000675</v>
      </c>
      <c r="H922" s="23">
        <v>5.0000000000000001E-3</v>
      </c>
      <c r="I922" s="39">
        <v>44440</v>
      </c>
      <c r="J922" s="39">
        <v>44453</v>
      </c>
      <c r="K922" s="24">
        <v>14</v>
      </c>
      <c r="L922" s="24">
        <v>192</v>
      </c>
      <c r="M922" s="24">
        <v>976850</v>
      </c>
      <c r="N922" s="39">
        <v>45868</v>
      </c>
    </row>
    <row r="923" spans="1:14" s="5" customFormat="1" outlineLevel="2">
      <c r="A923" s="39" t="s">
        <v>293</v>
      </c>
      <c r="B923" s="40" t="s">
        <v>19</v>
      </c>
      <c r="C923" s="41" t="s">
        <v>55</v>
      </c>
      <c r="D923" s="40"/>
      <c r="E923" s="24"/>
      <c r="F923" s="39"/>
      <c r="G923" s="24">
        <v>976850</v>
      </c>
      <c r="H923" s="23">
        <v>5.0000000000000001E-3</v>
      </c>
      <c r="I923" s="39">
        <v>44454</v>
      </c>
      <c r="J923" s="39">
        <v>44469</v>
      </c>
      <c r="K923" s="24">
        <v>16</v>
      </c>
      <c r="L923" s="24">
        <v>214</v>
      </c>
      <c r="M923" s="24"/>
      <c r="N923" s="39">
        <v>45868</v>
      </c>
    </row>
    <row r="924" spans="1:14" s="5" customFormat="1" outlineLevel="2">
      <c r="A924" s="39" t="s">
        <v>293</v>
      </c>
      <c r="B924" s="40" t="s">
        <v>22</v>
      </c>
      <c r="C924" s="41" t="s">
        <v>20</v>
      </c>
      <c r="D924" s="40" t="s">
        <v>21</v>
      </c>
      <c r="E924" s="24">
        <v>201600000</v>
      </c>
      <c r="F924" s="39">
        <v>44028</v>
      </c>
      <c r="G924" s="24">
        <v>201600000</v>
      </c>
      <c r="H924" s="23">
        <v>3.0000000000000001E-3</v>
      </c>
      <c r="I924" s="39">
        <v>44440</v>
      </c>
      <c r="J924" s="39">
        <v>44469</v>
      </c>
      <c r="K924" s="24">
        <v>30</v>
      </c>
      <c r="L924" s="24">
        <v>49710</v>
      </c>
      <c r="M924" s="24">
        <v>201600000</v>
      </c>
      <c r="N924" s="39">
        <v>45853</v>
      </c>
    </row>
    <row r="925" spans="1:14" s="5" customFormat="1" outlineLevel="2">
      <c r="A925" s="39" t="s">
        <v>293</v>
      </c>
      <c r="B925" s="40" t="s">
        <v>25</v>
      </c>
      <c r="C925" s="41" t="s">
        <v>294</v>
      </c>
      <c r="D925" s="40" t="s">
        <v>295</v>
      </c>
      <c r="E925" s="24">
        <v>67678400</v>
      </c>
      <c r="F925" s="39">
        <v>44041</v>
      </c>
      <c r="G925" s="24">
        <v>67678400</v>
      </c>
      <c r="H925" s="23">
        <v>5.0000000000000001E-3</v>
      </c>
      <c r="I925" s="39">
        <v>44440</v>
      </c>
      <c r="J925" s="39">
        <v>44469</v>
      </c>
      <c r="K925" s="24">
        <v>30</v>
      </c>
      <c r="L925" s="24">
        <v>27813</v>
      </c>
      <c r="M925" s="24">
        <v>67678400</v>
      </c>
      <c r="N925" s="39">
        <v>45866</v>
      </c>
    </row>
    <row r="926" spans="1:14" s="5" customFormat="1" outlineLevel="2">
      <c r="A926" s="39" t="s">
        <v>293</v>
      </c>
      <c r="B926" s="40" t="s">
        <v>26</v>
      </c>
      <c r="C926" s="41" t="s">
        <v>294</v>
      </c>
      <c r="D926" s="40" t="s">
        <v>295</v>
      </c>
      <c r="E926" s="24">
        <v>56400000</v>
      </c>
      <c r="F926" s="39">
        <v>44060</v>
      </c>
      <c r="G926" s="24">
        <v>56400000</v>
      </c>
      <c r="H926" s="23">
        <v>5.0000000000000001E-3</v>
      </c>
      <c r="I926" s="39">
        <v>44440</v>
      </c>
      <c r="J926" s="39">
        <v>44469</v>
      </c>
      <c r="K926" s="24">
        <v>30</v>
      </c>
      <c r="L926" s="24">
        <v>23178</v>
      </c>
      <c r="M926" s="24">
        <v>56400000</v>
      </c>
      <c r="N926" s="39">
        <v>45885</v>
      </c>
    </row>
    <row r="927" spans="1:14" s="5" customFormat="1" outlineLevel="2">
      <c r="A927" s="39" t="s">
        <v>293</v>
      </c>
      <c r="B927" s="40" t="s">
        <v>29</v>
      </c>
      <c r="C927" s="41" t="s">
        <v>294</v>
      </c>
      <c r="D927" s="40" t="s">
        <v>295</v>
      </c>
      <c r="E927" s="24">
        <v>56400000</v>
      </c>
      <c r="F927" s="39">
        <v>44089</v>
      </c>
      <c r="G927" s="24">
        <v>56400000</v>
      </c>
      <c r="H927" s="23">
        <v>5.0000000000000001E-3</v>
      </c>
      <c r="I927" s="39">
        <v>44440</v>
      </c>
      <c r="J927" s="39">
        <v>44469</v>
      </c>
      <c r="K927" s="24">
        <v>30</v>
      </c>
      <c r="L927" s="24">
        <v>23178</v>
      </c>
      <c r="M927" s="24">
        <v>56400000</v>
      </c>
      <c r="N927" s="39">
        <v>45914</v>
      </c>
    </row>
    <row r="928" spans="1:14" s="5" customFormat="1" outlineLevel="2">
      <c r="A928" s="39" t="s">
        <v>293</v>
      </c>
      <c r="B928" s="40" t="s">
        <v>32</v>
      </c>
      <c r="C928" s="41" t="s">
        <v>294</v>
      </c>
      <c r="D928" s="40" t="s">
        <v>295</v>
      </c>
      <c r="E928" s="24">
        <v>56400000</v>
      </c>
      <c r="F928" s="39">
        <v>44119</v>
      </c>
      <c r="G928" s="24">
        <v>56400000</v>
      </c>
      <c r="H928" s="23">
        <v>5.0000000000000001E-3</v>
      </c>
      <c r="I928" s="39">
        <v>44440</v>
      </c>
      <c r="J928" s="39">
        <v>44469</v>
      </c>
      <c r="K928" s="24">
        <v>30</v>
      </c>
      <c r="L928" s="24">
        <v>23178</v>
      </c>
      <c r="M928" s="24">
        <v>56400000</v>
      </c>
      <c r="N928" s="39">
        <v>45944</v>
      </c>
    </row>
    <row r="929" spans="1:14" s="5" customFormat="1" outlineLevel="2">
      <c r="A929" s="39" t="s">
        <v>293</v>
      </c>
      <c r="B929" s="40" t="s">
        <v>33</v>
      </c>
      <c r="C929" s="41" t="s">
        <v>55</v>
      </c>
      <c r="D929" s="40" t="s">
        <v>56</v>
      </c>
      <c r="E929" s="24">
        <v>1169666</v>
      </c>
      <c r="F929" s="39">
        <v>44134</v>
      </c>
      <c r="G929" s="24">
        <v>944726</v>
      </c>
      <c r="H929" s="23">
        <v>5.0000000000000001E-3</v>
      </c>
      <c r="I929" s="39">
        <v>44440</v>
      </c>
      <c r="J929" s="39">
        <v>44453</v>
      </c>
      <c r="K929" s="24">
        <v>14</v>
      </c>
      <c r="L929" s="24">
        <v>181</v>
      </c>
      <c r="M929" s="24">
        <v>922232</v>
      </c>
      <c r="N929" s="39">
        <v>45959</v>
      </c>
    </row>
    <row r="930" spans="1:14" s="5" customFormat="1" outlineLevel="2">
      <c r="A930" s="39" t="s">
        <v>293</v>
      </c>
      <c r="B930" s="40" t="s">
        <v>33</v>
      </c>
      <c r="C930" s="41" t="s">
        <v>55</v>
      </c>
      <c r="D930" s="40"/>
      <c r="E930" s="24"/>
      <c r="F930" s="39"/>
      <c r="G930" s="24">
        <v>922232</v>
      </c>
      <c r="H930" s="23">
        <v>5.0000000000000001E-3</v>
      </c>
      <c r="I930" s="39">
        <v>44454</v>
      </c>
      <c r="J930" s="39">
        <v>44469</v>
      </c>
      <c r="K930" s="24">
        <v>16</v>
      </c>
      <c r="L930" s="24">
        <v>202</v>
      </c>
      <c r="M930" s="24"/>
      <c r="N930" s="39">
        <v>45959</v>
      </c>
    </row>
    <row r="931" spans="1:14" s="5" customFormat="1" outlineLevel="2">
      <c r="A931" s="39" t="s">
        <v>293</v>
      </c>
      <c r="B931" s="40" t="s">
        <v>34</v>
      </c>
      <c r="C931" s="41" t="s">
        <v>294</v>
      </c>
      <c r="D931" s="40" t="s">
        <v>295</v>
      </c>
      <c r="E931" s="24">
        <v>56400000</v>
      </c>
      <c r="F931" s="39">
        <v>44151</v>
      </c>
      <c r="G931" s="24">
        <v>56400000</v>
      </c>
      <c r="H931" s="23">
        <v>5.0000000000000001E-3</v>
      </c>
      <c r="I931" s="39">
        <v>44440</v>
      </c>
      <c r="J931" s="39">
        <v>44469</v>
      </c>
      <c r="K931" s="24">
        <v>30</v>
      </c>
      <c r="L931" s="24">
        <v>23178</v>
      </c>
      <c r="M931" s="24">
        <v>56400000</v>
      </c>
      <c r="N931" s="39">
        <v>45976</v>
      </c>
    </row>
    <row r="932" spans="1:14" s="5" customFormat="1" outlineLevel="2">
      <c r="A932" s="39" t="s">
        <v>293</v>
      </c>
      <c r="B932" s="40" t="s">
        <v>35</v>
      </c>
      <c r="C932" s="41" t="s">
        <v>115</v>
      </c>
      <c r="D932" s="40" t="s">
        <v>116</v>
      </c>
      <c r="E932" s="24">
        <v>2230000</v>
      </c>
      <c r="F932" s="39">
        <v>44138</v>
      </c>
      <c r="G932" s="24">
        <v>2230000</v>
      </c>
      <c r="H932" s="23">
        <v>5.0000000000000001E-3</v>
      </c>
      <c r="I932" s="39">
        <v>44440</v>
      </c>
      <c r="J932" s="39">
        <v>44469</v>
      </c>
      <c r="K932" s="24">
        <v>30</v>
      </c>
      <c r="L932" s="24">
        <v>916</v>
      </c>
      <c r="M932" s="24">
        <v>2230000</v>
      </c>
      <c r="N932" s="39">
        <v>45963</v>
      </c>
    </row>
    <row r="933" spans="1:14" s="5" customFormat="1" outlineLevel="2">
      <c r="A933" s="39" t="s">
        <v>293</v>
      </c>
      <c r="B933" s="40" t="s">
        <v>36</v>
      </c>
      <c r="C933" s="41" t="s">
        <v>294</v>
      </c>
      <c r="D933" s="40" t="s">
        <v>295</v>
      </c>
      <c r="E933" s="24">
        <v>112800000</v>
      </c>
      <c r="F933" s="39">
        <v>44180</v>
      </c>
      <c r="G933" s="24">
        <v>112800000</v>
      </c>
      <c r="H933" s="23">
        <v>5.0000000000000001E-3</v>
      </c>
      <c r="I933" s="39">
        <v>44440</v>
      </c>
      <c r="J933" s="39">
        <v>44469</v>
      </c>
      <c r="K933" s="24">
        <v>30</v>
      </c>
      <c r="L933" s="24">
        <v>46356</v>
      </c>
      <c r="M933" s="24">
        <v>112800000</v>
      </c>
      <c r="N933" s="39">
        <v>46005</v>
      </c>
    </row>
    <row r="934" spans="1:14" s="5" customFormat="1" outlineLevel="2">
      <c r="A934" s="39" t="s">
        <v>293</v>
      </c>
      <c r="B934" s="40" t="s">
        <v>39</v>
      </c>
      <c r="C934" s="41" t="s">
        <v>121</v>
      </c>
      <c r="D934" s="40" t="s">
        <v>122</v>
      </c>
      <c r="E934" s="24">
        <v>37000000</v>
      </c>
      <c r="F934" s="39">
        <v>43829</v>
      </c>
      <c r="G934" s="24">
        <v>37000000</v>
      </c>
      <c r="H934" s="23">
        <v>5.0000000000000001E-3</v>
      </c>
      <c r="I934" s="39">
        <v>44440</v>
      </c>
      <c r="J934" s="39">
        <v>44469</v>
      </c>
      <c r="K934" s="24">
        <v>30</v>
      </c>
      <c r="L934" s="24">
        <v>15205</v>
      </c>
      <c r="M934" s="24">
        <v>37000000</v>
      </c>
      <c r="N934" s="39">
        <v>45655</v>
      </c>
    </row>
    <row r="935" spans="1:14" s="5" customFormat="1" outlineLevel="2">
      <c r="A935" s="39" t="s">
        <v>293</v>
      </c>
      <c r="B935" s="40" t="s">
        <v>40</v>
      </c>
      <c r="C935" s="41" t="s">
        <v>294</v>
      </c>
      <c r="D935" s="40" t="s">
        <v>295</v>
      </c>
      <c r="E935" s="24">
        <v>3667200</v>
      </c>
      <c r="F935" s="39">
        <v>44180</v>
      </c>
      <c r="G935" s="24">
        <v>3667200</v>
      </c>
      <c r="H935" s="23">
        <v>5.0000000000000001E-3</v>
      </c>
      <c r="I935" s="39">
        <v>44440</v>
      </c>
      <c r="J935" s="39">
        <v>44469</v>
      </c>
      <c r="K935" s="24">
        <v>30</v>
      </c>
      <c r="L935" s="24">
        <v>1507</v>
      </c>
      <c r="M935" s="24">
        <v>3667200</v>
      </c>
      <c r="N935" s="39">
        <v>46005</v>
      </c>
    </row>
    <row r="936" spans="1:14" s="5" customFormat="1" outlineLevel="2">
      <c r="A936" s="39" t="s">
        <v>293</v>
      </c>
      <c r="B936" s="40" t="s">
        <v>41</v>
      </c>
      <c r="C936" s="41" t="s">
        <v>132</v>
      </c>
      <c r="D936" s="40" t="s">
        <v>133</v>
      </c>
      <c r="E936" s="24">
        <v>30870000</v>
      </c>
      <c r="F936" s="39">
        <v>44175</v>
      </c>
      <c r="G936" s="24">
        <v>30870000</v>
      </c>
      <c r="H936" s="23">
        <v>5.0000000000000001E-3</v>
      </c>
      <c r="I936" s="39">
        <v>44440</v>
      </c>
      <c r="J936" s="39">
        <v>44469</v>
      </c>
      <c r="K936" s="24">
        <v>30</v>
      </c>
      <c r="L936" s="24">
        <v>12686</v>
      </c>
      <c r="M936" s="24">
        <v>30870000</v>
      </c>
      <c r="N936" s="39">
        <v>46000</v>
      </c>
    </row>
    <row r="937" spans="1:14" s="5" customFormat="1" outlineLevel="2">
      <c r="A937" s="39" t="s">
        <v>293</v>
      </c>
      <c r="B937" s="40" t="s">
        <v>42</v>
      </c>
      <c r="C937" s="41" t="s">
        <v>294</v>
      </c>
      <c r="D937" s="40" t="s">
        <v>295</v>
      </c>
      <c r="E937" s="24">
        <v>57011200</v>
      </c>
      <c r="F937" s="39">
        <v>44211</v>
      </c>
      <c r="G937" s="24">
        <v>57011200</v>
      </c>
      <c r="H937" s="23">
        <v>5.0000000000000001E-3</v>
      </c>
      <c r="I937" s="39">
        <v>44440</v>
      </c>
      <c r="J937" s="39">
        <v>44469</v>
      </c>
      <c r="K937" s="24">
        <v>30</v>
      </c>
      <c r="L937" s="24">
        <v>23429</v>
      </c>
      <c r="M937" s="24">
        <v>57011200</v>
      </c>
      <c r="N937" s="39">
        <v>46036</v>
      </c>
    </row>
    <row r="938" spans="1:14" s="5" customFormat="1" outlineLevel="2">
      <c r="A938" s="39" t="s">
        <v>293</v>
      </c>
      <c r="B938" s="40" t="s">
        <v>43</v>
      </c>
      <c r="C938" s="41" t="s">
        <v>115</v>
      </c>
      <c r="D938" s="40" t="s">
        <v>116</v>
      </c>
      <c r="E938" s="24">
        <v>10000000</v>
      </c>
      <c r="F938" s="39">
        <v>44225</v>
      </c>
      <c r="G938" s="24">
        <v>10000000</v>
      </c>
      <c r="H938" s="23">
        <v>5.0000000000000001E-3</v>
      </c>
      <c r="I938" s="39">
        <v>44440</v>
      </c>
      <c r="J938" s="39">
        <v>44469</v>
      </c>
      <c r="K938" s="24">
        <v>30</v>
      </c>
      <c r="L938" s="24">
        <v>4110</v>
      </c>
      <c r="M938" s="24">
        <v>10000000</v>
      </c>
      <c r="N938" s="39">
        <v>46050</v>
      </c>
    </row>
    <row r="939" spans="1:14" s="5" customFormat="1" outlineLevel="2">
      <c r="A939" s="39" t="s">
        <v>293</v>
      </c>
      <c r="B939" s="40" t="s">
        <v>44</v>
      </c>
      <c r="C939" s="41" t="s">
        <v>132</v>
      </c>
      <c r="D939" s="40" t="s">
        <v>133</v>
      </c>
      <c r="E939" s="24">
        <v>5880000</v>
      </c>
      <c r="F939" s="39">
        <v>44207</v>
      </c>
      <c r="G939" s="24">
        <v>5880000</v>
      </c>
      <c r="H939" s="23">
        <v>5.0000000000000001E-3</v>
      </c>
      <c r="I939" s="39">
        <v>44440</v>
      </c>
      <c r="J939" s="39">
        <v>44469</v>
      </c>
      <c r="K939" s="24">
        <v>30</v>
      </c>
      <c r="L939" s="24">
        <v>2416</v>
      </c>
      <c r="M939" s="24">
        <v>5880000</v>
      </c>
      <c r="N939" s="39">
        <v>46032</v>
      </c>
    </row>
    <row r="940" spans="1:14" s="5" customFormat="1" outlineLevel="2">
      <c r="A940" s="39" t="s">
        <v>293</v>
      </c>
      <c r="B940" s="40" t="s">
        <v>47</v>
      </c>
      <c r="C940" s="41" t="s">
        <v>132</v>
      </c>
      <c r="D940" s="40" t="s">
        <v>133</v>
      </c>
      <c r="E940" s="24">
        <v>660000</v>
      </c>
      <c r="F940" s="39">
        <v>44221</v>
      </c>
      <c r="G940" s="24">
        <v>660000</v>
      </c>
      <c r="H940" s="23">
        <v>5.0000000000000001E-3</v>
      </c>
      <c r="I940" s="39">
        <v>44440</v>
      </c>
      <c r="J940" s="39">
        <v>44469</v>
      </c>
      <c r="K940" s="24">
        <v>30</v>
      </c>
      <c r="L940" s="24">
        <v>271</v>
      </c>
      <c r="M940" s="24">
        <v>660000</v>
      </c>
      <c r="N940" s="39">
        <v>46046</v>
      </c>
    </row>
    <row r="941" spans="1:14" s="5" customFormat="1" outlineLevel="2">
      <c r="A941" s="39" t="s">
        <v>293</v>
      </c>
      <c r="B941" s="40" t="s">
        <v>50</v>
      </c>
      <c r="C941" s="41" t="s">
        <v>132</v>
      </c>
      <c r="D941" s="40" t="s">
        <v>133</v>
      </c>
      <c r="E941" s="24">
        <v>4160000</v>
      </c>
      <c r="F941" s="39">
        <v>44207</v>
      </c>
      <c r="G941" s="24">
        <v>4160000</v>
      </c>
      <c r="H941" s="23">
        <v>5.0000000000000001E-3</v>
      </c>
      <c r="I941" s="39">
        <v>44440</v>
      </c>
      <c r="J941" s="39">
        <v>44469</v>
      </c>
      <c r="K941" s="24">
        <v>30</v>
      </c>
      <c r="L941" s="24">
        <v>1710</v>
      </c>
      <c r="M941" s="24">
        <v>4160000</v>
      </c>
      <c r="N941" s="39">
        <v>46032</v>
      </c>
    </row>
    <row r="942" spans="1:14" s="5" customFormat="1" outlineLevel="2">
      <c r="A942" s="39" t="s">
        <v>293</v>
      </c>
      <c r="B942" s="40" t="s">
        <v>51</v>
      </c>
      <c r="C942" s="41" t="s">
        <v>294</v>
      </c>
      <c r="D942" s="40" t="s">
        <v>295</v>
      </c>
      <c r="E942" s="24">
        <v>64400000</v>
      </c>
      <c r="F942" s="39">
        <v>44236</v>
      </c>
      <c r="G942" s="24">
        <v>64400000</v>
      </c>
      <c r="H942" s="23">
        <v>5.0000000000000001E-3</v>
      </c>
      <c r="I942" s="39">
        <v>44440</v>
      </c>
      <c r="J942" s="39">
        <v>44469</v>
      </c>
      <c r="K942" s="24">
        <v>30</v>
      </c>
      <c r="L942" s="24">
        <v>26466</v>
      </c>
      <c r="M942" s="24">
        <v>64400000</v>
      </c>
      <c r="N942" s="39">
        <v>46061</v>
      </c>
    </row>
    <row r="943" spans="1:14" s="5" customFormat="1" outlineLevel="2">
      <c r="A943" s="39" t="s">
        <v>293</v>
      </c>
      <c r="B943" s="40" t="s">
        <v>52</v>
      </c>
      <c r="C943" s="41" t="s">
        <v>294</v>
      </c>
      <c r="D943" s="40" t="s">
        <v>295</v>
      </c>
      <c r="E943" s="24">
        <v>57011200</v>
      </c>
      <c r="F943" s="39">
        <v>44245</v>
      </c>
      <c r="G943" s="24">
        <v>57011200</v>
      </c>
      <c r="H943" s="23">
        <v>5.0000000000000001E-3</v>
      </c>
      <c r="I943" s="39">
        <v>44440</v>
      </c>
      <c r="J943" s="39">
        <v>44469</v>
      </c>
      <c r="K943" s="24">
        <v>30</v>
      </c>
      <c r="L943" s="24">
        <v>23429</v>
      </c>
      <c r="M943" s="24">
        <v>57011200</v>
      </c>
      <c r="N943" s="39">
        <v>46070</v>
      </c>
    </row>
    <row r="944" spans="1:14" s="5" customFormat="1" outlineLevel="2">
      <c r="A944" s="39" t="s">
        <v>293</v>
      </c>
      <c r="B944" s="40" t="s">
        <v>53</v>
      </c>
      <c r="C944" s="41" t="s">
        <v>132</v>
      </c>
      <c r="D944" s="40" t="s">
        <v>133</v>
      </c>
      <c r="E944" s="24">
        <v>3640000</v>
      </c>
      <c r="F944" s="39">
        <v>44244</v>
      </c>
      <c r="G944" s="24">
        <v>3640000</v>
      </c>
      <c r="H944" s="23">
        <v>5.0000000000000001E-3</v>
      </c>
      <c r="I944" s="39">
        <v>44440</v>
      </c>
      <c r="J944" s="39">
        <v>44469</v>
      </c>
      <c r="K944" s="24">
        <v>30</v>
      </c>
      <c r="L944" s="24">
        <v>1496</v>
      </c>
      <c r="M944" s="24">
        <v>3640000</v>
      </c>
      <c r="N944" s="39">
        <v>46069</v>
      </c>
    </row>
    <row r="945" spans="1:14" s="5" customFormat="1" outlineLevel="2">
      <c r="A945" s="39" t="s">
        <v>293</v>
      </c>
      <c r="B945" s="40" t="s">
        <v>54</v>
      </c>
      <c r="C945" s="41" t="s">
        <v>55</v>
      </c>
      <c r="D945" s="40" t="s">
        <v>56</v>
      </c>
      <c r="E945" s="24">
        <v>17276700</v>
      </c>
      <c r="F945" s="39">
        <v>43878</v>
      </c>
      <c r="G945" s="24">
        <v>12093690</v>
      </c>
      <c r="H945" s="23">
        <v>5.0000000000000001E-3</v>
      </c>
      <c r="I945" s="39">
        <v>44440</v>
      </c>
      <c r="J945" s="39">
        <v>44453</v>
      </c>
      <c r="K945" s="24">
        <v>14</v>
      </c>
      <c r="L945" s="24">
        <v>2319</v>
      </c>
      <c r="M945" s="24">
        <v>11805745</v>
      </c>
      <c r="N945" s="39">
        <v>45704</v>
      </c>
    </row>
    <row r="946" spans="1:14" s="5" customFormat="1" outlineLevel="2">
      <c r="A946" s="39" t="s">
        <v>293</v>
      </c>
      <c r="B946" s="40" t="s">
        <v>54</v>
      </c>
      <c r="C946" s="41" t="s">
        <v>55</v>
      </c>
      <c r="D946" s="40"/>
      <c r="E946" s="24"/>
      <c r="F946" s="39"/>
      <c r="G946" s="24">
        <v>11805745</v>
      </c>
      <c r="H946" s="23">
        <v>5.0000000000000001E-3</v>
      </c>
      <c r="I946" s="39">
        <v>44454</v>
      </c>
      <c r="J946" s="39">
        <v>44469</v>
      </c>
      <c r="K946" s="24">
        <v>16</v>
      </c>
      <c r="L946" s="24">
        <v>2588</v>
      </c>
      <c r="M946" s="24"/>
      <c r="N946" s="39">
        <v>45704</v>
      </c>
    </row>
    <row r="947" spans="1:14" s="5" customFormat="1" outlineLevel="2">
      <c r="A947" s="39" t="s">
        <v>293</v>
      </c>
      <c r="B947" s="40" t="s">
        <v>57</v>
      </c>
      <c r="C947" s="41" t="s">
        <v>132</v>
      </c>
      <c r="D947" s="40" t="s">
        <v>133</v>
      </c>
      <c r="E947" s="24">
        <v>7500000</v>
      </c>
      <c r="F947" s="39">
        <v>44228</v>
      </c>
      <c r="G947" s="24">
        <v>7500000</v>
      </c>
      <c r="H947" s="23">
        <v>5.0000000000000001E-3</v>
      </c>
      <c r="I947" s="39">
        <v>44440</v>
      </c>
      <c r="J947" s="39">
        <v>44469</v>
      </c>
      <c r="K947" s="24">
        <v>30</v>
      </c>
      <c r="L947" s="24">
        <v>3082</v>
      </c>
      <c r="M947" s="24">
        <v>7500000</v>
      </c>
      <c r="N947" s="39">
        <v>46053</v>
      </c>
    </row>
    <row r="948" spans="1:14" s="5" customFormat="1" outlineLevel="2">
      <c r="A948" s="39" t="s">
        <v>293</v>
      </c>
      <c r="B948" s="40" t="s">
        <v>58</v>
      </c>
      <c r="C948" s="41" t="s">
        <v>132</v>
      </c>
      <c r="D948" s="40" t="s">
        <v>133</v>
      </c>
      <c r="E948" s="24">
        <v>7490000</v>
      </c>
      <c r="F948" s="39">
        <v>44235</v>
      </c>
      <c r="G948" s="24">
        <v>7490000</v>
      </c>
      <c r="H948" s="23">
        <v>5.0000000000000001E-3</v>
      </c>
      <c r="I948" s="39">
        <v>44440</v>
      </c>
      <c r="J948" s="39">
        <v>44469</v>
      </c>
      <c r="K948" s="24">
        <v>30</v>
      </c>
      <c r="L948" s="24">
        <v>3078</v>
      </c>
      <c r="M948" s="24">
        <v>7490000</v>
      </c>
      <c r="N948" s="39">
        <v>46060</v>
      </c>
    </row>
    <row r="949" spans="1:14" s="5" customFormat="1" outlineLevel="2">
      <c r="A949" s="39" t="s">
        <v>293</v>
      </c>
      <c r="B949" s="40" t="s">
        <v>99</v>
      </c>
      <c r="C949" s="41" t="s">
        <v>132</v>
      </c>
      <c r="D949" s="40" t="s">
        <v>133</v>
      </c>
      <c r="E949" s="24">
        <v>6670000</v>
      </c>
      <c r="F949" s="39">
        <v>44252</v>
      </c>
      <c r="G949" s="24">
        <v>6670000</v>
      </c>
      <c r="H949" s="23">
        <v>5.0000000000000001E-3</v>
      </c>
      <c r="I949" s="39">
        <v>44440</v>
      </c>
      <c r="J949" s="39">
        <v>44469</v>
      </c>
      <c r="K949" s="24">
        <v>30</v>
      </c>
      <c r="L949" s="24">
        <v>2741</v>
      </c>
      <c r="M949" s="24">
        <v>6670000</v>
      </c>
      <c r="N949" s="39">
        <v>46077</v>
      </c>
    </row>
    <row r="950" spans="1:14" s="5" customFormat="1" outlineLevel="2">
      <c r="A950" s="39" t="s">
        <v>293</v>
      </c>
      <c r="B950" s="40" t="s">
        <v>100</v>
      </c>
      <c r="C950" s="41" t="s">
        <v>20</v>
      </c>
      <c r="D950" s="40" t="s">
        <v>21</v>
      </c>
      <c r="E950" s="24">
        <v>199200000</v>
      </c>
      <c r="F950" s="39">
        <v>44259</v>
      </c>
      <c r="G950" s="24">
        <v>199200000</v>
      </c>
      <c r="H950" s="23">
        <v>3.0000000000000001E-3</v>
      </c>
      <c r="I950" s="39">
        <v>44440</v>
      </c>
      <c r="J950" s="39">
        <v>44469</v>
      </c>
      <c r="K950" s="24">
        <v>30</v>
      </c>
      <c r="L950" s="24">
        <v>49118</v>
      </c>
      <c r="M950" s="24">
        <v>199200000</v>
      </c>
      <c r="N950" s="39">
        <v>46084</v>
      </c>
    </row>
    <row r="951" spans="1:14" s="5" customFormat="1" outlineLevel="2">
      <c r="A951" s="39" t="s">
        <v>293</v>
      </c>
      <c r="B951" s="40" t="s">
        <v>101</v>
      </c>
      <c r="C951" s="41" t="s">
        <v>294</v>
      </c>
      <c r="D951" s="40" t="s">
        <v>295</v>
      </c>
      <c r="E951" s="24">
        <v>39703444</v>
      </c>
      <c r="F951" s="39">
        <v>44270</v>
      </c>
      <c r="G951" s="24">
        <v>39703444</v>
      </c>
      <c r="H951" s="23">
        <v>5.0000000000000001E-3</v>
      </c>
      <c r="I951" s="39">
        <v>44440</v>
      </c>
      <c r="J951" s="39">
        <v>44469</v>
      </c>
      <c r="K951" s="24">
        <v>30</v>
      </c>
      <c r="L951" s="24">
        <v>16316</v>
      </c>
      <c r="M951" s="24">
        <v>39703444</v>
      </c>
      <c r="N951" s="39">
        <v>46095</v>
      </c>
    </row>
    <row r="952" spans="1:14" s="5" customFormat="1" outlineLevel="2">
      <c r="A952" s="39" t="s">
        <v>293</v>
      </c>
      <c r="B952" s="40" t="s">
        <v>102</v>
      </c>
      <c r="C952" s="41" t="s">
        <v>115</v>
      </c>
      <c r="D952" s="40" t="s">
        <v>116</v>
      </c>
      <c r="E952" s="24">
        <v>27770000</v>
      </c>
      <c r="F952" s="39">
        <v>44273</v>
      </c>
      <c r="G952" s="24">
        <v>27770000</v>
      </c>
      <c r="H952" s="23">
        <v>5.0000000000000001E-3</v>
      </c>
      <c r="I952" s="39">
        <v>44440</v>
      </c>
      <c r="J952" s="39">
        <v>44469</v>
      </c>
      <c r="K952" s="24">
        <v>30</v>
      </c>
      <c r="L952" s="24">
        <v>11412</v>
      </c>
      <c r="M952" s="24">
        <v>27770000</v>
      </c>
      <c r="N952" s="39">
        <v>46098</v>
      </c>
    </row>
    <row r="953" spans="1:14" s="5" customFormat="1" outlineLevel="2">
      <c r="A953" s="39" t="s">
        <v>293</v>
      </c>
      <c r="B953" s="40" t="s">
        <v>103</v>
      </c>
      <c r="C953" s="41" t="s">
        <v>132</v>
      </c>
      <c r="D953" s="40" t="s">
        <v>133</v>
      </c>
      <c r="E953" s="24">
        <v>2620000</v>
      </c>
      <c r="F953" s="39">
        <v>44280</v>
      </c>
      <c r="G953" s="24">
        <v>2620000</v>
      </c>
      <c r="H953" s="23">
        <v>5.0000000000000001E-3</v>
      </c>
      <c r="I953" s="39">
        <v>44440</v>
      </c>
      <c r="J953" s="39">
        <v>44469</v>
      </c>
      <c r="K953" s="24">
        <v>30</v>
      </c>
      <c r="L953" s="24">
        <v>1077</v>
      </c>
      <c r="M953" s="24">
        <v>2620000</v>
      </c>
      <c r="N953" s="39">
        <v>46105</v>
      </c>
    </row>
    <row r="954" spans="1:14" s="5" customFormat="1" outlineLevel="2">
      <c r="A954" s="39" t="s">
        <v>293</v>
      </c>
      <c r="B954" s="40" t="s">
        <v>104</v>
      </c>
      <c r="C954" s="41" t="s">
        <v>132</v>
      </c>
      <c r="D954" s="40" t="s">
        <v>133</v>
      </c>
      <c r="E954" s="24">
        <v>6350000</v>
      </c>
      <c r="F954" s="39">
        <v>44265</v>
      </c>
      <c r="G954" s="24">
        <v>6350000</v>
      </c>
      <c r="H954" s="23">
        <v>5.0000000000000001E-3</v>
      </c>
      <c r="I954" s="39">
        <v>44440</v>
      </c>
      <c r="J954" s="39">
        <v>44469</v>
      </c>
      <c r="K954" s="24">
        <v>30</v>
      </c>
      <c r="L954" s="24">
        <v>2610</v>
      </c>
      <c r="M954" s="24">
        <v>6350000</v>
      </c>
      <c r="N954" s="39">
        <v>46090</v>
      </c>
    </row>
    <row r="955" spans="1:14" s="5" customFormat="1" outlineLevel="2">
      <c r="A955" s="39" t="s">
        <v>293</v>
      </c>
      <c r="B955" s="40" t="s">
        <v>105</v>
      </c>
      <c r="C955" s="41" t="s">
        <v>132</v>
      </c>
      <c r="D955" s="40" t="s">
        <v>133</v>
      </c>
      <c r="E955" s="24">
        <v>1870000</v>
      </c>
      <c r="F955" s="39">
        <v>44280</v>
      </c>
      <c r="G955" s="24">
        <v>1870000</v>
      </c>
      <c r="H955" s="23">
        <v>5.0000000000000001E-3</v>
      </c>
      <c r="I955" s="39">
        <v>44440</v>
      </c>
      <c r="J955" s="39">
        <v>44469</v>
      </c>
      <c r="K955" s="24">
        <v>30</v>
      </c>
      <c r="L955" s="24">
        <v>768</v>
      </c>
      <c r="M955" s="24">
        <v>1870000</v>
      </c>
      <c r="N955" s="39">
        <v>46105</v>
      </c>
    </row>
    <row r="956" spans="1:14" s="5" customFormat="1" outlineLevel="2">
      <c r="A956" s="39" t="s">
        <v>293</v>
      </c>
      <c r="B956" s="40" t="s">
        <v>106</v>
      </c>
      <c r="C956" s="41" t="s">
        <v>294</v>
      </c>
      <c r="D956" s="40" t="s">
        <v>295</v>
      </c>
      <c r="E956" s="24">
        <v>72291200</v>
      </c>
      <c r="F956" s="39">
        <v>44301</v>
      </c>
      <c r="G956" s="24">
        <v>72291200</v>
      </c>
      <c r="H956" s="23">
        <v>5.0000000000000001E-3</v>
      </c>
      <c r="I956" s="39">
        <v>44440</v>
      </c>
      <c r="J956" s="39">
        <v>44469</v>
      </c>
      <c r="K956" s="24">
        <v>30</v>
      </c>
      <c r="L956" s="24">
        <v>29709</v>
      </c>
      <c r="M956" s="24">
        <v>72291200</v>
      </c>
      <c r="N956" s="39">
        <v>46126</v>
      </c>
    </row>
    <row r="957" spans="1:14" s="5" customFormat="1" outlineLevel="2">
      <c r="A957" s="39" t="s">
        <v>293</v>
      </c>
      <c r="B957" s="40" t="s">
        <v>59</v>
      </c>
      <c r="C957" s="41" t="s">
        <v>121</v>
      </c>
      <c r="D957" s="40" t="s">
        <v>122</v>
      </c>
      <c r="E957" s="24">
        <v>73000000</v>
      </c>
      <c r="F957" s="39">
        <v>43896</v>
      </c>
      <c r="G957" s="24">
        <v>73000000</v>
      </c>
      <c r="H957" s="23">
        <v>5.0000000000000001E-3</v>
      </c>
      <c r="I957" s="39">
        <v>44440</v>
      </c>
      <c r="J957" s="39">
        <v>44469</v>
      </c>
      <c r="K957" s="24">
        <v>30</v>
      </c>
      <c r="L957" s="24">
        <v>30000</v>
      </c>
      <c r="M957" s="24">
        <v>73000000</v>
      </c>
      <c r="N957" s="39">
        <v>45721</v>
      </c>
    </row>
    <row r="958" spans="1:14" s="5" customFormat="1" outlineLevel="2">
      <c r="A958" s="39" t="s">
        <v>293</v>
      </c>
      <c r="B958" s="40" t="s">
        <v>136</v>
      </c>
      <c r="C958" s="41" t="s">
        <v>132</v>
      </c>
      <c r="D958" s="40" t="s">
        <v>133</v>
      </c>
      <c r="E958" s="24">
        <v>750000</v>
      </c>
      <c r="F958" s="39">
        <v>44301</v>
      </c>
      <c r="G958" s="24">
        <v>750000</v>
      </c>
      <c r="H958" s="23">
        <v>5.0000000000000001E-3</v>
      </c>
      <c r="I958" s="39">
        <v>44440</v>
      </c>
      <c r="J958" s="39">
        <v>44469</v>
      </c>
      <c r="K958" s="24">
        <v>30</v>
      </c>
      <c r="L958" s="24">
        <v>308</v>
      </c>
      <c r="M958" s="24">
        <v>750000</v>
      </c>
      <c r="N958" s="39">
        <v>46126</v>
      </c>
    </row>
    <row r="959" spans="1:14" s="5" customFormat="1" outlineLevel="2">
      <c r="A959" s="39" t="s">
        <v>293</v>
      </c>
      <c r="B959" s="40" t="s">
        <v>137</v>
      </c>
      <c r="C959" s="41" t="s">
        <v>132</v>
      </c>
      <c r="D959" s="40" t="s">
        <v>133</v>
      </c>
      <c r="E959" s="24">
        <v>4560000</v>
      </c>
      <c r="F959" s="39">
        <v>44298</v>
      </c>
      <c r="G959" s="24">
        <v>4560000</v>
      </c>
      <c r="H959" s="23">
        <v>5.0000000000000001E-3</v>
      </c>
      <c r="I959" s="39">
        <v>44440</v>
      </c>
      <c r="J959" s="39">
        <v>44469</v>
      </c>
      <c r="K959" s="24">
        <v>30</v>
      </c>
      <c r="L959" s="24">
        <v>1874</v>
      </c>
      <c r="M959" s="24">
        <v>4560000</v>
      </c>
      <c r="N959" s="39">
        <v>46123</v>
      </c>
    </row>
    <row r="960" spans="1:14" s="5" customFormat="1" outlineLevel="2">
      <c r="A960" s="39" t="s">
        <v>293</v>
      </c>
      <c r="B960" s="40" t="s">
        <v>138</v>
      </c>
      <c r="C960" s="41" t="s">
        <v>132</v>
      </c>
      <c r="D960" s="40" t="s">
        <v>133</v>
      </c>
      <c r="E960" s="24">
        <v>10770000</v>
      </c>
      <c r="F960" s="39">
        <v>44312</v>
      </c>
      <c r="G960" s="24">
        <v>10770000</v>
      </c>
      <c r="H960" s="23">
        <v>5.0000000000000001E-3</v>
      </c>
      <c r="I960" s="39">
        <v>44440</v>
      </c>
      <c r="J960" s="39">
        <v>44469</v>
      </c>
      <c r="K960" s="24">
        <v>30</v>
      </c>
      <c r="L960" s="24">
        <v>4426</v>
      </c>
      <c r="M960" s="24">
        <v>10770000</v>
      </c>
      <c r="N960" s="39">
        <v>46137</v>
      </c>
    </row>
    <row r="961" spans="1:14" s="5" customFormat="1" outlineLevel="2">
      <c r="A961" s="39" t="s">
        <v>293</v>
      </c>
      <c r="B961" s="40" t="s">
        <v>139</v>
      </c>
      <c r="C961" s="41" t="s">
        <v>339</v>
      </c>
      <c r="D961" s="40" t="s">
        <v>338</v>
      </c>
      <c r="E961" s="24">
        <v>500000</v>
      </c>
      <c r="F961" s="39">
        <v>44293</v>
      </c>
      <c r="G961" s="24">
        <v>500000</v>
      </c>
      <c r="H961" s="23">
        <v>5.0000000000000001E-3</v>
      </c>
      <c r="I961" s="39">
        <v>44440</v>
      </c>
      <c r="J961" s="39">
        <v>44469</v>
      </c>
      <c r="K961" s="24">
        <v>30</v>
      </c>
      <c r="L961" s="24">
        <v>205</v>
      </c>
      <c r="M961" s="24">
        <v>500000</v>
      </c>
      <c r="N961" s="39">
        <v>46118</v>
      </c>
    </row>
    <row r="962" spans="1:14" s="5" customFormat="1" outlineLevel="2">
      <c r="A962" s="39" t="s">
        <v>293</v>
      </c>
      <c r="B962" s="40" t="s">
        <v>140</v>
      </c>
      <c r="C962" s="41" t="s">
        <v>294</v>
      </c>
      <c r="D962" s="40" t="s">
        <v>295</v>
      </c>
      <c r="E962" s="24">
        <v>83384000</v>
      </c>
      <c r="F962" s="39">
        <v>44333</v>
      </c>
      <c r="G962" s="24">
        <v>83384000</v>
      </c>
      <c r="H962" s="23">
        <v>5.0000000000000001E-3</v>
      </c>
      <c r="I962" s="39">
        <v>44440</v>
      </c>
      <c r="J962" s="39">
        <v>44469</v>
      </c>
      <c r="K962" s="24">
        <v>30</v>
      </c>
      <c r="L962" s="24">
        <v>34267</v>
      </c>
      <c r="M962" s="24">
        <v>83384000</v>
      </c>
      <c r="N962" s="39">
        <v>46158</v>
      </c>
    </row>
    <row r="963" spans="1:14" s="5" customFormat="1" outlineLevel="2">
      <c r="A963" s="39" t="s">
        <v>293</v>
      </c>
      <c r="B963" s="40" t="s">
        <v>169</v>
      </c>
      <c r="C963" s="41" t="s">
        <v>294</v>
      </c>
      <c r="D963" s="40" t="s">
        <v>295</v>
      </c>
      <c r="E963" s="24">
        <v>11904000</v>
      </c>
      <c r="F963" s="39">
        <v>44347</v>
      </c>
      <c r="G963" s="24">
        <v>11904000</v>
      </c>
      <c r="H963" s="23">
        <v>5.0000000000000001E-3</v>
      </c>
      <c r="I963" s="39">
        <v>44440</v>
      </c>
      <c r="J963" s="39">
        <v>44469</v>
      </c>
      <c r="K963" s="24">
        <v>30</v>
      </c>
      <c r="L963" s="24">
        <v>4892</v>
      </c>
      <c r="M963" s="24">
        <v>11904000</v>
      </c>
      <c r="N963" s="39">
        <v>46172</v>
      </c>
    </row>
    <row r="964" spans="1:14" s="5" customFormat="1" outlineLevel="2">
      <c r="A964" s="39" t="s">
        <v>293</v>
      </c>
      <c r="B964" s="40" t="s">
        <v>170</v>
      </c>
      <c r="C964" s="41" t="s">
        <v>132</v>
      </c>
      <c r="D964" s="40" t="s">
        <v>133</v>
      </c>
      <c r="E964" s="24">
        <v>1470000</v>
      </c>
      <c r="F964" s="39">
        <v>44319</v>
      </c>
      <c r="G964" s="24">
        <v>1470000</v>
      </c>
      <c r="H964" s="23">
        <v>5.0000000000000001E-3</v>
      </c>
      <c r="I964" s="39">
        <v>44440</v>
      </c>
      <c r="J964" s="39">
        <v>44469</v>
      </c>
      <c r="K964" s="24">
        <v>30</v>
      </c>
      <c r="L964" s="24">
        <v>604</v>
      </c>
      <c r="M964" s="24">
        <v>1470000</v>
      </c>
      <c r="N964" s="39">
        <v>46144</v>
      </c>
    </row>
    <row r="965" spans="1:14" s="5" customFormat="1" outlineLevel="2">
      <c r="A965" s="39" t="s">
        <v>293</v>
      </c>
      <c r="B965" s="40" t="s">
        <v>171</v>
      </c>
      <c r="C965" s="41" t="s">
        <v>132</v>
      </c>
      <c r="D965" s="40" t="s">
        <v>133</v>
      </c>
      <c r="E965" s="24">
        <v>1480000</v>
      </c>
      <c r="F965" s="39">
        <v>44341</v>
      </c>
      <c r="G965" s="24">
        <v>1480000</v>
      </c>
      <c r="H965" s="23">
        <v>5.0000000000000001E-3</v>
      </c>
      <c r="I965" s="39">
        <v>44440</v>
      </c>
      <c r="J965" s="39">
        <v>44469</v>
      </c>
      <c r="K965" s="24">
        <v>30</v>
      </c>
      <c r="L965" s="24">
        <v>608</v>
      </c>
      <c r="M965" s="24">
        <v>1480000</v>
      </c>
      <c r="N965" s="39">
        <v>46166</v>
      </c>
    </row>
    <row r="966" spans="1:14" s="5" customFormat="1" outlineLevel="2">
      <c r="A966" s="39" t="s">
        <v>293</v>
      </c>
      <c r="B966" s="40" t="s">
        <v>172</v>
      </c>
      <c r="C966" s="41" t="s">
        <v>132</v>
      </c>
      <c r="D966" s="40" t="s">
        <v>133</v>
      </c>
      <c r="E966" s="24">
        <v>6090000</v>
      </c>
      <c r="F966" s="39">
        <v>44326</v>
      </c>
      <c r="G966" s="24">
        <v>6090000</v>
      </c>
      <c r="H966" s="23">
        <v>5.0000000000000001E-3</v>
      </c>
      <c r="I966" s="39">
        <v>44440</v>
      </c>
      <c r="J966" s="39">
        <v>44469</v>
      </c>
      <c r="K966" s="24">
        <v>30</v>
      </c>
      <c r="L966" s="24">
        <v>2503</v>
      </c>
      <c r="M966" s="24">
        <v>6090000</v>
      </c>
      <c r="N966" s="39">
        <v>46151</v>
      </c>
    </row>
    <row r="967" spans="1:14" s="5" customFormat="1" outlineLevel="2">
      <c r="A967" s="39" t="s">
        <v>293</v>
      </c>
      <c r="B967" s="40" t="s">
        <v>173</v>
      </c>
      <c r="C967" s="41" t="s">
        <v>132</v>
      </c>
      <c r="D967" s="40" t="s">
        <v>133</v>
      </c>
      <c r="E967" s="24">
        <v>9220000</v>
      </c>
      <c r="F967" s="39">
        <v>44341</v>
      </c>
      <c r="G967" s="24">
        <v>9220000</v>
      </c>
      <c r="H967" s="23">
        <v>5.0000000000000001E-3</v>
      </c>
      <c r="I967" s="39">
        <v>44440</v>
      </c>
      <c r="J967" s="39">
        <v>44469</v>
      </c>
      <c r="K967" s="24">
        <v>30</v>
      </c>
      <c r="L967" s="24">
        <v>3789</v>
      </c>
      <c r="M967" s="24">
        <v>9220000</v>
      </c>
      <c r="N967" s="39">
        <v>46166</v>
      </c>
    </row>
    <row r="968" spans="1:14" s="5" customFormat="1" outlineLevel="2">
      <c r="A968" s="39" t="s">
        <v>293</v>
      </c>
      <c r="B968" s="40" t="s">
        <v>62</v>
      </c>
      <c r="C968" s="41" t="s">
        <v>55</v>
      </c>
      <c r="D968" s="40" t="s">
        <v>56</v>
      </c>
      <c r="E968" s="24">
        <v>19997321</v>
      </c>
      <c r="F968" s="39">
        <v>43948</v>
      </c>
      <c r="G968" s="24">
        <v>19997321</v>
      </c>
      <c r="H968" s="23">
        <v>5.0000000000000001E-3</v>
      </c>
      <c r="I968" s="39">
        <v>44440</v>
      </c>
      <c r="J968" s="39">
        <v>44469</v>
      </c>
      <c r="K968" s="24">
        <v>30</v>
      </c>
      <c r="L968" s="24">
        <v>8218</v>
      </c>
      <c r="M968" s="24">
        <v>19997321</v>
      </c>
      <c r="N968" s="39">
        <v>45773</v>
      </c>
    </row>
    <row r="969" spans="1:14" s="5" customFormat="1" outlineLevel="2">
      <c r="A969" s="39" t="s">
        <v>293</v>
      </c>
      <c r="B969" s="40" t="s">
        <v>174</v>
      </c>
      <c r="C969" s="41" t="s">
        <v>294</v>
      </c>
      <c r="D969" s="40" t="s">
        <v>295</v>
      </c>
      <c r="E969" s="24">
        <v>4424000</v>
      </c>
      <c r="F969" s="39">
        <v>44362</v>
      </c>
      <c r="G969" s="24">
        <v>4424000</v>
      </c>
      <c r="H969" s="23">
        <v>5.0000000000000001E-3</v>
      </c>
      <c r="I969" s="39">
        <v>44440</v>
      </c>
      <c r="J969" s="39">
        <v>44469</v>
      </c>
      <c r="K969" s="24">
        <v>30</v>
      </c>
      <c r="L969" s="24">
        <v>1818</v>
      </c>
      <c r="M969" s="24">
        <v>4424000</v>
      </c>
      <c r="N969" s="39">
        <v>46187</v>
      </c>
    </row>
    <row r="970" spans="1:14" s="5" customFormat="1" outlineLevel="2">
      <c r="A970" s="39" t="s">
        <v>293</v>
      </c>
      <c r="B970" s="40" t="s">
        <v>175</v>
      </c>
      <c r="C970" s="41" t="s">
        <v>115</v>
      </c>
      <c r="D970" s="40" t="s">
        <v>116</v>
      </c>
      <c r="E970" s="24">
        <v>17000000</v>
      </c>
      <c r="F970" s="39">
        <v>44370</v>
      </c>
      <c r="G970" s="24">
        <v>17000000</v>
      </c>
      <c r="H970" s="23">
        <v>5.0000000000000001E-3</v>
      </c>
      <c r="I970" s="39">
        <v>44440</v>
      </c>
      <c r="J970" s="39">
        <v>44469</v>
      </c>
      <c r="K970" s="24">
        <v>30</v>
      </c>
      <c r="L970" s="24">
        <v>6986</v>
      </c>
      <c r="M970" s="24">
        <v>17000000</v>
      </c>
      <c r="N970" s="39">
        <v>45465</v>
      </c>
    </row>
    <row r="971" spans="1:14" s="5" customFormat="1" outlineLevel="2">
      <c r="A971" s="39" t="s">
        <v>293</v>
      </c>
      <c r="B971" s="40" t="s">
        <v>176</v>
      </c>
      <c r="C971" s="41" t="s">
        <v>132</v>
      </c>
      <c r="D971" s="40" t="s">
        <v>133</v>
      </c>
      <c r="E971" s="24">
        <v>1420000</v>
      </c>
      <c r="F971" s="39">
        <v>44368</v>
      </c>
      <c r="G971" s="24">
        <v>1420000</v>
      </c>
      <c r="H971" s="23">
        <v>5.0000000000000001E-3</v>
      </c>
      <c r="I971" s="39">
        <v>44440</v>
      </c>
      <c r="J971" s="39">
        <v>44469</v>
      </c>
      <c r="K971" s="24">
        <v>30</v>
      </c>
      <c r="L971" s="24">
        <v>584</v>
      </c>
      <c r="M971" s="24">
        <v>1420000</v>
      </c>
      <c r="N971" s="39">
        <v>46193</v>
      </c>
    </row>
    <row r="972" spans="1:14" s="5" customFormat="1" outlineLevel="2">
      <c r="A972" s="39" t="s">
        <v>293</v>
      </c>
      <c r="B972" s="40" t="s">
        <v>177</v>
      </c>
      <c r="C972" s="41" t="s">
        <v>132</v>
      </c>
      <c r="D972" s="40" t="s">
        <v>133</v>
      </c>
      <c r="E972" s="24">
        <v>6000000</v>
      </c>
      <c r="F972" s="39">
        <v>44357</v>
      </c>
      <c r="G972" s="24">
        <v>6000000</v>
      </c>
      <c r="H972" s="23">
        <v>5.0000000000000001E-3</v>
      </c>
      <c r="I972" s="39">
        <v>44440</v>
      </c>
      <c r="J972" s="39">
        <v>44469</v>
      </c>
      <c r="K972" s="24">
        <v>30</v>
      </c>
      <c r="L972" s="24">
        <v>2466</v>
      </c>
      <c r="M972" s="24">
        <v>6000000</v>
      </c>
      <c r="N972" s="39">
        <v>46182</v>
      </c>
    </row>
    <row r="973" spans="1:14" s="5" customFormat="1" outlineLevel="2">
      <c r="A973" s="39" t="s">
        <v>293</v>
      </c>
      <c r="B973" s="40" t="s">
        <v>178</v>
      </c>
      <c r="C973" s="41" t="s">
        <v>132</v>
      </c>
      <c r="D973" s="40" t="s">
        <v>133</v>
      </c>
      <c r="E973" s="24">
        <v>760000</v>
      </c>
      <c r="F973" s="39">
        <v>44372</v>
      </c>
      <c r="G973" s="24">
        <v>760000</v>
      </c>
      <c r="H973" s="23">
        <v>5.0000000000000001E-3</v>
      </c>
      <c r="I973" s="39">
        <v>44440</v>
      </c>
      <c r="J973" s="39">
        <v>44469</v>
      </c>
      <c r="K973" s="24">
        <v>30</v>
      </c>
      <c r="L973" s="24">
        <v>312</v>
      </c>
      <c r="M973" s="24">
        <v>760000</v>
      </c>
      <c r="N973" s="39">
        <v>46197</v>
      </c>
    </row>
    <row r="974" spans="1:14" s="5" customFormat="1" outlineLevel="2">
      <c r="A974" s="39" t="s">
        <v>293</v>
      </c>
      <c r="B974" s="40" t="s">
        <v>179</v>
      </c>
      <c r="C974" s="41" t="s">
        <v>294</v>
      </c>
      <c r="D974" s="40" t="s">
        <v>295</v>
      </c>
      <c r="E974" s="24">
        <v>35516244</v>
      </c>
      <c r="F974" s="39">
        <v>44392</v>
      </c>
      <c r="G974" s="24">
        <v>35516244</v>
      </c>
      <c r="H974" s="23">
        <v>5.0000000000000001E-3</v>
      </c>
      <c r="I974" s="39">
        <v>44440</v>
      </c>
      <c r="J974" s="39">
        <v>44469</v>
      </c>
      <c r="K974" s="24">
        <v>30</v>
      </c>
      <c r="L974" s="24">
        <v>14596</v>
      </c>
      <c r="M974" s="24">
        <v>35516244</v>
      </c>
      <c r="N974" s="39">
        <v>46217</v>
      </c>
    </row>
    <row r="975" spans="1:14" s="5" customFormat="1" outlineLevel="2">
      <c r="A975" s="39" t="s">
        <v>293</v>
      </c>
      <c r="B975" s="40" t="s">
        <v>180</v>
      </c>
      <c r="C975" s="41" t="s">
        <v>132</v>
      </c>
      <c r="D975" s="40" t="s">
        <v>133</v>
      </c>
      <c r="E975" s="24">
        <v>3890000</v>
      </c>
      <c r="F975" s="39">
        <v>44382</v>
      </c>
      <c r="G975" s="24">
        <v>3890000</v>
      </c>
      <c r="H975" s="23">
        <v>5.0000000000000001E-3</v>
      </c>
      <c r="I975" s="39">
        <v>44440</v>
      </c>
      <c r="J975" s="39">
        <v>44469</v>
      </c>
      <c r="K975" s="24">
        <v>30</v>
      </c>
      <c r="L975" s="24">
        <v>1599</v>
      </c>
      <c r="M975" s="24">
        <v>3890000</v>
      </c>
      <c r="N975" s="39">
        <v>46207</v>
      </c>
    </row>
    <row r="976" spans="1:14" s="5" customFormat="1" outlineLevel="2">
      <c r="A976" s="39" t="s">
        <v>293</v>
      </c>
      <c r="B976" s="40" t="s">
        <v>181</v>
      </c>
      <c r="C976" s="41" t="s">
        <v>132</v>
      </c>
      <c r="D976" s="40" t="s">
        <v>133</v>
      </c>
      <c r="E976" s="24">
        <v>1360000</v>
      </c>
      <c r="F976" s="39">
        <v>44389</v>
      </c>
      <c r="G976" s="24">
        <v>1360000</v>
      </c>
      <c r="H976" s="23">
        <v>5.0000000000000001E-3</v>
      </c>
      <c r="I976" s="39">
        <v>44440</v>
      </c>
      <c r="J976" s="39">
        <v>44469</v>
      </c>
      <c r="K976" s="24">
        <v>30</v>
      </c>
      <c r="L976" s="24">
        <v>559</v>
      </c>
      <c r="M976" s="24">
        <v>1360000</v>
      </c>
      <c r="N976" s="39">
        <v>46214</v>
      </c>
    </row>
    <row r="977" spans="1:14" s="5" customFormat="1" outlineLevel="2">
      <c r="A977" s="39" t="s">
        <v>293</v>
      </c>
      <c r="B977" s="40" t="s">
        <v>182</v>
      </c>
      <c r="C977" s="41" t="s">
        <v>132</v>
      </c>
      <c r="D977" s="40" t="s">
        <v>133</v>
      </c>
      <c r="E977" s="24">
        <v>7190000</v>
      </c>
      <c r="F977" s="39">
        <v>44389</v>
      </c>
      <c r="G977" s="24">
        <v>7190000</v>
      </c>
      <c r="H977" s="23">
        <v>5.0000000000000001E-3</v>
      </c>
      <c r="I977" s="39">
        <v>44440</v>
      </c>
      <c r="J977" s="39">
        <v>44469</v>
      </c>
      <c r="K977" s="24">
        <v>30</v>
      </c>
      <c r="L977" s="24">
        <v>2955</v>
      </c>
      <c r="M977" s="24">
        <v>7190000</v>
      </c>
      <c r="N977" s="39">
        <v>46214</v>
      </c>
    </row>
    <row r="978" spans="1:14" s="5" customFormat="1" outlineLevel="2">
      <c r="A978" s="39" t="s">
        <v>293</v>
      </c>
      <c r="B978" s="40" t="s">
        <v>183</v>
      </c>
      <c r="C978" s="41" t="s">
        <v>132</v>
      </c>
      <c r="D978" s="40" t="s">
        <v>133</v>
      </c>
      <c r="E978" s="24">
        <v>3120000</v>
      </c>
      <c r="F978" s="39">
        <v>44403</v>
      </c>
      <c r="G978" s="24">
        <v>3120000</v>
      </c>
      <c r="H978" s="23">
        <v>5.0000000000000001E-3</v>
      </c>
      <c r="I978" s="39">
        <v>44440</v>
      </c>
      <c r="J978" s="39">
        <v>44469</v>
      </c>
      <c r="K978" s="24">
        <v>30</v>
      </c>
      <c r="L978" s="24">
        <v>1282</v>
      </c>
      <c r="M978" s="24">
        <v>3120000</v>
      </c>
      <c r="N978" s="39">
        <v>46228</v>
      </c>
    </row>
    <row r="979" spans="1:14" s="5" customFormat="1" outlineLevel="2">
      <c r="A979" s="39" t="s">
        <v>293</v>
      </c>
      <c r="B979" s="40" t="s">
        <v>63</v>
      </c>
      <c r="C979" s="41" t="s">
        <v>20</v>
      </c>
      <c r="D979" s="40" t="s">
        <v>21</v>
      </c>
      <c r="E979" s="24">
        <v>242400000</v>
      </c>
      <c r="F979" s="39">
        <v>43930</v>
      </c>
      <c r="G979" s="24">
        <v>242400000</v>
      </c>
      <c r="H979" s="23">
        <v>3.0000000000000001E-3</v>
      </c>
      <c r="I979" s="39">
        <v>44440</v>
      </c>
      <c r="J979" s="39">
        <v>44469</v>
      </c>
      <c r="K979" s="24">
        <v>30</v>
      </c>
      <c r="L979" s="24">
        <v>59770</v>
      </c>
      <c r="M979" s="24">
        <v>242400000</v>
      </c>
      <c r="N979" s="39">
        <v>45755</v>
      </c>
    </row>
    <row r="980" spans="1:14" s="5" customFormat="1" outlineLevel="2">
      <c r="A980" s="39" t="s">
        <v>293</v>
      </c>
      <c r="B980" s="40" t="s">
        <v>184</v>
      </c>
      <c r="C980" s="41" t="s">
        <v>115</v>
      </c>
      <c r="D980" s="40" t="s">
        <v>116</v>
      </c>
      <c r="E980" s="24">
        <v>12250000</v>
      </c>
      <c r="F980" s="39">
        <v>44426</v>
      </c>
      <c r="G980" s="24">
        <v>12250000</v>
      </c>
      <c r="H980" s="23">
        <v>5.0000000000000001E-3</v>
      </c>
      <c r="I980" s="39">
        <v>44440</v>
      </c>
      <c r="J980" s="39">
        <v>44469</v>
      </c>
      <c r="K980" s="24">
        <v>30</v>
      </c>
      <c r="L980" s="24">
        <v>5034</v>
      </c>
      <c r="M980" s="24">
        <v>12250000</v>
      </c>
      <c r="N980" s="39">
        <v>46251</v>
      </c>
    </row>
    <row r="981" spans="1:14" s="5" customFormat="1" outlineLevel="2">
      <c r="A981" s="39" t="s">
        <v>293</v>
      </c>
      <c r="B981" s="40" t="s">
        <v>185</v>
      </c>
      <c r="C981" s="41" t="s">
        <v>132</v>
      </c>
      <c r="D981" s="40" t="s">
        <v>133</v>
      </c>
      <c r="E981" s="24">
        <v>4750000</v>
      </c>
      <c r="F981" s="39">
        <v>44418</v>
      </c>
      <c r="G981" s="24">
        <v>4750000</v>
      </c>
      <c r="H981" s="23">
        <v>5.0000000000000001E-3</v>
      </c>
      <c r="I981" s="39">
        <v>44440</v>
      </c>
      <c r="J981" s="39">
        <v>44469</v>
      </c>
      <c r="K981" s="24">
        <v>30</v>
      </c>
      <c r="L981" s="24">
        <v>1952</v>
      </c>
      <c r="M981" s="24">
        <v>4750000</v>
      </c>
      <c r="N981" s="39">
        <v>46243</v>
      </c>
    </row>
    <row r="982" spans="1:14" s="5" customFormat="1" outlineLevel="2">
      <c r="A982" s="39" t="s">
        <v>293</v>
      </c>
      <c r="B982" s="40" t="s">
        <v>186</v>
      </c>
      <c r="C982" s="41" t="s">
        <v>132</v>
      </c>
      <c r="D982" s="40" t="s">
        <v>133</v>
      </c>
      <c r="E982" s="24">
        <v>1750000</v>
      </c>
      <c r="F982" s="39">
        <v>44418</v>
      </c>
      <c r="G982" s="24">
        <v>1750000</v>
      </c>
      <c r="H982" s="23">
        <v>5.0000000000000001E-3</v>
      </c>
      <c r="I982" s="39">
        <v>44440</v>
      </c>
      <c r="J982" s="39">
        <v>44469</v>
      </c>
      <c r="K982" s="24">
        <v>30</v>
      </c>
      <c r="L982" s="24">
        <v>719</v>
      </c>
      <c r="M982" s="24">
        <v>1750000</v>
      </c>
      <c r="N982" s="39">
        <v>46243</v>
      </c>
    </row>
    <row r="983" spans="1:14" s="5" customFormat="1" outlineLevel="2">
      <c r="A983" s="39" t="s">
        <v>293</v>
      </c>
      <c r="B983" s="40" t="s">
        <v>189</v>
      </c>
      <c r="C983" s="41" t="s">
        <v>294</v>
      </c>
      <c r="D983" s="40" t="s">
        <v>295</v>
      </c>
      <c r="E983" s="24">
        <v>80418236</v>
      </c>
      <c r="F983" s="39">
        <v>44454</v>
      </c>
      <c r="G983" s="24">
        <v>80418236</v>
      </c>
      <c r="H983" s="23">
        <v>5.0000000000000001E-3</v>
      </c>
      <c r="I983" s="39">
        <v>44454</v>
      </c>
      <c r="J983" s="39">
        <v>44469</v>
      </c>
      <c r="K983" s="24">
        <v>16</v>
      </c>
      <c r="L983" s="24">
        <v>17626</v>
      </c>
      <c r="M983" s="24">
        <v>80418236</v>
      </c>
      <c r="N983" s="39">
        <v>46279</v>
      </c>
    </row>
    <row r="984" spans="1:14" s="5" customFormat="1" outlineLevel="2">
      <c r="A984" s="39" t="s">
        <v>293</v>
      </c>
      <c r="B984" s="40" t="s">
        <v>190</v>
      </c>
      <c r="C984" s="41" t="s">
        <v>294</v>
      </c>
      <c r="D984" s="40" t="s">
        <v>295</v>
      </c>
      <c r="E984" s="24">
        <v>39822560</v>
      </c>
      <c r="F984" s="39">
        <v>44452</v>
      </c>
      <c r="G984" s="24">
        <v>39822560</v>
      </c>
      <c r="H984" s="23">
        <v>5.0000000000000001E-3</v>
      </c>
      <c r="I984" s="39">
        <v>44452</v>
      </c>
      <c r="J984" s="39">
        <v>44469</v>
      </c>
      <c r="K984" s="24">
        <v>18</v>
      </c>
      <c r="L984" s="24">
        <v>9819</v>
      </c>
      <c r="M984" s="24">
        <v>39822560</v>
      </c>
      <c r="N984" s="39">
        <v>46277</v>
      </c>
    </row>
    <row r="985" spans="1:14" s="5" customFormat="1" outlineLevel="2">
      <c r="A985" s="39" t="s">
        <v>293</v>
      </c>
      <c r="B985" s="40" t="s">
        <v>191</v>
      </c>
      <c r="C985" s="41" t="s">
        <v>132</v>
      </c>
      <c r="D985" s="40" t="s">
        <v>133</v>
      </c>
      <c r="E985" s="24">
        <v>3720000</v>
      </c>
      <c r="F985" s="39">
        <v>44440</v>
      </c>
      <c r="G985" s="24">
        <v>3720000</v>
      </c>
      <c r="H985" s="23">
        <v>5.0000000000000001E-3</v>
      </c>
      <c r="I985" s="39">
        <v>44440</v>
      </c>
      <c r="J985" s="39">
        <v>44469</v>
      </c>
      <c r="K985" s="24">
        <v>30</v>
      </c>
      <c r="L985" s="24">
        <v>1529</v>
      </c>
      <c r="M985" s="24">
        <v>3720000</v>
      </c>
      <c r="N985" s="39">
        <v>46265</v>
      </c>
    </row>
    <row r="986" spans="1:14" s="5" customFormat="1" outlineLevel="2">
      <c r="A986" s="39" t="s">
        <v>293</v>
      </c>
      <c r="B986" s="40" t="s">
        <v>64</v>
      </c>
      <c r="C986" s="41" t="s">
        <v>20</v>
      </c>
      <c r="D986" s="40" t="s">
        <v>21</v>
      </c>
      <c r="E986" s="24">
        <v>156000000</v>
      </c>
      <c r="F986" s="39">
        <v>43958</v>
      </c>
      <c r="G986" s="24">
        <v>156000000</v>
      </c>
      <c r="H986" s="23">
        <v>3.0000000000000001E-3</v>
      </c>
      <c r="I986" s="39">
        <v>44440</v>
      </c>
      <c r="J986" s="39">
        <v>44469</v>
      </c>
      <c r="K986" s="24">
        <v>30</v>
      </c>
      <c r="L986" s="24">
        <v>38466</v>
      </c>
      <c r="M986" s="24">
        <v>156000000</v>
      </c>
      <c r="N986" s="39">
        <v>45783</v>
      </c>
    </row>
    <row r="987" spans="1:14" s="5" customFormat="1" outlineLevel="2">
      <c r="A987" s="39" t="s">
        <v>293</v>
      </c>
      <c r="B987" s="40" t="s">
        <v>65</v>
      </c>
      <c r="C987" s="41" t="s">
        <v>294</v>
      </c>
      <c r="D987" s="40" t="s">
        <v>295</v>
      </c>
      <c r="E987" s="24">
        <v>33840000</v>
      </c>
      <c r="F987" s="39">
        <v>43986</v>
      </c>
      <c r="G987" s="24">
        <v>33840000</v>
      </c>
      <c r="H987" s="23">
        <v>5.0000000000000001E-3</v>
      </c>
      <c r="I987" s="39">
        <v>44440</v>
      </c>
      <c r="J987" s="39">
        <v>44469</v>
      </c>
      <c r="K987" s="24">
        <v>30</v>
      </c>
      <c r="L987" s="24">
        <v>13907</v>
      </c>
      <c r="M987" s="24">
        <v>33840000</v>
      </c>
      <c r="N987" s="39">
        <v>45811</v>
      </c>
    </row>
    <row r="988" spans="1:14" s="5" customFormat="1" outlineLevel="2">
      <c r="A988" s="39" t="s">
        <v>293</v>
      </c>
      <c r="B988" s="40" t="s">
        <v>68</v>
      </c>
      <c r="C988" s="41" t="s">
        <v>294</v>
      </c>
      <c r="D988" s="40" t="s">
        <v>295</v>
      </c>
      <c r="E988" s="24">
        <v>134396612</v>
      </c>
      <c r="F988" s="39">
        <v>43986</v>
      </c>
      <c r="G988" s="24">
        <v>134396612</v>
      </c>
      <c r="H988" s="23">
        <v>5.0000000000000001E-3</v>
      </c>
      <c r="I988" s="39">
        <v>44440</v>
      </c>
      <c r="J988" s="39">
        <v>44469</v>
      </c>
      <c r="K988" s="24">
        <v>30</v>
      </c>
      <c r="L988" s="24">
        <v>55231</v>
      </c>
      <c r="M988" s="24">
        <v>134396612</v>
      </c>
      <c r="N988" s="39">
        <v>45811</v>
      </c>
    </row>
    <row r="989" spans="1:14" s="5" customFormat="1" outlineLevel="1">
      <c r="A989" s="42" t="s">
        <v>296</v>
      </c>
      <c r="B989" s="43"/>
      <c r="C989" s="44"/>
      <c r="D989" s="43"/>
      <c r="E989" s="45">
        <v>2478582383</v>
      </c>
      <c r="F989" s="46"/>
      <c r="G989" s="45"/>
      <c r="H989" s="47"/>
      <c r="I989" s="46"/>
      <c r="J989" s="46"/>
      <c r="K989" s="45"/>
      <c r="L989" s="45">
        <v>862825</v>
      </c>
      <c r="M989" s="45">
        <v>2472530444</v>
      </c>
      <c r="N989" s="46"/>
    </row>
    <row r="990" spans="1:14" s="17" customFormat="1" ht="19.5" outlineLevel="1">
      <c r="A990" s="11"/>
      <c r="B990" s="12"/>
      <c r="C990" s="13"/>
      <c r="D990" s="12"/>
      <c r="E990" s="14"/>
      <c r="F990" s="15"/>
      <c r="G990" s="14"/>
      <c r="H990" s="16"/>
      <c r="I990" s="15"/>
      <c r="J990" s="15"/>
      <c r="K990" s="14"/>
      <c r="L990" s="14"/>
      <c r="M990" s="14"/>
      <c r="N990" s="15"/>
    </row>
    <row r="991" spans="1:14" s="5" customFormat="1" ht="19.5">
      <c r="A991" s="9" t="s">
        <v>297</v>
      </c>
      <c r="B991" s="6"/>
      <c r="C991" s="7"/>
      <c r="D991" s="6"/>
      <c r="E991" s="8">
        <v>34627197019</v>
      </c>
      <c r="F991" s="9"/>
      <c r="G991" s="8"/>
      <c r="H991" s="10"/>
      <c r="I991" s="9"/>
      <c r="J991" s="9"/>
      <c r="K991" s="8"/>
      <c r="L991" s="8">
        <v>12475502</v>
      </c>
      <c r="M991" s="8">
        <v>34239224582</v>
      </c>
      <c r="N991" s="9"/>
    </row>
    <row r="993" spans="1:9" ht="19.5">
      <c r="A993" s="18" t="s">
        <v>298</v>
      </c>
      <c r="B993" s="18"/>
      <c r="E993" s="19" t="s">
        <v>299</v>
      </c>
      <c r="G993" s="1"/>
      <c r="H993" s="20" t="s">
        <v>300</v>
      </c>
      <c r="I993" s="21"/>
    </row>
  </sheetData>
  <autoFilter ref="A3:M989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333D-2633-49D7-A508-C2DC1C8B3A90}">
  <dimension ref="A1:N1059"/>
  <sheetViews>
    <sheetView zoomScaleNormal="100" workbookViewId="0">
      <selection activeCell="D11" sqref="D11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1.62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9.75" style="1" bestFit="1" customWidth="1"/>
    <col min="11" max="11" width="10.375" style="1" bestFit="1" customWidth="1"/>
    <col min="12" max="12" width="16.125" style="2" bestFit="1" customWidth="1"/>
    <col min="13" max="13" width="21.625" style="1" bestFit="1" customWidth="1"/>
    <col min="14" max="14" width="9.75" style="1" bestFit="1" customWidth="1"/>
    <col min="15" max="16384" width="5.375" style="1"/>
  </cols>
  <sheetData>
    <row r="1" spans="1:14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7"/>
      <c r="B2" s="28" t="s">
        <v>0</v>
      </c>
      <c r="C2" s="29">
        <v>44500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  <c r="N2" s="27"/>
    </row>
    <row r="3" spans="1:14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  <c r="N3" s="22" t="s">
        <v>423</v>
      </c>
    </row>
    <row r="4" spans="1:14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44470</v>
      </c>
      <c r="J4" s="39">
        <v>44500</v>
      </c>
      <c r="K4" s="24">
        <f t="shared" ref="K4:K35" si="0">J4-I4+1</f>
        <v>31</v>
      </c>
      <c r="L4" s="24">
        <f t="shared" ref="L4:L35" si="1">ROUND(G4*H4*K4/365,0)</f>
        <v>69007</v>
      </c>
      <c r="M4" s="24">
        <v>162500000</v>
      </c>
      <c r="N4" s="39">
        <v>45678</v>
      </c>
    </row>
    <row r="5" spans="1:14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44470</v>
      </c>
      <c r="J5" s="39">
        <v>44500</v>
      </c>
      <c r="K5" s="24">
        <f t="shared" si="0"/>
        <v>31</v>
      </c>
      <c r="L5" s="24">
        <f t="shared" si="1"/>
        <v>612</v>
      </c>
      <c r="M5" s="24">
        <v>2400000</v>
      </c>
      <c r="N5" s="39">
        <v>45783</v>
      </c>
    </row>
    <row r="6" spans="1:14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44470</v>
      </c>
      <c r="J6" s="39">
        <v>44500</v>
      </c>
      <c r="K6" s="24">
        <f t="shared" si="0"/>
        <v>31</v>
      </c>
      <c r="L6" s="24">
        <f t="shared" si="1"/>
        <v>3130</v>
      </c>
      <c r="M6" s="24">
        <v>7370000</v>
      </c>
      <c r="N6" s="39">
        <v>45822</v>
      </c>
    </row>
    <row r="7" spans="1:14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44470</v>
      </c>
      <c r="J7" s="39">
        <v>44500</v>
      </c>
      <c r="K7" s="24">
        <f t="shared" si="0"/>
        <v>31</v>
      </c>
      <c r="L7" s="24">
        <f t="shared" si="1"/>
        <v>2501</v>
      </c>
      <c r="M7" s="24">
        <v>5890000</v>
      </c>
      <c r="N7" s="39">
        <v>45815</v>
      </c>
    </row>
    <row r="8" spans="1:14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44470</v>
      </c>
      <c r="J8" s="39">
        <v>44500</v>
      </c>
      <c r="K8" s="24">
        <f t="shared" si="0"/>
        <v>31</v>
      </c>
      <c r="L8" s="24">
        <f t="shared" si="1"/>
        <v>1282</v>
      </c>
      <c r="M8" s="24">
        <v>3020000</v>
      </c>
      <c r="N8" s="39">
        <v>45852</v>
      </c>
    </row>
    <row r="9" spans="1:14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44470</v>
      </c>
      <c r="J9" s="39">
        <v>44500</v>
      </c>
      <c r="K9" s="24">
        <f t="shared" si="0"/>
        <v>31</v>
      </c>
      <c r="L9" s="24">
        <f t="shared" si="1"/>
        <v>35926</v>
      </c>
      <c r="M9" s="24">
        <v>84600000</v>
      </c>
      <c r="N9" s="39">
        <v>45839</v>
      </c>
    </row>
    <row r="10" spans="1:14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44470</v>
      </c>
      <c r="J10" s="39">
        <v>44500</v>
      </c>
      <c r="K10" s="24">
        <f t="shared" si="0"/>
        <v>31</v>
      </c>
      <c r="L10" s="24">
        <f t="shared" si="1"/>
        <v>25479</v>
      </c>
      <c r="M10" s="24">
        <v>60000000</v>
      </c>
      <c r="N10" s="39">
        <v>45859</v>
      </c>
    </row>
    <row r="11" spans="1:14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44470</v>
      </c>
      <c r="J11" s="39">
        <v>44500</v>
      </c>
      <c r="K11" s="24">
        <f t="shared" si="0"/>
        <v>31</v>
      </c>
      <c r="L11" s="24">
        <f t="shared" si="1"/>
        <v>41277</v>
      </c>
      <c r="M11" s="24">
        <v>162000000</v>
      </c>
      <c r="N11" s="39">
        <v>45847</v>
      </c>
    </row>
    <row r="12" spans="1:14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44470</v>
      </c>
      <c r="J12" s="39">
        <v>44500</v>
      </c>
      <c r="K12" s="24">
        <f t="shared" si="0"/>
        <v>31</v>
      </c>
      <c r="L12" s="24">
        <f t="shared" si="1"/>
        <v>1761</v>
      </c>
      <c r="M12" s="24">
        <v>4147000</v>
      </c>
      <c r="N12" s="39">
        <v>45896</v>
      </c>
    </row>
    <row r="13" spans="1:14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44470</v>
      </c>
      <c r="J13" s="39">
        <v>44500</v>
      </c>
      <c r="K13" s="24">
        <f t="shared" si="0"/>
        <v>31</v>
      </c>
      <c r="L13" s="24">
        <f t="shared" si="1"/>
        <v>314</v>
      </c>
      <c r="M13" s="24">
        <v>740000</v>
      </c>
      <c r="N13" s="39">
        <v>45900</v>
      </c>
    </row>
    <row r="14" spans="1:14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44470</v>
      </c>
      <c r="J14" s="39">
        <v>44500</v>
      </c>
      <c r="K14" s="24">
        <f t="shared" si="0"/>
        <v>31</v>
      </c>
      <c r="L14" s="24">
        <f t="shared" si="1"/>
        <v>74838</v>
      </c>
      <c r="M14" s="24">
        <v>176232000</v>
      </c>
      <c r="N14" s="39">
        <v>45906</v>
      </c>
    </row>
    <row r="15" spans="1:14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44470</v>
      </c>
      <c r="J15" s="39">
        <v>44500</v>
      </c>
      <c r="K15" s="24">
        <f t="shared" si="0"/>
        <v>31</v>
      </c>
      <c r="L15" s="24">
        <f t="shared" si="1"/>
        <v>2731</v>
      </c>
      <c r="M15" s="24">
        <v>6430000</v>
      </c>
      <c r="N15" s="39">
        <v>45745</v>
      </c>
    </row>
    <row r="16" spans="1:14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44470</v>
      </c>
      <c r="J16" s="39">
        <v>44500</v>
      </c>
      <c r="K16" s="24">
        <f t="shared" si="0"/>
        <v>31</v>
      </c>
      <c r="L16" s="24">
        <f t="shared" si="1"/>
        <v>2293</v>
      </c>
      <c r="M16" s="24">
        <v>5400000</v>
      </c>
      <c r="N16" s="39">
        <v>45928</v>
      </c>
    </row>
    <row r="17" spans="1:14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44470</v>
      </c>
      <c r="J17" s="39">
        <v>44500</v>
      </c>
      <c r="K17" s="24">
        <f t="shared" si="0"/>
        <v>31</v>
      </c>
      <c r="L17" s="24">
        <f t="shared" si="1"/>
        <v>161</v>
      </c>
      <c r="M17" s="24">
        <v>380000</v>
      </c>
      <c r="N17" s="39">
        <v>45941</v>
      </c>
    </row>
    <row r="18" spans="1:14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44470</v>
      </c>
      <c r="J18" s="39">
        <v>44500</v>
      </c>
      <c r="K18" s="24">
        <f t="shared" si="0"/>
        <v>31</v>
      </c>
      <c r="L18" s="24">
        <f t="shared" si="1"/>
        <v>1019</v>
      </c>
      <c r="M18" s="24">
        <v>2400000</v>
      </c>
      <c r="N18" s="39">
        <v>45948</v>
      </c>
    </row>
    <row r="19" spans="1:14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44470</v>
      </c>
      <c r="J19" s="39">
        <v>44500</v>
      </c>
      <c r="K19" s="24">
        <f t="shared" si="0"/>
        <v>31</v>
      </c>
      <c r="L19" s="24">
        <f t="shared" si="1"/>
        <v>425</v>
      </c>
      <c r="M19" s="24">
        <v>1000000</v>
      </c>
      <c r="N19" s="39">
        <v>45956</v>
      </c>
    </row>
    <row r="20" spans="1:14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44470</v>
      </c>
      <c r="J20" s="39">
        <v>44500</v>
      </c>
      <c r="K20" s="24">
        <f t="shared" si="0"/>
        <v>31</v>
      </c>
      <c r="L20" s="24">
        <f t="shared" si="1"/>
        <v>4247</v>
      </c>
      <c r="M20" s="24">
        <v>10000000</v>
      </c>
      <c r="N20" s="39">
        <v>45945</v>
      </c>
    </row>
    <row r="21" spans="1:14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44470</v>
      </c>
      <c r="J21" s="39">
        <v>44500</v>
      </c>
      <c r="K21" s="24">
        <f t="shared" si="0"/>
        <v>31</v>
      </c>
      <c r="L21" s="24">
        <f t="shared" si="1"/>
        <v>106164</v>
      </c>
      <c r="M21" s="24">
        <v>250000000</v>
      </c>
      <c r="N21" s="39">
        <v>45972</v>
      </c>
    </row>
    <row r="22" spans="1:14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44470</v>
      </c>
      <c r="J22" s="39">
        <v>44500</v>
      </c>
      <c r="K22" s="24">
        <f t="shared" si="0"/>
        <v>31</v>
      </c>
      <c r="L22" s="24">
        <f t="shared" si="1"/>
        <v>84932</v>
      </c>
      <c r="M22" s="24">
        <v>200000000</v>
      </c>
      <c r="N22" s="39">
        <v>45972</v>
      </c>
    </row>
    <row r="23" spans="1:14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44470</v>
      </c>
      <c r="J23" s="39">
        <v>44500</v>
      </c>
      <c r="K23" s="24">
        <f t="shared" si="0"/>
        <v>31</v>
      </c>
      <c r="L23" s="24">
        <f t="shared" si="1"/>
        <v>3652</v>
      </c>
      <c r="M23" s="24">
        <v>8600000</v>
      </c>
      <c r="N23" s="39">
        <v>45980</v>
      </c>
    </row>
    <row r="24" spans="1:14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44470</v>
      </c>
      <c r="J24" s="39">
        <v>44500</v>
      </c>
      <c r="K24" s="24">
        <f t="shared" si="0"/>
        <v>31</v>
      </c>
      <c r="L24" s="24">
        <f t="shared" si="1"/>
        <v>704</v>
      </c>
      <c r="M24" s="24">
        <v>1657000</v>
      </c>
      <c r="N24" s="39">
        <v>45985</v>
      </c>
    </row>
    <row r="25" spans="1:14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44470</v>
      </c>
      <c r="J25" s="39">
        <v>44500</v>
      </c>
      <c r="K25" s="24">
        <f t="shared" si="0"/>
        <v>31</v>
      </c>
      <c r="L25" s="24">
        <f t="shared" si="1"/>
        <v>849</v>
      </c>
      <c r="M25" s="24">
        <v>2000000</v>
      </c>
      <c r="N25" s="39">
        <v>46013</v>
      </c>
    </row>
    <row r="26" spans="1:14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44470</v>
      </c>
      <c r="J26" s="39">
        <v>44500</v>
      </c>
      <c r="K26" s="24">
        <f t="shared" si="0"/>
        <v>31</v>
      </c>
      <c r="L26" s="24">
        <f t="shared" si="1"/>
        <v>12145</v>
      </c>
      <c r="M26" s="24">
        <v>28600000</v>
      </c>
      <c r="N26" s="39">
        <v>45746</v>
      </c>
    </row>
    <row r="27" spans="1:14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44470</v>
      </c>
      <c r="J27" s="39">
        <v>44500</v>
      </c>
      <c r="K27" s="24">
        <f t="shared" si="0"/>
        <v>31</v>
      </c>
      <c r="L27" s="24">
        <f t="shared" si="1"/>
        <v>255</v>
      </c>
      <c r="M27" s="24">
        <v>600000</v>
      </c>
      <c r="N27" s="39">
        <v>46025</v>
      </c>
    </row>
    <row r="28" spans="1:14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44470</v>
      </c>
      <c r="J28" s="39">
        <v>44500</v>
      </c>
      <c r="K28" s="24">
        <f t="shared" si="0"/>
        <v>31</v>
      </c>
      <c r="L28" s="24">
        <f t="shared" si="1"/>
        <v>15288</v>
      </c>
      <c r="M28" s="24">
        <v>60000000</v>
      </c>
      <c r="N28" s="39">
        <v>46042</v>
      </c>
    </row>
    <row r="29" spans="1:14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44470</v>
      </c>
      <c r="J29" s="39">
        <v>44500</v>
      </c>
      <c r="K29" s="24">
        <f t="shared" si="0"/>
        <v>31</v>
      </c>
      <c r="L29" s="24">
        <f t="shared" si="1"/>
        <v>33973</v>
      </c>
      <c r="M29" s="24">
        <v>80000000</v>
      </c>
      <c r="N29" s="39">
        <v>46095</v>
      </c>
    </row>
    <row r="30" spans="1:14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44470</v>
      </c>
      <c r="J30" s="39">
        <v>44500</v>
      </c>
      <c r="K30" s="24">
        <f t="shared" si="0"/>
        <v>31</v>
      </c>
      <c r="L30" s="24">
        <f t="shared" si="1"/>
        <v>55205</v>
      </c>
      <c r="M30" s="24">
        <v>130000000</v>
      </c>
      <c r="N30" s="39">
        <v>46095</v>
      </c>
    </row>
    <row r="31" spans="1:14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44470</v>
      </c>
      <c r="J31" s="39">
        <v>44500</v>
      </c>
      <c r="K31" s="24">
        <f t="shared" si="0"/>
        <v>31</v>
      </c>
      <c r="L31" s="24">
        <f t="shared" si="1"/>
        <v>35633</v>
      </c>
      <c r="M31" s="24">
        <v>83911000</v>
      </c>
      <c r="N31" s="39">
        <v>46110</v>
      </c>
    </row>
    <row r="32" spans="1:14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13271185</v>
      </c>
      <c r="H32" s="23">
        <v>5.0000000000000001E-3</v>
      </c>
      <c r="I32" s="39">
        <v>44470</v>
      </c>
      <c r="J32" s="39">
        <v>44483</v>
      </c>
      <c r="K32" s="24">
        <f t="shared" si="0"/>
        <v>14</v>
      </c>
      <c r="L32" s="24">
        <f t="shared" si="1"/>
        <v>2545</v>
      </c>
      <c r="M32" s="24">
        <v>13025422</v>
      </c>
      <c r="N32" s="39">
        <v>46126</v>
      </c>
    </row>
    <row r="33" spans="1:14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13025422</v>
      </c>
      <c r="H33" s="23">
        <v>5.0000000000000001E-3</v>
      </c>
      <c r="I33" s="39">
        <v>44484</v>
      </c>
      <c r="J33" s="39">
        <v>44500</v>
      </c>
      <c r="K33" s="24">
        <f t="shared" si="0"/>
        <v>17</v>
      </c>
      <c r="L33" s="24">
        <f t="shared" si="1"/>
        <v>3033</v>
      </c>
      <c r="M33" s="24"/>
      <c r="N33" s="39">
        <v>46126</v>
      </c>
    </row>
    <row r="34" spans="1:14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44470</v>
      </c>
      <c r="J34" s="39">
        <v>44500</v>
      </c>
      <c r="K34" s="24">
        <f t="shared" si="0"/>
        <v>31</v>
      </c>
      <c r="L34" s="24">
        <f t="shared" si="1"/>
        <v>52590</v>
      </c>
      <c r="M34" s="24">
        <v>206400000</v>
      </c>
      <c r="N34" s="39">
        <v>46119</v>
      </c>
    </row>
    <row r="35" spans="1:14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44470</v>
      </c>
      <c r="J35" s="39">
        <v>44500</v>
      </c>
      <c r="K35" s="24">
        <f t="shared" si="0"/>
        <v>31</v>
      </c>
      <c r="L35" s="24">
        <f t="shared" si="1"/>
        <v>8319</v>
      </c>
      <c r="M35" s="24">
        <v>19590000</v>
      </c>
      <c r="N35" s="39">
        <v>46172</v>
      </c>
    </row>
    <row r="36" spans="1:14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44470</v>
      </c>
      <c r="J36" s="39">
        <v>44500</v>
      </c>
      <c r="K36" s="24">
        <f t="shared" ref="K36:K67" si="2">J36-I36+1</f>
        <v>31</v>
      </c>
      <c r="L36" s="24">
        <f t="shared" ref="L36:L67" si="3">ROUND(G36*H36*K36/365,0)</f>
        <v>7219</v>
      </c>
      <c r="M36" s="24">
        <v>17000000</v>
      </c>
      <c r="N36" s="39">
        <v>46155</v>
      </c>
    </row>
    <row r="37" spans="1:14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44470</v>
      </c>
      <c r="J37" s="39">
        <v>44500</v>
      </c>
      <c r="K37" s="24">
        <f t="shared" si="2"/>
        <v>31</v>
      </c>
      <c r="L37" s="24">
        <f t="shared" si="3"/>
        <v>13547</v>
      </c>
      <c r="M37" s="24">
        <v>31900000</v>
      </c>
      <c r="N37" s="39">
        <v>46202</v>
      </c>
    </row>
    <row r="38" spans="1:14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44470</v>
      </c>
      <c r="J38" s="39">
        <v>44500</v>
      </c>
      <c r="K38" s="24">
        <f t="shared" si="2"/>
        <v>31</v>
      </c>
      <c r="L38" s="24">
        <f t="shared" si="3"/>
        <v>8493</v>
      </c>
      <c r="M38" s="24">
        <v>20000000</v>
      </c>
      <c r="N38" s="39">
        <v>45747</v>
      </c>
    </row>
    <row r="39" spans="1:14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44470</v>
      </c>
      <c r="J39" s="39">
        <v>44500</v>
      </c>
      <c r="K39" s="24">
        <f t="shared" si="2"/>
        <v>31</v>
      </c>
      <c r="L39" s="24">
        <f t="shared" si="3"/>
        <v>1851</v>
      </c>
      <c r="M39" s="24">
        <v>4359000</v>
      </c>
      <c r="N39" s="39">
        <v>46196</v>
      </c>
    </row>
    <row r="40" spans="1:14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44470</v>
      </c>
      <c r="J40" s="39">
        <v>44500</v>
      </c>
      <c r="K40" s="24">
        <f t="shared" si="2"/>
        <v>31</v>
      </c>
      <c r="L40" s="24">
        <f t="shared" si="3"/>
        <v>33021</v>
      </c>
      <c r="M40" s="24">
        <v>129600000</v>
      </c>
      <c r="N40" s="39">
        <v>46230</v>
      </c>
    </row>
    <row r="41" spans="1:14" s="5" customFormat="1" outlineLevel="2">
      <c r="A41" s="39" t="s">
        <v>15</v>
      </c>
      <c r="B41" s="40" t="s">
        <v>138</v>
      </c>
      <c r="C41" s="41" t="s">
        <v>45</v>
      </c>
      <c r="D41" s="40" t="s">
        <v>46</v>
      </c>
      <c r="E41" s="24">
        <v>50000000</v>
      </c>
      <c r="F41" s="39">
        <v>44432</v>
      </c>
      <c r="G41" s="24">
        <v>50000000</v>
      </c>
      <c r="H41" s="23">
        <v>5.0000000000000001E-3</v>
      </c>
      <c r="I41" s="39">
        <v>44470</v>
      </c>
      <c r="J41" s="39">
        <v>44500</v>
      </c>
      <c r="K41" s="24">
        <f t="shared" si="2"/>
        <v>31</v>
      </c>
      <c r="L41" s="24">
        <f t="shared" si="3"/>
        <v>21233</v>
      </c>
      <c r="M41" s="24">
        <v>50000000</v>
      </c>
      <c r="N41" s="39">
        <v>46257</v>
      </c>
    </row>
    <row r="42" spans="1:14" s="5" customFormat="1" outlineLevel="2">
      <c r="A42" s="39" t="s">
        <v>15</v>
      </c>
      <c r="B42" s="40" t="s">
        <v>139</v>
      </c>
      <c r="C42" s="41" t="s">
        <v>37</v>
      </c>
      <c r="D42" s="40" t="s">
        <v>38</v>
      </c>
      <c r="E42" s="24">
        <v>64569000</v>
      </c>
      <c r="F42" s="39">
        <v>44461</v>
      </c>
      <c r="G42" s="24">
        <v>64569000</v>
      </c>
      <c r="H42" s="23">
        <v>5.0000000000000001E-3</v>
      </c>
      <c r="I42" s="39">
        <v>44470</v>
      </c>
      <c r="J42" s="39">
        <v>44500</v>
      </c>
      <c r="K42" s="24">
        <f t="shared" si="2"/>
        <v>31</v>
      </c>
      <c r="L42" s="24">
        <f t="shared" si="3"/>
        <v>27420</v>
      </c>
      <c r="M42" s="24">
        <v>64569000</v>
      </c>
      <c r="N42" s="39">
        <v>46286</v>
      </c>
    </row>
    <row r="43" spans="1:14" s="5" customFormat="1" outlineLevel="2">
      <c r="A43" s="39" t="s">
        <v>15</v>
      </c>
      <c r="B43" s="40" t="s">
        <v>140</v>
      </c>
      <c r="C43" s="41" t="s">
        <v>37</v>
      </c>
      <c r="D43" s="40" t="s">
        <v>38</v>
      </c>
      <c r="E43" s="24">
        <v>248976000</v>
      </c>
      <c r="F43" s="39">
        <v>44461</v>
      </c>
      <c r="G43" s="24">
        <v>248976000</v>
      </c>
      <c r="H43" s="23">
        <v>5.0000000000000001E-3</v>
      </c>
      <c r="I43" s="39">
        <v>44470</v>
      </c>
      <c r="J43" s="39">
        <v>44500</v>
      </c>
      <c r="K43" s="24">
        <f t="shared" si="2"/>
        <v>31</v>
      </c>
      <c r="L43" s="24">
        <f t="shared" si="3"/>
        <v>105730</v>
      </c>
      <c r="M43" s="24">
        <v>248976000</v>
      </c>
      <c r="N43" s="39">
        <v>46286</v>
      </c>
    </row>
    <row r="44" spans="1:14" s="5" customFormat="1" outlineLevel="2">
      <c r="A44" s="39" t="s">
        <v>15</v>
      </c>
      <c r="B44" s="40" t="s">
        <v>169</v>
      </c>
      <c r="C44" s="41" t="s">
        <v>17</v>
      </c>
      <c r="D44" s="40" t="s">
        <v>18</v>
      </c>
      <c r="E44" s="24">
        <v>7938000</v>
      </c>
      <c r="F44" s="39">
        <v>44462</v>
      </c>
      <c r="G44" s="24">
        <v>7938000</v>
      </c>
      <c r="H44" s="23">
        <v>5.0000000000000001E-3</v>
      </c>
      <c r="I44" s="39">
        <v>44470</v>
      </c>
      <c r="J44" s="39">
        <v>44500</v>
      </c>
      <c r="K44" s="24">
        <f t="shared" si="2"/>
        <v>31</v>
      </c>
      <c r="L44" s="24">
        <f t="shared" si="3"/>
        <v>3371</v>
      </c>
      <c r="M44" s="24">
        <v>7938000</v>
      </c>
      <c r="N44" s="39">
        <v>46287</v>
      </c>
    </row>
    <row r="45" spans="1:14" s="5" customFormat="1" outlineLevel="2">
      <c r="A45" s="39" t="s">
        <v>15</v>
      </c>
      <c r="B45" s="40" t="s">
        <v>170</v>
      </c>
      <c r="C45" s="41" t="s">
        <v>365</v>
      </c>
      <c r="D45" s="40" t="s">
        <v>364</v>
      </c>
      <c r="E45" s="24">
        <v>13200000</v>
      </c>
      <c r="F45" s="39">
        <v>44484</v>
      </c>
      <c r="G45" s="24">
        <v>13200000</v>
      </c>
      <c r="H45" s="23">
        <v>5.0000000000000001E-3</v>
      </c>
      <c r="I45" s="39">
        <v>44484</v>
      </c>
      <c r="J45" s="39">
        <v>44500</v>
      </c>
      <c r="K45" s="24">
        <f t="shared" si="2"/>
        <v>17</v>
      </c>
      <c r="L45" s="24">
        <f t="shared" si="3"/>
        <v>3074</v>
      </c>
      <c r="M45" s="24">
        <v>13200000</v>
      </c>
      <c r="N45" s="39">
        <v>46309</v>
      </c>
    </row>
    <row r="46" spans="1:14" s="5" customFormat="1" outlineLevel="2">
      <c r="A46" s="39" t="s">
        <v>15</v>
      </c>
      <c r="B46" s="40" t="s">
        <v>171</v>
      </c>
      <c r="C46" s="41" t="s">
        <v>155</v>
      </c>
      <c r="D46" s="40" t="s">
        <v>156</v>
      </c>
      <c r="E46" s="24">
        <v>500000000</v>
      </c>
      <c r="F46" s="39">
        <v>44474</v>
      </c>
      <c r="G46" s="24">
        <v>500000000</v>
      </c>
      <c r="H46" s="23">
        <v>5.0000000000000001E-3</v>
      </c>
      <c r="I46" s="39">
        <v>44474</v>
      </c>
      <c r="J46" s="39">
        <v>44500</v>
      </c>
      <c r="K46" s="24">
        <f t="shared" si="2"/>
        <v>27</v>
      </c>
      <c r="L46" s="24">
        <f t="shared" si="3"/>
        <v>184932</v>
      </c>
      <c r="M46" s="24">
        <v>500000000</v>
      </c>
      <c r="N46" s="39">
        <v>45569</v>
      </c>
    </row>
    <row r="47" spans="1:14" s="5" customFormat="1" outlineLevel="2">
      <c r="A47" s="39" t="s">
        <v>15</v>
      </c>
      <c r="B47" s="40" t="s">
        <v>172</v>
      </c>
      <c r="C47" s="41" t="s">
        <v>23</v>
      </c>
      <c r="D47" s="40" t="s">
        <v>24</v>
      </c>
      <c r="E47" s="24">
        <v>34030000</v>
      </c>
      <c r="F47" s="39">
        <v>44476</v>
      </c>
      <c r="G47" s="24">
        <v>34030000</v>
      </c>
      <c r="H47" s="23">
        <v>5.0000000000000001E-3</v>
      </c>
      <c r="I47" s="39">
        <v>44476</v>
      </c>
      <c r="J47" s="39">
        <v>44500</v>
      </c>
      <c r="K47" s="24">
        <f t="shared" si="2"/>
        <v>25</v>
      </c>
      <c r="L47" s="24">
        <f t="shared" si="3"/>
        <v>11654</v>
      </c>
      <c r="M47" s="24">
        <v>34030000</v>
      </c>
      <c r="N47" s="39">
        <v>46301</v>
      </c>
    </row>
    <row r="48" spans="1:14" s="5" customFormat="1" outlineLevel="2">
      <c r="A48" s="39" t="s">
        <v>15</v>
      </c>
      <c r="B48" s="40" t="s">
        <v>62</v>
      </c>
      <c r="C48" s="41" t="s">
        <v>55</v>
      </c>
      <c r="D48" s="40" t="s">
        <v>56</v>
      </c>
      <c r="E48" s="24">
        <v>10000000</v>
      </c>
      <c r="F48" s="39">
        <v>43934</v>
      </c>
      <c r="G48" s="24">
        <v>10000000</v>
      </c>
      <c r="H48" s="23">
        <v>5.0000000000000001E-3</v>
      </c>
      <c r="I48" s="39">
        <v>44470</v>
      </c>
      <c r="J48" s="39">
        <v>44500</v>
      </c>
      <c r="K48" s="24">
        <f t="shared" si="2"/>
        <v>31</v>
      </c>
      <c r="L48" s="24">
        <f t="shared" si="3"/>
        <v>4247</v>
      </c>
      <c r="M48" s="24">
        <v>10000000</v>
      </c>
      <c r="N48" s="39">
        <v>45759</v>
      </c>
    </row>
    <row r="49" spans="1:14" s="5" customFormat="1" outlineLevel="2">
      <c r="A49" s="39" t="s">
        <v>15</v>
      </c>
      <c r="B49" s="40" t="s">
        <v>63</v>
      </c>
      <c r="C49" s="41" t="s">
        <v>55</v>
      </c>
      <c r="D49" s="40" t="s">
        <v>56</v>
      </c>
      <c r="E49" s="24">
        <v>30000000</v>
      </c>
      <c r="F49" s="39">
        <v>43937</v>
      </c>
      <c r="G49" s="24">
        <v>30000000</v>
      </c>
      <c r="H49" s="23">
        <v>5.0000000000000001E-3</v>
      </c>
      <c r="I49" s="39">
        <v>44470</v>
      </c>
      <c r="J49" s="39">
        <v>44500</v>
      </c>
      <c r="K49" s="24">
        <f t="shared" si="2"/>
        <v>31</v>
      </c>
      <c r="L49" s="24">
        <f t="shared" si="3"/>
        <v>12740</v>
      </c>
      <c r="M49" s="24">
        <v>30000000</v>
      </c>
      <c r="N49" s="39">
        <v>45762</v>
      </c>
    </row>
    <row r="50" spans="1:14" s="5" customFormat="1" outlineLevel="2">
      <c r="A50" s="39" t="s">
        <v>15</v>
      </c>
      <c r="B50" s="40" t="s">
        <v>64</v>
      </c>
      <c r="C50" s="41" t="s">
        <v>55</v>
      </c>
      <c r="D50" s="40" t="s">
        <v>56</v>
      </c>
      <c r="E50" s="24">
        <v>58360000</v>
      </c>
      <c r="F50" s="39">
        <v>43929</v>
      </c>
      <c r="G50" s="24">
        <v>58360000</v>
      </c>
      <c r="H50" s="23">
        <v>5.0000000000000001E-3</v>
      </c>
      <c r="I50" s="39">
        <v>44470</v>
      </c>
      <c r="J50" s="39">
        <v>44500</v>
      </c>
      <c r="K50" s="24">
        <f t="shared" si="2"/>
        <v>31</v>
      </c>
      <c r="L50" s="24">
        <f t="shared" si="3"/>
        <v>24783</v>
      </c>
      <c r="M50" s="24">
        <v>58360000</v>
      </c>
      <c r="N50" s="39">
        <v>45754</v>
      </c>
    </row>
    <row r="51" spans="1:14" s="5" customFormat="1" outlineLevel="2">
      <c r="A51" s="39" t="s">
        <v>15</v>
      </c>
      <c r="B51" s="40" t="s">
        <v>65</v>
      </c>
      <c r="C51" s="41" t="s">
        <v>66</v>
      </c>
      <c r="D51" s="40" t="s">
        <v>67</v>
      </c>
      <c r="E51" s="24">
        <v>64000000</v>
      </c>
      <c r="F51" s="39">
        <v>43966</v>
      </c>
      <c r="G51" s="24">
        <v>64000000</v>
      </c>
      <c r="H51" s="23">
        <v>5.0000000000000001E-3</v>
      </c>
      <c r="I51" s="39">
        <v>44470</v>
      </c>
      <c r="J51" s="39">
        <v>44500</v>
      </c>
      <c r="K51" s="24">
        <f t="shared" si="2"/>
        <v>31</v>
      </c>
      <c r="L51" s="24">
        <f t="shared" si="3"/>
        <v>27178</v>
      </c>
      <c r="M51" s="24">
        <v>64000000</v>
      </c>
      <c r="N51" s="39">
        <v>45791</v>
      </c>
    </row>
    <row r="52" spans="1:14" s="5" customFormat="1" outlineLevel="2">
      <c r="A52" s="39" t="s">
        <v>15</v>
      </c>
      <c r="B52" s="40" t="s">
        <v>68</v>
      </c>
      <c r="C52" s="41" t="s">
        <v>55</v>
      </c>
      <c r="D52" s="40" t="s">
        <v>56</v>
      </c>
      <c r="E52" s="24">
        <v>11400000</v>
      </c>
      <c r="F52" s="39">
        <v>43962</v>
      </c>
      <c r="G52" s="24">
        <v>11400000</v>
      </c>
      <c r="H52" s="23">
        <v>5.0000000000000001E-3</v>
      </c>
      <c r="I52" s="39">
        <v>44470</v>
      </c>
      <c r="J52" s="39">
        <v>44500</v>
      </c>
      <c r="K52" s="24">
        <f t="shared" si="2"/>
        <v>31</v>
      </c>
      <c r="L52" s="24">
        <f t="shared" si="3"/>
        <v>4841</v>
      </c>
      <c r="M52" s="24">
        <v>11400000</v>
      </c>
      <c r="N52" s="39">
        <v>45787</v>
      </c>
    </row>
    <row r="53" spans="1:14" s="5" customFormat="1" outlineLevel="1">
      <c r="A53" s="42" t="s">
        <v>69</v>
      </c>
      <c r="B53" s="70"/>
      <c r="C53" s="71"/>
      <c r="D53" s="70"/>
      <c r="E53" s="72">
        <f>SUBTOTAL(9,E4:E52)</f>
        <v>3075699000</v>
      </c>
      <c r="F53" s="73"/>
      <c r="G53" s="72"/>
      <c r="H53" s="74"/>
      <c r="I53" s="73"/>
      <c r="J53" s="73"/>
      <c r="K53" s="72"/>
      <c r="L53" s="72">
        <f>SUBTOTAL(9,L4:L52)</f>
        <v>1177624</v>
      </c>
      <c r="M53" s="72">
        <f>SUBTOTAL(9,M4:M52)</f>
        <v>3074224422</v>
      </c>
      <c r="N53" s="73"/>
    </row>
    <row r="54" spans="1:14" s="5" customFormat="1" outlineLevel="2">
      <c r="A54" s="39" t="s">
        <v>70</v>
      </c>
      <c r="B54" s="40" t="s">
        <v>16</v>
      </c>
      <c r="C54" s="41" t="s">
        <v>27</v>
      </c>
      <c r="D54" s="40" t="s">
        <v>28</v>
      </c>
      <c r="E54" s="24">
        <v>21330000</v>
      </c>
      <c r="F54" s="39">
        <v>44046</v>
      </c>
      <c r="G54" s="24">
        <v>21330000</v>
      </c>
      <c r="H54" s="23">
        <v>5.0000000000000001E-3</v>
      </c>
      <c r="I54" s="39">
        <v>44470</v>
      </c>
      <c r="J54" s="39">
        <v>44500</v>
      </c>
      <c r="K54" s="24">
        <f t="shared" ref="K54:K61" si="4">J54-I54+1</f>
        <v>31</v>
      </c>
      <c r="L54" s="24">
        <f t="shared" ref="L54:L61" si="5">ROUND(G54*H54*K54/365,0)</f>
        <v>9058</v>
      </c>
      <c r="M54" s="24">
        <v>21330000</v>
      </c>
      <c r="N54" s="39">
        <v>45871</v>
      </c>
    </row>
    <row r="55" spans="1:14" s="5" customFormat="1" outlineLevel="2">
      <c r="A55" s="39" t="s">
        <v>70</v>
      </c>
      <c r="B55" s="40" t="s">
        <v>39</v>
      </c>
      <c r="C55" s="41" t="s">
        <v>27</v>
      </c>
      <c r="D55" s="40" t="s">
        <v>28</v>
      </c>
      <c r="E55" s="24">
        <v>8670000</v>
      </c>
      <c r="F55" s="39">
        <v>44060</v>
      </c>
      <c r="G55" s="24">
        <v>8670000</v>
      </c>
      <c r="H55" s="23">
        <v>5.0000000000000001E-3</v>
      </c>
      <c r="I55" s="39">
        <v>44470</v>
      </c>
      <c r="J55" s="39">
        <v>44500</v>
      </c>
      <c r="K55" s="24">
        <f t="shared" si="4"/>
        <v>31</v>
      </c>
      <c r="L55" s="24">
        <f t="shared" si="5"/>
        <v>3682</v>
      </c>
      <c r="M55" s="24">
        <v>8670000</v>
      </c>
      <c r="N55" s="39">
        <v>45885</v>
      </c>
    </row>
    <row r="56" spans="1:14" s="5" customFormat="1" outlineLevel="2">
      <c r="A56" s="39" t="s">
        <v>70</v>
      </c>
      <c r="B56" s="40" t="s">
        <v>54</v>
      </c>
      <c r="C56" s="41" t="s">
        <v>71</v>
      </c>
      <c r="D56" s="40" t="s">
        <v>72</v>
      </c>
      <c r="E56" s="24">
        <v>10600000</v>
      </c>
      <c r="F56" s="39">
        <v>44085</v>
      </c>
      <c r="G56" s="24">
        <v>10600000</v>
      </c>
      <c r="H56" s="23">
        <v>5.0000000000000001E-3</v>
      </c>
      <c r="I56" s="39">
        <v>44470</v>
      </c>
      <c r="J56" s="39">
        <v>44500</v>
      </c>
      <c r="K56" s="24">
        <f t="shared" si="4"/>
        <v>31</v>
      </c>
      <c r="L56" s="24">
        <f t="shared" si="5"/>
        <v>4501</v>
      </c>
      <c r="M56" s="24">
        <v>10600000</v>
      </c>
      <c r="N56" s="39">
        <v>45910</v>
      </c>
    </row>
    <row r="57" spans="1:14" s="5" customFormat="1" outlineLevel="2">
      <c r="A57" s="39" t="s">
        <v>70</v>
      </c>
      <c r="B57" s="40" t="s">
        <v>59</v>
      </c>
      <c r="C57" s="41" t="s">
        <v>73</v>
      </c>
      <c r="D57" s="40" t="s">
        <v>74</v>
      </c>
      <c r="E57" s="24">
        <v>40170000</v>
      </c>
      <c r="F57" s="39">
        <v>44172</v>
      </c>
      <c r="G57" s="24">
        <v>40170000</v>
      </c>
      <c r="H57" s="23">
        <v>5.0000000000000001E-3</v>
      </c>
      <c r="I57" s="39">
        <v>44470</v>
      </c>
      <c r="J57" s="39">
        <v>44500</v>
      </c>
      <c r="K57" s="24">
        <f t="shared" si="4"/>
        <v>31</v>
      </c>
      <c r="L57" s="24">
        <f t="shared" si="5"/>
        <v>17058</v>
      </c>
      <c r="M57" s="24">
        <v>40170000</v>
      </c>
      <c r="N57" s="39">
        <v>45997</v>
      </c>
    </row>
    <row r="58" spans="1:14" s="5" customFormat="1" outlineLevel="2">
      <c r="A58" s="39" t="s">
        <v>70</v>
      </c>
      <c r="B58" s="40" t="s">
        <v>62</v>
      </c>
      <c r="C58" s="41" t="s">
        <v>75</v>
      </c>
      <c r="D58" s="40" t="s">
        <v>76</v>
      </c>
      <c r="E58" s="24">
        <v>5170000</v>
      </c>
      <c r="F58" s="39">
        <v>44166</v>
      </c>
      <c r="G58" s="24">
        <v>5170000</v>
      </c>
      <c r="H58" s="23">
        <v>5.0000000000000001E-3</v>
      </c>
      <c r="I58" s="39">
        <v>44470</v>
      </c>
      <c r="J58" s="39">
        <v>44500</v>
      </c>
      <c r="K58" s="24">
        <f t="shared" si="4"/>
        <v>31</v>
      </c>
      <c r="L58" s="24">
        <f t="shared" si="5"/>
        <v>2195</v>
      </c>
      <c r="M58" s="24">
        <v>5170000</v>
      </c>
      <c r="N58" s="39">
        <v>45991</v>
      </c>
    </row>
    <row r="59" spans="1:14" s="5" customFormat="1" outlineLevel="2">
      <c r="A59" s="39" t="s">
        <v>70</v>
      </c>
      <c r="B59" s="40" t="s">
        <v>63</v>
      </c>
      <c r="C59" s="41" t="s">
        <v>242</v>
      </c>
      <c r="D59" s="40" t="s">
        <v>243</v>
      </c>
      <c r="E59" s="24">
        <v>22400000</v>
      </c>
      <c r="F59" s="39">
        <v>44433</v>
      </c>
      <c r="G59" s="24">
        <v>22400000</v>
      </c>
      <c r="H59" s="23">
        <v>5.0000000000000001E-3</v>
      </c>
      <c r="I59" s="39">
        <v>44470</v>
      </c>
      <c r="J59" s="39">
        <v>44500</v>
      </c>
      <c r="K59" s="24">
        <f t="shared" si="4"/>
        <v>31</v>
      </c>
      <c r="L59" s="24">
        <f t="shared" si="5"/>
        <v>9512</v>
      </c>
      <c r="M59" s="24">
        <v>22400000</v>
      </c>
      <c r="N59" s="39">
        <v>45528</v>
      </c>
    </row>
    <row r="60" spans="1:14" s="5" customFormat="1" outlineLevel="2">
      <c r="A60" s="39" t="s">
        <v>70</v>
      </c>
      <c r="B60" s="40" t="s">
        <v>64</v>
      </c>
      <c r="C60" s="41" t="s">
        <v>242</v>
      </c>
      <c r="D60" s="40" t="s">
        <v>243</v>
      </c>
      <c r="E60" s="24">
        <v>11200000</v>
      </c>
      <c r="F60" s="39">
        <v>44473</v>
      </c>
      <c r="G60" s="24">
        <v>11200000</v>
      </c>
      <c r="H60" s="23">
        <v>5.0000000000000001E-3</v>
      </c>
      <c r="I60" s="39">
        <v>44473</v>
      </c>
      <c r="J60" s="39">
        <v>44500</v>
      </c>
      <c r="K60" s="24">
        <f t="shared" si="4"/>
        <v>28</v>
      </c>
      <c r="L60" s="24">
        <f t="shared" si="5"/>
        <v>4296</v>
      </c>
      <c r="M60" s="24">
        <v>11200000</v>
      </c>
      <c r="N60" s="39">
        <v>45568</v>
      </c>
    </row>
    <row r="61" spans="1:14" s="5" customFormat="1" outlineLevel="2">
      <c r="A61" s="39" t="s">
        <v>70</v>
      </c>
      <c r="B61" s="40" t="s">
        <v>65</v>
      </c>
      <c r="C61" s="41" t="s">
        <v>442</v>
      </c>
      <c r="D61" s="40" t="s">
        <v>441</v>
      </c>
      <c r="E61" s="24">
        <v>5000000</v>
      </c>
      <c r="F61" s="39">
        <v>44496</v>
      </c>
      <c r="G61" s="24">
        <v>5000000</v>
      </c>
      <c r="H61" s="23">
        <v>5.0000000000000001E-3</v>
      </c>
      <c r="I61" s="39">
        <v>44496</v>
      </c>
      <c r="J61" s="39">
        <v>44500</v>
      </c>
      <c r="K61" s="24">
        <f t="shared" si="4"/>
        <v>5</v>
      </c>
      <c r="L61" s="24">
        <f t="shared" si="5"/>
        <v>342</v>
      </c>
      <c r="M61" s="24">
        <v>5000000</v>
      </c>
      <c r="N61" s="39">
        <v>45591</v>
      </c>
    </row>
    <row r="62" spans="1:14" s="5" customFormat="1" outlineLevel="1">
      <c r="A62" s="42" t="s">
        <v>77</v>
      </c>
      <c r="B62" s="70"/>
      <c r="C62" s="71"/>
      <c r="D62" s="70"/>
      <c r="E62" s="72">
        <f>SUBTOTAL(9,E54:E61)</f>
        <v>124540000</v>
      </c>
      <c r="F62" s="73"/>
      <c r="G62" s="72"/>
      <c r="H62" s="74"/>
      <c r="I62" s="73"/>
      <c r="J62" s="73"/>
      <c r="K62" s="72"/>
      <c r="L62" s="72">
        <f>SUBTOTAL(9,L54:L61)</f>
        <v>50644</v>
      </c>
      <c r="M62" s="72">
        <f>SUBTOTAL(9,M54:M61)</f>
        <v>124540000</v>
      </c>
      <c r="N62" s="73"/>
    </row>
    <row r="63" spans="1:14" s="5" customFormat="1" outlineLevel="2">
      <c r="A63" s="39" t="s">
        <v>78</v>
      </c>
      <c r="B63" s="40" t="s">
        <v>16</v>
      </c>
      <c r="C63" s="41" t="s">
        <v>55</v>
      </c>
      <c r="D63" s="40" t="s">
        <v>56</v>
      </c>
      <c r="E63" s="24">
        <v>26500000</v>
      </c>
      <c r="F63" s="39">
        <v>43907</v>
      </c>
      <c r="G63" s="24">
        <v>20821432</v>
      </c>
      <c r="H63" s="23">
        <v>5.0000000000000001E-3</v>
      </c>
      <c r="I63" s="39">
        <v>44470</v>
      </c>
      <c r="J63" s="39">
        <v>44483</v>
      </c>
      <c r="K63" s="24">
        <f t="shared" ref="K63:K94" si="6">J63-I63+1</f>
        <v>14</v>
      </c>
      <c r="L63" s="24">
        <f t="shared" ref="L63:L94" si="7">ROUND(G63*H63*K63/365,0)</f>
        <v>3993</v>
      </c>
      <c r="M63" s="24">
        <v>20505956</v>
      </c>
      <c r="N63" s="39">
        <v>45732</v>
      </c>
    </row>
    <row r="64" spans="1:14" s="5" customFormat="1" outlineLevel="2">
      <c r="A64" s="39" t="s">
        <v>78</v>
      </c>
      <c r="B64" s="40" t="s">
        <v>16</v>
      </c>
      <c r="C64" s="41" t="s">
        <v>55</v>
      </c>
      <c r="D64" s="40"/>
      <c r="E64" s="24"/>
      <c r="F64" s="39"/>
      <c r="G64" s="24">
        <v>20505956</v>
      </c>
      <c r="H64" s="23">
        <v>5.0000000000000001E-3</v>
      </c>
      <c r="I64" s="39">
        <v>44484</v>
      </c>
      <c r="J64" s="39">
        <v>44500</v>
      </c>
      <c r="K64" s="24">
        <f t="shared" si="6"/>
        <v>17</v>
      </c>
      <c r="L64" s="24">
        <f t="shared" si="7"/>
        <v>4775</v>
      </c>
      <c r="M64" s="24"/>
      <c r="N64" s="39">
        <v>45732</v>
      </c>
    </row>
    <row r="65" spans="1:14" s="5" customFormat="1" outlineLevel="2">
      <c r="A65" s="39" t="s">
        <v>78</v>
      </c>
      <c r="B65" s="40" t="s">
        <v>19</v>
      </c>
      <c r="C65" s="41" t="s">
        <v>79</v>
      </c>
      <c r="D65" s="40" t="s">
        <v>80</v>
      </c>
      <c r="E65" s="24">
        <v>130000000</v>
      </c>
      <c r="F65" s="39">
        <v>44013</v>
      </c>
      <c r="G65" s="24">
        <v>130000000</v>
      </c>
      <c r="H65" s="23">
        <v>5.0000000000000001E-3</v>
      </c>
      <c r="I65" s="39">
        <v>44470</v>
      </c>
      <c r="J65" s="39">
        <v>44500</v>
      </c>
      <c r="K65" s="24">
        <f t="shared" si="6"/>
        <v>31</v>
      </c>
      <c r="L65" s="24">
        <f t="shared" si="7"/>
        <v>55205</v>
      </c>
      <c r="M65" s="24">
        <v>130000000</v>
      </c>
      <c r="N65" s="39">
        <v>45838</v>
      </c>
    </row>
    <row r="66" spans="1:14" s="5" customFormat="1" outlineLevel="2">
      <c r="A66" s="39" t="s">
        <v>78</v>
      </c>
      <c r="B66" s="40" t="s">
        <v>22</v>
      </c>
      <c r="C66" s="41" t="s">
        <v>81</v>
      </c>
      <c r="D66" s="40" t="s">
        <v>82</v>
      </c>
      <c r="E66" s="24">
        <v>3400000</v>
      </c>
      <c r="F66" s="39">
        <v>44063</v>
      </c>
      <c r="G66" s="24">
        <v>2637940</v>
      </c>
      <c r="H66" s="23">
        <v>5.0000000000000001E-3</v>
      </c>
      <c r="I66" s="39">
        <v>44470</v>
      </c>
      <c r="J66" s="39">
        <v>44483</v>
      </c>
      <c r="K66" s="24">
        <f t="shared" si="6"/>
        <v>14</v>
      </c>
      <c r="L66" s="24">
        <f t="shared" si="7"/>
        <v>506</v>
      </c>
      <c r="M66" s="24">
        <v>2579320</v>
      </c>
      <c r="N66" s="39">
        <v>45888</v>
      </c>
    </row>
    <row r="67" spans="1:14" s="5" customFormat="1" outlineLevel="2">
      <c r="A67" s="39" t="s">
        <v>78</v>
      </c>
      <c r="B67" s="40" t="s">
        <v>22</v>
      </c>
      <c r="C67" s="41" t="s">
        <v>81</v>
      </c>
      <c r="D67" s="40"/>
      <c r="E67" s="24"/>
      <c r="F67" s="39"/>
      <c r="G67" s="24">
        <v>2579320</v>
      </c>
      <c r="H67" s="23">
        <v>5.0000000000000001E-3</v>
      </c>
      <c r="I67" s="39">
        <v>44484</v>
      </c>
      <c r="J67" s="39">
        <v>44500</v>
      </c>
      <c r="K67" s="24">
        <f t="shared" si="6"/>
        <v>17</v>
      </c>
      <c r="L67" s="24">
        <f t="shared" si="7"/>
        <v>601</v>
      </c>
      <c r="M67" s="24"/>
      <c r="N67" s="39">
        <v>45888</v>
      </c>
    </row>
    <row r="68" spans="1:14" s="5" customFormat="1" outlineLevel="2">
      <c r="A68" s="39" t="s">
        <v>78</v>
      </c>
      <c r="B68" s="40" t="s">
        <v>25</v>
      </c>
      <c r="C68" s="41" t="s">
        <v>81</v>
      </c>
      <c r="D68" s="40" t="s">
        <v>82</v>
      </c>
      <c r="E68" s="24">
        <v>9800000</v>
      </c>
      <c r="F68" s="39">
        <v>44071</v>
      </c>
      <c r="G68" s="24">
        <v>7603429</v>
      </c>
      <c r="H68" s="23">
        <v>5.0000000000000001E-3</v>
      </c>
      <c r="I68" s="39">
        <v>44470</v>
      </c>
      <c r="J68" s="39">
        <v>44483</v>
      </c>
      <c r="K68" s="24">
        <f t="shared" si="6"/>
        <v>14</v>
      </c>
      <c r="L68" s="24">
        <f t="shared" si="7"/>
        <v>1458</v>
      </c>
      <c r="M68" s="24">
        <v>7434462</v>
      </c>
      <c r="N68" s="39">
        <v>45896</v>
      </c>
    </row>
    <row r="69" spans="1:14" s="5" customFormat="1" outlineLevel="2">
      <c r="A69" s="39" t="s">
        <v>78</v>
      </c>
      <c r="B69" s="40" t="s">
        <v>25</v>
      </c>
      <c r="C69" s="41" t="s">
        <v>81</v>
      </c>
      <c r="D69" s="40"/>
      <c r="E69" s="24"/>
      <c r="F69" s="39"/>
      <c r="G69" s="24">
        <v>7434462</v>
      </c>
      <c r="H69" s="23">
        <v>5.0000000000000001E-3</v>
      </c>
      <c r="I69" s="39">
        <v>44484</v>
      </c>
      <c r="J69" s="39">
        <v>44500</v>
      </c>
      <c r="K69" s="24">
        <f t="shared" si="6"/>
        <v>17</v>
      </c>
      <c r="L69" s="24">
        <f t="shared" si="7"/>
        <v>1731</v>
      </c>
      <c r="M69" s="24"/>
      <c r="N69" s="39">
        <v>45896</v>
      </c>
    </row>
    <row r="70" spans="1:14" s="5" customFormat="1" outlineLevel="2">
      <c r="A70" s="39" t="s">
        <v>78</v>
      </c>
      <c r="B70" s="40" t="s">
        <v>26</v>
      </c>
      <c r="C70" s="41" t="s">
        <v>83</v>
      </c>
      <c r="D70" s="40" t="s">
        <v>84</v>
      </c>
      <c r="E70" s="24">
        <v>201000000</v>
      </c>
      <c r="F70" s="39">
        <v>44064</v>
      </c>
      <c r="G70" s="24">
        <v>201000000</v>
      </c>
      <c r="H70" s="23">
        <v>5.0000000000000001E-3</v>
      </c>
      <c r="I70" s="39">
        <v>44470</v>
      </c>
      <c r="J70" s="39">
        <v>44500</v>
      </c>
      <c r="K70" s="24">
        <f t="shared" si="6"/>
        <v>31</v>
      </c>
      <c r="L70" s="24">
        <f t="shared" si="7"/>
        <v>85356</v>
      </c>
      <c r="M70" s="24">
        <v>201000000</v>
      </c>
      <c r="N70" s="39">
        <v>45889</v>
      </c>
    </row>
    <row r="71" spans="1:14" s="5" customFormat="1" outlineLevel="2">
      <c r="A71" s="39" t="s">
        <v>78</v>
      </c>
      <c r="B71" s="40" t="s">
        <v>29</v>
      </c>
      <c r="C71" s="41" t="s">
        <v>85</v>
      </c>
      <c r="D71" s="40" t="s">
        <v>86</v>
      </c>
      <c r="E71" s="24">
        <v>211550000</v>
      </c>
      <c r="F71" s="39">
        <v>44078</v>
      </c>
      <c r="G71" s="24">
        <v>211550000</v>
      </c>
      <c r="H71" s="23">
        <v>5.0000000000000001E-3</v>
      </c>
      <c r="I71" s="39">
        <v>44470</v>
      </c>
      <c r="J71" s="39">
        <v>44500</v>
      </c>
      <c r="K71" s="24">
        <f t="shared" si="6"/>
        <v>31</v>
      </c>
      <c r="L71" s="24">
        <f t="shared" si="7"/>
        <v>89836</v>
      </c>
      <c r="M71" s="24">
        <v>211550000</v>
      </c>
      <c r="N71" s="39">
        <v>45903</v>
      </c>
    </row>
    <row r="72" spans="1:14" s="5" customFormat="1" outlineLevel="2">
      <c r="A72" s="39" t="s">
        <v>78</v>
      </c>
      <c r="B72" s="40" t="s">
        <v>32</v>
      </c>
      <c r="C72" s="41" t="s">
        <v>85</v>
      </c>
      <c r="D72" s="40" t="s">
        <v>86</v>
      </c>
      <c r="E72" s="24">
        <v>91330000</v>
      </c>
      <c r="F72" s="39">
        <v>44120</v>
      </c>
      <c r="G72" s="24">
        <v>91330000</v>
      </c>
      <c r="H72" s="23">
        <v>5.0000000000000001E-3</v>
      </c>
      <c r="I72" s="39">
        <v>44470</v>
      </c>
      <c r="J72" s="39">
        <v>44500</v>
      </c>
      <c r="K72" s="24">
        <f t="shared" si="6"/>
        <v>31</v>
      </c>
      <c r="L72" s="24">
        <f t="shared" si="7"/>
        <v>38784</v>
      </c>
      <c r="M72" s="24">
        <v>91330000</v>
      </c>
      <c r="N72" s="39">
        <v>45945</v>
      </c>
    </row>
    <row r="73" spans="1:14" s="5" customFormat="1" outlineLevel="2">
      <c r="A73" s="39" t="s">
        <v>78</v>
      </c>
      <c r="B73" s="40" t="s">
        <v>33</v>
      </c>
      <c r="C73" s="41" t="s">
        <v>45</v>
      </c>
      <c r="D73" s="40" t="s">
        <v>46</v>
      </c>
      <c r="E73" s="24">
        <v>10000000</v>
      </c>
      <c r="F73" s="39">
        <v>44120</v>
      </c>
      <c r="G73" s="24">
        <v>10000000</v>
      </c>
      <c r="H73" s="23">
        <v>5.0000000000000001E-3</v>
      </c>
      <c r="I73" s="39">
        <v>44470</v>
      </c>
      <c r="J73" s="39">
        <v>44500</v>
      </c>
      <c r="K73" s="24">
        <f t="shared" si="6"/>
        <v>31</v>
      </c>
      <c r="L73" s="24">
        <f t="shared" si="7"/>
        <v>4247</v>
      </c>
      <c r="M73" s="24">
        <v>10000000</v>
      </c>
      <c r="N73" s="39">
        <v>45945</v>
      </c>
    </row>
    <row r="74" spans="1:14" s="5" customFormat="1" outlineLevel="2">
      <c r="A74" s="39" t="s">
        <v>78</v>
      </c>
      <c r="B74" s="40" t="s">
        <v>34</v>
      </c>
      <c r="C74" s="41" t="s">
        <v>87</v>
      </c>
      <c r="D74" s="40" t="s">
        <v>88</v>
      </c>
      <c r="E74" s="24">
        <v>40000000</v>
      </c>
      <c r="F74" s="39">
        <v>44131</v>
      </c>
      <c r="G74" s="24">
        <v>40000000</v>
      </c>
      <c r="H74" s="23">
        <v>5.0000000000000001E-3</v>
      </c>
      <c r="I74" s="39">
        <v>44470</v>
      </c>
      <c r="J74" s="39">
        <v>44500</v>
      </c>
      <c r="K74" s="24">
        <f t="shared" si="6"/>
        <v>31</v>
      </c>
      <c r="L74" s="24">
        <f t="shared" si="7"/>
        <v>16986</v>
      </c>
      <c r="M74" s="24">
        <v>40000000</v>
      </c>
      <c r="N74" s="39">
        <v>45956</v>
      </c>
    </row>
    <row r="75" spans="1:14" s="5" customFormat="1" outlineLevel="2">
      <c r="A75" s="39" t="s">
        <v>78</v>
      </c>
      <c r="B75" s="40" t="s">
        <v>35</v>
      </c>
      <c r="C75" s="41" t="s">
        <v>89</v>
      </c>
      <c r="D75" s="40" t="s">
        <v>90</v>
      </c>
      <c r="E75" s="24">
        <v>88000000</v>
      </c>
      <c r="F75" s="39">
        <v>44119</v>
      </c>
      <c r="G75" s="24">
        <v>88000000</v>
      </c>
      <c r="H75" s="23">
        <v>5.0000000000000001E-3</v>
      </c>
      <c r="I75" s="39">
        <v>44470</v>
      </c>
      <c r="J75" s="39">
        <v>44500</v>
      </c>
      <c r="K75" s="24">
        <f t="shared" si="6"/>
        <v>31</v>
      </c>
      <c r="L75" s="24">
        <f t="shared" si="7"/>
        <v>37370</v>
      </c>
      <c r="M75" s="24">
        <v>88000000</v>
      </c>
      <c r="N75" s="39">
        <v>45944</v>
      </c>
    </row>
    <row r="76" spans="1:14" s="5" customFormat="1" outlineLevel="2">
      <c r="A76" s="39" t="s">
        <v>78</v>
      </c>
      <c r="B76" s="40" t="s">
        <v>36</v>
      </c>
      <c r="C76" s="41" t="s">
        <v>91</v>
      </c>
      <c r="D76" s="40" t="s">
        <v>92</v>
      </c>
      <c r="E76" s="24">
        <v>65800000</v>
      </c>
      <c r="F76" s="39">
        <v>44119</v>
      </c>
      <c r="G76" s="24">
        <v>65800000</v>
      </c>
      <c r="H76" s="23">
        <v>5.0000000000000001E-3</v>
      </c>
      <c r="I76" s="39">
        <v>44470</v>
      </c>
      <c r="J76" s="39">
        <v>44500</v>
      </c>
      <c r="K76" s="24">
        <f t="shared" si="6"/>
        <v>31</v>
      </c>
      <c r="L76" s="24">
        <f t="shared" si="7"/>
        <v>27942</v>
      </c>
      <c r="M76" s="24">
        <v>65800000</v>
      </c>
      <c r="N76" s="39">
        <v>45944</v>
      </c>
    </row>
    <row r="77" spans="1:14" s="5" customFormat="1" outlineLevel="2">
      <c r="A77" s="39" t="s">
        <v>78</v>
      </c>
      <c r="B77" s="40" t="s">
        <v>39</v>
      </c>
      <c r="C77" s="41" t="s">
        <v>60</v>
      </c>
      <c r="D77" s="40" t="s">
        <v>61</v>
      </c>
      <c r="E77" s="24">
        <v>90000000</v>
      </c>
      <c r="F77" s="39">
        <v>43913</v>
      </c>
      <c r="G77" s="24">
        <v>78750000</v>
      </c>
      <c r="H77" s="23">
        <v>5.0000000000000001E-3</v>
      </c>
      <c r="I77" s="39">
        <v>44470</v>
      </c>
      <c r="J77" s="39">
        <v>44483</v>
      </c>
      <c r="K77" s="24">
        <f t="shared" si="6"/>
        <v>14</v>
      </c>
      <c r="L77" s="24">
        <f t="shared" si="7"/>
        <v>15103</v>
      </c>
      <c r="M77" s="24">
        <v>76875000</v>
      </c>
      <c r="N77" s="39">
        <v>45738</v>
      </c>
    </row>
    <row r="78" spans="1:14" s="5" customFormat="1" outlineLevel="2">
      <c r="A78" s="39" t="s">
        <v>78</v>
      </c>
      <c r="B78" s="40" t="s">
        <v>39</v>
      </c>
      <c r="C78" s="41" t="s">
        <v>60</v>
      </c>
      <c r="D78" s="40"/>
      <c r="E78" s="24"/>
      <c r="F78" s="39"/>
      <c r="G78" s="24">
        <v>76875000</v>
      </c>
      <c r="H78" s="23">
        <v>5.0000000000000001E-3</v>
      </c>
      <c r="I78" s="39">
        <v>44484</v>
      </c>
      <c r="J78" s="39">
        <v>44500</v>
      </c>
      <c r="K78" s="24">
        <f t="shared" si="6"/>
        <v>17</v>
      </c>
      <c r="L78" s="24">
        <f t="shared" si="7"/>
        <v>17902</v>
      </c>
      <c r="M78" s="24"/>
      <c r="N78" s="39">
        <v>45738</v>
      </c>
    </row>
    <row r="79" spans="1:14" s="5" customFormat="1" outlineLevel="2">
      <c r="A79" s="39" t="s">
        <v>78</v>
      </c>
      <c r="B79" s="40" t="s">
        <v>40</v>
      </c>
      <c r="C79" s="41" t="s">
        <v>93</v>
      </c>
      <c r="D79" s="40" t="s">
        <v>94</v>
      </c>
      <c r="E79" s="24">
        <v>7611996</v>
      </c>
      <c r="F79" s="39">
        <v>44151</v>
      </c>
      <c r="G79" s="24">
        <v>7611996</v>
      </c>
      <c r="H79" s="23">
        <v>5.0000000000000001E-3</v>
      </c>
      <c r="I79" s="39">
        <v>44470</v>
      </c>
      <c r="J79" s="39">
        <v>44500</v>
      </c>
      <c r="K79" s="24">
        <f t="shared" si="6"/>
        <v>31</v>
      </c>
      <c r="L79" s="24">
        <f t="shared" si="7"/>
        <v>3232</v>
      </c>
      <c r="M79" s="24">
        <v>7611996</v>
      </c>
      <c r="N79" s="39">
        <v>45976</v>
      </c>
    </row>
    <row r="80" spans="1:14" s="5" customFormat="1" outlineLevel="2">
      <c r="A80" s="39" t="s">
        <v>78</v>
      </c>
      <c r="B80" s="40" t="s">
        <v>41</v>
      </c>
      <c r="C80" s="41" t="s">
        <v>93</v>
      </c>
      <c r="D80" s="40" t="s">
        <v>94</v>
      </c>
      <c r="E80" s="24">
        <v>4900000</v>
      </c>
      <c r="F80" s="39">
        <v>44151</v>
      </c>
      <c r="G80" s="24">
        <v>4900000</v>
      </c>
      <c r="H80" s="23">
        <v>5.0000000000000001E-3</v>
      </c>
      <c r="I80" s="39">
        <v>44470</v>
      </c>
      <c r="J80" s="39">
        <v>44500</v>
      </c>
      <c r="K80" s="24">
        <f t="shared" si="6"/>
        <v>31</v>
      </c>
      <c r="L80" s="24">
        <f t="shared" si="7"/>
        <v>2081</v>
      </c>
      <c r="M80" s="24">
        <v>4900000</v>
      </c>
      <c r="N80" s="39">
        <v>45976</v>
      </c>
    </row>
    <row r="81" spans="1:14" s="5" customFormat="1" outlineLevel="2">
      <c r="A81" s="39" t="s">
        <v>78</v>
      </c>
      <c r="B81" s="40" t="s">
        <v>42</v>
      </c>
      <c r="C81" s="41" t="s">
        <v>93</v>
      </c>
      <c r="D81" s="40" t="s">
        <v>94</v>
      </c>
      <c r="E81" s="24">
        <v>21838392</v>
      </c>
      <c r="F81" s="39">
        <v>44151</v>
      </c>
      <c r="G81" s="24">
        <v>21838392</v>
      </c>
      <c r="H81" s="23">
        <v>5.0000000000000001E-3</v>
      </c>
      <c r="I81" s="39">
        <v>44470</v>
      </c>
      <c r="J81" s="39">
        <v>44500</v>
      </c>
      <c r="K81" s="24">
        <f t="shared" si="6"/>
        <v>31</v>
      </c>
      <c r="L81" s="24">
        <f t="shared" si="7"/>
        <v>9274</v>
      </c>
      <c r="M81" s="24">
        <v>21838392</v>
      </c>
      <c r="N81" s="39">
        <v>45976</v>
      </c>
    </row>
    <row r="82" spans="1:14" s="5" customFormat="1" outlineLevel="2">
      <c r="A82" s="39" t="s">
        <v>78</v>
      </c>
      <c r="B82" s="40" t="s">
        <v>43</v>
      </c>
      <c r="C82" s="41" t="s">
        <v>95</v>
      </c>
      <c r="D82" s="40" t="s">
        <v>96</v>
      </c>
      <c r="E82" s="24">
        <v>41950000</v>
      </c>
      <c r="F82" s="39">
        <v>44154</v>
      </c>
      <c r="G82" s="24">
        <v>41950000</v>
      </c>
      <c r="H82" s="23">
        <v>5.0000000000000001E-3</v>
      </c>
      <c r="I82" s="39">
        <v>44470</v>
      </c>
      <c r="J82" s="39">
        <v>44500</v>
      </c>
      <c r="K82" s="24">
        <f t="shared" si="6"/>
        <v>31</v>
      </c>
      <c r="L82" s="24">
        <f t="shared" si="7"/>
        <v>17814</v>
      </c>
      <c r="M82" s="24">
        <v>41950000</v>
      </c>
      <c r="N82" s="39">
        <v>45979</v>
      </c>
    </row>
    <row r="83" spans="1:14" s="5" customFormat="1" outlineLevel="2">
      <c r="A83" s="39" t="s">
        <v>78</v>
      </c>
      <c r="B83" s="40" t="s">
        <v>44</v>
      </c>
      <c r="C83" s="41" t="s">
        <v>95</v>
      </c>
      <c r="D83" s="40" t="s">
        <v>96</v>
      </c>
      <c r="E83" s="24">
        <v>30000000</v>
      </c>
      <c r="F83" s="39">
        <v>44154</v>
      </c>
      <c r="G83" s="24">
        <v>26428570</v>
      </c>
      <c r="H83" s="23">
        <v>5.0000000000000001E-3</v>
      </c>
      <c r="I83" s="39">
        <v>44470</v>
      </c>
      <c r="J83" s="39">
        <v>44483</v>
      </c>
      <c r="K83" s="24">
        <f t="shared" si="6"/>
        <v>14</v>
      </c>
      <c r="L83" s="24">
        <f t="shared" si="7"/>
        <v>5068</v>
      </c>
      <c r="M83" s="24">
        <v>26071427</v>
      </c>
      <c r="N83" s="39">
        <v>45979</v>
      </c>
    </row>
    <row r="84" spans="1:14" s="5" customFormat="1" outlineLevel="2">
      <c r="A84" s="39" t="s">
        <v>78</v>
      </c>
      <c r="B84" s="40" t="s">
        <v>44</v>
      </c>
      <c r="C84" s="41" t="s">
        <v>95</v>
      </c>
      <c r="D84" s="40"/>
      <c r="E84" s="24"/>
      <c r="F84" s="39"/>
      <c r="G84" s="24">
        <v>26071427</v>
      </c>
      <c r="H84" s="23">
        <v>5.0000000000000001E-3</v>
      </c>
      <c r="I84" s="39">
        <v>44484</v>
      </c>
      <c r="J84" s="39">
        <v>44500</v>
      </c>
      <c r="K84" s="24">
        <f t="shared" si="6"/>
        <v>17</v>
      </c>
      <c r="L84" s="24">
        <f t="shared" si="7"/>
        <v>6071</v>
      </c>
      <c r="M84" s="24"/>
      <c r="N84" s="39">
        <v>45979</v>
      </c>
    </row>
    <row r="85" spans="1:14" s="5" customFormat="1" outlineLevel="2">
      <c r="A85" s="39" t="s">
        <v>78</v>
      </c>
      <c r="B85" s="40" t="s">
        <v>47</v>
      </c>
      <c r="C85" s="41" t="s">
        <v>81</v>
      </c>
      <c r="D85" s="40" t="s">
        <v>82</v>
      </c>
      <c r="E85" s="24">
        <v>3490000</v>
      </c>
      <c r="F85" s="39">
        <v>44138</v>
      </c>
      <c r="G85" s="24">
        <v>2855450</v>
      </c>
      <c r="H85" s="23">
        <v>5.0000000000000001E-3</v>
      </c>
      <c r="I85" s="39">
        <v>44470</v>
      </c>
      <c r="J85" s="39">
        <v>44483</v>
      </c>
      <c r="K85" s="24">
        <f t="shared" si="6"/>
        <v>14</v>
      </c>
      <c r="L85" s="24">
        <f t="shared" si="7"/>
        <v>548</v>
      </c>
      <c r="M85" s="24">
        <v>2791995</v>
      </c>
      <c r="N85" s="39">
        <v>45963</v>
      </c>
    </row>
    <row r="86" spans="1:14" s="5" customFormat="1" outlineLevel="2">
      <c r="A86" s="39" t="s">
        <v>78</v>
      </c>
      <c r="B86" s="40" t="s">
        <v>47</v>
      </c>
      <c r="C86" s="41" t="s">
        <v>81</v>
      </c>
      <c r="D86" s="40"/>
      <c r="E86" s="24"/>
      <c r="F86" s="39"/>
      <c r="G86" s="24">
        <v>2791995</v>
      </c>
      <c r="H86" s="23">
        <v>5.0000000000000001E-3</v>
      </c>
      <c r="I86" s="39">
        <v>44484</v>
      </c>
      <c r="J86" s="39">
        <v>44500</v>
      </c>
      <c r="K86" s="24">
        <f t="shared" si="6"/>
        <v>17</v>
      </c>
      <c r="L86" s="24">
        <f t="shared" si="7"/>
        <v>650</v>
      </c>
      <c r="M86" s="24"/>
      <c r="N86" s="39">
        <v>45963</v>
      </c>
    </row>
    <row r="87" spans="1:14" s="5" customFormat="1" outlineLevel="2">
      <c r="A87" s="39" t="s">
        <v>78</v>
      </c>
      <c r="B87" s="40" t="s">
        <v>50</v>
      </c>
      <c r="C87" s="41" t="s">
        <v>81</v>
      </c>
      <c r="D87" s="40" t="s">
        <v>82</v>
      </c>
      <c r="E87" s="24">
        <v>1970000</v>
      </c>
      <c r="F87" s="39">
        <v>44147</v>
      </c>
      <c r="G87" s="24">
        <v>1611810</v>
      </c>
      <c r="H87" s="23">
        <v>5.0000000000000001E-3</v>
      </c>
      <c r="I87" s="39">
        <v>44470</v>
      </c>
      <c r="J87" s="39">
        <v>44483</v>
      </c>
      <c r="K87" s="24">
        <f t="shared" si="6"/>
        <v>14</v>
      </c>
      <c r="L87" s="24">
        <f t="shared" si="7"/>
        <v>309</v>
      </c>
      <c r="M87" s="24">
        <v>1575991</v>
      </c>
      <c r="N87" s="39">
        <v>45972</v>
      </c>
    </row>
    <row r="88" spans="1:14" s="5" customFormat="1" outlineLevel="2">
      <c r="A88" s="39" t="s">
        <v>78</v>
      </c>
      <c r="B88" s="40" t="s">
        <v>50</v>
      </c>
      <c r="C88" s="41" t="s">
        <v>81</v>
      </c>
      <c r="D88" s="40"/>
      <c r="E88" s="24"/>
      <c r="F88" s="39"/>
      <c r="G88" s="24">
        <v>1575991</v>
      </c>
      <c r="H88" s="23">
        <v>5.0000000000000001E-3</v>
      </c>
      <c r="I88" s="39">
        <v>44484</v>
      </c>
      <c r="J88" s="39">
        <v>44500</v>
      </c>
      <c r="K88" s="24">
        <f t="shared" si="6"/>
        <v>17</v>
      </c>
      <c r="L88" s="24">
        <f t="shared" si="7"/>
        <v>367</v>
      </c>
      <c r="M88" s="24"/>
      <c r="N88" s="39">
        <v>45972</v>
      </c>
    </row>
    <row r="89" spans="1:14" s="5" customFormat="1" outlineLevel="2">
      <c r="A89" s="39" t="s">
        <v>78</v>
      </c>
      <c r="B89" s="40" t="s">
        <v>51</v>
      </c>
      <c r="C89" s="41" t="s">
        <v>93</v>
      </c>
      <c r="D89" s="40" t="s">
        <v>94</v>
      </c>
      <c r="E89" s="24">
        <v>20979731</v>
      </c>
      <c r="F89" s="39">
        <v>44167</v>
      </c>
      <c r="G89" s="24">
        <v>20979731</v>
      </c>
      <c r="H89" s="23">
        <v>5.0000000000000001E-3</v>
      </c>
      <c r="I89" s="39">
        <v>44470</v>
      </c>
      <c r="J89" s="39">
        <v>44500</v>
      </c>
      <c r="K89" s="24">
        <f t="shared" si="6"/>
        <v>31</v>
      </c>
      <c r="L89" s="24">
        <f t="shared" si="7"/>
        <v>8909</v>
      </c>
      <c r="M89" s="24">
        <v>20979731</v>
      </c>
      <c r="N89" s="39">
        <v>45992</v>
      </c>
    </row>
    <row r="90" spans="1:14" s="5" customFormat="1" outlineLevel="2">
      <c r="A90" s="39" t="s">
        <v>78</v>
      </c>
      <c r="B90" s="40" t="s">
        <v>52</v>
      </c>
      <c r="C90" s="41" t="s">
        <v>93</v>
      </c>
      <c r="D90" s="40" t="s">
        <v>94</v>
      </c>
      <c r="E90" s="24">
        <v>15036832</v>
      </c>
      <c r="F90" s="39">
        <v>44181</v>
      </c>
      <c r="G90" s="24">
        <v>15036832</v>
      </c>
      <c r="H90" s="23">
        <v>5.0000000000000001E-3</v>
      </c>
      <c r="I90" s="39">
        <v>44470</v>
      </c>
      <c r="J90" s="39">
        <v>44500</v>
      </c>
      <c r="K90" s="24">
        <f t="shared" si="6"/>
        <v>31</v>
      </c>
      <c r="L90" s="24">
        <f t="shared" si="7"/>
        <v>6386</v>
      </c>
      <c r="M90" s="24">
        <v>15036832</v>
      </c>
      <c r="N90" s="39">
        <v>46006</v>
      </c>
    </row>
    <row r="91" spans="1:14" s="5" customFormat="1" outlineLevel="2">
      <c r="A91" s="39" t="s">
        <v>78</v>
      </c>
      <c r="B91" s="40" t="s">
        <v>53</v>
      </c>
      <c r="C91" s="41" t="s">
        <v>93</v>
      </c>
      <c r="D91" s="40" t="s">
        <v>94</v>
      </c>
      <c r="E91" s="24">
        <v>2070415</v>
      </c>
      <c r="F91" s="39">
        <v>44193</v>
      </c>
      <c r="G91" s="24">
        <v>2070415</v>
      </c>
      <c r="H91" s="23">
        <v>5.0000000000000001E-3</v>
      </c>
      <c r="I91" s="39">
        <v>44470</v>
      </c>
      <c r="J91" s="39">
        <v>44500</v>
      </c>
      <c r="K91" s="24">
        <f t="shared" si="6"/>
        <v>31</v>
      </c>
      <c r="L91" s="24">
        <f t="shared" si="7"/>
        <v>879</v>
      </c>
      <c r="M91" s="24">
        <v>2070415</v>
      </c>
      <c r="N91" s="39">
        <v>46018</v>
      </c>
    </row>
    <row r="92" spans="1:14" s="5" customFormat="1" outlineLevel="2">
      <c r="A92" s="39" t="s">
        <v>78</v>
      </c>
      <c r="B92" s="40" t="s">
        <v>54</v>
      </c>
      <c r="C92" s="41" t="s">
        <v>55</v>
      </c>
      <c r="D92" s="40" t="s">
        <v>56</v>
      </c>
      <c r="E92" s="24">
        <v>23500000</v>
      </c>
      <c r="F92" s="39">
        <v>43928</v>
      </c>
      <c r="G92" s="24">
        <v>18464266</v>
      </c>
      <c r="H92" s="23">
        <v>5.0000000000000001E-3</v>
      </c>
      <c r="I92" s="39">
        <v>44470</v>
      </c>
      <c r="J92" s="39">
        <v>44483</v>
      </c>
      <c r="K92" s="24">
        <f t="shared" si="6"/>
        <v>14</v>
      </c>
      <c r="L92" s="24">
        <f t="shared" si="7"/>
        <v>3541</v>
      </c>
      <c r="M92" s="24">
        <v>18184503</v>
      </c>
      <c r="N92" s="39">
        <v>45753</v>
      </c>
    </row>
    <row r="93" spans="1:14" s="5" customFormat="1" outlineLevel="2">
      <c r="A93" s="39" t="s">
        <v>78</v>
      </c>
      <c r="B93" s="40" t="s">
        <v>54</v>
      </c>
      <c r="C93" s="41" t="s">
        <v>55</v>
      </c>
      <c r="D93" s="40"/>
      <c r="E93" s="24"/>
      <c r="F93" s="39"/>
      <c r="G93" s="24">
        <v>18184503</v>
      </c>
      <c r="H93" s="23">
        <v>5.0000000000000001E-3</v>
      </c>
      <c r="I93" s="39">
        <v>44484</v>
      </c>
      <c r="J93" s="39">
        <v>44500</v>
      </c>
      <c r="K93" s="24">
        <f t="shared" si="6"/>
        <v>17</v>
      </c>
      <c r="L93" s="24">
        <f t="shared" si="7"/>
        <v>4235</v>
      </c>
      <c r="M93" s="24"/>
      <c r="N93" s="39">
        <v>45753</v>
      </c>
    </row>
    <row r="94" spans="1:14" s="5" customFormat="1" outlineLevel="2">
      <c r="A94" s="39" t="s">
        <v>78</v>
      </c>
      <c r="B94" s="40" t="s">
        <v>57</v>
      </c>
      <c r="C94" s="41" t="s">
        <v>83</v>
      </c>
      <c r="D94" s="40" t="s">
        <v>84</v>
      </c>
      <c r="E94" s="24">
        <v>125000000</v>
      </c>
      <c r="F94" s="39">
        <v>44189</v>
      </c>
      <c r="G94" s="24">
        <v>125000000</v>
      </c>
      <c r="H94" s="23">
        <v>5.0000000000000001E-3</v>
      </c>
      <c r="I94" s="39">
        <v>44470</v>
      </c>
      <c r="J94" s="39">
        <v>44500</v>
      </c>
      <c r="K94" s="24">
        <f t="shared" si="6"/>
        <v>31</v>
      </c>
      <c r="L94" s="24">
        <f t="shared" si="7"/>
        <v>53082</v>
      </c>
      <c r="M94" s="24">
        <v>125000000</v>
      </c>
      <c r="N94" s="39">
        <v>46014</v>
      </c>
    </row>
    <row r="95" spans="1:14" s="5" customFormat="1" outlineLevel="2">
      <c r="A95" s="39" t="s">
        <v>78</v>
      </c>
      <c r="B95" s="40" t="s">
        <v>58</v>
      </c>
      <c r="C95" s="41" t="s">
        <v>97</v>
      </c>
      <c r="D95" s="40" t="s">
        <v>98</v>
      </c>
      <c r="E95" s="24">
        <v>51800000</v>
      </c>
      <c r="F95" s="39">
        <v>44180</v>
      </c>
      <c r="G95" s="24">
        <v>51800000</v>
      </c>
      <c r="H95" s="23">
        <v>5.0000000000000001E-3</v>
      </c>
      <c r="I95" s="39">
        <v>44470</v>
      </c>
      <c r="J95" s="39">
        <v>44500</v>
      </c>
      <c r="K95" s="24">
        <f t="shared" ref="K95:K126" si="8">J95-I95+1</f>
        <v>31</v>
      </c>
      <c r="L95" s="24">
        <f t="shared" ref="L95:L126" si="9">ROUND(G95*H95*K95/365,0)</f>
        <v>21997</v>
      </c>
      <c r="M95" s="24">
        <v>51800000</v>
      </c>
      <c r="N95" s="39">
        <v>46005</v>
      </c>
    </row>
    <row r="96" spans="1:14" s="5" customFormat="1" outlineLevel="2">
      <c r="A96" s="39" t="s">
        <v>78</v>
      </c>
      <c r="B96" s="40" t="s">
        <v>99</v>
      </c>
      <c r="C96" s="41" t="s">
        <v>91</v>
      </c>
      <c r="D96" s="40" t="s">
        <v>92</v>
      </c>
      <c r="E96" s="24">
        <v>25000000</v>
      </c>
      <c r="F96" s="39">
        <v>44180</v>
      </c>
      <c r="G96" s="24">
        <v>25000000</v>
      </c>
      <c r="H96" s="23">
        <v>5.0000000000000001E-3</v>
      </c>
      <c r="I96" s="39">
        <v>44470</v>
      </c>
      <c r="J96" s="39">
        <v>44500</v>
      </c>
      <c r="K96" s="24">
        <f t="shared" si="8"/>
        <v>31</v>
      </c>
      <c r="L96" s="24">
        <f t="shared" si="9"/>
        <v>10616</v>
      </c>
      <c r="M96" s="24">
        <v>25000000</v>
      </c>
      <c r="N96" s="39">
        <v>46005</v>
      </c>
    </row>
    <row r="97" spans="1:14" s="5" customFormat="1" outlineLevel="2">
      <c r="A97" s="39" t="s">
        <v>78</v>
      </c>
      <c r="B97" s="40" t="s">
        <v>100</v>
      </c>
      <c r="C97" s="41" t="s">
        <v>91</v>
      </c>
      <c r="D97" s="40" t="s">
        <v>92</v>
      </c>
      <c r="E97" s="24">
        <v>44000000</v>
      </c>
      <c r="F97" s="39">
        <v>44180</v>
      </c>
      <c r="G97" s="24">
        <v>44000000</v>
      </c>
      <c r="H97" s="23">
        <v>5.0000000000000001E-3</v>
      </c>
      <c r="I97" s="39">
        <v>44470</v>
      </c>
      <c r="J97" s="39">
        <v>44500</v>
      </c>
      <c r="K97" s="24">
        <f t="shared" si="8"/>
        <v>31</v>
      </c>
      <c r="L97" s="24">
        <f t="shared" si="9"/>
        <v>18685</v>
      </c>
      <c r="M97" s="24">
        <v>44000000</v>
      </c>
      <c r="N97" s="39">
        <v>46005</v>
      </c>
    </row>
    <row r="98" spans="1:14" s="5" customFormat="1" outlineLevel="2">
      <c r="A98" s="39" t="s">
        <v>78</v>
      </c>
      <c r="B98" s="40" t="s">
        <v>101</v>
      </c>
      <c r="C98" s="41" t="s">
        <v>95</v>
      </c>
      <c r="D98" s="40" t="s">
        <v>96</v>
      </c>
      <c r="E98" s="24">
        <v>129650000</v>
      </c>
      <c r="F98" s="39">
        <v>44195</v>
      </c>
      <c r="G98" s="24">
        <v>129650000</v>
      </c>
      <c r="H98" s="23">
        <v>5.0000000000000001E-3</v>
      </c>
      <c r="I98" s="39">
        <v>44470</v>
      </c>
      <c r="J98" s="39">
        <v>44500</v>
      </c>
      <c r="K98" s="24">
        <f t="shared" si="8"/>
        <v>31</v>
      </c>
      <c r="L98" s="24">
        <f t="shared" si="9"/>
        <v>55057</v>
      </c>
      <c r="M98" s="24">
        <v>129650000</v>
      </c>
      <c r="N98" s="39">
        <v>46020</v>
      </c>
    </row>
    <row r="99" spans="1:14" s="5" customFormat="1" outlineLevel="2">
      <c r="A99" s="39" t="s">
        <v>78</v>
      </c>
      <c r="B99" s="40" t="s">
        <v>102</v>
      </c>
      <c r="C99" s="41" t="s">
        <v>95</v>
      </c>
      <c r="D99" s="40" t="s">
        <v>96</v>
      </c>
      <c r="E99" s="24">
        <v>12000000</v>
      </c>
      <c r="F99" s="39">
        <v>44195</v>
      </c>
      <c r="G99" s="24">
        <v>10698789</v>
      </c>
      <c r="H99" s="23">
        <v>5.0000000000000001E-3</v>
      </c>
      <c r="I99" s="39">
        <v>44470</v>
      </c>
      <c r="J99" s="39">
        <v>44483</v>
      </c>
      <c r="K99" s="24">
        <f t="shared" si="8"/>
        <v>14</v>
      </c>
      <c r="L99" s="24">
        <f t="shared" si="9"/>
        <v>2052</v>
      </c>
      <c r="M99" s="24">
        <v>10554210</v>
      </c>
      <c r="N99" s="39">
        <v>46020</v>
      </c>
    </row>
    <row r="100" spans="1:14" s="5" customFormat="1" outlineLevel="2">
      <c r="A100" s="39" t="s">
        <v>78</v>
      </c>
      <c r="B100" s="40" t="s">
        <v>102</v>
      </c>
      <c r="C100" s="41" t="s">
        <v>95</v>
      </c>
      <c r="D100" s="40"/>
      <c r="E100" s="24"/>
      <c r="F100" s="39"/>
      <c r="G100" s="24">
        <v>10554210</v>
      </c>
      <c r="H100" s="23">
        <v>5.0000000000000001E-3</v>
      </c>
      <c r="I100" s="39">
        <v>44484</v>
      </c>
      <c r="J100" s="39">
        <v>44500</v>
      </c>
      <c r="K100" s="24">
        <f t="shared" si="8"/>
        <v>17</v>
      </c>
      <c r="L100" s="24">
        <f t="shared" si="9"/>
        <v>2458</v>
      </c>
      <c r="M100" s="24"/>
      <c r="N100" s="39">
        <v>46020</v>
      </c>
    </row>
    <row r="101" spans="1:14" s="5" customFormat="1" outlineLevel="2">
      <c r="A101" s="39" t="s">
        <v>78</v>
      </c>
      <c r="B101" s="40" t="s">
        <v>103</v>
      </c>
      <c r="C101" s="41" t="s">
        <v>66</v>
      </c>
      <c r="D101" s="40" t="s">
        <v>67</v>
      </c>
      <c r="E101" s="24">
        <v>144000000</v>
      </c>
      <c r="F101" s="39">
        <v>44196</v>
      </c>
      <c r="G101" s="24">
        <v>144000000</v>
      </c>
      <c r="H101" s="23">
        <v>5.0000000000000001E-3</v>
      </c>
      <c r="I101" s="39">
        <v>44470</v>
      </c>
      <c r="J101" s="39">
        <v>44500</v>
      </c>
      <c r="K101" s="24">
        <f t="shared" si="8"/>
        <v>31</v>
      </c>
      <c r="L101" s="24">
        <f t="shared" si="9"/>
        <v>61151</v>
      </c>
      <c r="M101" s="24">
        <v>144000000</v>
      </c>
      <c r="N101" s="39">
        <v>46021</v>
      </c>
    </row>
    <row r="102" spans="1:14" s="5" customFormat="1" outlineLevel="2">
      <c r="A102" s="39" t="s">
        <v>78</v>
      </c>
      <c r="B102" s="40" t="s">
        <v>104</v>
      </c>
      <c r="C102" s="41" t="s">
        <v>91</v>
      </c>
      <c r="D102" s="40" t="s">
        <v>92</v>
      </c>
      <c r="E102" s="24">
        <v>45000000</v>
      </c>
      <c r="F102" s="39">
        <v>44211</v>
      </c>
      <c r="G102" s="24">
        <v>45000000</v>
      </c>
      <c r="H102" s="23">
        <v>5.0000000000000001E-3</v>
      </c>
      <c r="I102" s="39">
        <v>44470</v>
      </c>
      <c r="J102" s="39">
        <v>44500</v>
      </c>
      <c r="K102" s="24">
        <f t="shared" si="8"/>
        <v>31</v>
      </c>
      <c r="L102" s="24">
        <f t="shared" si="9"/>
        <v>19110</v>
      </c>
      <c r="M102" s="24">
        <v>45000000</v>
      </c>
      <c r="N102" s="39">
        <v>46036</v>
      </c>
    </row>
    <row r="103" spans="1:14" s="5" customFormat="1" outlineLevel="2">
      <c r="A103" s="39" t="s">
        <v>78</v>
      </c>
      <c r="B103" s="40" t="s">
        <v>105</v>
      </c>
      <c r="C103" s="41" t="s">
        <v>91</v>
      </c>
      <c r="D103" s="40" t="s">
        <v>92</v>
      </c>
      <c r="E103" s="24">
        <v>31000000</v>
      </c>
      <c r="F103" s="39">
        <v>44211</v>
      </c>
      <c r="G103" s="24">
        <v>31000000</v>
      </c>
      <c r="H103" s="23">
        <v>5.0000000000000001E-3</v>
      </c>
      <c r="I103" s="39">
        <v>44470</v>
      </c>
      <c r="J103" s="39">
        <v>44500</v>
      </c>
      <c r="K103" s="24">
        <f t="shared" si="8"/>
        <v>31</v>
      </c>
      <c r="L103" s="24">
        <f t="shared" si="9"/>
        <v>13164</v>
      </c>
      <c r="M103" s="24">
        <v>31000000</v>
      </c>
      <c r="N103" s="39">
        <v>46036</v>
      </c>
    </row>
    <row r="104" spans="1:14" s="5" customFormat="1" outlineLevel="2">
      <c r="A104" s="39" t="s">
        <v>78</v>
      </c>
      <c r="B104" s="40" t="s">
        <v>106</v>
      </c>
      <c r="C104" s="41" t="s">
        <v>93</v>
      </c>
      <c r="D104" s="40" t="s">
        <v>94</v>
      </c>
      <c r="E104" s="24">
        <v>7174630</v>
      </c>
      <c r="F104" s="39">
        <v>44203</v>
      </c>
      <c r="G104" s="24">
        <v>7174630</v>
      </c>
      <c r="H104" s="23">
        <v>5.0000000000000001E-3</v>
      </c>
      <c r="I104" s="39">
        <v>44470</v>
      </c>
      <c r="J104" s="39">
        <v>44500</v>
      </c>
      <c r="K104" s="24">
        <f t="shared" si="8"/>
        <v>31</v>
      </c>
      <c r="L104" s="24">
        <f t="shared" si="9"/>
        <v>3047</v>
      </c>
      <c r="M104" s="24">
        <v>7174630</v>
      </c>
      <c r="N104" s="39">
        <v>46028</v>
      </c>
    </row>
    <row r="105" spans="1:14" s="5" customFormat="1" outlineLevel="2">
      <c r="A105" s="39" t="s">
        <v>78</v>
      </c>
      <c r="B105" s="40" t="s">
        <v>59</v>
      </c>
      <c r="C105" s="41" t="s">
        <v>81</v>
      </c>
      <c r="D105" s="40" t="s">
        <v>82</v>
      </c>
      <c r="E105" s="24">
        <v>7000000</v>
      </c>
      <c r="F105" s="39">
        <v>44004</v>
      </c>
      <c r="G105" s="24">
        <v>5249995</v>
      </c>
      <c r="H105" s="23">
        <v>5.0000000000000001E-3</v>
      </c>
      <c r="I105" s="39">
        <v>44470</v>
      </c>
      <c r="J105" s="39">
        <v>44483</v>
      </c>
      <c r="K105" s="24">
        <f t="shared" si="8"/>
        <v>14</v>
      </c>
      <c r="L105" s="24">
        <f t="shared" si="9"/>
        <v>1007</v>
      </c>
      <c r="M105" s="24">
        <v>5133328</v>
      </c>
      <c r="N105" s="39">
        <v>45829</v>
      </c>
    </row>
    <row r="106" spans="1:14" s="5" customFormat="1" outlineLevel="2">
      <c r="A106" s="39" t="s">
        <v>78</v>
      </c>
      <c r="B106" s="40" t="s">
        <v>59</v>
      </c>
      <c r="C106" s="41" t="s">
        <v>81</v>
      </c>
      <c r="D106" s="40"/>
      <c r="E106" s="24"/>
      <c r="F106" s="39"/>
      <c r="G106" s="24">
        <v>5133328</v>
      </c>
      <c r="H106" s="23">
        <v>5.0000000000000001E-3</v>
      </c>
      <c r="I106" s="39">
        <v>44484</v>
      </c>
      <c r="J106" s="39">
        <v>44500</v>
      </c>
      <c r="K106" s="24">
        <f t="shared" si="8"/>
        <v>17</v>
      </c>
      <c r="L106" s="24">
        <f t="shared" si="9"/>
        <v>1195</v>
      </c>
      <c r="M106" s="24"/>
      <c r="N106" s="39">
        <v>45829</v>
      </c>
    </row>
    <row r="107" spans="1:14" s="5" customFormat="1" outlineLevel="2">
      <c r="A107" s="39" t="s">
        <v>78</v>
      </c>
      <c r="B107" s="40" t="s">
        <v>136</v>
      </c>
      <c r="C107" s="41" t="s">
        <v>95</v>
      </c>
      <c r="D107" s="40" t="s">
        <v>96</v>
      </c>
      <c r="E107" s="24">
        <v>3650000</v>
      </c>
      <c r="F107" s="39">
        <v>44246</v>
      </c>
      <c r="G107" s="24">
        <v>3650000</v>
      </c>
      <c r="H107" s="23">
        <v>5.0000000000000001E-3</v>
      </c>
      <c r="I107" s="39">
        <v>44470</v>
      </c>
      <c r="J107" s="39">
        <v>44500</v>
      </c>
      <c r="K107" s="24">
        <f t="shared" si="8"/>
        <v>31</v>
      </c>
      <c r="L107" s="24">
        <f t="shared" si="9"/>
        <v>1550</v>
      </c>
      <c r="M107" s="24">
        <v>3650000</v>
      </c>
      <c r="N107" s="39">
        <v>46071</v>
      </c>
    </row>
    <row r="108" spans="1:14" s="5" customFormat="1" outlineLevel="2">
      <c r="A108" s="39" t="s">
        <v>78</v>
      </c>
      <c r="B108" s="40" t="s">
        <v>137</v>
      </c>
      <c r="C108" s="41" t="s">
        <v>93</v>
      </c>
      <c r="D108" s="40" t="s">
        <v>94</v>
      </c>
      <c r="E108" s="24">
        <v>1028354</v>
      </c>
      <c r="F108" s="39">
        <v>44236</v>
      </c>
      <c r="G108" s="24">
        <v>1028354</v>
      </c>
      <c r="H108" s="23">
        <v>5.0000000000000001E-3</v>
      </c>
      <c r="I108" s="39">
        <v>44470</v>
      </c>
      <c r="J108" s="39">
        <v>44500</v>
      </c>
      <c r="K108" s="24">
        <f t="shared" si="8"/>
        <v>31</v>
      </c>
      <c r="L108" s="24">
        <f t="shared" si="9"/>
        <v>437</v>
      </c>
      <c r="M108" s="24">
        <v>1028354</v>
      </c>
      <c r="N108" s="39">
        <v>46061</v>
      </c>
    </row>
    <row r="109" spans="1:14" s="5" customFormat="1" outlineLevel="2">
      <c r="A109" s="39" t="s">
        <v>78</v>
      </c>
      <c r="B109" s="40" t="s">
        <v>138</v>
      </c>
      <c r="C109" s="41" t="s">
        <v>93</v>
      </c>
      <c r="D109" s="40" t="s">
        <v>94</v>
      </c>
      <c r="E109" s="24">
        <v>1983370</v>
      </c>
      <c r="F109" s="39">
        <v>44246</v>
      </c>
      <c r="G109" s="24">
        <v>1983370</v>
      </c>
      <c r="H109" s="23">
        <v>5.0000000000000001E-3</v>
      </c>
      <c r="I109" s="39">
        <v>44470</v>
      </c>
      <c r="J109" s="39">
        <v>44500</v>
      </c>
      <c r="K109" s="24">
        <f t="shared" si="8"/>
        <v>31</v>
      </c>
      <c r="L109" s="24">
        <f t="shared" si="9"/>
        <v>842</v>
      </c>
      <c r="M109" s="24">
        <v>1983370</v>
      </c>
      <c r="N109" s="39">
        <v>46071</v>
      </c>
    </row>
    <row r="110" spans="1:14" s="5" customFormat="1" outlineLevel="2">
      <c r="A110" s="39" t="s">
        <v>78</v>
      </c>
      <c r="B110" s="40" t="s">
        <v>139</v>
      </c>
      <c r="C110" s="41" t="s">
        <v>306</v>
      </c>
      <c r="D110" s="40" t="s">
        <v>305</v>
      </c>
      <c r="E110" s="24">
        <v>10000000</v>
      </c>
      <c r="F110" s="39">
        <v>44252</v>
      </c>
      <c r="G110" s="24">
        <v>10000000</v>
      </c>
      <c r="H110" s="23">
        <v>5.0000000000000001E-3</v>
      </c>
      <c r="I110" s="39">
        <v>44470</v>
      </c>
      <c r="J110" s="39">
        <v>44500</v>
      </c>
      <c r="K110" s="24">
        <f t="shared" si="8"/>
        <v>31</v>
      </c>
      <c r="L110" s="24">
        <f t="shared" si="9"/>
        <v>4247</v>
      </c>
      <c r="M110" s="24">
        <v>10000000</v>
      </c>
      <c r="N110" s="39">
        <v>46077</v>
      </c>
    </row>
    <row r="111" spans="1:14" s="5" customFormat="1" outlineLevel="2">
      <c r="A111" s="39" t="s">
        <v>78</v>
      </c>
      <c r="B111" s="40" t="s">
        <v>140</v>
      </c>
      <c r="C111" s="41" t="s">
        <v>85</v>
      </c>
      <c r="D111" s="40" t="s">
        <v>86</v>
      </c>
      <c r="E111" s="24">
        <v>67620000</v>
      </c>
      <c r="F111" s="39">
        <v>44253</v>
      </c>
      <c r="G111" s="24">
        <v>67620000</v>
      </c>
      <c r="H111" s="23">
        <v>5.0000000000000001E-3</v>
      </c>
      <c r="I111" s="39">
        <v>44470</v>
      </c>
      <c r="J111" s="39">
        <v>44500</v>
      </c>
      <c r="K111" s="24">
        <f t="shared" si="8"/>
        <v>31</v>
      </c>
      <c r="L111" s="24">
        <f t="shared" si="9"/>
        <v>28715</v>
      </c>
      <c r="M111" s="24">
        <v>67620000</v>
      </c>
      <c r="N111" s="39">
        <v>46078</v>
      </c>
    </row>
    <row r="112" spans="1:14" s="5" customFormat="1" outlineLevel="2">
      <c r="A112" s="39" t="s">
        <v>78</v>
      </c>
      <c r="B112" s="40" t="s">
        <v>169</v>
      </c>
      <c r="C112" s="41" t="s">
        <v>91</v>
      </c>
      <c r="D112" s="40" t="s">
        <v>92</v>
      </c>
      <c r="E112" s="24">
        <v>33000000</v>
      </c>
      <c r="F112" s="39">
        <v>44270</v>
      </c>
      <c r="G112" s="24">
        <v>33000000</v>
      </c>
      <c r="H112" s="23">
        <v>5.0000000000000001E-3</v>
      </c>
      <c r="I112" s="39">
        <v>44470</v>
      </c>
      <c r="J112" s="39">
        <v>44500</v>
      </c>
      <c r="K112" s="24">
        <f t="shared" si="8"/>
        <v>31</v>
      </c>
      <c r="L112" s="24">
        <f t="shared" si="9"/>
        <v>14014</v>
      </c>
      <c r="M112" s="24">
        <v>33000000</v>
      </c>
      <c r="N112" s="39">
        <v>46095</v>
      </c>
    </row>
    <row r="113" spans="1:14" s="5" customFormat="1" outlineLevel="2">
      <c r="A113" s="39" t="s">
        <v>78</v>
      </c>
      <c r="B113" s="40" t="s">
        <v>170</v>
      </c>
      <c r="C113" s="41" t="s">
        <v>91</v>
      </c>
      <c r="D113" s="40" t="s">
        <v>92</v>
      </c>
      <c r="E113" s="24">
        <v>38900000</v>
      </c>
      <c r="F113" s="39">
        <v>44270</v>
      </c>
      <c r="G113" s="24">
        <v>38900000</v>
      </c>
      <c r="H113" s="23">
        <v>5.0000000000000001E-3</v>
      </c>
      <c r="I113" s="39">
        <v>44470</v>
      </c>
      <c r="J113" s="39">
        <v>44500</v>
      </c>
      <c r="K113" s="24">
        <f t="shared" si="8"/>
        <v>31</v>
      </c>
      <c r="L113" s="24">
        <f t="shared" si="9"/>
        <v>16519</v>
      </c>
      <c r="M113" s="24">
        <v>38900000</v>
      </c>
      <c r="N113" s="39">
        <v>46095</v>
      </c>
    </row>
    <row r="114" spans="1:14" s="5" customFormat="1" outlineLevel="2">
      <c r="A114" s="39" t="s">
        <v>78</v>
      </c>
      <c r="B114" s="40" t="s">
        <v>171</v>
      </c>
      <c r="C114" s="41" t="s">
        <v>81</v>
      </c>
      <c r="D114" s="40" t="s">
        <v>82</v>
      </c>
      <c r="E114" s="24">
        <v>6800000</v>
      </c>
      <c r="F114" s="39">
        <v>44272</v>
      </c>
      <c r="G114" s="24">
        <v>5999996</v>
      </c>
      <c r="H114" s="23">
        <v>5.0000000000000001E-3</v>
      </c>
      <c r="I114" s="39">
        <v>44470</v>
      </c>
      <c r="J114" s="39">
        <v>44483</v>
      </c>
      <c r="K114" s="24">
        <f t="shared" si="8"/>
        <v>14</v>
      </c>
      <c r="L114" s="24">
        <f t="shared" si="9"/>
        <v>1151</v>
      </c>
      <c r="M114" s="24">
        <v>5866662</v>
      </c>
      <c r="N114" s="39">
        <v>46097</v>
      </c>
    </row>
    <row r="115" spans="1:14" s="5" customFormat="1" outlineLevel="2">
      <c r="A115" s="39" t="s">
        <v>78</v>
      </c>
      <c r="B115" s="40" t="s">
        <v>171</v>
      </c>
      <c r="C115" s="41" t="s">
        <v>81</v>
      </c>
      <c r="D115" s="40"/>
      <c r="E115" s="24"/>
      <c r="F115" s="39"/>
      <c r="G115" s="24">
        <v>5866662</v>
      </c>
      <c r="H115" s="23">
        <v>5.0000000000000001E-3</v>
      </c>
      <c r="I115" s="39">
        <v>44484</v>
      </c>
      <c r="J115" s="39">
        <v>44500</v>
      </c>
      <c r="K115" s="24">
        <f t="shared" si="8"/>
        <v>17</v>
      </c>
      <c r="L115" s="24">
        <f t="shared" si="9"/>
        <v>1366</v>
      </c>
      <c r="M115" s="24"/>
      <c r="N115" s="39">
        <v>46097</v>
      </c>
    </row>
    <row r="116" spans="1:14" s="5" customFormat="1" outlineLevel="2">
      <c r="A116" s="39" t="s">
        <v>78</v>
      </c>
      <c r="B116" s="40" t="s">
        <v>172</v>
      </c>
      <c r="C116" s="41" t="s">
        <v>81</v>
      </c>
      <c r="D116" s="40" t="s">
        <v>82</v>
      </c>
      <c r="E116" s="24">
        <v>5540000</v>
      </c>
      <c r="F116" s="39">
        <v>44285</v>
      </c>
      <c r="G116" s="24">
        <v>4888232</v>
      </c>
      <c r="H116" s="23">
        <v>5.0000000000000001E-3</v>
      </c>
      <c r="I116" s="39">
        <v>44470</v>
      </c>
      <c r="J116" s="39">
        <v>44483</v>
      </c>
      <c r="K116" s="24">
        <f t="shared" si="8"/>
        <v>14</v>
      </c>
      <c r="L116" s="24">
        <f t="shared" si="9"/>
        <v>937</v>
      </c>
      <c r="M116" s="24">
        <v>4779604</v>
      </c>
      <c r="N116" s="39">
        <v>46110</v>
      </c>
    </row>
    <row r="117" spans="1:14" s="5" customFormat="1" outlineLevel="2">
      <c r="A117" s="39" t="s">
        <v>78</v>
      </c>
      <c r="B117" s="40" t="s">
        <v>172</v>
      </c>
      <c r="C117" s="41" t="s">
        <v>81</v>
      </c>
      <c r="D117" s="40"/>
      <c r="E117" s="24"/>
      <c r="F117" s="39"/>
      <c r="G117" s="24">
        <v>4779604</v>
      </c>
      <c r="H117" s="23">
        <v>5.0000000000000001E-3</v>
      </c>
      <c r="I117" s="39">
        <v>44484</v>
      </c>
      <c r="J117" s="39">
        <v>44500</v>
      </c>
      <c r="K117" s="24">
        <f t="shared" si="8"/>
        <v>17</v>
      </c>
      <c r="L117" s="24">
        <f t="shared" si="9"/>
        <v>1113</v>
      </c>
      <c r="M117" s="24"/>
      <c r="N117" s="39">
        <v>46110</v>
      </c>
    </row>
    <row r="118" spans="1:14" s="5" customFormat="1" outlineLevel="2">
      <c r="A118" s="39" t="s">
        <v>78</v>
      </c>
      <c r="B118" s="40" t="s">
        <v>173</v>
      </c>
      <c r="C118" s="41" t="s">
        <v>337</v>
      </c>
      <c r="D118" s="40" t="s">
        <v>336</v>
      </c>
      <c r="E118" s="24">
        <v>30000000</v>
      </c>
      <c r="F118" s="39">
        <v>44286</v>
      </c>
      <c r="G118" s="24">
        <v>27000000</v>
      </c>
      <c r="H118" s="23">
        <v>5.0000000000000001E-3</v>
      </c>
      <c r="I118" s="39">
        <v>44470</v>
      </c>
      <c r="J118" s="39">
        <v>44483</v>
      </c>
      <c r="K118" s="24">
        <f t="shared" si="8"/>
        <v>14</v>
      </c>
      <c r="L118" s="24">
        <f t="shared" si="9"/>
        <v>5178</v>
      </c>
      <c r="M118" s="24">
        <v>26500000</v>
      </c>
      <c r="N118" s="39">
        <v>46111</v>
      </c>
    </row>
    <row r="119" spans="1:14" s="5" customFormat="1" outlineLevel="2">
      <c r="A119" s="39" t="s">
        <v>78</v>
      </c>
      <c r="B119" s="40" t="s">
        <v>173</v>
      </c>
      <c r="C119" s="41" t="s">
        <v>337</v>
      </c>
      <c r="D119" s="40"/>
      <c r="E119" s="24"/>
      <c r="F119" s="39"/>
      <c r="G119" s="24">
        <v>26500000</v>
      </c>
      <c r="H119" s="23">
        <v>5.0000000000000001E-3</v>
      </c>
      <c r="I119" s="39">
        <v>44484</v>
      </c>
      <c r="J119" s="39">
        <v>44500</v>
      </c>
      <c r="K119" s="24">
        <f t="shared" si="8"/>
        <v>17</v>
      </c>
      <c r="L119" s="24">
        <f t="shared" si="9"/>
        <v>6171</v>
      </c>
      <c r="M119" s="24"/>
      <c r="N119" s="39">
        <v>46111</v>
      </c>
    </row>
    <row r="120" spans="1:14" s="5" customFormat="1" outlineLevel="2">
      <c r="A120" s="39" t="s">
        <v>78</v>
      </c>
      <c r="B120" s="40" t="s">
        <v>62</v>
      </c>
      <c r="C120" s="41" t="s">
        <v>83</v>
      </c>
      <c r="D120" s="40" t="s">
        <v>84</v>
      </c>
      <c r="E120" s="24">
        <v>298410000</v>
      </c>
      <c r="F120" s="39">
        <v>44006</v>
      </c>
      <c r="G120" s="24">
        <v>298410000</v>
      </c>
      <c r="H120" s="23">
        <v>5.0000000000000001E-3</v>
      </c>
      <c r="I120" s="39">
        <v>44470</v>
      </c>
      <c r="J120" s="39">
        <v>44500</v>
      </c>
      <c r="K120" s="24">
        <f t="shared" si="8"/>
        <v>31</v>
      </c>
      <c r="L120" s="24">
        <f t="shared" si="9"/>
        <v>126722</v>
      </c>
      <c r="M120" s="24">
        <v>298410000</v>
      </c>
      <c r="N120" s="39">
        <v>45831</v>
      </c>
    </row>
    <row r="121" spans="1:14" s="5" customFormat="1" outlineLevel="2">
      <c r="A121" s="39" t="s">
        <v>78</v>
      </c>
      <c r="B121" s="40" t="s">
        <v>174</v>
      </c>
      <c r="C121" s="41" t="s">
        <v>155</v>
      </c>
      <c r="D121" s="40" t="s">
        <v>156</v>
      </c>
      <c r="E121" s="24">
        <v>120000000</v>
      </c>
      <c r="F121" s="39">
        <v>44270</v>
      </c>
      <c r="G121" s="24">
        <v>120000000</v>
      </c>
      <c r="H121" s="23">
        <v>5.0000000000000001E-3</v>
      </c>
      <c r="I121" s="39">
        <v>44470</v>
      </c>
      <c r="J121" s="39">
        <v>44500</v>
      </c>
      <c r="K121" s="24">
        <f t="shared" si="8"/>
        <v>31</v>
      </c>
      <c r="L121" s="24">
        <f t="shared" si="9"/>
        <v>50959</v>
      </c>
      <c r="M121" s="24">
        <v>120000000</v>
      </c>
      <c r="N121" s="39">
        <v>46095</v>
      </c>
    </row>
    <row r="122" spans="1:14" s="5" customFormat="1" outlineLevel="2">
      <c r="A122" s="39" t="s">
        <v>78</v>
      </c>
      <c r="B122" s="40" t="s">
        <v>175</v>
      </c>
      <c r="C122" s="41" t="s">
        <v>91</v>
      </c>
      <c r="D122" s="40" t="s">
        <v>92</v>
      </c>
      <c r="E122" s="24">
        <v>30400000</v>
      </c>
      <c r="F122" s="39">
        <v>44301</v>
      </c>
      <c r="G122" s="24">
        <v>30400000</v>
      </c>
      <c r="H122" s="23">
        <v>5.0000000000000001E-3</v>
      </c>
      <c r="I122" s="39">
        <v>44470</v>
      </c>
      <c r="J122" s="39">
        <v>44500</v>
      </c>
      <c r="K122" s="24">
        <f t="shared" si="8"/>
        <v>31</v>
      </c>
      <c r="L122" s="24">
        <f t="shared" si="9"/>
        <v>12910</v>
      </c>
      <c r="M122" s="24">
        <v>30400000</v>
      </c>
      <c r="N122" s="39">
        <v>46126</v>
      </c>
    </row>
    <row r="123" spans="1:14" s="5" customFormat="1" outlineLevel="2">
      <c r="A123" s="39" t="s">
        <v>78</v>
      </c>
      <c r="B123" s="40" t="s">
        <v>176</v>
      </c>
      <c r="C123" s="41" t="s">
        <v>337</v>
      </c>
      <c r="D123" s="40" t="s">
        <v>336</v>
      </c>
      <c r="E123" s="24">
        <v>20000000</v>
      </c>
      <c r="F123" s="39">
        <v>44315</v>
      </c>
      <c r="G123" s="24">
        <v>18305085</v>
      </c>
      <c r="H123" s="23">
        <v>5.0000000000000001E-3</v>
      </c>
      <c r="I123" s="39">
        <v>44470</v>
      </c>
      <c r="J123" s="39">
        <v>44483</v>
      </c>
      <c r="K123" s="24">
        <f t="shared" si="8"/>
        <v>14</v>
      </c>
      <c r="L123" s="24">
        <f t="shared" si="9"/>
        <v>3511</v>
      </c>
      <c r="M123" s="24">
        <v>17966102</v>
      </c>
      <c r="N123" s="39">
        <v>46140</v>
      </c>
    </row>
    <row r="124" spans="1:14" s="5" customFormat="1" outlineLevel="2">
      <c r="A124" s="39" t="s">
        <v>78</v>
      </c>
      <c r="B124" s="40" t="s">
        <v>176</v>
      </c>
      <c r="C124" s="41" t="s">
        <v>337</v>
      </c>
      <c r="D124" s="40"/>
      <c r="E124" s="24"/>
      <c r="F124" s="39"/>
      <c r="G124" s="24">
        <v>17966102</v>
      </c>
      <c r="H124" s="23">
        <v>5.0000000000000001E-3</v>
      </c>
      <c r="I124" s="39">
        <v>44484</v>
      </c>
      <c r="J124" s="39">
        <v>44500</v>
      </c>
      <c r="K124" s="24">
        <f t="shared" si="8"/>
        <v>17</v>
      </c>
      <c r="L124" s="24">
        <f t="shared" si="9"/>
        <v>4184</v>
      </c>
      <c r="M124" s="24"/>
      <c r="N124" s="39">
        <v>46140</v>
      </c>
    </row>
    <row r="125" spans="1:14" s="5" customFormat="1" outlineLevel="2">
      <c r="A125" s="39" t="s">
        <v>78</v>
      </c>
      <c r="B125" s="40" t="s">
        <v>177</v>
      </c>
      <c r="C125" s="41" t="s">
        <v>85</v>
      </c>
      <c r="D125" s="40" t="s">
        <v>86</v>
      </c>
      <c r="E125" s="24">
        <v>50000000</v>
      </c>
      <c r="F125" s="39">
        <v>44315</v>
      </c>
      <c r="G125" s="24">
        <v>50000000</v>
      </c>
      <c r="H125" s="23">
        <v>5.0000000000000001E-3</v>
      </c>
      <c r="I125" s="39">
        <v>44470</v>
      </c>
      <c r="J125" s="39">
        <v>44500</v>
      </c>
      <c r="K125" s="24">
        <f t="shared" si="8"/>
        <v>31</v>
      </c>
      <c r="L125" s="24">
        <f t="shared" si="9"/>
        <v>21233</v>
      </c>
      <c r="M125" s="24">
        <v>50000000</v>
      </c>
      <c r="N125" s="39">
        <v>46140</v>
      </c>
    </row>
    <row r="126" spans="1:14" s="5" customFormat="1" outlineLevel="2">
      <c r="A126" s="39" t="s">
        <v>78</v>
      </c>
      <c r="B126" s="40" t="s">
        <v>178</v>
      </c>
      <c r="C126" s="41" t="s">
        <v>351</v>
      </c>
      <c r="D126" s="40" t="s">
        <v>350</v>
      </c>
      <c r="E126" s="24">
        <v>8600000</v>
      </c>
      <c r="F126" s="39">
        <v>44312</v>
      </c>
      <c r="G126" s="24">
        <v>8600000</v>
      </c>
      <c r="H126" s="23">
        <v>5.0000000000000001E-3</v>
      </c>
      <c r="I126" s="39">
        <v>44470</v>
      </c>
      <c r="J126" s="39">
        <v>44500</v>
      </c>
      <c r="K126" s="24">
        <f t="shared" si="8"/>
        <v>31</v>
      </c>
      <c r="L126" s="24">
        <f t="shared" si="9"/>
        <v>3652</v>
      </c>
      <c r="M126" s="24">
        <v>8600000</v>
      </c>
      <c r="N126" s="39">
        <v>46137</v>
      </c>
    </row>
    <row r="127" spans="1:14" s="5" customFormat="1" outlineLevel="2">
      <c r="A127" s="39" t="s">
        <v>78</v>
      </c>
      <c r="B127" s="40" t="s">
        <v>179</v>
      </c>
      <c r="C127" s="41" t="s">
        <v>93</v>
      </c>
      <c r="D127" s="40" t="s">
        <v>94</v>
      </c>
      <c r="E127" s="24">
        <v>6174000</v>
      </c>
      <c r="F127" s="39">
        <v>44326</v>
      </c>
      <c r="G127" s="24">
        <v>6174000</v>
      </c>
      <c r="H127" s="23">
        <v>5.0000000000000001E-3</v>
      </c>
      <c r="I127" s="39">
        <v>44470</v>
      </c>
      <c r="J127" s="39">
        <v>44500</v>
      </c>
      <c r="K127" s="24">
        <f t="shared" ref="K127:K158" si="10">J127-I127+1</f>
        <v>31</v>
      </c>
      <c r="L127" s="24">
        <f t="shared" ref="L127:L158" si="11">ROUND(G127*H127*K127/365,0)</f>
        <v>2622</v>
      </c>
      <c r="M127" s="24">
        <v>6174000</v>
      </c>
      <c r="N127" s="39">
        <v>46151</v>
      </c>
    </row>
    <row r="128" spans="1:14" s="5" customFormat="1" outlineLevel="2">
      <c r="A128" s="39" t="s">
        <v>78</v>
      </c>
      <c r="B128" s="40" t="s">
        <v>180</v>
      </c>
      <c r="C128" s="41" t="s">
        <v>91</v>
      </c>
      <c r="D128" s="40" t="s">
        <v>92</v>
      </c>
      <c r="E128" s="24">
        <v>50700000</v>
      </c>
      <c r="F128" s="39">
        <v>44333</v>
      </c>
      <c r="G128" s="24">
        <v>50700000</v>
      </c>
      <c r="H128" s="23">
        <v>5.0000000000000001E-3</v>
      </c>
      <c r="I128" s="39">
        <v>44470</v>
      </c>
      <c r="J128" s="39">
        <v>44500</v>
      </c>
      <c r="K128" s="24">
        <f t="shared" si="10"/>
        <v>31</v>
      </c>
      <c r="L128" s="24">
        <f t="shared" si="11"/>
        <v>21530</v>
      </c>
      <c r="M128" s="24">
        <v>50700000</v>
      </c>
      <c r="N128" s="39">
        <v>46158</v>
      </c>
    </row>
    <row r="129" spans="1:14" s="5" customFormat="1" outlineLevel="2">
      <c r="A129" s="39" t="s">
        <v>78</v>
      </c>
      <c r="B129" s="40" t="s">
        <v>181</v>
      </c>
      <c r="C129" s="41" t="s">
        <v>91</v>
      </c>
      <c r="D129" s="40" t="s">
        <v>92</v>
      </c>
      <c r="E129" s="24">
        <v>1700000</v>
      </c>
      <c r="F129" s="39">
        <v>44333</v>
      </c>
      <c r="G129" s="24">
        <v>1700000</v>
      </c>
      <c r="H129" s="23">
        <v>5.0000000000000001E-3</v>
      </c>
      <c r="I129" s="39">
        <v>44470</v>
      </c>
      <c r="J129" s="39">
        <v>44500</v>
      </c>
      <c r="K129" s="24">
        <f t="shared" si="10"/>
        <v>31</v>
      </c>
      <c r="L129" s="24">
        <f t="shared" si="11"/>
        <v>722</v>
      </c>
      <c r="M129" s="24">
        <v>1700000</v>
      </c>
      <c r="N129" s="39">
        <v>46158</v>
      </c>
    </row>
    <row r="130" spans="1:14" s="5" customFormat="1" outlineLevel="2">
      <c r="A130" s="39" t="s">
        <v>78</v>
      </c>
      <c r="B130" s="40" t="s">
        <v>182</v>
      </c>
      <c r="C130" s="41" t="s">
        <v>351</v>
      </c>
      <c r="D130" s="40" t="s">
        <v>350</v>
      </c>
      <c r="E130" s="24">
        <v>6000000</v>
      </c>
      <c r="F130" s="39">
        <v>44335</v>
      </c>
      <c r="G130" s="24">
        <v>6000000</v>
      </c>
      <c r="H130" s="23">
        <v>5.0000000000000001E-3</v>
      </c>
      <c r="I130" s="39">
        <v>44470</v>
      </c>
      <c r="J130" s="39">
        <v>44500</v>
      </c>
      <c r="K130" s="24">
        <f t="shared" si="10"/>
        <v>31</v>
      </c>
      <c r="L130" s="24">
        <f t="shared" si="11"/>
        <v>2548</v>
      </c>
      <c r="M130" s="24">
        <v>6000000</v>
      </c>
      <c r="N130" s="39">
        <v>46160</v>
      </c>
    </row>
    <row r="131" spans="1:14" s="5" customFormat="1" outlineLevel="2">
      <c r="A131" s="39" t="s">
        <v>78</v>
      </c>
      <c r="B131" s="40" t="s">
        <v>183</v>
      </c>
      <c r="C131" s="41" t="s">
        <v>89</v>
      </c>
      <c r="D131" s="40" t="s">
        <v>90</v>
      </c>
      <c r="E131" s="24">
        <v>30200000</v>
      </c>
      <c r="F131" s="39">
        <v>44323</v>
      </c>
      <c r="G131" s="24">
        <v>30200000</v>
      </c>
      <c r="H131" s="23">
        <v>5.0000000000000001E-3</v>
      </c>
      <c r="I131" s="39">
        <v>44470</v>
      </c>
      <c r="J131" s="39">
        <v>44500</v>
      </c>
      <c r="K131" s="24">
        <f t="shared" si="10"/>
        <v>31</v>
      </c>
      <c r="L131" s="24">
        <f t="shared" si="11"/>
        <v>12825</v>
      </c>
      <c r="M131" s="24">
        <v>30200000</v>
      </c>
      <c r="N131" s="39">
        <v>46148</v>
      </c>
    </row>
    <row r="132" spans="1:14" s="5" customFormat="1" outlineLevel="2">
      <c r="A132" s="39" t="s">
        <v>78</v>
      </c>
      <c r="B132" s="40" t="s">
        <v>63</v>
      </c>
      <c r="C132" s="41" t="s">
        <v>83</v>
      </c>
      <c r="D132" s="40" t="s">
        <v>84</v>
      </c>
      <c r="E132" s="24">
        <v>95370000</v>
      </c>
      <c r="F132" s="39">
        <v>44006</v>
      </c>
      <c r="G132" s="24">
        <v>95370000</v>
      </c>
      <c r="H132" s="23">
        <v>5.0000000000000001E-3</v>
      </c>
      <c r="I132" s="39">
        <v>44470</v>
      </c>
      <c r="J132" s="39">
        <v>44500</v>
      </c>
      <c r="K132" s="24">
        <f t="shared" si="10"/>
        <v>31</v>
      </c>
      <c r="L132" s="24">
        <f t="shared" si="11"/>
        <v>40500</v>
      </c>
      <c r="M132" s="24">
        <v>95370000</v>
      </c>
      <c r="N132" s="39">
        <v>45831</v>
      </c>
    </row>
    <row r="133" spans="1:14" s="5" customFormat="1" outlineLevel="2">
      <c r="A133" s="39" t="s">
        <v>78</v>
      </c>
      <c r="B133" s="40" t="s">
        <v>184</v>
      </c>
      <c r="C133" s="41" t="s">
        <v>337</v>
      </c>
      <c r="D133" s="40" t="s">
        <v>336</v>
      </c>
      <c r="E133" s="24">
        <v>15000000</v>
      </c>
      <c r="F133" s="39">
        <v>44347</v>
      </c>
      <c r="G133" s="24">
        <v>13965516</v>
      </c>
      <c r="H133" s="23">
        <v>5.0000000000000001E-3</v>
      </c>
      <c r="I133" s="39">
        <v>44470</v>
      </c>
      <c r="J133" s="39">
        <v>44483</v>
      </c>
      <c r="K133" s="24">
        <f t="shared" si="10"/>
        <v>14</v>
      </c>
      <c r="L133" s="24">
        <f t="shared" si="11"/>
        <v>2678</v>
      </c>
      <c r="M133" s="24">
        <v>13706895</v>
      </c>
      <c r="N133" s="39">
        <v>46172</v>
      </c>
    </row>
    <row r="134" spans="1:14" s="5" customFormat="1" outlineLevel="2">
      <c r="A134" s="39" t="s">
        <v>78</v>
      </c>
      <c r="B134" s="40" t="s">
        <v>184</v>
      </c>
      <c r="C134" s="41" t="s">
        <v>337</v>
      </c>
      <c r="D134" s="40"/>
      <c r="E134" s="24"/>
      <c r="F134" s="39"/>
      <c r="G134" s="24">
        <v>13706895</v>
      </c>
      <c r="H134" s="23">
        <v>5.0000000000000001E-3</v>
      </c>
      <c r="I134" s="39">
        <v>44484</v>
      </c>
      <c r="J134" s="39">
        <v>44500</v>
      </c>
      <c r="K134" s="24">
        <f t="shared" si="10"/>
        <v>17</v>
      </c>
      <c r="L134" s="24">
        <f t="shared" si="11"/>
        <v>3192</v>
      </c>
      <c r="M134" s="24"/>
      <c r="N134" s="39">
        <v>46172</v>
      </c>
    </row>
    <row r="135" spans="1:14" s="5" customFormat="1" outlineLevel="2">
      <c r="A135" s="39" t="s">
        <v>78</v>
      </c>
      <c r="B135" s="40" t="s">
        <v>185</v>
      </c>
      <c r="C135" s="41" t="s">
        <v>83</v>
      </c>
      <c r="D135" s="40" t="s">
        <v>84</v>
      </c>
      <c r="E135" s="24">
        <v>388000000</v>
      </c>
      <c r="F135" s="39">
        <v>44344</v>
      </c>
      <c r="G135" s="24">
        <v>388000000</v>
      </c>
      <c r="H135" s="23">
        <v>3.0000000000000001E-3</v>
      </c>
      <c r="I135" s="39">
        <v>44470</v>
      </c>
      <c r="J135" s="39">
        <v>44500</v>
      </c>
      <c r="K135" s="24">
        <f t="shared" si="10"/>
        <v>31</v>
      </c>
      <c r="L135" s="24">
        <f t="shared" si="11"/>
        <v>98860</v>
      </c>
      <c r="M135" s="24">
        <v>388000000</v>
      </c>
      <c r="N135" s="39">
        <v>46169</v>
      </c>
    </row>
    <row r="136" spans="1:14" s="5" customFormat="1" outlineLevel="2">
      <c r="A136" s="39" t="s">
        <v>78</v>
      </c>
      <c r="B136" s="40" t="s">
        <v>186</v>
      </c>
      <c r="C136" s="41" t="s">
        <v>85</v>
      </c>
      <c r="D136" s="40" t="s">
        <v>86</v>
      </c>
      <c r="E136" s="24">
        <v>50000000</v>
      </c>
      <c r="F136" s="39">
        <v>44330</v>
      </c>
      <c r="G136" s="24">
        <v>50000000</v>
      </c>
      <c r="H136" s="23">
        <v>5.0000000000000001E-3</v>
      </c>
      <c r="I136" s="39">
        <v>44470</v>
      </c>
      <c r="J136" s="39">
        <v>44500</v>
      </c>
      <c r="K136" s="24">
        <f t="shared" si="10"/>
        <v>31</v>
      </c>
      <c r="L136" s="24">
        <f t="shared" si="11"/>
        <v>21233</v>
      </c>
      <c r="M136" s="24">
        <v>50000000</v>
      </c>
      <c r="N136" s="39">
        <v>46155</v>
      </c>
    </row>
    <row r="137" spans="1:14" s="5" customFormat="1" outlineLevel="2">
      <c r="A137" s="39" t="s">
        <v>78</v>
      </c>
      <c r="B137" s="40" t="s">
        <v>189</v>
      </c>
      <c r="C137" s="41" t="s">
        <v>85</v>
      </c>
      <c r="D137" s="40" t="s">
        <v>86</v>
      </c>
      <c r="E137" s="24">
        <v>50000000</v>
      </c>
      <c r="F137" s="39">
        <v>44344</v>
      </c>
      <c r="G137" s="24">
        <v>50000000</v>
      </c>
      <c r="H137" s="23">
        <v>5.0000000000000001E-3</v>
      </c>
      <c r="I137" s="39">
        <v>44470</v>
      </c>
      <c r="J137" s="39">
        <v>44500</v>
      </c>
      <c r="K137" s="24">
        <f t="shared" si="10"/>
        <v>31</v>
      </c>
      <c r="L137" s="24">
        <f t="shared" si="11"/>
        <v>21233</v>
      </c>
      <c r="M137" s="24">
        <v>50000000</v>
      </c>
      <c r="N137" s="39">
        <v>46169</v>
      </c>
    </row>
    <row r="138" spans="1:14" s="5" customFormat="1" outlineLevel="2">
      <c r="A138" s="39" t="s">
        <v>78</v>
      </c>
      <c r="B138" s="40" t="s">
        <v>190</v>
      </c>
      <c r="C138" s="41" t="s">
        <v>93</v>
      </c>
      <c r="D138" s="40" t="s">
        <v>94</v>
      </c>
      <c r="E138" s="24">
        <v>1351689</v>
      </c>
      <c r="F138" s="39">
        <v>44358</v>
      </c>
      <c r="G138" s="24">
        <v>1351689</v>
      </c>
      <c r="H138" s="23">
        <v>5.0000000000000001E-3</v>
      </c>
      <c r="I138" s="39">
        <v>44470</v>
      </c>
      <c r="J138" s="39">
        <v>44500</v>
      </c>
      <c r="K138" s="24">
        <f t="shared" si="10"/>
        <v>31</v>
      </c>
      <c r="L138" s="24">
        <f t="shared" si="11"/>
        <v>574</v>
      </c>
      <c r="M138" s="24">
        <v>1351689</v>
      </c>
      <c r="N138" s="39">
        <v>46183</v>
      </c>
    </row>
    <row r="139" spans="1:14" s="5" customFormat="1" outlineLevel="2">
      <c r="A139" s="39" t="s">
        <v>78</v>
      </c>
      <c r="B139" s="40" t="s">
        <v>191</v>
      </c>
      <c r="C139" s="41" t="s">
        <v>93</v>
      </c>
      <c r="D139" s="40" t="s">
        <v>94</v>
      </c>
      <c r="E139" s="24">
        <v>20000000</v>
      </c>
      <c r="F139" s="39">
        <v>44370</v>
      </c>
      <c r="G139" s="24">
        <v>20000000</v>
      </c>
      <c r="H139" s="23">
        <v>5.0000000000000001E-3</v>
      </c>
      <c r="I139" s="39">
        <v>44470</v>
      </c>
      <c r="J139" s="39">
        <v>44500</v>
      </c>
      <c r="K139" s="24">
        <f t="shared" si="10"/>
        <v>31</v>
      </c>
      <c r="L139" s="24">
        <f t="shared" si="11"/>
        <v>8493</v>
      </c>
      <c r="M139" s="24">
        <v>20000000</v>
      </c>
      <c r="N139" s="39">
        <v>46195</v>
      </c>
    </row>
    <row r="140" spans="1:14" s="5" customFormat="1" outlineLevel="2">
      <c r="A140" s="39" t="s">
        <v>78</v>
      </c>
      <c r="B140" s="40" t="s">
        <v>192</v>
      </c>
      <c r="C140" s="41" t="s">
        <v>93</v>
      </c>
      <c r="D140" s="40" t="s">
        <v>94</v>
      </c>
      <c r="E140" s="24">
        <v>8000000</v>
      </c>
      <c r="F140" s="39">
        <v>44370</v>
      </c>
      <c r="G140" s="24">
        <v>8000000</v>
      </c>
      <c r="H140" s="23">
        <v>5.0000000000000001E-3</v>
      </c>
      <c r="I140" s="39">
        <v>44470</v>
      </c>
      <c r="J140" s="39">
        <v>44500</v>
      </c>
      <c r="K140" s="24">
        <f t="shared" si="10"/>
        <v>31</v>
      </c>
      <c r="L140" s="24">
        <f t="shared" si="11"/>
        <v>3397</v>
      </c>
      <c r="M140" s="24">
        <v>8000000</v>
      </c>
      <c r="N140" s="39">
        <v>46195</v>
      </c>
    </row>
    <row r="141" spans="1:14" s="5" customFormat="1" outlineLevel="2">
      <c r="A141" s="39" t="s">
        <v>78</v>
      </c>
      <c r="B141" s="40" t="s">
        <v>193</v>
      </c>
      <c r="C141" s="41" t="s">
        <v>337</v>
      </c>
      <c r="D141" s="40" t="s">
        <v>336</v>
      </c>
      <c r="E141" s="24">
        <v>5000000</v>
      </c>
      <c r="F141" s="39">
        <v>44368</v>
      </c>
      <c r="G141" s="24">
        <v>4736840</v>
      </c>
      <c r="H141" s="23">
        <v>5.0000000000000001E-3</v>
      </c>
      <c r="I141" s="39">
        <v>44470</v>
      </c>
      <c r="J141" s="39">
        <v>44483</v>
      </c>
      <c r="K141" s="24">
        <f t="shared" si="10"/>
        <v>14</v>
      </c>
      <c r="L141" s="24">
        <f t="shared" si="11"/>
        <v>908</v>
      </c>
      <c r="M141" s="24">
        <v>4649120</v>
      </c>
      <c r="N141" s="39">
        <v>46193</v>
      </c>
    </row>
    <row r="142" spans="1:14" s="5" customFormat="1" outlineLevel="2">
      <c r="A142" s="39" t="s">
        <v>78</v>
      </c>
      <c r="B142" s="40" t="s">
        <v>193</v>
      </c>
      <c r="C142" s="41" t="s">
        <v>337</v>
      </c>
      <c r="D142" s="40"/>
      <c r="E142" s="24"/>
      <c r="F142" s="39"/>
      <c r="G142" s="24">
        <v>4649120</v>
      </c>
      <c r="H142" s="23">
        <v>5.0000000000000001E-3</v>
      </c>
      <c r="I142" s="39">
        <v>44484</v>
      </c>
      <c r="J142" s="39">
        <v>44500</v>
      </c>
      <c r="K142" s="24">
        <f t="shared" si="10"/>
        <v>17</v>
      </c>
      <c r="L142" s="24">
        <f t="shared" si="11"/>
        <v>1083</v>
      </c>
      <c r="M142" s="24"/>
      <c r="N142" s="39">
        <v>46193</v>
      </c>
    </row>
    <row r="143" spans="1:14" s="5" customFormat="1" outlineLevel="2">
      <c r="A143" s="39" t="s">
        <v>78</v>
      </c>
      <c r="B143" s="40" t="s">
        <v>194</v>
      </c>
      <c r="C143" s="41" t="s">
        <v>337</v>
      </c>
      <c r="D143" s="40" t="s">
        <v>336</v>
      </c>
      <c r="E143" s="24">
        <v>38000000</v>
      </c>
      <c r="F143" s="39">
        <v>44377</v>
      </c>
      <c r="G143" s="24">
        <v>35999999</v>
      </c>
      <c r="H143" s="23">
        <v>5.0000000000000001E-3</v>
      </c>
      <c r="I143" s="39">
        <v>44470</v>
      </c>
      <c r="J143" s="39">
        <v>44483</v>
      </c>
      <c r="K143" s="24">
        <f t="shared" si="10"/>
        <v>14</v>
      </c>
      <c r="L143" s="24">
        <f t="shared" si="11"/>
        <v>6904</v>
      </c>
      <c r="M143" s="24">
        <v>35333332</v>
      </c>
      <c r="N143" s="39">
        <v>46202</v>
      </c>
    </row>
    <row r="144" spans="1:14" s="5" customFormat="1" outlineLevel="2">
      <c r="A144" s="39" t="s">
        <v>78</v>
      </c>
      <c r="B144" s="40" t="s">
        <v>194</v>
      </c>
      <c r="C144" s="41" t="s">
        <v>337</v>
      </c>
      <c r="D144" s="40"/>
      <c r="E144" s="24"/>
      <c r="F144" s="39"/>
      <c r="G144" s="24">
        <v>35333332</v>
      </c>
      <c r="H144" s="23">
        <v>5.0000000000000001E-3</v>
      </c>
      <c r="I144" s="39">
        <v>44484</v>
      </c>
      <c r="J144" s="39">
        <v>44500</v>
      </c>
      <c r="K144" s="24">
        <f t="shared" si="10"/>
        <v>17</v>
      </c>
      <c r="L144" s="24">
        <f t="shared" si="11"/>
        <v>8228</v>
      </c>
      <c r="M144" s="24"/>
      <c r="N144" s="39">
        <v>46202</v>
      </c>
    </row>
    <row r="145" spans="1:14" s="5" customFormat="1" outlineLevel="2">
      <c r="A145" s="39" t="s">
        <v>78</v>
      </c>
      <c r="B145" s="40" t="s">
        <v>195</v>
      </c>
      <c r="C145" s="41" t="s">
        <v>85</v>
      </c>
      <c r="D145" s="40" t="s">
        <v>86</v>
      </c>
      <c r="E145" s="24">
        <v>50000000</v>
      </c>
      <c r="F145" s="39">
        <v>44349</v>
      </c>
      <c r="G145" s="24">
        <v>50000000</v>
      </c>
      <c r="H145" s="23">
        <v>5.0000000000000001E-3</v>
      </c>
      <c r="I145" s="39">
        <v>44470</v>
      </c>
      <c r="J145" s="39">
        <v>44500</v>
      </c>
      <c r="K145" s="24">
        <f t="shared" si="10"/>
        <v>31</v>
      </c>
      <c r="L145" s="24">
        <f t="shared" si="11"/>
        <v>21233</v>
      </c>
      <c r="M145" s="24">
        <v>50000000</v>
      </c>
      <c r="N145" s="39">
        <v>46174</v>
      </c>
    </row>
    <row r="146" spans="1:14" s="5" customFormat="1" outlineLevel="2">
      <c r="A146" s="39" t="s">
        <v>78</v>
      </c>
      <c r="B146" s="40" t="s">
        <v>64</v>
      </c>
      <c r="C146" s="41" t="s">
        <v>83</v>
      </c>
      <c r="D146" s="40" t="s">
        <v>84</v>
      </c>
      <c r="E146" s="24">
        <v>73910000</v>
      </c>
      <c r="F146" s="39">
        <v>44032</v>
      </c>
      <c r="G146" s="24">
        <v>73910000</v>
      </c>
      <c r="H146" s="23">
        <v>5.0000000000000001E-3</v>
      </c>
      <c r="I146" s="39">
        <v>44470</v>
      </c>
      <c r="J146" s="39">
        <v>44500</v>
      </c>
      <c r="K146" s="24">
        <f t="shared" si="10"/>
        <v>31</v>
      </c>
      <c r="L146" s="24">
        <f t="shared" si="11"/>
        <v>31386</v>
      </c>
      <c r="M146" s="24">
        <v>73910000</v>
      </c>
      <c r="N146" s="39">
        <v>45857</v>
      </c>
    </row>
    <row r="147" spans="1:14" s="5" customFormat="1" outlineLevel="2">
      <c r="A147" s="39" t="s">
        <v>78</v>
      </c>
      <c r="B147" s="40" t="s">
        <v>196</v>
      </c>
      <c r="C147" s="41" t="s">
        <v>91</v>
      </c>
      <c r="D147" s="40" t="s">
        <v>92</v>
      </c>
      <c r="E147" s="24">
        <v>23000000</v>
      </c>
      <c r="F147" s="39">
        <v>44365</v>
      </c>
      <c r="G147" s="24">
        <v>23000000</v>
      </c>
      <c r="H147" s="23">
        <v>5.0000000000000001E-3</v>
      </c>
      <c r="I147" s="39">
        <v>44470</v>
      </c>
      <c r="J147" s="39">
        <v>44500</v>
      </c>
      <c r="K147" s="24">
        <f t="shared" si="10"/>
        <v>31</v>
      </c>
      <c r="L147" s="24">
        <f t="shared" si="11"/>
        <v>9767</v>
      </c>
      <c r="M147" s="24">
        <v>23000000</v>
      </c>
      <c r="N147" s="39">
        <v>46190</v>
      </c>
    </row>
    <row r="148" spans="1:14" s="5" customFormat="1" outlineLevel="2">
      <c r="A148" s="39" t="s">
        <v>78</v>
      </c>
      <c r="B148" s="40" t="s">
        <v>197</v>
      </c>
      <c r="C148" s="41" t="s">
        <v>93</v>
      </c>
      <c r="D148" s="40" t="s">
        <v>94</v>
      </c>
      <c r="E148" s="24">
        <v>20000000</v>
      </c>
      <c r="F148" s="39">
        <v>44378</v>
      </c>
      <c r="G148" s="24">
        <v>20000000</v>
      </c>
      <c r="H148" s="23">
        <v>5.0000000000000001E-3</v>
      </c>
      <c r="I148" s="39">
        <v>44470</v>
      </c>
      <c r="J148" s="39">
        <v>44500</v>
      </c>
      <c r="K148" s="24">
        <f t="shared" si="10"/>
        <v>31</v>
      </c>
      <c r="L148" s="24">
        <f t="shared" si="11"/>
        <v>8493</v>
      </c>
      <c r="M148" s="24">
        <v>20000000</v>
      </c>
      <c r="N148" s="39">
        <v>46203</v>
      </c>
    </row>
    <row r="149" spans="1:14" s="5" customFormat="1" outlineLevel="2">
      <c r="A149" s="39" t="s">
        <v>78</v>
      </c>
      <c r="B149" s="40" t="s">
        <v>198</v>
      </c>
      <c r="C149" s="41" t="s">
        <v>91</v>
      </c>
      <c r="D149" s="40" t="s">
        <v>92</v>
      </c>
      <c r="E149" s="24">
        <v>81100000</v>
      </c>
      <c r="F149" s="39">
        <v>44392</v>
      </c>
      <c r="G149" s="24">
        <v>81100000</v>
      </c>
      <c r="H149" s="23">
        <v>5.0000000000000001E-3</v>
      </c>
      <c r="I149" s="39">
        <v>44470</v>
      </c>
      <c r="J149" s="39">
        <v>44500</v>
      </c>
      <c r="K149" s="24">
        <f t="shared" si="10"/>
        <v>31</v>
      </c>
      <c r="L149" s="24">
        <f t="shared" si="11"/>
        <v>34440</v>
      </c>
      <c r="M149" s="24">
        <v>81100000</v>
      </c>
      <c r="N149" s="39">
        <v>46217</v>
      </c>
    </row>
    <row r="150" spans="1:14" s="5" customFormat="1" outlineLevel="2">
      <c r="A150" s="39" t="s">
        <v>78</v>
      </c>
      <c r="B150" s="40" t="s">
        <v>199</v>
      </c>
      <c r="C150" s="41" t="s">
        <v>91</v>
      </c>
      <c r="D150" s="40" t="s">
        <v>92</v>
      </c>
      <c r="E150" s="24">
        <v>34200000</v>
      </c>
      <c r="F150" s="39">
        <v>44392</v>
      </c>
      <c r="G150" s="24">
        <v>34200000</v>
      </c>
      <c r="H150" s="23">
        <v>5.0000000000000001E-3</v>
      </c>
      <c r="I150" s="39">
        <v>44470</v>
      </c>
      <c r="J150" s="39">
        <v>44500</v>
      </c>
      <c r="K150" s="24">
        <f t="shared" si="10"/>
        <v>31</v>
      </c>
      <c r="L150" s="24">
        <f t="shared" si="11"/>
        <v>14523</v>
      </c>
      <c r="M150" s="24">
        <v>34200000</v>
      </c>
      <c r="N150" s="39">
        <v>46217</v>
      </c>
    </row>
    <row r="151" spans="1:14" s="5" customFormat="1" outlineLevel="2">
      <c r="A151" s="39" t="s">
        <v>78</v>
      </c>
      <c r="B151" s="40" t="s">
        <v>200</v>
      </c>
      <c r="C151" s="41" t="s">
        <v>93</v>
      </c>
      <c r="D151" s="40" t="s">
        <v>94</v>
      </c>
      <c r="E151" s="24">
        <v>656620</v>
      </c>
      <c r="F151" s="39">
        <v>44418</v>
      </c>
      <c r="G151" s="24">
        <v>656620</v>
      </c>
      <c r="H151" s="23">
        <v>5.0000000000000001E-3</v>
      </c>
      <c r="I151" s="39">
        <v>44470</v>
      </c>
      <c r="J151" s="39">
        <v>44500</v>
      </c>
      <c r="K151" s="24">
        <f t="shared" si="10"/>
        <v>31</v>
      </c>
      <c r="L151" s="24">
        <f t="shared" si="11"/>
        <v>279</v>
      </c>
      <c r="M151" s="24">
        <v>656620</v>
      </c>
      <c r="N151" s="39">
        <v>46243</v>
      </c>
    </row>
    <row r="152" spans="1:14" s="5" customFormat="1" outlineLevel="2">
      <c r="A152" s="39" t="s">
        <v>78</v>
      </c>
      <c r="B152" s="40" t="s">
        <v>201</v>
      </c>
      <c r="C152" s="41" t="s">
        <v>93</v>
      </c>
      <c r="D152" s="40" t="s">
        <v>94</v>
      </c>
      <c r="E152" s="24">
        <v>1901460</v>
      </c>
      <c r="F152" s="39">
        <v>44433</v>
      </c>
      <c r="G152" s="24">
        <v>1901460</v>
      </c>
      <c r="H152" s="23">
        <v>5.0000000000000001E-3</v>
      </c>
      <c r="I152" s="39">
        <v>44470</v>
      </c>
      <c r="J152" s="39">
        <v>44500</v>
      </c>
      <c r="K152" s="24">
        <f t="shared" si="10"/>
        <v>31</v>
      </c>
      <c r="L152" s="24">
        <f t="shared" si="11"/>
        <v>807</v>
      </c>
      <c r="M152" s="24">
        <v>1901460</v>
      </c>
      <c r="N152" s="39">
        <v>46258</v>
      </c>
    </row>
    <row r="153" spans="1:14" s="5" customFormat="1" outlineLevel="2">
      <c r="A153" s="39" t="s">
        <v>78</v>
      </c>
      <c r="B153" s="40" t="s">
        <v>202</v>
      </c>
      <c r="C153" s="41" t="s">
        <v>93</v>
      </c>
      <c r="D153" s="40" t="s">
        <v>94</v>
      </c>
      <c r="E153" s="24">
        <v>217052</v>
      </c>
      <c r="F153" s="39">
        <v>44435</v>
      </c>
      <c r="G153" s="24">
        <v>217052</v>
      </c>
      <c r="H153" s="23">
        <v>5.0000000000000001E-3</v>
      </c>
      <c r="I153" s="39">
        <v>44470</v>
      </c>
      <c r="J153" s="39">
        <v>44500</v>
      </c>
      <c r="K153" s="24">
        <f t="shared" si="10"/>
        <v>31</v>
      </c>
      <c r="L153" s="24">
        <f t="shared" si="11"/>
        <v>92</v>
      </c>
      <c r="M153" s="24">
        <v>217052</v>
      </c>
      <c r="N153" s="39">
        <v>46260</v>
      </c>
    </row>
    <row r="154" spans="1:14" s="5" customFormat="1" outlineLevel="2">
      <c r="A154" s="39" t="s">
        <v>78</v>
      </c>
      <c r="B154" s="40" t="s">
        <v>203</v>
      </c>
      <c r="C154" s="41" t="s">
        <v>93</v>
      </c>
      <c r="D154" s="40" t="s">
        <v>94</v>
      </c>
      <c r="E154" s="24">
        <v>270720</v>
      </c>
      <c r="F154" s="39">
        <v>44435</v>
      </c>
      <c r="G154" s="24">
        <v>270720</v>
      </c>
      <c r="H154" s="23">
        <v>5.0000000000000001E-3</v>
      </c>
      <c r="I154" s="39">
        <v>44470</v>
      </c>
      <c r="J154" s="39">
        <v>44500</v>
      </c>
      <c r="K154" s="24">
        <f t="shared" si="10"/>
        <v>31</v>
      </c>
      <c r="L154" s="24">
        <f t="shared" si="11"/>
        <v>115</v>
      </c>
      <c r="M154" s="24">
        <v>270720</v>
      </c>
      <c r="N154" s="39">
        <v>46260</v>
      </c>
    </row>
    <row r="155" spans="1:14" s="5" customFormat="1" outlineLevel="2">
      <c r="A155" s="39" t="s">
        <v>78</v>
      </c>
      <c r="B155" s="40" t="s">
        <v>204</v>
      </c>
      <c r="C155" s="41" t="s">
        <v>93</v>
      </c>
      <c r="D155" s="40" t="s">
        <v>94</v>
      </c>
      <c r="E155" s="24">
        <v>6174000</v>
      </c>
      <c r="F155" s="39">
        <v>44428</v>
      </c>
      <c r="G155" s="24">
        <v>6174000</v>
      </c>
      <c r="H155" s="23">
        <v>5.0000000000000001E-3</v>
      </c>
      <c r="I155" s="39">
        <v>44470</v>
      </c>
      <c r="J155" s="39">
        <v>44500</v>
      </c>
      <c r="K155" s="24">
        <f t="shared" si="10"/>
        <v>31</v>
      </c>
      <c r="L155" s="24">
        <f t="shared" si="11"/>
        <v>2622</v>
      </c>
      <c r="M155" s="24">
        <v>6174000</v>
      </c>
      <c r="N155" s="39">
        <v>46253</v>
      </c>
    </row>
    <row r="156" spans="1:14" s="5" customFormat="1" outlineLevel="2">
      <c r="A156" s="39" t="s">
        <v>78</v>
      </c>
      <c r="B156" s="40" t="s">
        <v>205</v>
      </c>
      <c r="C156" s="41" t="s">
        <v>89</v>
      </c>
      <c r="D156" s="40" t="s">
        <v>90</v>
      </c>
      <c r="E156" s="24">
        <v>90000000</v>
      </c>
      <c r="F156" s="39">
        <v>44424</v>
      </c>
      <c r="G156" s="24">
        <v>90000000</v>
      </c>
      <c r="H156" s="23">
        <v>5.0000000000000001E-3</v>
      </c>
      <c r="I156" s="39">
        <v>44470</v>
      </c>
      <c r="J156" s="39">
        <v>44500</v>
      </c>
      <c r="K156" s="24">
        <f t="shared" si="10"/>
        <v>31</v>
      </c>
      <c r="L156" s="24">
        <f t="shared" si="11"/>
        <v>38219</v>
      </c>
      <c r="M156" s="24">
        <v>90000000</v>
      </c>
      <c r="N156" s="39">
        <v>46249</v>
      </c>
    </row>
    <row r="157" spans="1:14" s="5" customFormat="1" outlineLevel="2">
      <c r="A157" s="39" t="s">
        <v>78</v>
      </c>
      <c r="B157" s="40" t="s">
        <v>65</v>
      </c>
      <c r="C157" s="41" t="s">
        <v>83</v>
      </c>
      <c r="D157" s="40" t="s">
        <v>84</v>
      </c>
      <c r="E157" s="24">
        <v>291200000</v>
      </c>
      <c r="F157" s="39">
        <v>44032</v>
      </c>
      <c r="G157" s="24">
        <v>291200000</v>
      </c>
      <c r="H157" s="23">
        <v>3.0000000000000001E-3</v>
      </c>
      <c r="I157" s="39">
        <v>44470</v>
      </c>
      <c r="J157" s="39">
        <v>44500</v>
      </c>
      <c r="K157" s="24">
        <f t="shared" si="10"/>
        <v>31</v>
      </c>
      <c r="L157" s="24">
        <f t="shared" si="11"/>
        <v>74196</v>
      </c>
      <c r="M157" s="24">
        <v>291200000</v>
      </c>
      <c r="N157" s="39">
        <v>45857</v>
      </c>
    </row>
    <row r="158" spans="1:14" s="5" customFormat="1" outlineLevel="2">
      <c r="A158" s="39" t="s">
        <v>78</v>
      </c>
      <c r="B158" s="40" t="s">
        <v>206</v>
      </c>
      <c r="C158" s="41" t="s">
        <v>91</v>
      </c>
      <c r="D158" s="40" t="s">
        <v>92</v>
      </c>
      <c r="E158" s="24">
        <v>55900000</v>
      </c>
      <c r="F158" s="39">
        <v>44428</v>
      </c>
      <c r="G158" s="24">
        <v>55900000</v>
      </c>
      <c r="H158" s="23">
        <v>5.0000000000000001E-3</v>
      </c>
      <c r="I158" s="39">
        <v>44470</v>
      </c>
      <c r="J158" s="39">
        <v>44500</v>
      </c>
      <c r="K158" s="24">
        <f t="shared" si="10"/>
        <v>31</v>
      </c>
      <c r="L158" s="24">
        <f t="shared" si="11"/>
        <v>23738</v>
      </c>
      <c r="M158" s="24">
        <v>55900000</v>
      </c>
      <c r="N158" s="39">
        <v>46253</v>
      </c>
    </row>
    <row r="159" spans="1:14" s="5" customFormat="1" outlineLevel="2">
      <c r="A159" s="39" t="s">
        <v>78</v>
      </c>
      <c r="B159" s="40" t="s">
        <v>207</v>
      </c>
      <c r="C159" s="41" t="s">
        <v>97</v>
      </c>
      <c r="D159" s="40" t="s">
        <v>98</v>
      </c>
      <c r="E159" s="24">
        <v>16000000</v>
      </c>
      <c r="F159" s="39">
        <v>44413</v>
      </c>
      <c r="G159" s="24">
        <v>16000000</v>
      </c>
      <c r="H159" s="23">
        <v>5.0000000000000001E-3</v>
      </c>
      <c r="I159" s="39">
        <v>44470</v>
      </c>
      <c r="J159" s="39">
        <v>44500</v>
      </c>
      <c r="K159" s="24">
        <f t="shared" ref="K159:K190" si="12">J159-I159+1</f>
        <v>31</v>
      </c>
      <c r="L159" s="24">
        <f t="shared" ref="L159:L190" si="13">ROUND(G159*H159*K159/365,0)</f>
        <v>6795</v>
      </c>
      <c r="M159" s="24">
        <v>16000000</v>
      </c>
      <c r="N159" s="39">
        <v>46238</v>
      </c>
    </row>
    <row r="160" spans="1:14" s="5" customFormat="1" outlineLevel="2">
      <c r="A160" s="39" t="s">
        <v>78</v>
      </c>
      <c r="B160" s="40" t="s">
        <v>208</v>
      </c>
      <c r="C160" s="41" t="s">
        <v>85</v>
      </c>
      <c r="D160" s="40" t="s">
        <v>86</v>
      </c>
      <c r="E160" s="24">
        <v>35280000</v>
      </c>
      <c r="F160" s="39">
        <v>44411</v>
      </c>
      <c r="G160" s="24">
        <v>35280000</v>
      </c>
      <c r="H160" s="23">
        <v>5.0000000000000001E-3</v>
      </c>
      <c r="I160" s="39">
        <v>44470</v>
      </c>
      <c r="J160" s="39">
        <v>44500</v>
      </c>
      <c r="K160" s="24">
        <f t="shared" si="12"/>
        <v>31</v>
      </c>
      <c r="L160" s="24">
        <f t="shared" si="13"/>
        <v>14982</v>
      </c>
      <c r="M160" s="24">
        <v>35280000</v>
      </c>
      <c r="N160" s="39">
        <v>46236</v>
      </c>
    </row>
    <row r="161" spans="1:14" s="5" customFormat="1" outlineLevel="2">
      <c r="A161" s="39" t="s">
        <v>78</v>
      </c>
      <c r="B161" s="40" t="s">
        <v>209</v>
      </c>
      <c r="C161" s="41" t="s">
        <v>337</v>
      </c>
      <c r="D161" s="40" t="s">
        <v>336</v>
      </c>
      <c r="E161" s="24">
        <v>18000000</v>
      </c>
      <c r="F161" s="39">
        <v>44410</v>
      </c>
      <c r="G161" s="24">
        <v>17357142</v>
      </c>
      <c r="H161" s="23">
        <v>5.0000000000000001E-3</v>
      </c>
      <c r="I161" s="39">
        <v>44470</v>
      </c>
      <c r="J161" s="39">
        <v>44483</v>
      </c>
      <c r="K161" s="24">
        <f t="shared" si="12"/>
        <v>14</v>
      </c>
      <c r="L161" s="24">
        <f t="shared" si="13"/>
        <v>3329</v>
      </c>
      <c r="M161" s="24">
        <v>17035713</v>
      </c>
      <c r="N161" s="39">
        <v>46235</v>
      </c>
    </row>
    <row r="162" spans="1:14" s="5" customFormat="1" outlineLevel="2">
      <c r="A162" s="39" t="s">
        <v>78</v>
      </c>
      <c r="B162" s="40" t="s">
        <v>209</v>
      </c>
      <c r="C162" s="41" t="s">
        <v>337</v>
      </c>
      <c r="D162" s="40"/>
      <c r="E162" s="24"/>
      <c r="F162" s="39"/>
      <c r="G162" s="24">
        <v>17035713</v>
      </c>
      <c r="H162" s="23">
        <v>5.0000000000000001E-3</v>
      </c>
      <c r="I162" s="39">
        <v>44484</v>
      </c>
      <c r="J162" s="39">
        <v>44500</v>
      </c>
      <c r="K162" s="24">
        <f t="shared" si="12"/>
        <v>17</v>
      </c>
      <c r="L162" s="24">
        <f t="shared" si="13"/>
        <v>3967</v>
      </c>
      <c r="M162" s="24"/>
      <c r="N162" s="39">
        <v>46235</v>
      </c>
    </row>
    <row r="163" spans="1:14" s="5" customFormat="1" outlineLevel="2">
      <c r="A163" s="39" t="s">
        <v>78</v>
      </c>
      <c r="B163" s="40" t="s">
        <v>210</v>
      </c>
      <c r="C163" s="41" t="s">
        <v>337</v>
      </c>
      <c r="D163" s="40" t="s">
        <v>336</v>
      </c>
      <c r="E163" s="24">
        <v>20000000</v>
      </c>
      <c r="F163" s="39">
        <v>44439</v>
      </c>
      <c r="G163" s="24">
        <v>19636363</v>
      </c>
      <c r="H163" s="23">
        <v>5.0000000000000001E-3</v>
      </c>
      <c r="I163" s="39">
        <v>44470</v>
      </c>
      <c r="J163" s="39">
        <v>44483</v>
      </c>
      <c r="K163" s="24">
        <f t="shared" si="12"/>
        <v>14</v>
      </c>
      <c r="L163" s="24">
        <f t="shared" si="13"/>
        <v>3766</v>
      </c>
      <c r="M163" s="24">
        <v>19272726</v>
      </c>
      <c r="N163" s="39">
        <v>46264</v>
      </c>
    </row>
    <row r="164" spans="1:14" s="5" customFormat="1" outlineLevel="2">
      <c r="A164" s="39" t="s">
        <v>78</v>
      </c>
      <c r="B164" s="40" t="s">
        <v>210</v>
      </c>
      <c r="C164" s="41" t="s">
        <v>337</v>
      </c>
      <c r="D164" s="40"/>
      <c r="E164" s="24"/>
      <c r="F164" s="39"/>
      <c r="G164" s="24">
        <v>19272726</v>
      </c>
      <c r="H164" s="23">
        <v>5.0000000000000001E-3</v>
      </c>
      <c r="I164" s="39">
        <v>44484</v>
      </c>
      <c r="J164" s="39">
        <v>44500</v>
      </c>
      <c r="K164" s="24">
        <f t="shared" si="12"/>
        <v>17</v>
      </c>
      <c r="L164" s="24">
        <f t="shared" si="13"/>
        <v>4488</v>
      </c>
      <c r="M164" s="24"/>
      <c r="N164" s="39">
        <v>46264</v>
      </c>
    </row>
    <row r="165" spans="1:14" s="5" customFormat="1" outlineLevel="2">
      <c r="A165" s="39" t="s">
        <v>78</v>
      </c>
      <c r="B165" s="40" t="s">
        <v>211</v>
      </c>
      <c r="C165" s="41" t="s">
        <v>93</v>
      </c>
      <c r="D165" s="40" t="s">
        <v>94</v>
      </c>
      <c r="E165" s="24">
        <v>116395</v>
      </c>
      <c r="F165" s="39">
        <v>44449</v>
      </c>
      <c r="G165" s="24">
        <v>116395</v>
      </c>
      <c r="H165" s="23">
        <v>5.0000000000000001E-3</v>
      </c>
      <c r="I165" s="39">
        <v>44470</v>
      </c>
      <c r="J165" s="39">
        <v>44500</v>
      </c>
      <c r="K165" s="24">
        <f t="shared" si="12"/>
        <v>31</v>
      </c>
      <c r="L165" s="24">
        <f t="shared" si="13"/>
        <v>49</v>
      </c>
      <c r="M165" s="24">
        <v>116395</v>
      </c>
      <c r="N165" s="39">
        <v>46274</v>
      </c>
    </row>
    <row r="166" spans="1:14" s="5" customFormat="1" outlineLevel="2">
      <c r="A166" s="39" t="s">
        <v>78</v>
      </c>
      <c r="B166" s="40" t="s">
        <v>212</v>
      </c>
      <c r="C166" s="41" t="s">
        <v>93</v>
      </c>
      <c r="D166" s="40" t="s">
        <v>94</v>
      </c>
      <c r="E166" s="24">
        <v>541441</v>
      </c>
      <c r="F166" s="39">
        <v>44456</v>
      </c>
      <c r="G166" s="24">
        <v>541441</v>
      </c>
      <c r="H166" s="23">
        <v>5.0000000000000001E-3</v>
      </c>
      <c r="I166" s="39">
        <v>44470</v>
      </c>
      <c r="J166" s="39">
        <v>44500</v>
      </c>
      <c r="K166" s="24">
        <f t="shared" si="12"/>
        <v>31</v>
      </c>
      <c r="L166" s="24">
        <f t="shared" si="13"/>
        <v>230</v>
      </c>
      <c r="M166" s="24">
        <v>541441</v>
      </c>
      <c r="N166" s="39">
        <v>46281</v>
      </c>
    </row>
    <row r="167" spans="1:14" s="5" customFormat="1" outlineLevel="2">
      <c r="A167" s="39" t="s">
        <v>78</v>
      </c>
      <c r="B167" s="40" t="s">
        <v>213</v>
      </c>
      <c r="C167" s="41" t="s">
        <v>93</v>
      </c>
      <c r="D167" s="40" t="s">
        <v>94</v>
      </c>
      <c r="E167" s="24">
        <v>271956</v>
      </c>
      <c r="F167" s="39">
        <v>44463</v>
      </c>
      <c r="G167" s="24">
        <v>271956</v>
      </c>
      <c r="H167" s="23">
        <v>5.0000000000000001E-3</v>
      </c>
      <c r="I167" s="39">
        <v>44470</v>
      </c>
      <c r="J167" s="39">
        <v>44500</v>
      </c>
      <c r="K167" s="24">
        <f t="shared" si="12"/>
        <v>31</v>
      </c>
      <c r="L167" s="24">
        <f t="shared" si="13"/>
        <v>115</v>
      </c>
      <c r="M167" s="24">
        <v>271956</v>
      </c>
      <c r="N167" s="39">
        <v>46288</v>
      </c>
    </row>
    <row r="168" spans="1:14" s="5" customFormat="1" outlineLevel="2">
      <c r="A168" s="39" t="s">
        <v>78</v>
      </c>
      <c r="B168" s="40" t="s">
        <v>214</v>
      </c>
      <c r="C168" s="41" t="s">
        <v>83</v>
      </c>
      <c r="D168" s="40" t="s">
        <v>84</v>
      </c>
      <c r="E168" s="24">
        <v>82000000</v>
      </c>
      <c r="F168" s="39">
        <v>44463</v>
      </c>
      <c r="G168" s="24">
        <v>82000000</v>
      </c>
      <c r="H168" s="23">
        <v>5.0000000000000001E-3</v>
      </c>
      <c r="I168" s="39">
        <v>44470</v>
      </c>
      <c r="J168" s="39">
        <v>44500</v>
      </c>
      <c r="K168" s="24">
        <f t="shared" si="12"/>
        <v>31</v>
      </c>
      <c r="L168" s="24">
        <f t="shared" si="13"/>
        <v>34822</v>
      </c>
      <c r="M168" s="24">
        <v>82000000</v>
      </c>
      <c r="N168" s="39">
        <v>46288</v>
      </c>
    </row>
    <row r="169" spans="1:14" s="5" customFormat="1" outlineLevel="2">
      <c r="A169" s="39" t="s">
        <v>78</v>
      </c>
      <c r="B169" s="40" t="s">
        <v>215</v>
      </c>
      <c r="C169" s="41" t="s">
        <v>85</v>
      </c>
      <c r="D169" s="40" t="s">
        <v>86</v>
      </c>
      <c r="E169" s="24">
        <v>177410000</v>
      </c>
      <c r="F169" s="39">
        <v>44463</v>
      </c>
      <c r="G169" s="24">
        <v>177410000</v>
      </c>
      <c r="H169" s="23">
        <v>5.0000000000000001E-3</v>
      </c>
      <c r="I169" s="39">
        <v>44470</v>
      </c>
      <c r="J169" s="39">
        <v>44500</v>
      </c>
      <c r="K169" s="24">
        <f t="shared" si="12"/>
        <v>31</v>
      </c>
      <c r="L169" s="24">
        <f t="shared" si="13"/>
        <v>75338</v>
      </c>
      <c r="M169" s="24">
        <v>177410000</v>
      </c>
      <c r="N169" s="39">
        <v>46288</v>
      </c>
    </row>
    <row r="170" spans="1:14" s="5" customFormat="1" outlineLevel="2">
      <c r="A170" s="39" t="s">
        <v>78</v>
      </c>
      <c r="B170" s="40" t="s">
        <v>68</v>
      </c>
      <c r="C170" s="41" t="s">
        <v>81</v>
      </c>
      <c r="D170" s="40" t="s">
        <v>82</v>
      </c>
      <c r="E170" s="24">
        <v>10000000</v>
      </c>
      <c r="F170" s="39">
        <v>44025</v>
      </c>
      <c r="G170" s="24">
        <v>7627112</v>
      </c>
      <c r="H170" s="23">
        <v>5.0000000000000001E-3</v>
      </c>
      <c r="I170" s="39">
        <v>44470</v>
      </c>
      <c r="J170" s="39">
        <v>44483</v>
      </c>
      <c r="K170" s="24">
        <f t="shared" si="12"/>
        <v>14</v>
      </c>
      <c r="L170" s="24">
        <f t="shared" si="13"/>
        <v>1463</v>
      </c>
      <c r="M170" s="24">
        <v>7457620</v>
      </c>
      <c r="N170" s="39">
        <v>45850</v>
      </c>
    </row>
    <row r="171" spans="1:14" s="5" customFormat="1" outlineLevel="2">
      <c r="A171" s="39" t="s">
        <v>78</v>
      </c>
      <c r="B171" s="40" t="s">
        <v>68</v>
      </c>
      <c r="C171" s="41" t="s">
        <v>81</v>
      </c>
      <c r="D171" s="40"/>
      <c r="E171" s="24"/>
      <c r="F171" s="39"/>
      <c r="G171" s="24">
        <v>7457620</v>
      </c>
      <c r="H171" s="23">
        <v>5.0000000000000001E-3</v>
      </c>
      <c r="I171" s="39">
        <v>44484</v>
      </c>
      <c r="J171" s="39">
        <v>44500</v>
      </c>
      <c r="K171" s="24">
        <f t="shared" si="12"/>
        <v>17</v>
      </c>
      <c r="L171" s="24">
        <f t="shared" si="13"/>
        <v>1737</v>
      </c>
      <c r="M171" s="24"/>
      <c r="N171" s="39">
        <v>45850</v>
      </c>
    </row>
    <row r="172" spans="1:14" s="5" customFormat="1" outlineLevel="2">
      <c r="A172" s="39" t="s">
        <v>78</v>
      </c>
      <c r="B172" s="40" t="s">
        <v>216</v>
      </c>
      <c r="C172" s="41" t="s">
        <v>91</v>
      </c>
      <c r="D172" s="40" t="s">
        <v>92</v>
      </c>
      <c r="E172" s="24">
        <v>20300000</v>
      </c>
      <c r="F172" s="39">
        <v>44477</v>
      </c>
      <c r="G172" s="24">
        <v>20300000</v>
      </c>
      <c r="H172" s="23">
        <v>5.0000000000000001E-3</v>
      </c>
      <c r="I172" s="39">
        <v>44477</v>
      </c>
      <c r="J172" s="39">
        <v>44500</v>
      </c>
      <c r="K172" s="24">
        <f t="shared" si="12"/>
        <v>24</v>
      </c>
      <c r="L172" s="24">
        <f t="shared" si="13"/>
        <v>6674</v>
      </c>
      <c r="M172" s="24">
        <v>20300000</v>
      </c>
      <c r="N172" s="39">
        <v>46302</v>
      </c>
    </row>
    <row r="173" spans="1:14" s="5" customFormat="1" outlineLevel="2">
      <c r="A173" s="39" t="s">
        <v>78</v>
      </c>
      <c r="B173" s="40" t="s">
        <v>217</v>
      </c>
      <c r="C173" s="41" t="s">
        <v>91</v>
      </c>
      <c r="D173" s="40" t="s">
        <v>92</v>
      </c>
      <c r="E173" s="24">
        <v>40800000</v>
      </c>
      <c r="F173" s="39">
        <v>44477</v>
      </c>
      <c r="G173" s="24">
        <v>40800000</v>
      </c>
      <c r="H173" s="23">
        <v>5.0000000000000001E-3</v>
      </c>
      <c r="I173" s="39">
        <v>44477</v>
      </c>
      <c r="J173" s="39">
        <v>44500</v>
      </c>
      <c r="K173" s="24">
        <f t="shared" si="12"/>
        <v>24</v>
      </c>
      <c r="L173" s="24">
        <f t="shared" si="13"/>
        <v>13414</v>
      </c>
      <c r="M173" s="24">
        <v>40800000</v>
      </c>
      <c r="N173" s="39">
        <v>46302</v>
      </c>
    </row>
    <row r="174" spans="1:14" s="5" customFormat="1" outlineLevel="2">
      <c r="A174" s="39" t="s">
        <v>78</v>
      </c>
      <c r="B174" s="40" t="s">
        <v>218</v>
      </c>
      <c r="C174" s="41" t="s">
        <v>93</v>
      </c>
      <c r="D174" s="40" t="s">
        <v>94</v>
      </c>
      <c r="E174" s="24">
        <v>6174000</v>
      </c>
      <c r="F174" s="39">
        <v>44477</v>
      </c>
      <c r="G174" s="24">
        <v>6174000</v>
      </c>
      <c r="H174" s="23">
        <v>5.0000000000000001E-3</v>
      </c>
      <c r="I174" s="39">
        <v>44477</v>
      </c>
      <c r="J174" s="39">
        <v>44500</v>
      </c>
      <c r="K174" s="24">
        <f t="shared" si="12"/>
        <v>24</v>
      </c>
      <c r="L174" s="24">
        <f t="shared" si="13"/>
        <v>2030</v>
      </c>
      <c r="M174" s="24">
        <v>6174000</v>
      </c>
      <c r="N174" s="39">
        <v>46302</v>
      </c>
    </row>
    <row r="175" spans="1:14" s="5" customFormat="1" outlineLevel="2">
      <c r="A175" s="39" t="s">
        <v>78</v>
      </c>
      <c r="B175" s="40" t="s">
        <v>221</v>
      </c>
      <c r="C175" s="41" t="s">
        <v>93</v>
      </c>
      <c r="D175" s="40" t="s">
        <v>94</v>
      </c>
      <c r="E175" s="24">
        <v>8325880</v>
      </c>
      <c r="F175" s="39">
        <v>44477</v>
      </c>
      <c r="G175" s="24">
        <v>8325880</v>
      </c>
      <c r="H175" s="23">
        <v>5.0000000000000001E-3</v>
      </c>
      <c r="I175" s="39">
        <v>44477</v>
      </c>
      <c r="J175" s="39">
        <v>44500</v>
      </c>
      <c r="K175" s="24">
        <f t="shared" si="12"/>
        <v>24</v>
      </c>
      <c r="L175" s="24">
        <f t="shared" si="13"/>
        <v>2737</v>
      </c>
      <c r="M175" s="24">
        <v>8325880</v>
      </c>
      <c r="N175" s="39">
        <v>46302</v>
      </c>
    </row>
    <row r="176" spans="1:14" s="5" customFormat="1" outlineLevel="1">
      <c r="A176" s="42" t="s">
        <v>107</v>
      </c>
      <c r="B176" s="70"/>
      <c r="C176" s="71"/>
      <c r="D176" s="70"/>
      <c r="E176" s="72">
        <f>SUBTOTAL(9,E63:E175)</f>
        <v>4417528933</v>
      </c>
      <c r="F176" s="73"/>
      <c r="G176" s="72"/>
      <c r="H176" s="74"/>
      <c r="I176" s="73"/>
      <c r="J176" s="73"/>
      <c r="K176" s="72"/>
      <c r="L176" s="72">
        <f>SUBTOTAL(9,L63:L175)</f>
        <v>1732567</v>
      </c>
      <c r="M176" s="72">
        <f>SUBTOTAL(9,M63:M175)</f>
        <v>4365802899</v>
      </c>
      <c r="N176" s="73"/>
    </row>
    <row r="177" spans="1:14" s="5" customFormat="1" outlineLevel="2">
      <c r="A177" s="39" t="s">
        <v>108</v>
      </c>
      <c r="B177" s="40" t="s">
        <v>16</v>
      </c>
      <c r="C177" s="41" t="s">
        <v>109</v>
      </c>
      <c r="D177" s="40" t="s">
        <v>110</v>
      </c>
      <c r="E177" s="24">
        <v>81465386</v>
      </c>
      <c r="F177" s="39">
        <v>43900</v>
      </c>
      <c r="G177" s="24">
        <v>81465386</v>
      </c>
      <c r="H177" s="23">
        <v>5.0000000000000001E-3</v>
      </c>
      <c r="I177" s="39">
        <v>44470</v>
      </c>
      <c r="J177" s="39">
        <v>44500</v>
      </c>
      <c r="K177" s="24">
        <f t="shared" ref="K177:K208" si="14">J177-I177+1</f>
        <v>31</v>
      </c>
      <c r="L177" s="24">
        <f t="shared" ref="L177:L208" si="15">ROUND(G177*H177*K177/365,0)</f>
        <v>34595</v>
      </c>
      <c r="M177" s="24">
        <v>81465386</v>
      </c>
      <c r="N177" s="39">
        <v>45725</v>
      </c>
    </row>
    <row r="178" spans="1:14" s="5" customFormat="1" outlineLevel="2">
      <c r="A178" s="39" t="s">
        <v>108</v>
      </c>
      <c r="B178" s="40" t="s">
        <v>19</v>
      </c>
      <c r="C178" s="41" t="s">
        <v>111</v>
      </c>
      <c r="D178" s="40" t="s">
        <v>112</v>
      </c>
      <c r="E178" s="24">
        <v>8860000</v>
      </c>
      <c r="F178" s="39">
        <v>43997</v>
      </c>
      <c r="G178" s="24">
        <v>8860000</v>
      </c>
      <c r="H178" s="23">
        <v>5.0000000000000001E-3</v>
      </c>
      <c r="I178" s="39">
        <v>44470</v>
      </c>
      <c r="J178" s="39">
        <v>44500</v>
      </c>
      <c r="K178" s="24">
        <f t="shared" si="14"/>
        <v>31</v>
      </c>
      <c r="L178" s="24">
        <f t="shared" si="15"/>
        <v>3762</v>
      </c>
      <c r="M178" s="24">
        <v>8860000</v>
      </c>
      <c r="N178" s="39">
        <v>45822</v>
      </c>
    </row>
    <row r="179" spans="1:14" s="5" customFormat="1" outlineLevel="2">
      <c r="A179" s="39" t="s">
        <v>108</v>
      </c>
      <c r="B179" s="40" t="s">
        <v>22</v>
      </c>
      <c r="C179" s="41" t="s">
        <v>113</v>
      </c>
      <c r="D179" s="40" t="s">
        <v>114</v>
      </c>
      <c r="E179" s="24">
        <v>20390000</v>
      </c>
      <c r="F179" s="39">
        <v>43997</v>
      </c>
      <c r="G179" s="24">
        <v>16660130</v>
      </c>
      <c r="H179" s="23">
        <v>5.0000000000000001E-3</v>
      </c>
      <c r="I179" s="39">
        <v>44470</v>
      </c>
      <c r="J179" s="39">
        <v>44483</v>
      </c>
      <c r="K179" s="24">
        <f t="shared" si="14"/>
        <v>14</v>
      </c>
      <c r="L179" s="24">
        <f t="shared" si="15"/>
        <v>3195</v>
      </c>
      <c r="M179" s="24">
        <v>16411472</v>
      </c>
      <c r="N179" s="39">
        <v>45822</v>
      </c>
    </row>
    <row r="180" spans="1:14" s="5" customFormat="1" outlineLevel="2">
      <c r="A180" s="39" t="s">
        <v>108</v>
      </c>
      <c r="B180" s="40" t="s">
        <v>22</v>
      </c>
      <c r="C180" s="41" t="s">
        <v>113</v>
      </c>
      <c r="D180" s="40"/>
      <c r="E180" s="24"/>
      <c r="F180" s="39"/>
      <c r="G180" s="24">
        <v>16411472</v>
      </c>
      <c r="H180" s="23">
        <v>5.0000000000000001E-3</v>
      </c>
      <c r="I180" s="39">
        <v>44484</v>
      </c>
      <c r="J180" s="39">
        <v>44500</v>
      </c>
      <c r="K180" s="24">
        <f t="shared" si="14"/>
        <v>17</v>
      </c>
      <c r="L180" s="24">
        <f t="shared" si="15"/>
        <v>3822</v>
      </c>
      <c r="M180" s="24"/>
      <c r="N180" s="39">
        <v>45822</v>
      </c>
    </row>
    <row r="181" spans="1:14" s="5" customFormat="1" outlineLevel="2">
      <c r="A181" s="39" t="s">
        <v>108</v>
      </c>
      <c r="B181" s="40" t="s">
        <v>25</v>
      </c>
      <c r="C181" s="41" t="s">
        <v>113</v>
      </c>
      <c r="D181" s="40" t="s">
        <v>114</v>
      </c>
      <c r="E181" s="24">
        <v>69600000</v>
      </c>
      <c r="F181" s="39">
        <v>43997</v>
      </c>
      <c r="G181" s="24">
        <v>60900000</v>
      </c>
      <c r="H181" s="23">
        <v>5.0000000000000001E-3</v>
      </c>
      <c r="I181" s="39">
        <v>44470</v>
      </c>
      <c r="J181" s="39">
        <v>44483</v>
      </c>
      <c r="K181" s="24">
        <f t="shared" si="14"/>
        <v>14</v>
      </c>
      <c r="L181" s="24">
        <f t="shared" si="15"/>
        <v>11679</v>
      </c>
      <c r="M181" s="24">
        <v>60320000</v>
      </c>
      <c r="N181" s="39">
        <v>45822</v>
      </c>
    </row>
    <row r="182" spans="1:14" s="5" customFormat="1" outlineLevel="2">
      <c r="A182" s="39" t="s">
        <v>108</v>
      </c>
      <c r="B182" s="40" t="s">
        <v>25</v>
      </c>
      <c r="C182" s="41" t="s">
        <v>113</v>
      </c>
      <c r="D182" s="40"/>
      <c r="E182" s="24"/>
      <c r="F182" s="39"/>
      <c r="G182" s="24">
        <v>60320000</v>
      </c>
      <c r="H182" s="23">
        <v>5.0000000000000001E-3</v>
      </c>
      <c r="I182" s="39">
        <v>44484</v>
      </c>
      <c r="J182" s="39">
        <v>44500</v>
      </c>
      <c r="K182" s="24">
        <f t="shared" si="14"/>
        <v>17</v>
      </c>
      <c r="L182" s="24">
        <f t="shared" si="15"/>
        <v>14047</v>
      </c>
      <c r="M182" s="24"/>
      <c r="N182" s="39">
        <v>45822</v>
      </c>
    </row>
    <row r="183" spans="1:14" s="5" customFormat="1" outlineLevel="2">
      <c r="A183" s="39" t="s">
        <v>108</v>
      </c>
      <c r="B183" s="40" t="s">
        <v>26</v>
      </c>
      <c r="C183" s="41" t="s">
        <v>109</v>
      </c>
      <c r="D183" s="40" t="s">
        <v>110</v>
      </c>
      <c r="E183" s="24">
        <v>16630000</v>
      </c>
      <c r="F183" s="39">
        <v>44011</v>
      </c>
      <c r="G183" s="24">
        <v>16630000</v>
      </c>
      <c r="H183" s="23">
        <v>5.0000000000000001E-3</v>
      </c>
      <c r="I183" s="39">
        <v>44470</v>
      </c>
      <c r="J183" s="39">
        <v>44500</v>
      </c>
      <c r="K183" s="24">
        <f t="shared" si="14"/>
        <v>31</v>
      </c>
      <c r="L183" s="24">
        <f t="shared" si="15"/>
        <v>7062</v>
      </c>
      <c r="M183" s="24">
        <v>16630000</v>
      </c>
      <c r="N183" s="39">
        <v>45836</v>
      </c>
    </row>
    <row r="184" spans="1:14" s="5" customFormat="1" outlineLevel="2">
      <c r="A184" s="39" t="s">
        <v>108</v>
      </c>
      <c r="B184" s="40" t="s">
        <v>29</v>
      </c>
      <c r="C184" s="41" t="s">
        <v>111</v>
      </c>
      <c r="D184" s="40" t="s">
        <v>112</v>
      </c>
      <c r="E184" s="24">
        <v>4650000</v>
      </c>
      <c r="F184" s="39">
        <v>44027</v>
      </c>
      <c r="G184" s="24">
        <v>4650000</v>
      </c>
      <c r="H184" s="23">
        <v>5.0000000000000001E-3</v>
      </c>
      <c r="I184" s="39">
        <v>44470</v>
      </c>
      <c r="J184" s="39">
        <v>44500</v>
      </c>
      <c r="K184" s="24">
        <f t="shared" si="14"/>
        <v>31</v>
      </c>
      <c r="L184" s="24">
        <f t="shared" si="15"/>
        <v>1975</v>
      </c>
      <c r="M184" s="24">
        <v>4650000</v>
      </c>
      <c r="N184" s="39">
        <v>45852</v>
      </c>
    </row>
    <row r="185" spans="1:14" s="5" customFormat="1" outlineLevel="2">
      <c r="A185" s="39" t="s">
        <v>108</v>
      </c>
      <c r="B185" s="40" t="s">
        <v>32</v>
      </c>
      <c r="C185" s="41" t="s">
        <v>113</v>
      </c>
      <c r="D185" s="40" t="s">
        <v>114</v>
      </c>
      <c r="E185" s="24">
        <v>10860000</v>
      </c>
      <c r="F185" s="39">
        <v>44027</v>
      </c>
      <c r="G185" s="24">
        <v>8982964</v>
      </c>
      <c r="H185" s="23">
        <v>5.0000000000000001E-3</v>
      </c>
      <c r="I185" s="39">
        <v>44470</v>
      </c>
      <c r="J185" s="39">
        <v>44483</v>
      </c>
      <c r="K185" s="24">
        <f t="shared" si="14"/>
        <v>14</v>
      </c>
      <c r="L185" s="24">
        <f t="shared" si="15"/>
        <v>1723</v>
      </c>
      <c r="M185" s="24">
        <v>8848890</v>
      </c>
      <c r="N185" s="39">
        <v>45852</v>
      </c>
    </row>
    <row r="186" spans="1:14" s="5" customFormat="1" outlineLevel="2">
      <c r="A186" s="39" t="s">
        <v>108</v>
      </c>
      <c r="B186" s="40" t="s">
        <v>32</v>
      </c>
      <c r="C186" s="41" t="s">
        <v>113</v>
      </c>
      <c r="D186" s="40"/>
      <c r="E186" s="24"/>
      <c r="F186" s="39"/>
      <c r="G186" s="24">
        <v>8848890</v>
      </c>
      <c r="H186" s="23">
        <v>5.0000000000000001E-3</v>
      </c>
      <c r="I186" s="39">
        <v>44484</v>
      </c>
      <c r="J186" s="39">
        <v>44500</v>
      </c>
      <c r="K186" s="24">
        <f t="shared" si="14"/>
        <v>17</v>
      </c>
      <c r="L186" s="24">
        <f t="shared" si="15"/>
        <v>2061</v>
      </c>
      <c r="M186" s="24"/>
      <c r="N186" s="39">
        <v>45852</v>
      </c>
    </row>
    <row r="187" spans="1:14" s="5" customFormat="1" outlineLevel="2">
      <c r="A187" s="39" t="s">
        <v>108</v>
      </c>
      <c r="B187" s="40" t="s">
        <v>33</v>
      </c>
      <c r="C187" s="41" t="s">
        <v>113</v>
      </c>
      <c r="D187" s="40" t="s">
        <v>114</v>
      </c>
      <c r="E187" s="24">
        <v>11600000</v>
      </c>
      <c r="F187" s="39">
        <v>44027</v>
      </c>
      <c r="G187" s="24">
        <v>10235308</v>
      </c>
      <c r="H187" s="23">
        <v>5.0000000000000001E-3</v>
      </c>
      <c r="I187" s="39">
        <v>44470</v>
      </c>
      <c r="J187" s="39">
        <v>44483</v>
      </c>
      <c r="K187" s="24">
        <f t="shared" si="14"/>
        <v>14</v>
      </c>
      <c r="L187" s="24">
        <f t="shared" si="15"/>
        <v>1963</v>
      </c>
      <c r="M187" s="24">
        <v>10137830</v>
      </c>
      <c r="N187" s="39">
        <v>45852</v>
      </c>
    </row>
    <row r="188" spans="1:14" s="5" customFormat="1" outlineLevel="2">
      <c r="A188" s="39" t="s">
        <v>108</v>
      </c>
      <c r="B188" s="40" t="s">
        <v>33</v>
      </c>
      <c r="C188" s="41" t="s">
        <v>113</v>
      </c>
      <c r="D188" s="40"/>
      <c r="E188" s="24"/>
      <c r="F188" s="39"/>
      <c r="G188" s="24">
        <v>10137830</v>
      </c>
      <c r="H188" s="23">
        <v>5.0000000000000001E-3</v>
      </c>
      <c r="I188" s="39">
        <v>44484</v>
      </c>
      <c r="J188" s="39">
        <v>44500</v>
      </c>
      <c r="K188" s="24">
        <f t="shared" si="14"/>
        <v>17</v>
      </c>
      <c r="L188" s="24">
        <f t="shared" si="15"/>
        <v>2361</v>
      </c>
      <c r="M188" s="24"/>
      <c r="N188" s="39">
        <v>45852</v>
      </c>
    </row>
    <row r="189" spans="1:14" s="5" customFormat="1" outlineLevel="2">
      <c r="A189" s="39" t="s">
        <v>108</v>
      </c>
      <c r="B189" s="40" t="s">
        <v>34</v>
      </c>
      <c r="C189" s="41" t="s">
        <v>23</v>
      </c>
      <c r="D189" s="40" t="s">
        <v>24</v>
      </c>
      <c r="E189" s="24">
        <v>18700000</v>
      </c>
      <c r="F189" s="39">
        <v>44032</v>
      </c>
      <c r="G189" s="24">
        <v>18700000</v>
      </c>
      <c r="H189" s="23">
        <v>5.0000000000000001E-3</v>
      </c>
      <c r="I189" s="39">
        <v>44470</v>
      </c>
      <c r="J189" s="39">
        <v>44500</v>
      </c>
      <c r="K189" s="24">
        <f t="shared" si="14"/>
        <v>31</v>
      </c>
      <c r="L189" s="24">
        <f t="shared" si="15"/>
        <v>7941</v>
      </c>
      <c r="M189" s="24">
        <v>18700000</v>
      </c>
      <c r="N189" s="39">
        <v>45857</v>
      </c>
    </row>
    <row r="190" spans="1:14" s="5" customFormat="1" outlineLevel="2">
      <c r="A190" s="39" t="s">
        <v>108</v>
      </c>
      <c r="B190" s="40" t="s">
        <v>35</v>
      </c>
      <c r="C190" s="41" t="s">
        <v>111</v>
      </c>
      <c r="D190" s="40" t="s">
        <v>112</v>
      </c>
      <c r="E190" s="24">
        <v>2950000</v>
      </c>
      <c r="F190" s="39">
        <v>44060</v>
      </c>
      <c r="G190" s="24">
        <v>2950000</v>
      </c>
      <c r="H190" s="23">
        <v>5.0000000000000001E-3</v>
      </c>
      <c r="I190" s="39">
        <v>44470</v>
      </c>
      <c r="J190" s="39">
        <v>44500</v>
      </c>
      <c r="K190" s="24">
        <f t="shared" si="14"/>
        <v>31</v>
      </c>
      <c r="L190" s="24">
        <f t="shared" si="15"/>
        <v>1253</v>
      </c>
      <c r="M190" s="24">
        <v>2950000</v>
      </c>
      <c r="N190" s="39">
        <v>45885</v>
      </c>
    </row>
    <row r="191" spans="1:14" s="5" customFormat="1" outlineLevel="2">
      <c r="A191" s="39" t="s">
        <v>108</v>
      </c>
      <c r="B191" s="40" t="s">
        <v>36</v>
      </c>
      <c r="C191" s="41" t="s">
        <v>109</v>
      </c>
      <c r="D191" s="40" t="s">
        <v>110</v>
      </c>
      <c r="E191" s="24">
        <v>15120000</v>
      </c>
      <c r="F191" s="39">
        <v>44091</v>
      </c>
      <c r="G191" s="24">
        <v>15120000</v>
      </c>
      <c r="H191" s="23">
        <v>5.0000000000000001E-3</v>
      </c>
      <c r="I191" s="39">
        <v>44470</v>
      </c>
      <c r="J191" s="39">
        <v>44500</v>
      </c>
      <c r="K191" s="24">
        <f t="shared" si="14"/>
        <v>31</v>
      </c>
      <c r="L191" s="24">
        <f t="shared" si="15"/>
        <v>6421</v>
      </c>
      <c r="M191" s="24">
        <v>15120000</v>
      </c>
      <c r="N191" s="39">
        <v>45916</v>
      </c>
    </row>
    <row r="192" spans="1:14" s="5" customFormat="1" outlineLevel="2">
      <c r="A192" s="39" t="s">
        <v>108</v>
      </c>
      <c r="B192" s="40" t="s">
        <v>39</v>
      </c>
      <c r="C192" s="41" t="s">
        <v>111</v>
      </c>
      <c r="D192" s="40" t="s">
        <v>112</v>
      </c>
      <c r="E192" s="24">
        <v>6200000</v>
      </c>
      <c r="F192" s="39">
        <v>43929</v>
      </c>
      <c r="G192" s="24">
        <v>6200000</v>
      </c>
      <c r="H192" s="23">
        <v>5.0000000000000001E-3</v>
      </c>
      <c r="I192" s="39">
        <v>44470</v>
      </c>
      <c r="J192" s="39">
        <v>44500</v>
      </c>
      <c r="K192" s="24">
        <f t="shared" si="14"/>
        <v>31</v>
      </c>
      <c r="L192" s="24">
        <f t="shared" si="15"/>
        <v>2633</v>
      </c>
      <c r="M192" s="24">
        <v>6200000</v>
      </c>
      <c r="N192" s="39">
        <v>45754</v>
      </c>
    </row>
    <row r="193" spans="1:14" s="5" customFormat="1" outlineLevel="2">
      <c r="A193" s="39" t="s">
        <v>108</v>
      </c>
      <c r="B193" s="40" t="s">
        <v>40</v>
      </c>
      <c r="C193" s="41" t="s">
        <v>27</v>
      </c>
      <c r="D193" s="40" t="s">
        <v>28</v>
      </c>
      <c r="E193" s="24">
        <v>10000000</v>
      </c>
      <c r="F193" s="39">
        <v>44111</v>
      </c>
      <c r="G193" s="24">
        <v>8000008</v>
      </c>
      <c r="H193" s="23">
        <v>5.0000000000000001E-3</v>
      </c>
      <c r="I193" s="39">
        <v>44470</v>
      </c>
      <c r="J193" s="39">
        <v>44483</v>
      </c>
      <c r="K193" s="24">
        <f t="shared" si="14"/>
        <v>14</v>
      </c>
      <c r="L193" s="24">
        <f t="shared" si="15"/>
        <v>1534</v>
      </c>
      <c r="M193" s="24">
        <v>7833342</v>
      </c>
      <c r="N193" s="39">
        <v>45936</v>
      </c>
    </row>
    <row r="194" spans="1:14" s="5" customFormat="1" outlineLevel="2">
      <c r="A194" s="39" t="s">
        <v>108</v>
      </c>
      <c r="B194" s="40" t="s">
        <v>40</v>
      </c>
      <c r="C194" s="41" t="s">
        <v>27</v>
      </c>
      <c r="D194" s="40"/>
      <c r="E194" s="24"/>
      <c r="F194" s="39"/>
      <c r="G194" s="24">
        <v>7833342</v>
      </c>
      <c r="H194" s="23">
        <v>5.0000000000000001E-3</v>
      </c>
      <c r="I194" s="39">
        <v>44484</v>
      </c>
      <c r="J194" s="39">
        <v>44500</v>
      </c>
      <c r="K194" s="24">
        <f t="shared" si="14"/>
        <v>17</v>
      </c>
      <c r="L194" s="24">
        <f t="shared" si="15"/>
        <v>1824</v>
      </c>
      <c r="M194" s="24"/>
      <c r="N194" s="39">
        <v>45936</v>
      </c>
    </row>
    <row r="195" spans="1:14" s="5" customFormat="1" outlineLevel="2">
      <c r="A195" s="39" t="s">
        <v>108</v>
      </c>
      <c r="B195" s="40" t="s">
        <v>41</v>
      </c>
      <c r="C195" s="41" t="s">
        <v>27</v>
      </c>
      <c r="D195" s="40" t="s">
        <v>28</v>
      </c>
      <c r="E195" s="24">
        <v>24450000</v>
      </c>
      <c r="F195" s="39">
        <v>44120</v>
      </c>
      <c r="G195" s="24">
        <v>19891534</v>
      </c>
      <c r="H195" s="23">
        <v>5.0000000000000001E-3</v>
      </c>
      <c r="I195" s="39">
        <v>44470</v>
      </c>
      <c r="J195" s="39">
        <v>44483</v>
      </c>
      <c r="K195" s="24">
        <f t="shared" si="14"/>
        <v>14</v>
      </c>
      <c r="L195" s="24">
        <f t="shared" si="15"/>
        <v>3815</v>
      </c>
      <c r="M195" s="24">
        <v>19477128</v>
      </c>
      <c r="N195" s="39">
        <v>45945</v>
      </c>
    </row>
    <row r="196" spans="1:14" s="5" customFormat="1" outlineLevel="2">
      <c r="A196" s="39" t="s">
        <v>108</v>
      </c>
      <c r="B196" s="40" t="s">
        <v>41</v>
      </c>
      <c r="C196" s="41" t="s">
        <v>27</v>
      </c>
      <c r="D196" s="40"/>
      <c r="E196" s="24"/>
      <c r="F196" s="39"/>
      <c r="G196" s="24">
        <v>19477128</v>
      </c>
      <c r="H196" s="23">
        <v>5.0000000000000001E-3</v>
      </c>
      <c r="I196" s="39">
        <v>44484</v>
      </c>
      <c r="J196" s="39">
        <v>44500</v>
      </c>
      <c r="K196" s="24">
        <f t="shared" si="14"/>
        <v>17</v>
      </c>
      <c r="L196" s="24">
        <f t="shared" si="15"/>
        <v>4536</v>
      </c>
      <c r="M196" s="24"/>
      <c r="N196" s="39">
        <v>45945</v>
      </c>
    </row>
    <row r="197" spans="1:14" s="5" customFormat="1" outlineLevel="2">
      <c r="A197" s="39" t="s">
        <v>108</v>
      </c>
      <c r="B197" s="40" t="s">
        <v>42</v>
      </c>
      <c r="C197" s="41" t="s">
        <v>23</v>
      </c>
      <c r="D197" s="40" t="s">
        <v>24</v>
      </c>
      <c r="E197" s="24">
        <v>26100000</v>
      </c>
      <c r="F197" s="39">
        <v>44124</v>
      </c>
      <c r="G197" s="24">
        <v>26100000</v>
      </c>
      <c r="H197" s="23">
        <v>5.0000000000000001E-3</v>
      </c>
      <c r="I197" s="39">
        <v>44470</v>
      </c>
      <c r="J197" s="39">
        <v>44500</v>
      </c>
      <c r="K197" s="24">
        <f t="shared" si="14"/>
        <v>31</v>
      </c>
      <c r="L197" s="24">
        <f t="shared" si="15"/>
        <v>11084</v>
      </c>
      <c r="M197" s="24">
        <v>26100000</v>
      </c>
      <c r="N197" s="39">
        <v>45949</v>
      </c>
    </row>
    <row r="198" spans="1:14" s="5" customFormat="1" outlineLevel="2">
      <c r="A198" s="39" t="s">
        <v>108</v>
      </c>
      <c r="B198" s="40" t="s">
        <v>43</v>
      </c>
      <c r="C198" s="41" t="s">
        <v>27</v>
      </c>
      <c r="D198" s="40" t="s">
        <v>28</v>
      </c>
      <c r="E198" s="24">
        <v>25800000</v>
      </c>
      <c r="F198" s="39">
        <v>44137</v>
      </c>
      <c r="G198" s="24">
        <v>20989832</v>
      </c>
      <c r="H198" s="23">
        <v>5.0000000000000001E-3</v>
      </c>
      <c r="I198" s="39">
        <v>44470</v>
      </c>
      <c r="J198" s="39">
        <v>44483</v>
      </c>
      <c r="K198" s="24">
        <f t="shared" si="14"/>
        <v>14</v>
      </c>
      <c r="L198" s="24">
        <f t="shared" si="15"/>
        <v>4025</v>
      </c>
      <c r="M198" s="24">
        <v>20552544</v>
      </c>
      <c r="N198" s="39">
        <v>45962</v>
      </c>
    </row>
    <row r="199" spans="1:14" s="5" customFormat="1" outlineLevel="2">
      <c r="A199" s="39" t="s">
        <v>108</v>
      </c>
      <c r="B199" s="40" t="s">
        <v>43</v>
      </c>
      <c r="C199" s="41" t="s">
        <v>27</v>
      </c>
      <c r="D199" s="40"/>
      <c r="E199" s="24"/>
      <c r="F199" s="39"/>
      <c r="G199" s="24">
        <v>20552544</v>
      </c>
      <c r="H199" s="23">
        <v>5.0000000000000001E-3</v>
      </c>
      <c r="I199" s="39">
        <v>44484</v>
      </c>
      <c r="J199" s="39">
        <v>44500</v>
      </c>
      <c r="K199" s="24">
        <f t="shared" si="14"/>
        <v>17</v>
      </c>
      <c r="L199" s="24">
        <f t="shared" si="15"/>
        <v>4786</v>
      </c>
      <c r="M199" s="24"/>
      <c r="N199" s="39">
        <v>45962</v>
      </c>
    </row>
    <row r="200" spans="1:14" s="5" customFormat="1" outlineLevel="2">
      <c r="A200" s="39" t="s">
        <v>108</v>
      </c>
      <c r="B200" s="40" t="s">
        <v>44</v>
      </c>
      <c r="C200" s="41" t="s">
        <v>115</v>
      </c>
      <c r="D200" s="40" t="s">
        <v>116</v>
      </c>
      <c r="E200" s="24">
        <v>1200000</v>
      </c>
      <c r="F200" s="39">
        <v>44138</v>
      </c>
      <c r="G200" s="24">
        <v>1200000</v>
      </c>
      <c r="H200" s="23">
        <v>5.0000000000000001E-3</v>
      </c>
      <c r="I200" s="39">
        <v>44470</v>
      </c>
      <c r="J200" s="39">
        <v>44500</v>
      </c>
      <c r="K200" s="24">
        <f t="shared" si="14"/>
        <v>31</v>
      </c>
      <c r="L200" s="24">
        <f t="shared" si="15"/>
        <v>510</v>
      </c>
      <c r="M200" s="24">
        <v>1200000</v>
      </c>
      <c r="N200" s="39">
        <v>45963</v>
      </c>
    </row>
    <row r="201" spans="1:14" s="5" customFormat="1" outlineLevel="2">
      <c r="A201" s="39" t="s">
        <v>108</v>
      </c>
      <c r="B201" s="40" t="s">
        <v>47</v>
      </c>
      <c r="C201" s="41" t="s">
        <v>115</v>
      </c>
      <c r="D201" s="40" t="s">
        <v>116</v>
      </c>
      <c r="E201" s="24">
        <v>2350000</v>
      </c>
      <c r="F201" s="39">
        <v>44138</v>
      </c>
      <c r="G201" s="24">
        <v>2350000</v>
      </c>
      <c r="H201" s="23">
        <v>5.0000000000000001E-3</v>
      </c>
      <c r="I201" s="39">
        <v>44470</v>
      </c>
      <c r="J201" s="39">
        <v>44500</v>
      </c>
      <c r="K201" s="24">
        <f t="shared" si="14"/>
        <v>31</v>
      </c>
      <c r="L201" s="24">
        <f t="shared" si="15"/>
        <v>998</v>
      </c>
      <c r="M201" s="24">
        <v>2350000</v>
      </c>
      <c r="N201" s="39">
        <v>45963</v>
      </c>
    </row>
    <row r="202" spans="1:14" s="5" customFormat="1" outlineLevel="2">
      <c r="A202" s="39" t="s">
        <v>108</v>
      </c>
      <c r="B202" s="40" t="s">
        <v>50</v>
      </c>
      <c r="C202" s="41" t="s">
        <v>113</v>
      </c>
      <c r="D202" s="40" t="s">
        <v>114</v>
      </c>
      <c r="E202" s="24">
        <v>23200000</v>
      </c>
      <c r="F202" s="39">
        <v>44151</v>
      </c>
      <c r="G202" s="24">
        <v>21182610</v>
      </c>
      <c r="H202" s="23">
        <v>5.0000000000000001E-3</v>
      </c>
      <c r="I202" s="39">
        <v>44470</v>
      </c>
      <c r="J202" s="39">
        <v>44483</v>
      </c>
      <c r="K202" s="24">
        <f t="shared" si="14"/>
        <v>14</v>
      </c>
      <c r="L202" s="24">
        <f t="shared" si="15"/>
        <v>4062</v>
      </c>
      <c r="M202" s="24">
        <v>20980871</v>
      </c>
      <c r="N202" s="39">
        <v>45976</v>
      </c>
    </row>
    <row r="203" spans="1:14" s="5" customFormat="1" outlineLevel="2">
      <c r="A203" s="39" t="s">
        <v>108</v>
      </c>
      <c r="B203" s="40" t="s">
        <v>50</v>
      </c>
      <c r="C203" s="41" t="s">
        <v>113</v>
      </c>
      <c r="D203" s="40"/>
      <c r="E203" s="24"/>
      <c r="F203" s="39"/>
      <c r="G203" s="24">
        <v>20980871</v>
      </c>
      <c r="H203" s="23">
        <v>5.0000000000000001E-3</v>
      </c>
      <c r="I203" s="39">
        <v>44484</v>
      </c>
      <c r="J203" s="39">
        <v>44500</v>
      </c>
      <c r="K203" s="24">
        <f t="shared" si="14"/>
        <v>17</v>
      </c>
      <c r="L203" s="24">
        <f t="shared" si="15"/>
        <v>4886</v>
      </c>
      <c r="M203" s="24"/>
      <c r="N203" s="39">
        <v>45976</v>
      </c>
    </row>
    <row r="204" spans="1:14" s="5" customFormat="1" outlineLevel="2">
      <c r="A204" s="39" t="s">
        <v>108</v>
      </c>
      <c r="B204" s="40" t="s">
        <v>51</v>
      </c>
      <c r="C204" s="41" t="s">
        <v>111</v>
      </c>
      <c r="D204" s="40" t="s">
        <v>112</v>
      </c>
      <c r="E204" s="24">
        <v>5910000</v>
      </c>
      <c r="F204" s="39">
        <v>44151</v>
      </c>
      <c r="G204" s="24">
        <v>5910000</v>
      </c>
      <c r="H204" s="23">
        <v>5.0000000000000001E-3</v>
      </c>
      <c r="I204" s="39">
        <v>44470</v>
      </c>
      <c r="J204" s="39">
        <v>44500</v>
      </c>
      <c r="K204" s="24">
        <f t="shared" si="14"/>
        <v>31</v>
      </c>
      <c r="L204" s="24">
        <f t="shared" si="15"/>
        <v>2510</v>
      </c>
      <c r="M204" s="24">
        <v>5910000</v>
      </c>
      <c r="N204" s="39">
        <v>45976</v>
      </c>
    </row>
    <row r="205" spans="1:14" s="5" customFormat="1" outlineLevel="2">
      <c r="A205" s="39" t="s">
        <v>108</v>
      </c>
      <c r="B205" s="40" t="s">
        <v>52</v>
      </c>
      <c r="C205" s="41" t="s">
        <v>117</v>
      </c>
      <c r="D205" s="40" t="s">
        <v>118</v>
      </c>
      <c r="E205" s="24">
        <v>26000000</v>
      </c>
      <c r="F205" s="39">
        <v>44162</v>
      </c>
      <c r="G205" s="24">
        <v>23699120</v>
      </c>
      <c r="H205" s="23">
        <v>5.0000000000000001E-3</v>
      </c>
      <c r="I205" s="39">
        <v>44470</v>
      </c>
      <c r="J205" s="39">
        <v>44483</v>
      </c>
      <c r="K205" s="24">
        <f t="shared" si="14"/>
        <v>14</v>
      </c>
      <c r="L205" s="24">
        <f t="shared" si="15"/>
        <v>4545</v>
      </c>
      <c r="M205" s="24">
        <v>23469032</v>
      </c>
      <c r="N205" s="39">
        <v>45987</v>
      </c>
    </row>
    <row r="206" spans="1:14" s="5" customFormat="1" outlineLevel="2">
      <c r="A206" s="39" t="s">
        <v>108</v>
      </c>
      <c r="B206" s="40" t="s">
        <v>52</v>
      </c>
      <c r="C206" s="41" t="s">
        <v>117</v>
      </c>
      <c r="D206" s="40"/>
      <c r="E206" s="24"/>
      <c r="F206" s="39"/>
      <c r="G206" s="24">
        <v>23469032</v>
      </c>
      <c r="H206" s="23">
        <v>5.0000000000000001E-3</v>
      </c>
      <c r="I206" s="39">
        <v>44484</v>
      </c>
      <c r="J206" s="39">
        <v>44500</v>
      </c>
      <c r="K206" s="24">
        <f t="shared" si="14"/>
        <v>17</v>
      </c>
      <c r="L206" s="24">
        <f t="shared" si="15"/>
        <v>5465</v>
      </c>
      <c r="M206" s="24"/>
      <c r="N206" s="39">
        <v>45987</v>
      </c>
    </row>
    <row r="207" spans="1:14" s="5" customFormat="1" outlineLevel="2">
      <c r="A207" s="39" t="s">
        <v>108</v>
      </c>
      <c r="B207" s="40" t="s">
        <v>53</v>
      </c>
      <c r="C207" s="41" t="s">
        <v>27</v>
      </c>
      <c r="D207" s="40" t="s">
        <v>28</v>
      </c>
      <c r="E207" s="24">
        <v>9280000</v>
      </c>
      <c r="F207" s="39">
        <v>44167</v>
      </c>
      <c r="G207" s="24">
        <v>7680000</v>
      </c>
      <c r="H207" s="23">
        <v>5.0000000000000001E-3</v>
      </c>
      <c r="I207" s="39">
        <v>44470</v>
      </c>
      <c r="J207" s="39">
        <v>44483</v>
      </c>
      <c r="K207" s="24">
        <f t="shared" si="14"/>
        <v>14</v>
      </c>
      <c r="L207" s="24">
        <f t="shared" si="15"/>
        <v>1473</v>
      </c>
      <c r="M207" s="24">
        <v>7520000</v>
      </c>
      <c r="N207" s="39">
        <v>45992</v>
      </c>
    </row>
    <row r="208" spans="1:14" s="5" customFormat="1" outlineLevel="2">
      <c r="A208" s="39" t="s">
        <v>108</v>
      </c>
      <c r="B208" s="40" t="s">
        <v>53</v>
      </c>
      <c r="C208" s="41" t="s">
        <v>27</v>
      </c>
      <c r="D208" s="40"/>
      <c r="E208" s="24"/>
      <c r="F208" s="39"/>
      <c r="G208" s="24">
        <v>7520000</v>
      </c>
      <c r="H208" s="23">
        <v>5.0000000000000001E-3</v>
      </c>
      <c r="I208" s="39">
        <v>44484</v>
      </c>
      <c r="J208" s="39">
        <v>44500</v>
      </c>
      <c r="K208" s="24">
        <f t="shared" si="14"/>
        <v>17</v>
      </c>
      <c r="L208" s="24">
        <f t="shared" si="15"/>
        <v>1751</v>
      </c>
      <c r="M208" s="24"/>
      <c r="N208" s="39">
        <v>45992</v>
      </c>
    </row>
    <row r="209" spans="1:14" s="5" customFormat="1" outlineLevel="2">
      <c r="A209" s="39" t="s">
        <v>108</v>
      </c>
      <c r="B209" s="40" t="s">
        <v>54</v>
      </c>
      <c r="C209" s="41" t="s">
        <v>111</v>
      </c>
      <c r="D209" s="40" t="s">
        <v>112</v>
      </c>
      <c r="E209" s="24">
        <v>23630000</v>
      </c>
      <c r="F209" s="39">
        <v>43936</v>
      </c>
      <c r="G209" s="24">
        <v>23630000</v>
      </c>
      <c r="H209" s="23">
        <v>5.0000000000000001E-3</v>
      </c>
      <c r="I209" s="39">
        <v>44470</v>
      </c>
      <c r="J209" s="39">
        <v>44500</v>
      </c>
      <c r="K209" s="24">
        <f t="shared" ref="K209:K240" si="16">J209-I209+1</f>
        <v>31</v>
      </c>
      <c r="L209" s="24">
        <f t="shared" ref="L209:L240" si="17">ROUND(G209*H209*K209/365,0)</f>
        <v>10035</v>
      </c>
      <c r="M209" s="24">
        <v>23630000</v>
      </c>
      <c r="N209" s="39">
        <v>45761</v>
      </c>
    </row>
    <row r="210" spans="1:14" s="5" customFormat="1" outlineLevel="2">
      <c r="A210" s="39" t="s">
        <v>108</v>
      </c>
      <c r="B210" s="40" t="s">
        <v>57</v>
      </c>
      <c r="C210" s="41" t="s">
        <v>27</v>
      </c>
      <c r="D210" s="40" t="s">
        <v>28</v>
      </c>
      <c r="E210" s="24">
        <v>10470000</v>
      </c>
      <c r="F210" s="39">
        <v>44181</v>
      </c>
      <c r="G210" s="24">
        <v>8816844</v>
      </c>
      <c r="H210" s="23">
        <v>5.0000000000000001E-3</v>
      </c>
      <c r="I210" s="39">
        <v>44470</v>
      </c>
      <c r="J210" s="39">
        <v>44483</v>
      </c>
      <c r="K210" s="24">
        <f t="shared" si="16"/>
        <v>14</v>
      </c>
      <c r="L210" s="24">
        <f t="shared" si="17"/>
        <v>1691</v>
      </c>
      <c r="M210" s="24">
        <v>8633160</v>
      </c>
      <c r="N210" s="39">
        <v>46006</v>
      </c>
    </row>
    <row r="211" spans="1:14" s="5" customFormat="1" outlineLevel="2">
      <c r="A211" s="39" t="s">
        <v>108</v>
      </c>
      <c r="B211" s="40" t="s">
        <v>57</v>
      </c>
      <c r="C211" s="41" t="s">
        <v>27</v>
      </c>
      <c r="D211" s="40"/>
      <c r="E211" s="24"/>
      <c r="F211" s="39"/>
      <c r="G211" s="24">
        <v>8633160</v>
      </c>
      <c r="H211" s="23">
        <v>5.0000000000000001E-3</v>
      </c>
      <c r="I211" s="39">
        <v>44484</v>
      </c>
      <c r="J211" s="39">
        <v>44500</v>
      </c>
      <c r="K211" s="24">
        <f t="shared" si="16"/>
        <v>17</v>
      </c>
      <c r="L211" s="24">
        <f t="shared" si="17"/>
        <v>2010</v>
      </c>
      <c r="M211" s="24"/>
      <c r="N211" s="39">
        <v>46006</v>
      </c>
    </row>
    <row r="212" spans="1:14" s="5" customFormat="1" outlineLevel="2">
      <c r="A212" s="39" t="s">
        <v>108</v>
      </c>
      <c r="B212" s="40" t="s">
        <v>58</v>
      </c>
      <c r="C212" s="41" t="s">
        <v>111</v>
      </c>
      <c r="D212" s="40" t="s">
        <v>112</v>
      </c>
      <c r="E212" s="24">
        <v>2950000</v>
      </c>
      <c r="F212" s="39">
        <v>44180</v>
      </c>
      <c r="G212" s="24">
        <v>2950000</v>
      </c>
      <c r="H212" s="23">
        <v>5.0000000000000001E-3</v>
      </c>
      <c r="I212" s="39">
        <v>44470</v>
      </c>
      <c r="J212" s="39">
        <v>44500</v>
      </c>
      <c r="K212" s="24">
        <f t="shared" si="16"/>
        <v>31</v>
      </c>
      <c r="L212" s="24">
        <f t="shared" si="17"/>
        <v>1253</v>
      </c>
      <c r="M212" s="24">
        <v>2950000</v>
      </c>
      <c r="N212" s="39">
        <v>46005</v>
      </c>
    </row>
    <row r="213" spans="1:14" s="5" customFormat="1" outlineLevel="2">
      <c r="A213" s="39" t="s">
        <v>108</v>
      </c>
      <c r="B213" s="40" t="s">
        <v>99</v>
      </c>
      <c r="C213" s="41" t="s">
        <v>115</v>
      </c>
      <c r="D213" s="40" t="s">
        <v>116</v>
      </c>
      <c r="E213" s="24">
        <v>24400000</v>
      </c>
      <c r="F213" s="39">
        <v>44193</v>
      </c>
      <c r="G213" s="24">
        <v>24400000</v>
      </c>
      <c r="H213" s="23">
        <v>5.0000000000000001E-3</v>
      </c>
      <c r="I213" s="39">
        <v>44470</v>
      </c>
      <c r="J213" s="39">
        <v>44500</v>
      </c>
      <c r="K213" s="24">
        <f t="shared" si="16"/>
        <v>31</v>
      </c>
      <c r="L213" s="24">
        <f t="shared" si="17"/>
        <v>10362</v>
      </c>
      <c r="M213" s="24">
        <v>24400000</v>
      </c>
      <c r="N213" s="39">
        <v>46018</v>
      </c>
    </row>
    <row r="214" spans="1:14" s="5" customFormat="1" outlineLevel="2">
      <c r="A214" s="39" t="s">
        <v>108</v>
      </c>
      <c r="B214" s="40" t="s">
        <v>100</v>
      </c>
      <c r="C214" s="41" t="s">
        <v>115</v>
      </c>
      <c r="D214" s="40" t="s">
        <v>116</v>
      </c>
      <c r="E214" s="24">
        <v>5500000</v>
      </c>
      <c r="F214" s="39">
        <v>44193</v>
      </c>
      <c r="G214" s="24">
        <v>5500000</v>
      </c>
      <c r="H214" s="23">
        <v>5.0000000000000001E-3</v>
      </c>
      <c r="I214" s="39">
        <v>44470</v>
      </c>
      <c r="J214" s="39">
        <v>44500</v>
      </c>
      <c r="K214" s="24">
        <f t="shared" si="16"/>
        <v>31</v>
      </c>
      <c r="L214" s="24">
        <f t="shared" si="17"/>
        <v>2336</v>
      </c>
      <c r="M214" s="24">
        <v>5500000</v>
      </c>
      <c r="N214" s="39">
        <v>46018</v>
      </c>
    </row>
    <row r="215" spans="1:14" s="5" customFormat="1" outlineLevel="2">
      <c r="A215" s="39" t="s">
        <v>108</v>
      </c>
      <c r="B215" s="40" t="s">
        <v>101</v>
      </c>
      <c r="C215" s="41" t="s">
        <v>115</v>
      </c>
      <c r="D215" s="40" t="s">
        <v>116</v>
      </c>
      <c r="E215" s="24">
        <v>28050000</v>
      </c>
      <c r="F215" s="39">
        <v>44193</v>
      </c>
      <c r="G215" s="24">
        <v>28050000</v>
      </c>
      <c r="H215" s="23">
        <v>5.0000000000000001E-3</v>
      </c>
      <c r="I215" s="39">
        <v>44470</v>
      </c>
      <c r="J215" s="39">
        <v>44500</v>
      </c>
      <c r="K215" s="24">
        <f t="shared" si="16"/>
        <v>31</v>
      </c>
      <c r="L215" s="24">
        <f t="shared" si="17"/>
        <v>11912</v>
      </c>
      <c r="M215" s="24">
        <v>28050000</v>
      </c>
      <c r="N215" s="39">
        <v>46018</v>
      </c>
    </row>
    <row r="216" spans="1:14" s="5" customFormat="1" outlineLevel="2">
      <c r="A216" s="39" t="s">
        <v>108</v>
      </c>
      <c r="B216" s="40" t="s">
        <v>102</v>
      </c>
      <c r="C216" s="41" t="s">
        <v>115</v>
      </c>
      <c r="D216" s="40" t="s">
        <v>116</v>
      </c>
      <c r="E216" s="24">
        <v>5000000</v>
      </c>
      <c r="F216" s="39">
        <v>44193</v>
      </c>
      <c r="G216" s="24">
        <v>5000000</v>
      </c>
      <c r="H216" s="23">
        <v>5.0000000000000001E-3</v>
      </c>
      <c r="I216" s="39">
        <v>44470</v>
      </c>
      <c r="J216" s="39">
        <v>44500</v>
      </c>
      <c r="K216" s="24">
        <f t="shared" si="16"/>
        <v>31</v>
      </c>
      <c r="L216" s="24">
        <f t="shared" si="17"/>
        <v>2123</v>
      </c>
      <c r="M216" s="24">
        <v>5000000</v>
      </c>
      <c r="N216" s="39">
        <v>46018</v>
      </c>
    </row>
    <row r="217" spans="1:14" s="5" customFormat="1" outlineLevel="2">
      <c r="A217" s="39" t="s">
        <v>108</v>
      </c>
      <c r="B217" s="40" t="s">
        <v>103</v>
      </c>
      <c r="C217" s="41" t="s">
        <v>111</v>
      </c>
      <c r="D217" s="40" t="s">
        <v>112</v>
      </c>
      <c r="E217" s="24">
        <v>4920000</v>
      </c>
      <c r="F217" s="39">
        <v>44211</v>
      </c>
      <c r="G217" s="24">
        <v>4920000</v>
      </c>
      <c r="H217" s="23">
        <v>5.0000000000000001E-3</v>
      </c>
      <c r="I217" s="39">
        <v>44470</v>
      </c>
      <c r="J217" s="39">
        <v>44500</v>
      </c>
      <c r="K217" s="24">
        <f t="shared" si="16"/>
        <v>31</v>
      </c>
      <c r="L217" s="24">
        <f t="shared" si="17"/>
        <v>2089</v>
      </c>
      <c r="M217" s="24">
        <v>4920000</v>
      </c>
      <c r="N217" s="39">
        <v>46036</v>
      </c>
    </row>
    <row r="218" spans="1:14" s="5" customFormat="1" outlineLevel="2">
      <c r="A218" s="39" t="s">
        <v>108</v>
      </c>
      <c r="B218" s="40" t="s">
        <v>104</v>
      </c>
      <c r="C218" s="41" t="s">
        <v>115</v>
      </c>
      <c r="D218" s="40" t="s">
        <v>116</v>
      </c>
      <c r="E218" s="24">
        <v>7300000</v>
      </c>
      <c r="F218" s="39">
        <v>44224</v>
      </c>
      <c r="G218" s="24">
        <v>7300000</v>
      </c>
      <c r="H218" s="23">
        <v>5.0000000000000001E-3</v>
      </c>
      <c r="I218" s="39">
        <v>44470</v>
      </c>
      <c r="J218" s="39">
        <v>44500</v>
      </c>
      <c r="K218" s="24">
        <f t="shared" si="16"/>
        <v>31</v>
      </c>
      <c r="L218" s="24">
        <f t="shared" si="17"/>
        <v>3100</v>
      </c>
      <c r="M218" s="24">
        <v>7300000</v>
      </c>
      <c r="N218" s="39">
        <v>46049</v>
      </c>
    </row>
    <row r="219" spans="1:14" s="5" customFormat="1" outlineLevel="2">
      <c r="A219" s="39" t="s">
        <v>108</v>
      </c>
      <c r="B219" s="40" t="s">
        <v>105</v>
      </c>
      <c r="C219" s="41" t="s">
        <v>115</v>
      </c>
      <c r="D219" s="40" t="s">
        <v>116</v>
      </c>
      <c r="E219" s="24">
        <v>15000000</v>
      </c>
      <c r="F219" s="39">
        <v>44224</v>
      </c>
      <c r="G219" s="24">
        <v>15000000</v>
      </c>
      <c r="H219" s="23">
        <v>5.0000000000000001E-3</v>
      </c>
      <c r="I219" s="39">
        <v>44470</v>
      </c>
      <c r="J219" s="39">
        <v>44500</v>
      </c>
      <c r="K219" s="24">
        <f t="shared" si="16"/>
        <v>31</v>
      </c>
      <c r="L219" s="24">
        <f t="shared" si="17"/>
        <v>6370</v>
      </c>
      <c r="M219" s="24">
        <v>15000000</v>
      </c>
      <c r="N219" s="39">
        <v>46049</v>
      </c>
    </row>
    <row r="220" spans="1:14" s="5" customFormat="1" outlineLevel="2">
      <c r="A220" s="39" t="s">
        <v>108</v>
      </c>
      <c r="B220" s="40" t="s">
        <v>106</v>
      </c>
      <c r="C220" s="41" t="s">
        <v>113</v>
      </c>
      <c r="D220" s="40" t="s">
        <v>114</v>
      </c>
      <c r="E220" s="24">
        <v>23200000</v>
      </c>
      <c r="F220" s="39">
        <v>44229</v>
      </c>
      <c r="G220" s="24">
        <v>21557528</v>
      </c>
      <c r="H220" s="23">
        <v>5.0000000000000001E-3</v>
      </c>
      <c r="I220" s="39">
        <v>44470</v>
      </c>
      <c r="J220" s="39">
        <v>44483</v>
      </c>
      <c r="K220" s="24">
        <f t="shared" si="16"/>
        <v>14</v>
      </c>
      <c r="L220" s="24">
        <f t="shared" si="17"/>
        <v>4134</v>
      </c>
      <c r="M220" s="24">
        <v>21352219</v>
      </c>
      <c r="N220" s="39">
        <v>46054</v>
      </c>
    </row>
    <row r="221" spans="1:14" s="5" customFormat="1" outlineLevel="2">
      <c r="A221" s="39" t="s">
        <v>108</v>
      </c>
      <c r="B221" s="40" t="s">
        <v>106</v>
      </c>
      <c r="C221" s="41" t="s">
        <v>113</v>
      </c>
      <c r="D221" s="40"/>
      <c r="E221" s="24"/>
      <c r="F221" s="39"/>
      <c r="G221" s="24">
        <v>21352219</v>
      </c>
      <c r="H221" s="23">
        <v>5.0000000000000001E-3</v>
      </c>
      <c r="I221" s="39">
        <v>44484</v>
      </c>
      <c r="J221" s="39">
        <v>44500</v>
      </c>
      <c r="K221" s="24">
        <f t="shared" si="16"/>
        <v>17</v>
      </c>
      <c r="L221" s="24">
        <f t="shared" si="17"/>
        <v>4972</v>
      </c>
      <c r="M221" s="24"/>
      <c r="N221" s="39">
        <v>46054</v>
      </c>
    </row>
    <row r="222" spans="1:14" s="5" customFormat="1" outlineLevel="2">
      <c r="A222" s="39" t="s">
        <v>108</v>
      </c>
      <c r="B222" s="40" t="s">
        <v>59</v>
      </c>
      <c r="C222" s="41" t="s">
        <v>117</v>
      </c>
      <c r="D222" s="40" t="s">
        <v>118</v>
      </c>
      <c r="E222" s="24">
        <v>24000000</v>
      </c>
      <c r="F222" s="39">
        <v>43937</v>
      </c>
      <c r="G222" s="24">
        <v>20600000</v>
      </c>
      <c r="H222" s="23">
        <v>5.0000000000000001E-3</v>
      </c>
      <c r="I222" s="39">
        <v>44470</v>
      </c>
      <c r="J222" s="39">
        <v>44483</v>
      </c>
      <c r="K222" s="24">
        <f t="shared" si="16"/>
        <v>14</v>
      </c>
      <c r="L222" s="24">
        <f t="shared" si="17"/>
        <v>3951</v>
      </c>
      <c r="M222" s="24">
        <v>20400000</v>
      </c>
      <c r="N222" s="39">
        <v>45762</v>
      </c>
    </row>
    <row r="223" spans="1:14" s="5" customFormat="1" outlineLevel="2">
      <c r="A223" s="39" t="s">
        <v>108</v>
      </c>
      <c r="B223" s="40" t="s">
        <v>59</v>
      </c>
      <c r="C223" s="41" t="s">
        <v>117</v>
      </c>
      <c r="D223" s="40"/>
      <c r="E223" s="24"/>
      <c r="F223" s="39"/>
      <c r="G223" s="24">
        <v>20400000</v>
      </c>
      <c r="H223" s="23">
        <v>5.0000000000000001E-3</v>
      </c>
      <c r="I223" s="39">
        <v>44484</v>
      </c>
      <c r="J223" s="39">
        <v>44500</v>
      </c>
      <c r="K223" s="24">
        <f t="shared" si="16"/>
        <v>17</v>
      </c>
      <c r="L223" s="24">
        <f t="shared" si="17"/>
        <v>4751</v>
      </c>
      <c r="M223" s="24"/>
      <c r="N223" s="39">
        <v>45762</v>
      </c>
    </row>
    <row r="224" spans="1:14" s="5" customFormat="1" outlineLevel="2">
      <c r="A224" s="39" t="s">
        <v>108</v>
      </c>
      <c r="B224" s="40" t="s">
        <v>136</v>
      </c>
      <c r="C224" s="41" t="s">
        <v>111</v>
      </c>
      <c r="D224" s="40" t="s">
        <v>112</v>
      </c>
      <c r="E224" s="24">
        <v>3410000</v>
      </c>
      <c r="F224" s="39">
        <v>44270</v>
      </c>
      <c r="G224" s="24">
        <v>3410000</v>
      </c>
      <c r="H224" s="23">
        <v>5.0000000000000001E-3</v>
      </c>
      <c r="I224" s="39">
        <v>44470</v>
      </c>
      <c r="J224" s="39">
        <v>44500</v>
      </c>
      <c r="K224" s="24">
        <f t="shared" si="16"/>
        <v>31</v>
      </c>
      <c r="L224" s="24">
        <f t="shared" si="17"/>
        <v>1448</v>
      </c>
      <c r="M224" s="24">
        <v>3410000</v>
      </c>
      <c r="N224" s="39">
        <v>46095</v>
      </c>
    </row>
    <row r="225" spans="1:14" s="5" customFormat="1" outlineLevel="2">
      <c r="A225" s="39" t="s">
        <v>108</v>
      </c>
      <c r="B225" s="40" t="s">
        <v>137</v>
      </c>
      <c r="C225" s="41" t="s">
        <v>117</v>
      </c>
      <c r="D225" s="40" t="s">
        <v>118</v>
      </c>
      <c r="E225" s="24">
        <v>10000000</v>
      </c>
      <c r="F225" s="39">
        <v>44277</v>
      </c>
      <c r="G225" s="24">
        <v>9449542</v>
      </c>
      <c r="H225" s="23">
        <v>5.0000000000000001E-3</v>
      </c>
      <c r="I225" s="39">
        <v>44470</v>
      </c>
      <c r="J225" s="39">
        <v>44483</v>
      </c>
      <c r="K225" s="24">
        <f t="shared" si="16"/>
        <v>14</v>
      </c>
      <c r="L225" s="24">
        <f t="shared" si="17"/>
        <v>1812</v>
      </c>
      <c r="M225" s="24">
        <v>9357799</v>
      </c>
      <c r="N225" s="39">
        <v>46102</v>
      </c>
    </row>
    <row r="226" spans="1:14" s="5" customFormat="1" outlineLevel="2">
      <c r="A226" s="39" t="s">
        <v>108</v>
      </c>
      <c r="B226" s="40" t="s">
        <v>137</v>
      </c>
      <c r="C226" s="41" t="s">
        <v>117</v>
      </c>
      <c r="D226" s="40"/>
      <c r="E226" s="24"/>
      <c r="F226" s="39"/>
      <c r="G226" s="24">
        <v>9357799</v>
      </c>
      <c r="H226" s="23">
        <v>5.0000000000000001E-3</v>
      </c>
      <c r="I226" s="39">
        <v>44484</v>
      </c>
      <c r="J226" s="39">
        <v>44500</v>
      </c>
      <c r="K226" s="24">
        <f t="shared" si="16"/>
        <v>17</v>
      </c>
      <c r="L226" s="24">
        <f t="shared" si="17"/>
        <v>2179</v>
      </c>
      <c r="M226" s="24"/>
      <c r="N226" s="39">
        <v>46102</v>
      </c>
    </row>
    <row r="227" spans="1:14" s="5" customFormat="1" outlineLevel="2">
      <c r="A227" s="39" t="s">
        <v>108</v>
      </c>
      <c r="B227" s="40" t="s">
        <v>138</v>
      </c>
      <c r="C227" s="41" t="s">
        <v>123</v>
      </c>
      <c r="D227" s="40" t="s">
        <v>124</v>
      </c>
      <c r="E227" s="24">
        <v>51000000</v>
      </c>
      <c r="F227" s="39">
        <v>44294</v>
      </c>
      <c r="G227" s="24">
        <v>51000000</v>
      </c>
      <c r="H227" s="23">
        <v>5.0000000000000001E-3</v>
      </c>
      <c r="I227" s="39">
        <v>44470</v>
      </c>
      <c r="J227" s="39">
        <v>44500</v>
      </c>
      <c r="K227" s="24">
        <f t="shared" si="16"/>
        <v>31</v>
      </c>
      <c r="L227" s="24">
        <f t="shared" si="17"/>
        <v>21658</v>
      </c>
      <c r="M227" s="24">
        <v>51000000</v>
      </c>
      <c r="N227" s="39">
        <v>46119</v>
      </c>
    </row>
    <row r="228" spans="1:14" s="5" customFormat="1" outlineLevel="2">
      <c r="A228" s="39" t="s">
        <v>108</v>
      </c>
      <c r="B228" s="40" t="s">
        <v>139</v>
      </c>
      <c r="C228" s="41" t="s">
        <v>115</v>
      </c>
      <c r="D228" s="40" t="s">
        <v>116</v>
      </c>
      <c r="E228" s="24">
        <v>12000000</v>
      </c>
      <c r="F228" s="39">
        <v>44321</v>
      </c>
      <c r="G228" s="24">
        <v>12000000</v>
      </c>
      <c r="H228" s="23">
        <v>5.0000000000000001E-3</v>
      </c>
      <c r="I228" s="39">
        <v>44470</v>
      </c>
      <c r="J228" s="39">
        <v>44500</v>
      </c>
      <c r="K228" s="24">
        <f t="shared" si="16"/>
        <v>31</v>
      </c>
      <c r="L228" s="24">
        <f t="shared" si="17"/>
        <v>5096</v>
      </c>
      <c r="M228" s="24">
        <v>12000000</v>
      </c>
      <c r="N228" s="39">
        <v>46146</v>
      </c>
    </row>
    <row r="229" spans="1:14" s="5" customFormat="1" outlineLevel="2">
      <c r="A229" s="39" t="s">
        <v>108</v>
      </c>
      <c r="B229" s="40" t="s">
        <v>140</v>
      </c>
      <c r="C229" s="41" t="s">
        <v>115</v>
      </c>
      <c r="D229" s="40" t="s">
        <v>116</v>
      </c>
      <c r="E229" s="24">
        <v>21000000</v>
      </c>
      <c r="F229" s="39">
        <v>44330</v>
      </c>
      <c r="G229" s="24">
        <v>21000000</v>
      </c>
      <c r="H229" s="23">
        <v>5.0000000000000001E-3</v>
      </c>
      <c r="I229" s="39">
        <v>44470</v>
      </c>
      <c r="J229" s="39">
        <v>44500</v>
      </c>
      <c r="K229" s="24">
        <f t="shared" si="16"/>
        <v>31</v>
      </c>
      <c r="L229" s="24">
        <f t="shared" si="17"/>
        <v>8918</v>
      </c>
      <c r="M229" s="24">
        <v>21000000</v>
      </c>
      <c r="N229" s="39">
        <v>46155</v>
      </c>
    </row>
    <row r="230" spans="1:14" s="5" customFormat="1" outlineLevel="2">
      <c r="A230" s="39" t="s">
        <v>108</v>
      </c>
      <c r="B230" s="40" t="s">
        <v>169</v>
      </c>
      <c r="C230" s="41" t="s">
        <v>79</v>
      </c>
      <c r="D230" s="40" t="s">
        <v>80</v>
      </c>
      <c r="E230" s="24">
        <v>39150000</v>
      </c>
      <c r="F230" s="39">
        <v>44336</v>
      </c>
      <c r="G230" s="24">
        <v>39150000</v>
      </c>
      <c r="H230" s="23">
        <v>5.0000000000000001E-3</v>
      </c>
      <c r="I230" s="39">
        <v>44470</v>
      </c>
      <c r="J230" s="39">
        <v>44500</v>
      </c>
      <c r="K230" s="24">
        <f t="shared" si="16"/>
        <v>31</v>
      </c>
      <c r="L230" s="24">
        <f t="shared" si="17"/>
        <v>16625</v>
      </c>
      <c r="M230" s="24">
        <v>39150000</v>
      </c>
      <c r="N230" s="39">
        <v>46161</v>
      </c>
    </row>
    <row r="231" spans="1:14" s="5" customFormat="1" outlineLevel="2">
      <c r="A231" s="39" t="s">
        <v>108</v>
      </c>
      <c r="B231" s="40" t="s">
        <v>170</v>
      </c>
      <c r="C231" s="41" t="s">
        <v>123</v>
      </c>
      <c r="D231" s="40" t="s">
        <v>124</v>
      </c>
      <c r="E231" s="24">
        <v>92500000</v>
      </c>
      <c r="F231" s="39">
        <v>44341</v>
      </c>
      <c r="G231" s="24">
        <v>92500000</v>
      </c>
      <c r="H231" s="23">
        <v>5.0000000000000001E-3</v>
      </c>
      <c r="I231" s="39">
        <v>44470</v>
      </c>
      <c r="J231" s="39">
        <v>44500</v>
      </c>
      <c r="K231" s="24">
        <f t="shared" si="16"/>
        <v>31</v>
      </c>
      <c r="L231" s="24">
        <f t="shared" si="17"/>
        <v>39281</v>
      </c>
      <c r="M231" s="24">
        <v>92500000</v>
      </c>
      <c r="N231" s="39">
        <v>46166</v>
      </c>
    </row>
    <row r="232" spans="1:14" s="5" customFormat="1" outlineLevel="2">
      <c r="A232" s="39" t="s">
        <v>108</v>
      </c>
      <c r="B232" s="40" t="s">
        <v>171</v>
      </c>
      <c r="C232" s="41" t="s">
        <v>123</v>
      </c>
      <c r="D232" s="40" t="s">
        <v>124</v>
      </c>
      <c r="E232" s="24">
        <v>33500000</v>
      </c>
      <c r="F232" s="39">
        <v>44354</v>
      </c>
      <c r="G232" s="24">
        <v>33500000</v>
      </c>
      <c r="H232" s="23">
        <v>5.0000000000000001E-3</v>
      </c>
      <c r="I232" s="39">
        <v>44470</v>
      </c>
      <c r="J232" s="39">
        <v>44500</v>
      </c>
      <c r="K232" s="24">
        <f t="shared" si="16"/>
        <v>31</v>
      </c>
      <c r="L232" s="24">
        <f t="shared" si="17"/>
        <v>14226</v>
      </c>
      <c r="M232" s="24">
        <v>33500000</v>
      </c>
      <c r="N232" s="39">
        <v>46179</v>
      </c>
    </row>
    <row r="233" spans="1:14" s="5" customFormat="1" outlineLevel="2">
      <c r="A233" s="39" t="s">
        <v>108</v>
      </c>
      <c r="B233" s="40" t="s">
        <v>172</v>
      </c>
      <c r="C233" s="41" t="s">
        <v>111</v>
      </c>
      <c r="D233" s="40" t="s">
        <v>112</v>
      </c>
      <c r="E233" s="24">
        <v>810000</v>
      </c>
      <c r="F233" s="39">
        <v>44362</v>
      </c>
      <c r="G233" s="24">
        <v>810000</v>
      </c>
      <c r="H233" s="23">
        <v>5.0000000000000001E-3</v>
      </c>
      <c r="I233" s="39">
        <v>44470</v>
      </c>
      <c r="J233" s="39">
        <v>44500</v>
      </c>
      <c r="K233" s="24">
        <f t="shared" si="16"/>
        <v>31</v>
      </c>
      <c r="L233" s="24">
        <f t="shared" si="17"/>
        <v>344</v>
      </c>
      <c r="M233" s="24">
        <v>810000</v>
      </c>
      <c r="N233" s="39">
        <v>46187</v>
      </c>
    </row>
    <row r="234" spans="1:14" s="5" customFormat="1" outlineLevel="2">
      <c r="A234" s="39" t="s">
        <v>108</v>
      </c>
      <c r="B234" s="40" t="s">
        <v>173</v>
      </c>
      <c r="C234" s="41" t="s">
        <v>111</v>
      </c>
      <c r="D234" s="40" t="s">
        <v>112</v>
      </c>
      <c r="E234" s="24">
        <v>3800000</v>
      </c>
      <c r="F234" s="39">
        <v>44362</v>
      </c>
      <c r="G234" s="24">
        <v>3800000</v>
      </c>
      <c r="H234" s="23">
        <v>5.0000000000000001E-3</v>
      </c>
      <c r="I234" s="39">
        <v>44470</v>
      </c>
      <c r="J234" s="39">
        <v>44500</v>
      </c>
      <c r="K234" s="24">
        <f t="shared" si="16"/>
        <v>31</v>
      </c>
      <c r="L234" s="24">
        <f t="shared" si="17"/>
        <v>1614</v>
      </c>
      <c r="M234" s="24">
        <v>3800000</v>
      </c>
      <c r="N234" s="39">
        <v>46187</v>
      </c>
    </row>
    <row r="235" spans="1:14" s="5" customFormat="1" outlineLevel="2">
      <c r="A235" s="39" t="s">
        <v>108</v>
      </c>
      <c r="B235" s="40" t="s">
        <v>62</v>
      </c>
      <c r="C235" s="41" t="s">
        <v>113</v>
      </c>
      <c r="D235" s="40" t="s">
        <v>114</v>
      </c>
      <c r="E235" s="24">
        <v>28240000</v>
      </c>
      <c r="F235" s="39">
        <v>43951</v>
      </c>
      <c r="G235" s="24">
        <v>22524770</v>
      </c>
      <c r="H235" s="23">
        <v>5.0000000000000001E-3</v>
      </c>
      <c r="I235" s="39">
        <v>44470</v>
      </c>
      <c r="J235" s="39">
        <v>44483</v>
      </c>
      <c r="K235" s="24">
        <f t="shared" si="16"/>
        <v>14</v>
      </c>
      <c r="L235" s="24">
        <f t="shared" si="17"/>
        <v>4320</v>
      </c>
      <c r="M235" s="24">
        <v>22188580</v>
      </c>
      <c r="N235" s="39">
        <v>45776</v>
      </c>
    </row>
    <row r="236" spans="1:14" s="5" customFormat="1" outlineLevel="2">
      <c r="A236" s="39" t="s">
        <v>108</v>
      </c>
      <c r="B236" s="40" t="s">
        <v>62</v>
      </c>
      <c r="C236" s="41" t="s">
        <v>113</v>
      </c>
      <c r="D236" s="40"/>
      <c r="E236" s="24"/>
      <c r="F236" s="39"/>
      <c r="G236" s="24">
        <v>22188580</v>
      </c>
      <c r="H236" s="23">
        <v>5.0000000000000001E-3</v>
      </c>
      <c r="I236" s="39">
        <v>44484</v>
      </c>
      <c r="J236" s="39">
        <v>44500</v>
      </c>
      <c r="K236" s="24">
        <f t="shared" si="16"/>
        <v>17</v>
      </c>
      <c r="L236" s="24">
        <f t="shared" si="17"/>
        <v>5167</v>
      </c>
      <c r="M236" s="24"/>
      <c r="N236" s="39">
        <v>45776</v>
      </c>
    </row>
    <row r="237" spans="1:14" s="5" customFormat="1" outlineLevel="2">
      <c r="A237" s="39" t="s">
        <v>108</v>
      </c>
      <c r="B237" s="40" t="s">
        <v>174</v>
      </c>
      <c r="C237" s="41" t="s">
        <v>117</v>
      </c>
      <c r="D237" s="40" t="s">
        <v>118</v>
      </c>
      <c r="E237" s="24">
        <v>10000000</v>
      </c>
      <c r="F237" s="39">
        <v>44372</v>
      </c>
      <c r="G237" s="24">
        <v>9716983</v>
      </c>
      <c r="H237" s="23">
        <v>5.0000000000000001E-3</v>
      </c>
      <c r="I237" s="39">
        <v>44470</v>
      </c>
      <c r="J237" s="39">
        <v>44483</v>
      </c>
      <c r="K237" s="24">
        <f t="shared" si="16"/>
        <v>14</v>
      </c>
      <c r="L237" s="24">
        <f t="shared" si="17"/>
        <v>1864</v>
      </c>
      <c r="M237" s="24">
        <v>9622644</v>
      </c>
      <c r="N237" s="39">
        <v>46197</v>
      </c>
    </row>
    <row r="238" spans="1:14" s="5" customFormat="1" outlineLevel="2">
      <c r="A238" s="39" t="s">
        <v>108</v>
      </c>
      <c r="B238" s="40" t="s">
        <v>174</v>
      </c>
      <c r="C238" s="41" t="s">
        <v>117</v>
      </c>
      <c r="D238" s="40"/>
      <c r="E238" s="24"/>
      <c r="F238" s="39"/>
      <c r="G238" s="24">
        <v>9622644</v>
      </c>
      <c r="H238" s="23">
        <v>5.0000000000000001E-3</v>
      </c>
      <c r="I238" s="39">
        <v>44484</v>
      </c>
      <c r="J238" s="39">
        <v>44500</v>
      </c>
      <c r="K238" s="24">
        <f t="shared" si="16"/>
        <v>17</v>
      </c>
      <c r="L238" s="24">
        <f t="shared" si="17"/>
        <v>2241</v>
      </c>
      <c r="M238" s="24"/>
      <c r="N238" s="39">
        <v>46197</v>
      </c>
    </row>
    <row r="239" spans="1:14" s="5" customFormat="1" outlineLevel="2">
      <c r="A239" s="39" t="s">
        <v>108</v>
      </c>
      <c r="B239" s="40" t="s">
        <v>175</v>
      </c>
      <c r="C239" s="41" t="s">
        <v>123</v>
      </c>
      <c r="D239" s="40" t="s">
        <v>124</v>
      </c>
      <c r="E239" s="24">
        <v>41700000</v>
      </c>
      <c r="F239" s="39">
        <v>44379</v>
      </c>
      <c r="G239" s="24">
        <v>41700000</v>
      </c>
      <c r="H239" s="23">
        <v>5.0000000000000001E-3</v>
      </c>
      <c r="I239" s="39">
        <v>44470</v>
      </c>
      <c r="J239" s="39">
        <v>44500</v>
      </c>
      <c r="K239" s="24">
        <f t="shared" si="16"/>
        <v>31</v>
      </c>
      <c r="L239" s="24">
        <f t="shared" si="17"/>
        <v>17708</v>
      </c>
      <c r="M239" s="24">
        <v>41700000</v>
      </c>
      <c r="N239" s="39">
        <v>46204</v>
      </c>
    </row>
    <row r="240" spans="1:14" s="5" customFormat="1" outlineLevel="2">
      <c r="A240" s="39" t="s">
        <v>108</v>
      </c>
      <c r="B240" s="40" t="s">
        <v>176</v>
      </c>
      <c r="C240" s="41" t="s">
        <v>113</v>
      </c>
      <c r="D240" s="40" t="s">
        <v>114</v>
      </c>
      <c r="E240" s="24">
        <v>23200000</v>
      </c>
      <c r="F240" s="39">
        <v>44392</v>
      </c>
      <c r="G240" s="24">
        <v>22766356</v>
      </c>
      <c r="H240" s="23">
        <v>5.0000000000000001E-3</v>
      </c>
      <c r="I240" s="39">
        <v>44470</v>
      </c>
      <c r="J240" s="39">
        <v>44483</v>
      </c>
      <c r="K240" s="24">
        <f t="shared" si="16"/>
        <v>14</v>
      </c>
      <c r="L240" s="24">
        <f t="shared" si="17"/>
        <v>4366</v>
      </c>
      <c r="M240" s="24">
        <v>22549534</v>
      </c>
      <c r="N240" s="39">
        <v>46217</v>
      </c>
    </row>
    <row r="241" spans="1:14" s="5" customFormat="1" outlineLevel="2">
      <c r="A241" s="39" t="s">
        <v>108</v>
      </c>
      <c r="B241" s="40" t="s">
        <v>176</v>
      </c>
      <c r="C241" s="41" t="s">
        <v>113</v>
      </c>
      <c r="D241" s="40"/>
      <c r="E241" s="24"/>
      <c r="F241" s="39"/>
      <c r="G241" s="24">
        <v>22549534</v>
      </c>
      <c r="H241" s="23">
        <v>5.0000000000000001E-3</v>
      </c>
      <c r="I241" s="39">
        <v>44484</v>
      </c>
      <c r="J241" s="39">
        <v>44500</v>
      </c>
      <c r="K241" s="24">
        <f t="shared" ref="K241:K272" si="18">J241-I241+1</f>
        <v>17</v>
      </c>
      <c r="L241" s="24">
        <f t="shared" ref="L241:L272" si="19">ROUND(G241*H241*K241/365,0)</f>
        <v>5251</v>
      </c>
      <c r="M241" s="24"/>
      <c r="N241" s="39">
        <v>46217</v>
      </c>
    </row>
    <row r="242" spans="1:14" s="5" customFormat="1" outlineLevel="2">
      <c r="A242" s="39" t="s">
        <v>108</v>
      </c>
      <c r="B242" s="40" t="s">
        <v>177</v>
      </c>
      <c r="C242" s="41" t="s">
        <v>406</v>
      </c>
      <c r="D242" s="40" t="s">
        <v>405</v>
      </c>
      <c r="E242" s="24">
        <v>920000</v>
      </c>
      <c r="F242" s="39">
        <v>44420</v>
      </c>
      <c r="G242" s="24">
        <v>920000</v>
      </c>
      <c r="H242" s="23">
        <v>5.0000000000000001E-3</v>
      </c>
      <c r="I242" s="39">
        <v>44470</v>
      </c>
      <c r="J242" s="39">
        <v>44500</v>
      </c>
      <c r="K242" s="24">
        <f t="shared" si="18"/>
        <v>31</v>
      </c>
      <c r="L242" s="24">
        <f t="shared" si="19"/>
        <v>391</v>
      </c>
      <c r="M242" s="24">
        <v>920000</v>
      </c>
      <c r="N242" s="39">
        <v>45515</v>
      </c>
    </row>
    <row r="243" spans="1:14" s="5" customFormat="1" outlineLevel="2">
      <c r="A243" s="39" t="s">
        <v>108</v>
      </c>
      <c r="B243" s="40" t="s">
        <v>178</v>
      </c>
      <c r="C243" s="41" t="s">
        <v>406</v>
      </c>
      <c r="D243" s="40" t="s">
        <v>405</v>
      </c>
      <c r="E243" s="24">
        <v>4360000</v>
      </c>
      <c r="F243" s="39">
        <v>44420</v>
      </c>
      <c r="G243" s="24">
        <v>4360000</v>
      </c>
      <c r="H243" s="23">
        <v>5.0000000000000001E-3</v>
      </c>
      <c r="I243" s="39">
        <v>44470</v>
      </c>
      <c r="J243" s="39">
        <v>44500</v>
      </c>
      <c r="K243" s="24">
        <f t="shared" si="18"/>
        <v>31</v>
      </c>
      <c r="L243" s="24">
        <f t="shared" si="19"/>
        <v>1852</v>
      </c>
      <c r="M243" s="24">
        <v>4360000</v>
      </c>
      <c r="N243" s="39">
        <v>45515</v>
      </c>
    </row>
    <row r="244" spans="1:14" s="5" customFormat="1" outlineLevel="2">
      <c r="A244" s="39" t="s">
        <v>108</v>
      </c>
      <c r="B244" s="40" t="s">
        <v>179</v>
      </c>
      <c r="C244" s="41" t="s">
        <v>406</v>
      </c>
      <c r="D244" s="40" t="s">
        <v>405</v>
      </c>
      <c r="E244" s="24">
        <v>1740000</v>
      </c>
      <c r="F244" s="39">
        <v>44420</v>
      </c>
      <c r="G244" s="24">
        <v>1740000</v>
      </c>
      <c r="H244" s="23">
        <v>5.0000000000000001E-3</v>
      </c>
      <c r="I244" s="39">
        <v>44470</v>
      </c>
      <c r="J244" s="39">
        <v>44500</v>
      </c>
      <c r="K244" s="24">
        <f t="shared" si="18"/>
        <v>31</v>
      </c>
      <c r="L244" s="24">
        <f t="shared" si="19"/>
        <v>739</v>
      </c>
      <c r="M244" s="24">
        <v>1740000</v>
      </c>
      <c r="N244" s="39">
        <v>45515</v>
      </c>
    </row>
    <row r="245" spans="1:14" s="5" customFormat="1" outlineLevel="2">
      <c r="A245" s="39" t="s">
        <v>108</v>
      </c>
      <c r="B245" s="40" t="s">
        <v>180</v>
      </c>
      <c r="C245" s="41" t="s">
        <v>406</v>
      </c>
      <c r="D245" s="40" t="s">
        <v>405</v>
      </c>
      <c r="E245" s="24">
        <v>25280000</v>
      </c>
      <c r="F245" s="39">
        <v>44420</v>
      </c>
      <c r="G245" s="24">
        <v>25280000</v>
      </c>
      <c r="H245" s="23">
        <v>5.0000000000000001E-3</v>
      </c>
      <c r="I245" s="39">
        <v>44470</v>
      </c>
      <c r="J245" s="39">
        <v>44500</v>
      </c>
      <c r="K245" s="24">
        <f t="shared" si="18"/>
        <v>31</v>
      </c>
      <c r="L245" s="24">
        <f t="shared" si="19"/>
        <v>10735</v>
      </c>
      <c r="M245" s="24">
        <v>25280000</v>
      </c>
      <c r="N245" s="39">
        <v>45515</v>
      </c>
    </row>
    <row r="246" spans="1:14" s="5" customFormat="1" outlineLevel="2">
      <c r="A246" s="39" t="s">
        <v>108</v>
      </c>
      <c r="B246" s="40" t="s">
        <v>181</v>
      </c>
      <c r="C246" s="41" t="s">
        <v>406</v>
      </c>
      <c r="D246" s="40" t="s">
        <v>405</v>
      </c>
      <c r="E246" s="24">
        <v>6500000</v>
      </c>
      <c r="F246" s="39">
        <v>44420</v>
      </c>
      <c r="G246" s="24">
        <v>6500000</v>
      </c>
      <c r="H246" s="23">
        <v>5.0000000000000001E-3</v>
      </c>
      <c r="I246" s="39">
        <v>44470</v>
      </c>
      <c r="J246" s="39">
        <v>44500</v>
      </c>
      <c r="K246" s="24">
        <f t="shared" si="18"/>
        <v>31</v>
      </c>
      <c r="L246" s="24">
        <f t="shared" si="19"/>
        <v>2760</v>
      </c>
      <c r="M246" s="24">
        <v>6500000</v>
      </c>
      <c r="N246" s="39">
        <v>45515</v>
      </c>
    </row>
    <row r="247" spans="1:14" s="5" customFormat="1" outlineLevel="2">
      <c r="A247" s="39" t="s">
        <v>108</v>
      </c>
      <c r="B247" s="40" t="s">
        <v>182</v>
      </c>
      <c r="C247" s="41" t="s">
        <v>406</v>
      </c>
      <c r="D247" s="40" t="s">
        <v>405</v>
      </c>
      <c r="E247" s="24">
        <v>4790000</v>
      </c>
      <c r="F247" s="39">
        <v>44420</v>
      </c>
      <c r="G247" s="24">
        <v>4790000</v>
      </c>
      <c r="H247" s="23">
        <v>5.0000000000000001E-3</v>
      </c>
      <c r="I247" s="39">
        <v>44470</v>
      </c>
      <c r="J247" s="39">
        <v>44500</v>
      </c>
      <c r="K247" s="24">
        <f t="shared" si="18"/>
        <v>31</v>
      </c>
      <c r="L247" s="24">
        <f t="shared" si="19"/>
        <v>2034</v>
      </c>
      <c r="M247" s="24">
        <v>4790000</v>
      </c>
      <c r="N247" s="39">
        <v>45515</v>
      </c>
    </row>
    <row r="248" spans="1:14" s="5" customFormat="1" outlineLevel="2">
      <c r="A248" s="39" t="s">
        <v>108</v>
      </c>
      <c r="B248" s="40" t="s">
        <v>183</v>
      </c>
      <c r="C248" s="41" t="s">
        <v>115</v>
      </c>
      <c r="D248" s="40" t="s">
        <v>116</v>
      </c>
      <c r="E248" s="24">
        <v>4240000</v>
      </c>
      <c r="F248" s="39">
        <v>44427</v>
      </c>
      <c r="G248" s="24">
        <v>4240000</v>
      </c>
      <c r="H248" s="23">
        <v>5.0000000000000001E-3</v>
      </c>
      <c r="I248" s="39">
        <v>44470</v>
      </c>
      <c r="J248" s="39">
        <v>44500</v>
      </c>
      <c r="K248" s="24">
        <f t="shared" si="18"/>
        <v>31</v>
      </c>
      <c r="L248" s="24">
        <f t="shared" si="19"/>
        <v>1801</v>
      </c>
      <c r="M248" s="24">
        <v>4240000</v>
      </c>
      <c r="N248" s="39">
        <v>46252</v>
      </c>
    </row>
    <row r="249" spans="1:14" s="5" customFormat="1" outlineLevel="2">
      <c r="A249" s="39" t="s">
        <v>108</v>
      </c>
      <c r="B249" s="40" t="s">
        <v>63</v>
      </c>
      <c r="C249" s="41" t="s">
        <v>111</v>
      </c>
      <c r="D249" s="40" t="s">
        <v>112</v>
      </c>
      <c r="E249" s="24">
        <v>8000000</v>
      </c>
      <c r="F249" s="39">
        <v>43957</v>
      </c>
      <c r="G249" s="24">
        <v>5733339</v>
      </c>
      <c r="H249" s="23">
        <v>5.0000000000000001E-3</v>
      </c>
      <c r="I249" s="39">
        <v>44470</v>
      </c>
      <c r="J249" s="39">
        <v>44483</v>
      </c>
      <c r="K249" s="24">
        <f t="shared" si="18"/>
        <v>14</v>
      </c>
      <c r="L249" s="24">
        <f t="shared" si="19"/>
        <v>1100</v>
      </c>
      <c r="M249" s="24">
        <v>5600006</v>
      </c>
      <c r="N249" s="39">
        <v>45782</v>
      </c>
    </row>
    <row r="250" spans="1:14" s="5" customFormat="1" outlineLevel="2">
      <c r="A250" s="39" t="s">
        <v>108</v>
      </c>
      <c r="B250" s="40" t="s">
        <v>63</v>
      </c>
      <c r="C250" s="41" t="s">
        <v>111</v>
      </c>
      <c r="D250" s="40"/>
      <c r="E250" s="24"/>
      <c r="F250" s="39"/>
      <c r="G250" s="24">
        <v>5600006</v>
      </c>
      <c r="H250" s="23">
        <v>5.0000000000000001E-3</v>
      </c>
      <c r="I250" s="39">
        <v>44484</v>
      </c>
      <c r="J250" s="39">
        <v>44500</v>
      </c>
      <c r="K250" s="24">
        <f t="shared" si="18"/>
        <v>17</v>
      </c>
      <c r="L250" s="24">
        <f t="shared" si="19"/>
        <v>1304</v>
      </c>
      <c r="M250" s="24"/>
      <c r="N250" s="39">
        <v>45782</v>
      </c>
    </row>
    <row r="251" spans="1:14" s="5" customFormat="1" outlineLevel="2">
      <c r="A251" s="39" t="s">
        <v>108</v>
      </c>
      <c r="B251" s="40" t="s">
        <v>184</v>
      </c>
      <c r="C251" s="41" t="s">
        <v>123</v>
      </c>
      <c r="D251" s="40" t="s">
        <v>124</v>
      </c>
      <c r="E251" s="24">
        <v>19800000</v>
      </c>
      <c r="F251" s="39">
        <v>44410</v>
      </c>
      <c r="G251" s="24">
        <v>19800000</v>
      </c>
      <c r="H251" s="23">
        <v>5.0000000000000001E-3</v>
      </c>
      <c r="I251" s="39">
        <v>44470</v>
      </c>
      <c r="J251" s="39">
        <v>44500</v>
      </c>
      <c r="K251" s="24">
        <f t="shared" si="18"/>
        <v>31</v>
      </c>
      <c r="L251" s="24">
        <f t="shared" si="19"/>
        <v>8408</v>
      </c>
      <c r="M251" s="24">
        <v>19800000</v>
      </c>
      <c r="N251" s="39">
        <v>46235</v>
      </c>
    </row>
    <row r="252" spans="1:14" s="5" customFormat="1" outlineLevel="2">
      <c r="A252" s="39" t="s">
        <v>108</v>
      </c>
      <c r="B252" s="40" t="s">
        <v>185</v>
      </c>
      <c r="C252" s="41" t="s">
        <v>406</v>
      </c>
      <c r="D252" s="40" t="s">
        <v>405</v>
      </c>
      <c r="E252" s="24">
        <v>12710000</v>
      </c>
      <c r="F252" s="39">
        <v>44442</v>
      </c>
      <c r="G252" s="24">
        <v>12710000</v>
      </c>
      <c r="H252" s="23">
        <v>5.0000000000000001E-3</v>
      </c>
      <c r="I252" s="39">
        <v>44470</v>
      </c>
      <c r="J252" s="39">
        <v>44500</v>
      </c>
      <c r="K252" s="24">
        <f t="shared" si="18"/>
        <v>31</v>
      </c>
      <c r="L252" s="24">
        <f t="shared" si="19"/>
        <v>5397</v>
      </c>
      <c r="M252" s="24">
        <v>12710000</v>
      </c>
      <c r="N252" s="39">
        <v>45537</v>
      </c>
    </row>
    <row r="253" spans="1:14" s="5" customFormat="1" outlineLevel="2">
      <c r="A253" s="39" t="s">
        <v>108</v>
      </c>
      <c r="B253" s="40" t="s">
        <v>186</v>
      </c>
      <c r="C253" s="41" t="s">
        <v>406</v>
      </c>
      <c r="D253" s="40" t="s">
        <v>405</v>
      </c>
      <c r="E253" s="24">
        <v>1600000</v>
      </c>
      <c r="F253" s="39">
        <v>44442</v>
      </c>
      <c r="G253" s="24">
        <v>1600000</v>
      </c>
      <c r="H253" s="23">
        <v>5.0000000000000001E-3</v>
      </c>
      <c r="I253" s="39">
        <v>44470</v>
      </c>
      <c r="J253" s="39">
        <v>44500</v>
      </c>
      <c r="K253" s="24">
        <f t="shared" si="18"/>
        <v>31</v>
      </c>
      <c r="L253" s="24">
        <f t="shared" si="19"/>
        <v>679</v>
      </c>
      <c r="M253" s="24">
        <v>1600000</v>
      </c>
      <c r="N253" s="39">
        <v>45537</v>
      </c>
    </row>
    <row r="254" spans="1:14" s="5" customFormat="1" outlineLevel="2">
      <c r="A254" s="39" t="s">
        <v>108</v>
      </c>
      <c r="B254" s="40" t="s">
        <v>189</v>
      </c>
      <c r="C254" s="41" t="s">
        <v>363</v>
      </c>
      <c r="D254" s="40" t="s">
        <v>362</v>
      </c>
      <c r="E254" s="24">
        <v>5790000</v>
      </c>
      <c r="F254" s="39">
        <v>44468</v>
      </c>
      <c r="G254" s="24">
        <v>5790000</v>
      </c>
      <c r="H254" s="23">
        <v>5.0000000000000001E-3</v>
      </c>
      <c r="I254" s="39">
        <v>44470</v>
      </c>
      <c r="J254" s="39">
        <v>44500</v>
      </c>
      <c r="K254" s="24">
        <f t="shared" si="18"/>
        <v>31</v>
      </c>
      <c r="L254" s="24">
        <f t="shared" si="19"/>
        <v>2459</v>
      </c>
      <c r="M254" s="24">
        <v>5790000</v>
      </c>
      <c r="N254" s="39">
        <v>45563</v>
      </c>
    </row>
    <row r="255" spans="1:14" s="5" customFormat="1" outlineLevel="2">
      <c r="A255" s="39" t="s">
        <v>108</v>
      </c>
      <c r="B255" s="40" t="s">
        <v>190</v>
      </c>
      <c r="C255" s="41" t="s">
        <v>123</v>
      </c>
      <c r="D255" s="40" t="s">
        <v>124</v>
      </c>
      <c r="E255" s="24">
        <v>11500000</v>
      </c>
      <c r="F255" s="39">
        <v>44441</v>
      </c>
      <c r="G255" s="24">
        <v>11500000</v>
      </c>
      <c r="H255" s="23">
        <v>5.0000000000000001E-3</v>
      </c>
      <c r="I255" s="39">
        <v>44470</v>
      </c>
      <c r="J255" s="39">
        <v>44500</v>
      </c>
      <c r="K255" s="24">
        <f t="shared" si="18"/>
        <v>31</v>
      </c>
      <c r="L255" s="24">
        <f t="shared" si="19"/>
        <v>4884</v>
      </c>
      <c r="M255" s="24">
        <v>11500000</v>
      </c>
      <c r="N255" s="39">
        <v>46266</v>
      </c>
    </row>
    <row r="256" spans="1:14" s="5" customFormat="1" outlineLevel="2">
      <c r="A256" s="39" t="s">
        <v>108</v>
      </c>
      <c r="B256" s="40" t="s">
        <v>191</v>
      </c>
      <c r="C256" s="41" t="s">
        <v>422</v>
      </c>
      <c r="D256" s="40" t="s">
        <v>421</v>
      </c>
      <c r="E256" s="24">
        <v>100000000</v>
      </c>
      <c r="F256" s="39">
        <v>44468</v>
      </c>
      <c r="G256" s="24">
        <v>100000000</v>
      </c>
      <c r="H256" s="23">
        <v>5.0000000000000001E-3</v>
      </c>
      <c r="I256" s="39">
        <v>44470</v>
      </c>
      <c r="J256" s="39">
        <v>44500</v>
      </c>
      <c r="K256" s="24">
        <f t="shared" si="18"/>
        <v>31</v>
      </c>
      <c r="L256" s="24">
        <f t="shared" si="19"/>
        <v>42466</v>
      </c>
      <c r="M256" s="24">
        <v>100000000</v>
      </c>
      <c r="N256" s="39">
        <v>45563</v>
      </c>
    </row>
    <row r="257" spans="1:14" s="5" customFormat="1" outlineLevel="2">
      <c r="A257" s="39" t="s">
        <v>108</v>
      </c>
      <c r="B257" s="40" t="s">
        <v>192</v>
      </c>
      <c r="C257" s="41" t="s">
        <v>422</v>
      </c>
      <c r="D257" s="40" t="s">
        <v>421</v>
      </c>
      <c r="E257" s="24">
        <v>85600000</v>
      </c>
      <c r="F257" s="39">
        <v>44468</v>
      </c>
      <c r="G257" s="24">
        <v>85600000</v>
      </c>
      <c r="H257" s="23">
        <v>5.0000000000000001E-3</v>
      </c>
      <c r="I257" s="39">
        <v>44470</v>
      </c>
      <c r="J257" s="39">
        <v>44500</v>
      </c>
      <c r="K257" s="24">
        <f t="shared" si="18"/>
        <v>31</v>
      </c>
      <c r="L257" s="24">
        <f t="shared" si="19"/>
        <v>36351</v>
      </c>
      <c r="M257" s="24">
        <v>85600000</v>
      </c>
      <c r="N257" s="39">
        <v>45563</v>
      </c>
    </row>
    <row r="258" spans="1:14" s="5" customFormat="1" outlineLevel="2">
      <c r="A258" s="39" t="s">
        <v>108</v>
      </c>
      <c r="B258" s="40" t="s">
        <v>193</v>
      </c>
      <c r="C258" s="41" t="s">
        <v>113</v>
      </c>
      <c r="D258" s="40" t="s">
        <v>114</v>
      </c>
      <c r="E258" s="24">
        <v>23200000</v>
      </c>
      <c r="F258" s="39">
        <v>44468</v>
      </c>
      <c r="G258" s="24">
        <v>23200000</v>
      </c>
      <c r="H258" s="23">
        <v>5.0000000000000001E-3</v>
      </c>
      <c r="I258" s="39">
        <v>44470</v>
      </c>
      <c r="J258" s="39">
        <v>44483</v>
      </c>
      <c r="K258" s="24">
        <f t="shared" si="18"/>
        <v>14</v>
      </c>
      <c r="L258" s="24">
        <f t="shared" si="19"/>
        <v>4449</v>
      </c>
      <c r="M258" s="24">
        <v>22979048</v>
      </c>
      <c r="N258" s="39">
        <v>46293</v>
      </c>
    </row>
    <row r="259" spans="1:14" s="5" customFormat="1" outlineLevel="2">
      <c r="A259" s="39" t="s">
        <v>108</v>
      </c>
      <c r="B259" s="40" t="s">
        <v>193</v>
      </c>
      <c r="C259" s="41" t="s">
        <v>113</v>
      </c>
      <c r="D259" s="40"/>
      <c r="E259" s="24"/>
      <c r="F259" s="39"/>
      <c r="G259" s="24">
        <v>22979048</v>
      </c>
      <c r="H259" s="23">
        <v>5.0000000000000001E-3</v>
      </c>
      <c r="I259" s="39">
        <v>44484</v>
      </c>
      <c r="J259" s="39">
        <v>44500</v>
      </c>
      <c r="K259" s="24">
        <f t="shared" si="18"/>
        <v>17</v>
      </c>
      <c r="L259" s="24">
        <f t="shared" si="19"/>
        <v>5351</v>
      </c>
      <c r="M259" s="24"/>
      <c r="N259" s="39">
        <v>46293</v>
      </c>
    </row>
    <row r="260" spans="1:14" s="5" customFormat="1" outlineLevel="2">
      <c r="A260" s="39" t="s">
        <v>108</v>
      </c>
      <c r="B260" s="40" t="s">
        <v>194</v>
      </c>
      <c r="C260" s="41" t="s">
        <v>146</v>
      </c>
      <c r="D260" s="40" t="s">
        <v>147</v>
      </c>
      <c r="E260" s="24">
        <v>4900000</v>
      </c>
      <c r="F260" s="39">
        <v>44498</v>
      </c>
      <c r="G260" s="24">
        <v>4900000</v>
      </c>
      <c r="H260" s="23">
        <v>5.0000000000000001E-3</v>
      </c>
      <c r="I260" s="39">
        <v>44498</v>
      </c>
      <c r="J260" s="39">
        <v>44500</v>
      </c>
      <c r="K260" s="24">
        <f t="shared" si="18"/>
        <v>3</v>
      </c>
      <c r="L260" s="24">
        <f t="shared" si="19"/>
        <v>201</v>
      </c>
      <c r="M260" s="24">
        <v>4900000</v>
      </c>
      <c r="N260" s="39">
        <v>45593</v>
      </c>
    </row>
    <row r="261" spans="1:14" s="5" customFormat="1" outlineLevel="2">
      <c r="A261" s="39" t="s">
        <v>108</v>
      </c>
      <c r="B261" s="40" t="s">
        <v>195</v>
      </c>
      <c r="C261" s="41" t="s">
        <v>146</v>
      </c>
      <c r="D261" s="40" t="s">
        <v>147</v>
      </c>
      <c r="E261" s="24">
        <v>107000000</v>
      </c>
      <c r="F261" s="39">
        <v>44498</v>
      </c>
      <c r="G261" s="24">
        <v>107000000</v>
      </c>
      <c r="H261" s="23">
        <v>5.0000000000000001E-3</v>
      </c>
      <c r="I261" s="39">
        <v>44498</v>
      </c>
      <c r="J261" s="39">
        <v>44500</v>
      </c>
      <c r="K261" s="24">
        <f t="shared" si="18"/>
        <v>3</v>
      </c>
      <c r="L261" s="24">
        <f t="shared" si="19"/>
        <v>4397</v>
      </c>
      <c r="M261" s="24">
        <v>107000000</v>
      </c>
      <c r="N261" s="39">
        <v>45593</v>
      </c>
    </row>
    <row r="262" spans="1:14" s="5" customFormat="1" outlineLevel="2">
      <c r="A262" s="39" t="s">
        <v>108</v>
      </c>
      <c r="B262" s="40" t="s">
        <v>64</v>
      </c>
      <c r="C262" s="41" t="s">
        <v>111</v>
      </c>
      <c r="D262" s="40" t="s">
        <v>112</v>
      </c>
      <c r="E262" s="24">
        <v>5910000</v>
      </c>
      <c r="F262" s="39">
        <v>43966</v>
      </c>
      <c r="G262" s="24">
        <v>5910000</v>
      </c>
      <c r="H262" s="23">
        <v>5.0000000000000001E-3</v>
      </c>
      <c r="I262" s="39">
        <v>44470</v>
      </c>
      <c r="J262" s="39">
        <v>44500</v>
      </c>
      <c r="K262" s="24">
        <f t="shared" si="18"/>
        <v>31</v>
      </c>
      <c r="L262" s="24">
        <f t="shared" si="19"/>
        <v>2510</v>
      </c>
      <c r="M262" s="24">
        <v>5910000</v>
      </c>
      <c r="N262" s="39">
        <v>45791</v>
      </c>
    </row>
    <row r="263" spans="1:14" s="5" customFormat="1" outlineLevel="2">
      <c r="A263" s="39" t="s">
        <v>108</v>
      </c>
      <c r="B263" s="40" t="s">
        <v>196</v>
      </c>
      <c r="C263" s="41" t="s">
        <v>134</v>
      </c>
      <c r="D263" s="40" t="s">
        <v>135</v>
      </c>
      <c r="E263" s="24">
        <v>12900000</v>
      </c>
      <c r="F263" s="39">
        <v>44498</v>
      </c>
      <c r="G263" s="24">
        <v>12900000</v>
      </c>
      <c r="H263" s="23">
        <v>5.0000000000000001E-3</v>
      </c>
      <c r="I263" s="39">
        <v>44498</v>
      </c>
      <c r="J263" s="39">
        <v>44500</v>
      </c>
      <c r="K263" s="24">
        <f t="shared" si="18"/>
        <v>3</v>
      </c>
      <c r="L263" s="24">
        <f t="shared" si="19"/>
        <v>530</v>
      </c>
      <c r="M263" s="24">
        <v>12900000</v>
      </c>
      <c r="N263" s="39">
        <v>45593</v>
      </c>
    </row>
    <row r="264" spans="1:14" s="5" customFormat="1" outlineLevel="2">
      <c r="A264" s="39" t="s">
        <v>108</v>
      </c>
      <c r="B264" s="40" t="s">
        <v>65</v>
      </c>
      <c r="C264" s="41" t="s">
        <v>113</v>
      </c>
      <c r="D264" s="40" t="s">
        <v>114</v>
      </c>
      <c r="E264" s="24">
        <v>20510000</v>
      </c>
      <c r="F264" s="39">
        <v>43966</v>
      </c>
      <c r="G264" s="24">
        <v>16556272</v>
      </c>
      <c r="H264" s="23">
        <v>5.0000000000000001E-3</v>
      </c>
      <c r="I264" s="39">
        <v>44470</v>
      </c>
      <c r="J264" s="39">
        <v>44483</v>
      </c>
      <c r="K264" s="24">
        <f t="shared" si="18"/>
        <v>14</v>
      </c>
      <c r="L264" s="24">
        <f t="shared" si="19"/>
        <v>3175</v>
      </c>
      <c r="M264" s="24">
        <v>16309164</v>
      </c>
      <c r="N264" s="39">
        <v>45791</v>
      </c>
    </row>
    <row r="265" spans="1:14" s="5" customFormat="1" outlineLevel="2">
      <c r="A265" s="39" t="s">
        <v>108</v>
      </c>
      <c r="B265" s="40" t="s">
        <v>65</v>
      </c>
      <c r="C265" s="41" t="s">
        <v>113</v>
      </c>
      <c r="D265" s="40"/>
      <c r="E265" s="24"/>
      <c r="F265" s="39"/>
      <c r="G265" s="24">
        <v>16309164</v>
      </c>
      <c r="H265" s="23">
        <v>5.0000000000000001E-3</v>
      </c>
      <c r="I265" s="39">
        <v>44484</v>
      </c>
      <c r="J265" s="39">
        <v>44500</v>
      </c>
      <c r="K265" s="24">
        <f t="shared" si="18"/>
        <v>17</v>
      </c>
      <c r="L265" s="24">
        <f t="shared" si="19"/>
        <v>3798</v>
      </c>
      <c r="M265" s="24"/>
      <c r="N265" s="39">
        <v>45791</v>
      </c>
    </row>
    <row r="266" spans="1:14" s="5" customFormat="1" outlineLevel="2">
      <c r="A266" s="39" t="s">
        <v>108</v>
      </c>
      <c r="B266" s="40" t="s">
        <v>68</v>
      </c>
      <c r="C266" s="41" t="s">
        <v>109</v>
      </c>
      <c r="D266" s="40" t="s">
        <v>110</v>
      </c>
      <c r="E266" s="24">
        <v>33960000</v>
      </c>
      <c r="F266" s="39">
        <v>43978</v>
      </c>
      <c r="G266" s="24">
        <v>33960000</v>
      </c>
      <c r="H266" s="23">
        <v>5.0000000000000001E-3</v>
      </c>
      <c r="I266" s="39">
        <v>44470</v>
      </c>
      <c r="J266" s="39">
        <v>44500</v>
      </c>
      <c r="K266" s="24">
        <f t="shared" si="18"/>
        <v>31</v>
      </c>
      <c r="L266" s="24">
        <f t="shared" si="19"/>
        <v>14421</v>
      </c>
      <c r="M266" s="24">
        <v>33960000</v>
      </c>
      <c r="N266" s="39">
        <v>45803</v>
      </c>
    </row>
    <row r="267" spans="1:14" s="5" customFormat="1" outlineLevel="1">
      <c r="A267" s="42" t="s">
        <v>119</v>
      </c>
      <c r="B267" s="70"/>
      <c r="C267" s="71"/>
      <c r="D267" s="70"/>
      <c r="E267" s="72">
        <f>SUBTOTAL(9,E177:E266)</f>
        <v>1467255386</v>
      </c>
      <c r="F267" s="73"/>
      <c r="G267" s="72"/>
      <c r="H267" s="74"/>
      <c r="I267" s="73"/>
      <c r="J267" s="73"/>
      <c r="K267" s="72"/>
      <c r="L267" s="72">
        <f>SUBTOTAL(9,L177:L266)</f>
        <v>551696</v>
      </c>
      <c r="M267" s="72">
        <f>SUBTOTAL(9,M177:M266)</f>
        <v>1409798649</v>
      </c>
      <c r="N267" s="73"/>
    </row>
    <row r="268" spans="1:14" s="5" customFormat="1" outlineLevel="2">
      <c r="A268" s="39" t="s">
        <v>120</v>
      </c>
      <c r="B268" s="40" t="s">
        <v>16</v>
      </c>
      <c r="C268" s="41" t="s">
        <v>121</v>
      </c>
      <c r="D268" s="40" t="s">
        <v>122</v>
      </c>
      <c r="E268" s="24">
        <v>69000000</v>
      </c>
      <c r="F268" s="39">
        <v>43822</v>
      </c>
      <c r="G268" s="24">
        <v>69000000</v>
      </c>
      <c r="H268" s="23">
        <v>5.0000000000000001E-3</v>
      </c>
      <c r="I268" s="39">
        <v>44470</v>
      </c>
      <c r="J268" s="39">
        <v>44500</v>
      </c>
      <c r="K268" s="24">
        <f t="shared" ref="K268:K299" si="20">J268-I268+1</f>
        <v>31</v>
      </c>
      <c r="L268" s="24">
        <f t="shared" ref="L268:L299" si="21">ROUND(G268*H268*K268/365,0)</f>
        <v>29301</v>
      </c>
      <c r="M268" s="24">
        <v>69000000</v>
      </c>
      <c r="N268" s="39">
        <v>45648</v>
      </c>
    </row>
    <row r="269" spans="1:14" s="5" customFormat="1" outlineLevel="2">
      <c r="A269" s="39" t="s">
        <v>120</v>
      </c>
      <c r="B269" s="40" t="s">
        <v>19</v>
      </c>
      <c r="C269" s="41" t="s">
        <v>37</v>
      </c>
      <c r="D269" s="40" t="s">
        <v>38</v>
      </c>
      <c r="E269" s="24">
        <v>247700000</v>
      </c>
      <c r="F269" s="39">
        <v>43985</v>
      </c>
      <c r="G269" s="24">
        <v>247700000</v>
      </c>
      <c r="H269" s="23">
        <v>5.0000000000000001E-3</v>
      </c>
      <c r="I269" s="39">
        <v>44470</v>
      </c>
      <c r="J269" s="39">
        <v>44500</v>
      </c>
      <c r="K269" s="24">
        <f t="shared" si="20"/>
        <v>31</v>
      </c>
      <c r="L269" s="24">
        <f t="shared" si="21"/>
        <v>105188</v>
      </c>
      <c r="M269" s="24">
        <v>247700000</v>
      </c>
      <c r="N269" s="39">
        <v>45810</v>
      </c>
    </row>
    <row r="270" spans="1:14" s="5" customFormat="1" outlineLevel="2">
      <c r="A270" s="39" t="s">
        <v>120</v>
      </c>
      <c r="B270" s="40" t="s">
        <v>22</v>
      </c>
      <c r="C270" s="41" t="s">
        <v>123</v>
      </c>
      <c r="D270" s="40" t="s">
        <v>124</v>
      </c>
      <c r="E270" s="24">
        <v>18612000</v>
      </c>
      <c r="F270" s="39">
        <v>43997</v>
      </c>
      <c r="G270" s="24">
        <v>3722400</v>
      </c>
      <c r="H270" s="23">
        <v>5.0000000000000001E-3</v>
      </c>
      <c r="I270" s="39">
        <v>44470</v>
      </c>
      <c r="J270" s="39">
        <v>44500</v>
      </c>
      <c r="K270" s="24">
        <f t="shared" si="20"/>
        <v>31</v>
      </c>
      <c r="L270" s="24">
        <f t="shared" si="21"/>
        <v>1581</v>
      </c>
      <c r="M270" s="24">
        <v>3722400</v>
      </c>
      <c r="N270" s="39">
        <v>45822</v>
      </c>
    </row>
    <row r="271" spans="1:14" s="5" customFormat="1" outlineLevel="2">
      <c r="A271" s="39" t="s">
        <v>120</v>
      </c>
      <c r="B271" s="40" t="s">
        <v>25</v>
      </c>
      <c r="C271" s="41" t="s">
        <v>20</v>
      </c>
      <c r="D271" s="40" t="s">
        <v>21</v>
      </c>
      <c r="E271" s="24">
        <v>624000000</v>
      </c>
      <c r="F271" s="39">
        <v>44014</v>
      </c>
      <c r="G271" s="24">
        <v>624000000</v>
      </c>
      <c r="H271" s="23">
        <v>5.0000000000000001E-3</v>
      </c>
      <c r="I271" s="39">
        <v>44470</v>
      </c>
      <c r="J271" s="39">
        <v>44500</v>
      </c>
      <c r="K271" s="24">
        <f t="shared" si="20"/>
        <v>31</v>
      </c>
      <c r="L271" s="24">
        <f t="shared" si="21"/>
        <v>264986</v>
      </c>
      <c r="M271" s="24">
        <v>624000000</v>
      </c>
      <c r="N271" s="39">
        <v>45839</v>
      </c>
    </row>
    <row r="272" spans="1:14" s="5" customFormat="1" outlineLevel="2">
      <c r="A272" s="39" t="s">
        <v>120</v>
      </c>
      <c r="B272" s="40" t="s">
        <v>26</v>
      </c>
      <c r="C272" s="41" t="s">
        <v>20</v>
      </c>
      <c r="D272" s="40" t="s">
        <v>21</v>
      </c>
      <c r="E272" s="24">
        <v>82000000</v>
      </c>
      <c r="F272" s="39">
        <v>44042</v>
      </c>
      <c r="G272" s="24">
        <v>82000000</v>
      </c>
      <c r="H272" s="23">
        <v>5.0000000000000001E-3</v>
      </c>
      <c r="I272" s="39">
        <v>44470</v>
      </c>
      <c r="J272" s="39">
        <v>44500</v>
      </c>
      <c r="K272" s="24">
        <f t="shared" si="20"/>
        <v>31</v>
      </c>
      <c r="L272" s="24">
        <f t="shared" si="21"/>
        <v>34822</v>
      </c>
      <c r="M272" s="24">
        <v>82000000</v>
      </c>
      <c r="N272" s="39">
        <v>45867</v>
      </c>
    </row>
    <row r="273" spans="1:14" s="5" customFormat="1" outlineLevel="2">
      <c r="A273" s="39" t="s">
        <v>120</v>
      </c>
      <c r="B273" s="40" t="s">
        <v>29</v>
      </c>
      <c r="C273" s="41" t="s">
        <v>20</v>
      </c>
      <c r="D273" s="40" t="s">
        <v>21</v>
      </c>
      <c r="E273" s="24">
        <v>406400000</v>
      </c>
      <c r="F273" s="39">
        <v>44042</v>
      </c>
      <c r="G273" s="24">
        <v>406400000</v>
      </c>
      <c r="H273" s="23">
        <v>3.0000000000000001E-3</v>
      </c>
      <c r="I273" s="39">
        <v>44470</v>
      </c>
      <c r="J273" s="39">
        <v>44500</v>
      </c>
      <c r="K273" s="24">
        <f t="shared" si="20"/>
        <v>31</v>
      </c>
      <c r="L273" s="24">
        <f t="shared" si="21"/>
        <v>103548</v>
      </c>
      <c r="M273" s="24">
        <v>406400000</v>
      </c>
      <c r="N273" s="39">
        <v>45867</v>
      </c>
    </row>
    <row r="274" spans="1:14" s="5" customFormat="1" outlineLevel="2">
      <c r="A274" s="39" t="s">
        <v>120</v>
      </c>
      <c r="B274" s="40" t="s">
        <v>32</v>
      </c>
      <c r="C274" s="41" t="s">
        <v>20</v>
      </c>
      <c r="D274" s="40" t="s">
        <v>21</v>
      </c>
      <c r="E274" s="24">
        <v>51600000</v>
      </c>
      <c r="F274" s="39">
        <v>44042</v>
      </c>
      <c r="G274" s="24">
        <v>51600000</v>
      </c>
      <c r="H274" s="23">
        <v>3.0000000000000001E-3</v>
      </c>
      <c r="I274" s="39">
        <v>44470</v>
      </c>
      <c r="J274" s="39">
        <v>44500</v>
      </c>
      <c r="K274" s="24">
        <f t="shared" si="20"/>
        <v>31</v>
      </c>
      <c r="L274" s="24">
        <f t="shared" si="21"/>
        <v>13147</v>
      </c>
      <c r="M274" s="24">
        <v>51600000</v>
      </c>
      <c r="N274" s="39">
        <v>45867</v>
      </c>
    </row>
    <row r="275" spans="1:14" s="5" customFormat="1" outlineLevel="2">
      <c r="A275" s="39" t="s">
        <v>120</v>
      </c>
      <c r="B275" s="40" t="s">
        <v>33</v>
      </c>
      <c r="C275" s="41" t="s">
        <v>125</v>
      </c>
      <c r="D275" s="40" t="s">
        <v>126</v>
      </c>
      <c r="E275" s="24">
        <v>1850000</v>
      </c>
      <c r="F275" s="39">
        <v>44018</v>
      </c>
      <c r="G275" s="24">
        <v>1850000</v>
      </c>
      <c r="H275" s="23">
        <v>5.0000000000000001E-3</v>
      </c>
      <c r="I275" s="39">
        <v>44470</v>
      </c>
      <c r="J275" s="39">
        <v>44500</v>
      </c>
      <c r="K275" s="24">
        <f t="shared" si="20"/>
        <v>31</v>
      </c>
      <c r="L275" s="24">
        <f t="shared" si="21"/>
        <v>786</v>
      </c>
      <c r="M275" s="24">
        <v>1850000</v>
      </c>
      <c r="N275" s="39">
        <v>45843</v>
      </c>
    </row>
    <row r="276" spans="1:14" s="5" customFormat="1" outlineLevel="2">
      <c r="A276" s="39" t="s">
        <v>120</v>
      </c>
      <c r="B276" s="40" t="s">
        <v>34</v>
      </c>
      <c r="C276" s="41" t="s">
        <v>125</v>
      </c>
      <c r="D276" s="40" t="s">
        <v>126</v>
      </c>
      <c r="E276" s="24">
        <v>5400000</v>
      </c>
      <c r="F276" s="39">
        <v>44019</v>
      </c>
      <c r="G276" s="24">
        <v>5400000</v>
      </c>
      <c r="H276" s="23">
        <v>5.0000000000000001E-3</v>
      </c>
      <c r="I276" s="39">
        <v>44470</v>
      </c>
      <c r="J276" s="39">
        <v>44500</v>
      </c>
      <c r="K276" s="24">
        <f t="shared" si="20"/>
        <v>31</v>
      </c>
      <c r="L276" s="24">
        <f t="shared" si="21"/>
        <v>2293</v>
      </c>
      <c r="M276" s="24">
        <v>5400000</v>
      </c>
      <c r="N276" s="39">
        <v>45844</v>
      </c>
    </row>
    <row r="277" spans="1:14" s="5" customFormat="1" outlineLevel="2">
      <c r="A277" s="39" t="s">
        <v>120</v>
      </c>
      <c r="B277" s="40" t="s">
        <v>35</v>
      </c>
      <c r="C277" s="41" t="s">
        <v>125</v>
      </c>
      <c r="D277" s="40" t="s">
        <v>126</v>
      </c>
      <c r="E277" s="24">
        <v>2300000</v>
      </c>
      <c r="F277" s="39">
        <v>44027</v>
      </c>
      <c r="G277" s="24">
        <v>2300000</v>
      </c>
      <c r="H277" s="23">
        <v>5.0000000000000001E-3</v>
      </c>
      <c r="I277" s="39">
        <v>44470</v>
      </c>
      <c r="J277" s="39">
        <v>44500</v>
      </c>
      <c r="K277" s="24">
        <f t="shared" si="20"/>
        <v>31</v>
      </c>
      <c r="L277" s="24">
        <f t="shared" si="21"/>
        <v>977</v>
      </c>
      <c r="M277" s="24">
        <v>2300000</v>
      </c>
      <c r="N277" s="39">
        <v>45852</v>
      </c>
    </row>
    <row r="278" spans="1:14" s="5" customFormat="1" outlineLevel="2">
      <c r="A278" s="39" t="s">
        <v>120</v>
      </c>
      <c r="B278" s="40" t="s">
        <v>36</v>
      </c>
      <c r="C278" s="41" t="s">
        <v>125</v>
      </c>
      <c r="D278" s="40" t="s">
        <v>126</v>
      </c>
      <c r="E278" s="24">
        <v>16280000</v>
      </c>
      <c r="F278" s="39">
        <v>44041</v>
      </c>
      <c r="G278" s="24">
        <v>16280000</v>
      </c>
      <c r="H278" s="23">
        <v>5.0000000000000001E-3</v>
      </c>
      <c r="I278" s="39">
        <v>44470</v>
      </c>
      <c r="J278" s="39">
        <v>44500</v>
      </c>
      <c r="K278" s="24">
        <f t="shared" si="20"/>
        <v>31</v>
      </c>
      <c r="L278" s="24">
        <f t="shared" si="21"/>
        <v>6913</v>
      </c>
      <c r="M278" s="24">
        <v>16280000</v>
      </c>
      <c r="N278" s="39">
        <v>45866</v>
      </c>
    </row>
    <row r="279" spans="1:14" s="5" customFormat="1" outlineLevel="2">
      <c r="A279" s="39" t="s">
        <v>120</v>
      </c>
      <c r="B279" s="40" t="s">
        <v>39</v>
      </c>
      <c r="C279" s="41" t="s">
        <v>17</v>
      </c>
      <c r="D279" s="40" t="s">
        <v>18</v>
      </c>
      <c r="E279" s="24">
        <v>162300000</v>
      </c>
      <c r="F279" s="39">
        <v>43829</v>
      </c>
      <c r="G279" s="24">
        <v>108200000</v>
      </c>
      <c r="H279" s="23">
        <v>5.0000000000000001E-3</v>
      </c>
      <c r="I279" s="39">
        <v>44470</v>
      </c>
      <c r="J279" s="39">
        <v>44500</v>
      </c>
      <c r="K279" s="24">
        <f t="shared" si="20"/>
        <v>31</v>
      </c>
      <c r="L279" s="24">
        <f t="shared" si="21"/>
        <v>45948</v>
      </c>
      <c r="M279" s="24">
        <v>108200000</v>
      </c>
      <c r="N279" s="39">
        <v>45655</v>
      </c>
    </row>
    <row r="280" spans="1:14" s="5" customFormat="1" outlineLevel="2">
      <c r="A280" s="39" t="s">
        <v>120</v>
      </c>
      <c r="B280" s="40" t="s">
        <v>40</v>
      </c>
      <c r="C280" s="41" t="s">
        <v>71</v>
      </c>
      <c r="D280" s="40" t="s">
        <v>72</v>
      </c>
      <c r="E280" s="24">
        <v>30000000</v>
      </c>
      <c r="F280" s="39">
        <v>44020</v>
      </c>
      <c r="G280" s="24">
        <v>30000000</v>
      </c>
      <c r="H280" s="23">
        <v>5.0000000000000001E-3</v>
      </c>
      <c r="I280" s="39">
        <v>44470</v>
      </c>
      <c r="J280" s="39">
        <v>44500</v>
      </c>
      <c r="K280" s="24">
        <f t="shared" si="20"/>
        <v>31</v>
      </c>
      <c r="L280" s="24">
        <f t="shared" si="21"/>
        <v>12740</v>
      </c>
      <c r="M280" s="24">
        <v>30000000</v>
      </c>
      <c r="N280" s="39">
        <v>45845</v>
      </c>
    </row>
    <row r="281" spans="1:14" s="5" customFormat="1" outlineLevel="2">
      <c r="A281" s="39" t="s">
        <v>120</v>
      </c>
      <c r="B281" s="40" t="s">
        <v>41</v>
      </c>
      <c r="C281" s="41" t="s">
        <v>27</v>
      </c>
      <c r="D281" s="40" t="s">
        <v>28</v>
      </c>
      <c r="E281" s="24">
        <v>35100000</v>
      </c>
      <c r="F281" s="39">
        <v>44013</v>
      </c>
      <c r="G281" s="24">
        <v>32906250</v>
      </c>
      <c r="H281" s="23">
        <v>5.0000000000000001E-3</v>
      </c>
      <c r="I281" s="39">
        <v>44470</v>
      </c>
      <c r="J281" s="39">
        <v>44483</v>
      </c>
      <c r="K281" s="24">
        <f t="shared" si="20"/>
        <v>14</v>
      </c>
      <c r="L281" s="24">
        <f t="shared" si="21"/>
        <v>6311</v>
      </c>
      <c r="M281" s="24">
        <v>32175000</v>
      </c>
      <c r="N281" s="39">
        <v>45838</v>
      </c>
    </row>
    <row r="282" spans="1:14" s="5" customFormat="1" outlineLevel="2">
      <c r="A282" s="39" t="s">
        <v>120</v>
      </c>
      <c r="B282" s="40" t="s">
        <v>41</v>
      </c>
      <c r="C282" s="41" t="s">
        <v>27</v>
      </c>
      <c r="D282" s="40"/>
      <c r="E282" s="24"/>
      <c r="F282" s="39"/>
      <c r="G282" s="24">
        <v>32175000</v>
      </c>
      <c r="H282" s="23">
        <v>5.0000000000000001E-3</v>
      </c>
      <c r="I282" s="39">
        <v>44484</v>
      </c>
      <c r="J282" s="39">
        <v>44500</v>
      </c>
      <c r="K282" s="24">
        <f t="shared" si="20"/>
        <v>17</v>
      </c>
      <c r="L282" s="24">
        <f t="shared" si="21"/>
        <v>7493</v>
      </c>
      <c r="M282" s="24"/>
      <c r="N282" s="39">
        <v>45838</v>
      </c>
    </row>
    <row r="283" spans="1:14" s="5" customFormat="1" outlineLevel="2">
      <c r="A283" s="39" t="s">
        <v>120</v>
      </c>
      <c r="B283" s="40" t="s">
        <v>42</v>
      </c>
      <c r="C283" s="41" t="s">
        <v>27</v>
      </c>
      <c r="D283" s="40" t="s">
        <v>28</v>
      </c>
      <c r="E283" s="24">
        <v>14900000</v>
      </c>
      <c r="F283" s="39">
        <v>44021</v>
      </c>
      <c r="G283" s="24">
        <v>13968752</v>
      </c>
      <c r="H283" s="23">
        <v>5.0000000000000001E-3</v>
      </c>
      <c r="I283" s="39">
        <v>44470</v>
      </c>
      <c r="J283" s="39">
        <v>44483</v>
      </c>
      <c r="K283" s="24">
        <f t="shared" si="20"/>
        <v>14</v>
      </c>
      <c r="L283" s="24">
        <f t="shared" si="21"/>
        <v>2679</v>
      </c>
      <c r="M283" s="24">
        <v>13658336</v>
      </c>
      <c r="N283" s="39">
        <v>45846</v>
      </c>
    </row>
    <row r="284" spans="1:14" s="5" customFormat="1" outlineLevel="2">
      <c r="A284" s="39" t="s">
        <v>120</v>
      </c>
      <c r="B284" s="40" t="s">
        <v>42</v>
      </c>
      <c r="C284" s="41" t="s">
        <v>27</v>
      </c>
      <c r="D284" s="40"/>
      <c r="E284" s="24"/>
      <c r="F284" s="39"/>
      <c r="G284" s="24">
        <v>13658336</v>
      </c>
      <c r="H284" s="23">
        <v>5.0000000000000001E-3</v>
      </c>
      <c r="I284" s="39">
        <v>44484</v>
      </c>
      <c r="J284" s="39">
        <v>44500</v>
      </c>
      <c r="K284" s="24">
        <f t="shared" si="20"/>
        <v>17</v>
      </c>
      <c r="L284" s="24">
        <f t="shared" si="21"/>
        <v>3181</v>
      </c>
      <c r="M284" s="24"/>
      <c r="N284" s="39">
        <v>45846</v>
      </c>
    </row>
    <row r="285" spans="1:14" s="5" customFormat="1" outlineLevel="2">
      <c r="A285" s="39" t="s">
        <v>120</v>
      </c>
      <c r="B285" s="40" t="s">
        <v>43</v>
      </c>
      <c r="C285" s="41" t="s">
        <v>71</v>
      </c>
      <c r="D285" s="40" t="s">
        <v>72</v>
      </c>
      <c r="E285" s="24">
        <v>30000000</v>
      </c>
      <c r="F285" s="39">
        <v>44050</v>
      </c>
      <c r="G285" s="24">
        <v>30000000</v>
      </c>
      <c r="H285" s="23">
        <v>5.0000000000000001E-3</v>
      </c>
      <c r="I285" s="39">
        <v>44470</v>
      </c>
      <c r="J285" s="39">
        <v>44500</v>
      </c>
      <c r="K285" s="24">
        <f t="shared" si="20"/>
        <v>31</v>
      </c>
      <c r="L285" s="24">
        <f t="shared" si="21"/>
        <v>12740</v>
      </c>
      <c r="M285" s="24">
        <v>30000000</v>
      </c>
      <c r="N285" s="39">
        <v>45875</v>
      </c>
    </row>
    <row r="286" spans="1:14" s="5" customFormat="1" outlineLevel="2">
      <c r="A286" s="39" t="s">
        <v>120</v>
      </c>
      <c r="B286" s="40" t="s">
        <v>44</v>
      </c>
      <c r="C286" s="41" t="s">
        <v>83</v>
      </c>
      <c r="D286" s="40" t="s">
        <v>84</v>
      </c>
      <c r="E286" s="24">
        <v>72450000</v>
      </c>
      <c r="F286" s="39">
        <v>44064</v>
      </c>
      <c r="G286" s="24">
        <v>72450000</v>
      </c>
      <c r="H286" s="23">
        <v>5.0000000000000001E-3</v>
      </c>
      <c r="I286" s="39">
        <v>44470</v>
      </c>
      <c r="J286" s="39">
        <v>44500</v>
      </c>
      <c r="K286" s="24">
        <f t="shared" si="20"/>
        <v>31</v>
      </c>
      <c r="L286" s="24">
        <f t="shared" si="21"/>
        <v>30766</v>
      </c>
      <c r="M286" s="24">
        <v>72450000</v>
      </c>
      <c r="N286" s="39">
        <v>45889</v>
      </c>
    </row>
    <row r="287" spans="1:14" s="5" customFormat="1" outlineLevel="2">
      <c r="A287" s="39" t="s">
        <v>120</v>
      </c>
      <c r="B287" s="40" t="s">
        <v>47</v>
      </c>
      <c r="C287" s="41" t="s">
        <v>97</v>
      </c>
      <c r="D287" s="40" t="s">
        <v>98</v>
      </c>
      <c r="E287" s="24">
        <v>77500000</v>
      </c>
      <c r="F287" s="39">
        <v>44060</v>
      </c>
      <c r="G287" s="24">
        <v>77500000</v>
      </c>
      <c r="H287" s="23">
        <v>5.0000000000000001E-3</v>
      </c>
      <c r="I287" s="39">
        <v>44470</v>
      </c>
      <c r="J287" s="39">
        <v>44500</v>
      </c>
      <c r="K287" s="24">
        <f t="shared" si="20"/>
        <v>31</v>
      </c>
      <c r="L287" s="24">
        <f t="shared" si="21"/>
        <v>32911</v>
      </c>
      <c r="M287" s="24">
        <v>77500000</v>
      </c>
      <c r="N287" s="39">
        <v>45885</v>
      </c>
    </row>
    <row r="288" spans="1:14" s="5" customFormat="1" outlineLevel="2">
      <c r="A288" s="39" t="s">
        <v>120</v>
      </c>
      <c r="B288" s="40" t="s">
        <v>50</v>
      </c>
      <c r="C288" s="41" t="s">
        <v>83</v>
      </c>
      <c r="D288" s="40" t="s">
        <v>84</v>
      </c>
      <c r="E288" s="24">
        <v>160000000</v>
      </c>
      <c r="F288" s="39">
        <v>44098</v>
      </c>
      <c r="G288" s="24">
        <v>160000000</v>
      </c>
      <c r="H288" s="23">
        <v>5.0000000000000001E-3</v>
      </c>
      <c r="I288" s="39">
        <v>44470</v>
      </c>
      <c r="J288" s="39">
        <v>44500</v>
      </c>
      <c r="K288" s="24">
        <f t="shared" si="20"/>
        <v>31</v>
      </c>
      <c r="L288" s="24">
        <f t="shared" si="21"/>
        <v>67945</v>
      </c>
      <c r="M288" s="24">
        <v>160000000</v>
      </c>
      <c r="N288" s="39">
        <v>45923</v>
      </c>
    </row>
    <row r="289" spans="1:14" s="5" customFormat="1" outlineLevel="2">
      <c r="A289" s="39" t="s">
        <v>120</v>
      </c>
      <c r="B289" s="40" t="s">
        <v>51</v>
      </c>
      <c r="C289" s="41" t="s">
        <v>128</v>
      </c>
      <c r="D289" s="40" t="s">
        <v>129</v>
      </c>
      <c r="E289" s="24">
        <v>73100000</v>
      </c>
      <c r="F289" s="39">
        <v>44095</v>
      </c>
      <c r="G289" s="24">
        <v>73100000</v>
      </c>
      <c r="H289" s="23">
        <v>5.0000000000000001E-3</v>
      </c>
      <c r="I289" s="39">
        <v>44470</v>
      </c>
      <c r="J289" s="39">
        <v>44500</v>
      </c>
      <c r="K289" s="24">
        <f t="shared" si="20"/>
        <v>31</v>
      </c>
      <c r="L289" s="24">
        <f t="shared" si="21"/>
        <v>31042</v>
      </c>
      <c r="M289" s="24">
        <v>73100000</v>
      </c>
      <c r="N289" s="39">
        <v>45920</v>
      </c>
    </row>
    <row r="290" spans="1:14" s="5" customFormat="1" outlineLevel="2">
      <c r="A290" s="39" t="s">
        <v>120</v>
      </c>
      <c r="B290" s="40" t="s">
        <v>52</v>
      </c>
      <c r="C290" s="41" t="s">
        <v>125</v>
      </c>
      <c r="D290" s="40" t="s">
        <v>126</v>
      </c>
      <c r="E290" s="24">
        <v>3000000</v>
      </c>
      <c r="F290" s="39">
        <v>44132</v>
      </c>
      <c r="G290" s="24">
        <v>3000000</v>
      </c>
      <c r="H290" s="23">
        <v>5.0000000000000001E-3</v>
      </c>
      <c r="I290" s="39">
        <v>44470</v>
      </c>
      <c r="J290" s="39">
        <v>44500</v>
      </c>
      <c r="K290" s="24">
        <f t="shared" si="20"/>
        <v>31</v>
      </c>
      <c r="L290" s="24">
        <f t="shared" si="21"/>
        <v>1274</v>
      </c>
      <c r="M290" s="24">
        <v>3000000</v>
      </c>
      <c r="N290" s="39">
        <v>45957</v>
      </c>
    </row>
    <row r="291" spans="1:14" s="5" customFormat="1" outlineLevel="2">
      <c r="A291" s="39" t="s">
        <v>120</v>
      </c>
      <c r="B291" s="40" t="s">
        <v>53</v>
      </c>
      <c r="C291" s="41" t="s">
        <v>97</v>
      </c>
      <c r="D291" s="40" t="s">
        <v>98</v>
      </c>
      <c r="E291" s="24">
        <v>141000000</v>
      </c>
      <c r="F291" s="39">
        <v>44119</v>
      </c>
      <c r="G291" s="24">
        <v>141000000</v>
      </c>
      <c r="H291" s="23">
        <v>5.0000000000000001E-3</v>
      </c>
      <c r="I291" s="39">
        <v>44470</v>
      </c>
      <c r="J291" s="39">
        <v>44500</v>
      </c>
      <c r="K291" s="24">
        <f t="shared" si="20"/>
        <v>31</v>
      </c>
      <c r="L291" s="24">
        <f t="shared" si="21"/>
        <v>59877</v>
      </c>
      <c r="M291" s="24">
        <v>141000000</v>
      </c>
      <c r="N291" s="39">
        <v>45944</v>
      </c>
    </row>
    <row r="292" spans="1:14" s="5" customFormat="1" outlineLevel="2">
      <c r="A292" s="39" t="s">
        <v>120</v>
      </c>
      <c r="B292" s="40" t="s">
        <v>54</v>
      </c>
      <c r="C292" s="41" t="s">
        <v>20</v>
      </c>
      <c r="D292" s="40" t="s">
        <v>21</v>
      </c>
      <c r="E292" s="24">
        <v>60000000</v>
      </c>
      <c r="F292" s="39">
        <v>43922</v>
      </c>
      <c r="G292" s="24">
        <v>60000000</v>
      </c>
      <c r="H292" s="23">
        <v>3.0000000000000001E-3</v>
      </c>
      <c r="I292" s="39">
        <v>44470</v>
      </c>
      <c r="J292" s="39">
        <v>44500</v>
      </c>
      <c r="K292" s="24">
        <f t="shared" si="20"/>
        <v>31</v>
      </c>
      <c r="L292" s="24">
        <f t="shared" si="21"/>
        <v>15288</v>
      </c>
      <c r="M292" s="24">
        <v>60000000</v>
      </c>
      <c r="N292" s="39">
        <v>45747</v>
      </c>
    </row>
    <row r="293" spans="1:14" s="5" customFormat="1" outlineLevel="2">
      <c r="A293" s="39" t="s">
        <v>120</v>
      </c>
      <c r="B293" s="40" t="s">
        <v>57</v>
      </c>
      <c r="C293" s="41" t="s">
        <v>125</v>
      </c>
      <c r="D293" s="40" t="s">
        <v>126</v>
      </c>
      <c r="E293" s="24">
        <v>2500000</v>
      </c>
      <c r="F293" s="39">
        <v>44146</v>
      </c>
      <c r="G293" s="24">
        <v>2500000</v>
      </c>
      <c r="H293" s="23">
        <v>5.0000000000000001E-3</v>
      </c>
      <c r="I293" s="39">
        <v>44470</v>
      </c>
      <c r="J293" s="39">
        <v>44500</v>
      </c>
      <c r="K293" s="24">
        <f t="shared" si="20"/>
        <v>31</v>
      </c>
      <c r="L293" s="24">
        <f t="shared" si="21"/>
        <v>1062</v>
      </c>
      <c r="M293" s="24">
        <v>2500000</v>
      </c>
      <c r="N293" s="39">
        <v>45971</v>
      </c>
    </row>
    <row r="294" spans="1:14" s="5" customFormat="1" outlineLevel="2">
      <c r="A294" s="39" t="s">
        <v>120</v>
      </c>
      <c r="B294" s="40" t="s">
        <v>58</v>
      </c>
      <c r="C294" s="41" t="s">
        <v>71</v>
      </c>
      <c r="D294" s="40" t="s">
        <v>72</v>
      </c>
      <c r="E294" s="24">
        <v>11610900</v>
      </c>
      <c r="F294" s="39">
        <v>44137</v>
      </c>
      <c r="G294" s="24">
        <v>11610900</v>
      </c>
      <c r="H294" s="23">
        <v>5.0000000000000001E-3</v>
      </c>
      <c r="I294" s="39">
        <v>44470</v>
      </c>
      <c r="J294" s="39">
        <v>44500</v>
      </c>
      <c r="K294" s="24">
        <f t="shared" si="20"/>
        <v>31</v>
      </c>
      <c r="L294" s="24">
        <f t="shared" si="21"/>
        <v>4931</v>
      </c>
      <c r="M294" s="24">
        <v>11610900</v>
      </c>
      <c r="N294" s="39">
        <v>45962</v>
      </c>
    </row>
    <row r="295" spans="1:14" s="5" customFormat="1" outlineLevel="2">
      <c r="A295" s="39" t="s">
        <v>120</v>
      </c>
      <c r="B295" s="40" t="s">
        <v>99</v>
      </c>
      <c r="C295" s="41" t="s">
        <v>130</v>
      </c>
      <c r="D295" s="40" t="s">
        <v>131</v>
      </c>
      <c r="E295" s="24">
        <v>12000000</v>
      </c>
      <c r="F295" s="39">
        <v>44145</v>
      </c>
      <c r="G295" s="24">
        <v>7000000</v>
      </c>
      <c r="H295" s="23">
        <v>5.0000000000000001E-3</v>
      </c>
      <c r="I295" s="39">
        <v>44470</v>
      </c>
      <c r="J295" s="39">
        <v>44500</v>
      </c>
      <c r="K295" s="24">
        <f t="shared" si="20"/>
        <v>31</v>
      </c>
      <c r="L295" s="24">
        <f t="shared" si="21"/>
        <v>2973</v>
      </c>
      <c r="M295" s="24">
        <v>7000000</v>
      </c>
      <c r="N295" s="39">
        <v>45970</v>
      </c>
    </row>
    <row r="296" spans="1:14" s="5" customFormat="1" outlineLevel="2">
      <c r="A296" s="39" t="s">
        <v>120</v>
      </c>
      <c r="B296" s="40" t="s">
        <v>100</v>
      </c>
      <c r="C296" s="41" t="s">
        <v>132</v>
      </c>
      <c r="D296" s="40" t="s">
        <v>133</v>
      </c>
      <c r="E296" s="24">
        <v>23000000</v>
      </c>
      <c r="F296" s="39">
        <v>44137</v>
      </c>
      <c r="G296" s="24">
        <v>18783337</v>
      </c>
      <c r="H296" s="23">
        <v>5.0000000000000001E-3</v>
      </c>
      <c r="I296" s="39">
        <v>44470</v>
      </c>
      <c r="J296" s="39">
        <v>44483</v>
      </c>
      <c r="K296" s="24">
        <f t="shared" si="20"/>
        <v>14</v>
      </c>
      <c r="L296" s="24">
        <f t="shared" si="21"/>
        <v>3602</v>
      </c>
      <c r="M296" s="24">
        <v>18400004</v>
      </c>
      <c r="N296" s="39">
        <v>45962</v>
      </c>
    </row>
    <row r="297" spans="1:14" s="5" customFormat="1" outlineLevel="2">
      <c r="A297" s="39" t="s">
        <v>120</v>
      </c>
      <c r="B297" s="40" t="s">
        <v>100</v>
      </c>
      <c r="C297" s="41" t="s">
        <v>132</v>
      </c>
      <c r="D297" s="40"/>
      <c r="E297" s="24"/>
      <c r="F297" s="39"/>
      <c r="G297" s="24">
        <v>18400004</v>
      </c>
      <c r="H297" s="23">
        <v>5.0000000000000001E-3</v>
      </c>
      <c r="I297" s="39">
        <v>44484</v>
      </c>
      <c r="J297" s="39">
        <v>44500</v>
      </c>
      <c r="K297" s="24">
        <f t="shared" si="20"/>
        <v>17</v>
      </c>
      <c r="L297" s="24">
        <f t="shared" si="21"/>
        <v>4285</v>
      </c>
      <c r="M297" s="24"/>
      <c r="N297" s="39">
        <v>45962</v>
      </c>
    </row>
    <row r="298" spans="1:14" s="5" customFormat="1" outlineLevel="2">
      <c r="A298" s="39" t="s">
        <v>120</v>
      </c>
      <c r="B298" s="40" t="s">
        <v>101</v>
      </c>
      <c r="C298" s="41" t="s">
        <v>132</v>
      </c>
      <c r="D298" s="40" t="s">
        <v>133</v>
      </c>
      <c r="E298" s="24">
        <v>17000000</v>
      </c>
      <c r="F298" s="39">
        <v>44145</v>
      </c>
      <c r="G298" s="24">
        <v>13883337</v>
      </c>
      <c r="H298" s="23">
        <v>5.0000000000000001E-3</v>
      </c>
      <c r="I298" s="39">
        <v>44470</v>
      </c>
      <c r="J298" s="39">
        <v>44483</v>
      </c>
      <c r="K298" s="24">
        <f t="shared" si="20"/>
        <v>14</v>
      </c>
      <c r="L298" s="24">
        <f t="shared" si="21"/>
        <v>2663</v>
      </c>
      <c r="M298" s="24">
        <v>13600004</v>
      </c>
      <c r="N298" s="39">
        <v>45970</v>
      </c>
    </row>
    <row r="299" spans="1:14" s="5" customFormat="1" outlineLevel="2">
      <c r="A299" s="39" t="s">
        <v>120</v>
      </c>
      <c r="B299" s="40" t="s">
        <v>101</v>
      </c>
      <c r="C299" s="41" t="s">
        <v>132</v>
      </c>
      <c r="D299" s="40"/>
      <c r="E299" s="24"/>
      <c r="F299" s="39"/>
      <c r="G299" s="24">
        <v>13600004</v>
      </c>
      <c r="H299" s="23">
        <v>5.0000000000000001E-3</v>
      </c>
      <c r="I299" s="39">
        <v>44484</v>
      </c>
      <c r="J299" s="39">
        <v>44500</v>
      </c>
      <c r="K299" s="24">
        <f t="shared" si="20"/>
        <v>17</v>
      </c>
      <c r="L299" s="24">
        <f t="shared" si="21"/>
        <v>3167</v>
      </c>
      <c r="M299" s="24"/>
      <c r="N299" s="39">
        <v>45970</v>
      </c>
    </row>
    <row r="300" spans="1:14" s="5" customFormat="1" outlineLevel="2">
      <c r="A300" s="39" t="s">
        <v>120</v>
      </c>
      <c r="B300" s="40" t="s">
        <v>102</v>
      </c>
      <c r="C300" s="41" t="s">
        <v>17</v>
      </c>
      <c r="D300" s="40" t="s">
        <v>18</v>
      </c>
      <c r="E300" s="24">
        <v>4591000</v>
      </c>
      <c r="F300" s="39">
        <v>44160</v>
      </c>
      <c r="G300" s="24">
        <v>3825830</v>
      </c>
      <c r="H300" s="23">
        <v>5.0000000000000001E-3</v>
      </c>
      <c r="I300" s="39">
        <v>44470</v>
      </c>
      <c r="J300" s="39">
        <v>44483</v>
      </c>
      <c r="K300" s="24">
        <f t="shared" ref="K300:K331" si="22">J300-I300+1</f>
        <v>14</v>
      </c>
      <c r="L300" s="24">
        <f t="shared" ref="L300:L331" si="23">ROUND(G300*H300*K300/365,0)</f>
        <v>734</v>
      </c>
      <c r="M300" s="24">
        <v>3749313</v>
      </c>
      <c r="N300" s="39">
        <v>45985</v>
      </c>
    </row>
    <row r="301" spans="1:14" s="5" customFormat="1" outlineLevel="2">
      <c r="A301" s="39" t="s">
        <v>120</v>
      </c>
      <c r="B301" s="40" t="s">
        <v>102</v>
      </c>
      <c r="C301" s="41" t="s">
        <v>17</v>
      </c>
      <c r="D301" s="40"/>
      <c r="E301" s="24"/>
      <c r="F301" s="39"/>
      <c r="G301" s="24">
        <v>3749313</v>
      </c>
      <c r="H301" s="23">
        <v>5.0000000000000001E-3</v>
      </c>
      <c r="I301" s="39">
        <v>44484</v>
      </c>
      <c r="J301" s="39">
        <v>44500</v>
      </c>
      <c r="K301" s="24">
        <f t="shared" si="22"/>
        <v>17</v>
      </c>
      <c r="L301" s="24">
        <f t="shared" si="23"/>
        <v>873</v>
      </c>
      <c r="M301" s="24"/>
      <c r="N301" s="39">
        <v>45985</v>
      </c>
    </row>
    <row r="302" spans="1:14" s="5" customFormat="1" outlineLevel="2">
      <c r="A302" s="39" t="s">
        <v>120</v>
      </c>
      <c r="B302" s="40" t="s">
        <v>103</v>
      </c>
      <c r="C302" s="41" t="s">
        <v>83</v>
      </c>
      <c r="D302" s="40" t="s">
        <v>84</v>
      </c>
      <c r="E302" s="24">
        <v>238000000</v>
      </c>
      <c r="F302" s="39">
        <v>44189</v>
      </c>
      <c r="G302" s="24">
        <v>238000000</v>
      </c>
      <c r="H302" s="23">
        <v>5.0000000000000001E-3</v>
      </c>
      <c r="I302" s="39">
        <v>44470</v>
      </c>
      <c r="J302" s="39">
        <v>44500</v>
      </c>
      <c r="K302" s="24">
        <f t="shared" si="22"/>
        <v>31</v>
      </c>
      <c r="L302" s="24">
        <f t="shared" si="23"/>
        <v>101068</v>
      </c>
      <c r="M302" s="24">
        <v>238000000</v>
      </c>
      <c r="N302" s="39">
        <v>46014</v>
      </c>
    </row>
    <row r="303" spans="1:14" s="5" customFormat="1" outlineLevel="2">
      <c r="A303" s="39" t="s">
        <v>120</v>
      </c>
      <c r="B303" s="40" t="s">
        <v>104</v>
      </c>
      <c r="C303" s="41" t="s">
        <v>97</v>
      </c>
      <c r="D303" s="40" t="s">
        <v>98</v>
      </c>
      <c r="E303" s="24">
        <v>17000000</v>
      </c>
      <c r="F303" s="39">
        <v>44180</v>
      </c>
      <c r="G303" s="24">
        <v>17000000</v>
      </c>
      <c r="H303" s="23">
        <v>5.0000000000000001E-3</v>
      </c>
      <c r="I303" s="39">
        <v>44470</v>
      </c>
      <c r="J303" s="39">
        <v>44500</v>
      </c>
      <c r="K303" s="24">
        <f t="shared" si="22"/>
        <v>31</v>
      </c>
      <c r="L303" s="24">
        <f t="shared" si="23"/>
        <v>7219</v>
      </c>
      <c r="M303" s="24">
        <v>17000000</v>
      </c>
      <c r="N303" s="39">
        <v>46005</v>
      </c>
    </row>
    <row r="304" spans="1:14" s="5" customFormat="1" outlineLevel="2">
      <c r="A304" s="39" t="s">
        <v>120</v>
      </c>
      <c r="B304" s="40" t="s">
        <v>105</v>
      </c>
      <c r="C304" s="41" t="s">
        <v>134</v>
      </c>
      <c r="D304" s="40" t="s">
        <v>135</v>
      </c>
      <c r="E304" s="24">
        <v>8000000</v>
      </c>
      <c r="F304" s="39">
        <v>44169</v>
      </c>
      <c r="G304" s="24">
        <v>8000000</v>
      </c>
      <c r="H304" s="23">
        <v>5.0000000000000001E-3</v>
      </c>
      <c r="I304" s="39">
        <v>44470</v>
      </c>
      <c r="J304" s="39">
        <v>44500</v>
      </c>
      <c r="K304" s="24">
        <f t="shared" si="22"/>
        <v>31</v>
      </c>
      <c r="L304" s="24">
        <f t="shared" si="23"/>
        <v>3397</v>
      </c>
      <c r="M304" s="24">
        <v>8000000</v>
      </c>
      <c r="N304" s="39">
        <v>45994</v>
      </c>
    </row>
    <row r="305" spans="1:14" s="5" customFormat="1" outlineLevel="2">
      <c r="A305" s="39" t="s">
        <v>120</v>
      </c>
      <c r="B305" s="40" t="s">
        <v>106</v>
      </c>
      <c r="C305" s="41" t="s">
        <v>134</v>
      </c>
      <c r="D305" s="40" t="s">
        <v>135</v>
      </c>
      <c r="E305" s="24">
        <v>15000000</v>
      </c>
      <c r="F305" s="39">
        <v>44169</v>
      </c>
      <c r="G305" s="24">
        <v>15000000</v>
      </c>
      <c r="H305" s="23">
        <v>5.0000000000000001E-3</v>
      </c>
      <c r="I305" s="39">
        <v>44470</v>
      </c>
      <c r="J305" s="39">
        <v>44500</v>
      </c>
      <c r="K305" s="24">
        <f t="shared" si="22"/>
        <v>31</v>
      </c>
      <c r="L305" s="24">
        <f t="shared" si="23"/>
        <v>6370</v>
      </c>
      <c r="M305" s="24">
        <v>15000000</v>
      </c>
      <c r="N305" s="39">
        <v>45994</v>
      </c>
    </row>
    <row r="306" spans="1:14" s="5" customFormat="1" outlineLevel="2">
      <c r="A306" s="39" t="s">
        <v>120</v>
      </c>
      <c r="B306" s="40" t="s">
        <v>59</v>
      </c>
      <c r="C306" s="41" t="s">
        <v>20</v>
      </c>
      <c r="D306" s="40" t="s">
        <v>21</v>
      </c>
      <c r="E306" s="24">
        <v>144000000</v>
      </c>
      <c r="F306" s="39">
        <v>43922</v>
      </c>
      <c r="G306" s="24">
        <v>144000000</v>
      </c>
      <c r="H306" s="23">
        <v>5.0000000000000001E-3</v>
      </c>
      <c r="I306" s="39">
        <v>44470</v>
      </c>
      <c r="J306" s="39">
        <v>44500</v>
      </c>
      <c r="K306" s="24">
        <f t="shared" si="22"/>
        <v>31</v>
      </c>
      <c r="L306" s="24">
        <f t="shared" si="23"/>
        <v>61151</v>
      </c>
      <c r="M306" s="24">
        <v>144000000</v>
      </c>
      <c r="N306" s="39">
        <v>45747</v>
      </c>
    </row>
    <row r="307" spans="1:14" s="5" customFormat="1" outlineLevel="2">
      <c r="A307" s="39" t="s">
        <v>120</v>
      </c>
      <c r="B307" s="40" t="s">
        <v>136</v>
      </c>
      <c r="C307" s="41" t="s">
        <v>125</v>
      </c>
      <c r="D307" s="40" t="s">
        <v>126</v>
      </c>
      <c r="E307" s="24">
        <v>7000000</v>
      </c>
      <c r="F307" s="39">
        <v>44202</v>
      </c>
      <c r="G307" s="24">
        <v>7000000</v>
      </c>
      <c r="H307" s="23">
        <v>5.0000000000000001E-3</v>
      </c>
      <c r="I307" s="39">
        <v>44470</v>
      </c>
      <c r="J307" s="39">
        <v>44500</v>
      </c>
      <c r="K307" s="24">
        <f t="shared" si="22"/>
        <v>31</v>
      </c>
      <c r="L307" s="24">
        <f t="shared" si="23"/>
        <v>2973</v>
      </c>
      <c r="M307" s="24">
        <v>7000000</v>
      </c>
      <c r="N307" s="39">
        <v>46027</v>
      </c>
    </row>
    <row r="308" spans="1:14" s="5" customFormat="1" outlineLevel="2">
      <c r="A308" s="39" t="s">
        <v>120</v>
      </c>
      <c r="B308" s="40" t="s">
        <v>137</v>
      </c>
      <c r="C308" s="41" t="s">
        <v>125</v>
      </c>
      <c r="D308" s="40" t="s">
        <v>126</v>
      </c>
      <c r="E308" s="24">
        <v>26000000</v>
      </c>
      <c r="F308" s="39">
        <v>44218</v>
      </c>
      <c r="G308" s="24">
        <v>26000000</v>
      </c>
      <c r="H308" s="23">
        <v>5.0000000000000001E-3</v>
      </c>
      <c r="I308" s="39">
        <v>44470</v>
      </c>
      <c r="J308" s="39">
        <v>44500</v>
      </c>
      <c r="K308" s="24">
        <f t="shared" si="22"/>
        <v>31</v>
      </c>
      <c r="L308" s="24">
        <f t="shared" si="23"/>
        <v>11041</v>
      </c>
      <c r="M308" s="24">
        <v>26000000</v>
      </c>
      <c r="N308" s="39">
        <v>46043</v>
      </c>
    </row>
    <row r="309" spans="1:14" s="5" customFormat="1" outlineLevel="2">
      <c r="A309" s="39" t="s">
        <v>120</v>
      </c>
      <c r="B309" s="40" t="s">
        <v>138</v>
      </c>
      <c r="C309" s="41" t="s">
        <v>134</v>
      </c>
      <c r="D309" s="40" t="s">
        <v>135</v>
      </c>
      <c r="E309" s="24">
        <v>15000000</v>
      </c>
      <c r="F309" s="39">
        <v>44200</v>
      </c>
      <c r="G309" s="24">
        <v>15000000</v>
      </c>
      <c r="H309" s="23">
        <v>5.0000000000000001E-3</v>
      </c>
      <c r="I309" s="39">
        <v>44470</v>
      </c>
      <c r="J309" s="39">
        <v>44500</v>
      </c>
      <c r="K309" s="24">
        <f t="shared" si="22"/>
        <v>31</v>
      </c>
      <c r="L309" s="24">
        <f t="shared" si="23"/>
        <v>6370</v>
      </c>
      <c r="M309" s="24">
        <v>15000000</v>
      </c>
      <c r="N309" s="39">
        <v>46025</v>
      </c>
    </row>
    <row r="310" spans="1:14" s="5" customFormat="1" outlineLevel="2">
      <c r="A310" s="39" t="s">
        <v>120</v>
      </c>
      <c r="B310" s="40" t="s">
        <v>139</v>
      </c>
      <c r="C310" s="41" t="s">
        <v>134</v>
      </c>
      <c r="D310" s="40" t="s">
        <v>135</v>
      </c>
      <c r="E310" s="24">
        <v>6000000</v>
      </c>
      <c r="F310" s="39">
        <v>44203</v>
      </c>
      <c r="G310" s="24">
        <v>6000000</v>
      </c>
      <c r="H310" s="23">
        <v>5.0000000000000001E-3</v>
      </c>
      <c r="I310" s="39">
        <v>44470</v>
      </c>
      <c r="J310" s="39">
        <v>44500</v>
      </c>
      <c r="K310" s="24">
        <f t="shared" si="22"/>
        <v>31</v>
      </c>
      <c r="L310" s="24">
        <f t="shared" si="23"/>
        <v>2548</v>
      </c>
      <c r="M310" s="24">
        <v>6000000</v>
      </c>
      <c r="N310" s="39">
        <v>46028</v>
      </c>
    </row>
    <row r="311" spans="1:14" s="5" customFormat="1" outlineLevel="2">
      <c r="A311" s="39" t="s">
        <v>120</v>
      </c>
      <c r="B311" s="40" t="s">
        <v>140</v>
      </c>
      <c r="C311" s="41" t="s">
        <v>134</v>
      </c>
      <c r="D311" s="40" t="s">
        <v>135</v>
      </c>
      <c r="E311" s="24">
        <v>9000000</v>
      </c>
      <c r="F311" s="39">
        <v>44216</v>
      </c>
      <c r="G311" s="24">
        <v>9000000</v>
      </c>
      <c r="H311" s="23">
        <v>5.0000000000000001E-3</v>
      </c>
      <c r="I311" s="39">
        <v>44470</v>
      </c>
      <c r="J311" s="39">
        <v>44500</v>
      </c>
      <c r="K311" s="24">
        <f t="shared" si="22"/>
        <v>31</v>
      </c>
      <c r="L311" s="24">
        <f t="shared" si="23"/>
        <v>3822</v>
      </c>
      <c r="M311" s="24">
        <v>9000000</v>
      </c>
      <c r="N311" s="39">
        <v>46041</v>
      </c>
    </row>
    <row r="312" spans="1:14" s="5" customFormat="1" outlineLevel="2">
      <c r="A312" s="39" t="s">
        <v>120</v>
      </c>
      <c r="B312" s="40" t="s">
        <v>169</v>
      </c>
      <c r="C312" s="41" t="s">
        <v>20</v>
      </c>
      <c r="D312" s="40" t="s">
        <v>21</v>
      </c>
      <c r="E312" s="24">
        <v>150000000</v>
      </c>
      <c r="F312" s="39">
        <v>44231</v>
      </c>
      <c r="G312" s="24">
        <v>150000000</v>
      </c>
      <c r="H312" s="23">
        <v>3.0000000000000001E-3</v>
      </c>
      <c r="I312" s="39">
        <v>44470</v>
      </c>
      <c r="J312" s="39">
        <v>44500</v>
      </c>
      <c r="K312" s="24">
        <f t="shared" si="22"/>
        <v>31</v>
      </c>
      <c r="L312" s="24">
        <f t="shared" si="23"/>
        <v>38219</v>
      </c>
      <c r="M312" s="24">
        <v>150000000</v>
      </c>
      <c r="N312" s="39">
        <v>46056</v>
      </c>
    </row>
    <row r="313" spans="1:14" s="5" customFormat="1" outlineLevel="2">
      <c r="A313" s="39" t="s">
        <v>120</v>
      </c>
      <c r="B313" s="40" t="s">
        <v>170</v>
      </c>
      <c r="C313" s="41" t="s">
        <v>134</v>
      </c>
      <c r="D313" s="40" t="s">
        <v>135</v>
      </c>
      <c r="E313" s="24">
        <v>2000000</v>
      </c>
      <c r="F313" s="39">
        <v>44228</v>
      </c>
      <c r="G313" s="24">
        <v>2000000</v>
      </c>
      <c r="H313" s="23">
        <v>5.0000000000000001E-3</v>
      </c>
      <c r="I313" s="39">
        <v>44470</v>
      </c>
      <c r="J313" s="39">
        <v>44500</v>
      </c>
      <c r="K313" s="24">
        <f t="shared" si="22"/>
        <v>31</v>
      </c>
      <c r="L313" s="24">
        <f t="shared" si="23"/>
        <v>849</v>
      </c>
      <c r="M313" s="24">
        <v>2000000</v>
      </c>
      <c r="N313" s="39">
        <v>46053</v>
      </c>
    </row>
    <row r="314" spans="1:14" s="5" customFormat="1" outlineLevel="2">
      <c r="A314" s="39" t="s">
        <v>120</v>
      </c>
      <c r="B314" s="40" t="s">
        <v>171</v>
      </c>
      <c r="C314" s="41" t="s">
        <v>134</v>
      </c>
      <c r="D314" s="40" t="s">
        <v>135</v>
      </c>
      <c r="E314" s="24">
        <v>13000000</v>
      </c>
      <c r="F314" s="39">
        <v>44231</v>
      </c>
      <c r="G314" s="24">
        <v>13000000</v>
      </c>
      <c r="H314" s="23">
        <v>5.0000000000000001E-3</v>
      </c>
      <c r="I314" s="39">
        <v>44470</v>
      </c>
      <c r="J314" s="39">
        <v>44500</v>
      </c>
      <c r="K314" s="24">
        <f t="shared" si="22"/>
        <v>31</v>
      </c>
      <c r="L314" s="24">
        <f t="shared" si="23"/>
        <v>5521</v>
      </c>
      <c r="M314" s="24">
        <v>13000000</v>
      </c>
      <c r="N314" s="39">
        <v>46056</v>
      </c>
    </row>
    <row r="315" spans="1:14" s="5" customFormat="1" outlineLevel="2">
      <c r="A315" s="39" t="s">
        <v>120</v>
      </c>
      <c r="B315" s="40" t="s">
        <v>172</v>
      </c>
      <c r="C315" s="41" t="s">
        <v>134</v>
      </c>
      <c r="D315" s="40" t="s">
        <v>135</v>
      </c>
      <c r="E315" s="24">
        <v>8000000</v>
      </c>
      <c r="F315" s="39">
        <v>44235</v>
      </c>
      <c r="G315" s="24">
        <v>8000000</v>
      </c>
      <c r="H315" s="23">
        <v>5.0000000000000001E-3</v>
      </c>
      <c r="I315" s="39">
        <v>44470</v>
      </c>
      <c r="J315" s="39">
        <v>44500</v>
      </c>
      <c r="K315" s="24">
        <f t="shared" si="22"/>
        <v>31</v>
      </c>
      <c r="L315" s="24">
        <f t="shared" si="23"/>
        <v>3397</v>
      </c>
      <c r="M315" s="24">
        <v>8000000</v>
      </c>
      <c r="N315" s="39">
        <v>46060</v>
      </c>
    </row>
    <row r="316" spans="1:14" s="5" customFormat="1" outlineLevel="2">
      <c r="A316" s="39" t="s">
        <v>120</v>
      </c>
      <c r="B316" s="40" t="s">
        <v>173</v>
      </c>
      <c r="C316" s="41" t="s">
        <v>134</v>
      </c>
      <c r="D316" s="40" t="s">
        <v>135</v>
      </c>
      <c r="E316" s="24">
        <v>6000000</v>
      </c>
      <c r="F316" s="39">
        <v>44231</v>
      </c>
      <c r="G316" s="24">
        <v>6000000</v>
      </c>
      <c r="H316" s="23">
        <v>5.0000000000000001E-3</v>
      </c>
      <c r="I316" s="39">
        <v>44470</v>
      </c>
      <c r="J316" s="39">
        <v>44500</v>
      </c>
      <c r="K316" s="24">
        <f t="shared" si="22"/>
        <v>31</v>
      </c>
      <c r="L316" s="24">
        <f t="shared" si="23"/>
        <v>2548</v>
      </c>
      <c r="M316" s="24">
        <v>6000000</v>
      </c>
      <c r="N316" s="39">
        <v>46056</v>
      </c>
    </row>
    <row r="317" spans="1:14" s="5" customFormat="1" outlineLevel="2">
      <c r="A317" s="39" t="s">
        <v>120</v>
      </c>
      <c r="B317" s="40" t="s">
        <v>62</v>
      </c>
      <c r="C317" s="41" t="s">
        <v>125</v>
      </c>
      <c r="D317" s="40" t="s">
        <v>126</v>
      </c>
      <c r="E317" s="24">
        <v>34480000</v>
      </c>
      <c r="F317" s="39">
        <v>43980</v>
      </c>
      <c r="G317" s="24">
        <v>34480000</v>
      </c>
      <c r="H317" s="23">
        <v>5.0000000000000001E-3</v>
      </c>
      <c r="I317" s="39">
        <v>44470</v>
      </c>
      <c r="J317" s="39">
        <v>44500</v>
      </c>
      <c r="K317" s="24">
        <f t="shared" si="22"/>
        <v>31</v>
      </c>
      <c r="L317" s="24">
        <f t="shared" si="23"/>
        <v>14642</v>
      </c>
      <c r="M317" s="24">
        <v>34480000</v>
      </c>
      <c r="N317" s="39">
        <v>45805</v>
      </c>
    </row>
    <row r="318" spans="1:14" s="5" customFormat="1" outlineLevel="2">
      <c r="A318" s="39" t="s">
        <v>120</v>
      </c>
      <c r="B318" s="40" t="s">
        <v>174</v>
      </c>
      <c r="C318" s="41" t="s">
        <v>246</v>
      </c>
      <c r="D318" s="40" t="s">
        <v>247</v>
      </c>
      <c r="E318" s="24">
        <v>11000000</v>
      </c>
      <c r="F318" s="39">
        <v>44235</v>
      </c>
      <c r="G318" s="24">
        <v>11000000</v>
      </c>
      <c r="H318" s="23">
        <v>5.0000000000000001E-3</v>
      </c>
      <c r="I318" s="39">
        <v>44470</v>
      </c>
      <c r="J318" s="39">
        <v>44500</v>
      </c>
      <c r="K318" s="24">
        <f t="shared" si="22"/>
        <v>31</v>
      </c>
      <c r="L318" s="24">
        <f t="shared" si="23"/>
        <v>4671</v>
      </c>
      <c r="M318" s="24">
        <v>11000000</v>
      </c>
      <c r="N318" s="39">
        <v>46060</v>
      </c>
    </row>
    <row r="319" spans="1:14" s="5" customFormat="1" outlineLevel="2">
      <c r="A319" s="39" t="s">
        <v>120</v>
      </c>
      <c r="B319" s="40" t="s">
        <v>175</v>
      </c>
      <c r="C319" s="41" t="s">
        <v>246</v>
      </c>
      <c r="D319" s="40" t="s">
        <v>247</v>
      </c>
      <c r="E319" s="24">
        <v>67000000</v>
      </c>
      <c r="F319" s="39">
        <v>44251</v>
      </c>
      <c r="G319" s="24">
        <v>67000000</v>
      </c>
      <c r="H319" s="23">
        <v>5.0000000000000001E-3</v>
      </c>
      <c r="I319" s="39">
        <v>44470</v>
      </c>
      <c r="J319" s="39">
        <v>44500</v>
      </c>
      <c r="K319" s="24">
        <f t="shared" si="22"/>
        <v>31</v>
      </c>
      <c r="L319" s="24">
        <f t="shared" si="23"/>
        <v>28452</v>
      </c>
      <c r="M319" s="24">
        <v>67000000</v>
      </c>
      <c r="N319" s="39">
        <v>46076</v>
      </c>
    </row>
    <row r="320" spans="1:14" s="5" customFormat="1" outlineLevel="2">
      <c r="A320" s="39" t="s">
        <v>120</v>
      </c>
      <c r="B320" s="40" t="s">
        <v>176</v>
      </c>
      <c r="C320" s="41" t="s">
        <v>306</v>
      </c>
      <c r="D320" s="40" t="s">
        <v>305</v>
      </c>
      <c r="E320" s="24">
        <v>320000000</v>
      </c>
      <c r="F320" s="39">
        <v>44228</v>
      </c>
      <c r="G320" s="24">
        <v>320000000</v>
      </c>
      <c r="H320" s="23">
        <v>5.0000000000000001E-3</v>
      </c>
      <c r="I320" s="39">
        <v>44470</v>
      </c>
      <c r="J320" s="39">
        <v>44500</v>
      </c>
      <c r="K320" s="24">
        <f t="shared" si="22"/>
        <v>31</v>
      </c>
      <c r="L320" s="24">
        <f t="shared" si="23"/>
        <v>135890</v>
      </c>
      <c r="M320" s="24">
        <v>320000000</v>
      </c>
      <c r="N320" s="39">
        <v>46053</v>
      </c>
    </row>
    <row r="321" spans="1:14" s="5" customFormat="1" outlineLevel="2">
      <c r="A321" s="39" t="s">
        <v>120</v>
      </c>
      <c r="B321" s="40" t="s">
        <v>177</v>
      </c>
      <c r="C321" s="41" t="s">
        <v>306</v>
      </c>
      <c r="D321" s="40" t="s">
        <v>305</v>
      </c>
      <c r="E321" s="24">
        <v>17000000</v>
      </c>
      <c r="F321" s="39">
        <v>44246</v>
      </c>
      <c r="G321" s="24">
        <v>17000000</v>
      </c>
      <c r="H321" s="23">
        <v>5.0000000000000001E-3</v>
      </c>
      <c r="I321" s="39">
        <v>44470</v>
      </c>
      <c r="J321" s="39">
        <v>44500</v>
      </c>
      <c r="K321" s="24">
        <f t="shared" si="22"/>
        <v>31</v>
      </c>
      <c r="L321" s="24">
        <f t="shared" si="23"/>
        <v>7219</v>
      </c>
      <c r="M321" s="24">
        <v>17000000</v>
      </c>
      <c r="N321" s="39">
        <v>46071</v>
      </c>
    </row>
    <row r="322" spans="1:14" s="5" customFormat="1" outlineLevel="2">
      <c r="A322" s="39" t="s">
        <v>120</v>
      </c>
      <c r="B322" s="40" t="s">
        <v>178</v>
      </c>
      <c r="C322" s="41" t="s">
        <v>71</v>
      </c>
      <c r="D322" s="40" t="s">
        <v>72</v>
      </c>
      <c r="E322" s="24">
        <v>19980000</v>
      </c>
      <c r="F322" s="39">
        <v>44252</v>
      </c>
      <c r="G322" s="24">
        <v>19980000</v>
      </c>
      <c r="H322" s="23">
        <v>5.0000000000000001E-3</v>
      </c>
      <c r="I322" s="39">
        <v>44470</v>
      </c>
      <c r="J322" s="39">
        <v>44500</v>
      </c>
      <c r="K322" s="24">
        <f t="shared" si="22"/>
        <v>31</v>
      </c>
      <c r="L322" s="24">
        <f t="shared" si="23"/>
        <v>8485</v>
      </c>
      <c r="M322" s="24">
        <v>19980000</v>
      </c>
      <c r="N322" s="39">
        <v>46077</v>
      </c>
    </row>
    <row r="323" spans="1:14" s="5" customFormat="1" outlineLevel="2">
      <c r="A323" s="39" t="s">
        <v>120</v>
      </c>
      <c r="B323" s="40" t="s">
        <v>179</v>
      </c>
      <c r="C323" s="41" t="s">
        <v>219</v>
      </c>
      <c r="D323" s="40" t="s">
        <v>220</v>
      </c>
      <c r="E323" s="24">
        <v>9000000</v>
      </c>
      <c r="F323" s="39">
        <v>44253</v>
      </c>
      <c r="G323" s="24">
        <v>9000000</v>
      </c>
      <c r="H323" s="23">
        <v>5.0000000000000001E-3</v>
      </c>
      <c r="I323" s="39">
        <v>44470</v>
      </c>
      <c r="J323" s="39">
        <v>44500</v>
      </c>
      <c r="K323" s="24">
        <f t="shared" si="22"/>
        <v>31</v>
      </c>
      <c r="L323" s="24">
        <f t="shared" si="23"/>
        <v>3822</v>
      </c>
      <c r="M323" s="24">
        <v>9000000</v>
      </c>
      <c r="N323" s="39">
        <v>46078</v>
      </c>
    </row>
    <row r="324" spans="1:14" s="5" customFormat="1" outlineLevel="2">
      <c r="A324" s="39" t="s">
        <v>120</v>
      </c>
      <c r="B324" s="40" t="s">
        <v>180</v>
      </c>
      <c r="C324" s="41" t="s">
        <v>219</v>
      </c>
      <c r="D324" s="40" t="s">
        <v>220</v>
      </c>
      <c r="E324" s="24">
        <v>17000000</v>
      </c>
      <c r="F324" s="39">
        <v>44253</v>
      </c>
      <c r="G324" s="24">
        <v>17000000</v>
      </c>
      <c r="H324" s="23">
        <v>5.0000000000000001E-3</v>
      </c>
      <c r="I324" s="39">
        <v>44470</v>
      </c>
      <c r="J324" s="39">
        <v>44500</v>
      </c>
      <c r="K324" s="24">
        <f t="shared" si="22"/>
        <v>31</v>
      </c>
      <c r="L324" s="24">
        <f t="shared" si="23"/>
        <v>7219</v>
      </c>
      <c r="M324" s="24">
        <v>17000000</v>
      </c>
      <c r="N324" s="39">
        <v>46078</v>
      </c>
    </row>
    <row r="325" spans="1:14" s="5" customFormat="1" outlineLevel="2">
      <c r="A325" s="39" t="s">
        <v>120</v>
      </c>
      <c r="B325" s="40" t="s">
        <v>181</v>
      </c>
      <c r="C325" s="41" t="s">
        <v>37</v>
      </c>
      <c r="D325" s="40" t="s">
        <v>38</v>
      </c>
      <c r="E325" s="24">
        <v>90862000</v>
      </c>
      <c r="F325" s="39">
        <v>44285</v>
      </c>
      <c r="G325" s="24">
        <v>90862000</v>
      </c>
      <c r="H325" s="23">
        <v>5.0000000000000001E-3</v>
      </c>
      <c r="I325" s="39">
        <v>44470</v>
      </c>
      <c r="J325" s="39">
        <v>44500</v>
      </c>
      <c r="K325" s="24">
        <f t="shared" si="22"/>
        <v>31</v>
      </c>
      <c r="L325" s="24">
        <f t="shared" si="23"/>
        <v>38585</v>
      </c>
      <c r="M325" s="24">
        <v>90862000</v>
      </c>
      <c r="N325" s="39">
        <v>46110</v>
      </c>
    </row>
    <row r="326" spans="1:14" s="5" customFormat="1" outlineLevel="2">
      <c r="A326" s="39" t="s">
        <v>120</v>
      </c>
      <c r="B326" s="40" t="s">
        <v>182</v>
      </c>
      <c r="C326" s="41" t="s">
        <v>37</v>
      </c>
      <c r="D326" s="40" t="s">
        <v>38</v>
      </c>
      <c r="E326" s="24">
        <v>49390000</v>
      </c>
      <c r="F326" s="39">
        <v>44285</v>
      </c>
      <c r="G326" s="24">
        <v>49390000</v>
      </c>
      <c r="H326" s="23">
        <v>5.0000000000000001E-3</v>
      </c>
      <c r="I326" s="39">
        <v>44470</v>
      </c>
      <c r="J326" s="39">
        <v>44500</v>
      </c>
      <c r="K326" s="24">
        <f t="shared" si="22"/>
        <v>31</v>
      </c>
      <c r="L326" s="24">
        <f t="shared" si="23"/>
        <v>20974</v>
      </c>
      <c r="M326" s="24">
        <v>49390000</v>
      </c>
      <c r="N326" s="39">
        <v>46110</v>
      </c>
    </row>
    <row r="327" spans="1:14" s="5" customFormat="1" outlineLevel="2">
      <c r="A327" s="39" t="s">
        <v>120</v>
      </c>
      <c r="B327" s="40" t="s">
        <v>183</v>
      </c>
      <c r="C327" s="41" t="s">
        <v>134</v>
      </c>
      <c r="D327" s="40" t="s">
        <v>135</v>
      </c>
      <c r="E327" s="24">
        <v>9000000</v>
      </c>
      <c r="F327" s="39">
        <v>44285</v>
      </c>
      <c r="G327" s="24">
        <v>9000000</v>
      </c>
      <c r="H327" s="23">
        <v>5.0000000000000001E-3</v>
      </c>
      <c r="I327" s="39">
        <v>44470</v>
      </c>
      <c r="J327" s="39">
        <v>44500</v>
      </c>
      <c r="K327" s="24">
        <f t="shared" si="22"/>
        <v>31</v>
      </c>
      <c r="L327" s="24">
        <f t="shared" si="23"/>
        <v>3822</v>
      </c>
      <c r="M327" s="24">
        <v>9000000</v>
      </c>
      <c r="N327" s="39">
        <v>46110</v>
      </c>
    </row>
    <row r="328" spans="1:14" s="5" customFormat="1" outlineLevel="2">
      <c r="A328" s="39" t="s">
        <v>120</v>
      </c>
      <c r="B328" s="40" t="s">
        <v>63</v>
      </c>
      <c r="C328" s="41" t="s">
        <v>66</v>
      </c>
      <c r="D328" s="40" t="s">
        <v>67</v>
      </c>
      <c r="E328" s="24">
        <v>56000000</v>
      </c>
      <c r="F328" s="39">
        <v>43966</v>
      </c>
      <c r="G328" s="24">
        <v>56000000</v>
      </c>
      <c r="H328" s="23">
        <v>5.0000000000000001E-3</v>
      </c>
      <c r="I328" s="39">
        <v>44470</v>
      </c>
      <c r="J328" s="39">
        <v>44500</v>
      </c>
      <c r="K328" s="24">
        <f t="shared" si="22"/>
        <v>31</v>
      </c>
      <c r="L328" s="24">
        <f t="shared" si="23"/>
        <v>23781</v>
      </c>
      <c r="M328" s="24">
        <v>56000000</v>
      </c>
      <c r="N328" s="39">
        <v>45791</v>
      </c>
    </row>
    <row r="329" spans="1:14" s="5" customFormat="1" outlineLevel="2">
      <c r="A329" s="39" t="s">
        <v>120</v>
      </c>
      <c r="B329" s="40" t="s">
        <v>184</v>
      </c>
      <c r="C329" s="41" t="s">
        <v>125</v>
      </c>
      <c r="D329" s="40" t="s">
        <v>126</v>
      </c>
      <c r="E329" s="24">
        <v>28000000</v>
      </c>
      <c r="F329" s="39">
        <v>44264</v>
      </c>
      <c r="G329" s="24">
        <v>28000000</v>
      </c>
      <c r="H329" s="23">
        <v>5.0000000000000001E-3</v>
      </c>
      <c r="I329" s="39">
        <v>44470</v>
      </c>
      <c r="J329" s="39">
        <v>44500</v>
      </c>
      <c r="K329" s="24">
        <f t="shared" si="22"/>
        <v>31</v>
      </c>
      <c r="L329" s="24">
        <f t="shared" si="23"/>
        <v>11890</v>
      </c>
      <c r="M329" s="24">
        <v>28000000</v>
      </c>
      <c r="N329" s="39">
        <v>46089</v>
      </c>
    </row>
    <row r="330" spans="1:14" s="5" customFormat="1" outlineLevel="2">
      <c r="A330" s="39" t="s">
        <v>120</v>
      </c>
      <c r="B330" s="40" t="s">
        <v>185</v>
      </c>
      <c r="C330" s="41" t="s">
        <v>125</v>
      </c>
      <c r="D330" s="40" t="s">
        <v>126</v>
      </c>
      <c r="E330" s="24">
        <v>26000000</v>
      </c>
      <c r="F330" s="39">
        <v>44264</v>
      </c>
      <c r="G330" s="24">
        <v>26000000</v>
      </c>
      <c r="H330" s="23">
        <v>5.0000000000000001E-3</v>
      </c>
      <c r="I330" s="39">
        <v>44470</v>
      </c>
      <c r="J330" s="39">
        <v>44500</v>
      </c>
      <c r="K330" s="24">
        <f t="shared" si="22"/>
        <v>31</v>
      </c>
      <c r="L330" s="24">
        <f t="shared" si="23"/>
        <v>11041</v>
      </c>
      <c r="M330" s="24">
        <v>26000000</v>
      </c>
      <c r="N330" s="39">
        <v>46089</v>
      </c>
    </row>
    <row r="331" spans="1:14" s="5" customFormat="1" outlineLevel="2">
      <c r="A331" s="39" t="s">
        <v>120</v>
      </c>
      <c r="B331" s="40" t="s">
        <v>186</v>
      </c>
      <c r="C331" s="41" t="s">
        <v>30</v>
      </c>
      <c r="D331" s="40" t="s">
        <v>31</v>
      </c>
      <c r="E331" s="24">
        <v>60000000</v>
      </c>
      <c r="F331" s="39">
        <v>44272</v>
      </c>
      <c r="G331" s="24">
        <v>60000000</v>
      </c>
      <c r="H331" s="23">
        <v>5.0000000000000001E-3</v>
      </c>
      <c r="I331" s="39">
        <v>44470</v>
      </c>
      <c r="J331" s="39">
        <v>44500</v>
      </c>
      <c r="K331" s="24">
        <f t="shared" si="22"/>
        <v>31</v>
      </c>
      <c r="L331" s="24">
        <f t="shared" si="23"/>
        <v>25479</v>
      </c>
      <c r="M331" s="24">
        <v>60000000</v>
      </c>
      <c r="N331" s="39">
        <v>46097</v>
      </c>
    </row>
    <row r="332" spans="1:14" s="5" customFormat="1" outlineLevel="2">
      <c r="A332" s="39" t="s">
        <v>120</v>
      </c>
      <c r="B332" s="40" t="s">
        <v>189</v>
      </c>
      <c r="C332" s="41" t="s">
        <v>324</v>
      </c>
      <c r="D332" s="40" t="s">
        <v>323</v>
      </c>
      <c r="E332" s="24">
        <v>37000000</v>
      </c>
      <c r="F332" s="39">
        <v>44270</v>
      </c>
      <c r="G332" s="24">
        <v>35149996</v>
      </c>
      <c r="H332" s="23">
        <v>5.0000000000000001E-3</v>
      </c>
      <c r="I332" s="39">
        <v>44470</v>
      </c>
      <c r="J332" s="39">
        <v>44483</v>
      </c>
      <c r="K332" s="24">
        <f t="shared" ref="K332:K363" si="24">J332-I332+1</f>
        <v>14</v>
      </c>
      <c r="L332" s="24">
        <f t="shared" ref="L332:L363" si="25">ROUND(G332*H332*K332/365,0)</f>
        <v>6741</v>
      </c>
      <c r="M332" s="24">
        <v>34841662</v>
      </c>
      <c r="N332" s="39">
        <v>46095</v>
      </c>
    </row>
    <row r="333" spans="1:14" s="5" customFormat="1" outlineLevel="2">
      <c r="A333" s="39" t="s">
        <v>120</v>
      </c>
      <c r="B333" s="40" t="s">
        <v>189</v>
      </c>
      <c r="C333" s="41" t="s">
        <v>324</v>
      </c>
      <c r="D333" s="40"/>
      <c r="E333" s="24"/>
      <c r="F333" s="39"/>
      <c r="G333" s="24">
        <v>34841662</v>
      </c>
      <c r="H333" s="23">
        <v>5.0000000000000001E-3</v>
      </c>
      <c r="I333" s="39">
        <v>44484</v>
      </c>
      <c r="J333" s="39">
        <v>44500</v>
      </c>
      <c r="K333" s="24">
        <f t="shared" si="24"/>
        <v>17</v>
      </c>
      <c r="L333" s="24">
        <f t="shared" si="25"/>
        <v>8114</v>
      </c>
      <c r="M333" s="24"/>
      <c r="N333" s="39">
        <v>46095</v>
      </c>
    </row>
    <row r="334" spans="1:14" s="5" customFormat="1" outlineLevel="2">
      <c r="A334" s="39" t="s">
        <v>120</v>
      </c>
      <c r="B334" s="40" t="s">
        <v>190</v>
      </c>
      <c r="C334" s="41" t="s">
        <v>324</v>
      </c>
      <c r="D334" s="40" t="s">
        <v>323</v>
      </c>
      <c r="E334" s="24">
        <v>23000000</v>
      </c>
      <c r="F334" s="39">
        <v>44270</v>
      </c>
      <c r="G334" s="24">
        <v>21357140</v>
      </c>
      <c r="H334" s="23">
        <v>5.0000000000000001E-3</v>
      </c>
      <c r="I334" s="39">
        <v>44470</v>
      </c>
      <c r="J334" s="39">
        <v>44483</v>
      </c>
      <c r="K334" s="24">
        <f t="shared" si="24"/>
        <v>14</v>
      </c>
      <c r="L334" s="24">
        <f t="shared" si="25"/>
        <v>4096</v>
      </c>
      <c r="M334" s="24">
        <v>21083330</v>
      </c>
      <c r="N334" s="39">
        <v>46095</v>
      </c>
    </row>
    <row r="335" spans="1:14" s="5" customFormat="1" outlineLevel="2">
      <c r="A335" s="39" t="s">
        <v>120</v>
      </c>
      <c r="B335" s="40" t="s">
        <v>190</v>
      </c>
      <c r="C335" s="41" t="s">
        <v>324</v>
      </c>
      <c r="D335" s="40"/>
      <c r="E335" s="24"/>
      <c r="F335" s="39"/>
      <c r="G335" s="24">
        <v>21083330</v>
      </c>
      <c r="H335" s="23">
        <v>5.0000000000000001E-3</v>
      </c>
      <c r="I335" s="39">
        <v>44484</v>
      </c>
      <c r="J335" s="39">
        <v>44500</v>
      </c>
      <c r="K335" s="24">
        <f t="shared" si="24"/>
        <v>17</v>
      </c>
      <c r="L335" s="24">
        <f t="shared" si="25"/>
        <v>4910</v>
      </c>
      <c r="M335" s="24"/>
      <c r="N335" s="39">
        <v>46095</v>
      </c>
    </row>
    <row r="336" spans="1:14" s="5" customFormat="1" outlineLevel="2">
      <c r="A336" s="39" t="s">
        <v>120</v>
      </c>
      <c r="B336" s="40" t="s">
        <v>191</v>
      </c>
      <c r="C336" s="41" t="s">
        <v>324</v>
      </c>
      <c r="D336" s="40" t="s">
        <v>323</v>
      </c>
      <c r="E336" s="24">
        <v>30000000</v>
      </c>
      <c r="F336" s="39">
        <v>44270</v>
      </c>
      <c r="G336" s="24">
        <v>27857142</v>
      </c>
      <c r="H336" s="23">
        <v>5.0000000000000001E-3</v>
      </c>
      <c r="I336" s="39">
        <v>44470</v>
      </c>
      <c r="J336" s="39">
        <v>44483</v>
      </c>
      <c r="K336" s="24">
        <f t="shared" si="24"/>
        <v>14</v>
      </c>
      <c r="L336" s="24">
        <f t="shared" si="25"/>
        <v>5342</v>
      </c>
      <c r="M336" s="24">
        <v>27499999</v>
      </c>
      <c r="N336" s="39">
        <v>46095</v>
      </c>
    </row>
    <row r="337" spans="1:14" s="5" customFormat="1" outlineLevel="2">
      <c r="A337" s="39" t="s">
        <v>120</v>
      </c>
      <c r="B337" s="40" t="s">
        <v>191</v>
      </c>
      <c r="C337" s="41" t="s">
        <v>324</v>
      </c>
      <c r="D337" s="40"/>
      <c r="E337" s="24"/>
      <c r="F337" s="39"/>
      <c r="G337" s="24">
        <v>27499999</v>
      </c>
      <c r="H337" s="23">
        <v>5.0000000000000001E-3</v>
      </c>
      <c r="I337" s="39">
        <v>44484</v>
      </c>
      <c r="J337" s="39">
        <v>44500</v>
      </c>
      <c r="K337" s="24">
        <f t="shared" si="24"/>
        <v>17</v>
      </c>
      <c r="L337" s="24">
        <f t="shared" si="25"/>
        <v>6404</v>
      </c>
      <c r="M337" s="24"/>
      <c r="N337" s="39">
        <v>46095</v>
      </c>
    </row>
    <row r="338" spans="1:14" s="5" customFormat="1" outlineLevel="2">
      <c r="A338" s="39" t="s">
        <v>120</v>
      </c>
      <c r="B338" s="40" t="s">
        <v>192</v>
      </c>
      <c r="C338" s="41" t="s">
        <v>341</v>
      </c>
      <c r="D338" s="40" t="s">
        <v>340</v>
      </c>
      <c r="E338" s="24">
        <v>33600000</v>
      </c>
      <c r="F338" s="39">
        <v>44314</v>
      </c>
      <c r="G338" s="24">
        <v>33600000</v>
      </c>
      <c r="H338" s="23">
        <v>5.0000000000000001E-3</v>
      </c>
      <c r="I338" s="39">
        <v>44470</v>
      </c>
      <c r="J338" s="39">
        <v>44500</v>
      </c>
      <c r="K338" s="24">
        <f t="shared" si="24"/>
        <v>31</v>
      </c>
      <c r="L338" s="24">
        <f t="shared" si="25"/>
        <v>14268</v>
      </c>
      <c r="M338" s="24">
        <v>33600000</v>
      </c>
      <c r="N338" s="39">
        <v>46139</v>
      </c>
    </row>
    <row r="339" spans="1:14" s="5" customFormat="1" outlineLevel="2">
      <c r="A339" s="39" t="s">
        <v>120</v>
      </c>
      <c r="B339" s="40" t="s">
        <v>193</v>
      </c>
      <c r="C339" s="41" t="s">
        <v>219</v>
      </c>
      <c r="D339" s="40" t="s">
        <v>220</v>
      </c>
      <c r="E339" s="24">
        <v>22000000</v>
      </c>
      <c r="F339" s="39">
        <v>44314</v>
      </c>
      <c r="G339" s="24">
        <v>22000000</v>
      </c>
      <c r="H339" s="23">
        <v>5.0000000000000001E-3</v>
      </c>
      <c r="I339" s="39">
        <v>44470</v>
      </c>
      <c r="J339" s="39">
        <v>44500</v>
      </c>
      <c r="K339" s="24">
        <f t="shared" si="24"/>
        <v>31</v>
      </c>
      <c r="L339" s="24">
        <f t="shared" si="25"/>
        <v>9342</v>
      </c>
      <c r="M339" s="24">
        <v>22000000</v>
      </c>
      <c r="N339" s="39">
        <v>46139</v>
      </c>
    </row>
    <row r="340" spans="1:14" s="5" customFormat="1" outlineLevel="2">
      <c r="A340" s="39" t="s">
        <v>120</v>
      </c>
      <c r="B340" s="40" t="s">
        <v>194</v>
      </c>
      <c r="C340" s="41" t="s">
        <v>345</v>
      </c>
      <c r="D340" s="40" t="s">
        <v>344</v>
      </c>
      <c r="E340" s="24">
        <v>16000000</v>
      </c>
      <c r="F340" s="39">
        <v>44315</v>
      </c>
      <c r="G340" s="24">
        <v>16000000</v>
      </c>
      <c r="H340" s="23">
        <v>3.0000000000000001E-3</v>
      </c>
      <c r="I340" s="39">
        <v>44470</v>
      </c>
      <c r="J340" s="39">
        <v>44500</v>
      </c>
      <c r="K340" s="24">
        <f t="shared" si="24"/>
        <v>31</v>
      </c>
      <c r="L340" s="24">
        <f t="shared" si="25"/>
        <v>4077</v>
      </c>
      <c r="M340" s="24">
        <v>16000000</v>
      </c>
      <c r="N340" s="39">
        <v>46140</v>
      </c>
    </row>
    <row r="341" spans="1:14" s="5" customFormat="1" outlineLevel="2">
      <c r="A341" s="39" t="s">
        <v>120</v>
      </c>
      <c r="B341" s="40" t="s">
        <v>195</v>
      </c>
      <c r="C341" s="41" t="s">
        <v>363</v>
      </c>
      <c r="D341" s="40" t="s">
        <v>362</v>
      </c>
      <c r="E341" s="24">
        <v>3800000</v>
      </c>
      <c r="F341" s="39">
        <v>44309</v>
      </c>
      <c r="G341" s="24">
        <v>3800000</v>
      </c>
      <c r="H341" s="23">
        <v>5.0000000000000001E-3</v>
      </c>
      <c r="I341" s="39">
        <v>44470</v>
      </c>
      <c r="J341" s="39">
        <v>44500</v>
      </c>
      <c r="K341" s="24">
        <f t="shared" si="24"/>
        <v>31</v>
      </c>
      <c r="L341" s="24">
        <f t="shared" si="25"/>
        <v>1614</v>
      </c>
      <c r="M341" s="24">
        <v>3800000</v>
      </c>
      <c r="N341" s="39">
        <v>46134</v>
      </c>
    </row>
    <row r="342" spans="1:14" s="5" customFormat="1" outlineLevel="2">
      <c r="A342" s="39" t="s">
        <v>120</v>
      </c>
      <c r="B342" s="40" t="s">
        <v>64</v>
      </c>
      <c r="C342" s="41" t="s">
        <v>20</v>
      </c>
      <c r="D342" s="40" t="s">
        <v>21</v>
      </c>
      <c r="E342" s="24">
        <v>150000000</v>
      </c>
      <c r="F342" s="39">
        <v>43958</v>
      </c>
      <c r="G342" s="24">
        <v>150000000</v>
      </c>
      <c r="H342" s="23">
        <v>5.0000000000000001E-3</v>
      </c>
      <c r="I342" s="39">
        <v>44470</v>
      </c>
      <c r="J342" s="39">
        <v>44500</v>
      </c>
      <c r="K342" s="24">
        <f t="shared" si="24"/>
        <v>31</v>
      </c>
      <c r="L342" s="24">
        <f t="shared" si="25"/>
        <v>63699</v>
      </c>
      <c r="M342" s="24">
        <v>150000000</v>
      </c>
      <c r="N342" s="39">
        <v>45783</v>
      </c>
    </row>
    <row r="343" spans="1:14" s="5" customFormat="1" outlineLevel="2">
      <c r="A343" s="39" t="s">
        <v>120</v>
      </c>
      <c r="B343" s="40" t="s">
        <v>196</v>
      </c>
      <c r="C343" s="41" t="s">
        <v>17</v>
      </c>
      <c r="D343" s="40" t="s">
        <v>18</v>
      </c>
      <c r="E343" s="24">
        <v>2245530</v>
      </c>
      <c r="F343" s="39">
        <v>44334</v>
      </c>
      <c r="G343" s="24">
        <v>2079194</v>
      </c>
      <c r="H343" s="23">
        <v>5.0000000000000001E-3</v>
      </c>
      <c r="I343" s="39">
        <v>44470</v>
      </c>
      <c r="J343" s="39">
        <v>44483</v>
      </c>
      <c r="K343" s="24">
        <f t="shared" si="24"/>
        <v>14</v>
      </c>
      <c r="L343" s="24">
        <f t="shared" si="25"/>
        <v>399</v>
      </c>
      <c r="M343" s="24">
        <v>2037610</v>
      </c>
      <c r="N343" s="39">
        <v>46159</v>
      </c>
    </row>
    <row r="344" spans="1:14" s="5" customFormat="1" outlineLevel="2">
      <c r="A344" s="39" t="s">
        <v>120</v>
      </c>
      <c r="B344" s="40" t="s">
        <v>196</v>
      </c>
      <c r="C344" s="41" t="s">
        <v>17</v>
      </c>
      <c r="D344" s="40"/>
      <c r="E344" s="24"/>
      <c r="F344" s="39"/>
      <c r="G344" s="24">
        <v>2037610</v>
      </c>
      <c r="H344" s="23">
        <v>5.0000000000000001E-3</v>
      </c>
      <c r="I344" s="39">
        <v>44484</v>
      </c>
      <c r="J344" s="39">
        <v>44500</v>
      </c>
      <c r="K344" s="24">
        <f t="shared" si="24"/>
        <v>17</v>
      </c>
      <c r="L344" s="24">
        <f t="shared" si="25"/>
        <v>475</v>
      </c>
      <c r="M344" s="24"/>
      <c r="N344" s="39">
        <v>46159</v>
      </c>
    </row>
    <row r="345" spans="1:14" s="5" customFormat="1" outlineLevel="2">
      <c r="A345" s="39" t="s">
        <v>120</v>
      </c>
      <c r="B345" s="40" t="s">
        <v>197</v>
      </c>
      <c r="C345" s="41" t="s">
        <v>134</v>
      </c>
      <c r="D345" s="40" t="s">
        <v>135</v>
      </c>
      <c r="E345" s="24">
        <v>1000000</v>
      </c>
      <c r="F345" s="39">
        <v>44376</v>
      </c>
      <c r="G345" s="24">
        <v>1000000</v>
      </c>
      <c r="H345" s="23">
        <v>5.0000000000000001E-3</v>
      </c>
      <c r="I345" s="39">
        <v>44470</v>
      </c>
      <c r="J345" s="39">
        <v>44500</v>
      </c>
      <c r="K345" s="24">
        <f t="shared" si="24"/>
        <v>31</v>
      </c>
      <c r="L345" s="24">
        <f t="shared" si="25"/>
        <v>425</v>
      </c>
      <c r="M345" s="24">
        <v>1000000</v>
      </c>
      <c r="N345" s="39">
        <v>46201</v>
      </c>
    </row>
    <row r="346" spans="1:14" s="5" customFormat="1" outlineLevel="2">
      <c r="A346" s="39" t="s">
        <v>120</v>
      </c>
      <c r="B346" s="40" t="s">
        <v>198</v>
      </c>
      <c r="C346" s="41" t="s">
        <v>134</v>
      </c>
      <c r="D346" s="40" t="s">
        <v>135</v>
      </c>
      <c r="E346" s="24">
        <v>3000000</v>
      </c>
      <c r="F346" s="39">
        <v>44376</v>
      </c>
      <c r="G346" s="24">
        <v>3000000</v>
      </c>
      <c r="H346" s="23">
        <v>5.0000000000000001E-3</v>
      </c>
      <c r="I346" s="39">
        <v>44470</v>
      </c>
      <c r="J346" s="39">
        <v>44500</v>
      </c>
      <c r="K346" s="24">
        <f t="shared" si="24"/>
        <v>31</v>
      </c>
      <c r="L346" s="24">
        <f t="shared" si="25"/>
        <v>1274</v>
      </c>
      <c r="M346" s="24">
        <v>3000000</v>
      </c>
      <c r="N346" s="39">
        <v>46201</v>
      </c>
    </row>
    <row r="347" spans="1:14" s="5" customFormat="1" outlineLevel="2">
      <c r="A347" s="39" t="s">
        <v>120</v>
      </c>
      <c r="B347" s="40" t="s">
        <v>199</v>
      </c>
      <c r="C347" s="41" t="s">
        <v>219</v>
      </c>
      <c r="D347" s="40" t="s">
        <v>220</v>
      </c>
      <c r="E347" s="24">
        <v>28000000</v>
      </c>
      <c r="F347" s="39">
        <v>44375</v>
      </c>
      <c r="G347" s="24">
        <v>28000000</v>
      </c>
      <c r="H347" s="23">
        <v>5.0000000000000001E-3</v>
      </c>
      <c r="I347" s="39">
        <v>44470</v>
      </c>
      <c r="J347" s="39">
        <v>44500</v>
      </c>
      <c r="K347" s="24">
        <f t="shared" si="24"/>
        <v>31</v>
      </c>
      <c r="L347" s="24">
        <f t="shared" si="25"/>
        <v>11890</v>
      </c>
      <c r="M347" s="24">
        <v>28000000</v>
      </c>
      <c r="N347" s="39">
        <v>46200</v>
      </c>
    </row>
    <row r="348" spans="1:14" s="5" customFormat="1" outlineLevel="2">
      <c r="A348" s="39" t="s">
        <v>120</v>
      </c>
      <c r="B348" s="40" t="s">
        <v>200</v>
      </c>
      <c r="C348" s="41" t="s">
        <v>20</v>
      </c>
      <c r="D348" s="40" t="s">
        <v>21</v>
      </c>
      <c r="E348" s="24">
        <v>79200000</v>
      </c>
      <c r="F348" s="39">
        <v>44405</v>
      </c>
      <c r="G348" s="24">
        <v>79200000</v>
      </c>
      <c r="H348" s="23">
        <v>3.0000000000000001E-3</v>
      </c>
      <c r="I348" s="39">
        <v>44470</v>
      </c>
      <c r="J348" s="39">
        <v>44500</v>
      </c>
      <c r="K348" s="24">
        <f t="shared" si="24"/>
        <v>31</v>
      </c>
      <c r="L348" s="24">
        <f t="shared" si="25"/>
        <v>20180</v>
      </c>
      <c r="M348" s="24">
        <v>79200000</v>
      </c>
      <c r="N348" s="39">
        <v>46230</v>
      </c>
    </row>
    <row r="349" spans="1:14" s="5" customFormat="1" outlineLevel="2">
      <c r="A349" s="39" t="s">
        <v>120</v>
      </c>
      <c r="B349" s="40" t="s">
        <v>201</v>
      </c>
      <c r="C349" s="41" t="s">
        <v>125</v>
      </c>
      <c r="D349" s="40" t="s">
        <v>126</v>
      </c>
      <c r="E349" s="24">
        <v>6000000</v>
      </c>
      <c r="F349" s="39">
        <v>44386</v>
      </c>
      <c r="G349" s="24">
        <v>6000000</v>
      </c>
      <c r="H349" s="23">
        <v>5.0000000000000001E-3</v>
      </c>
      <c r="I349" s="39">
        <v>44470</v>
      </c>
      <c r="J349" s="39">
        <v>44500</v>
      </c>
      <c r="K349" s="24">
        <f t="shared" si="24"/>
        <v>31</v>
      </c>
      <c r="L349" s="24">
        <f t="shared" si="25"/>
        <v>2548</v>
      </c>
      <c r="M349" s="24">
        <v>6000000</v>
      </c>
      <c r="N349" s="39">
        <v>46211</v>
      </c>
    </row>
    <row r="350" spans="1:14" s="5" customFormat="1" outlineLevel="2">
      <c r="A350" s="39" t="s">
        <v>120</v>
      </c>
      <c r="B350" s="40" t="s">
        <v>202</v>
      </c>
      <c r="C350" s="41" t="s">
        <v>404</v>
      </c>
      <c r="D350" s="40" t="s">
        <v>403</v>
      </c>
      <c r="E350" s="24">
        <v>63360000</v>
      </c>
      <c r="F350" s="39">
        <v>44438</v>
      </c>
      <c r="G350" s="24">
        <v>63360000</v>
      </c>
      <c r="H350" s="23">
        <v>5.0000000000000001E-3</v>
      </c>
      <c r="I350" s="39">
        <v>44470</v>
      </c>
      <c r="J350" s="39">
        <v>44500</v>
      </c>
      <c r="K350" s="24">
        <f t="shared" si="24"/>
        <v>31</v>
      </c>
      <c r="L350" s="24">
        <f t="shared" si="25"/>
        <v>26906</v>
      </c>
      <c r="M350" s="24">
        <v>63360000</v>
      </c>
      <c r="N350" s="39">
        <v>45533</v>
      </c>
    </row>
    <row r="351" spans="1:14" s="5" customFormat="1" outlineLevel="2">
      <c r="A351" s="39" t="s">
        <v>120</v>
      </c>
      <c r="B351" s="40" t="s">
        <v>203</v>
      </c>
      <c r="C351" s="41" t="s">
        <v>37</v>
      </c>
      <c r="D351" s="40" t="s">
        <v>38</v>
      </c>
      <c r="E351" s="24">
        <v>6249000</v>
      </c>
      <c r="F351" s="39">
        <v>44454</v>
      </c>
      <c r="G351" s="24">
        <v>6249000</v>
      </c>
      <c r="H351" s="23">
        <v>5.0000000000000001E-3</v>
      </c>
      <c r="I351" s="39">
        <v>44470</v>
      </c>
      <c r="J351" s="39">
        <v>44500</v>
      </c>
      <c r="K351" s="24">
        <f t="shared" si="24"/>
        <v>31</v>
      </c>
      <c r="L351" s="24">
        <f t="shared" si="25"/>
        <v>2654</v>
      </c>
      <c r="M351" s="24">
        <v>6249000</v>
      </c>
      <c r="N351" s="39">
        <v>46279</v>
      </c>
    </row>
    <row r="352" spans="1:14" s="5" customFormat="1" outlineLevel="2">
      <c r="A352" s="39" t="s">
        <v>120</v>
      </c>
      <c r="B352" s="40" t="s">
        <v>204</v>
      </c>
      <c r="C352" s="41" t="s">
        <v>37</v>
      </c>
      <c r="D352" s="40" t="s">
        <v>38</v>
      </c>
      <c r="E352" s="24">
        <v>193961000</v>
      </c>
      <c r="F352" s="39">
        <v>44454</v>
      </c>
      <c r="G352" s="24">
        <v>193961000</v>
      </c>
      <c r="H352" s="23">
        <v>5.0000000000000001E-3</v>
      </c>
      <c r="I352" s="39">
        <v>44470</v>
      </c>
      <c r="J352" s="39">
        <v>44500</v>
      </c>
      <c r="K352" s="24">
        <f t="shared" si="24"/>
        <v>31</v>
      </c>
      <c r="L352" s="24">
        <f t="shared" si="25"/>
        <v>82367</v>
      </c>
      <c r="M352" s="24">
        <v>193961000</v>
      </c>
      <c r="N352" s="39">
        <v>46279</v>
      </c>
    </row>
    <row r="353" spans="1:14" s="5" customFormat="1" outlineLevel="2">
      <c r="A353" s="39" t="s">
        <v>120</v>
      </c>
      <c r="B353" s="40" t="s">
        <v>205</v>
      </c>
      <c r="C353" s="41" t="s">
        <v>97</v>
      </c>
      <c r="D353" s="40" t="s">
        <v>98</v>
      </c>
      <c r="E353" s="24">
        <v>188800000</v>
      </c>
      <c r="F353" s="39">
        <v>44454</v>
      </c>
      <c r="G353" s="24">
        <v>188800000</v>
      </c>
      <c r="H353" s="23">
        <v>5.0000000000000001E-3</v>
      </c>
      <c r="I353" s="39">
        <v>44470</v>
      </c>
      <c r="J353" s="39">
        <v>44500</v>
      </c>
      <c r="K353" s="24">
        <f t="shared" si="24"/>
        <v>31</v>
      </c>
      <c r="L353" s="24">
        <f t="shared" si="25"/>
        <v>80175</v>
      </c>
      <c r="M353" s="24">
        <v>188800000</v>
      </c>
      <c r="N353" s="39">
        <v>46279</v>
      </c>
    </row>
    <row r="354" spans="1:14" s="5" customFormat="1" outlineLevel="2">
      <c r="A354" s="39" t="s">
        <v>120</v>
      </c>
      <c r="B354" s="40" t="s">
        <v>65</v>
      </c>
      <c r="C354" s="41" t="s">
        <v>125</v>
      </c>
      <c r="D354" s="40" t="s">
        <v>126</v>
      </c>
      <c r="E354" s="24">
        <v>5000000</v>
      </c>
      <c r="F354" s="39">
        <v>43998</v>
      </c>
      <c r="G354" s="24">
        <v>5000000</v>
      </c>
      <c r="H354" s="23">
        <v>5.0000000000000001E-3</v>
      </c>
      <c r="I354" s="39">
        <v>44470</v>
      </c>
      <c r="J354" s="39">
        <v>44500</v>
      </c>
      <c r="K354" s="24">
        <f t="shared" si="24"/>
        <v>31</v>
      </c>
      <c r="L354" s="24">
        <f t="shared" si="25"/>
        <v>2123</v>
      </c>
      <c r="M354" s="24">
        <v>5000000</v>
      </c>
      <c r="N354" s="39">
        <v>45823</v>
      </c>
    </row>
    <row r="355" spans="1:14" s="5" customFormat="1" outlineLevel="2">
      <c r="A355" s="39" t="s">
        <v>120</v>
      </c>
      <c r="B355" s="40" t="s">
        <v>206</v>
      </c>
      <c r="C355" s="41" t="s">
        <v>71</v>
      </c>
      <c r="D355" s="40" t="s">
        <v>72</v>
      </c>
      <c r="E355" s="24">
        <v>29880000</v>
      </c>
      <c r="F355" s="39">
        <v>44448</v>
      </c>
      <c r="G355" s="24">
        <v>29880000</v>
      </c>
      <c r="H355" s="23">
        <v>5.0000000000000001E-3</v>
      </c>
      <c r="I355" s="39">
        <v>44470</v>
      </c>
      <c r="J355" s="39">
        <v>44500</v>
      </c>
      <c r="K355" s="24">
        <f t="shared" si="24"/>
        <v>31</v>
      </c>
      <c r="L355" s="24">
        <f t="shared" si="25"/>
        <v>12689</v>
      </c>
      <c r="M355" s="24">
        <v>29880000</v>
      </c>
      <c r="N355" s="39">
        <v>46273</v>
      </c>
    </row>
    <row r="356" spans="1:14" s="5" customFormat="1" outlineLevel="2">
      <c r="A356" s="39" t="s">
        <v>120</v>
      </c>
      <c r="B356" s="40" t="s">
        <v>207</v>
      </c>
      <c r="C356" s="41" t="s">
        <v>219</v>
      </c>
      <c r="D356" s="40" t="s">
        <v>220</v>
      </c>
      <c r="E356" s="24">
        <v>29000000</v>
      </c>
      <c r="F356" s="39">
        <v>44468</v>
      </c>
      <c r="G356" s="24">
        <v>29000000</v>
      </c>
      <c r="H356" s="23">
        <v>5.0000000000000001E-3</v>
      </c>
      <c r="I356" s="39">
        <v>44470</v>
      </c>
      <c r="J356" s="39">
        <v>44500</v>
      </c>
      <c r="K356" s="24">
        <f t="shared" si="24"/>
        <v>31</v>
      </c>
      <c r="L356" s="24">
        <f t="shared" si="25"/>
        <v>12315</v>
      </c>
      <c r="M356" s="24">
        <v>29000000</v>
      </c>
      <c r="N356" s="39">
        <v>46293</v>
      </c>
    </row>
    <row r="357" spans="1:14" s="5" customFormat="1" outlineLevel="2">
      <c r="A357" s="39" t="s">
        <v>120</v>
      </c>
      <c r="B357" s="40" t="s">
        <v>208</v>
      </c>
      <c r="C357" s="41" t="s">
        <v>125</v>
      </c>
      <c r="D357" s="40" t="s">
        <v>126</v>
      </c>
      <c r="E357" s="24">
        <v>14000000</v>
      </c>
      <c r="F357" s="39">
        <v>44483</v>
      </c>
      <c r="G357" s="24">
        <v>14000000</v>
      </c>
      <c r="H357" s="23">
        <v>5.0000000000000001E-3</v>
      </c>
      <c r="I357" s="39">
        <v>44483</v>
      </c>
      <c r="J357" s="39">
        <v>44500</v>
      </c>
      <c r="K357" s="24">
        <f t="shared" si="24"/>
        <v>18</v>
      </c>
      <c r="L357" s="24">
        <f t="shared" si="25"/>
        <v>3452</v>
      </c>
      <c r="M357" s="24">
        <v>14000000</v>
      </c>
      <c r="N357" s="39">
        <v>46308</v>
      </c>
    </row>
    <row r="358" spans="1:14" s="5" customFormat="1" outlineLevel="2">
      <c r="A358" s="39" t="s">
        <v>120</v>
      </c>
      <c r="B358" s="40" t="s">
        <v>209</v>
      </c>
      <c r="C358" s="41" t="s">
        <v>97</v>
      </c>
      <c r="D358" s="40" t="s">
        <v>98</v>
      </c>
      <c r="E358" s="24">
        <v>75700000</v>
      </c>
      <c r="F358" s="39">
        <v>44497</v>
      </c>
      <c r="G358" s="24">
        <v>75700000</v>
      </c>
      <c r="H358" s="23">
        <v>5.0000000000000001E-3</v>
      </c>
      <c r="I358" s="39">
        <v>44497</v>
      </c>
      <c r="J358" s="39">
        <v>44500</v>
      </c>
      <c r="K358" s="24">
        <f t="shared" si="24"/>
        <v>4</v>
      </c>
      <c r="L358" s="24">
        <f t="shared" si="25"/>
        <v>4148</v>
      </c>
      <c r="M358" s="24">
        <v>75700000</v>
      </c>
      <c r="N358" s="39">
        <v>46322</v>
      </c>
    </row>
    <row r="359" spans="1:14" s="5" customFormat="1" outlineLevel="2">
      <c r="A359" s="39" t="s">
        <v>120</v>
      </c>
      <c r="B359" s="40" t="s">
        <v>210</v>
      </c>
      <c r="C359" s="41" t="s">
        <v>341</v>
      </c>
      <c r="D359" s="40" t="s">
        <v>340</v>
      </c>
      <c r="E359" s="24">
        <v>45000000</v>
      </c>
      <c r="F359" s="39">
        <v>44473</v>
      </c>
      <c r="G359" s="24">
        <v>45000000</v>
      </c>
      <c r="H359" s="23">
        <v>5.0000000000000001E-3</v>
      </c>
      <c r="I359" s="39">
        <v>44473</v>
      </c>
      <c r="J359" s="39">
        <v>44500</v>
      </c>
      <c r="K359" s="24">
        <f t="shared" si="24"/>
        <v>28</v>
      </c>
      <c r="L359" s="24">
        <f t="shared" si="25"/>
        <v>17260</v>
      </c>
      <c r="M359" s="24">
        <v>45000000</v>
      </c>
      <c r="N359" s="39">
        <v>46298</v>
      </c>
    </row>
    <row r="360" spans="1:14" s="5" customFormat="1" outlineLevel="2">
      <c r="A360" s="39" t="s">
        <v>120</v>
      </c>
      <c r="B360" s="40" t="s">
        <v>211</v>
      </c>
      <c r="C360" s="41" t="s">
        <v>404</v>
      </c>
      <c r="D360" s="40" t="s">
        <v>403</v>
      </c>
      <c r="E360" s="24">
        <v>7990000</v>
      </c>
      <c r="F360" s="39">
        <v>44470</v>
      </c>
      <c r="G360" s="24">
        <v>7990000</v>
      </c>
      <c r="H360" s="23">
        <v>5.0000000000000001E-3</v>
      </c>
      <c r="I360" s="39">
        <v>44470</v>
      </c>
      <c r="J360" s="39">
        <v>44500</v>
      </c>
      <c r="K360" s="24">
        <f t="shared" si="24"/>
        <v>31</v>
      </c>
      <c r="L360" s="24">
        <f t="shared" si="25"/>
        <v>3393</v>
      </c>
      <c r="M360" s="24">
        <v>7990000</v>
      </c>
      <c r="N360" s="39">
        <v>45565</v>
      </c>
    </row>
    <row r="361" spans="1:14" s="5" customFormat="1" outlineLevel="2">
      <c r="A361" s="39" t="s">
        <v>120</v>
      </c>
      <c r="B361" s="40" t="s">
        <v>212</v>
      </c>
      <c r="C361" s="41" t="s">
        <v>404</v>
      </c>
      <c r="D361" s="40" t="s">
        <v>403</v>
      </c>
      <c r="E361" s="24">
        <v>1460000</v>
      </c>
      <c r="F361" s="39">
        <v>44481</v>
      </c>
      <c r="G361" s="24">
        <v>1460000</v>
      </c>
      <c r="H361" s="23">
        <v>5.0000000000000001E-3</v>
      </c>
      <c r="I361" s="39">
        <v>44481</v>
      </c>
      <c r="J361" s="39">
        <v>44500</v>
      </c>
      <c r="K361" s="24">
        <f t="shared" si="24"/>
        <v>20</v>
      </c>
      <c r="L361" s="24">
        <f t="shared" si="25"/>
        <v>400</v>
      </c>
      <c r="M361" s="24">
        <v>1460000</v>
      </c>
      <c r="N361" s="39">
        <v>45576</v>
      </c>
    </row>
    <row r="362" spans="1:14" s="5" customFormat="1" outlineLevel="2">
      <c r="A362" s="39" t="s">
        <v>120</v>
      </c>
      <c r="B362" s="40" t="s">
        <v>213</v>
      </c>
      <c r="C362" s="41" t="s">
        <v>404</v>
      </c>
      <c r="D362" s="40" t="s">
        <v>403</v>
      </c>
      <c r="E362" s="24">
        <v>33360000</v>
      </c>
      <c r="F362" s="39">
        <v>44497</v>
      </c>
      <c r="G362" s="24">
        <v>33360000</v>
      </c>
      <c r="H362" s="23">
        <v>5.0000000000000001E-3</v>
      </c>
      <c r="I362" s="39">
        <v>44497</v>
      </c>
      <c r="J362" s="39">
        <v>44500</v>
      </c>
      <c r="K362" s="24">
        <f t="shared" si="24"/>
        <v>4</v>
      </c>
      <c r="L362" s="24">
        <f t="shared" si="25"/>
        <v>1828</v>
      </c>
      <c r="M362" s="24">
        <v>33360000</v>
      </c>
      <c r="N362" s="39">
        <v>45592</v>
      </c>
    </row>
    <row r="363" spans="1:14" s="5" customFormat="1" outlineLevel="2">
      <c r="A363" s="39" t="s">
        <v>120</v>
      </c>
      <c r="B363" s="40" t="s">
        <v>214</v>
      </c>
      <c r="C363" s="41" t="s">
        <v>404</v>
      </c>
      <c r="D363" s="40" t="s">
        <v>403</v>
      </c>
      <c r="E363" s="24">
        <v>28600000</v>
      </c>
      <c r="F363" s="39">
        <v>44497</v>
      </c>
      <c r="G363" s="24">
        <v>28600000</v>
      </c>
      <c r="H363" s="23">
        <v>5.0000000000000001E-3</v>
      </c>
      <c r="I363" s="39">
        <v>44497</v>
      </c>
      <c r="J363" s="39">
        <v>44500</v>
      </c>
      <c r="K363" s="24">
        <f t="shared" si="24"/>
        <v>4</v>
      </c>
      <c r="L363" s="24">
        <f t="shared" si="25"/>
        <v>1567</v>
      </c>
      <c r="M363" s="24">
        <v>28600000</v>
      </c>
      <c r="N363" s="39">
        <v>45592</v>
      </c>
    </row>
    <row r="364" spans="1:14" s="5" customFormat="1" outlineLevel="2">
      <c r="A364" s="39" t="s">
        <v>120</v>
      </c>
      <c r="B364" s="40" t="s">
        <v>68</v>
      </c>
      <c r="C364" s="41" t="s">
        <v>125</v>
      </c>
      <c r="D364" s="40" t="s">
        <v>126</v>
      </c>
      <c r="E364" s="24">
        <v>17292000</v>
      </c>
      <c r="F364" s="39">
        <v>44002</v>
      </c>
      <c r="G364" s="24">
        <v>17292000</v>
      </c>
      <c r="H364" s="23">
        <v>5.0000000000000001E-3</v>
      </c>
      <c r="I364" s="39">
        <v>44470</v>
      </c>
      <c r="J364" s="39">
        <v>44500</v>
      </c>
      <c r="K364" s="24">
        <f t="shared" ref="K364:K395" si="26">J364-I364+1</f>
        <v>31</v>
      </c>
      <c r="L364" s="24">
        <f t="shared" ref="L364:L395" si="27">ROUND(G364*H364*K364/365,0)</f>
        <v>7343</v>
      </c>
      <c r="M364" s="24">
        <v>17292000</v>
      </c>
      <c r="N364" s="39">
        <v>45827</v>
      </c>
    </row>
    <row r="365" spans="1:14" s="5" customFormat="1" outlineLevel="1">
      <c r="A365" s="42" t="s">
        <v>141</v>
      </c>
      <c r="B365" s="70"/>
      <c r="C365" s="71"/>
      <c r="D365" s="70"/>
      <c r="E365" s="72">
        <f>SUBTOTAL(9,E268:E364)</f>
        <v>5108403430</v>
      </c>
      <c r="F365" s="73"/>
      <c r="G365" s="72"/>
      <c r="H365" s="74"/>
      <c r="I365" s="73"/>
      <c r="J365" s="73"/>
      <c r="K365" s="72"/>
      <c r="L365" s="72">
        <f>SUBTOTAL(9,L268:L364)</f>
        <v>1944910</v>
      </c>
      <c r="M365" s="72">
        <f>SUBTOTAL(9,M268:M364)</f>
        <v>5014622558</v>
      </c>
      <c r="N365" s="73"/>
    </row>
    <row r="366" spans="1:14" s="5" customFormat="1" outlineLevel="2">
      <c r="A366" s="39" t="s">
        <v>142</v>
      </c>
      <c r="B366" s="40" t="s">
        <v>16</v>
      </c>
      <c r="C366" s="41" t="s">
        <v>143</v>
      </c>
      <c r="D366" s="40" t="s">
        <v>144</v>
      </c>
      <c r="E366" s="24">
        <v>38000000</v>
      </c>
      <c r="F366" s="39">
        <v>43762</v>
      </c>
      <c r="G366" s="24">
        <v>38000000</v>
      </c>
      <c r="H366" s="23">
        <v>5.0000000000000001E-3</v>
      </c>
      <c r="I366" s="39">
        <v>44470</v>
      </c>
      <c r="J366" s="39">
        <v>44500</v>
      </c>
      <c r="K366" s="24">
        <f t="shared" ref="K366:K429" si="28">J366-I366+1</f>
        <v>31</v>
      </c>
      <c r="L366" s="24">
        <f t="shared" ref="L366:L429" si="29">ROUND(G366*H366*K366/365,0)</f>
        <v>16137</v>
      </c>
      <c r="M366" s="24">
        <v>38000000</v>
      </c>
      <c r="N366" s="39">
        <v>45588</v>
      </c>
    </row>
    <row r="367" spans="1:14" s="5" customFormat="1" outlineLevel="2">
      <c r="A367" s="39" t="s">
        <v>142</v>
      </c>
      <c r="B367" s="40" t="s">
        <v>19</v>
      </c>
      <c r="C367" s="41" t="s">
        <v>60</v>
      </c>
      <c r="D367" s="40" t="s">
        <v>61</v>
      </c>
      <c r="E367" s="24">
        <v>110000000</v>
      </c>
      <c r="F367" s="39">
        <v>43913</v>
      </c>
      <c r="G367" s="24">
        <v>110000000</v>
      </c>
      <c r="H367" s="23">
        <v>5.0000000000000001E-3</v>
      </c>
      <c r="I367" s="39">
        <v>44470</v>
      </c>
      <c r="J367" s="39">
        <v>44500</v>
      </c>
      <c r="K367" s="24">
        <f t="shared" si="28"/>
        <v>31</v>
      </c>
      <c r="L367" s="24">
        <f t="shared" si="29"/>
        <v>46712</v>
      </c>
      <c r="M367" s="24">
        <v>110000000</v>
      </c>
      <c r="N367" s="39">
        <v>45738</v>
      </c>
    </row>
    <row r="368" spans="1:14" s="5" customFormat="1" outlineLevel="2">
      <c r="A368" s="39" t="s">
        <v>142</v>
      </c>
      <c r="B368" s="40" t="s">
        <v>145</v>
      </c>
      <c r="C368" s="41" t="s">
        <v>146</v>
      </c>
      <c r="D368" s="40" t="s">
        <v>147</v>
      </c>
      <c r="E368" s="24">
        <v>5000000</v>
      </c>
      <c r="F368" s="39">
        <v>44204</v>
      </c>
      <c r="G368" s="24">
        <v>5000000</v>
      </c>
      <c r="H368" s="23">
        <v>5.0000000000000001E-3</v>
      </c>
      <c r="I368" s="39">
        <v>44470</v>
      </c>
      <c r="J368" s="39">
        <v>44500</v>
      </c>
      <c r="K368" s="24">
        <f t="shared" si="28"/>
        <v>31</v>
      </c>
      <c r="L368" s="24">
        <f t="shared" si="29"/>
        <v>2123</v>
      </c>
      <c r="M368" s="24">
        <v>5000000</v>
      </c>
      <c r="N368" s="39">
        <v>46029</v>
      </c>
    </row>
    <row r="369" spans="1:14" s="5" customFormat="1" outlineLevel="2">
      <c r="A369" s="39" t="s">
        <v>142</v>
      </c>
      <c r="B369" s="40" t="s">
        <v>148</v>
      </c>
      <c r="C369" s="41" t="s">
        <v>149</v>
      </c>
      <c r="D369" s="40" t="s">
        <v>150</v>
      </c>
      <c r="E369" s="24">
        <v>3528000</v>
      </c>
      <c r="F369" s="39">
        <v>44207</v>
      </c>
      <c r="G369" s="24">
        <v>3528000</v>
      </c>
      <c r="H369" s="23">
        <v>5.0000000000000001E-3</v>
      </c>
      <c r="I369" s="39">
        <v>44470</v>
      </c>
      <c r="J369" s="39">
        <v>44500</v>
      </c>
      <c r="K369" s="24">
        <f t="shared" si="28"/>
        <v>31</v>
      </c>
      <c r="L369" s="24">
        <f t="shared" si="29"/>
        <v>1498</v>
      </c>
      <c r="M369" s="24">
        <v>3528000</v>
      </c>
      <c r="N369" s="39">
        <v>46032</v>
      </c>
    </row>
    <row r="370" spans="1:14" s="5" customFormat="1" outlineLevel="2">
      <c r="A370" s="39" t="s">
        <v>142</v>
      </c>
      <c r="B370" s="40" t="s">
        <v>151</v>
      </c>
      <c r="C370" s="41" t="s">
        <v>149</v>
      </c>
      <c r="D370" s="40" t="s">
        <v>150</v>
      </c>
      <c r="E370" s="24">
        <v>2520000</v>
      </c>
      <c r="F370" s="39">
        <v>44207</v>
      </c>
      <c r="G370" s="24">
        <v>2520000</v>
      </c>
      <c r="H370" s="23">
        <v>5.0000000000000001E-3</v>
      </c>
      <c r="I370" s="39">
        <v>44470</v>
      </c>
      <c r="J370" s="39">
        <v>44500</v>
      </c>
      <c r="K370" s="24">
        <f t="shared" si="28"/>
        <v>31</v>
      </c>
      <c r="L370" s="24">
        <f t="shared" si="29"/>
        <v>1070</v>
      </c>
      <c r="M370" s="24">
        <v>2520000</v>
      </c>
      <c r="N370" s="39">
        <v>46032</v>
      </c>
    </row>
    <row r="371" spans="1:14" s="5" customFormat="1" outlineLevel="2">
      <c r="A371" s="39" t="s">
        <v>142</v>
      </c>
      <c r="B371" s="40" t="s">
        <v>152</v>
      </c>
      <c r="C371" s="41" t="s">
        <v>149</v>
      </c>
      <c r="D371" s="40" t="s">
        <v>150</v>
      </c>
      <c r="E371" s="24">
        <v>4368000</v>
      </c>
      <c r="F371" s="39">
        <v>44210</v>
      </c>
      <c r="G371" s="24">
        <v>4368000</v>
      </c>
      <c r="H371" s="23">
        <v>5.0000000000000001E-3</v>
      </c>
      <c r="I371" s="39">
        <v>44470</v>
      </c>
      <c r="J371" s="39">
        <v>44500</v>
      </c>
      <c r="K371" s="24">
        <f t="shared" si="28"/>
        <v>31</v>
      </c>
      <c r="L371" s="24">
        <f t="shared" si="29"/>
        <v>1855</v>
      </c>
      <c r="M371" s="24">
        <v>4368000</v>
      </c>
      <c r="N371" s="39">
        <v>46035</v>
      </c>
    </row>
    <row r="372" spans="1:14" s="5" customFormat="1" outlineLevel="2">
      <c r="A372" s="39" t="s">
        <v>142</v>
      </c>
      <c r="B372" s="40" t="s">
        <v>153</v>
      </c>
      <c r="C372" s="41" t="s">
        <v>149</v>
      </c>
      <c r="D372" s="40" t="s">
        <v>150</v>
      </c>
      <c r="E372" s="24">
        <v>95583736</v>
      </c>
      <c r="F372" s="39">
        <v>44225</v>
      </c>
      <c r="G372" s="24">
        <v>95583736</v>
      </c>
      <c r="H372" s="23">
        <v>5.0000000000000001E-3</v>
      </c>
      <c r="I372" s="39">
        <v>44470</v>
      </c>
      <c r="J372" s="39">
        <v>44500</v>
      </c>
      <c r="K372" s="24">
        <f t="shared" si="28"/>
        <v>31</v>
      </c>
      <c r="L372" s="24">
        <f t="shared" si="29"/>
        <v>40590</v>
      </c>
      <c r="M372" s="24">
        <v>95583736</v>
      </c>
      <c r="N372" s="39">
        <v>46050</v>
      </c>
    </row>
    <row r="373" spans="1:14" s="5" customFormat="1" outlineLevel="2">
      <c r="A373" s="39" t="s">
        <v>142</v>
      </c>
      <c r="B373" s="40" t="s">
        <v>154</v>
      </c>
      <c r="C373" s="41" t="s">
        <v>155</v>
      </c>
      <c r="D373" s="40" t="s">
        <v>156</v>
      </c>
      <c r="E373" s="24">
        <v>200000000</v>
      </c>
      <c r="F373" s="39">
        <v>44211</v>
      </c>
      <c r="G373" s="24">
        <v>200000000</v>
      </c>
      <c r="H373" s="23">
        <v>5.0000000000000001E-3</v>
      </c>
      <c r="I373" s="39">
        <v>44470</v>
      </c>
      <c r="J373" s="39">
        <v>44500</v>
      </c>
      <c r="K373" s="24">
        <f t="shared" si="28"/>
        <v>31</v>
      </c>
      <c r="L373" s="24">
        <f t="shared" si="29"/>
        <v>84932</v>
      </c>
      <c r="M373" s="24">
        <v>200000000</v>
      </c>
      <c r="N373" s="39">
        <v>46036</v>
      </c>
    </row>
    <row r="374" spans="1:14" s="5" customFormat="1" outlineLevel="2">
      <c r="A374" s="39" t="s">
        <v>142</v>
      </c>
      <c r="B374" s="40" t="s">
        <v>157</v>
      </c>
      <c r="C374" s="41" t="s">
        <v>125</v>
      </c>
      <c r="D374" s="40" t="s">
        <v>126</v>
      </c>
      <c r="E374" s="24">
        <v>3000000</v>
      </c>
      <c r="F374" s="39">
        <v>44216</v>
      </c>
      <c r="G374" s="24">
        <v>3000000</v>
      </c>
      <c r="H374" s="23">
        <v>5.0000000000000001E-3</v>
      </c>
      <c r="I374" s="39">
        <v>44470</v>
      </c>
      <c r="J374" s="39">
        <v>44500</v>
      </c>
      <c r="K374" s="24">
        <f t="shared" si="28"/>
        <v>31</v>
      </c>
      <c r="L374" s="24">
        <f t="shared" si="29"/>
        <v>1274</v>
      </c>
      <c r="M374" s="24">
        <v>3000000</v>
      </c>
      <c r="N374" s="39">
        <v>46041</v>
      </c>
    </row>
    <row r="375" spans="1:14" s="5" customFormat="1" outlineLevel="2">
      <c r="A375" s="39" t="s">
        <v>142</v>
      </c>
      <c r="B375" s="40" t="s">
        <v>158</v>
      </c>
      <c r="C375" s="41" t="s">
        <v>125</v>
      </c>
      <c r="D375" s="40" t="s">
        <v>126</v>
      </c>
      <c r="E375" s="24">
        <v>10000000</v>
      </c>
      <c r="F375" s="39">
        <v>44216</v>
      </c>
      <c r="G375" s="24">
        <v>10000000</v>
      </c>
      <c r="H375" s="23">
        <v>5.0000000000000001E-3</v>
      </c>
      <c r="I375" s="39">
        <v>44470</v>
      </c>
      <c r="J375" s="39">
        <v>44500</v>
      </c>
      <c r="K375" s="24">
        <f t="shared" si="28"/>
        <v>31</v>
      </c>
      <c r="L375" s="24">
        <f t="shared" si="29"/>
        <v>4247</v>
      </c>
      <c r="M375" s="24">
        <v>10000000</v>
      </c>
      <c r="N375" s="39">
        <v>46041</v>
      </c>
    </row>
    <row r="376" spans="1:14" s="5" customFormat="1" outlineLevel="2">
      <c r="A376" s="39" t="s">
        <v>142</v>
      </c>
      <c r="B376" s="40" t="s">
        <v>159</v>
      </c>
      <c r="C376" s="41" t="s">
        <v>87</v>
      </c>
      <c r="D376" s="40" t="s">
        <v>88</v>
      </c>
      <c r="E376" s="24">
        <v>14776161</v>
      </c>
      <c r="F376" s="39">
        <v>44221</v>
      </c>
      <c r="G376" s="24">
        <v>14776161</v>
      </c>
      <c r="H376" s="23">
        <v>5.0000000000000001E-3</v>
      </c>
      <c r="I376" s="39">
        <v>44470</v>
      </c>
      <c r="J376" s="39">
        <v>44500</v>
      </c>
      <c r="K376" s="24">
        <f t="shared" si="28"/>
        <v>31</v>
      </c>
      <c r="L376" s="24">
        <f t="shared" si="29"/>
        <v>6275</v>
      </c>
      <c r="M376" s="24">
        <v>14776161</v>
      </c>
      <c r="N376" s="39">
        <v>46046</v>
      </c>
    </row>
    <row r="377" spans="1:14" s="5" customFormat="1" outlineLevel="2">
      <c r="A377" s="39" t="s">
        <v>142</v>
      </c>
      <c r="B377" s="40" t="s">
        <v>320</v>
      </c>
      <c r="C377" s="41" t="s">
        <v>143</v>
      </c>
      <c r="D377" s="40" t="s">
        <v>144</v>
      </c>
      <c r="E377" s="24">
        <v>4100000</v>
      </c>
      <c r="F377" s="39">
        <v>44228</v>
      </c>
      <c r="G377" s="24">
        <v>4100000</v>
      </c>
      <c r="H377" s="23">
        <v>5.0000000000000001E-3</v>
      </c>
      <c r="I377" s="39">
        <v>44470</v>
      </c>
      <c r="J377" s="39">
        <v>44500</v>
      </c>
      <c r="K377" s="24">
        <f t="shared" si="28"/>
        <v>31</v>
      </c>
      <c r="L377" s="24">
        <f t="shared" si="29"/>
        <v>1741</v>
      </c>
      <c r="M377" s="24">
        <v>4100000</v>
      </c>
      <c r="N377" s="39">
        <v>46053</v>
      </c>
    </row>
    <row r="378" spans="1:14" s="5" customFormat="1" outlineLevel="2">
      <c r="A378" s="39" t="s">
        <v>142</v>
      </c>
      <c r="B378" s="40" t="s">
        <v>22</v>
      </c>
      <c r="C378" s="41" t="s">
        <v>149</v>
      </c>
      <c r="D378" s="40" t="s">
        <v>150</v>
      </c>
      <c r="E378" s="24">
        <v>95655336</v>
      </c>
      <c r="F378" s="39">
        <v>43951</v>
      </c>
      <c r="G378" s="24">
        <v>95655336</v>
      </c>
      <c r="H378" s="23">
        <v>5.0000000000000001E-3</v>
      </c>
      <c r="I378" s="39">
        <v>44470</v>
      </c>
      <c r="J378" s="39">
        <v>44500</v>
      </c>
      <c r="K378" s="24">
        <f t="shared" si="28"/>
        <v>31</v>
      </c>
      <c r="L378" s="24">
        <f t="shared" si="29"/>
        <v>40621</v>
      </c>
      <c r="M378" s="24">
        <v>95655336</v>
      </c>
      <c r="N378" s="39">
        <v>45776</v>
      </c>
    </row>
    <row r="379" spans="1:14" s="5" customFormat="1" outlineLevel="2">
      <c r="A379" s="39" t="s">
        <v>142</v>
      </c>
      <c r="B379" s="40" t="s">
        <v>319</v>
      </c>
      <c r="C379" s="41" t="s">
        <v>149</v>
      </c>
      <c r="D379" s="40" t="s">
        <v>150</v>
      </c>
      <c r="E379" s="24">
        <v>13843200</v>
      </c>
      <c r="F379" s="39">
        <v>44232</v>
      </c>
      <c r="G379" s="24">
        <v>13843200</v>
      </c>
      <c r="H379" s="23">
        <v>5.0000000000000001E-3</v>
      </c>
      <c r="I379" s="39">
        <v>44470</v>
      </c>
      <c r="J379" s="39">
        <v>44500</v>
      </c>
      <c r="K379" s="24">
        <f t="shared" si="28"/>
        <v>31</v>
      </c>
      <c r="L379" s="24">
        <f t="shared" si="29"/>
        <v>5879</v>
      </c>
      <c r="M379" s="24">
        <v>13843200</v>
      </c>
      <c r="N379" s="39">
        <v>46057</v>
      </c>
    </row>
    <row r="380" spans="1:14" s="5" customFormat="1" outlineLevel="2">
      <c r="A380" s="39" t="s">
        <v>142</v>
      </c>
      <c r="B380" s="40" t="s">
        <v>318</v>
      </c>
      <c r="C380" s="41" t="s">
        <v>149</v>
      </c>
      <c r="D380" s="40" t="s">
        <v>150</v>
      </c>
      <c r="E380" s="24">
        <v>7056000</v>
      </c>
      <c r="F380" s="39">
        <v>44235</v>
      </c>
      <c r="G380" s="24">
        <v>7056000</v>
      </c>
      <c r="H380" s="23">
        <v>5.0000000000000001E-3</v>
      </c>
      <c r="I380" s="39">
        <v>44470</v>
      </c>
      <c r="J380" s="39">
        <v>44500</v>
      </c>
      <c r="K380" s="24">
        <f t="shared" si="28"/>
        <v>31</v>
      </c>
      <c r="L380" s="24">
        <f t="shared" si="29"/>
        <v>2996</v>
      </c>
      <c r="M380" s="24">
        <v>7056000</v>
      </c>
      <c r="N380" s="39">
        <v>46060</v>
      </c>
    </row>
    <row r="381" spans="1:14" s="5" customFormat="1" outlineLevel="2">
      <c r="A381" s="39" t="s">
        <v>142</v>
      </c>
      <c r="B381" s="40" t="s">
        <v>317</v>
      </c>
      <c r="C381" s="41" t="s">
        <v>149</v>
      </c>
      <c r="D381" s="40" t="s">
        <v>150</v>
      </c>
      <c r="E381" s="24">
        <v>2184000</v>
      </c>
      <c r="F381" s="39">
        <v>44235</v>
      </c>
      <c r="G381" s="24">
        <v>2184000</v>
      </c>
      <c r="H381" s="23">
        <v>5.0000000000000001E-3</v>
      </c>
      <c r="I381" s="39">
        <v>44470</v>
      </c>
      <c r="J381" s="39">
        <v>44500</v>
      </c>
      <c r="K381" s="24">
        <f t="shared" si="28"/>
        <v>31</v>
      </c>
      <c r="L381" s="24">
        <f t="shared" si="29"/>
        <v>927</v>
      </c>
      <c r="M381" s="24">
        <v>2184000</v>
      </c>
      <c r="N381" s="39">
        <v>46060</v>
      </c>
    </row>
    <row r="382" spans="1:14" s="5" customFormat="1" outlineLevel="2">
      <c r="A382" s="39" t="s">
        <v>142</v>
      </c>
      <c r="B382" s="40" t="s">
        <v>316</v>
      </c>
      <c r="C382" s="41" t="s">
        <v>149</v>
      </c>
      <c r="D382" s="40" t="s">
        <v>150</v>
      </c>
      <c r="E382" s="24">
        <v>5040000</v>
      </c>
      <c r="F382" s="39">
        <v>44235</v>
      </c>
      <c r="G382" s="24">
        <v>5040000</v>
      </c>
      <c r="H382" s="23">
        <v>5.0000000000000001E-3</v>
      </c>
      <c r="I382" s="39">
        <v>44470</v>
      </c>
      <c r="J382" s="39">
        <v>44500</v>
      </c>
      <c r="K382" s="24">
        <f t="shared" si="28"/>
        <v>31</v>
      </c>
      <c r="L382" s="24">
        <f t="shared" si="29"/>
        <v>2140</v>
      </c>
      <c r="M382" s="24">
        <v>5040000</v>
      </c>
      <c r="N382" s="39">
        <v>46060</v>
      </c>
    </row>
    <row r="383" spans="1:14" s="5" customFormat="1" outlineLevel="2">
      <c r="A383" s="39" t="s">
        <v>142</v>
      </c>
      <c r="B383" s="40" t="s">
        <v>315</v>
      </c>
      <c r="C383" s="41" t="s">
        <v>149</v>
      </c>
      <c r="D383" s="40" t="s">
        <v>150</v>
      </c>
      <c r="E383" s="24">
        <v>8316000</v>
      </c>
      <c r="F383" s="39">
        <v>44244</v>
      </c>
      <c r="G383" s="24">
        <v>8316000</v>
      </c>
      <c r="H383" s="23">
        <v>5.0000000000000001E-3</v>
      </c>
      <c r="I383" s="39">
        <v>44470</v>
      </c>
      <c r="J383" s="39">
        <v>44500</v>
      </c>
      <c r="K383" s="24">
        <f t="shared" si="28"/>
        <v>31</v>
      </c>
      <c r="L383" s="24">
        <f t="shared" si="29"/>
        <v>3531</v>
      </c>
      <c r="M383" s="24">
        <v>8316000</v>
      </c>
      <c r="N383" s="39">
        <v>46069</v>
      </c>
    </row>
    <row r="384" spans="1:14" s="5" customFormat="1" outlineLevel="2">
      <c r="A384" s="39" t="s">
        <v>142</v>
      </c>
      <c r="B384" s="40" t="s">
        <v>314</v>
      </c>
      <c r="C384" s="41" t="s">
        <v>149</v>
      </c>
      <c r="D384" s="40" t="s">
        <v>150</v>
      </c>
      <c r="E384" s="24">
        <v>8547840</v>
      </c>
      <c r="F384" s="39">
        <v>44244</v>
      </c>
      <c r="G384" s="24">
        <v>8547840</v>
      </c>
      <c r="H384" s="23">
        <v>5.0000000000000001E-3</v>
      </c>
      <c r="I384" s="39">
        <v>44470</v>
      </c>
      <c r="J384" s="39">
        <v>44500</v>
      </c>
      <c r="K384" s="24">
        <f t="shared" si="28"/>
        <v>31</v>
      </c>
      <c r="L384" s="24">
        <f t="shared" si="29"/>
        <v>3630</v>
      </c>
      <c r="M384" s="24">
        <v>8547840</v>
      </c>
      <c r="N384" s="39">
        <v>46069</v>
      </c>
    </row>
    <row r="385" spans="1:14" s="5" customFormat="1" outlineLevel="2">
      <c r="A385" s="39" t="s">
        <v>142</v>
      </c>
      <c r="B385" s="40" t="s">
        <v>313</v>
      </c>
      <c r="C385" s="41" t="s">
        <v>149</v>
      </c>
      <c r="D385" s="40" t="s">
        <v>150</v>
      </c>
      <c r="E385" s="24">
        <v>6384000</v>
      </c>
      <c r="F385" s="39">
        <v>44244</v>
      </c>
      <c r="G385" s="24">
        <v>6384000</v>
      </c>
      <c r="H385" s="23">
        <v>5.0000000000000001E-3</v>
      </c>
      <c r="I385" s="39">
        <v>44470</v>
      </c>
      <c r="J385" s="39">
        <v>44500</v>
      </c>
      <c r="K385" s="24">
        <f t="shared" si="28"/>
        <v>31</v>
      </c>
      <c r="L385" s="24">
        <f t="shared" si="29"/>
        <v>2711</v>
      </c>
      <c r="M385" s="24">
        <v>6384000</v>
      </c>
      <c r="N385" s="39">
        <v>46069</v>
      </c>
    </row>
    <row r="386" spans="1:14" s="5" customFormat="1" outlineLevel="2">
      <c r="A386" s="39" t="s">
        <v>142</v>
      </c>
      <c r="B386" s="40" t="s">
        <v>312</v>
      </c>
      <c r="C386" s="41" t="s">
        <v>149</v>
      </c>
      <c r="D386" s="40" t="s">
        <v>150</v>
      </c>
      <c r="E386" s="24">
        <v>226800</v>
      </c>
      <c r="F386" s="39">
        <v>44244</v>
      </c>
      <c r="G386" s="24">
        <v>226800</v>
      </c>
      <c r="H386" s="23">
        <v>5.0000000000000001E-3</v>
      </c>
      <c r="I386" s="39">
        <v>44470</v>
      </c>
      <c r="J386" s="39">
        <v>44500</v>
      </c>
      <c r="K386" s="24">
        <f t="shared" si="28"/>
        <v>31</v>
      </c>
      <c r="L386" s="24">
        <f t="shared" si="29"/>
        <v>96</v>
      </c>
      <c r="M386" s="24">
        <v>226800</v>
      </c>
      <c r="N386" s="39">
        <v>46069</v>
      </c>
    </row>
    <row r="387" spans="1:14" s="5" customFormat="1" outlineLevel="2">
      <c r="A387" s="39" t="s">
        <v>142</v>
      </c>
      <c r="B387" s="40" t="s">
        <v>311</v>
      </c>
      <c r="C387" s="41" t="s">
        <v>155</v>
      </c>
      <c r="D387" s="40" t="s">
        <v>156</v>
      </c>
      <c r="E387" s="24">
        <v>100000000</v>
      </c>
      <c r="F387" s="39">
        <v>44236</v>
      </c>
      <c r="G387" s="24">
        <v>100000000</v>
      </c>
      <c r="H387" s="23">
        <v>5.0000000000000001E-3</v>
      </c>
      <c r="I387" s="39">
        <v>44470</v>
      </c>
      <c r="J387" s="39">
        <v>44500</v>
      </c>
      <c r="K387" s="24">
        <f t="shared" si="28"/>
        <v>31</v>
      </c>
      <c r="L387" s="24">
        <f t="shared" si="29"/>
        <v>42466</v>
      </c>
      <c r="M387" s="24">
        <v>100000000</v>
      </c>
      <c r="N387" s="39">
        <v>46061</v>
      </c>
    </row>
    <row r="388" spans="1:14" s="5" customFormat="1" outlineLevel="2">
      <c r="A388" s="39" t="s">
        <v>142</v>
      </c>
      <c r="B388" s="40" t="s">
        <v>310</v>
      </c>
      <c r="C388" s="41" t="s">
        <v>155</v>
      </c>
      <c r="D388" s="40" t="s">
        <v>156</v>
      </c>
      <c r="E388" s="24">
        <v>200000000</v>
      </c>
      <c r="F388" s="39">
        <v>44244</v>
      </c>
      <c r="G388" s="24">
        <v>200000000</v>
      </c>
      <c r="H388" s="23">
        <v>5.0000000000000001E-3</v>
      </c>
      <c r="I388" s="39">
        <v>44470</v>
      </c>
      <c r="J388" s="39">
        <v>44500</v>
      </c>
      <c r="K388" s="24">
        <f t="shared" si="28"/>
        <v>31</v>
      </c>
      <c r="L388" s="24">
        <f t="shared" si="29"/>
        <v>84932</v>
      </c>
      <c r="M388" s="24">
        <v>200000000</v>
      </c>
      <c r="N388" s="39">
        <v>46069</v>
      </c>
    </row>
    <row r="389" spans="1:14" s="5" customFormat="1" outlineLevel="2">
      <c r="A389" s="39" t="s">
        <v>142</v>
      </c>
      <c r="B389" s="40" t="s">
        <v>25</v>
      </c>
      <c r="C389" s="41" t="s">
        <v>143</v>
      </c>
      <c r="D389" s="40" t="s">
        <v>144</v>
      </c>
      <c r="E389" s="24">
        <v>38000000</v>
      </c>
      <c r="F389" s="39">
        <v>43962</v>
      </c>
      <c r="G389" s="24">
        <v>38000000</v>
      </c>
      <c r="H389" s="23">
        <v>5.0000000000000001E-3</v>
      </c>
      <c r="I389" s="39">
        <v>44470</v>
      </c>
      <c r="J389" s="39">
        <v>44500</v>
      </c>
      <c r="K389" s="24">
        <f t="shared" si="28"/>
        <v>31</v>
      </c>
      <c r="L389" s="24">
        <f t="shared" si="29"/>
        <v>16137</v>
      </c>
      <c r="M389" s="24">
        <v>38000000</v>
      </c>
      <c r="N389" s="39">
        <v>45787</v>
      </c>
    </row>
    <row r="390" spans="1:14" s="5" customFormat="1" outlineLevel="2">
      <c r="A390" s="39" t="s">
        <v>142</v>
      </c>
      <c r="B390" s="40" t="s">
        <v>309</v>
      </c>
      <c r="C390" s="41" t="s">
        <v>219</v>
      </c>
      <c r="D390" s="40" t="s">
        <v>220</v>
      </c>
      <c r="E390" s="24">
        <v>20000000</v>
      </c>
      <c r="F390" s="39">
        <v>44251</v>
      </c>
      <c r="G390" s="24">
        <v>20000000</v>
      </c>
      <c r="H390" s="23">
        <v>5.0000000000000001E-3</v>
      </c>
      <c r="I390" s="39">
        <v>44470</v>
      </c>
      <c r="J390" s="39">
        <v>44500</v>
      </c>
      <c r="K390" s="24">
        <f t="shared" si="28"/>
        <v>31</v>
      </c>
      <c r="L390" s="24">
        <f t="shared" si="29"/>
        <v>8493</v>
      </c>
      <c r="M390" s="24">
        <v>20000000</v>
      </c>
      <c r="N390" s="39">
        <v>46076</v>
      </c>
    </row>
    <row r="391" spans="1:14" s="5" customFormat="1" outlineLevel="2">
      <c r="A391" s="39" t="s">
        <v>142</v>
      </c>
      <c r="B391" s="40" t="s">
        <v>308</v>
      </c>
      <c r="C391" s="41" t="s">
        <v>125</v>
      </c>
      <c r="D391" s="40" t="s">
        <v>126</v>
      </c>
      <c r="E391" s="24">
        <v>5000000</v>
      </c>
      <c r="F391" s="39">
        <v>44251</v>
      </c>
      <c r="G391" s="24">
        <v>5000000</v>
      </c>
      <c r="H391" s="23">
        <v>5.0000000000000001E-3</v>
      </c>
      <c r="I391" s="39">
        <v>44470</v>
      </c>
      <c r="J391" s="39">
        <v>44500</v>
      </c>
      <c r="K391" s="24">
        <f t="shared" si="28"/>
        <v>31</v>
      </c>
      <c r="L391" s="24">
        <f t="shared" si="29"/>
        <v>2123</v>
      </c>
      <c r="M391" s="24">
        <v>5000000</v>
      </c>
      <c r="N391" s="39">
        <v>46076</v>
      </c>
    </row>
    <row r="392" spans="1:14" s="5" customFormat="1" outlineLevel="2">
      <c r="A392" s="39" t="s">
        <v>142</v>
      </c>
      <c r="B392" s="40" t="s">
        <v>307</v>
      </c>
      <c r="C392" s="41" t="s">
        <v>89</v>
      </c>
      <c r="D392" s="40" t="s">
        <v>90</v>
      </c>
      <c r="E392" s="24">
        <v>80000000</v>
      </c>
      <c r="F392" s="39">
        <v>44253</v>
      </c>
      <c r="G392" s="24">
        <v>80000000</v>
      </c>
      <c r="H392" s="23">
        <v>5.0000000000000001E-3</v>
      </c>
      <c r="I392" s="39">
        <v>44470</v>
      </c>
      <c r="J392" s="39">
        <v>44500</v>
      </c>
      <c r="K392" s="24">
        <f t="shared" si="28"/>
        <v>31</v>
      </c>
      <c r="L392" s="24">
        <f t="shared" si="29"/>
        <v>33973</v>
      </c>
      <c r="M392" s="24">
        <v>80000000</v>
      </c>
      <c r="N392" s="39">
        <v>46078</v>
      </c>
    </row>
    <row r="393" spans="1:14" s="5" customFormat="1" outlineLevel="2">
      <c r="A393" s="39" t="s">
        <v>142</v>
      </c>
      <c r="B393" s="40" t="s">
        <v>335</v>
      </c>
      <c r="C393" s="41" t="s">
        <v>143</v>
      </c>
      <c r="D393" s="40" t="s">
        <v>144</v>
      </c>
      <c r="E393" s="24">
        <v>1350000</v>
      </c>
      <c r="F393" s="39">
        <v>44257</v>
      </c>
      <c r="G393" s="24">
        <v>1350000</v>
      </c>
      <c r="H393" s="23">
        <v>5.0000000000000001E-3</v>
      </c>
      <c r="I393" s="39">
        <v>44470</v>
      </c>
      <c r="J393" s="39">
        <v>44500</v>
      </c>
      <c r="K393" s="24">
        <f t="shared" si="28"/>
        <v>31</v>
      </c>
      <c r="L393" s="24">
        <f t="shared" si="29"/>
        <v>573</v>
      </c>
      <c r="M393" s="24">
        <v>1350000</v>
      </c>
      <c r="N393" s="39">
        <v>46082</v>
      </c>
    </row>
    <row r="394" spans="1:14" s="5" customFormat="1" outlineLevel="2">
      <c r="A394" s="39" t="s">
        <v>142</v>
      </c>
      <c r="B394" s="40" t="s">
        <v>334</v>
      </c>
      <c r="C394" s="41" t="s">
        <v>143</v>
      </c>
      <c r="D394" s="40" t="s">
        <v>144</v>
      </c>
      <c r="E394" s="24">
        <v>3000000</v>
      </c>
      <c r="F394" s="39">
        <v>44286</v>
      </c>
      <c r="G394" s="24">
        <v>3000000</v>
      </c>
      <c r="H394" s="23">
        <v>5.0000000000000001E-3</v>
      </c>
      <c r="I394" s="39">
        <v>44470</v>
      </c>
      <c r="J394" s="39">
        <v>44500</v>
      </c>
      <c r="K394" s="24">
        <f t="shared" si="28"/>
        <v>31</v>
      </c>
      <c r="L394" s="24">
        <f t="shared" si="29"/>
        <v>1274</v>
      </c>
      <c r="M394" s="24">
        <v>3000000</v>
      </c>
      <c r="N394" s="39">
        <v>46111</v>
      </c>
    </row>
    <row r="395" spans="1:14" s="5" customFormat="1" outlineLevel="2">
      <c r="A395" s="39" t="s">
        <v>142</v>
      </c>
      <c r="B395" s="40" t="s">
        <v>333</v>
      </c>
      <c r="C395" s="41" t="s">
        <v>143</v>
      </c>
      <c r="D395" s="40" t="s">
        <v>144</v>
      </c>
      <c r="E395" s="24">
        <v>12800000</v>
      </c>
      <c r="F395" s="39">
        <v>44286</v>
      </c>
      <c r="G395" s="24">
        <v>12800000</v>
      </c>
      <c r="H395" s="23">
        <v>5.0000000000000001E-3</v>
      </c>
      <c r="I395" s="39">
        <v>44470</v>
      </c>
      <c r="J395" s="39">
        <v>44500</v>
      </c>
      <c r="K395" s="24">
        <f t="shared" si="28"/>
        <v>31</v>
      </c>
      <c r="L395" s="24">
        <f t="shared" si="29"/>
        <v>5436</v>
      </c>
      <c r="M395" s="24">
        <v>12800000</v>
      </c>
      <c r="N395" s="39">
        <v>46111</v>
      </c>
    </row>
    <row r="396" spans="1:14" s="5" customFormat="1" outlineLevel="2">
      <c r="A396" s="39" t="s">
        <v>142</v>
      </c>
      <c r="B396" s="40" t="s">
        <v>332</v>
      </c>
      <c r="C396" s="41" t="s">
        <v>125</v>
      </c>
      <c r="D396" s="40" t="s">
        <v>126</v>
      </c>
      <c r="E396" s="24">
        <v>29000000</v>
      </c>
      <c r="F396" s="39">
        <v>44257</v>
      </c>
      <c r="G396" s="24">
        <v>29000000</v>
      </c>
      <c r="H396" s="23">
        <v>5.0000000000000001E-3</v>
      </c>
      <c r="I396" s="39">
        <v>44470</v>
      </c>
      <c r="J396" s="39">
        <v>44500</v>
      </c>
      <c r="K396" s="24">
        <f t="shared" si="28"/>
        <v>31</v>
      </c>
      <c r="L396" s="24">
        <f t="shared" si="29"/>
        <v>12315</v>
      </c>
      <c r="M396" s="24">
        <v>29000000</v>
      </c>
      <c r="N396" s="39">
        <v>46082</v>
      </c>
    </row>
    <row r="397" spans="1:14" s="5" customFormat="1" outlineLevel="2">
      <c r="A397" s="39" t="s">
        <v>142</v>
      </c>
      <c r="B397" s="40" t="s">
        <v>331</v>
      </c>
      <c r="C397" s="41" t="s">
        <v>125</v>
      </c>
      <c r="D397" s="40" t="s">
        <v>126</v>
      </c>
      <c r="E397" s="24">
        <v>5000000</v>
      </c>
      <c r="F397" s="39">
        <v>44279</v>
      </c>
      <c r="G397" s="24">
        <v>5000000</v>
      </c>
      <c r="H397" s="23">
        <v>5.0000000000000001E-3</v>
      </c>
      <c r="I397" s="39">
        <v>44470</v>
      </c>
      <c r="J397" s="39">
        <v>44500</v>
      </c>
      <c r="K397" s="24">
        <f t="shared" si="28"/>
        <v>31</v>
      </c>
      <c r="L397" s="24">
        <f t="shared" si="29"/>
        <v>2123</v>
      </c>
      <c r="M397" s="24">
        <v>5000000</v>
      </c>
      <c r="N397" s="39">
        <v>46104</v>
      </c>
    </row>
    <row r="398" spans="1:14" s="5" customFormat="1" outlineLevel="2">
      <c r="A398" s="39" t="s">
        <v>142</v>
      </c>
      <c r="B398" s="40" t="s">
        <v>330</v>
      </c>
      <c r="C398" s="41" t="s">
        <v>125</v>
      </c>
      <c r="D398" s="40" t="s">
        <v>126</v>
      </c>
      <c r="E398" s="24">
        <v>5000000</v>
      </c>
      <c r="F398" s="39">
        <v>44286</v>
      </c>
      <c r="G398" s="24">
        <v>5000000</v>
      </c>
      <c r="H398" s="23">
        <v>5.0000000000000001E-3</v>
      </c>
      <c r="I398" s="39">
        <v>44470</v>
      </c>
      <c r="J398" s="39">
        <v>44500</v>
      </c>
      <c r="K398" s="24">
        <f t="shared" si="28"/>
        <v>31</v>
      </c>
      <c r="L398" s="24">
        <f t="shared" si="29"/>
        <v>2123</v>
      </c>
      <c r="M398" s="24">
        <v>5000000</v>
      </c>
      <c r="N398" s="39">
        <v>46111</v>
      </c>
    </row>
    <row r="399" spans="1:14" s="5" customFormat="1" outlineLevel="2">
      <c r="A399" s="39" t="s">
        <v>142</v>
      </c>
      <c r="B399" s="40" t="s">
        <v>329</v>
      </c>
      <c r="C399" s="41" t="s">
        <v>149</v>
      </c>
      <c r="D399" s="40" t="s">
        <v>150</v>
      </c>
      <c r="E399" s="24">
        <v>1176000</v>
      </c>
      <c r="F399" s="39">
        <v>44270</v>
      </c>
      <c r="G399" s="24">
        <v>1176000</v>
      </c>
      <c r="H399" s="23">
        <v>5.0000000000000001E-3</v>
      </c>
      <c r="I399" s="39">
        <v>44470</v>
      </c>
      <c r="J399" s="39">
        <v>44500</v>
      </c>
      <c r="K399" s="24">
        <f t="shared" si="28"/>
        <v>31</v>
      </c>
      <c r="L399" s="24">
        <f t="shared" si="29"/>
        <v>499</v>
      </c>
      <c r="M399" s="24">
        <v>1176000</v>
      </c>
      <c r="N399" s="39">
        <v>46095</v>
      </c>
    </row>
    <row r="400" spans="1:14" s="5" customFormat="1" outlineLevel="2">
      <c r="A400" s="39" t="s">
        <v>142</v>
      </c>
      <c r="B400" s="40" t="s">
        <v>26</v>
      </c>
      <c r="C400" s="41" t="s">
        <v>143</v>
      </c>
      <c r="D400" s="40" t="s">
        <v>144</v>
      </c>
      <c r="E400" s="24">
        <v>10500000</v>
      </c>
      <c r="F400" s="39">
        <v>43962</v>
      </c>
      <c r="G400" s="24">
        <v>10500000</v>
      </c>
      <c r="H400" s="23">
        <v>5.0000000000000001E-3</v>
      </c>
      <c r="I400" s="39">
        <v>44470</v>
      </c>
      <c r="J400" s="39">
        <v>44500</v>
      </c>
      <c r="K400" s="24">
        <f t="shared" si="28"/>
        <v>31</v>
      </c>
      <c r="L400" s="24">
        <f t="shared" si="29"/>
        <v>4459</v>
      </c>
      <c r="M400" s="24">
        <v>10500000</v>
      </c>
      <c r="N400" s="39">
        <v>45787</v>
      </c>
    </row>
    <row r="401" spans="1:14" s="5" customFormat="1" outlineLevel="2">
      <c r="A401" s="39" t="s">
        <v>142</v>
      </c>
      <c r="B401" s="40" t="s">
        <v>328</v>
      </c>
      <c r="C401" s="41" t="s">
        <v>149</v>
      </c>
      <c r="D401" s="40" t="s">
        <v>150</v>
      </c>
      <c r="E401" s="24">
        <v>840000</v>
      </c>
      <c r="F401" s="39">
        <v>44270</v>
      </c>
      <c r="G401" s="24">
        <v>840000</v>
      </c>
      <c r="H401" s="23">
        <v>5.0000000000000001E-3</v>
      </c>
      <c r="I401" s="39">
        <v>44470</v>
      </c>
      <c r="J401" s="39">
        <v>44500</v>
      </c>
      <c r="K401" s="24">
        <f t="shared" si="28"/>
        <v>31</v>
      </c>
      <c r="L401" s="24">
        <f t="shared" si="29"/>
        <v>357</v>
      </c>
      <c r="M401" s="24">
        <v>840000</v>
      </c>
      <c r="N401" s="39">
        <v>46095</v>
      </c>
    </row>
    <row r="402" spans="1:14" s="5" customFormat="1" outlineLevel="2">
      <c r="A402" s="39" t="s">
        <v>142</v>
      </c>
      <c r="B402" s="40" t="s">
        <v>327</v>
      </c>
      <c r="C402" s="41" t="s">
        <v>187</v>
      </c>
      <c r="D402" s="40" t="s">
        <v>188</v>
      </c>
      <c r="E402" s="24">
        <v>190400000</v>
      </c>
      <c r="F402" s="39">
        <v>44273</v>
      </c>
      <c r="G402" s="24">
        <v>190400000</v>
      </c>
      <c r="H402" s="23">
        <v>5.0000000000000001E-3</v>
      </c>
      <c r="I402" s="39">
        <v>44470</v>
      </c>
      <c r="J402" s="39">
        <v>44500</v>
      </c>
      <c r="K402" s="24">
        <f t="shared" si="28"/>
        <v>31</v>
      </c>
      <c r="L402" s="24">
        <f t="shared" si="29"/>
        <v>80855</v>
      </c>
      <c r="M402" s="24">
        <v>190400000</v>
      </c>
      <c r="N402" s="39">
        <v>46098</v>
      </c>
    </row>
    <row r="403" spans="1:14" s="5" customFormat="1" outlineLevel="2">
      <c r="A403" s="39" t="s">
        <v>142</v>
      </c>
      <c r="B403" s="40" t="s">
        <v>326</v>
      </c>
      <c r="C403" s="41" t="s">
        <v>121</v>
      </c>
      <c r="D403" s="40" t="s">
        <v>122</v>
      </c>
      <c r="E403" s="24">
        <v>54000000</v>
      </c>
      <c r="F403" s="39">
        <v>44278</v>
      </c>
      <c r="G403" s="24">
        <v>54000000</v>
      </c>
      <c r="H403" s="23">
        <v>5.0000000000000001E-3</v>
      </c>
      <c r="I403" s="39">
        <v>44470</v>
      </c>
      <c r="J403" s="39">
        <v>44500</v>
      </c>
      <c r="K403" s="24">
        <f t="shared" si="28"/>
        <v>31</v>
      </c>
      <c r="L403" s="24">
        <f t="shared" si="29"/>
        <v>22932</v>
      </c>
      <c r="M403" s="24">
        <v>54000000</v>
      </c>
      <c r="N403" s="39">
        <v>46103</v>
      </c>
    </row>
    <row r="404" spans="1:14" s="5" customFormat="1" outlineLevel="2">
      <c r="A404" s="39" t="s">
        <v>142</v>
      </c>
      <c r="B404" s="40" t="s">
        <v>325</v>
      </c>
      <c r="C404" s="41" t="s">
        <v>165</v>
      </c>
      <c r="D404" s="40" t="s">
        <v>166</v>
      </c>
      <c r="E404" s="24">
        <v>24800000</v>
      </c>
      <c r="F404" s="39">
        <v>44284</v>
      </c>
      <c r="G404" s="24">
        <v>24800000</v>
      </c>
      <c r="H404" s="23">
        <v>5.0000000000000001E-3</v>
      </c>
      <c r="I404" s="39">
        <v>44470</v>
      </c>
      <c r="J404" s="39">
        <v>44500</v>
      </c>
      <c r="K404" s="24">
        <f t="shared" si="28"/>
        <v>31</v>
      </c>
      <c r="L404" s="24">
        <f t="shared" si="29"/>
        <v>10532</v>
      </c>
      <c r="M404" s="24">
        <v>24800000</v>
      </c>
      <c r="N404" s="39">
        <v>45379</v>
      </c>
    </row>
    <row r="405" spans="1:14" s="5" customFormat="1" outlineLevel="2">
      <c r="A405" s="39" t="s">
        <v>142</v>
      </c>
      <c r="B405" s="40" t="s">
        <v>361</v>
      </c>
      <c r="C405" s="41" t="s">
        <v>85</v>
      </c>
      <c r="D405" s="40" t="s">
        <v>86</v>
      </c>
      <c r="E405" s="24">
        <v>2500000</v>
      </c>
      <c r="F405" s="39">
        <v>44287</v>
      </c>
      <c r="G405" s="24">
        <v>2500000</v>
      </c>
      <c r="H405" s="23">
        <v>5.0000000000000001E-3</v>
      </c>
      <c r="I405" s="39">
        <v>44470</v>
      </c>
      <c r="J405" s="39">
        <v>44500</v>
      </c>
      <c r="K405" s="24">
        <f t="shared" si="28"/>
        <v>31</v>
      </c>
      <c r="L405" s="24">
        <f t="shared" si="29"/>
        <v>1062</v>
      </c>
      <c r="M405" s="24">
        <v>2500000</v>
      </c>
      <c r="N405" s="39">
        <v>46112</v>
      </c>
    </row>
    <row r="406" spans="1:14" s="5" customFormat="1" outlineLevel="2">
      <c r="A406" s="39" t="s">
        <v>142</v>
      </c>
      <c r="B406" s="40" t="s">
        <v>360</v>
      </c>
      <c r="C406" s="41" t="s">
        <v>85</v>
      </c>
      <c r="D406" s="40" t="s">
        <v>86</v>
      </c>
      <c r="E406" s="24">
        <v>7500000</v>
      </c>
      <c r="F406" s="39">
        <v>44287</v>
      </c>
      <c r="G406" s="24">
        <v>7500000</v>
      </c>
      <c r="H406" s="23">
        <v>5.0000000000000001E-3</v>
      </c>
      <c r="I406" s="39">
        <v>44470</v>
      </c>
      <c r="J406" s="39">
        <v>44500</v>
      </c>
      <c r="K406" s="24">
        <f t="shared" si="28"/>
        <v>31</v>
      </c>
      <c r="L406" s="24">
        <f t="shared" si="29"/>
        <v>3185</v>
      </c>
      <c r="M406" s="24">
        <v>7500000</v>
      </c>
      <c r="N406" s="39">
        <v>46112</v>
      </c>
    </row>
    <row r="407" spans="1:14" s="5" customFormat="1" outlineLevel="2">
      <c r="A407" s="39" t="s">
        <v>142</v>
      </c>
      <c r="B407" s="40" t="s">
        <v>359</v>
      </c>
      <c r="C407" s="41" t="s">
        <v>85</v>
      </c>
      <c r="D407" s="40" t="s">
        <v>86</v>
      </c>
      <c r="E407" s="24">
        <v>4975000</v>
      </c>
      <c r="F407" s="39">
        <v>44306</v>
      </c>
      <c r="G407" s="24">
        <v>4975000</v>
      </c>
      <c r="H407" s="23">
        <v>5.0000000000000001E-3</v>
      </c>
      <c r="I407" s="39">
        <v>44470</v>
      </c>
      <c r="J407" s="39">
        <v>44500</v>
      </c>
      <c r="K407" s="24">
        <f t="shared" si="28"/>
        <v>31</v>
      </c>
      <c r="L407" s="24">
        <f t="shared" si="29"/>
        <v>2113</v>
      </c>
      <c r="M407" s="24">
        <v>4975000</v>
      </c>
      <c r="N407" s="39">
        <v>46131</v>
      </c>
    </row>
    <row r="408" spans="1:14" s="5" customFormat="1" outlineLevel="2">
      <c r="A408" s="39" t="s">
        <v>142</v>
      </c>
      <c r="B408" s="40" t="s">
        <v>358</v>
      </c>
      <c r="C408" s="41" t="s">
        <v>85</v>
      </c>
      <c r="D408" s="40" t="s">
        <v>86</v>
      </c>
      <c r="E408" s="24">
        <v>14925000</v>
      </c>
      <c r="F408" s="39">
        <v>44306</v>
      </c>
      <c r="G408" s="24">
        <v>14925000</v>
      </c>
      <c r="H408" s="23">
        <v>5.0000000000000001E-3</v>
      </c>
      <c r="I408" s="39">
        <v>44470</v>
      </c>
      <c r="J408" s="39">
        <v>44500</v>
      </c>
      <c r="K408" s="24">
        <f t="shared" si="28"/>
        <v>31</v>
      </c>
      <c r="L408" s="24">
        <f t="shared" si="29"/>
        <v>6338</v>
      </c>
      <c r="M408" s="24">
        <v>14925000</v>
      </c>
      <c r="N408" s="39">
        <v>46131</v>
      </c>
    </row>
    <row r="409" spans="1:14" s="5" customFormat="1" outlineLevel="2">
      <c r="A409" s="39" t="s">
        <v>142</v>
      </c>
      <c r="B409" s="40" t="s">
        <v>357</v>
      </c>
      <c r="C409" s="41" t="s">
        <v>149</v>
      </c>
      <c r="D409" s="40" t="s">
        <v>150</v>
      </c>
      <c r="E409" s="24">
        <v>1663200</v>
      </c>
      <c r="F409" s="39">
        <v>44294</v>
      </c>
      <c r="G409" s="24">
        <v>1663200</v>
      </c>
      <c r="H409" s="23">
        <v>5.0000000000000001E-3</v>
      </c>
      <c r="I409" s="39">
        <v>44470</v>
      </c>
      <c r="J409" s="39">
        <v>44500</v>
      </c>
      <c r="K409" s="24">
        <f t="shared" si="28"/>
        <v>31</v>
      </c>
      <c r="L409" s="24">
        <f t="shared" si="29"/>
        <v>706</v>
      </c>
      <c r="M409" s="24">
        <v>1663200</v>
      </c>
      <c r="N409" s="39">
        <v>46119</v>
      </c>
    </row>
    <row r="410" spans="1:14" s="5" customFormat="1" outlineLevel="2">
      <c r="A410" s="39" t="s">
        <v>142</v>
      </c>
      <c r="B410" s="40" t="s">
        <v>356</v>
      </c>
      <c r="C410" s="41" t="s">
        <v>149</v>
      </c>
      <c r="D410" s="40" t="s">
        <v>150</v>
      </c>
      <c r="E410" s="24">
        <v>3528000</v>
      </c>
      <c r="F410" s="39">
        <v>44300</v>
      </c>
      <c r="G410" s="24">
        <v>3528000</v>
      </c>
      <c r="H410" s="23">
        <v>5.0000000000000001E-3</v>
      </c>
      <c r="I410" s="39">
        <v>44470</v>
      </c>
      <c r="J410" s="39">
        <v>44500</v>
      </c>
      <c r="K410" s="24">
        <f t="shared" si="28"/>
        <v>31</v>
      </c>
      <c r="L410" s="24">
        <f t="shared" si="29"/>
        <v>1498</v>
      </c>
      <c r="M410" s="24">
        <v>3528000</v>
      </c>
      <c r="N410" s="39">
        <v>46125</v>
      </c>
    </row>
    <row r="411" spans="1:14" s="5" customFormat="1" outlineLevel="2">
      <c r="A411" s="39" t="s">
        <v>142</v>
      </c>
      <c r="B411" s="40" t="s">
        <v>29</v>
      </c>
      <c r="C411" s="41" t="s">
        <v>123</v>
      </c>
      <c r="D411" s="40" t="s">
        <v>124</v>
      </c>
      <c r="E411" s="24">
        <v>160000000</v>
      </c>
      <c r="F411" s="39">
        <v>43970</v>
      </c>
      <c r="G411" s="24">
        <v>160000000</v>
      </c>
      <c r="H411" s="23">
        <v>5.0000000000000001E-3</v>
      </c>
      <c r="I411" s="39">
        <v>44470</v>
      </c>
      <c r="J411" s="39">
        <v>44500</v>
      </c>
      <c r="K411" s="24">
        <f t="shared" si="28"/>
        <v>31</v>
      </c>
      <c r="L411" s="24">
        <f t="shared" si="29"/>
        <v>67945</v>
      </c>
      <c r="M411" s="24">
        <v>160000000</v>
      </c>
      <c r="N411" s="39">
        <v>45795</v>
      </c>
    </row>
    <row r="412" spans="1:14" s="5" customFormat="1" outlineLevel="2">
      <c r="A412" s="39" t="s">
        <v>142</v>
      </c>
      <c r="B412" s="40" t="s">
        <v>355</v>
      </c>
      <c r="C412" s="41" t="s">
        <v>149</v>
      </c>
      <c r="D412" s="40" t="s">
        <v>150</v>
      </c>
      <c r="E412" s="24">
        <v>12213027</v>
      </c>
      <c r="F412" s="39">
        <v>44307</v>
      </c>
      <c r="G412" s="24">
        <v>12213027</v>
      </c>
      <c r="H412" s="23">
        <v>5.0000000000000001E-3</v>
      </c>
      <c r="I412" s="39">
        <v>44470</v>
      </c>
      <c r="J412" s="39">
        <v>44500</v>
      </c>
      <c r="K412" s="24">
        <f t="shared" si="28"/>
        <v>31</v>
      </c>
      <c r="L412" s="24">
        <f t="shared" si="29"/>
        <v>5186</v>
      </c>
      <c r="M412" s="24">
        <v>12213027</v>
      </c>
      <c r="N412" s="39">
        <v>46132</v>
      </c>
    </row>
    <row r="413" spans="1:14" s="5" customFormat="1" outlineLevel="2">
      <c r="A413" s="39" t="s">
        <v>142</v>
      </c>
      <c r="B413" s="40" t="s">
        <v>354</v>
      </c>
      <c r="C413" s="41" t="s">
        <v>149</v>
      </c>
      <c r="D413" s="40" t="s">
        <v>150</v>
      </c>
      <c r="E413" s="24">
        <v>11337919</v>
      </c>
      <c r="F413" s="39">
        <v>44314</v>
      </c>
      <c r="G413" s="24">
        <v>11337919</v>
      </c>
      <c r="H413" s="23">
        <v>5.0000000000000001E-3</v>
      </c>
      <c r="I413" s="39">
        <v>44470</v>
      </c>
      <c r="J413" s="39">
        <v>44500</v>
      </c>
      <c r="K413" s="24">
        <f t="shared" si="28"/>
        <v>31</v>
      </c>
      <c r="L413" s="24">
        <f t="shared" si="29"/>
        <v>4815</v>
      </c>
      <c r="M413" s="24">
        <v>11337919</v>
      </c>
      <c r="N413" s="39">
        <v>46139</v>
      </c>
    </row>
    <row r="414" spans="1:14" s="5" customFormat="1" outlineLevel="2">
      <c r="A414" s="39" t="s">
        <v>142</v>
      </c>
      <c r="B414" s="40" t="s">
        <v>353</v>
      </c>
      <c r="C414" s="41" t="s">
        <v>219</v>
      </c>
      <c r="D414" s="40" t="s">
        <v>220</v>
      </c>
      <c r="E414" s="24">
        <v>20000000</v>
      </c>
      <c r="F414" s="39">
        <v>44308</v>
      </c>
      <c r="G414" s="24">
        <v>20000000</v>
      </c>
      <c r="H414" s="23">
        <v>5.0000000000000001E-3</v>
      </c>
      <c r="I414" s="39">
        <v>44470</v>
      </c>
      <c r="J414" s="39">
        <v>44500</v>
      </c>
      <c r="K414" s="24">
        <f t="shared" si="28"/>
        <v>31</v>
      </c>
      <c r="L414" s="24">
        <f t="shared" si="29"/>
        <v>8493</v>
      </c>
      <c r="M414" s="24">
        <v>20000000</v>
      </c>
      <c r="N414" s="39">
        <v>46133</v>
      </c>
    </row>
    <row r="415" spans="1:14" s="5" customFormat="1" outlineLevel="2">
      <c r="A415" s="39" t="s">
        <v>142</v>
      </c>
      <c r="B415" s="40" t="s">
        <v>352</v>
      </c>
      <c r="C415" s="41" t="s">
        <v>351</v>
      </c>
      <c r="D415" s="40" t="s">
        <v>350</v>
      </c>
      <c r="E415" s="24">
        <v>9800000</v>
      </c>
      <c r="F415" s="39">
        <v>44313</v>
      </c>
      <c r="G415" s="24">
        <v>9800000</v>
      </c>
      <c r="H415" s="23">
        <v>5.0000000000000001E-3</v>
      </c>
      <c r="I415" s="39">
        <v>44470</v>
      </c>
      <c r="J415" s="39">
        <v>44500</v>
      </c>
      <c r="K415" s="24">
        <f t="shared" si="28"/>
        <v>31</v>
      </c>
      <c r="L415" s="24">
        <f t="shared" si="29"/>
        <v>4162</v>
      </c>
      <c r="M415" s="24">
        <v>9800000</v>
      </c>
      <c r="N415" s="39">
        <v>46138</v>
      </c>
    </row>
    <row r="416" spans="1:14" s="5" customFormat="1" outlineLevel="2">
      <c r="A416" s="39" t="s">
        <v>142</v>
      </c>
      <c r="B416" s="40" t="s">
        <v>349</v>
      </c>
      <c r="C416" s="41" t="s">
        <v>345</v>
      </c>
      <c r="D416" s="40" t="s">
        <v>344</v>
      </c>
      <c r="E416" s="24">
        <v>37000000</v>
      </c>
      <c r="F416" s="39">
        <v>44314</v>
      </c>
      <c r="G416" s="24">
        <v>37000000</v>
      </c>
      <c r="H416" s="23">
        <v>5.0000000000000001E-3</v>
      </c>
      <c r="I416" s="39">
        <v>44470</v>
      </c>
      <c r="J416" s="39">
        <v>44500</v>
      </c>
      <c r="K416" s="24">
        <f t="shared" si="28"/>
        <v>31</v>
      </c>
      <c r="L416" s="24">
        <f t="shared" si="29"/>
        <v>15712</v>
      </c>
      <c r="M416" s="24">
        <v>37000000</v>
      </c>
      <c r="N416" s="39">
        <v>46139</v>
      </c>
    </row>
    <row r="417" spans="1:14" s="5" customFormat="1" outlineLevel="2">
      <c r="A417" s="39" t="s">
        <v>142</v>
      </c>
      <c r="B417" s="40" t="s">
        <v>348</v>
      </c>
      <c r="C417" s="41" t="s">
        <v>163</v>
      </c>
      <c r="D417" s="40" t="s">
        <v>164</v>
      </c>
      <c r="E417" s="24">
        <v>70000000</v>
      </c>
      <c r="F417" s="39">
        <v>44315</v>
      </c>
      <c r="G417" s="24">
        <v>66818180</v>
      </c>
      <c r="H417" s="23">
        <v>5.0000000000000001E-3</v>
      </c>
      <c r="I417" s="39">
        <v>44470</v>
      </c>
      <c r="J417" s="39">
        <v>44483</v>
      </c>
      <c r="K417" s="24">
        <f t="shared" si="28"/>
        <v>14</v>
      </c>
      <c r="L417" s="24">
        <f t="shared" si="29"/>
        <v>12814</v>
      </c>
      <c r="M417" s="24">
        <v>66181816</v>
      </c>
      <c r="N417" s="39">
        <v>46140</v>
      </c>
    </row>
    <row r="418" spans="1:14" s="5" customFormat="1" outlineLevel="2">
      <c r="A418" s="39" t="s">
        <v>142</v>
      </c>
      <c r="B418" s="40" t="s">
        <v>348</v>
      </c>
      <c r="C418" s="41" t="s">
        <v>163</v>
      </c>
      <c r="D418" s="40"/>
      <c r="E418" s="24"/>
      <c r="F418" s="39"/>
      <c r="G418" s="24">
        <v>66181816</v>
      </c>
      <c r="H418" s="23">
        <v>5.0000000000000001E-3</v>
      </c>
      <c r="I418" s="39">
        <v>44484</v>
      </c>
      <c r="J418" s="39">
        <v>44500</v>
      </c>
      <c r="K418" s="24">
        <f t="shared" si="28"/>
        <v>17</v>
      </c>
      <c r="L418" s="24">
        <f t="shared" si="29"/>
        <v>15412</v>
      </c>
      <c r="M418" s="24"/>
      <c r="N418" s="39">
        <v>46140</v>
      </c>
    </row>
    <row r="419" spans="1:14" s="5" customFormat="1" outlineLevel="2">
      <c r="A419" s="39" t="s">
        <v>142</v>
      </c>
      <c r="B419" s="40" t="s">
        <v>347</v>
      </c>
      <c r="C419" s="41" t="s">
        <v>163</v>
      </c>
      <c r="D419" s="40" t="s">
        <v>164</v>
      </c>
      <c r="E419" s="24">
        <v>10000000</v>
      </c>
      <c r="F419" s="39">
        <v>44315</v>
      </c>
      <c r="G419" s="24">
        <v>9404760</v>
      </c>
      <c r="H419" s="23">
        <v>5.0000000000000001E-3</v>
      </c>
      <c r="I419" s="39">
        <v>44470</v>
      </c>
      <c r="J419" s="39">
        <v>44483</v>
      </c>
      <c r="K419" s="24">
        <f t="shared" si="28"/>
        <v>14</v>
      </c>
      <c r="L419" s="24">
        <f t="shared" si="29"/>
        <v>1804</v>
      </c>
      <c r="M419" s="24">
        <v>9285712</v>
      </c>
      <c r="N419" s="39">
        <v>46140</v>
      </c>
    </row>
    <row r="420" spans="1:14" s="5" customFormat="1" outlineLevel="2">
      <c r="A420" s="39" t="s">
        <v>142</v>
      </c>
      <c r="B420" s="40" t="s">
        <v>347</v>
      </c>
      <c r="C420" s="41" t="s">
        <v>163</v>
      </c>
      <c r="D420" s="40"/>
      <c r="E420" s="24"/>
      <c r="F420" s="39"/>
      <c r="G420" s="24">
        <v>9285712</v>
      </c>
      <c r="H420" s="23">
        <v>5.0000000000000001E-3</v>
      </c>
      <c r="I420" s="39">
        <v>44484</v>
      </c>
      <c r="J420" s="39">
        <v>44500</v>
      </c>
      <c r="K420" s="24">
        <f t="shared" si="28"/>
        <v>17</v>
      </c>
      <c r="L420" s="24">
        <f t="shared" si="29"/>
        <v>2162</v>
      </c>
      <c r="M420" s="24"/>
      <c r="N420" s="39">
        <v>46140</v>
      </c>
    </row>
    <row r="421" spans="1:14" s="5" customFormat="1" outlineLevel="2">
      <c r="A421" s="39" t="s">
        <v>142</v>
      </c>
      <c r="B421" s="40" t="s">
        <v>346</v>
      </c>
      <c r="C421" s="41" t="s">
        <v>163</v>
      </c>
      <c r="D421" s="40" t="s">
        <v>164</v>
      </c>
      <c r="E421" s="24">
        <v>40000000</v>
      </c>
      <c r="F421" s="39">
        <v>44315</v>
      </c>
      <c r="G421" s="24">
        <v>37619050</v>
      </c>
      <c r="H421" s="23">
        <v>5.0000000000000001E-3</v>
      </c>
      <c r="I421" s="39">
        <v>44470</v>
      </c>
      <c r="J421" s="39">
        <v>44483</v>
      </c>
      <c r="K421" s="24">
        <f t="shared" si="28"/>
        <v>14</v>
      </c>
      <c r="L421" s="24">
        <f t="shared" si="29"/>
        <v>7215</v>
      </c>
      <c r="M421" s="24">
        <v>37142860</v>
      </c>
      <c r="N421" s="39">
        <v>46140</v>
      </c>
    </row>
    <row r="422" spans="1:14" s="5" customFormat="1" outlineLevel="2">
      <c r="A422" s="39" t="s">
        <v>142</v>
      </c>
      <c r="B422" s="40" t="s">
        <v>346</v>
      </c>
      <c r="C422" s="41" t="s">
        <v>163</v>
      </c>
      <c r="D422" s="40"/>
      <c r="E422" s="24"/>
      <c r="F422" s="39"/>
      <c r="G422" s="24">
        <v>37142860</v>
      </c>
      <c r="H422" s="23">
        <v>5.0000000000000001E-3</v>
      </c>
      <c r="I422" s="39">
        <v>44484</v>
      </c>
      <c r="J422" s="39">
        <v>44500</v>
      </c>
      <c r="K422" s="24">
        <f t="shared" si="28"/>
        <v>17</v>
      </c>
      <c r="L422" s="24">
        <f t="shared" si="29"/>
        <v>8650</v>
      </c>
      <c r="M422" s="24"/>
      <c r="N422" s="39">
        <v>46140</v>
      </c>
    </row>
    <row r="423" spans="1:14" s="5" customFormat="1" outlineLevel="2">
      <c r="A423" s="39" t="s">
        <v>142</v>
      </c>
      <c r="B423" s="40" t="s">
        <v>373</v>
      </c>
      <c r="C423" s="41" t="s">
        <v>149</v>
      </c>
      <c r="D423" s="40" t="s">
        <v>150</v>
      </c>
      <c r="E423" s="24">
        <v>10752000</v>
      </c>
      <c r="F423" s="39">
        <v>44320</v>
      </c>
      <c r="G423" s="24">
        <v>10752000</v>
      </c>
      <c r="H423" s="23">
        <v>5.0000000000000001E-3</v>
      </c>
      <c r="I423" s="39">
        <v>44470</v>
      </c>
      <c r="J423" s="39">
        <v>44500</v>
      </c>
      <c r="K423" s="24">
        <f t="shared" si="28"/>
        <v>31</v>
      </c>
      <c r="L423" s="24">
        <f t="shared" si="29"/>
        <v>4566</v>
      </c>
      <c r="M423" s="24">
        <v>10752000</v>
      </c>
      <c r="N423" s="39">
        <v>46145</v>
      </c>
    </row>
    <row r="424" spans="1:14" s="5" customFormat="1" outlineLevel="2">
      <c r="A424" s="39" t="s">
        <v>142</v>
      </c>
      <c r="B424" s="40" t="s">
        <v>372</v>
      </c>
      <c r="C424" s="41" t="s">
        <v>149</v>
      </c>
      <c r="D424" s="40" t="s">
        <v>150</v>
      </c>
      <c r="E424" s="24">
        <v>4200000</v>
      </c>
      <c r="F424" s="39">
        <v>44320</v>
      </c>
      <c r="G424" s="24">
        <v>4200000</v>
      </c>
      <c r="H424" s="23">
        <v>5.0000000000000001E-3</v>
      </c>
      <c r="I424" s="39">
        <v>44470</v>
      </c>
      <c r="J424" s="39">
        <v>44500</v>
      </c>
      <c r="K424" s="24">
        <f t="shared" si="28"/>
        <v>31</v>
      </c>
      <c r="L424" s="24">
        <f t="shared" si="29"/>
        <v>1784</v>
      </c>
      <c r="M424" s="24">
        <v>4200000</v>
      </c>
      <c r="N424" s="39">
        <v>46145</v>
      </c>
    </row>
    <row r="425" spans="1:14" s="5" customFormat="1" outlineLevel="2">
      <c r="A425" s="39" t="s">
        <v>142</v>
      </c>
      <c r="B425" s="40" t="s">
        <v>32</v>
      </c>
      <c r="C425" s="41" t="s">
        <v>149</v>
      </c>
      <c r="D425" s="40" t="s">
        <v>150</v>
      </c>
      <c r="E425" s="24">
        <v>13104000</v>
      </c>
      <c r="F425" s="39">
        <v>43979</v>
      </c>
      <c r="G425" s="24">
        <v>13104000</v>
      </c>
      <c r="H425" s="23">
        <v>5.0000000000000001E-3</v>
      </c>
      <c r="I425" s="39">
        <v>44470</v>
      </c>
      <c r="J425" s="39">
        <v>44500</v>
      </c>
      <c r="K425" s="24">
        <f t="shared" si="28"/>
        <v>31</v>
      </c>
      <c r="L425" s="24">
        <f t="shared" si="29"/>
        <v>5565</v>
      </c>
      <c r="M425" s="24">
        <v>13104000</v>
      </c>
      <c r="N425" s="39">
        <v>45804</v>
      </c>
    </row>
    <row r="426" spans="1:14" s="5" customFormat="1" outlineLevel="2">
      <c r="A426" s="39" t="s">
        <v>142</v>
      </c>
      <c r="B426" s="40" t="s">
        <v>371</v>
      </c>
      <c r="C426" s="41" t="s">
        <v>149</v>
      </c>
      <c r="D426" s="40" t="s">
        <v>150</v>
      </c>
      <c r="E426" s="24">
        <v>4200000</v>
      </c>
      <c r="F426" s="39">
        <v>44320</v>
      </c>
      <c r="G426" s="24">
        <v>4200000</v>
      </c>
      <c r="H426" s="23">
        <v>5.0000000000000001E-3</v>
      </c>
      <c r="I426" s="39">
        <v>44470</v>
      </c>
      <c r="J426" s="39">
        <v>44500</v>
      </c>
      <c r="K426" s="24">
        <f t="shared" si="28"/>
        <v>31</v>
      </c>
      <c r="L426" s="24">
        <f t="shared" si="29"/>
        <v>1784</v>
      </c>
      <c r="M426" s="24">
        <v>4200000</v>
      </c>
      <c r="N426" s="39">
        <v>46145</v>
      </c>
    </row>
    <row r="427" spans="1:14" s="5" customFormat="1" outlineLevel="2">
      <c r="A427" s="39" t="s">
        <v>142</v>
      </c>
      <c r="B427" s="40" t="s">
        <v>370</v>
      </c>
      <c r="C427" s="41" t="s">
        <v>351</v>
      </c>
      <c r="D427" s="40" t="s">
        <v>350</v>
      </c>
      <c r="E427" s="24">
        <v>5100000</v>
      </c>
      <c r="F427" s="39">
        <v>44330</v>
      </c>
      <c r="G427" s="24">
        <v>5100000</v>
      </c>
      <c r="H427" s="23">
        <v>5.0000000000000001E-3</v>
      </c>
      <c r="I427" s="39">
        <v>44470</v>
      </c>
      <c r="J427" s="39">
        <v>44500</v>
      </c>
      <c r="K427" s="24">
        <f t="shared" si="28"/>
        <v>31</v>
      </c>
      <c r="L427" s="24">
        <f t="shared" si="29"/>
        <v>2166</v>
      </c>
      <c r="M427" s="24">
        <v>5100000</v>
      </c>
      <c r="N427" s="39">
        <v>46155</v>
      </c>
    </row>
    <row r="428" spans="1:14" s="5" customFormat="1" outlineLevel="2">
      <c r="A428" s="39" t="s">
        <v>142</v>
      </c>
      <c r="B428" s="40" t="s">
        <v>369</v>
      </c>
      <c r="C428" s="41" t="s">
        <v>149</v>
      </c>
      <c r="D428" s="40" t="s">
        <v>150</v>
      </c>
      <c r="E428" s="24">
        <v>100000000</v>
      </c>
      <c r="F428" s="39">
        <v>44335</v>
      </c>
      <c r="G428" s="24">
        <v>100000000</v>
      </c>
      <c r="H428" s="23">
        <v>5.0000000000000001E-3</v>
      </c>
      <c r="I428" s="39">
        <v>44470</v>
      </c>
      <c r="J428" s="39">
        <v>44500</v>
      </c>
      <c r="K428" s="24">
        <f t="shared" si="28"/>
        <v>31</v>
      </c>
      <c r="L428" s="24">
        <f t="shared" si="29"/>
        <v>42466</v>
      </c>
      <c r="M428" s="24">
        <v>100000000</v>
      </c>
      <c r="N428" s="39">
        <v>46160</v>
      </c>
    </row>
    <row r="429" spans="1:14" s="5" customFormat="1" outlineLevel="2">
      <c r="A429" s="39" t="s">
        <v>142</v>
      </c>
      <c r="B429" s="40" t="s">
        <v>368</v>
      </c>
      <c r="C429" s="41" t="s">
        <v>87</v>
      </c>
      <c r="D429" s="40" t="s">
        <v>88</v>
      </c>
      <c r="E429" s="24">
        <v>9464321</v>
      </c>
      <c r="F429" s="39">
        <v>44337</v>
      </c>
      <c r="G429" s="24">
        <v>9464321</v>
      </c>
      <c r="H429" s="23">
        <v>5.0000000000000001E-3</v>
      </c>
      <c r="I429" s="39">
        <v>44470</v>
      </c>
      <c r="J429" s="39">
        <v>44500</v>
      </c>
      <c r="K429" s="24">
        <f t="shared" si="28"/>
        <v>31</v>
      </c>
      <c r="L429" s="24">
        <f t="shared" si="29"/>
        <v>4019</v>
      </c>
      <c r="M429" s="24">
        <v>9464321</v>
      </c>
      <c r="N429" s="39">
        <v>46162</v>
      </c>
    </row>
    <row r="430" spans="1:14" s="5" customFormat="1" outlineLevel="2">
      <c r="A430" s="39" t="s">
        <v>142</v>
      </c>
      <c r="B430" s="40" t="s">
        <v>388</v>
      </c>
      <c r="C430" s="41" t="s">
        <v>149</v>
      </c>
      <c r="D430" s="40" t="s">
        <v>150</v>
      </c>
      <c r="E430" s="24">
        <v>3360000</v>
      </c>
      <c r="F430" s="39">
        <v>44350</v>
      </c>
      <c r="G430" s="24">
        <v>3360000</v>
      </c>
      <c r="H430" s="23">
        <v>5.0000000000000001E-3</v>
      </c>
      <c r="I430" s="39">
        <v>44470</v>
      </c>
      <c r="J430" s="39">
        <v>44500</v>
      </c>
      <c r="K430" s="24">
        <f t="shared" ref="K430:K493" si="30">J430-I430+1</f>
        <v>31</v>
      </c>
      <c r="L430" s="24">
        <f t="shared" ref="L430:L493" si="31">ROUND(G430*H430*K430/365,0)</f>
        <v>1427</v>
      </c>
      <c r="M430" s="24">
        <v>3360000</v>
      </c>
      <c r="N430" s="39">
        <v>46175</v>
      </c>
    </row>
    <row r="431" spans="1:14" s="5" customFormat="1" outlineLevel="2">
      <c r="A431" s="39" t="s">
        <v>142</v>
      </c>
      <c r="B431" s="40" t="s">
        <v>387</v>
      </c>
      <c r="C431" s="41" t="s">
        <v>149</v>
      </c>
      <c r="D431" s="40" t="s">
        <v>150</v>
      </c>
      <c r="E431" s="24">
        <v>3360000</v>
      </c>
      <c r="F431" s="39">
        <v>44350</v>
      </c>
      <c r="G431" s="24">
        <v>3360000</v>
      </c>
      <c r="H431" s="23">
        <v>5.0000000000000001E-3</v>
      </c>
      <c r="I431" s="39">
        <v>44470</v>
      </c>
      <c r="J431" s="39">
        <v>44500</v>
      </c>
      <c r="K431" s="24">
        <f t="shared" si="30"/>
        <v>31</v>
      </c>
      <c r="L431" s="24">
        <f t="shared" si="31"/>
        <v>1427</v>
      </c>
      <c r="M431" s="24">
        <v>3360000</v>
      </c>
      <c r="N431" s="39">
        <v>46175</v>
      </c>
    </row>
    <row r="432" spans="1:14" s="5" customFormat="1" outlineLevel="2">
      <c r="A432" s="39" t="s">
        <v>142</v>
      </c>
      <c r="B432" s="40" t="s">
        <v>386</v>
      </c>
      <c r="C432" s="41" t="s">
        <v>149</v>
      </c>
      <c r="D432" s="40" t="s">
        <v>150</v>
      </c>
      <c r="E432" s="24">
        <v>3326400</v>
      </c>
      <c r="F432" s="39">
        <v>44351</v>
      </c>
      <c r="G432" s="24">
        <v>3326400</v>
      </c>
      <c r="H432" s="23">
        <v>5.0000000000000001E-3</v>
      </c>
      <c r="I432" s="39">
        <v>44470</v>
      </c>
      <c r="J432" s="39">
        <v>44500</v>
      </c>
      <c r="K432" s="24">
        <f t="shared" si="30"/>
        <v>31</v>
      </c>
      <c r="L432" s="24">
        <f t="shared" si="31"/>
        <v>1413</v>
      </c>
      <c r="M432" s="24">
        <v>3326400</v>
      </c>
      <c r="N432" s="39">
        <v>46176</v>
      </c>
    </row>
    <row r="433" spans="1:14" s="5" customFormat="1" outlineLevel="2">
      <c r="A433" s="39" t="s">
        <v>142</v>
      </c>
      <c r="B433" s="40" t="s">
        <v>385</v>
      </c>
      <c r="C433" s="41" t="s">
        <v>149</v>
      </c>
      <c r="D433" s="40" t="s">
        <v>150</v>
      </c>
      <c r="E433" s="24">
        <v>150000000</v>
      </c>
      <c r="F433" s="39">
        <v>44354</v>
      </c>
      <c r="G433" s="24">
        <v>150000000</v>
      </c>
      <c r="H433" s="23">
        <v>5.0000000000000001E-3</v>
      </c>
      <c r="I433" s="39">
        <v>44470</v>
      </c>
      <c r="J433" s="39">
        <v>44500</v>
      </c>
      <c r="K433" s="24">
        <f t="shared" si="30"/>
        <v>31</v>
      </c>
      <c r="L433" s="24">
        <f t="shared" si="31"/>
        <v>63699</v>
      </c>
      <c r="M433" s="24">
        <v>150000000</v>
      </c>
      <c r="N433" s="39">
        <v>46179</v>
      </c>
    </row>
    <row r="434" spans="1:14" s="5" customFormat="1" outlineLevel="2">
      <c r="A434" s="39" t="s">
        <v>142</v>
      </c>
      <c r="B434" s="40" t="s">
        <v>384</v>
      </c>
      <c r="C434" s="41" t="s">
        <v>149</v>
      </c>
      <c r="D434" s="40" t="s">
        <v>150</v>
      </c>
      <c r="E434" s="24">
        <v>1663200</v>
      </c>
      <c r="F434" s="39">
        <v>44356</v>
      </c>
      <c r="G434" s="24">
        <v>1663200</v>
      </c>
      <c r="H434" s="23">
        <v>5.0000000000000001E-3</v>
      </c>
      <c r="I434" s="39">
        <v>44470</v>
      </c>
      <c r="J434" s="39">
        <v>44500</v>
      </c>
      <c r="K434" s="24">
        <f t="shared" si="30"/>
        <v>31</v>
      </c>
      <c r="L434" s="24">
        <f t="shared" si="31"/>
        <v>706</v>
      </c>
      <c r="M434" s="24">
        <v>1663200</v>
      </c>
      <c r="N434" s="39">
        <v>46181</v>
      </c>
    </row>
    <row r="435" spans="1:14" s="5" customFormat="1" outlineLevel="2">
      <c r="A435" s="39" t="s">
        <v>142</v>
      </c>
      <c r="B435" s="40" t="s">
        <v>383</v>
      </c>
      <c r="C435" s="41" t="s">
        <v>149</v>
      </c>
      <c r="D435" s="40" t="s">
        <v>150</v>
      </c>
      <c r="E435" s="24">
        <v>312002</v>
      </c>
      <c r="F435" s="39">
        <v>44358</v>
      </c>
      <c r="G435" s="24">
        <v>312002</v>
      </c>
      <c r="H435" s="23">
        <v>5.0000000000000001E-3</v>
      </c>
      <c r="I435" s="39">
        <v>44470</v>
      </c>
      <c r="J435" s="39">
        <v>44500</v>
      </c>
      <c r="K435" s="24">
        <f t="shared" si="30"/>
        <v>31</v>
      </c>
      <c r="L435" s="24">
        <f t="shared" si="31"/>
        <v>132</v>
      </c>
      <c r="M435" s="24">
        <v>312002</v>
      </c>
      <c r="N435" s="39">
        <v>46183</v>
      </c>
    </row>
    <row r="436" spans="1:14" s="5" customFormat="1" outlineLevel="2">
      <c r="A436" s="39" t="s">
        <v>142</v>
      </c>
      <c r="B436" s="40" t="s">
        <v>33</v>
      </c>
      <c r="C436" s="41" t="s">
        <v>89</v>
      </c>
      <c r="D436" s="40" t="s">
        <v>90</v>
      </c>
      <c r="E436" s="24">
        <v>6550000</v>
      </c>
      <c r="F436" s="39">
        <v>43993</v>
      </c>
      <c r="G436" s="24">
        <v>6550000</v>
      </c>
      <c r="H436" s="23">
        <v>5.0000000000000001E-3</v>
      </c>
      <c r="I436" s="39">
        <v>44470</v>
      </c>
      <c r="J436" s="39">
        <v>44500</v>
      </c>
      <c r="K436" s="24">
        <f t="shared" si="30"/>
        <v>31</v>
      </c>
      <c r="L436" s="24">
        <f t="shared" si="31"/>
        <v>2782</v>
      </c>
      <c r="M436" s="24">
        <v>6550000</v>
      </c>
      <c r="N436" s="39">
        <v>45818</v>
      </c>
    </row>
    <row r="437" spans="1:14" s="5" customFormat="1" outlineLevel="2">
      <c r="A437" s="39" t="s">
        <v>142</v>
      </c>
      <c r="B437" s="40" t="s">
        <v>382</v>
      </c>
      <c r="C437" s="41" t="s">
        <v>149</v>
      </c>
      <c r="D437" s="40" t="s">
        <v>150</v>
      </c>
      <c r="E437" s="24">
        <v>478800</v>
      </c>
      <c r="F437" s="39">
        <v>44358</v>
      </c>
      <c r="G437" s="24">
        <v>478800</v>
      </c>
      <c r="H437" s="23">
        <v>5.0000000000000001E-3</v>
      </c>
      <c r="I437" s="39">
        <v>44470</v>
      </c>
      <c r="J437" s="39">
        <v>44500</v>
      </c>
      <c r="K437" s="24">
        <f t="shared" si="30"/>
        <v>31</v>
      </c>
      <c r="L437" s="24">
        <f t="shared" si="31"/>
        <v>203</v>
      </c>
      <c r="M437" s="24">
        <v>478800</v>
      </c>
      <c r="N437" s="39">
        <v>46183</v>
      </c>
    </row>
    <row r="438" spans="1:14" s="5" customFormat="1" outlineLevel="2">
      <c r="A438" s="39" t="s">
        <v>142</v>
      </c>
      <c r="B438" s="40" t="s">
        <v>381</v>
      </c>
      <c r="C438" s="41" t="s">
        <v>149</v>
      </c>
      <c r="D438" s="40" t="s">
        <v>150</v>
      </c>
      <c r="E438" s="24">
        <v>70000000</v>
      </c>
      <c r="F438" s="39">
        <v>44362</v>
      </c>
      <c r="G438" s="24">
        <v>70000000</v>
      </c>
      <c r="H438" s="23">
        <v>5.0000000000000001E-3</v>
      </c>
      <c r="I438" s="39">
        <v>44470</v>
      </c>
      <c r="J438" s="39">
        <v>44500</v>
      </c>
      <c r="K438" s="24">
        <f t="shared" si="30"/>
        <v>31</v>
      </c>
      <c r="L438" s="24">
        <f t="shared" si="31"/>
        <v>29726</v>
      </c>
      <c r="M438" s="24">
        <v>70000000</v>
      </c>
      <c r="N438" s="39">
        <v>46187</v>
      </c>
    </row>
    <row r="439" spans="1:14" s="5" customFormat="1" outlineLevel="2">
      <c r="A439" s="39" t="s">
        <v>142</v>
      </c>
      <c r="B439" s="40" t="s">
        <v>380</v>
      </c>
      <c r="C439" s="41" t="s">
        <v>149</v>
      </c>
      <c r="D439" s="40" t="s">
        <v>150</v>
      </c>
      <c r="E439" s="24">
        <v>806400</v>
      </c>
      <c r="F439" s="39">
        <v>44376</v>
      </c>
      <c r="G439" s="24">
        <v>806400</v>
      </c>
      <c r="H439" s="23">
        <v>5.0000000000000001E-3</v>
      </c>
      <c r="I439" s="39">
        <v>44470</v>
      </c>
      <c r="J439" s="39">
        <v>44500</v>
      </c>
      <c r="K439" s="24">
        <f t="shared" si="30"/>
        <v>31</v>
      </c>
      <c r="L439" s="24">
        <f t="shared" si="31"/>
        <v>342</v>
      </c>
      <c r="M439" s="24">
        <v>806400</v>
      </c>
      <c r="N439" s="39">
        <v>46201</v>
      </c>
    </row>
    <row r="440" spans="1:14" s="5" customFormat="1" outlineLevel="2">
      <c r="A440" s="39" t="s">
        <v>142</v>
      </c>
      <c r="B440" s="40" t="s">
        <v>379</v>
      </c>
      <c r="C440" s="41" t="s">
        <v>89</v>
      </c>
      <c r="D440" s="40" t="s">
        <v>90</v>
      </c>
      <c r="E440" s="24">
        <v>34000000</v>
      </c>
      <c r="F440" s="39">
        <v>44369</v>
      </c>
      <c r="G440" s="24">
        <v>34000000</v>
      </c>
      <c r="H440" s="23">
        <v>5.0000000000000001E-3</v>
      </c>
      <c r="I440" s="39">
        <v>44470</v>
      </c>
      <c r="J440" s="39">
        <v>44500</v>
      </c>
      <c r="K440" s="24">
        <f t="shared" si="30"/>
        <v>31</v>
      </c>
      <c r="L440" s="24">
        <f t="shared" si="31"/>
        <v>14438</v>
      </c>
      <c r="M440" s="24">
        <v>34000000</v>
      </c>
      <c r="N440" s="39">
        <v>46194</v>
      </c>
    </row>
    <row r="441" spans="1:14" s="5" customFormat="1" outlineLevel="2">
      <c r="A441" s="39" t="s">
        <v>142</v>
      </c>
      <c r="B441" s="40" t="s">
        <v>378</v>
      </c>
      <c r="C441" s="41" t="s">
        <v>89</v>
      </c>
      <c r="D441" s="40" t="s">
        <v>90</v>
      </c>
      <c r="E441" s="24">
        <v>34000000</v>
      </c>
      <c r="F441" s="39">
        <v>44369</v>
      </c>
      <c r="G441" s="24">
        <v>34000000</v>
      </c>
      <c r="H441" s="23">
        <v>5.0000000000000001E-3</v>
      </c>
      <c r="I441" s="39">
        <v>44470</v>
      </c>
      <c r="J441" s="39">
        <v>44500</v>
      </c>
      <c r="K441" s="24">
        <f t="shared" si="30"/>
        <v>31</v>
      </c>
      <c r="L441" s="24">
        <f t="shared" si="31"/>
        <v>14438</v>
      </c>
      <c r="M441" s="24">
        <v>34000000</v>
      </c>
      <c r="N441" s="39">
        <v>46194</v>
      </c>
    </row>
    <row r="442" spans="1:14" s="5" customFormat="1" outlineLevel="2">
      <c r="A442" s="39" t="s">
        <v>142</v>
      </c>
      <c r="B442" s="40" t="s">
        <v>377</v>
      </c>
      <c r="C442" s="41" t="s">
        <v>219</v>
      </c>
      <c r="D442" s="40" t="s">
        <v>220</v>
      </c>
      <c r="E442" s="24">
        <v>35000000</v>
      </c>
      <c r="F442" s="39">
        <v>44371</v>
      </c>
      <c r="G442" s="24">
        <v>35000000</v>
      </c>
      <c r="H442" s="23">
        <v>5.0000000000000001E-3</v>
      </c>
      <c r="I442" s="39">
        <v>44470</v>
      </c>
      <c r="J442" s="39">
        <v>44500</v>
      </c>
      <c r="K442" s="24">
        <f t="shared" si="30"/>
        <v>31</v>
      </c>
      <c r="L442" s="24">
        <f t="shared" si="31"/>
        <v>14863</v>
      </c>
      <c r="M442" s="24">
        <v>35000000</v>
      </c>
      <c r="N442" s="39">
        <v>46196</v>
      </c>
    </row>
    <row r="443" spans="1:14" s="5" customFormat="1" outlineLevel="2">
      <c r="A443" s="39" t="s">
        <v>142</v>
      </c>
      <c r="B443" s="40" t="s">
        <v>376</v>
      </c>
      <c r="C443" s="41" t="s">
        <v>87</v>
      </c>
      <c r="D443" s="40" t="s">
        <v>88</v>
      </c>
      <c r="E443" s="24">
        <v>13481921</v>
      </c>
      <c r="F443" s="39">
        <v>44372</v>
      </c>
      <c r="G443" s="24">
        <v>13481921</v>
      </c>
      <c r="H443" s="23">
        <v>5.0000000000000001E-3</v>
      </c>
      <c r="I443" s="39">
        <v>44470</v>
      </c>
      <c r="J443" s="39">
        <v>44500</v>
      </c>
      <c r="K443" s="24">
        <f t="shared" si="30"/>
        <v>31</v>
      </c>
      <c r="L443" s="24">
        <f t="shared" si="31"/>
        <v>5725</v>
      </c>
      <c r="M443" s="24">
        <v>13481921</v>
      </c>
      <c r="N443" s="39">
        <v>46197</v>
      </c>
    </row>
    <row r="444" spans="1:14" s="5" customFormat="1" outlineLevel="2">
      <c r="A444" s="39" t="s">
        <v>142</v>
      </c>
      <c r="B444" s="40" t="s">
        <v>375</v>
      </c>
      <c r="C444" s="41" t="s">
        <v>87</v>
      </c>
      <c r="D444" s="40" t="s">
        <v>88</v>
      </c>
      <c r="E444" s="24">
        <v>21053378</v>
      </c>
      <c r="F444" s="39">
        <v>44372</v>
      </c>
      <c r="G444" s="24">
        <v>21053378</v>
      </c>
      <c r="H444" s="23">
        <v>5.0000000000000001E-3</v>
      </c>
      <c r="I444" s="39">
        <v>44470</v>
      </c>
      <c r="J444" s="39">
        <v>44500</v>
      </c>
      <c r="K444" s="24">
        <f t="shared" si="30"/>
        <v>31</v>
      </c>
      <c r="L444" s="24">
        <f t="shared" si="31"/>
        <v>8940</v>
      </c>
      <c r="M444" s="24">
        <v>21053378</v>
      </c>
      <c r="N444" s="39">
        <v>46197</v>
      </c>
    </row>
    <row r="445" spans="1:14" s="5" customFormat="1" outlineLevel="2">
      <c r="A445" s="39" t="s">
        <v>142</v>
      </c>
      <c r="B445" s="40" t="s">
        <v>396</v>
      </c>
      <c r="C445" s="41" t="s">
        <v>187</v>
      </c>
      <c r="D445" s="40" t="s">
        <v>188</v>
      </c>
      <c r="E445" s="24">
        <v>66500000</v>
      </c>
      <c r="F445" s="39">
        <v>44379</v>
      </c>
      <c r="G445" s="24">
        <v>66500000</v>
      </c>
      <c r="H445" s="23">
        <v>5.0000000000000001E-3</v>
      </c>
      <c r="I445" s="39">
        <v>44470</v>
      </c>
      <c r="J445" s="39">
        <v>44500</v>
      </c>
      <c r="K445" s="24">
        <f t="shared" si="30"/>
        <v>31</v>
      </c>
      <c r="L445" s="24">
        <f t="shared" si="31"/>
        <v>28240</v>
      </c>
      <c r="M445" s="24">
        <v>66500000</v>
      </c>
      <c r="N445" s="39">
        <v>46204</v>
      </c>
    </row>
    <row r="446" spans="1:14" s="5" customFormat="1" outlineLevel="2">
      <c r="A446" s="39" t="s">
        <v>142</v>
      </c>
      <c r="B446" s="40" t="s">
        <v>395</v>
      </c>
      <c r="C446" s="41" t="s">
        <v>149</v>
      </c>
      <c r="D446" s="40" t="s">
        <v>150</v>
      </c>
      <c r="E446" s="24">
        <v>840000</v>
      </c>
      <c r="F446" s="39">
        <v>44379</v>
      </c>
      <c r="G446" s="24">
        <v>840000</v>
      </c>
      <c r="H446" s="23">
        <v>5.0000000000000001E-3</v>
      </c>
      <c r="I446" s="39">
        <v>44470</v>
      </c>
      <c r="J446" s="39">
        <v>44500</v>
      </c>
      <c r="K446" s="24">
        <f t="shared" si="30"/>
        <v>31</v>
      </c>
      <c r="L446" s="24">
        <f t="shared" si="31"/>
        <v>357</v>
      </c>
      <c r="M446" s="24">
        <v>840000</v>
      </c>
      <c r="N446" s="39">
        <v>46204</v>
      </c>
    </row>
    <row r="447" spans="1:14" s="5" customFormat="1" outlineLevel="2">
      <c r="A447" s="39" t="s">
        <v>142</v>
      </c>
      <c r="B447" s="40" t="s">
        <v>34</v>
      </c>
      <c r="C447" s="41" t="s">
        <v>89</v>
      </c>
      <c r="D447" s="40" t="s">
        <v>90</v>
      </c>
      <c r="E447" s="24">
        <v>19710000</v>
      </c>
      <c r="F447" s="39">
        <v>43993</v>
      </c>
      <c r="G447" s="24">
        <v>19710000</v>
      </c>
      <c r="H447" s="23">
        <v>5.0000000000000001E-3</v>
      </c>
      <c r="I447" s="39">
        <v>44470</v>
      </c>
      <c r="J447" s="39">
        <v>44500</v>
      </c>
      <c r="K447" s="24">
        <f t="shared" si="30"/>
        <v>31</v>
      </c>
      <c r="L447" s="24">
        <f t="shared" si="31"/>
        <v>8370</v>
      </c>
      <c r="M447" s="24">
        <v>19710000</v>
      </c>
      <c r="N447" s="39">
        <v>45818</v>
      </c>
    </row>
    <row r="448" spans="1:14" s="5" customFormat="1" outlineLevel="2">
      <c r="A448" s="39" t="s">
        <v>142</v>
      </c>
      <c r="B448" s="40" t="s">
        <v>394</v>
      </c>
      <c r="C448" s="41" t="s">
        <v>149</v>
      </c>
      <c r="D448" s="40" t="s">
        <v>150</v>
      </c>
      <c r="E448" s="24">
        <v>840000</v>
      </c>
      <c r="F448" s="39">
        <v>44379</v>
      </c>
      <c r="G448" s="24">
        <v>840000</v>
      </c>
      <c r="H448" s="23">
        <v>5.0000000000000001E-3</v>
      </c>
      <c r="I448" s="39">
        <v>44470</v>
      </c>
      <c r="J448" s="39">
        <v>44500</v>
      </c>
      <c r="K448" s="24">
        <f t="shared" si="30"/>
        <v>31</v>
      </c>
      <c r="L448" s="24">
        <f t="shared" si="31"/>
        <v>357</v>
      </c>
      <c r="M448" s="24">
        <v>840000</v>
      </c>
      <c r="N448" s="39">
        <v>46204</v>
      </c>
    </row>
    <row r="449" spans="1:14" s="5" customFormat="1" outlineLevel="2">
      <c r="A449" s="39" t="s">
        <v>142</v>
      </c>
      <c r="B449" s="40" t="s">
        <v>393</v>
      </c>
      <c r="C449" s="41" t="s">
        <v>149</v>
      </c>
      <c r="D449" s="40" t="s">
        <v>150</v>
      </c>
      <c r="E449" s="24">
        <v>1646400</v>
      </c>
      <c r="F449" s="39">
        <v>44384</v>
      </c>
      <c r="G449" s="24">
        <v>1646400</v>
      </c>
      <c r="H449" s="23">
        <v>5.0000000000000001E-3</v>
      </c>
      <c r="I449" s="39">
        <v>44470</v>
      </c>
      <c r="J449" s="39">
        <v>44500</v>
      </c>
      <c r="K449" s="24">
        <f t="shared" si="30"/>
        <v>31</v>
      </c>
      <c r="L449" s="24">
        <f t="shared" si="31"/>
        <v>699</v>
      </c>
      <c r="M449" s="24">
        <v>1646400</v>
      </c>
      <c r="N449" s="39">
        <v>46209</v>
      </c>
    </row>
    <row r="450" spans="1:14" s="5" customFormat="1" outlineLevel="2">
      <c r="A450" s="39" t="s">
        <v>142</v>
      </c>
      <c r="B450" s="40" t="s">
        <v>392</v>
      </c>
      <c r="C450" s="41" t="s">
        <v>149</v>
      </c>
      <c r="D450" s="40" t="s">
        <v>150</v>
      </c>
      <c r="E450" s="24">
        <v>1092000</v>
      </c>
      <c r="F450" s="39">
        <v>44407</v>
      </c>
      <c r="G450" s="24">
        <v>1092000</v>
      </c>
      <c r="H450" s="23">
        <v>5.0000000000000001E-3</v>
      </c>
      <c r="I450" s="39">
        <v>44470</v>
      </c>
      <c r="J450" s="39">
        <v>44500</v>
      </c>
      <c r="K450" s="24">
        <f t="shared" si="30"/>
        <v>31</v>
      </c>
      <c r="L450" s="24">
        <f t="shared" si="31"/>
        <v>464</v>
      </c>
      <c r="M450" s="24">
        <v>1092000</v>
      </c>
      <c r="N450" s="39">
        <v>46232</v>
      </c>
    </row>
    <row r="451" spans="1:14" s="5" customFormat="1" outlineLevel="2">
      <c r="A451" s="39" t="s">
        <v>142</v>
      </c>
      <c r="B451" s="40" t="s">
        <v>391</v>
      </c>
      <c r="C451" s="41" t="s">
        <v>149</v>
      </c>
      <c r="D451" s="40" t="s">
        <v>150</v>
      </c>
      <c r="E451" s="24">
        <v>430080</v>
      </c>
      <c r="F451" s="39">
        <v>44407</v>
      </c>
      <c r="G451" s="24">
        <v>430080</v>
      </c>
      <c r="H451" s="23">
        <v>5.0000000000000001E-3</v>
      </c>
      <c r="I451" s="39">
        <v>44470</v>
      </c>
      <c r="J451" s="39">
        <v>44500</v>
      </c>
      <c r="K451" s="24">
        <f t="shared" si="30"/>
        <v>31</v>
      </c>
      <c r="L451" s="24">
        <f t="shared" si="31"/>
        <v>183</v>
      </c>
      <c r="M451" s="24">
        <v>430080</v>
      </c>
      <c r="N451" s="39">
        <v>46232</v>
      </c>
    </row>
    <row r="452" spans="1:14" s="5" customFormat="1" outlineLevel="2">
      <c r="A452" s="39" t="s">
        <v>142</v>
      </c>
      <c r="B452" s="40" t="s">
        <v>390</v>
      </c>
      <c r="C452" s="41" t="s">
        <v>125</v>
      </c>
      <c r="D452" s="40" t="s">
        <v>126</v>
      </c>
      <c r="E452" s="24">
        <v>7000000</v>
      </c>
      <c r="F452" s="39">
        <v>44389</v>
      </c>
      <c r="G452" s="24">
        <v>7000000</v>
      </c>
      <c r="H452" s="23">
        <v>5.0000000000000001E-3</v>
      </c>
      <c r="I452" s="39">
        <v>44470</v>
      </c>
      <c r="J452" s="39">
        <v>44500</v>
      </c>
      <c r="K452" s="24">
        <f t="shared" si="30"/>
        <v>31</v>
      </c>
      <c r="L452" s="24">
        <f t="shared" si="31"/>
        <v>2973</v>
      </c>
      <c r="M452" s="24">
        <v>7000000</v>
      </c>
      <c r="N452" s="39">
        <v>46214</v>
      </c>
    </row>
    <row r="453" spans="1:14" s="5" customFormat="1" outlineLevel="2">
      <c r="A453" s="39" t="s">
        <v>142</v>
      </c>
      <c r="B453" s="40" t="s">
        <v>389</v>
      </c>
      <c r="C453" s="41" t="s">
        <v>87</v>
      </c>
      <c r="D453" s="40" t="s">
        <v>88</v>
      </c>
      <c r="E453" s="24">
        <v>13481921</v>
      </c>
      <c r="F453" s="39">
        <v>44403</v>
      </c>
      <c r="G453" s="24">
        <v>13481921</v>
      </c>
      <c r="H453" s="23">
        <v>5.0000000000000001E-3</v>
      </c>
      <c r="I453" s="39">
        <v>44470</v>
      </c>
      <c r="J453" s="39">
        <v>44500</v>
      </c>
      <c r="K453" s="24">
        <f t="shared" si="30"/>
        <v>31</v>
      </c>
      <c r="L453" s="24">
        <f t="shared" si="31"/>
        <v>5725</v>
      </c>
      <c r="M453" s="24">
        <v>13481921</v>
      </c>
      <c r="N453" s="39">
        <v>46228</v>
      </c>
    </row>
    <row r="454" spans="1:14" s="5" customFormat="1" outlineLevel="2">
      <c r="A454" s="39" t="s">
        <v>142</v>
      </c>
      <c r="B454" s="40" t="s">
        <v>402</v>
      </c>
      <c r="C454" s="41" t="s">
        <v>149</v>
      </c>
      <c r="D454" s="40" t="s">
        <v>150</v>
      </c>
      <c r="E454" s="24">
        <v>40666</v>
      </c>
      <c r="F454" s="39">
        <v>44417</v>
      </c>
      <c r="G454" s="24">
        <v>40666</v>
      </c>
      <c r="H454" s="23">
        <v>5.0000000000000001E-3</v>
      </c>
      <c r="I454" s="39">
        <v>44470</v>
      </c>
      <c r="J454" s="39">
        <v>44500</v>
      </c>
      <c r="K454" s="24">
        <f t="shared" si="30"/>
        <v>31</v>
      </c>
      <c r="L454" s="24">
        <f t="shared" si="31"/>
        <v>17</v>
      </c>
      <c r="M454" s="24">
        <v>40666</v>
      </c>
      <c r="N454" s="39">
        <v>46242</v>
      </c>
    </row>
    <row r="455" spans="1:14" s="5" customFormat="1" outlineLevel="2">
      <c r="A455" s="39" t="s">
        <v>142</v>
      </c>
      <c r="B455" s="40" t="s">
        <v>401</v>
      </c>
      <c r="C455" s="41" t="s">
        <v>149</v>
      </c>
      <c r="D455" s="40" t="s">
        <v>150</v>
      </c>
      <c r="E455" s="24">
        <v>160704</v>
      </c>
      <c r="F455" s="39">
        <v>44435</v>
      </c>
      <c r="G455" s="24">
        <v>160704</v>
      </c>
      <c r="H455" s="23">
        <v>5.0000000000000001E-3</v>
      </c>
      <c r="I455" s="39">
        <v>44470</v>
      </c>
      <c r="J455" s="39">
        <v>44500</v>
      </c>
      <c r="K455" s="24">
        <f t="shared" si="30"/>
        <v>31</v>
      </c>
      <c r="L455" s="24">
        <f t="shared" si="31"/>
        <v>68</v>
      </c>
      <c r="M455" s="24">
        <v>160704</v>
      </c>
      <c r="N455" s="39">
        <v>46260</v>
      </c>
    </row>
    <row r="456" spans="1:14" s="5" customFormat="1" outlineLevel="2">
      <c r="A456" s="39" t="s">
        <v>142</v>
      </c>
      <c r="B456" s="40" t="s">
        <v>400</v>
      </c>
      <c r="C456" s="41" t="s">
        <v>149</v>
      </c>
      <c r="D456" s="40" t="s">
        <v>150</v>
      </c>
      <c r="E456" s="24">
        <v>1302000</v>
      </c>
      <c r="F456" s="39">
        <v>44438</v>
      </c>
      <c r="G456" s="24">
        <v>1302000</v>
      </c>
      <c r="H456" s="23">
        <v>5.0000000000000001E-3</v>
      </c>
      <c r="I456" s="39">
        <v>44470</v>
      </c>
      <c r="J456" s="39">
        <v>44500</v>
      </c>
      <c r="K456" s="24">
        <f t="shared" si="30"/>
        <v>31</v>
      </c>
      <c r="L456" s="24">
        <f t="shared" si="31"/>
        <v>553</v>
      </c>
      <c r="M456" s="24">
        <v>1302000</v>
      </c>
      <c r="N456" s="39">
        <v>46263</v>
      </c>
    </row>
    <row r="457" spans="1:14" s="5" customFormat="1" outlineLevel="2">
      <c r="A457" s="39" t="s">
        <v>142</v>
      </c>
      <c r="B457" s="40" t="s">
        <v>399</v>
      </c>
      <c r="C457" s="41" t="s">
        <v>219</v>
      </c>
      <c r="D457" s="40" t="s">
        <v>220</v>
      </c>
      <c r="E457" s="24">
        <v>40000000</v>
      </c>
      <c r="F457" s="39">
        <v>44432</v>
      </c>
      <c r="G457" s="24">
        <v>40000000</v>
      </c>
      <c r="H457" s="23">
        <v>5.0000000000000001E-3</v>
      </c>
      <c r="I457" s="39">
        <v>44470</v>
      </c>
      <c r="J457" s="39">
        <v>44500</v>
      </c>
      <c r="K457" s="24">
        <f t="shared" si="30"/>
        <v>31</v>
      </c>
      <c r="L457" s="24">
        <f t="shared" si="31"/>
        <v>16986</v>
      </c>
      <c r="M457" s="24">
        <v>40000000</v>
      </c>
      <c r="N457" s="39">
        <v>46257</v>
      </c>
    </row>
    <row r="458" spans="1:14" s="5" customFormat="1" outlineLevel="2">
      <c r="A458" s="39" t="s">
        <v>142</v>
      </c>
      <c r="B458" s="40" t="s">
        <v>35</v>
      </c>
      <c r="C458" s="41" t="s">
        <v>89</v>
      </c>
      <c r="D458" s="40" t="s">
        <v>90</v>
      </c>
      <c r="E458" s="24">
        <v>16860000</v>
      </c>
      <c r="F458" s="39">
        <v>43993</v>
      </c>
      <c r="G458" s="24">
        <v>16860000</v>
      </c>
      <c r="H458" s="23">
        <v>5.0000000000000001E-3</v>
      </c>
      <c r="I458" s="39">
        <v>44470</v>
      </c>
      <c r="J458" s="39">
        <v>44500</v>
      </c>
      <c r="K458" s="24">
        <f t="shared" si="30"/>
        <v>31</v>
      </c>
      <c r="L458" s="24">
        <f t="shared" si="31"/>
        <v>7160</v>
      </c>
      <c r="M458" s="24">
        <v>16860000</v>
      </c>
      <c r="N458" s="39">
        <v>45818</v>
      </c>
    </row>
    <row r="459" spans="1:14" s="5" customFormat="1" outlineLevel="2">
      <c r="A459" s="39" t="s">
        <v>142</v>
      </c>
      <c r="B459" s="40" t="s">
        <v>420</v>
      </c>
      <c r="C459" s="41" t="s">
        <v>149</v>
      </c>
      <c r="D459" s="40" t="s">
        <v>150</v>
      </c>
      <c r="E459" s="24">
        <v>78606</v>
      </c>
      <c r="F459" s="39">
        <v>44450</v>
      </c>
      <c r="G459" s="24">
        <v>78606</v>
      </c>
      <c r="H459" s="23">
        <v>5.0000000000000001E-3</v>
      </c>
      <c r="I459" s="39">
        <v>44470</v>
      </c>
      <c r="J459" s="39">
        <v>44500</v>
      </c>
      <c r="K459" s="24">
        <f t="shared" si="30"/>
        <v>31</v>
      </c>
      <c r="L459" s="24">
        <f t="shared" si="31"/>
        <v>33</v>
      </c>
      <c r="M459" s="24">
        <v>78606</v>
      </c>
      <c r="N459" s="39">
        <v>46275</v>
      </c>
    </row>
    <row r="460" spans="1:14" s="5" customFormat="1" outlineLevel="2">
      <c r="A460" s="39" t="s">
        <v>142</v>
      </c>
      <c r="B460" s="40" t="s">
        <v>419</v>
      </c>
      <c r="C460" s="41" t="s">
        <v>149</v>
      </c>
      <c r="D460" s="40" t="s">
        <v>150</v>
      </c>
      <c r="E460" s="24">
        <v>160332</v>
      </c>
      <c r="F460" s="39">
        <v>44454</v>
      </c>
      <c r="G460" s="24">
        <v>160332</v>
      </c>
      <c r="H460" s="23">
        <v>5.0000000000000001E-3</v>
      </c>
      <c r="I460" s="39">
        <v>44470</v>
      </c>
      <c r="J460" s="39">
        <v>44500</v>
      </c>
      <c r="K460" s="24">
        <f t="shared" si="30"/>
        <v>31</v>
      </c>
      <c r="L460" s="24">
        <f t="shared" si="31"/>
        <v>68</v>
      </c>
      <c r="M460" s="24">
        <v>160332</v>
      </c>
      <c r="N460" s="39">
        <v>46279</v>
      </c>
    </row>
    <row r="461" spans="1:14" s="5" customFormat="1" outlineLevel="2">
      <c r="A461" s="39" t="s">
        <v>142</v>
      </c>
      <c r="B461" s="40" t="s">
        <v>418</v>
      </c>
      <c r="C461" s="41" t="s">
        <v>149</v>
      </c>
      <c r="D461" s="40" t="s">
        <v>150</v>
      </c>
      <c r="E461" s="24">
        <v>2016000</v>
      </c>
      <c r="F461" s="39">
        <v>44463</v>
      </c>
      <c r="G461" s="24">
        <v>2016000</v>
      </c>
      <c r="H461" s="23">
        <v>5.0000000000000001E-3</v>
      </c>
      <c r="I461" s="39">
        <v>44470</v>
      </c>
      <c r="J461" s="39">
        <v>44500</v>
      </c>
      <c r="K461" s="24">
        <f t="shared" si="30"/>
        <v>31</v>
      </c>
      <c r="L461" s="24">
        <f t="shared" si="31"/>
        <v>856</v>
      </c>
      <c r="M461" s="24">
        <v>2016000</v>
      </c>
      <c r="N461" s="39">
        <v>46288</v>
      </c>
    </row>
    <row r="462" spans="1:14" s="5" customFormat="1" outlineLevel="2">
      <c r="A462" s="39" t="s">
        <v>142</v>
      </c>
      <c r="B462" s="40" t="s">
        <v>417</v>
      </c>
      <c r="C462" s="41" t="s">
        <v>219</v>
      </c>
      <c r="D462" s="40" t="s">
        <v>220</v>
      </c>
      <c r="E462" s="24">
        <v>40000000</v>
      </c>
      <c r="F462" s="39">
        <v>44462</v>
      </c>
      <c r="G462" s="24">
        <v>40000000</v>
      </c>
      <c r="H462" s="23">
        <v>5.0000000000000001E-3</v>
      </c>
      <c r="I462" s="39">
        <v>44470</v>
      </c>
      <c r="J462" s="39">
        <v>44500</v>
      </c>
      <c r="K462" s="24">
        <f t="shared" si="30"/>
        <v>31</v>
      </c>
      <c r="L462" s="24">
        <f t="shared" si="31"/>
        <v>16986</v>
      </c>
      <c r="M462" s="24">
        <v>40000000</v>
      </c>
      <c r="N462" s="39">
        <v>46287</v>
      </c>
    </row>
    <row r="463" spans="1:14" s="5" customFormat="1" outlineLevel="2">
      <c r="A463" s="39" t="s">
        <v>142</v>
      </c>
      <c r="B463" s="40" t="s">
        <v>416</v>
      </c>
      <c r="C463" s="41" t="s">
        <v>87</v>
      </c>
      <c r="D463" s="40" t="s">
        <v>88</v>
      </c>
      <c r="E463" s="24">
        <v>22231681</v>
      </c>
      <c r="F463" s="39">
        <v>44466</v>
      </c>
      <c r="G463" s="24">
        <v>22231681</v>
      </c>
      <c r="H463" s="23">
        <v>5.0000000000000001E-3</v>
      </c>
      <c r="I463" s="39">
        <v>44470</v>
      </c>
      <c r="J463" s="39">
        <v>44500</v>
      </c>
      <c r="K463" s="24">
        <f t="shared" si="30"/>
        <v>31</v>
      </c>
      <c r="L463" s="24">
        <f t="shared" si="31"/>
        <v>9441</v>
      </c>
      <c r="M463" s="24">
        <v>22231681</v>
      </c>
      <c r="N463" s="39">
        <v>46291</v>
      </c>
    </row>
    <row r="464" spans="1:14" s="5" customFormat="1" outlineLevel="2">
      <c r="A464" s="39" t="s">
        <v>142</v>
      </c>
      <c r="B464" s="40" t="s">
        <v>415</v>
      </c>
      <c r="C464" s="41" t="s">
        <v>165</v>
      </c>
      <c r="D464" s="40" t="s">
        <v>166</v>
      </c>
      <c r="E464" s="24">
        <v>8010000</v>
      </c>
      <c r="F464" s="39">
        <v>44468</v>
      </c>
      <c r="G464" s="24">
        <v>8010000</v>
      </c>
      <c r="H464" s="23">
        <v>5.0000000000000001E-3</v>
      </c>
      <c r="I464" s="39">
        <v>44470</v>
      </c>
      <c r="J464" s="39">
        <v>44500</v>
      </c>
      <c r="K464" s="24">
        <f t="shared" si="30"/>
        <v>31</v>
      </c>
      <c r="L464" s="24">
        <f t="shared" si="31"/>
        <v>3402</v>
      </c>
      <c r="M464" s="24">
        <v>8010000</v>
      </c>
      <c r="N464" s="39">
        <v>45563</v>
      </c>
    </row>
    <row r="465" spans="1:14" s="5" customFormat="1" outlineLevel="2">
      <c r="A465" s="39" t="s">
        <v>142</v>
      </c>
      <c r="B465" s="40" t="s">
        <v>440</v>
      </c>
      <c r="C465" s="41" t="s">
        <v>149</v>
      </c>
      <c r="D465" s="40" t="s">
        <v>150</v>
      </c>
      <c r="E465" s="24">
        <v>3988404</v>
      </c>
      <c r="F465" s="39">
        <v>44477</v>
      </c>
      <c r="G465" s="24">
        <v>3988404</v>
      </c>
      <c r="H465" s="23">
        <v>5.0000000000000001E-3</v>
      </c>
      <c r="I465" s="39">
        <v>44477</v>
      </c>
      <c r="J465" s="39">
        <v>44500</v>
      </c>
      <c r="K465" s="24">
        <f t="shared" si="30"/>
        <v>24</v>
      </c>
      <c r="L465" s="24">
        <f t="shared" si="31"/>
        <v>1311</v>
      </c>
      <c r="M465" s="24">
        <v>3988404</v>
      </c>
      <c r="N465" s="39">
        <v>46302</v>
      </c>
    </row>
    <row r="466" spans="1:14" s="5" customFormat="1" outlineLevel="2">
      <c r="A466" s="39" t="s">
        <v>142</v>
      </c>
      <c r="B466" s="40" t="s">
        <v>439</v>
      </c>
      <c r="C466" s="41" t="s">
        <v>149</v>
      </c>
      <c r="D466" s="40" t="s">
        <v>150</v>
      </c>
      <c r="E466" s="24">
        <v>94885</v>
      </c>
      <c r="F466" s="39">
        <v>44498</v>
      </c>
      <c r="G466" s="24">
        <v>94885</v>
      </c>
      <c r="H466" s="23">
        <v>5.0000000000000001E-3</v>
      </c>
      <c r="I466" s="39">
        <v>44498</v>
      </c>
      <c r="J466" s="39">
        <v>44500</v>
      </c>
      <c r="K466" s="24">
        <f t="shared" si="30"/>
        <v>3</v>
      </c>
      <c r="L466" s="24">
        <f t="shared" si="31"/>
        <v>4</v>
      </c>
      <c r="M466" s="24">
        <v>94885</v>
      </c>
      <c r="N466" s="39">
        <v>46323</v>
      </c>
    </row>
    <row r="467" spans="1:14" s="5" customFormat="1" outlineLevel="2">
      <c r="A467" s="39" t="s">
        <v>142</v>
      </c>
      <c r="B467" s="40" t="s">
        <v>438</v>
      </c>
      <c r="C467" s="41" t="s">
        <v>149</v>
      </c>
      <c r="D467" s="40" t="s">
        <v>150</v>
      </c>
      <c r="E467" s="24">
        <v>255360</v>
      </c>
      <c r="F467" s="39">
        <v>44498</v>
      </c>
      <c r="G467" s="24">
        <v>255360</v>
      </c>
      <c r="H467" s="23">
        <v>5.0000000000000001E-3</v>
      </c>
      <c r="I467" s="39">
        <v>44498</v>
      </c>
      <c r="J467" s="39">
        <v>44500</v>
      </c>
      <c r="K467" s="24">
        <f t="shared" si="30"/>
        <v>3</v>
      </c>
      <c r="L467" s="24">
        <f t="shared" si="31"/>
        <v>10</v>
      </c>
      <c r="M467" s="24">
        <v>255360</v>
      </c>
      <c r="N467" s="39">
        <v>46323</v>
      </c>
    </row>
    <row r="468" spans="1:14" s="5" customFormat="1" outlineLevel="2">
      <c r="A468" s="39" t="s">
        <v>142</v>
      </c>
      <c r="B468" s="40" t="s">
        <v>437</v>
      </c>
      <c r="C468" s="41" t="s">
        <v>87</v>
      </c>
      <c r="D468" s="40" t="s">
        <v>88</v>
      </c>
      <c r="E468" s="24">
        <v>13481920</v>
      </c>
      <c r="F468" s="39">
        <v>44494</v>
      </c>
      <c r="G468" s="24">
        <v>13481920</v>
      </c>
      <c r="H468" s="23">
        <v>5.0000000000000001E-3</v>
      </c>
      <c r="I468" s="39">
        <v>44494</v>
      </c>
      <c r="J468" s="39">
        <v>44500</v>
      </c>
      <c r="K468" s="24">
        <f t="shared" si="30"/>
        <v>7</v>
      </c>
      <c r="L468" s="24">
        <f t="shared" si="31"/>
        <v>1293</v>
      </c>
      <c r="M468" s="24">
        <v>13481920</v>
      </c>
      <c r="N468" s="39">
        <v>46319</v>
      </c>
    </row>
    <row r="469" spans="1:14" s="5" customFormat="1" outlineLevel="2">
      <c r="A469" s="39" t="s">
        <v>142</v>
      </c>
      <c r="B469" s="40" t="s">
        <v>36</v>
      </c>
      <c r="C469" s="41" t="s">
        <v>161</v>
      </c>
      <c r="D469" s="40" t="s">
        <v>162</v>
      </c>
      <c r="E469" s="24">
        <v>240000000</v>
      </c>
      <c r="F469" s="39">
        <v>44000</v>
      </c>
      <c r="G469" s="24">
        <v>240000000</v>
      </c>
      <c r="H469" s="23">
        <v>5.0000000000000001E-3</v>
      </c>
      <c r="I469" s="39">
        <v>44470</v>
      </c>
      <c r="J469" s="39">
        <v>44500</v>
      </c>
      <c r="K469" s="24">
        <f t="shared" si="30"/>
        <v>31</v>
      </c>
      <c r="L469" s="24">
        <f t="shared" si="31"/>
        <v>101918</v>
      </c>
      <c r="M469" s="24">
        <v>240000000</v>
      </c>
      <c r="N469" s="39">
        <v>45825</v>
      </c>
    </row>
    <row r="470" spans="1:14" s="5" customFormat="1" outlineLevel="2">
      <c r="A470" s="39" t="s">
        <v>142</v>
      </c>
      <c r="B470" s="40" t="s">
        <v>436</v>
      </c>
      <c r="C470" s="41" t="s">
        <v>294</v>
      </c>
      <c r="D470" s="40" t="s">
        <v>295</v>
      </c>
      <c r="E470" s="24">
        <v>1000000000</v>
      </c>
      <c r="F470" s="39">
        <v>44495</v>
      </c>
      <c r="G470" s="24">
        <v>1000000000</v>
      </c>
      <c r="H470" s="23">
        <v>3.0000000000000001E-3</v>
      </c>
      <c r="I470" s="39">
        <v>44495</v>
      </c>
      <c r="J470" s="39">
        <v>44500</v>
      </c>
      <c r="K470" s="24">
        <f t="shared" si="30"/>
        <v>6</v>
      </c>
      <c r="L470" s="24">
        <f t="shared" si="31"/>
        <v>49315</v>
      </c>
      <c r="M470" s="24">
        <v>1000000000</v>
      </c>
      <c r="N470" s="39">
        <v>45590</v>
      </c>
    </row>
    <row r="471" spans="1:14" s="5" customFormat="1" outlineLevel="2">
      <c r="A471" s="39" t="s">
        <v>142</v>
      </c>
      <c r="B471" s="40" t="s">
        <v>435</v>
      </c>
      <c r="C471" s="41" t="s">
        <v>414</v>
      </c>
      <c r="D471" s="40" t="s">
        <v>413</v>
      </c>
      <c r="E471" s="24">
        <v>105700000</v>
      </c>
      <c r="F471" s="39">
        <v>44495</v>
      </c>
      <c r="G471" s="24">
        <v>105700000</v>
      </c>
      <c r="H471" s="23">
        <v>5.0000000000000001E-3</v>
      </c>
      <c r="I471" s="39">
        <v>44495</v>
      </c>
      <c r="J471" s="39">
        <v>44500</v>
      </c>
      <c r="K471" s="24">
        <f t="shared" si="30"/>
        <v>6</v>
      </c>
      <c r="L471" s="24">
        <f t="shared" si="31"/>
        <v>8688</v>
      </c>
      <c r="M471" s="24">
        <v>105700000</v>
      </c>
      <c r="N471" s="39">
        <v>45590</v>
      </c>
    </row>
    <row r="472" spans="1:14" s="5" customFormat="1" outlineLevel="2">
      <c r="A472" s="39" t="s">
        <v>142</v>
      </c>
      <c r="B472" s="40" t="s">
        <v>434</v>
      </c>
      <c r="C472" s="41" t="s">
        <v>97</v>
      </c>
      <c r="D472" s="40" t="s">
        <v>98</v>
      </c>
      <c r="E472" s="24">
        <v>102800000</v>
      </c>
      <c r="F472" s="39">
        <v>44497</v>
      </c>
      <c r="G472" s="24">
        <v>102800000</v>
      </c>
      <c r="H472" s="23">
        <v>5.0000000000000001E-3</v>
      </c>
      <c r="I472" s="39">
        <v>44497</v>
      </c>
      <c r="J472" s="39">
        <v>44500</v>
      </c>
      <c r="K472" s="24">
        <f t="shared" si="30"/>
        <v>4</v>
      </c>
      <c r="L472" s="24">
        <f t="shared" si="31"/>
        <v>5633</v>
      </c>
      <c r="M472" s="24">
        <v>102800000</v>
      </c>
      <c r="N472" s="39">
        <v>46322</v>
      </c>
    </row>
    <row r="473" spans="1:14" s="5" customFormat="1" outlineLevel="2">
      <c r="A473" s="39" t="s">
        <v>142</v>
      </c>
      <c r="B473" s="40" t="s">
        <v>433</v>
      </c>
      <c r="C473" s="41" t="s">
        <v>432</v>
      </c>
      <c r="D473" s="40" t="s">
        <v>431</v>
      </c>
      <c r="E473" s="24">
        <v>110000000</v>
      </c>
      <c r="F473" s="39">
        <v>44497</v>
      </c>
      <c r="G473" s="24">
        <v>110000000</v>
      </c>
      <c r="H473" s="23">
        <v>5.0000000000000001E-3</v>
      </c>
      <c r="I473" s="39">
        <v>44497</v>
      </c>
      <c r="J473" s="39">
        <v>44500</v>
      </c>
      <c r="K473" s="24">
        <f t="shared" si="30"/>
        <v>4</v>
      </c>
      <c r="L473" s="24">
        <f t="shared" si="31"/>
        <v>6027</v>
      </c>
      <c r="M473" s="24">
        <v>110000000</v>
      </c>
      <c r="N473" s="39">
        <v>45592</v>
      </c>
    </row>
    <row r="474" spans="1:14" s="5" customFormat="1" outlineLevel="2">
      <c r="A474" s="39" t="s">
        <v>142</v>
      </c>
      <c r="B474" s="40" t="s">
        <v>39</v>
      </c>
      <c r="C474" s="41" t="s">
        <v>143</v>
      </c>
      <c r="D474" s="40" t="s">
        <v>144</v>
      </c>
      <c r="E474" s="24">
        <v>57000000</v>
      </c>
      <c r="F474" s="39">
        <v>43822</v>
      </c>
      <c r="G474" s="24">
        <v>57000000</v>
      </c>
      <c r="H474" s="23">
        <v>5.0000000000000001E-3</v>
      </c>
      <c r="I474" s="39">
        <v>44470</v>
      </c>
      <c r="J474" s="39">
        <v>44500</v>
      </c>
      <c r="K474" s="24">
        <f t="shared" si="30"/>
        <v>31</v>
      </c>
      <c r="L474" s="24">
        <f t="shared" si="31"/>
        <v>24205</v>
      </c>
      <c r="M474" s="24">
        <v>57000000</v>
      </c>
      <c r="N474" s="39">
        <v>45648</v>
      </c>
    </row>
    <row r="475" spans="1:14" s="5" customFormat="1" outlineLevel="2">
      <c r="A475" s="39" t="s">
        <v>142</v>
      </c>
      <c r="B475" s="40" t="s">
        <v>40</v>
      </c>
      <c r="C475" s="41" t="s">
        <v>123</v>
      </c>
      <c r="D475" s="40" t="s">
        <v>124</v>
      </c>
      <c r="E475" s="24">
        <v>55000000</v>
      </c>
      <c r="F475" s="39">
        <v>44001</v>
      </c>
      <c r="G475" s="24">
        <v>55000000</v>
      </c>
      <c r="H475" s="23">
        <v>5.0000000000000001E-3</v>
      </c>
      <c r="I475" s="39">
        <v>44470</v>
      </c>
      <c r="J475" s="39">
        <v>44500</v>
      </c>
      <c r="K475" s="24">
        <f t="shared" si="30"/>
        <v>31</v>
      </c>
      <c r="L475" s="24">
        <f t="shared" si="31"/>
        <v>23356</v>
      </c>
      <c r="M475" s="24">
        <v>55000000</v>
      </c>
      <c r="N475" s="39">
        <v>45826</v>
      </c>
    </row>
    <row r="476" spans="1:14" s="5" customFormat="1" outlineLevel="2">
      <c r="A476" s="39" t="s">
        <v>142</v>
      </c>
      <c r="B476" s="40" t="s">
        <v>41</v>
      </c>
      <c r="C476" s="41" t="s">
        <v>87</v>
      </c>
      <c r="D476" s="40" t="s">
        <v>88</v>
      </c>
      <c r="E476" s="24">
        <v>8907064</v>
      </c>
      <c r="F476" s="39">
        <v>44006</v>
      </c>
      <c r="G476" s="24">
        <v>8907064</v>
      </c>
      <c r="H476" s="23">
        <v>5.0000000000000001E-3</v>
      </c>
      <c r="I476" s="39">
        <v>44470</v>
      </c>
      <c r="J476" s="39">
        <v>44500</v>
      </c>
      <c r="K476" s="24">
        <f t="shared" si="30"/>
        <v>31</v>
      </c>
      <c r="L476" s="24">
        <f t="shared" si="31"/>
        <v>3782</v>
      </c>
      <c r="M476" s="24">
        <v>8907064</v>
      </c>
      <c r="N476" s="39">
        <v>45831</v>
      </c>
    </row>
    <row r="477" spans="1:14" s="5" customFormat="1" outlineLevel="2">
      <c r="A477" s="39" t="s">
        <v>142</v>
      </c>
      <c r="B477" s="40" t="s">
        <v>42</v>
      </c>
      <c r="C477" s="41" t="s">
        <v>149</v>
      </c>
      <c r="D477" s="40" t="s">
        <v>150</v>
      </c>
      <c r="E477" s="24">
        <v>7560000</v>
      </c>
      <c r="F477" s="39">
        <v>44018</v>
      </c>
      <c r="G477" s="24">
        <v>7560000</v>
      </c>
      <c r="H477" s="23">
        <v>5.0000000000000001E-3</v>
      </c>
      <c r="I477" s="39">
        <v>44470</v>
      </c>
      <c r="J477" s="39">
        <v>44500</v>
      </c>
      <c r="K477" s="24">
        <f t="shared" si="30"/>
        <v>31</v>
      </c>
      <c r="L477" s="24">
        <f t="shared" si="31"/>
        <v>3210</v>
      </c>
      <c r="M477" s="24">
        <v>7560000</v>
      </c>
      <c r="N477" s="39">
        <v>45843</v>
      </c>
    </row>
    <row r="478" spans="1:14" s="5" customFormat="1" outlineLevel="2">
      <c r="A478" s="39" t="s">
        <v>142</v>
      </c>
      <c r="B478" s="40" t="s">
        <v>43</v>
      </c>
      <c r="C478" s="41" t="s">
        <v>143</v>
      </c>
      <c r="D478" s="40" t="s">
        <v>144</v>
      </c>
      <c r="E478" s="24">
        <v>38000000</v>
      </c>
      <c r="F478" s="39">
        <v>44022</v>
      </c>
      <c r="G478" s="24">
        <v>38000000</v>
      </c>
      <c r="H478" s="23">
        <v>5.0000000000000001E-3</v>
      </c>
      <c r="I478" s="39">
        <v>44470</v>
      </c>
      <c r="J478" s="39">
        <v>44500</v>
      </c>
      <c r="K478" s="24">
        <f t="shared" si="30"/>
        <v>31</v>
      </c>
      <c r="L478" s="24">
        <f t="shared" si="31"/>
        <v>16137</v>
      </c>
      <c r="M478" s="24">
        <v>38000000</v>
      </c>
      <c r="N478" s="39">
        <v>45847</v>
      </c>
    </row>
    <row r="479" spans="1:14" s="5" customFormat="1" outlineLevel="2">
      <c r="A479" s="39" t="s">
        <v>142</v>
      </c>
      <c r="B479" s="40" t="s">
        <v>44</v>
      </c>
      <c r="C479" s="41" t="s">
        <v>143</v>
      </c>
      <c r="D479" s="40" t="s">
        <v>144</v>
      </c>
      <c r="E479" s="24">
        <v>10500000</v>
      </c>
      <c r="F479" s="39">
        <v>44022</v>
      </c>
      <c r="G479" s="24">
        <v>10500000</v>
      </c>
      <c r="H479" s="23">
        <v>5.0000000000000001E-3</v>
      </c>
      <c r="I479" s="39">
        <v>44470</v>
      </c>
      <c r="J479" s="39">
        <v>44500</v>
      </c>
      <c r="K479" s="24">
        <f t="shared" si="30"/>
        <v>31</v>
      </c>
      <c r="L479" s="24">
        <f t="shared" si="31"/>
        <v>4459</v>
      </c>
      <c r="M479" s="24">
        <v>10500000</v>
      </c>
      <c r="N479" s="39">
        <v>45847</v>
      </c>
    </row>
    <row r="480" spans="1:14" s="5" customFormat="1" outlineLevel="2">
      <c r="A480" s="39" t="s">
        <v>142</v>
      </c>
      <c r="B480" s="40" t="s">
        <v>47</v>
      </c>
      <c r="C480" s="41" t="s">
        <v>163</v>
      </c>
      <c r="D480" s="40" t="s">
        <v>164</v>
      </c>
      <c r="E480" s="24">
        <v>72000000</v>
      </c>
      <c r="F480" s="39">
        <v>44025</v>
      </c>
      <c r="G480" s="24">
        <v>63529412</v>
      </c>
      <c r="H480" s="23">
        <v>5.0000000000000001E-3</v>
      </c>
      <c r="I480" s="39">
        <v>44470</v>
      </c>
      <c r="J480" s="39">
        <v>44483</v>
      </c>
      <c r="K480" s="24">
        <f t="shared" si="30"/>
        <v>14</v>
      </c>
      <c r="L480" s="24">
        <f t="shared" si="31"/>
        <v>12184</v>
      </c>
      <c r="M480" s="24">
        <v>62924370</v>
      </c>
      <c r="N480" s="39">
        <v>45850</v>
      </c>
    </row>
    <row r="481" spans="1:14" s="5" customFormat="1" outlineLevel="2">
      <c r="A481" s="39" t="s">
        <v>142</v>
      </c>
      <c r="B481" s="40" t="s">
        <v>47</v>
      </c>
      <c r="C481" s="41" t="s">
        <v>163</v>
      </c>
      <c r="D481" s="40"/>
      <c r="E481" s="24"/>
      <c r="F481" s="39"/>
      <c r="G481" s="24">
        <v>62924370</v>
      </c>
      <c r="H481" s="23">
        <v>5.0000000000000001E-3</v>
      </c>
      <c r="I481" s="39">
        <v>44484</v>
      </c>
      <c r="J481" s="39">
        <v>44500</v>
      </c>
      <c r="K481" s="24">
        <f t="shared" si="30"/>
        <v>17</v>
      </c>
      <c r="L481" s="24">
        <f t="shared" si="31"/>
        <v>14654</v>
      </c>
      <c r="M481" s="24"/>
      <c r="N481" s="39">
        <v>45850</v>
      </c>
    </row>
    <row r="482" spans="1:14" s="5" customFormat="1" outlineLevel="2">
      <c r="A482" s="39" t="s">
        <v>142</v>
      </c>
      <c r="B482" s="40" t="s">
        <v>50</v>
      </c>
      <c r="C482" s="41" t="s">
        <v>97</v>
      </c>
      <c r="D482" s="40" t="s">
        <v>98</v>
      </c>
      <c r="E482" s="24">
        <v>87500000</v>
      </c>
      <c r="F482" s="39">
        <v>44027</v>
      </c>
      <c r="G482" s="24">
        <v>87500000</v>
      </c>
      <c r="H482" s="23">
        <v>5.0000000000000001E-3</v>
      </c>
      <c r="I482" s="39">
        <v>44470</v>
      </c>
      <c r="J482" s="39">
        <v>44500</v>
      </c>
      <c r="K482" s="24">
        <f t="shared" si="30"/>
        <v>31</v>
      </c>
      <c r="L482" s="24">
        <f t="shared" si="31"/>
        <v>37158</v>
      </c>
      <c r="M482" s="24">
        <v>87500000</v>
      </c>
      <c r="N482" s="39">
        <v>45852</v>
      </c>
    </row>
    <row r="483" spans="1:14" s="5" customFormat="1" outlineLevel="2">
      <c r="A483" s="39" t="s">
        <v>142</v>
      </c>
      <c r="B483" s="40" t="s">
        <v>51</v>
      </c>
      <c r="C483" s="41" t="s">
        <v>165</v>
      </c>
      <c r="D483" s="40" t="s">
        <v>166</v>
      </c>
      <c r="E483" s="24">
        <v>84000000</v>
      </c>
      <c r="F483" s="39">
        <v>44027</v>
      </c>
      <c r="G483" s="24">
        <v>77000000</v>
      </c>
      <c r="H483" s="23">
        <v>5.0000000000000001E-3</v>
      </c>
      <c r="I483" s="39">
        <v>44470</v>
      </c>
      <c r="J483" s="39">
        <v>44483</v>
      </c>
      <c r="K483" s="24">
        <f t="shared" si="30"/>
        <v>14</v>
      </c>
      <c r="L483" s="24">
        <f t="shared" si="31"/>
        <v>14767</v>
      </c>
      <c r="M483" s="24">
        <v>73500000</v>
      </c>
      <c r="N483" s="39">
        <v>45121</v>
      </c>
    </row>
    <row r="484" spans="1:14" s="5" customFormat="1" outlineLevel="2">
      <c r="A484" s="39" t="s">
        <v>142</v>
      </c>
      <c r="B484" s="40" t="s">
        <v>51</v>
      </c>
      <c r="C484" s="41" t="s">
        <v>165</v>
      </c>
      <c r="D484" s="40"/>
      <c r="E484" s="24"/>
      <c r="F484" s="39"/>
      <c r="G484" s="24">
        <v>73500000</v>
      </c>
      <c r="H484" s="23">
        <v>5.0000000000000001E-3</v>
      </c>
      <c r="I484" s="39">
        <v>44484</v>
      </c>
      <c r="J484" s="39">
        <v>44500</v>
      </c>
      <c r="K484" s="24">
        <f t="shared" si="30"/>
        <v>17</v>
      </c>
      <c r="L484" s="24">
        <f t="shared" si="31"/>
        <v>17116</v>
      </c>
      <c r="M484" s="24"/>
      <c r="N484" s="39">
        <v>45121</v>
      </c>
    </row>
    <row r="485" spans="1:14" s="5" customFormat="1" outlineLevel="2">
      <c r="A485" s="39" t="s">
        <v>142</v>
      </c>
      <c r="B485" s="40" t="s">
        <v>52</v>
      </c>
      <c r="C485" s="41" t="s">
        <v>30</v>
      </c>
      <c r="D485" s="40" t="s">
        <v>31</v>
      </c>
      <c r="E485" s="24">
        <v>12230000</v>
      </c>
      <c r="F485" s="39">
        <v>44034</v>
      </c>
      <c r="G485" s="24">
        <v>12230000</v>
      </c>
      <c r="H485" s="23">
        <v>5.0000000000000001E-3</v>
      </c>
      <c r="I485" s="39">
        <v>44470</v>
      </c>
      <c r="J485" s="39">
        <v>44500</v>
      </c>
      <c r="K485" s="24">
        <f t="shared" si="30"/>
        <v>31</v>
      </c>
      <c r="L485" s="24">
        <f t="shared" si="31"/>
        <v>5194</v>
      </c>
      <c r="M485" s="24">
        <v>12230000</v>
      </c>
      <c r="N485" s="39">
        <v>45859</v>
      </c>
    </row>
    <row r="486" spans="1:14" s="5" customFormat="1" outlineLevel="2">
      <c r="A486" s="39" t="s">
        <v>142</v>
      </c>
      <c r="B486" s="40" t="s">
        <v>53</v>
      </c>
      <c r="C486" s="41" t="s">
        <v>123</v>
      </c>
      <c r="D486" s="40" t="s">
        <v>124</v>
      </c>
      <c r="E486" s="24">
        <v>40000000</v>
      </c>
      <c r="F486" s="39">
        <v>44040</v>
      </c>
      <c r="G486" s="24">
        <v>40000000</v>
      </c>
      <c r="H486" s="23">
        <v>5.0000000000000001E-3</v>
      </c>
      <c r="I486" s="39">
        <v>44470</v>
      </c>
      <c r="J486" s="39">
        <v>44500</v>
      </c>
      <c r="K486" s="24">
        <f t="shared" si="30"/>
        <v>31</v>
      </c>
      <c r="L486" s="24">
        <f t="shared" si="31"/>
        <v>16986</v>
      </c>
      <c r="M486" s="24">
        <v>40000000</v>
      </c>
      <c r="N486" s="39">
        <v>45865</v>
      </c>
    </row>
    <row r="487" spans="1:14" s="5" customFormat="1" outlineLevel="2">
      <c r="A487" s="39" t="s">
        <v>142</v>
      </c>
      <c r="B487" s="40" t="s">
        <v>54</v>
      </c>
      <c r="C487" s="41" t="s">
        <v>121</v>
      </c>
      <c r="D487" s="40" t="s">
        <v>122</v>
      </c>
      <c r="E487" s="24">
        <v>171000000</v>
      </c>
      <c r="F487" s="39">
        <v>43822</v>
      </c>
      <c r="G487" s="24">
        <v>171000000</v>
      </c>
      <c r="H487" s="23">
        <v>5.0000000000000001E-3</v>
      </c>
      <c r="I487" s="39">
        <v>44470</v>
      </c>
      <c r="J487" s="39">
        <v>44500</v>
      </c>
      <c r="K487" s="24">
        <f t="shared" si="30"/>
        <v>31</v>
      </c>
      <c r="L487" s="24">
        <f t="shared" si="31"/>
        <v>72616</v>
      </c>
      <c r="M487" s="24">
        <v>171000000</v>
      </c>
      <c r="N487" s="39">
        <v>45648</v>
      </c>
    </row>
    <row r="488" spans="1:14" s="5" customFormat="1" outlineLevel="2">
      <c r="A488" s="39" t="s">
        <v>142</v>
      </c>
      <c r="B488" s="40" t="s">
        <v>57</v>
      </c>
      <c r="C488" s="41" t="s">
        <v>167</v>
      </c>
      <c r="D488" s="40" t="s">
        <v>168</v>
      </c>
      <c r="E488" s="24">
        <v>18000000</v>
      </c>
      <c r="F488" s="39">
        <v>44043</v>
      </c>
      <c r="G488" s="24">
        <v>17250000</v>
      </c>
      <c r="H488" s="23">
        <v>5.0000000000000001E-3</v>
      </c>
      <c r="I488" s="39">
        <v>44470</v>
      </c>
      <c r="J488" s="39">
        <v>44483</v>
      </c>
      <c r="K488" s="24">
        <f t="shared" si="30"/>
        <v>14</v>
      </c>
      <c r="L488" s="24">
        <f t="shared" si="31"/>
        <v>3308</v>
      </c>
      <c r="M488" s="24">
        <v>16875000</v>
      </c>
      <c r="N488" s="39">
        <v>45868</v>
      </c>
    </row>
    <row r="489" spans="1:14" s="5" customFormat="1" outlineLevel="2">
      <c r="A489" s="39" t="s">
        <v>142</v>
      </c>
      <c r="B489" s="40" t="s">
        <v>57</v>
      </c>
      <c r="C489" s="41" t="s">
        <v>167</v>
      </c>
      <c r="D489" s="40"/>
      <c r="E489" s="24"/>
      <c r="F489" s="39"/>
      <c r="G489" s="24">
        <v>16875000</v>
      </c>
      <c r="H489" s="23">
        <v>5.0000000000000001E-3</v>
      </c>
      <c r="I489" s="39">
        <v>44484</v>
      </c>
      <c r="J489" s="39">
        <v>44500</v>
      </c>
      <c r="K489" s="24">
        <f t="shared" si="30"/>
        <v>17</v>
      </c>
      <c r="L489" s="24">
        <f t="shared" si="31"/>
        <v>3930</v>
      </c>
      <c r="M489" s="24"/>
      <c r="N489" s="39">
        <v>45868</v>
      </c>
    </row>
    <row r="490" spans="1:14" s="5" customFormat="1" outlineLevel="2">
      <c r="A490" s="39" t="s">
        <v>142</v>
      </c>
      <c r="B490" s="40" t="s">
        <v>58</v>
      </c>
      <c r="C490" s="41" t="s">
        <v>167</v>
      </c>
      <c r="D490" s="40" t="s">
        <v>168</v>
      </c>
      <c r="E490" s="24">
        <v>21000000</v>
      </c>
      <c r="F490" s="39">
        <v>44043</v>
      </c>
      <c r="G490" s="24">
        <v>20125000</v>
      </c>
      <c r="H490" s="23">
        <v>5.0000000000000001E-3</v>
      </c>
      <c r="I490" s="39">
        <v>44470</v>
      </c>
      <c r="J490" s="39">
        <v>44483</v>
      </c>
      <c r="K490" s="24">
        <f t="shared" si="30"/>
        <v>14</v>
      </c>
      <c r="L490" s="24">
        <f t="shared" si="31"/>
        <v>3860</v>
      </c>
      <c r="M490" s="24">
        <v>19687500</v>
      </c>
      <c r="N490" s="39">
        <v>45868</v>
      </c>
    </row>
    <row r="491" spans="1:14" s="5" customFormat="1" outlineLevel="2">
      <c r="A491" s="39" t="s">
        <v>142</v>
      </c>
      <c r="B491" s="40" t="s">
        <v>58</v>
      </c>
      <c r="C491" s="41" t="s">
        <v>167</v>
      </c>
      <c r="D491" s="40"/>
      <c r="E491" s="24"/>
      <c r="F491" s="39"/>
      <c r="G491" s="24">
        <v>19687500</v>
      </c>
      <c r="H491" s="23">
        <v>5.0000000000000001E-3</v>
      </c>
      <c r="I491" s="39">
        <v>44484</v>
      </c>
      <c r="J491" s="39">
        <v>44500</v>
      </c>
      <c r="K491" s="24">
        <f t="shared" si="30"/>
        <v>17</v>
      </c>
      <c r="L491" s="24">
        <f t="shared" si="31"/>
        <v>4585</v>
      </c>
      <c r="M491" s="24"/>
      <c r="N491" s="39">
        <v>45868</v>
      </c>
    </row>
    <row r="492" spans="1:14" s="5" customFormat="1" outlineLevel="2">
      <c r="A492" s="39" t="s">
        <v>142</v>
      </c>
      <c r="B492" s="40" t="s">
        <v>99</v>
      </c>
      <c r="C492" s="41" t="s">
        <v>167</v>
      </c>
      <c r="D492" s="40" t="s">
        <v>168</v>
      </c>
      <c r="E492" s="24">
        <v>13600000</v>
      </c>
      <c r="F492" s="39">
        <v>44043</v>
      </c>
      <c r="G492" s="24">
        <v>13033334</v>
      </c>
      <c r="H492" s="23">
        <v>5.0000000000000001E-3</v>
      </c>
      <c r="I492" s="39">
        <v>44470</v>
      </c>
      <c r="J492" s="39">
        <v>44483</v>
      </c>
      <c r="K492" s="24">
        <f t="shared" si="30"/>
        <v>14</v>
      </c>
      <c r="L492" s="24">
        <f t="shared" si="31"/>
        <v>2500</v>
      </c>
      <c r="M492" s="24">
        <v>12750001</v>
      </c>
      <c r="N492" s="39">
        <v>45868</v>
      </c>
    </row>
    <row r="493" spans="1:14" s="5" customFormat="1" outlineLevel="2">
      <c r="A493" s="39" t="s">
        <v>142</v>
      </c>
      <c r="B493" s="40" t="s">
        <v>99</v>
      </c>
      <c r="C493" s="41" t="s">
        <v>167</v>
      </c>
      <c r="D493" s="40"/>
      <c r="E493" s="24"/>
      <c r="F493" s="39"/>
      <c r="G493" s="24">
        <v>12750001</v>
      </c>
      <c r="H493" s="23">
        <v>5.0000000000000001E-3</v>
      </c>
      <c r="I493" s="39">
        <v>44484</v>
      </c>
      <c r="J493" s="39">
        <v>44500</v>
      </c>
      <c r="K493" s="24">
        <f t="shared" si="30"/>
        <v>17</v>
      </c>
      <c r="L493" s="24">
        <f t="shared" si="31"/>
        <v>2969</v>
      </c>
      <c r="M493" s="24"/>
      <c r="N493" s="39">
        <v>45868</v>
      </c>
    </row>
    <row r="494" spans="1:14" s="5" customFormat="1" outlineLevel="2">
      <c r="A494" s="39" t="s">
        <v>142</v>
      </c>
      <c r="B494" s="40" t="s">
        <v>100</v>
      </c>
      <c r="C494" s="41" t="s">
        <v>143</v>
      </c>
      <c r="D494" s="40" t="s">
        <v>144</v>
      </c>
      <c r="E494" s="24">
        <v>28000000</v>
      </c>
      <c r="F494" s="39">
        <v>44046</v>
      </c>
      <c r="G494" s="24">
        <v>28000000</v>
      </c>
      <c r="H494" s="23">
        <v>5.0000000000000001E-3</v>
      </c>
      <c r="I494" s="39">
        <v>44470</v>
      </c>
      <c r="J494" s="39">
        <v>44500</v>
      </c>
      <c r="K494" s="24">
        <f t="shared" ref="K494:K557" si="32">J494-I494+1</f>
        <v>31</v>
      </c>
      <c r="L494" s="24">
        <f t="shared" ref="L494:L557" si="33">ROUND(G494*H494*K494/365,0)</f>
        <v>11890</v>
      </c>
      <c r="M494" s="24">
        <v>28000000</v>
      </c>
      <c r="N494" s="39">
        <v>45871</v>
      </c>
    </row>
    <row r="495" spans="1:14" s="5" customFormat="1" outlineLevel="2">
      <c r="A495" s="39" t="s">
        <v>142</v>
      </c>
      <c r="B495" s="40" t="s">
        <v>101</v>
      </c>
      <c r="C495" s="41" t="s">
        <v>143</v>
      </c>
      <c r="D495" s="40" t="s">
        <v>144</v>
      </c>
      <c r="E495" s="24">
        <v>2700000</v>
      </c>
      <c r="F495" s="39">
        <v>44056</v>
      </c>
      <c r="G495" s="24">
        <v>2700000</v>
      </c>
      <c r="H495" s="23">
        <v>5.0000000000000001E-3</v>
      </c>
      <c r="I495" s="39">
        <v>44470</v>
      </c>
      <c r="J495" s="39">
        <v>44500</v>
      </c>
      <c r="K495" s="24">
        <f t="shared" si="32"/>
        <v>31</v>
      </c>
      <c r="L495" s="24">
        <f t="shared" si="33"/>
        <v>1147</v>
      </c>
      <c r="M495" s="24">
        <v>2700000</v>
      </c>
      <c r="N495" s="39">
        <v>45881</v>
      </c>
    </row>
    <row r="496" spans="1:14" s="5" customFormat="1" outlineLevel="2">
      <c r="A496" s="39" t="s">
        <v>142</v>
      </c>
      <c r="B496" s="40" t="s">
        <v>102</v>
      </c>
      <c r="C496" s="41" t="s">
        <v>143</v>
      </c>
      <c r="D496" s="40" t="s">
        <v>144</v>
      </c>
      <c r="E496" s="24">
        <v>29500000</v>
      </c>
      <c r="F496" s="39">
        <v>44074</v>
      </c>
      <c r="G496" s="24">
        <v>29500000</v>
      </c>
      <c r="H496" s="23">
        <v>5.0000000000000001E-3</v>
      </c>
      <c r="I496" s="39">
        <v>44470</v>
      </c>
      <c r="J496" s="39">
        <v>44500</v>
      </c>
      <c r="K496" s="24">
        <f t="shared" si="32"/>
        <v>31</v>
      </c>
      <c r="L496" s="24">
        <f t="shared" si="33"/>
        <v>12527</v>
      </c>
      <c r="M496" s="24">
        <v>29500000</v>
      </c>
      <c r="N496" s="39">
        <v>45899</v>
      </c>
    </row>
    <row r="497" spans="1:14" s="5" customFormat="1" outlineLevel="2">
      <c r="A497" s="39" t="s">
        <v>142</v>
      </c>
      <c r="B497" s="40" t="s">
        <v>103</v>
      </c>
      <c r="C497" s="41" t="s">
        <v>79</v>
      </c>
      <c r="D497" s="40" t="s">
        <v>80</v>
      </c>
      <c r="E497" s="24">
        <v>120000000</v>
      </c>
      <c r="F497" s="39">
        <v>44046</v>
      </c>
      <c r="G497" s="24">
        <v>120000000</v>
      </c>
      <c r="H497" s="23">
        <v>5.0000000000000001E-3</v>
      </c>
      <c r="I497" s="39">
        <v>44470</v>
      </c>
      <c r="J497" s="39">
        <v>44500</v>
      </c>
      <c r="K497" s="24">
        <f t="shared" si="32"/>
        <v>31</v>
      </c>
      <c r="L497" s="24">
        <f t="shared" si="33"/>
        <v>50959</v>
      </c>
      <c r="M497" s="24">
        <v>120000000</v>
      </c>
      <c r="N497" s="39">
        <v>45871</v>
      </c>
    </row>
    <row r="498" spans="1:14" s="5" customFormat="1" outlineLevel="2">
      <c r="A498" s="39" t="s">
        <v>142</v>
      </c>
      <c r="B498" s="40" t="s">
        <v>104</v>
      </c>
      <c r="C498" s="41" t="s">
        <v>149</v>
      </c>
      <c r="D498" s="40" t="s">
        <v>150</v>
      </c>
      <c r="E498" s="24">
        <v>8736000</v>
      </c>
      <c r="F498" s="39">
        <v>44047</v>
      </c>
      <c r="G498" s="24">
        <v>8736000</v>
      </c>
      <c r="H498" s="23">
        <v>5.0000000000000001E-3</v>
      </c>
      <c r="I498" s="39">
        <v>44470</v>
      </c>
      <c r="J498" s="39">
        <v>44500</v>
      </c>
      <c r="K498" s="24">
        <f t="shared" si="32"/>
        <v>31</v>
      </c>
      <c r="L498" s="24">
        <f t="shared" si="33"/>
        <v>3710</v>
      </c>
      <c r="M498" s="24">
        <v>8736000</v>
      </c>
      <c r="N498" s="39">
        <v>45872</v>
      </c>
    </row>
    <row r="499" spans="1:14" s="5" customFormat="1" outlineLevel="2">
      <c r="A499" s="39" t="s">
        <v>142</v>
      </c>
      <c r="B499" s="40" t="s">
        <v>105</v>
      </c>
      <c r="C499" s="41" t="s">
        <v>149</v>
      </c>
      <c r="D499" s="40" t="s">
        <v>150</v>
      </c>
      <c r="E499" s="24">
        <v>8988000</v>
      </c>
      <c r="F499" s="39">
        <v>44067</v>
      </c>
      <c r="G499" s="24">
        <v>8988000</v>
      </c>
      <c r="H499" s="23">
        <v>5.0000000000000001E-3</v>
      </c>
      <c r="I499" s="39">
        <v>44470</v>
      </c>
      <c r="J499" s="39">
        <v>44500</v>
      </c>
      <c r="K499" s="24">
        <f t="shared" si="32"/>
        <v>31</v>
      </c>
      <c r="L499" s="24">
        <f t="shared" si="33"/>
        <v>3817</v>
      </c>
      <c r="M499" s="24">
        <v>8988000</v>
      </c>
      <c r="N499" s="39">
        <v>45892</v>
      </c>
    </row>
    <row r="500" spans="1:14" s="5" customFormat="1" outlineLevel="2">
      <c r="A500" s="39" t="s">
        <v>142</v>
      </c>
      <c r="B500" s="40" t="s">
        <v>106</v>
      </c>
      <c r="C500" s="41" t="s">
        <v>149</v>
      </c>
      <c r="D500" s="40" t="s">
        <v>150</v>
      </c>
      <c r="E500" s="24">
        <v>34608000</v>
      </c>
      <c r="F500" s="39">
        <v>44070</v>
      </c>
      <c r="G500" s="24">
        <v>34608000</v>
      </c>
      <c r="H500" s="23">
        <v>5.0000000000000001E-3</v>
      </c>
      <c r="I500" s="39">
        <v>44470</v>
      </c>
      <c r="J500" s="39">
        <v>44500</v>
      </c>
      <c r="K500" s="24">
        <f t="shared" si="32"/>
        <v>31</v>
      </c>
      <c r="L500" s="24">
        <f t="shared" si="33"/>
        <v>14697</v>
      </c>
      <c r="M500" s="24">
        <v>34608000</v>
      </c>
      <c r="N500" s="39">
        <v>45895</v>
      </c>
    </row>
    <row r="501" spans="1:14" s="5" customFormat="1" outlineLevel="2">
      <c r="A501" s="39" t="s">
        <v>142</v>
      </c>
      <c r="B501" s="40" t="s">
        <v>59</v>
      </c>
      <c r="C501" s="41" t="s">
        <v>143</v>
      </c>
      <c r="D501" s="40" t="s">
        <v>144</v>
      </c>
      <c r="E501" s="24">
        <v>38000000</v>
      </c>
      <c r="F501" s="39">
        <v>43850</v>
      </c>
      <c r="G501" s="24">
        <v>38000000</v>
      </c>
      <c r="H501" s="23">
        <v>5.0000000000000001E-3</v>
      </c>
      <c r="I501" s="39">
        <v>44470</v>
      </c>
      <c r="J501" s="39">
        <v>44500</v>
      </c>
      <c r="K501" s="24">
        <f t="shared" si="32"/>
        <v>31</v>
      </c>
      <c r="L501" s="24">
        <f t="shared" si="33"/>
        <v>16137</v>
      </c>
      <c r="M501" s="24">
        <v>38000000</v>
      </c>
      <c r="N501" s="39">
        <v>45676</v>
      </c>
    </row>
    <row r="502" spans="1:14" s="5" customFormat="1" outlineLevel="2">
      <c r="A502" s="39" t="s">
        <v>142</v>
      </c>
      <c r="B502" s="40" t="s">
        <v>136</v>
      </c>
      <c r="C502" s="41" t="s">
        <v>146</v>
      </c>
      <c r="D502" s="40" t="s">
        <v>147</v>
      </c>
      <c r="E502" s="24">
        <v>13000000</v>
      </c>
      <c r="F502" s="39">
        <v>44047</v>
      </c>
      <c r="G502" s="24">
        <v>13000000</v>
      </c>
      <c r="H502" s="23">
        <v>5.0000000000000001E-3</v>
      </c>
      <c r="I502" s="39">
        <v>44470</v>
      </c>
      <c r="J502" s="39">
        <v>44500</v>
      </c>
      <c r="K502" s="24">
        <f t="shared" si="32"/>
        <v>31</v>
      </c>
      <c r="L502" s="24">
        <f t="shared" si="33"/>
        <v>5521</v>
      </c>
      <c r="M502" s="24">
        <v>13000000</v>
      </c>
      <c r="N502" s="39">
        <v>45872</v>
      </c>
    </row>
    <row r="503" spans="1:14" s="5" customFormat="1" outlineLevel="2">
      <c r="A503" s="39" t="s">
        <v>142</v>
      </c>
      <c r="B503" s="40" t="s">
        <v>137</v>
      </c>
      <c r="C503" s="41" t="s">
        <v>146</v>
      </c>
      <c r="D503" s="40" t="s">
        <v>147</v>
      </c>
      <c r="E503" s="24">
        <v>5000000</v>
      </c>
      <c r="F503" s="39">
        <v>44053</v>
      </c>
      <c r="G503" s="24">
        <v>5000000</v>
      </c>
      <c r="H503" s="23">
        <v>5.0000000000000001E-3</v>
      </c>
      <c r="I503" s="39">
        <v>44470</v>
      </c>
      <c r="J503" s="39">
        <v>44500</v>
      </c>
      <c r="K503" s="24">
        <f t="shared" si="32"/>
        <v>31</v>
      </c>
      <c r="L503" s="24">
        <f t="shared" si="33"/>
        <v>2123</v>
      </c>
      <c r="M503" s="24">
        <v>5000000</v>
      </c>
      <c r="N503" s="39">
        <v>45878</v>
      </c>
    </row>
    <row r="504" spans="1:14" s="5" customFormat="1" outlineLevel="2">
      <c r="A504" s="39" t="s">
        <v>142</v>
      </c>
      <c r="B504" s="40" t="s">
        <v>138</v>
      </c>
      <c r="C504" s="41" t="s">
        <v>163</v>
      </c>
      <c r="D504" s="40" t="s">
        <v>164</v>
      </c>
      <c r="E504" s="24">
        <v>5300000</v>
      </c>
      <c r="F504" s="39">
        <v>44050</v>
      </c>
      <c r="G504" s="24">
        <v>4716105</v>
      </c>
      <c r="H504" s="23">
        <v>5.0000000000000001E-3</v>
      </c>
      <c r="I504" s="39">
        <v>44470</v>
      </c>
      <c r="J504" s="39">
        <v>44483</v>
      </c>
      <c r="K504" s="24">
        <f t="shared" si="32"/>
        <v>14</v>
      </c>
      <c r="L504" s="24">
        <f t="shared" si="33"/>
        <v>904</v>
      </c>
      <c r="M504" s="24">
        <v>4671190</v>
      </c>
      <c r="N504" s="39">
        <v>45875</v>
      </c>
    </row>
    <row r="505" spans="1:14" s="5" customFormat="1" outlineLevel="2">
      <c r="A505" s="39" t="s">
        <v>142</v>
      </c>
      <c r="B505" s="40" t="s">
        <v>138</v>
      </c>
      <c r="C505" s="41" t="s">
        <v>163</v>
      </c>
      <c r="D505" s="40"/>
      <c r="E505" s="24"/>
      <c r="F505" s="39"/>
      <c r="G505" s="24">
        <v>4671190</v>
      </c>
      <c r="H505" s="23">
        <v>5.0000000000000001E-3</v>
      </c>
      <c r="I505" s="39">
        <v>44484</v>
      </c>
      <c r="J505" s="39">
        <v>44500</v>
      </c>
      <c r="K505" s="24">
        <f t="shared" si="32"/>
        <v>17</v>
      </c>
      <c r="L505" s="24">
        <f t="shared" si="33"/>
        <v>1088</v>
      </c>
      <c r="M505" s="24"/>
      <c r="N505" s="39">
        <v>45875</v>
      </c>
    </row>
    <row r="506" spans="1:14" s="5" customFormat="1" outlineLevel="2">
      <c r="A506" s="39" t="s">
        <v>142</v>
      </c>
      <c r="B506" s="40" t="s">
        <v>139</v>
      </c>
      <c r="C506" s="41" t="s">
        <v>117</v>
      </c>
      <c r="D506" s="40" t="s">
        <v>118</v>
      </c>
      <c r="E506" s="24">
        <v>40000000</v>
      </c>
      <c r="F506" s="39">
        <v>44060</v>
      </c>
      <c r="G506" s="24">
        <v>40000000</v>
      </c>
      <c r="H506" s="23">
        <v>5.0000000000000001E-3</v>
      </c>
      <c r="I506" s="39">
        <v>44470</v>
      </c>
      <c r="J506" s="39">
        <v>44500</v>
      </c>
      <c r="K506" s="24">
        <f t="shared" si="32"/>
        <v>31</v>
      </c>
      <c r="L506" s="24">
        <f t="shared" si="33"/>
        <v>16986</v>
      </c>
      <c r="M506" s="24">
        <v>40000000</v>
      </c>
      <c r="N506" s="39">
        <v>45885</v>
      </c>
    </row>
    <row r="507" spans="1:14" s="5" customFormat="1" outlineLevel="2">
      <c r="A507" s="39" t="s">
        <v>142</v>
      </c>
      <c r="B507" s="40" t="s">
        <v>140</v>
      </c>
      <c r="C507" s="41" t="s">
        <v>45</v>
      </c>
      <c r="D507" s="40" t="s">
        <v>46</v>
      </c>
      <c r="E507" s="24">
        <v>10000000</v>
      </c>
      <c r="F507" s="39">
        <v>44067</v>
      </c>
      <c r="G507" s="24">
        <v>10000000</v>
      </c>
      <c r="H507" s="23">
        <v>5.0000000000000001E-3</v>
      </c>
      <c r="I507" s="39">
        <v>44470</v>
      </c>
      <c r="J507" s="39">
        <v>44500</v>
      </c>
      <c r="K507" s="24">
        <f t="shared" si="32"/>
        <v>31</v>
      </c>
      <c r="L507" s="24">
        <f t="shared" si="33"/>
        <v>4247</v>
      </c>
      <c r="M507" s="24">
        <v>10000000</v>
      </c>
      <c r="N507" s="39">
        <v>45892</v>
      </c>
    </row>
    <row r="508" spans="1:14" s="5" customFormat="1" outlineLevel="2">
      <c r="A508" s="39" t="s">
        <v>142</v>
      </c>
      <c r="B508" s="40" t="s">
        <v>169</v>
      </c>
      <c r="C508" s="41" t="s">
        <v>79</v>
      </c>
      <c r="D508" s="40" t="s">
        <v>80</v>
      </c>
      <c r="E508" s="24">
        <v>125000000</v>
      </c>
      <c r="F508" s="39">
        <v>44075</v>
      </c>
      <c r="G508" s="24">
        <v>125000000</v>
      </c>
      <c r="H508" s="23">
        <v>5.0000000000000001E-3</v>
      </c>
      <c r="I508" s="39">
        <v>44470</v>
      </c>
      <c r="J508" s="39">
        <v>44500</v>
      </c>
      <c r="K508" s="24">
        <f t="shared" si="32"/>
        <v>31</v>
      </c>
      <c r="L508" s="24">
        <f t="shared" si="33"/>
        <v>53082</v>
      </c>
      <c r="M508" s="24">
        <v>125000000</v>
      </c>
      <c r="N508" s="39">
        <v>45900</v>
      </c>
    </row>
    <row r="509" spans="1:14" s="5" customFormat="1" outlineLevel="2">
      <c r="A509" s="39" t="s">
        <v>142</v>
      </c>
      <c r="B509" s="40" t="s">
        <v>170</v>
      </c>
      <c r="C509" s="41" t="s">
        <v>79</v>
      </c>
      <c r="D509" s="40" t="s">
        <v>80</v>
      </c>
      <c r="E509" s="24">
        <v>105000000</v>
      </c>
      <c r="F509" s="39">
        <v>44104</v>
      </c>
      <c r="G509" s="24">
        <v>105000000</v>
      </c>
      <c r="H509" s="23">
        <v>5.0000000000000001E-3</v>
      </c>
      <c r="I509" s="39">
        <v>44470</v>
      </c>
      <c r="J509" s="39">
        <v>44500</v>
      </c>
      <c r="K509" s="24">
        <f t="shared" si="32"/>
        <v>31</v>
      </c>
      <c r="L509" s="24">
        <f t="shared" si="33"/>
        <v>44589</v>
      </c>
      <c r="M509" s="24">
        <v>105000000</v>
      </c>
      <c r="N509" s="39">
        <v>45929</v>
      </c>
    </row>
    <row r="510" spans="1:14" s="5" customFormat="1" outlineLevel="2">
      <c r="A510" s="39" t="s">
        <v>142</v>
      </c>
      <c r="B510" s="40" t="s">
        <v>171</v>
      </c>
      <c r="C510" s="41" t="s">
        <v>146</v>
      </c>
      <c r="D510" s="40" t="s">
        <v>147</v>
      </c>
      <c r="E510" s="24">
        <v>13000000</v>
      </c>
      <c r="F510" s="39">
        <v>44077</v>
      </c>
      <c r="G510" s="24">
        <v>13000000</v>
      </c>
      <c r="H510" s="23">
        <v>5.0000000000000001E-3</v>
      </c>
      <c r="I510" s="39">
        <v>44470</v>
      </c>
      <c r="J510" s="39">
        <v>44500</v>
      </c>
      <c r="K510" s="24">
        <f t="shared" si="32"/>
        <v>31</v>
      </c>
      <c r="L510" s="24">
        <f t="shared" si="33"/>
        <v>5521</v>
      </c>
      <c r="M510" s="24">
        <v>13000000</v>
      </c>
      <c r="N510" s="39">
        <v>45902</v>
      </c>
    </row>
    <row r="511" spans="1:14" s="5" customFormat="1" outlineLevel="2">
      <c r="A511" s="39" t="s">
        <v>142</v>
      </c>
      <c r="B511" s="40" t="s">
        <v>172</v>
      </c>
      <c r="C511" s="41" t="s">
        <v>146</v>
      </c>
      <c r="D511" s="40" t="s">
        <v>147</v>
      </c>
      <c r="E511" s="24">
        <v>5800000</v>
      </c>
      <c r="F511" s="39">
        <v>44083</v>
      </c>
      <c r="G511" s="24">
        <v>5800000</v>
      </c>
      <c r="H511" s="23">
        <v>5.0000000000000001E-3</v>
      </c>
      <c r="I511" s="39">
        <v>44470</v>
      </c>
      <c r="J511" s="39">
        <v>44500</v>
      </c>
      <c r="K511" s="24">
        <f t="shared" si="32"/>
        <v>31</v>
      </c>
      <c r="L511" s="24">
        <f t="shared" si="33"/>
        <v>2463</v>
      </c>
      <c r="M511" s="24">
        <v>5800000</v>
      </c>
      <c r="N511" s="39">
        <v>45908</v>
      </c>
    </row>
    <row r="512" spans="1:14" s="5" customFormat="1" outlineLevel="2">
      <c r="A512" s="39" t="s">
        <v>142</v>
      </c>
      <c r="B512" s="40" t="s">
        <v>173</v>
      </c>
      <c r="C512" s="41" t="s">
        <v>149</v>
      </c>
      <c r="D512" s="40" t="s">
        <v>150</v>
      </c>
      <c r="E512" s="24">
        <v>4989600</v>
      </c>
      <c r="F512" s="39">
        <v>44088</v>
      </c>
      <c r="G512" s="24">
        <v>4989600</v>
      </c>
      <c r="H512" s="23">
        <v>5.0000000000000001E-3</v>
      </c>
      <c r="I512" s="39">
        <v>44470</v>
      </c>
      <c r="J512" s="39">
        <v>44500</v>
      </c>
      <c r="K512" s="24">
        <f t="shared" si="32"/>
        <v>31</v>
      </c>
      <c r="L512" s="24">
        <f t="shared" si="33"/>
        <v>2119</v>
      </c>
      <c r="M512" s="24">
        <v>4989600</v>
      </c>
      <c r="N512" s="39">
        <v>45913</v>
      </c>
    </row>
    <row r="513" spans="1:14" s="5" customFormat="1" outlineLevel="2">
      <c r="A513" s="39" t="s">
        <v>142</v>
      </c>
      <c r="B513" s="40" t="s">
        <v>62</v>
      </c>
      <c r="C513" s="41" t="s">
        <v>143</v>
      </c>
      <c r="D513" s="40" t="s">
        <v>144</v>
      </c>
      <c r="E513" s="24">
        <v>10000000</v>
      </c>
      <c r="F513" s="39">
        <v>43850</v>
      </c>
      <c r="G513" s="24">
        <v>10000000</v>
      </c>
      <c r="H513" s="23">
        <v>5.0000000000000001E-3</v>
      </c>
      <c r="I513" s="39">
        <v>44470</v>
      </c>
      <c r="J513" s="39">
        <v>44500</v>
      </c>
      <c r="K513" s="24">
        <f t="shared" si="32"/>
        <v>31</v>
      </c>
      <c r="L513" s="24">
        <f t="shared" si="33"/>
        <v>4247</v>
      </c>
      <c r="M513" s="24">
        <v>10000000</v>
      </c>
      <c r="N513" s="39">
        <v>45676</v>
      </c>
    </row>
    <row r="514" spans="1:14" s="5" customFormat="1" outlineLevel="2">
      <c r="A514" s="39" t="s">
        <v>142</v>
      </c>
      <c r="B514" s="40" t="s">
        <v>174</v>
      </c>
      <c r="C514" s="41" t="s">
        <v>66</v>
      </c>
      <c r="D514" s="40" t="s">
        <v>67</v>
      </c>
      <c r="E514" s="24">
        <v>96000000</v>
      </c>
      <c r="F514" s="39">
        <v>44089</v>
      </c>
      <c r="G514" s="24">
        <v>96000000</v>
      </c>
      <c r="H514" s="23">
        <v>5.0000000000000001E-3</v>
      </c>
      <c r="I514" s="39">
        <v>44470</v>
      </c>
      <c r="J514" s="39">
        <v>44500</v>
      </c>
      <c r="K514" s="24">
        <f t="shared" si="32"/>
        <v>31</v>
      </c>
      <c r="L514" s="24">
        <f t="shared" si="33"/>
        <v>40767</v>
      </c>
      <c r="M514" s="24">
        <v>96000000</v>
      </c>
      <c r="N514" s="39">
        <v>45914</v>
      </c>
    </row>
    <row r="515" spans="1:14" s="5" customFormat="1" outlineLevel="2">
      <c r="A515" s="39" t="s">
        <v>142</v>
      </c>
      <c r="B515" s="40" t="s">
        <v>175</v>
      </c>
      <c r="C515" s="41" t="s">
        <v>66</v>
      </c>
      <c r="D515" s="40" t="s">
        <v>67</v>
      </c>
      <c r="E515" s="24">
        <v>16000000</v>
      </c>
      <c r="F515" s="39">
        <v>44089</v>
      </c>
      <c r="G515" s="24">
        <v>16000000</v>
      </c>
      <c r="H515" s="23">
        <v>5.0000000000000001E-3</v>
      </c>
      <c r="I515" s="39">
        <v>44470</v>
      </c>
      <c r="J515" s="39">
        <v>44500</v>
      </c>
      <c r="K515" s="24">
        <f t="shared" si="32"/>
        <v>31</v>
      </c>
      <c r="L515" s="24">
        <f t="shared" si="33"/>
        <v>6795</v>
      </c>
      <c r="M515" s="24">
        <v>16000000</v>
      </c>
      <c r="N515" s="39">
        <v>45914</v>
      </c>
    </row>
    <row r="516" spans="1:14" s="5" customFormat="1" outlineLevel="2">
      <c r="A516" s="39" t="s">
        <v>142</v>
      </c>
      <c r="B516" s="40" t="s">
        <v>176</v>
      </c>
      <c r="C516" s="41" t="s">
        <v>143</v>
      </c>
      <c r="D516" s="40" t="s">
        <v>144</v>
      </c>
      <c r="E516" s="24">
        <v>21600000</v>
      </c>
      <c r="F516" s="39">
        <v>44095</v>
      </c>
      <c r="G516" s="24">
        <v>21600000</v>
      </c>
      <c r="H516" s="23">
        <v>5.0000000000000001E-3</v>
      </c>
      <c r="I516" s="39">
        <v>44470</v>
      </c>
      <c r="J516" s="39">
        <v>44500</v>
      </c>
      <c r="K516" s="24">
        <f t="shared" si="32"/>
        <v>31</v>
      </c>
      <c r="L516" s="24">
        <f t="shared" si="33"/>
        <v>9173</v>
      </c>
      <c r="M516" s="24">
        <v>21600000</v>
      </c>
      <c r="N516" s="39">
        <v>45920</v>
      </c>
    </row>
    <row r="517" spans="1:14" s="5" customFormat="1" outlineLevel="2">
      <c r="A517" s="39" t="s">
        <v>142</v>
      </c>
      <c r="B517" s="40" t="s">
        <v>177</v>
      </c>
      <c r="C517" s="41" t="s">
        <v>123</v>
      </c>
      <c r="D517" s="40" t="s">
        <v>124</v>
      </c>
      <c r="E517" s="24">
        <v>40000000</v>
      </c>
      <c r="F517" s="39">
        <v>44100</v>
      </c>
      <c r="G517" s="24">
        <v>40000000</v>
      </c>
      <c r="H517" s="23">
        <v>5.0000000000000001E-3</v>
      </c>
      <c r="I517" s="39">
        <v>44470</v>
      </c>
      <c r="J517" s="39">
        <v>44500</v>
      </c>
      <c r="K517" s="24">
        <f t="shared" si="32"/>
        <v>31</v>
      </c>
      <c r="L517" s="24">
        <f t="shared" si="33"/>
        <v>16986</v>
      </c>
      <c r="M517" s="24">
        <v>40000000</v>
      </c>
      <c r="N517" s="39">
        <v>45925</v>
      </c>
    </row>
    <row r="518" spans="1:14" s="5" customFormat="1" outlineLevel="2">
      <c r="A518" s="39" t="s">
        <v>142</v>
      </c>
      <c r="B518" s="40" t="s">
        <v>178</v>
      </c>
      <c r="C518" s="41" t="s">
        <v>125</v>
      </c>
      <c r="D518" s="40" t="s">
        <v>126</v>
      </c>
      <c r="E518" s="24">
        <v>2000000</v>
      </c>
      <c r="F518" s="39">
        <v>44103</v>
      </c>
      <c r="G518" s="24">
        <v>2000000</v>
      </c>
      <c r="H518" s="23">
        <v>5.0000000000000001E-3</v>
      </c>
      <c r="I518" s="39">
        <v>44470</v>
      </c>
      <c r="J518" s="39">
        <v>44500</v>
      </c>
      <c r="K518" s="24">
        <f t="shared" si="32"/>
        <v>31</v>
      </c>
      <c r="L518" s="24">
        <f t="shared" si="33"/>
        <v>849</v>
      </c>
      <c r="M518" s="24">
        <v>2000000</v>
      </c>
      <c r="N518" s="39">
        <v>45928</v>
      </c>
    </row>
    <row r="519" spans="1:14" s="5" customFormat="1" outlineLevel="2">
      <c r="A519" s="39" t="s">
        <v>142</v>
      </c>
      <c r="B519" s="40" t="s">
        <v>179</v>
      </c>
      <c r="C519" s="41" t="s">
        <v>146</v>
      </c>
      <c r="D519" s="40" t="s">
        <v>147</v>
      </c>
      <c r="E519" s="24">
        <v>13200000</v>
      </c>
      <c r="F519" s="39">
        <v>44109</v>
      </c>
      <c r="G519" s="24">
        <v>13200000</v>
      </c>
      <c r="H519" s="23">
        <v>5.0000000000000001E-3</v>
      </c>
      <c r="I519" s="39">
        <v>44470</v>
      </c>
      <c r="J519" s="39">
        <v>44500</v>
      </c>
      <c r="K519" s="24">
        <f t="shared" si="32"/>
        <v>31</v>
      </c>
      <c r="L519" s="24">
        <f t="shared" si="33"/>
        <v>5605</v>
      </c>
      <c r="M519" s="24">
        <v>13200000</v>
      </c>
      <c r="N519" s="39">
        <v>45934</v>
      </c>
    </row>
    <row r="520" spans="1:14" s="5" customFormat="1" outlineLevel="2">
      <c r="A520" s="39" t="s">
        <v>142</v>
      </c>
      <c r="B520" s="40" t="s">
        <v>180</v>
      </c>
      <c r="C520" s="41" t="s">
        <v>146</v>
      </c>
      <c r="D520" s="40" t="s">
        <v>147</v>
      </c>
      <c r="E520" s="24">
        <v>3000000</v>
      </c>
      <c r="F520" s="39">
        <v>44116</v>
      </c>
      <c r="G520" s="24">
        <v>3000000</v>
      </c>
      <c r="H520" s="23">
        <v>5.0000000000000001E-3</v>
      </c>
      <c r="I520" s="39">
        <v>44470</v>
      </c>
      <c r="J520" s="39">
        <v>44500</v>
      </c>
      <c r="K520" s="24">
        <f t="shared" si="32"/>
        <v>31</v>
      </c>
      <c r="L520" s="24">
        <f t="shared" si="33"/>
        <v>1274</v>
      </c>
      <c r="M520" s="24">
        <v>3000000</v>
      </c>
      <c r="N520" s="39">
        <v>45941</v>
      </c>
    </row>
    <row r="521" spans="1:14" s="5" customFormat="1" outlineLevel="2">
      <c r="A521" s="39" t="s">
        <v>142</v>
      </c>
      <c r="B521" s="40" t="s">
        <v>181</v>
      </c>
      <c r="C521" s="41" t="s">
        <v>149</v>
      </c>
      <c r="D521" s="40" t="s">
        <v>150</v>
      </c>
      <c r="E521" s="24">
        <v>8736000</v>
      </c>
      <c r="F521" s="39">
        <v>44109</v>
      </c>
      <c r="G521" s="24">
        <v>8736000</v>
      </c>
      <c r="H521" s="23">
        <v>5.0000000000000001E-3</v>
      </c>
      <c r="I521" s="39">
        <v>44470</v>
      </c>
      <c r="J521" s="39">
        <v>44500</v>
      </c>
      <c r="K521" s="24">
        <f t="shared" si="32"/>
        <v>31</v>
      </c>
      <c r="L521" s="24">
        <f t="shared" si="33"/>
        <v>3710</v>
      </c>
      <c r="M521" s="24">
        <v>8736000</v>
      </c>
      <c r="N521" s="39">
        <v>45934</v>
      </c>
    </row>
    <row r="522" spans="1:14" s="5" customFormat="1" outlineLevel="2">
      <c r="A522" s="39" t="s">
        <v>142</v>
      </c>
      <c r="B522" s="40" t="s">
        <v>182</v>
      </c>
      <c r="C522" s="41" t="s">
        <v>149</v>
      </c>
      <c r="D522" s="40" t="s">
        <v>150</v>
      </c>
      <c r="E522" s="24">
        <v>4273920</v>
      </c>
      <c r="F522" s="39">
        <v>44111</v>
      </c>
      <c r="G522" s="24">
        <v>4273920</v>
      </c>
      <c r="H522" s="23">
        <v>5.0000000000000001E-3</v>
      </c>
      <c r="I522" s="39">
        <v>44470</v>
      </c>
      <c r="J522" s="39">
        <v>44500</v>
      </c>
      <c r="K522" s="24">
        <f t="shared" si="32"/>
        <v>31</v>
      </c>
      <c r="L522" s="24">
        <f t="shared" si="33"/>
        <v>1815</v>
      </c>
      <c r="M522" s="24">
        <v>4273920</v>
      </c>
      <c r="N522" s="39">
        <v>45936</v>
      </c>
    </row>
    <row r="523" spans="1:14" s="5" customFormat="1" outlineLevel="2">
      <c r="A523" s="39" t="s">
        <v>142</v>
      </c>
      <c r="B523" s="40" t="s">
        <v>183</v>
      </c>
      <c r="C523" s="41" t="s">
        <v>149</v>
      </c>
      <c r="D523" s="40" t="s">
        <v>150</v>
      </c>
      <c r="E523" s="24">
        <v>4368000</v>
      </c>
      <c r="F523" s="39">
        <v>44132</v>
      </c>
      <c r="G523" s="24">
        <v>4368000</v>
      </c>
      <c r="H523" s="23">
        <v>5.0000000000000001E-3</v>
      </c>
      <c r="I523" s="39">
        <v>44470</v>
      </c>
      <c r="J523" s="39">
        <v>44500</v>
      </c>
      <c r="K523" s="24">
        <f t="shared" si="32"/>
        <v>31</v>
      </c>
      <c r="L523" s="24">
        <f t="shared" si="33"/>
        <v>1855</v>
      </c>
      <c r="M523" s="24">
        <v>4368000</v>
      </c>
      <c r="N523" s="39">
        <v>45957</v>
      </c>
    </row>
    <row r="524" spans="1:14" s="5" customFormat="1" outlineLevel="2">
      <c r="A524" s="39" t="s">
        <v>142</v>
      </c>
      <c r="B524" s="40" t="s">
        <v>63</v>
      </c>
      <c r="C524" s="41" t="s">
        <v>149</v>
      </c>
      <c r="D524" s="40" t="s">
        <v>150</v>
      </c>
      <c r="E524" s="24">
        <v>96176976</v>
      </c>
      <c r="F524" s="39">
        <v>43861</v>
      </c>
      <c r="G524" s="24">
        <v>96176976</v>
      </c>
      <c r="H524" s="23">
        <v>5.0000000000000001E-3</v>
      </c>
      <c r="I524" s="39">
        <v>44470</v>
      </c>
      <c r="J524" s="39">
        <v>44500</v>
      </c>
      <c r="K524" s="24">
        <f t="shared" si="32"/>
        <v>31</v>
      </c>
      <c r="L524" s="24">
        <f t="shared" si="33"/>
        <v>40842</v>
      </c>
      <c r="M524" s="24">
        <v>96176976</v>
      </c>
      <c r="N524" s="39">
        <v>45687</v>
      </c>
    </row>
    <row r="525" spans="1:14" s="5" customFormat="1" outlineLevel="2">
      <c r="A525" s="39" t="s">
        <v>142</v>
      </c>
      <c r="B525" s="40" t="s">
        <v>184</v>
      </c>
      <c r="C525" s="41" t="s">
        <v>149</v>
      </c>
      <c r="D525" s="40" t="s">
        <v>150</v>
      </c>
      <c r="E525" s="24">
        <v>8064000</v>
      </c>
      <c r="F525" s="39">
        <v>44133</v>
      </c>
      <c r="G525" s="24">
        <v>8064000</v>
      </c>
      <c r="H525" s="23">
        <v>5.0000000000000001E-3</v>
      </c>
      <c r="I525" s="39">
        <v>44470</v>
      </c>
      <c r="J525" s="39">
        <v>44500</v>
      </c>
      <c r="K525" s="24">
        <f t="shared" si="32"/>
        <v>31</v>
      </c>
      <c r="L525" s="24">
        <f t="shared" si="33"/>
        <v>3424</v>
      </c>
      <c r="M525" s="24">
        <v>8064000</v>
      </c>
      <c r="N525" s="39">
        <v>45958</v>
      </c>
    </row>
    <row r="526" spans="1:14" s="5" customFormat="1" outlineLevel="2">
      <c r="A526" s="39" t="s">
        <v>142</v>
      </c>
      <c r="B526" s="40" t="s">
        <v>185</v>
      </c>
      <c r="C526" s="41" t="s">
        <v>149</v>
      </c>
      <c r="D526" s="40" t="s">
        <v>150</v>
      </c>
      <c r="E526" s="24">
        <v>113400</v>
      </c>
      <c r="F526" s="39">
        <v>44133</v>
      </c>
      <c r="G526" s="24">
        <v>113400</v>
      </c>
      <c r="H526" s="23">
        <v>5.0000000000000001E-3</v>
      </c>
      <c r="I526" s="39">
        <v>44470</v>
      </c>
      <c r="J526" s="39">
        <v>44500</v>
      </c>
      <c r="K526" s="24">
        <f t="shared" si="32"/>
        <v>31</v>
      </c>
      <c r="L526" s="24">
        <f t="shared" si="33"/>
        <v>48</v>
      </c>
      <c r="M526" s="24">
        <v>113400</v>
      </c>
      <c r="N526" s="39">
        <v>45958</v>
      </c>
    </row>
    <row r="527" spans="1:14" s="5" customFormat="1" outlineLevel="2">
      <c r="A527" s="39" t="s">
        <v>142</v>
      </c>
      <c r="B527" s="40" t="s">
        <v>186</v>
      </c>
      <c r="C527" s="41" t="s">
        <v>187</v>
      </c>
      <c r="D527" s="40" t="s">
        <v>188</v>
      </c>
      <c r="E527" s="24">
        <v>93700000</v>
      </c>
      <c r="F527" s="39">
        <v>44109</v>
      </c>
      <c r="G527" s="24">
        <v>93700000</v>
      </c>
      <c r="H527" s="23">
        <v>5.0000000000000001E-3</v>
      </c>
      <c r="I527" s="39">
        <v>44470</v>
      </c>
      <c r="J527" s="39">
        <v>44500</v>
      </c>
      <c r="K527" s="24">
        <f t="shared" si="32"/>
        <v>31</v>
      </c>
      <c r="L527" s="24">
        <f t="shared" si="33"/>
        <v>39790</v>
      </c>
      <c r="M527" s="24">
        <v>93700000</v>
      </c>
      <c r="N527" s="39">
        <v>45934</v>
      </c>
    </row>
    <row r="528" spans="1:14" s="5" customFormat="1" outlineLevel="2">
      <c r="A528" s="39" t="s">
        <v>142</v>
      </c>
      <c r="B528" s="40" t="s">
        <v>189</v>
      </c>
      <c r="C528" s="41" t="s">
        <v>187</v>
      </c>
      <c r="D528" s="40" t="s">
        <v>188</v>
      </c>
      <c r="E528" s="24">
        <v>21400000</v>
      </c>
      <c r="F528" s="39">
        <v>44109</v>
      </c>
      <c r="G528" s="24">
        <v>21400000</v>
      </c>
      <c r="H528" s="23">
        <v>5.0000000000000001E-3</v>
      </c>
      <c r="I528" s="39">
        <v>44470</v>
      </c>
      <c r="J528" s="39">
        <v>44500</v>
      </c>
      <c r="K528" s="24">
        <f t="shared" si="32"/>
        <v>31</v>
      </c>
      <c r="L528" s="24">
        <f t="shared" si="33"/>
        <v>9088</v>
      </c>
      <c r="M528" s="24">
        <v>21400000</v>
      </c>
      <c r="N528" s="39">
        <v>45934</v>
      </c>
    </row>
    <row r="529" spans="1:14" s="5" customFormat="1" outlineLevel="2">
      <c r="A529" s="39" t="s">
        <v>142</v>
      </c>
      <c r="B529" s="40" t="s">
        <v>190</v>
      </c>
      <c r="C529" s="41" t="s">
        <v>143</v>
      </c>
      <c r="D529" s="40" t="s">
        <v>144</v>
      </c>
      <c r="E529" s="24">
        <v>7150000</v>
      </c>
      <c r="F529" s="39">
        <v>44119</v>
      </c>
      <c r="G529" s="24">
        <v>7150000</v>
      </c>
      <c r="H529" s="23">
        <v>5.0000000000000001E-3</v>
      </c>
      <c r="I529" s="39">
        <v>44470</v>
      </c>
      <c r="J529" s="39">
        <v>44500</v>
      </c>
      <c r="K529" s="24">
        <f t="shared" si="32"/>
        <v>31</v>
      </c>
      <c r="L529" s="24">
        <f t="shared" si="33"/>
        <v>3036</v>
      </c>
      <c r="M529" s="24">
        <v>7150000</v>
      </c>
      <c r="N529" s="39">
        <v>45944</v>
      </c>
    </row>
    <row r="530" spans="1:14" s="5" customFormat="1" outlineLevel="2">
      <c r="A530" s="39" t="s">
        <v>142</v>
      </c>
      <c r="B530" s="40" t="s">
        <v>191</v>
      </c>
      <c r="C530" s="41" t="s">
        <v>143</v>
      </c>
      <c r="D530" s="40" t="s">
        <v>144</v>
      </c>
      <c r="E530" s="24">
        <v>14400000</v>
      </c>
      <c r="F530" s="39">
        <v>44124</v>
      </c>
      <c r="G530" s="24">
        <v>14400000</v>
      </c>
      <c r="H530" s="23">
        <v>5.0000000000000001E-3</v>
      </c>
      <c r="I530" s="39">
        <v>44470</v>
      </c>
      <c r="J530" s="39">
        <v>44500</v>
      </c>
      <c r="K530" s="24">
        <f t="shared" si="32"/>
        <v>31</v>
      </c>
      <c r="L530" s="24">
        <f t="shared" si="33"/>
        <v>6115</v>
      </c>
      <c r="M530" s="24">
        <v>14400000</v>
      </c>
      <c r="N530" s="39">
        <v>45949</v>
      </c>
    </row>
    <row r="531" spans="1:14" s="5" customFormat="1" outlineLevel="2">
      <c r="A531" s="39" t="s">
        <v>142</v>
      </c>
      <c r="B531" s="40" t="s">
        <v>192</v>
      </c>
      <c r="C531" s="41" t="s">
        <v>125</v>
      </c>
      <c r="D531" s="40" t="s">
        <v>126</v>
      </c>
      <c r="E531" s="24">
        <v>24000000</v>
      </c>
      <c r="F531" s="39">
        <v>44120</v>
      </c>
      <c r="G531" s="24">
        <v>24000000</v>
      </c>
      <c r="H531" s="23">
        <v>5.0000000000000001E-3</v>
      </c>
      <c r="I531" s="39">
        <v>44470</v>
      </c>
      <c r="J531" s="39">
        <v>44500</v>
      </c>
      <c r="K531" s="24">
        <f t="shared" si="32"/>
        <v>31</v>
      </c>
      <c r="L531" s="24">
        <f t="shared" si="33"/>
        <v>10192</v>
      </c>
      <c r="M531" s="24">
        <v>24000000</v>
      </c>
      <c r="N531" s="39">
        <v>45945</v>
      </c>
    </row>
    <row r="532" spans="1:14" s="5" customFormat="1" outlineLevel="2">
      <c r="A532" s="39" t="s">
        <v>142</v>
      </c>
      <c r="B532" s="40" t="s">
        <v>193</v>
      </c>
      <c r="C532" s="41" t="s">
        <v>125</v>
      </c>
      <c r="D532" s="40" t="s">
        <v>126</v>
      </c>
      <c r="E532" s="24">
        <v>24000000</v>
      </c>
      <c r="F532" s="39">
        <v>44127</v>
      </c>
      <c r="G532" s="24">
        <v>24000000</v>
      </c>
      <c r="H532" s="23">
        <v>5.0000000000000001E-3</v>
      </c>
      <c r="I532" s="39">
        <v>44470</v>
      </c>
      <c r="J532" s="39">
        <v>44500</v>
      </c>
      <c r="K532" s="24">
        <f t="shared" si="32"/>
        <v>31</v>
      </c>
      <c r="L532" s="24">
        <f t="shared" si="33"/>
        <v>10192</v>
      </c>
      <c r="M532" s="24">
        <v>24000000</v>
      </c>
      <c r="N532" s="39">
        <v>45952</v>
      </c>
    </row>
    <row r="533" spans="1:14" s="5" customFormat="1" outlineLevel="2">
      <c r="A533" s="39" t="s">
        <v>142</v>
      </c>
      <c r="B533" s="40" t="s">
        <v>194</v>
      </c>
      <c r="C533" s="41" t="s">
        <v>123</v>
      </c>
      <c r="D533" s="40" t="s">
        <v>124</v>
      </c>
      <c r="E533" s="24">
        <v>5000000</v>
      </c>
      <c r="F533" s="39">
        <v>44134</v>
      </c>
      <c r="G533" s="24">
        <v>5000000</v>
      </c>
      <c r="H533" s="23">
        <v>5.0000000000000001E-3</v>
      </c>
      <c r="I533" s="39">
        <v>44470</v>
      </c>
      <c r="J533" s="39">
        <v>44500</v>
      </c>
      <c r="K533" s="24">
        <f t="shared" si="32"/>
        <v>31</v>
      </c>
      <c r="L533" s="24">
        <f t="shared" si="33"/>
        <v>2123</v>
      </c>
      <c r="M533" s="24">
        <v>5000000</v>
      </c>
      <c r="N533" s="39">
        <v>45959</v>
      </c>
    </row>
    <row r="534" spans="1:14" s="5" customFormat="1" outlineLevel="2">
      <c r="A534" s="39" t="s">
        <v>142</v>
      </c>
      <c r="B534" s="40" t="s">
        <v>195</v>
      </c>
      <c r="C534" s="41" t="s">
        <v>146</v>
      </c>
      <c r="D534" s="40" t="s">
        <v>147</v>
      </c>
      <c r="E534" s="24">
        <v>16000000</v>
      </c>
      <c r="F534" s="39">
        <v>44139</v>
      </c>
      <c r="G534" s="24">
        <v>16000000</v>
      </c>
      <c r="H534" s="23">
        <v>5.0000000000000001E-3</v>
      </c>
      <c r="I534" s="39">
        <v>44470</v>
      </c>
      <c r="J534" s="39">
        <v>44500</v>
      </c>
      <c r="K534" s="24">
        <f t="shared" si="32"/>
        <v>31</v>
      </c>
      <c r="L534" s="24">
        <f t="shared" si="33"/>
        <v>6795</v>
      </c>
      <c r="M534" s="24">
        <v>16000000</v>
      </c>
      <c r="N534" s="39">
        <v>45964</v>
      </c>
    </row>
    <row r="535" spans="1:14" s="5" customFormat="1" outlineLevel="2">
      <c r="A535" s="39" t="s">
        <v>142</v>
      </c>
      <c r="B535" s="40" t="s">
        <v>64</v>
      </c>
      <c r="C535" s="41" t="s">
        <v>143</v>
      </c>
      <c r="D535" s="40" t="s">
        <v>144</v>
      </c>
      <c r="E535" s="24">
        <v>1800000</v>
      </c>
      <c r="F535" s="39">
        <v>43876</v>
      </c>
      <c r="G535" s="24">
        <v>1800000</v>
      </c>
      <c r="H535" s="23">
        <v>5.0000000000000001E-3</v>
      </c>
      <c r="I535" s="39">
        <v>44470</v>
      </c>
      <c r="J535" s="39">
        <v>44500</v>
      </c>
      <c r="K535" s="24">
        <f t="shared" si="32"/>
        <v>31</v>
      </c>
      <c r="L535" s="24">
        <f t="shared" si="33"/>
        <v>764</v>
      </c>
      <c r="M535" s="24">
        <v>1800000</v>
      </c>
      <c r="N535" s="39">
        <v>45702</v>
      </c>
    </row>
    <row r="536" spans="1:14" s="5" customFormat="1" outlineLevel="2">
      <c r="A536" s="39" t="s">
        <v>142</v>
      </c>
      <c r="B536" s="40" t="s">
        <v>196</v>
      </c>
      <c r="C536" s="41" t="s">
        <v>146</v>
      </c>
      <c r="D536" s="40" t="s">
        <v>147</v>
      </c>
      <c r="E536" s="24">
        <v>6000000</v>
      </c>
      <c r="F536" s="39">
        <v>44145</v>
      </c>
      <c r="G536" s="24">
        <v>6000000</v>
      </c>
      <c r="H536" s="23">
        <v>5.0000000000000001E-3</v>
      </c>
      <c r="I536" s="39">
        <v>44470</v>
      </c>
      <c r="J536" s="39">
        <v>44500</v>
      </c>
      <c r="K536" s="24">
        <f t="shared" si="32"/>
        <v>31</v>
      </c>
      <c r="L536" s="24">
        <f t="shared" si="33"/>
        <v>2548</v>
      </c>
      <c r="M536" s="24">
        <v>6000000</v>
      </c>
      <c r="N536" s="39">
        <v>45970</v>
      </c>
    </row>
    <row r="537" spans="1:14" s="5" customFormat="1" outlineLevel="2">
      <c r="A537" s="39" t="s">
        <v>142</v>
      </c>
      <c r="B537" s="40" t="s">
        <v>197</v>
      </c>
      <c r="C537" s="41" t="s">
        <v>143</v>
      </c>
      <c r="D537" s="40" t="s">
        <v>144</v>
      </c>
      <c r="E537" s="24">
        <v>19000000</v>
      </c>
      <c r="F537" s="39">
        <v>44140</v>
      </c>
      <c r="G537" s="24">
        <v>19000000</v>
      </c>
      <c r="H537" s="23">
        <v>5.0000000000000001E-3</v>
      </c>
      <c r="I537" s="39">
        <v>44470</v>
      </c>
      <c r="J537" s="39">
        <v>44500</v>
      </c>
      <c r="K537" s="24">
        <f t="shared" si="32"/>
        <v>31</v>
      </c>
      <c r="L537" s="24">
        <f t="shared" si="33"/>
        <v>8068</v>
      </c>
      <c r="M537" s="24">
        <v>19000000</v>
      </c>
      <c r="N537" s="39">
        <v>45965</v>
      </c>
    </row>
    <row r="538" spans="1:14" s="5" customFormat="1" outlineLevel="2">
      <c r="A538" s="39" t="s">
        <v>142</v>
      </c>
      <c r="B538" s="40" t="s">
        <v>198</v>
      </c>
      <c r="C538" s="41" t="s">
        <v>143</v>
      </c>
      <c r="D538" s="40" t="s">
        <v>144</v>
      </c>
      <c r="E538" s="24">
        <v>1800000</v>
      </c>
      <c r="F538" s="39">
        <v>44165</v>
      </c>
      <c r="G538" s="24">
        <v>1800000</v>
      </c>
      <c r="H538" s="23">
        <v>5.0000000000000001E-3</v>
      </c>
      <c r="I538" s="39">
        <v>44470</v>
      </c>
      <c r="J538" s="39">
        <v>44500</v>
      </c>
      <c r="K538" s="24">
        <f t="shared" si="32"/>
        <v>31</v>
      </c>
      <c r="L538" s="24">
        <f t="shared" si="33"/>
        <v>764</v>
      </c>
      <c r="M538" s="24">
        <v>1800000</v>
      </c>
      <c r="N538" s="39">
        <v>45990</v>
      </c>
    </row>
    <row r="539" spans="1:14" s="5" customFormat="1" outlineLevel="2">
      <c r="A539" s="39" t="s">
        <v>142</v>
      </c>
      <c r="B539" s="40" t="s">
        <v>199</v>
      </c>
      <c r="C539" s="41" t="s">
        <v>143</v>
      </c>
      <c r="D539" s="40" t="s">
        <v>144</v>
      </c>
      <c r="E539" s="24">
        <v>5500000</v>
      </c>
      <c r="F539" s="39">
        <v>44165</v>
      </c>
      <c r="G539" s="24">
        <v>5500000</v>
      </c>
      <c r="H539" s="23">
        <v>5.0000000000000001E-3</v>
      </c>
      <c r="I539" s="39">
        <v>44470</v>
      </c>
      <c r="J539" s="39">
        <v>44500</v>
      </c>
      <c r="K539" s="24">
        <f t="shared" si="32"/>
        <v>31</v>
      </c>
      <c r="L539" s="24">
        <f t="shared" si="33"/>
        <v>2336</v>
      </c>
      <c r="M539" s="24">
        <v>5500000</v>
      </c>
      <c r="N539" s="39">
        <v>45990</v>
      </c>
    </row>
    <row r="540" spans="1:14" s="5" customFormat="1" outlineLevel="2">
      <c r="A540" s="39" t="s">
        <v>142</v>
      </c>
      <c r="B540" s="40" t="s">
        <v>200</v>
      </c>
      <c r="C540" s="41" t="s">
        <v>143</v>
      </c>
      <c r="D540" s="40" t="s">
        <v>144</v>
      </c>
      <c r="E540" s="24">
        <v>8600000</v>
      </c>
      <c r="F540" s="39">
        <v>44165</v>
      </c>
      <c r="G540" s="24">
        <v>8600000</v>
      </c>
      <c r="H540" s="23">
        <v>5.0000000000000001E-3</v>
      </c>
      <c r="I540" s="39">
        <v>44470</v>
      </c>
      <c r="J540" s="39">
        <v>44500</v>
      </c>
      <c r="K540" s="24">
        <f t="shared" si="32"/>
        <v>31</v>
      </c>
      <c r="L540" s="24">
        <f t="shared" si="33"/>
        <v>3652</v>
      </c>
      <c r="M540" s="24">
        <v>8600000</v>
      </c>
      <c r="N540" s="39">
        <v>45990</v>
      </c>
    </row>
    <row r="541" spans="1:14" s="5" customFormat="1" outlineLevel="2">
      <c r="A541" s="39" t="s">
        <v>142</v>
      </c>
      <c r="B541" s="40" t="s">
        <v>201</v>
      </c>
      <c r="C541" s="41" t="s">
        <v>161</v>
      </c>
      <c r="D541" s="40" t="s">
        <v>162</v>
      </c>
      <c r="E541" s="24">
        <v>150000000</v>
      </c>
      <c r="F541" s="39">
        <v>44144</v>
      </c>
      <c r="G541" s="24">
        <v>150000000</v>
      </c>
      <c r="H541" s="23">
        <v>5.0000000000000001E-3</v>
      </c>
      <c r="I541" s="39">
        <v>44470</v>
      </c>
      <c r="J541" s="39">
        <v>44500</v>
      </c>
      <c r="K541" s="24">
        <f t="shared" si="32"/>
        <v>31</v>
      </c>
      <c r="L541" s="24">
        <f t="shared" si="33"/>
        <v>63699</v>
      </c>
      <c r="M541" s="24">
        <v>150000000</v>
      </c>
      <c r="N541" s="39">
        <v>45969</v>
      </c>
    </row>
    <row r="542" spans="1:14" s="5" customFormat="1" outlineLevel="2">
      <c r="A542" s="39" t="s">
        <v>142</v>
      </c>
      <c r="B542" s="40" t="s">
        <v>202</v>
      </c>
      <c r="C542" s="41" t="s">
        <v>125</v>
      </c>
      <c r="D542" s="40" t="s">
        <v>126</v>
      </c>
      <c r="E542" s="24">
        <v>2500000</v>
      </c>
      <c r="F542" s="39">
        <v>44147</v>
      </c>
      <c r="G542" s="24">
        <v>2500000</v>
      </c>
      <c r="H542" s="23">
        <v>5.0000000000000001E-3</v>
      </c>
      <c r="I542" s="39">
        <v>44470</v>
      </c>
      <c r="J542" s="39">
        <v>44500</v>
      </c>
      <c r="K542" s="24">
        <f t="shared" si="32"/>
        <v>31</v>
      </c>
      <c r="L542" s="24">
        <f t="shared" si="33"/>
        <v>1062</v>
      </c>
      <c r="M542" s="24">
        <v>2500000</v>
      </c>
      <c r="N542" s="39">
        <v>45972</v>
      </c>
    </row>
    <row r="543" spans="1:14" s="5" customFormat="1" outlineLevel="2">
      <c r="A543" s="39" t="s">
        <v>142</v>
      </c>
      <c r="B543" s="40" t="s">
        <v>203</v>
      </c>
      <c r="C543" s="41" t="s">
        <v>125</v>
      </c>
      <c r="D543" s="40" t="s">
        <v>126</v>
      </c>
      <c r="E543" s="24">
        <v>18000000</v>
      </c>
      <c r="F543" s="39">
        <v>44158</v>
      </c>
      <c r="G543" s="24">
        <v>18000000</v>
      </c>
      <c r="H543" s="23">
        <v>5.0000000000000001E-3</v>
      </c>
      <c r="I543" s="39">
        <v>44470</v>
      </c>
      <c r="J543" s="39">
        <v>44500</v>
      </c>
      <c r="K543" s="24">
        <f t="shared" si="32"/>
        <v>31</v>
      </c>
      <c r="L543" s="24">
        <f t="shared" si="33"/>
        <v>7644</v>
      </c>
      <c r="M543" s="24">
        <v>18000000</v>
      </c>
      <c r="N543" s="39">
        <v>45983</v>
      </c>
    </row>
    <row r="544" spans="1:14" s="5" customFormat="1" outlineLevel="2">
      <c r="A544" s="39" t="s">
        <v>142</v>
      </c>
      <c r="B544" s="40" t="s">
        <v>204</v>
      </c>
      <c r="C544" s="41" t="s">
        <v>149</v>
      </c>
      <c r="D544" s="40" t="s">
        <v>150</v>
      </c>
      <c r="E544" s="24">
        <v>1764000</v>
      </c>
      <c r="F544" s="39">
        <v>44147</v>
      </c>
      <c r="G544" s="24">
        <v>1764000</v>
      </c>
      <c r="H544" s="23">
        <v>5.0000000000000001E-3</v>
      </c>
      <c r="I544" s="39">
        <v>44470</v>
      </c>
      <c r="J544" s="39">
        <v>44500</v>
      </c>
      <c r="K544" s="24">
        <f t="shared" si="32"/>
        <v>31</v>
      </c>
      <c r="L544" s="24">
        <f t="shared" si="33"/>
        <v>749</v>
      </c>
      <c r="M544" s="24">
        <v>1764000</v>
      </c>
      <c r="N544" s="39">
        <v>45972</v>
      </c>
    </row>
    <row r="545" spans="1:14" s="5" customFormat="1" outlineLevel="2">
      <c r="A545" s="39" t="s">
        <v>142</v>
      </c>
      <c r="B545" s="40" t="s">
        <v>205</v>
      </c>
      <c r="C545" s="41" t="s">
        <v>163</v>
      </c>
      <c r="D545" s="40" t="s">
        <v>164</v>
      </c>
      <c r="E545" s="24">
        <v>15000000</v>
      </c>
      <c r="F545" s="39">
        <v>44153</v>
      </c>
      <c r="G545" s="24">
        <v>13695650</v>
      </c>
      <c r="H545" s="23">
        <v>5.0000000000000001E-3</v>
      </c>
      <c r="I545" s="39">
        <v>44470</v>
      </c>
      <c r="J545" s="39">
        <v>44483</v>
      </c>
      <c r="K545" s="24">
        <f t="shared" si="32"/>
        <v>14</v>
      </c>
      <c r="L545" s="24">
        <f t="shared" si="33"/>
        <v>2627</v>
      </c>
      <c r="M545" s="24">
        <v>13565215</v>
      </c>
      <c r="N545" s="39">
        <v>45978</v>
      </c>
    </row>
    <row r="546" spans="1:14" s="5" customFormat="1" outlineLevel="2">
      <c r="A546" s="39" t="s">
        <v>142</v>
      </c>
      <c r="B546" s="40" t="s">
        <v>205</v>
      </c>
      <c r="C546" s="41" t="s">
        <v>163</v>
      </c>
      <c r="D546" s="40"/>
      <c r="E546" s="24"/>
      <c r="F546" s="39"/>
      <c r="G546" s="24">
        <v>13565215</v>
      </c>
      <c r="H546" s="23">
        <v>5.0000000000000001E-3</v>
      </c>
      <c r="I546" s="39">
        <v>44484</v>
      </c>
      <c r="J546" s="39">
        <v>44500</v>
      </c>
      <c r="K546" s="24">
        <f t="shared" si="32"/>
        <v>17</v>
      </c>
      <c r="L546" s="24">
        <f t="shared" si="33"/>
        <v>3159</v>
      </c>
      <c r="M546" s="24"/>
      <c r="N546" s="39">
        <v>45978</v>
      </c>
    </row>
    <row r="547" spans="1:14" s="5" customFormat="1" outlineLevel="2">
      <c r="A547" s="39" t="s">
        <v>142</v>
      </c>
      <c r="B547" s="40" t="s">
        <v>65</v>
      </c>
      <c r="C547" s="41" t="s">
        <v>117</v>
      </c>
      <c r="D547" s="40" t="s">
        <v>118</v>
      </c>
      <c r="E547" s="24">
        <v>30000000</v>
      </c>
      <c r="F547" s="39">
        <v>43906</v>
      </c>
      <c r="G547" s="24">
        <v>30000000</v>
      </c>
      <c r="H547" s="23">
        <v>5.0000000000000001E-3</v>
      </c>
      <c r="I547" s="39">
        <v>44470</v>
      </c>
      <c r="J547" s="39">
        <v>44500</v>
      </c>
      <c r="K547" s="24">
        <f t="shared" si="32"/>
        <v>31</v>
      </c>
      <c r="L547" s="24">
        <f t="shared" si="33"/>
        <v>12740</v>
      </c>
      <c r="M547" s="24">
        <v>30000000</v>
      </c>
      <c r="N547" s="39">
        <v>45731</v>
      </c>
    </row>
    <row r="548" spans="1:14" s="5" customFormat="1" outlineLevel="2">
      <c r="A548" s="39" t="s">
        <v>142</v>
      </c>
      <c r="B548" s="40" t="s">
        <v>206</v>
      </c>
      <c r="C548" s="41" t="s">
        <v>87</v>
      </c>
      <c r="D548" s="40" t="s">
        <v>88</v>
      </c>
      <c r="E548" s="24">
        <v>13481921</v>
      </c>
      <c r="F548" s="39">
        <v>44158</v>
      </c>
      <c r="G548" s="24">
        <v>13481921</v>
      </c>
      <c r="H548" s="23">
        <v>5.0000000000000001E-3</v>
      </c>
      <c r="I548" s="39">
        <v>44470</v>
      </c>
      <c r="J548" s="39">
        <v>44500</v>
      </c>
      <c r="K548" s="24">
        <f t="shared" si="32"/>
        <v>31</v>
      </c>
      <c r="L548" s="24">
        <f t="shared" si="33"/>
        <v>5725</v>
      </c>
      <c r="M548" s="24">
        <v>13481921</v>
      </c>
      <c r="N548" s="39">
        <v>45983</v>
      </c>
    </row>
    <row r="549" spans="1:14" s="5" customFormat="1" outlineLevel="2">
      <c r="A549" s="39" t="s">
        <v>142</v>
      </c>
      <c r="B549" s="40" t="s">
        <v>207</v>
      </c>
      <c r="C549" s="41" t="s">
        <v>85</v>
      </c>
      <c r="D549" s="40" t="s">
        <v>86</v>
      </c>
      <c r="E549" s="24">
        <v>2682500</v>
      </c>
      <c r="F549" s="39">
        <v>44165</v>
      </c>
      <c r="G549" s="24">
        <v>2682500</v>
      </c>
      <c r="H549" s="23">
        <v>5.0000000000000001E-3</v>
      </c>
      <c r="I549" s="39">
        <v>44470</v>
      </c>
      <c r="J549" s="39">
        <v>44500</v>
      </c>
      <c r="K549" s="24">
        <f t="shared" si="32"/>
        <v>31</v>
      </c>
      <c r="L549" s="24">
        <f t="shared" si="33"/>
        <v>1139</v>
      </c>
      <c r="M549" s="24">
        <v>2682500</v>
      </c>
      <c r="N549" s="39">
        <v>45990</v>
      </c>
    </row>
    <row r="550" spans="1:14" s="5" customFormat="1" outlineLevel="2">
      <c r="A550" s="39" t="s">
        <v>142</v>
      </c>
      <c r="B550" s="40" t="s">
        <v>208</v>
      </c>
      <c r="C550" s="41" t="s">
        <v>85</v>
      </c>
      <c r="D550" s="40" t="s">
        <v>86</v>
      </c>
      <c r="E550" s="24">
        <v>8047500</v>
      </c>
      <c r="F550" s="39">
        <v>44165</v>
      </c>
      <c r="G550" s="24">
        <v>8047500</v>
      </c>
      <c r="H550" s="23">
        <v>5.0000000000000001E-3</v>
      </c>
      <c r="I550" s="39">
        <v>44470</v>
      </c>
      <c r="J550" s="39">
        <v>44500</v>
      </c>
      <c r="K550" s="24">
        <f t="shared" si="32"/>
        <v>31</v>
      </c>
      <c r="L550" s="24">
        <f t="shared" si="33"/>
        <v>3417</v>
      </c>
      <c r="M550" s="24">
        <v>8047500</v>
      </c>
      <c r="N550" s="39">
        <v>45990</v>
      </c>
    </row>
    <row r="551" spans="1:14" s="5" customFormat="1" outlineLevel="2">
      <c r="A551" s="39" t="s">
        <v>142</v>
      </c>
      <c r="B551" s="40" t="s">
        <v>209</v>
      </c>
      <c r="C551" s="41" t="s">
        <v>146</v>
      </c>
      <c r="D551" s="40" t="s">
        <v>147</v>
      </c>
      <c r="E551" s="24">
        <v>15600000</v>
      </c>
      <c r="F551" s="39">
        <v>44168</v>
      </c>
      <c r="G551" s="24">
        <v>15600000</v>
      </c>
      <c r="H551" s="23">
        <v>5.0000000000000001E-3</v>
      </c>
      <c r="I551" s="39">
        <v>44470</v>
      </c>
      <c r="J551" s="39">
        <v>44500</v>
      </c>
      <c r="K551" s="24">
        <f t="shared" si="32"/>
        <v>31</v>
      </c>
      <c r="L551" s="24">
        <f t="shared" si="33"/>
        <v>6625</v>
      </c>
      <c r="M551" s="24">
        <v>15600000</v>
      </c>
      <c r="N551" s="39">
        <v>45993</v>
      </c>
    </row>
    <row r="552" spans="1:14" s="5" customFormat="1" outlineLevel="2">
      <c r="A552" s="39" t="s">
        <v>142</v>
      </c>
      <c r="B552" s="40" t="s">
        <v>210</v>
      </c>
      <c r="C552" s="41" t="s">
        <v>146</v>
      </c>
      <c r="D552" s="40" t="s">
        <v>147</v>
      </c>
      <c r="E552" s="24">
        <v>4400000</v>
      </c>
      <c r="F552" s="39">
        <v>44173</v>
      </c>
      <c r="G552" s="24">
        <v>4400000</v>
      </c>
      <c r="H552" s="23">
        <v>5.0000000000000001E-3</v>
      </c>
      <c r="I552" s="39">
        <v>44470</v>
      </c>
      <c r="J552" s="39">
        <v>44500</v>
      </c>
      <c r="K552" s="24">
        <f t="shared" si="32"/>
        <v>31</v>
      </c>
      <c r="L552" s="24">
        <f t="shared" si="33"/>
        <v>1868</v>
      </c>
      <c r="M552" s="24">
        <v>4400000</v>
      </c>
      <c r="N552" s="39">
        <v>45998</v>
      </c>
    </row>
    <row r="553" spans="1:14" s="5" customFormat="1" outlineLevel="2">
      <c r="A553" s="39" t="s">
        <v>142</v>
      </c>
      <c r="B553" s="40" t="s">
        <v>211</v>
      </c>
      <c r="C553" s="41" t="s">
        <v>187</v>
      </c>
      <c r="D553" s="40" t="s">
        <v>188</v>
      </c>
      <c r="E553" s="24">
        <v>88900000</v>
      </c>
      <c r="F553" s="39">
        <v>44169</v>
      </c>
      <c r="G553" s="24">
        <v>88900000</v>
      </c>
      <c r="H553" s="23">
        <v>5.0000000000000001E-3</v>
      </c>
      <c r="I553" s="39">
        <v>44470</v>
      </c>
      <c r="J553" s="39">
        <v>44500</v>
      </c>
      <c r="K553" s="24">
        <f t="shared" si="32"/>
        <v>31</v>
      </c>
      <c r="L553" s="24">
        <f t="shared" si="33"/>
        <v>37752</v>
      </c>
      <c r="M553" s="24">
        <v>88900000</v>
      </c>
      <c r="N553" s="39">
        <v>45994</v>
      </c>
    </row>
    <row r="554" spans="1:14" s="5" customFormat="1" outlineLevel="2">
      <c r="A554" s="39" t="s">
        <v>142</v>
      </c>
      <c r="B554" s="40" t="s">
        <v>212</v>
      </c>
      <c r="C554" s="41" t="s">
        <v>163</v>
      </c>
      <c r="D554" s="40" t="s">
        <v>164</v>
      </c>
      <c r="E554" s="24">
        <v>7300000</v>
      </c>
      <c r="F554" s="39">
        <v>44173</v>
      </c>
      <c r="G554" s="24">
        <v>6723685</v>
      </c>
      <c r="H554" s="23">
        <v>5.0000000000000001E-3</v>
      </c>
      <c r="I554" s="39">
        <v>44470</v>
      </c>
      <c r="J554" s="39">
        <v>44483</v>
      </c>
      <c r="K554" s="24">
        <f t="shared" si="32"/>
        <v>14</v>
      </c>
      <c r="L554" s="24">
        <f t="shared" si="33"/>
        <v>1289</v>
      </c>
      <c r="M554" s="24">
        <v>6659650</v>
      </c>
      <c r="N554" s="39">
        <v>45998</v>
      </c>
    </row>
    <row r="555" spans="1:14" s="5" customFormat="1" outlineLevel="2">
      <c r="A555" s="39" t="s">
        <v>142</v>
      </c>
      <c r="B555" s="40" t="s">
        <v>212</v>
      </c>
      <c r="C555" s="41" t="s">
        <v>163</v>
      </c>
      <c r="D555" s="40"/>
      <c r="E555" s="24"/>
      <c r="F555" s="39"/>
      <c r="G555" s="24">
        <v>6659650</v>
      </c>
      <c r="H555" s="23">
        <v>5.0000000000000001E-3</v>
      </c>
      <c r="I555" s="39">
        <v>44484</v>
      </c>
      <c r="J555" s="39">
        <v>44500</v>
      </c>
      <c r="K555" s="24">
        <f t="shared" si="32"/>
        <v>17</v>
      </c>
      <c r="L555" s="24">
        <f t="shared" si="33"/>
        <v>1551</v>
      </c>
      <c r="M555" s="24"/>
      <c r="N555" s="39">
        <v>45998</v>
      </c>
    </row>
    <row r="556" spans="1:14" s="5" customFormat="1" outlineLevel="2">
      <c r="A556" s="39" t="s">
        <v>142</v>
      </c>
      <c r="B556" s="40" t="s">
        <v>213</v>
      </c>
      <c r="C556" s="41" t="s">
        <v>149</v>
      </c>
      <c r="D556" s="40" t="s">
        <v>150</v>
      </c>
      <c r="E556" s="24">
        <v>2184000</v>
      </c>
      <c r="F556" s="39">
        <v>44174</v>
      </c>
      <c r="G556" s="24">
        <v>2184000</v>
      </c>
      <c r="H556" s="23">
        <v>5.0000000000000001E-3</v>
      </c>
      <c r="I556" s="39">
        <v>44470</v>
      </c>
      <c r="J556" s="39">
        <v>44500</v>
      </c>
      <c r="K556" s="24">
        <f t="shared" si="32"/>
        <v>31</v>
      </c>
      <c r="L556" s="24">
        <f t="shared" si="33"/>
        <v>927</v>
      </c>
      <c r="M556" s="24">
        <v>2184000</v>
      </c>
      <c r="N556" s="39">
        <v>45999</v>
      </c>
    </row>
    <row r="557" spans="1:14" s="5" customFormat="1" outlineLevel="2">
      <c r="A557" s="39" t="s">
        <v>142</v>
      </c>
      <c r="B557" s="40" t="s">
        <v>214</v>
      </c>
      <c r="C557" s="41" t="s">
        <v>149</v>
      </c>
      <c r="D557" s="40" t="s">
        <v>150</v>
      </c>
      <c r="E557" s="24">
        <v>20764000</v>
      </c>
      <c r="F557" s="39">
        <v>44176</v>
      </c>
      <c r="G557" s="24">
        <v>20764000</v>
      </c>
      <c r="H557" s="23">
        <v>5.0000000000000001E-3</v>
      </c>
      <c r="I557" s="39">
        <v>44470</v>
      </c>
      <c r="J557" s="39">
        <v>44500</v>
      </c>
      <c r="K557" s="24">
        <f t="shared" si="32"/>
        <v>31</v>
      </c>
      <c r="L557" s="24">
        <f t="shared" si="33"/>
        <v>8818</v>
      </c>
      <c r="M557" s="24">
        <v>20764000</v>
      </c>
      <c r="N557" s="39">
        <v>46001</v>
      </c>
    </row>
    <row r="558" spans="1:14" s="5" customFormat="1" outlineLevel="2">
      <c r="A558" s="39" t="s">
        <v>142</v>
      </c>
      <c r="B558" s="40" t="s">
        <v>215</v>
      </c>
      <c r="C558" s="41" t="s">
        <v>149</v>
      </c>
      <c r="D558" s="40" t="s">
        <v>150</v>
      </c>
      <c r="E558" s="24">
        <v>2423030</v>
      </c>
      <c r="F558" s="39">
        <v>44190</v>
      </c>
      <c r="G558" s="24">
        <v>2423030</v>
      </c>
      <c r="H558" s="23">
        <v>5.0000000000000001E-3</v>
      </c>
      <c r="I558" s="39">
        <v>44470</v>
      </c>
      <c r="J558" s="39">
        <v>44500</v>
      </c>
      <c r="K558" s="24">
        <f t="shared" ref="K558:K621" si="34">J558-I558+1</f>
        <v>31</v>
      </c>
      <c r="L558" s="24">
        <f t="shared" ref="L558:L621" si="35">ROUND(G558*H558*K558/365,0)</f>
        <v>1029</v>
      </c>
      <c r="M558" s="24">
        <v>2423030</v>
      </c>
      <c r="N558" s="39">
        <v>46015</v>
      </c>
    </row>
    <row r="559" spans="1:14" s="5" customFormat="1" outlineLevel="2">
      <c r="A559" s="39" t="s">
        <v>142</v>
      </c>
      <c r="B559" s="40" t="s">
        <v>68</v>
      </c>
      <c r="C559" s="41" t="s">
        <v>117</v>
      </c>
      <c r="D559" s="40" t="s">
        <v>118</v>
      </c>
      <c r="E559" s="24">
        <v>50000000</v>
      </c>
      <c r="F559" s="39">
        <v>43908</v>
      </c>
      <c r="G559" s="24">
        <v>50000000</v>
      </c>
      <c r="H559" s="23">
        <v>5.0000000000000001E-3</v>
      </c>
      <c r="I559" s="39">
        <v>44470</v>
      </c>
      <c r="J559" s="39">
        <v>44500</v>
      </c>
      <c r="K559" s="24">
        <f t="shared" si="34"/>
        <v>31</v>
      </c>
      <c r="L559" s="24">
        <f t="shared" si="35"/>
        <v>21233</v>
      </c>
      <c r="M559" s="24">
        <v>50000000</v>
      </c>
      <c r="N559" s="39">
        <v>45733</v>
      </c>
    </row>
    <row r="560" spans="1:14" s="5" customFormat="1" outlineLevel="2">
      <c r="A560" s="39" t="s">
        <v>142</v>
      </c>
      <c r="B560" s="40" t="s">
        <v>216</v>
      </c>
      <c r="C560" s="41" t="s">
        <v>149</v>
      </c>
      <c r="D560" s="40" t="s">
        <v>150</v>
      </c>
      <c r="E560" s="24">
        <v>5653738</v>
      </c>
      <c r="F560" s="39">
        <v>44196</v>
      </c>
      <c r="G560" s="24">
        <v>5653738</v>
      </c>
      <c r="H560" s="23">
        <v>5.0000000000000001E-3</v>
      </c>
      <c r="I560" s="39">
        <v>44470</v>
      </c>
      <c r="J560" s="39">
        <v>44500</v>
      </c>
      <c r="K560" s="24">
        <f t="shared" si="34"/>
        <v>31</v>
      </c>
      <c r="L560" s="24">
        <f t="shared" si="35"/>
        <v>2401</v>
      </c>
      <c r="M560" s="24">
        <v>5653738</v>
      </c>
      <c r="N560" s="39">
        <v>46021</v>
      </c>
    </row>
    <row r="561" spans="1:14" s="5" customFormat="1" outlineLevel="2">
      <c r="A561" s="39" t="s">
        <v>142</v>
      </c>
      <c r="B561" s="40" t="s">
        <v>217</v>
      </c>
      <c r="C561" s="41" t="s">
        <v>155</v>
      </c>
      <c r="D561" s="40" t="s">
        <v>156</v>
      </c>
      <c r="E561" s="24">
        <v>200000000</v>
      </c>
      <c r="F561" s="39">
        <v>44190</v>
      </c>
      <c r="G561" s="24">
        <v>200000000</v>
      </c>
      <c r="H561" s="23">
        <v>5.0000000000000001E-3</v>
      </c>
      <c r="I561" s="39">
        <v>44470</v>
      </c>
      <c r="J561" s="39">
        <v>44500</v>
      </c>
      <c r="K561" s="24">
        <f t="shared" si="34"/>
        <v>31</v>
      </c>
      <c r="L561" s="24">
        <f t="shared" si="35"/>
        <v>84932</v>
      </c>
      <c r="M561" s="24">
        <v>200000000</v>
      </c>
      <c r="N561" s="39">
        <v>46015</v>
      </c>
    </row>
    <row r="562" spans="1:14" s="5" customFormat="1" outlineLevel="2">
      <c r="A562" s="39" t="s">
        <v>142</v>
      </c>
      <c r="B562" s="40" t="s">
        <v>218</v>
      </c>
      <c r="C562" s="41" t="s">
        <v>219</v>
      </c>
      <c r="D562" s="40" t="s">
        <v>220</v>
      </c>
      <c r="E562" s="24">
        <v>14160000</v>
      </c>
      <c r="F562" s="39">
        <v>44190</v>
      </c>
      <c r="G562" s="24">
        <v>14160000</v>
      </c>
      <c r="H562" s="23">
        <v>5.0000000000000001E-3</v>
      </c>
      <c r="I562" s="39">
        <v>44470</v>
      </c>
      <c r="J562" s="39">
        <v>44500</v>
      </c>
      <c r="K562" s="24">
        <f t="shared" si="34"/>
        <v>31</v>
      </c>
      <c r="L562" s="24">
        <f t="shared" si="35"/>
        <v>6013</v>
      </c>
      <c r="M562" s="24">
        <v>14160000</v>
      </c>
      <c r="N562" s="39">
        <v>46015</v>
      </c>
    </row>
    <row r="563" spans="1:14" s="5" customFormat="1" outlineLevel="2">
      <c r="A563" s="39" t="s">
        <v>142</v>
      </c>
      <c r="B563" s="40" t="s">
        <v>221</v>
      </c>
      <c r="C563" s="41" t="s">
        <v>87</v>
      </c>
      <c r="D563" s="40" t="s">
        <v>88</v>
      </c>
      <c r="E563" s="24">
        <v>13481921</v>
      </c>
      <c r="F563" s="39">
        <v>44190</v>
      </c>
      <c r="G563" s="24">
        <v>13481921</v>
      </c>
      <c r="H563" s="23">
        <v>5.0000000000000001E-3</v>
      </c>
      <c r="I563" s="39">
        <v>44470</v>
      </c>
      <c r="J563" s="39">
        <v>44500</v>
      </c>
      <c r="K563" s="24">
        <f t="shared" si="34"/>
        <v>31</v>
      </c>
      <c r="L563" s="24">
        <f t="shared" si="35"/>
        <v>5725</v>
      </c>
      <c r="M563" s="24">
        <v>13481921</v>
      </c>
      <c r="N563" s="39">
        <v>46015</v>
      </c>
    </row>
    <row r="564" spans="1:14" s="5" customFormat="1" outlineLevel="2">
      <c r="A564" s="39" t="s">
        <v>142</v>
      </c>
      <c r="B564" s="40" t="s">
        <v>222</v>
      </c>
      <c r="C564" s="41" t="s">
        <v>143</v>
      </c>
      <c r="D564" s="40" t="s">
        <v>144</v>
      </c>
      <c r="E564" s="24">
        <v>1800000</v>
      </c>
      <c r="F564" s="39">
        <v>44190</v>
      </c>
      <c r="G564" s="24">
        <v>1800000</v>
      </c>
      <c r="H564" s="23">
        <v>5.0000000000000001E-3</v>
      </c>
      <c r="I564" s="39">
        <v>44470</v>
      </c>
      <c r="J564" s="39">
        <v>44500</v>
      </c>
      <c r="K564" s="24">
        <f t="shared" si="34"/>
        <v>31</v>
      </c>
      <c r="L564" s="24">
        <f t="shared" si="35"/>
        <v>764</v>
      </c>
      <c r="M564" s="24">
        <v>1800000</v>
      </c>
      <c r="N564" s="39">
        <v>46015</v>
      </c>
    </row>
    <row r="565" spans="1:14" s="5" customFormat="1" outlineLevel="2">
      <c r="A565" s="39" t="s">
        <v>142</v>
      </c>
      <c r="B565" s="40" t="s">
        <v>223</v>
      </c>
      <c r="C565" s="41" t="s">
        <v>143</v>
      </c>
      <c r="D565" s="40" t="s">
        <v>144</v>
      </c>
      <c r="E565" s="24">
        <v>8300000</v>
      </c>
      <c r="F565" s="39">
        <v>44196</v>
      </c>
      <c r="G565" s="24">
        <v>8300000</v>
      </c>
      <c r="H565" s="23">
        <v>5.0000000000000001E-3</v>
      </c>
      <c r="I565" s="39">
        <v>44470</v>
      </c>
      <c r="J565" s="39">
        <v>44500</v>
      </c>
      <c r="K565" s="24">
        <f t="shared" si="34"/>
        <v>31</v>
      </c>
      <c r="L565" s="24">
        <f t="shared" si="35"/>
        <v>3525</v>
      </c>
      <c r="M565" s="24">
        <v>8300000</v>
      </c>
      <c r="N565" s="39">
        <v>46021</v>
      </c>
    </row>
    <row r="566" spans="1:14" s="5" customFormat="1" outlineLevel="2">
      <c r="A566" s="39" t="s">
        <v>142</v>
      </c>
      <c r="B566" s="40" t="s">
        <v>224</v>
      </c>
      <c r="C566" s="41" t="s">
        <v>165</v>
      </c>
      <c r="D566" s="40" t="s">
        <v>166</v>
      </c>
      <c r="E566" s="24">
        <v>39740000</v>
      </c>
      <c r="F566" s="39">
        <v>44195</v>
      </c>
      <c r="G566" s="24">
        <v>39740000</v>
      </c>
      <c r="H566" s="23">
        <v>5.0000000000000001E-3</v>
      </c>
      <c r="I566" s="39">
        <v>44470</v>
      </c>
      <c r="J566" s="39">
        <v>44500</v>
      </c>
      <c r="K566" s="24">
        <f t="shared" si="34"/>
        <v>31</v>
      </c>
      <c r="L566" s="24">
        <f t="shared" si="35"/>
        <v>16876</v>
      </c>
      <c r="M566" s="24">
        <v>39740000</v>
      </c>
      <c r="N566" s="39">
        <v>45289</v>
      </c>
    </row>
    <row r="567" spans="1:14" s="5" customFormat="1" outlineLevel="2">
      <c r="A567" s="39" t="s">
        <v>142</v>
      </c>
      <c r="B567" s="40" t="s">
        <v>225</v>
      </c>
      <c r="C567" s="41" t="s">
        <v>85</v>
      </c>
      <c r="D567" s="40" t="s">
        <v>86</v>
      </c>
      <c r="E567" s="24">
        <v>4842500</v>
      </c>
      <c r="F567" s="39">
        <v>44202</v>
      </c>
      <c r="G567" s="24">
        <v>4842500</v>
      </c>
      <c r="H567" s="23">
        <v>5.0000000000000001E-3</v>
      </c>
      <c r="I567" s="39">
        <v>44470</v>
      </c>
      <c r="J567" s="39">
        <v>44500</v>
      </c>
      <c r="K567" s="24">
        <f t="shared" si="34"/>
        <v>31</v>
      </c>
      <c r="L567" s="24">
        <f t="shared" si="35"/>
        <v>2056</v>
      </c>
      <c r="M567" s="24">
        <v>4842500</v>
      </c>
      <c r="N567" s="39">
        <v>46027</v>
      </c>
    </row>
    <row r="568" spans="1:14" s="5" customFormat="1" outlineLevel="2">
      <c r="A568" s="39" t="s">
        <v>142</v>
      </c>
      <c r="B568" s="40" t="s">
        <v>226</v>
      </c>
      <c r="C568" s="41" t="s">
        <v>85</v>
      </c>
      <c r="D568" s="40" t="s">
        <v>86</v>
      </c>
      <c r="E568" s="24">
        <v>14527500</v>
      </c>
      <c r="F568" s="39">
        <v>44202</v>
      </c>
      <c r="G568" s="24">
        <v>14527500</v>
      </c>
      <c r="H568" s="23">
        <v>5.0000000000000001E-3</v>
      </c>
      <c r="I568" s="39">
        <v>44470</v>
      </c>
      <c r="J568" s="39">
        <v>44500</v>
      </c>
      <c r="K568" s="24">
        <f t="shared" si="34"/>
        <v>31</v>
      </c>
      <c r="L568" s="24">
        <f t="shared" si="35"/>
        <v>6169</v>
      </c>
      <c r="M568" s="24">
        <v>14527500</v>
      </c>
      <c r="N568" s="39">
        <v>46027</v>
      </c>
    </row>
    <row r="569" spans="1:14" s="5" customFormat="1" outlineLevel="2">
      <c r="A569" s="39" t="s">
        <v>142</v>
      </c>
      <c r="B569" s="40" t="s">
        <v>227</v>
      </c>
      <c r="C569" s="41" t="s">
        <v>143</v>
      </c>
      <c r="D569" s="40" t="s">
        <v>144</v>
      </c>
      <c r="E569" s="24">
        <v>4600000</v>
      </c>
      <c r="F569" s="39">
        <v>44204</v>
      </c>
      <c r="G569" s="24">
        <v>4600000</v>
      </c>
      <c r="H569" s="23">
        <v>5.0000000000000001E-3</v>
      </c>
      <c r="I569" s="39">
        <v>44470</v>
      </c>
      <c r="J569" s="39">
        <v>44500</v>
      </c>
      <c r="K569" s="24">
        <f t="shared" si="34"/>
        <v>31</v>
      </c>
      <c r="L569" s="24">
        <f t="shared" si="35"/>
        <v>1953</v>
      </c>
      <c r="M569" s="24">
        <v>4600000</v>
      </c>
      <c r="N569" s="39">
        <v>46029</v>
      </c>
    </row>
    <row r="570" spans="1:14" s="5" customFormat="1" outlineLevel="1">
      <c r="A570" s="42" t="s">
        <v>228</v>
      </c>
      <c r="B570" s="70"/>
      <c r="C570" s="71"/>
      <c r="D570" s="70"/>
      <c r="E570" s="72">
        <f>SUBTOTAL(9,E366:E569)</f>
        <v>6773324170</v>
      </c>
      <c r="F570" s="73"/>
      <c r="G570" s="72"/>
      <c r="H570" s="74"/>
      <c r="I570" s="73"/>
      <c r="J570" s="73"/>
      <c r="K570" s="72"/>
      <c r="L570" s="72">
        <f>SUBTOTAL(9,L366:L569)</f>
        <v>2368430</v>
      </c>
      <c r="M570" s="72">
        <f>SUBTOTAL(9,M366:M569)</f>
        <v>6740367484</v>
      </c>
      <c r="N570" s="73"/>
    </row>
    <row r="571" spans="1:14" s="5" customFormat="1" outlineLevel="2">
      <c r="A571" s="39" t="s">
        <v>229</v>
      </c>
      <c r="B571" s="40" t="s">
        <v>16</v>
      </c>
      <c r="C571" s="41" t="s">
        <v>117</v>
      </c>
      <c r="D571" s="40" t="s">
        <v>118</v>
      </c>
      <c r="E571" s="24">
        <v>1210000</v>
      </c>
      <c r="F571" s="39">
        <v>44061</v>
      </c>
      <c r="G571" s="24">
        <v>1210000</v>
      </c>
      <c r="H571" s="23">
        <v>5.0000000000000001E-3</v>
      </c>
      <c r="I571" s="39">
        <v>44470</v>
      </c>
      <c r="J571" s="39">
        <v>44500</v>
      </c>
      <c r="K571" s="24">
        <f t="shared" ref="K571:K578" si="36">J571-I571+1</f>
        <v>31</v>
      </c>
      <c r="L571" s="24">
        <f t="shared" ref="L571:L578" si="37">ROUND(G571*H571*K571/365,0)</f>
        <v>514</v>
      </c>
      <c r="M571" s="24">
        <v>1210000</v>
      </c>
      <c r="N571" s="39">
        <v>45886</v>
      </c>
    </row>
    <row r="572" spans="1:14" s="5" customFormat="1" outlineLevel="2">
      <c r="A572" s="39" t="s">
        <v>229</v>
      </c>
      <c r="B572" s="40" t="s">
        <v>39</v>
      </c>
      <c r="C572" s="41" t="s">
        <v>117</v>
      </c>
      <c r="D572" s="40" t="s">
        <v>118</v>
      </c>
      <c r="E572" s="24">
        <v>27550000</v>
      </c>
      <c r="F572" s="39">
        <v>44393</v>
      </c>
      <c r="G572" s="24">
        <v>27550000</v>
      </c>
      <c r="H572" s="23">
        <v>5.0000000000000001E-3</v>
      </c>
      <c r="I572" s="39">
        <v>44470</v>
      </c>
      <c r="J572" s="39">
        <v>44500</v>
      </c>
      <c r="K572" s="24">
        <f t="shared" si="36"/>
        <v>31</v>
      </c>
      <c r="L572" s="24">
        <f t="shared" si="37"/>
        <v>11699</v>
      </c>
      <c r="M572" s="24">
        <v>27550000</v>
      </c>
      <c r="N572" s="39">
        <v>46218</v>
      </c>
    </row>
    <row r="573" spans="1:14" s="5" customFormat="1" outlineLevel="2">
      <c r="A573" s="39" t="s">
        <v>229</v>
      </c>
      <c r="B573" s="40" t="s">
        <v>54</v>
      </c>
      <c r="C573" s="41" t="s">
        <v>219</v>
      </c>
      <c r="D573" s="40" t="s">
        <v>220</v>
      </c>
      <c r="E573" s="24">
        <v>35340000</v>
      </c>
      <c r="F573" s="39">
        <v>44442</v>
      </c>
      <c r="G573" s="24">
        <v>34751000</v>
      </c>
      <c r="H573" s="23">
        <v>5.0000000000000001E-3</v>
      </c>
      <c r="I573" s="39">
        <v>44470</v>
      </c>
      <c r="J573" s="39">
        <v>44483</v>
      </c>
      <c r="K573" s="24">
        <f t="shared" si="36"/>
        <v>14</v>
      </c>
      <c r="L573" s="24">
        <f t="shared" si="37"/>
        <v>6665</v>
      </c>
      <c r="M573" s="24">
        <v>34162000</v>
      </c>
      <c r="N573" s="39">
        <v>45537</v>
      </c>
    </row>
    <row r="574" spans="1:14" s="5" customFormat="1" outlineLevel="2">
      <c r="A574" s="39" t="s">
        <v>229</v>
      </c>
      <c r="B574" s="40" t="s">
        <v>54</v>
      </c>
      <c r="C574" s="41" t="s">
        <v>219</v>
      </c>
      <c r="D574" s="40"/>
      <c r="E574" s="24"/>
      <c r="F574" s="39"/>
      <c r="G574" s="24">
        <v>34162000</v>
      </c>
      <c r="H574" s="23">
        <v>5.0000000000000001E-3</v>
      </c>
      <c r="I574" s="39">
        <v>44484</v>
      </c>
      <c r="J574" s="39">
        <v>44500</v>
      </c>
      <c r="K574" s="24">
        <f t="shared" si="36"/>
        <v>17</v>
      </c>
      <c r="L574" s="24">
        <f t="shared" si="37"/>
        <v>7956</v>
      </c>
      <c r="M574" s="24"/>
      <c r="N574" s="39">
        <v>45537</v>
      </c>
    </row>
    <row r="575" spans="1:14" s="5" customFormat="1" outlineLevel="2">
      <c r="A575" s="39" t="s">
        <v>229</v>
      </c>
      <c r="B575" s="40" t="s">
        <v>59</v>
      </c>
      <c r="C575" s="41" t="s">
        <v>117</v>
      </c>
      <c r="D575" s="40" t="s">
        <v>118</v>
      </c>
      <c r="E575" s="24">
        <v>21240000</v>
      </c>
      <c r="F575" s="39">
        <v>44448</v>
      </c>
      <c r="G575" s="24">
        <v>21240000</v>
      </c>
      <c r="H575" s="23">
        <v>5.0000000000000001E-3</v>
      </c>
      <c r="I575" s="39">
        <v>44470</v>
      </c>
      <c r="J575" s="39">
        <v>44500</v>
      </c>
      <c r="K575" s="24">
        <f t="shared" si="36"/>
        <v>31</v>
      </c>
      <c r="L575" s="24">
        <f t="shared" si="37"/>
        <v>9020</v>
      </c>
      <c r="M575" s="24">
        <v>21240000</v>
      </c>
      <c r="N575" s="39">
        <v>46273</v>
      </c>
    </row>
    <row r="576" spans="1:14" s="5" customFormat="1" outlineLevel="2">
      <c r="A576" s="39" t="s">
        <v>229</v>
      </c>
      <c r="B576" s="40" t="s">
        <v>62</v>
      </c>
      <c r="C576" s="41" t="s">
        <v>414</v>
      </c>
      <c r="D576" s="40" t="s">
        <v>413</v>
      </c>
      <c r="E576" s="24">
        <v>88000000</v>
      </c>
      <c r="F576" s="39">
        <v>44463</v>
      </c>
      <c r="G576" s="24">
        <v>88000000</v>
      </c>
      <c r="H576" s="23">
        <v>5.0000000000000001E-3</v>
      </c>
      <c r="I576" s="39">
        <v>44470</v>
      </c>
      <c r="J576" s="39">
        <v>44500</v>
      </c>
      <c r="K576" s="24">
        <f t="shared" si="36"/>
        <v>31</v>
      </c>
      <c r="L576" s="24">
        <f t="shared" si="37"/>
        <v>37370</v>
      </c>
      <c r="M576" s="24">
        <v>88000000</v>
      </c>
      <c r="N576" s="39">
        <v>45558</v>
      </c>
    </row>
    <row r="577" spans="1:14" s="5" customFormat="1" outlineLevel="2">
      <c r="A577" s="39" t="s">
        <v>229</v>
      </c>
      <c r="B577" s="40" t="s">
        <v>63</v>
      </c>
      <c r="C577" s="41" t="s">
        <v>414</v>
      </c>
      <c r="D577" s="40" t="s">
        <v>413</v>
      </c>
      <c r="E577" s="24">
        <v>6700000</v>
      </c>
      <c r="F577" s="39">
        <v>44463</v>
      </c>
      <c r="G577" s="24">
        <v>6700000</v>
      </c>
      <c r="H577" s="23">
        <v>5.0000000000000001E-3</v>
      </c>
      <c r="I577" s="39">
        <v>44470</v>
      </c>
      <c r="J577" s="39">
        <v>44500</v>
      </c>
      <c r="K577" s="24">
        <f t="shared" si="36"/>
        <v>31</v>
      </c>
      <c r="L577" s="24">
        <f t="shared" si="37"/>
        <v>2845</v>
      </c>
      <c r="M577" s="24">
        <v>6700000</v>
      </c>
      <c r="N577" s="39">
        <v>45558</v>
      </c>
    </row>
    <row r="578" spans="1:14" s="5" customFormat="1" outlineLevel="2">
      <c r="A578" s="39" t="s">
        <v>229</v>
      </c>
      <c r="B578" s="40" t="s">
        <v>64</v>
      </c>
      <c r="C578" s="41" t="s">
        <v>430</v>
      </c>
      <c r="D578" s="40" t="s">
        <v>220</v>
      </c>
      <c r="E578" s="24">
        <v>17951000</v>
      </c>
      <c r="F578" s="39">
        <v>44497</v>
      </c>
      <c r="G578" s="24">
        <v>17951000</v>
      </c>
      <c r="H578" s="23">
        <v>5.0000000000000001E-3</v>
      </c>
      <c r="I578" s="39">
        <v>44497</v>
      </c>
      <c r="J578" s="39">
        <v>44500</v>
      </c>
      <c r="K578" s="24">
        <f t="shared" si="36"/>
        <v>4</v>
      </c>
      <c r="L578" s="24">
        <f t="shared" si="37"/>
        <v>984</v>
      </c>
      <c r="M578" s="24">
        <v>17951000</v>
      </c>
      <c r="N578" s="39">
        <v>45592</v>
      </c>
    </row>
    <row r="579" spans="1:14" s="5" customFormat="1" outlineLevel="1">
      <c r="A579" s="42" t="s">
        <v>230</v>
      </c>
      <c r="B579" s="70"/>
      <c r="C579" s="71"/>
      <c r="D579" s="70"/>
      <c r="E579" s="72">
        <f>SUBTOTAL(9,E571:E578)</f>
        <v>197991000</v>
      </c>
      <c r="F579" s="73"/>
      <c r="G579" s="72"/>
      <c r="H579" s="74"/>
      <c r="I579" s="73"/>
      <c r="J579" s="73"/>
      <c r="K579" s="72"/>
      <c r="L579" s="72">
        <f>SUBTOTAL(9,L571:L578)</f>
        <v>77053</v>
      </c>
      <c r="M579" s="72">
        <f>SUBTOTAL(9,M571:M578)</f>
        <v>196813000</v>
      </c>
      <c r="N579" s="73"/>
    </row>
    <row r="580" spans="1:14" s="5" customFormat="1" outlineLevel="2">
      <c r="A580" s="39" t="s">
        <v>231</v>
      </c>
      <c r="B580" s="40" t="s">
        <v>16</v>
      </c>
      <c r="C580" s="41" t="s">
        <v>17</v>
      </c>
      <c r="D580" s="40" t="s">
        <v>18</v>
      </c>
      <c r="E580" s="24">
        <v>150000000</v>
      </c>
      <c r="F580" s="39">
        <v>43829</v>
      </c>
      <c r="G580" s="24">
        <v>97500000</v>
      </c>
      <c r="H580" s="23">
        <v>5.0000000000000001E-3</v>
      </c>
      <c r="I580" s="39">
        <v>44470</v>
      </c>
      <c r="J580" s="39">
        <v>44483</v>
      </c>
      <c r="K580" s="24">
        <f t="shared" ref="K580:K611" si="38">J580-I580+1</f>
        <v>14</v>
      </c>
      <c r="L580" s="24">
        <f t="shared" ref="L580:L611" si="39">ROUND(G580*H580*K580/365,0)</f>
        <v>18699</v>
      </c>
      <c r="M580" s="24">
        <v>95000000</v>
      </c>
      <c r="N580" s="39">
        <v>45655</v>
      </c>
    </row>
    <row r="581" spans="1:14" s="5" customFormat="1" outlineLevel="2">
      <c r="A581" s="39" t="s">
        <v>231</v>
      </c>
      <c r="B581" s="40" t="s">
        <v>16</v>
      </c>
      <c r="C581" s="41" t="s">
        <v>17</v>
      </c>
      <c r="D581" s="40"/>
      <c r="E581" s="24"/>
      <c r="F581" s="39"/>
      <c r="G581" s="24">
        <v>95000000</v>
      </c>
      <c r="H581" s="23">
        <v>5.0000000000000001E-3</v>
      </c>
      <c r="I581" s="39">
        <v>44484</v>
      </c>
      <c r="J581" s="39">
        <v>44500</v>
      </c>
      <c r="K581" s="24">
        <f t="shared" si="38"/>
        <v>17</v>
      </c>
      <c r="L581" s="24">
        <f t="shared" si="39"/>
        <v>22123</v>
      </c>
      <c r="M581" s="24"/>
      <c r="N581" s="39">
        <v>45655</v>
      </c>
    </row>
    <row r="582" spans="1:14" s="5" customFormat="1" outlineLevel="2">
      <c r="A582" s="39" t="s">
        <v>231</v>
      </c>
      <c r="B582" s="40" t="s">
        <v>19</v>
      </c>
      <c r="C582" s="41" t="s">
        <v>17</v>
      </c>
      <c r="D582" s="40" t="s">
        <v>18</v>
      </c>
      <c r="E582" s="24">
        <v>9460000</v>
      </c>
      <c r="F582" s="39">
        <v>43990</v>
      </c>
      <c r="G582" s="24">
        <v>6708000</v>
      </c>
      <c r="H582" s="23">
        <v>5.0000000000000001E-3</v>
      </c>
      <c r="I582" s="39">
        <v>44470</v>
      </c>
      <c r="J582" s="39">
        <v>44483</v>
      </c>
      <c r="K582" s="24">
        <f t="shared" si="38"/>
        <v>14</v>
      </c>
      <c r="L582" s="24">
        <f t="shared" si="39"/>
        <v>1286</v>
      </c>
      <c r="M582" s="24">
        <v>6536000</v>
      </c>
      <c r="N582" s="39">
        <v>45815</v>
      </c>
    </row>
    <row r="583" spans="1:14" s="5" customFormat="1" outlineLevel="2">
      <c r="A583" s="39" t="s">
        <v>231</v>
      </c>
      <c r="B583" s="40" t="s">
        <v>19</v>
      </c>
      <c r="C583" s="41" t="s">
        <v>17</v>
      </c>
      <c r="D583" s="40"/>
      <c r="E583" s="24"/>
      <c r="F583" s="39"/>
      <c r="G583" s="24">
        <v>6536000</v>
      </c>
      <c r="H583" s="23">
        <v>5.0000000000000001E-3</v>
      </c>
      <c r="I583" s="39">
        <v>44484</v>
      </c>
      <c r="J583" s="39">
        <v>44500</v>
      </c>
      <c r="K583" s="24">
        <f t="shared" si="38"/>
        <v>17</v>
      </c>
      <c r="L583" s="24">
        <f t="shared" si="39"/>
        <v>1522</v>
      </c>
      <c r="M583" s="24"/>
      <c r="N583" s="39">
        <v>45815</v>
      </c>
    </row>
    <row r="584" spans="1:14" s="5" customFormat="1" outlineLevel="2">
      <c r="A584" s="39" t="s">
        <v>231</v>
      </c>
      <c r="B584" s="40" t="s">
        <v>22</v>
      </c>
      <c r="C584" s="41" t="s">
        <v>45</v>
      </c>
      <c r="D584" s="40" t="s">
        <v>46</v>
      </c>
      <c r="E584" s="24">
        <v>5000000</v>
      </c>
      <c r="F584" s="39">
        <v>44046</v>
      </c>
      <c r="G584" s="24">
        <v>5000000</v>
      </c>
      <c r="H584" s="23">
        <v>5.0000000000000001E-3</v>
      </c>
      <c r="I584" s="39">
        <v>44470</v>
      </c>
      <c r="J584" s="39">
        <v>44500</v>
      </c>
      <c r="K584" s="24">
        <f t="shared" si="38"/>
        <v>31</v>
      </c>
      <c r="L584" s="24">
        <f t="shared" si="39"/>
        <v>2123</v>
      </c>
      <c r="M584" s="24">
        <v>5000000</v>
      </c>
      <c r="N584" s="39">
        <v>45871</v>
      </c>
    </row>
    <row r="585" spans="1:14" s="5" customFormat="1" outlineLevel="2">
      <c r="A585" s="39" t="s">
        <v>231</v>
      </c>
      <c r="B585" s="40" t="s">
        <v>25</v>
      </c>
      <c r="C585" s="41" t="s">
        <v>143</v>
      </c>
      <c r="D585" s="40" t="s">
        <v>144</v>
      </c>
      <c r="E585" s="24">
        <v>20000000</v>
      </c>
      <c r="F585" s="39">
        <v>44155</v>
      </c>
      <c r="G585" s="24">
        <v>20000000</v>
      </c>
      <c r="H585" s="23">
        <v>5.0000000000000001E-3</v>
      </c>
      <c r="I585" s="39">
        <v>44470</v>
      </c>
      <c r="J585" s="39">
        <v>44500</v>
      </c>
      <c r="K585" s="24">
        <f t="shared" si="38"/>
        <v>31</v>
      </c>
      <c r="L585" s="24">
        <f t="shared" si="39"/>
        <v>8493</v>
      </c>
      <c r="M585" s="24">
        <v>20000000</v>
      </c>
      <c r="N585" s="39">
        <v>45980</v>
      </c>
    </row>
    <row r="586" spans="1:14" s="5" customFormat="1" outlineLevel="2">
      <c r="A586" s="39" t="s">
        <v>231</v>
      </c>
      <c r="B586" s="40" t="s">
        <v>26</v>
      </c>
      <c r="C586" s="41" t="s">
        <v>232</v>
      </c>
      <c r="D586" s="40" t="s">
        <v>233</v>
      </c>
      <c r="E586" s="24">
        <v>125000000</v>
      </c>
      <c r="F586" s="39">
        <v>44193</v>
      </c>
      <c r="G586" s="24">
        <v>125000000</v>
      </c>
      <c r="H586" s="23">
        <v>5.0000000000000001E-3</v>
      </c>
      <c r="I586" s="39">
        <v>44470</v>
      </c>
      <c r="J586" s="39">
        <v>44500</v>
      </c>
      <c r="K586" s="24">
        <f t="shared" si="38"/>
        <v>31</v>
      </c>
      <c r="L586" s="24">
        <f t="shared" si="39"/>
        <v>53082</v>
      </c>
      <c r="M586" s="24">
        <v>125000000</v>
      </c>
      <c r="N586" s="39">
        <v>46018</v>
      </c>
    </row>
    <row r="587" spans="1:14" s="5" customFormat="1" outlineLevel="2">
      <c r="A587" s="39" t="s">
        <v>231</v>
      </c>
      <c r="B587" s="40" t="s">
        <v>29</v>
      </c>
      <c r="C587" s="41" t="s">
        <v>143</v>
      </c>
      <c r="D587" s="40" t="s">
        <v>144</v>
      </c>
      <c r="E587" s="24">
        <v>20000000</v>
      </c>
      <c r="F587" s="39">
        <v>44194</v>
      </c>
      <c r="G587" s="24">
        <v>20000000</v>
      </c>
      <c r="H587" s="23">
        <v>5.0000000000000001E-3</v>
      </c>
      <c r="I587" s="39">
        <v>44470</v>
      </c>
      <c r="J587" s="39">
        <v>44500</v>
      </c>
      <c r="K587" s="24">
        <f t="shared" si="38"/>
        <v>31</v>
      </c>
      <c r="L587" s="24">
        <f t="shared" si="39"/>
        <v>8493</v>
      </c>
      <c r="M587" s="24">
        <v>20000000</v>
      </c>
      <c r="N587" s="39">
        <v>46019</v>
      </c>
    </row>
    <row r="588" spans="1:14" s="5" customFormat="1" outlineLevel="2">
      <c r="A588" s="39" t="s">
        <v>231</v>
      </c>
      <c r="B588" s="40" t="s">
        <v>32</v>
      </c>
      <c r="C588" s="41" t="s">
        <v>30</v>
      </c>
      <c r="D588" s="40" t="s">
        <v>31</v>
      </c>
      <c r="E588" s="24">
        <v>120000000</v>
      </c>
      <c r="F588" s="39">
        <v>44214</v>
      </c>
      <c r="G588" s="24">
        <v>120000000</v>
      </c>
      <c r="H588" s="23">
        <v>5.0000000000000001E-3</v>
      </c>
      <c r="I588" s="39">
        <v>44470</v>
      </c>
      <c r="J588" s="39">
        <v>44500</v>
      </c>
      <c r="K588" s="24">
        <f t="shared" si="38"/>
        <v>31</v>
      </c>
      <c r="L588" s="24">
        <f t="shared" si="39"/>
        <v>50959</v>
      </c>
      <c r="M588" s="24">
        <v>120000000</v>
      </c>
      <c r="N588" s="39">
        <v>46039</v>
      </c>
    </row>
    <row r="589" spans="1:14" s="5" customFormat="1" outlineLevel="2">
      <c r="A589" s="39" t="s">
        <v>231</v>
      </c>
      <c r="B589" s="40" t="s">
        <v>33</v>
      </c>
      <c r="C589" s="41" t="s">
        <v>143</v>
      </c>
      <c r="D589" s="40" t="s">
        <v>144</v>
      </c>
      <c r="E589" s="24">
        <v>20000000</v>
      </c>
      <c r="F589" s="39">
        <v>44225</v>
      </c>
      <c r="G589" s="24">
        <v>20000000</v>
      </c>
      <c r="H589" s="23">
        <v>5.0000000000000001E-3</v>
      </c>
      <c r="I589" s="39">
        <v>44470</v>
      </c>
      <c r="J589" s="39">
        <v>44500</v>
      </c>
      <c r="K589" s="24">
        <f t="shared" si="38"/>
        <v>31</v>
      </c>
      <c r="L589" s="24">
        <f t="shared" si="39"/>
        <v>8493</v>
      </c>
      <c r="M589" s="24">
        <v>20000000</v>
      </c>
      <c r="N589" s="39">
        <v>46050</v>
      </c>
    </row>
    <row r="590" spans="1:14" s="5" customFormat="1" outlineLevel="2">
      <c r="A590" s="39" t="s">
        <v>231</v>
      </c>
      <c r="B590" s="40" t="s">
        <v>34</v>
      </c>
      <c r="C590" s="41" t="s">
        <v>280</v>
      </c>
      <c r="D590" s="40" t="s">
        <v>281</v>
      </c>
      <c r="E590" s="24">
        <v>250000000</v>
      </c>
      <c r="F590" s="39">
        <v>44228</v>
      </c>
      <c r="G590" s="24">
        <v>250000000</v>
      </c>
      <c r="H590" s="23">
        <v>3.0000000000000001E-3</v>
      </c>
      <c r="I590" s="39">
        <v>44470</v>
      </c>
      <c r="J590" s="39">
        <v>44500</v>
      </c>
      <c r="K590" s="24">
        <f t="shared" si="38"/>
        <v>31</v>
      </c>
      <c r="L590" s="24">
        <f t="shared" si="39"/>
        <v>63699</v>
      </c>
      <c r="M590" s="24">
        <v>250000000</v>
      </c>
      <c r="N590" s="39">
        <v>46053</v>
      </c>
    </row>
    <row r="591" spans="1:14" s="5" customFormat="1" outlineLevel="2">
      <c r="A591" s="39" t="s">
        <v>231</v>
      </c>
      <c r="B591" s="40" t="s">
        <v>35</v>
      </c>
      <c r="C591" s="41" t="s">
        <v>143</v>
      </c>
      <c r="D591" s="40" t="s">
        <v>144</v>
      </c>
      <c r="E591" s="24">
        <v>20000000</v>
      </c>
      <c r="F591" s="39">
        <v>44253</v>
      </c>
      <c r="G591" s="24">
        <v>20000000</v>
      </c>
      <c r="H591" s="23">
        <v>5.0000000000000001E-3</v>
      </c>
      <c r="I591" s="39">
        <v>44470</v>
      </c>
      <c r="J591" s="39">
        <v>44500</v>
      </c>
      <c r="K591" s="24">
        <f t="shared" si="38"/>
        <v>31</v>
      </c>
      <c r="L591" s="24">
        <f t="shared" si="39"/>
        <v>8493</v>
      </c>
      <c r="M591" s="24">
        <v>20000000</v>
      </c>
      <c r="N591" s="39">
        <v>46078</v>
      </c>
    </row>
    <row r="592" spans="1:14" s="5" customFormat="1" outlineLevel="2">
      <c r="A592" s="39" t="s">
        <v>231</v>
      </c>
      <c r="B592" s="40" t="s">
        <v>36</v>
      </c>
      <c r="C592" s="41" t="s">
        <v>280</v>
      </c>
      <c r="D592" s="40" t="s">
        <v>281</v>
      </c>
      <c r="E592" s="24">
        <v>160000000</v>
      </c>
      <c r="F592" s="39">
        <v>44286</v>
      </c>
      <c r="G592" s="24">
        <v>160000000</v>
      </c>
      <c r="H592" s="23">
        <v>3.0000000000000001E-3</v>
      </c>
      <c r="I592" s="39">
        <v>44470</v>
      </c>
      <c r="J592" s="39">
        <v>44500</v>
      </c>
      <c r="K592" s="24">
        <f t="shared" si="38"/>
        <v>31</v>
      </c>
      <c r="L592" s="24">
        <f t="shared" si="39"/>
        <v>40767</v>
      </c>
      <c r="M592" s="24">
        <v>160000000</v>
      </c>
      <c r="N592" s="39">
        <v>46111</v>
      </c>
    </row>
    <row r="593" spans="1:14" s="5" customFormat="1" outlineLevel="2">
      <c r="A593" s="39" t="s">
        <v>231</v>
      </c>
      <c r="B593" s="40" t="s">
        <v>39</v>
      </c>
      <c r="C593" s="41" t="s">
        <v>17</v>
      </c>
      <c r="D593" s="40" t="s">
        <v>18</v>
      </c>
      <c r="E593" s="24">
        <v>32900000</v>
      </c>
      <c r="F593" s="39">
        <v>43829</v>
      </c>
      <c r="G593" s="24">
        <v>21385007</v>
      </c>
      <c r="H593" s="23">
        <v>5.0000000000000001E-3</v>
      </c>
      <c r="I593" s="39">
        <v>44470</v>
      </c>
      <c r="J593" s="39">
        <v>44483</v>
      </c>
      <c r="K593" s="24">
        <f t="shared" si="38"/>
        <v>14</v>
      </c>
      <c r="L593" s="24">
        <f t="shared" si="39"/>
        <v>4101</v>
      </c>
      <c r="M593" s="24">
        <v>20836674</v>
      </c>
      <c r="N593" s="39">
        <v>45655</v>
      </c>
    </row>
    <row r="594" spans="1:14" s="5" customFormat="1" outlineLevel="2">
      <c r="A594" s="39" t="s">
        <v>231</v>
      </c>
      <c r="B594" s="40" t="s">
        <v>39</v>
      </c>
      <c r="C594" s="41" t="s">
        <v>17</v>
      </c>
      <c r="D594" s="40"/>
      <c r="E594" s="24"/>
      <c r="F594" s="39"/>
      <c r="G594" s="24">
        <v>20836674</v>
      </c>
      <c r="H594" s="23">
        <v>5.0000000000000001E-3</v>
      </c>
      <c r="I594" s="39">
        <v>44484</v>
      </c>
      <c r="J594" s="39">
        <v>44500</v>
      </c>
      <c r="K594" s="24">
        <f t="shared" si="38"/>
        <v>17</v>
      </c>
      <c r="L594" s="24">
        <f t="shared" si="39"/>
        <v>4852</v>
      </c>
      <c r="M594" s="24"/>
      <c r="N594" s="39">
        <v>45655</v>
      </c>
    </row>
    <row r="595" spans="1:14" s="5" customFormat="1" outlineLevel="2">
      <c r="A595" s="39" t="s">
        <v>231</v>
      </c>
      <c r="B595" s="40" t="s">
        <v>40</v>
      </c>
      <c r="C595" s="41" t="s">
        <v>246</v>
      </c>
      <c r="D595" s="40" t="s">
        <v>247</v>
      </c>
      <c r="E595" s="24">
        <v>3400000</v>
      </c>
      <c r="F595" s="39">
        <v>44294</v>
      </c>
      <c r="G595" s="24">
        <v>3400000</v>
      </c>
      <c r="H595" s="23">
        <v>5.0000000000000001E-3</v>
      </c>
      <c r="I595" s="39">
        <v>44470</v>
      </c>
      <c r="J595" s="39">
        <v>44500</v>
      </c>
      <c r="K595" s="24">
        <f t="shared" si="38"/>
        <v>31</v>
      </c>
      <c r="L595" s="24">
        <f t="shared" si="39"/>
        <v>1444</v>
      </c>
      <c r="M595" s="24">
        <v>3400000</v>
      </c>
      <c r="N595" s="39">
        <v>46119</v>
      </c>
    </row>
    <row r="596" spans="1:14" s="5" customFormat="1" outlineLevel="2">
      <c r="A596" s="39" t="s">
        <v>231</v>
      </c>
      <c r="B596" s="40" t="s">
        <v>41</v>
      </c>
      <c r="C596" s="41" t="s">
        <v>280</v>
      </c>
      <c r="D596" s="40" t="s">
        <v>281</v>
      </c>
      <c r="E596" s="24">
        <v>500000000</v>
      </c>
      <c r="F596" s="39">
        <v>44376</v>
      </c>
      <c r="G596" s="24">
        <v>500000000</v>
      </c>
      <c r="H596" s="23">
        <v>3.0000000000000001E-3</v>
      </c>
      <c r="I596" s="39">
        <v>44470</v>
      </c>
      <c r="J596" s="39">
        <v>44500</v>
      </c>
      <c r="K596" s="24">
        <f t="shared" si="38"/>
        <v>31</v>
      </c>
      <c r="L596" s="24">
        <f t="shared" si="39"/>
        <v>127397</v>
      </c>
      <c r="M596" s="24">
        <v>500000000</v>
      </c>
      <c r="N596" s="39">
        <v>46201</v>
      </c>
    </row>
    <row r="597" spans="1:14" s="5" customFormat="1" outlineLevel="2">
      <c r="A597" s="39" t="s">
        <v>231</v>
      </c>
      <c r="B597" s="40" t="s">
        <v>42</v>
      </c>
      <c r="C597" s="41" t="s">
        <v>89</v>
      </c>
      <c r="D597" s="40" t="s">
        <v>90</v>
      </c>
      <c r="E597" s="24">
        <v>40000000</v>
      </c>
      <c r="F597" s="39">
        <v>44424</v>
      </c>
      <c r="G597" s="24">
        <v>40000000</v>
      </c>
      <c r="H597" s="23">
        <v>5.0000000000000001E-3</v>
      </c>
      <c r="I597" s="39">
        <v>44470</v>
      </c>
      <c r="J597" s="39">
        <v>44500</v>
      </c>
      <c r="K597" s="24">
        <f t="shared" si="38"/>
        <v>31</v>
      </c>
      <c r="L597" s="24">
        <f t="shared" si="39"/>
        <v>16986</v>
      </c>
      <c r="M597" s="24">
        <v>40000000</v>
      </c>
      <c r="N597" s="39">
        <v>46249</v>
      </c>
    </row>
    <row r="598" spans="1:14" s="5" customFormat="1" outlineLevel="2">
      <c r="A598" s="39" t="s">
        <v>231</v>
      </c>
      <c r="B598" s="40" t="s">
        <v>43</v>
      </c>
      <c r="C598" s="41" t="s">
        <v>429</v>
      </c>
      <c r="D598" s="40" t="s">
        <v>428</v>
      </c>
      <c r="E598" s="24">
        <v>24800000</v>
      </c>
      <c r="F598" s="39">
        <v>44484</v>
      </c>
      <c r="G598" s="24">
        <v>24800000</v>
      </c>
      <c r="H598" s="23">
        <v>5.0000000000000001E-3</v>
      </c>
      <c r="I598" s="39">
        <v>44484</v>
      </c>
      <c r="J598" s="39">
        <v>44500</v>
      </c>
      <c r="K598" s="24">
        <f t="shared" si="38"/>
        <v>17</v>
      </c>
      <c r="L598" s="24">
        <f t="shared" si="39"/>
        <v>5775</v>
      </c>
      <c r="M598" s="24">
        <v>24800000</v>
      </c>
      <c r="N598" s="39">
        <v>45579</v>
      </c>
    </row>
    <row r="599" spans="1:14" s="5" customFormat="1" outlineLevel="2">
      <c r="A599" s="39" t="s">
        <v>231</v>
      </c>
      <c r="B599" s="40" t="s">
        <v>54</v>
      </c>
      <c r="C599" s="41" t="s">
        <v>17</v>
      </c>
      <c r="D599" s="40" t="s">
        <v>18</v>
      </c>
      <c r="E599" s="24">
        <v>2790000</v>
      </c>
      <c r="F599" s="39">
        <v>43921</v>
      </c>
      <c r="G599" s="24">
        <v>1908954</v>
      </c>
      <c r="H599" s="23">
        <v>5.0000000000000001E-3</v>
      </c>
      <c r="I599" s="39">
        <v>44470</v>
      </c>
      <c r="J599" s="39">
        <v>44483</v>
      </c>
      <c r="K599" s="24">
        <f t="shared" si="38"/>
        <v>14</v>
      </c>
      <c r="L599" s="24">
        <f t="shared" si="39"/>
        <v>366</v>
      </c>
      <c r="M599" s="24">
        <v>1860007</v>
      </c>
      <c r="N599" s="39">
        <v>45746</v>
      </c>
    </row>
    <row r="600" spans="1:14" s="5" customFormat="1" outlineLevel="2">
      <c r="A600" s="39" t="s">
        <v>231</v>
      </c>
      <c r="B600" s="40" t="s">
        <v>54</v>
      </c>
      <c r="C600" s="41" t="s">
        <v>17</v>
      </c>
      <c r="D600" s="40"/>
      <c r="E600" s="24"/>
      <c r="F600" s="39"/>
      <c r="G600" s="24">
        <v>1860007</v>
      </c>
      <c r="H600" s="23">
        <v>5.0000000000000001E-3</v>
      </c>
      <c r="I600" s="39">
        <v>44484</v>
      </c>
      <c r="J600" s="39">
        <v>44500</v>
      </c>
      <c r="K600" s="24">
        <f t="shared" si="38"/>
        <v>17</v>
      </c>
      <c r="L600" s="24">
        <f t="shared" si="39"/>
        <v>433</v>
      </c>
      <c r="M600" s="24"/>
      <c r="N600" s="39">
        <v>45746</v>
      </c>
    </row>
    <row r="601" spans="1:14" s="5" customFormat="1" outlineLevel="2">
      <c r="A601" s="39" t="s">
        <v>231</v>
      </c>
      <c r="B601" s="40" t="s">
        <v>59</v>
      </c>
      <c r="C601" s="41" t="s">
        <v>55</v>
      </c>
      <c r="D601" s="40" t="s">
        <v>56</v>
      </c>
      <c r="E601" s="24">
        <v>12000000</v>
      </c>
      <c r="F601" s="39">
        <v>43948</v>
      </c>
      <c r="G601" s="24">
        <v>8600000</v>
      </c>
      <c r="H601" s="23">
        <v>5.0000000000000001E-3</v>
      </c>
      <c r="I601" s="39">
        <v>44470</v>
      </c>
      <c r="J601" s="39">
        <v>44483</v>
      </c>
      <c r="K601" s="24">
        <f t="shared" si="38"/>
        <v>14</v>
      </c>
      <c r="L601" s="24">
        <f t="shared" si="39"/>
        <v>1649</v>
      </c>
      <c r="M601" s="24">
        <v>8400000</v>
      </c>
      <c r="N601" s="39">
        <v>45773</v>
      </c>
    </row>
    <row r="602" spans="1:14" s="5" customFormat="1" outlineLevel="2">
      <c r="A602" s="39" t="s">
        <v>231</v>
      </c>
      <c r="B602" s="40" t="s">
        <v>59</v>
      </c>
      <c r="C602" s="41" t="s">
        <v>55</v>
      </c>
      <c r="D602" s="40"/>
      <c r="E602" s="24"/>
      <c r="F602" s="39"/>
      <c r="G602" s="24">
        <v>8400000</v>
      </c>
      <c r="H602" s="23">
        <v>5.0000000000000001E-3</v>
      </c>
      <c r="I602" s="39">
        <v>44484</v>
      </c>
      <c r="J602" s="39">
        <v>44500</v>
      </c>
      <c r="K602" s="24">
        <f t="shared" si="38"/>
        <v>17</v>
      </c>
      <c r="L602" s="24">
        <f t="shared" si="39"/>
        <v>1956</v>
      </c>
      <c r="M602" s="24"/>
      <c r="N602" s="39">
        <v>45773</v>
      </c>
    </row>
    <row r="603" spans="1:14" s="5" customFormat="1" outlineLevel="2">
      <c r="A603" s="39" t="s">
        <v>231</v>
      </c>
      <c r="B603" s="40" t="s">
        <v>62</v>
      </c>
      <c r="C603" s="41" t="s">
        <v>30</v>
      </c>
      <c r="D603" s="40" t="s">
        <v>31</v>
      </c>
      <c r="E603" s="24">
        <v>71750000</v>
      </c>
      <c r="F603" s="39">
        <v>43955</v>
      </c>
      <c r="G603" s="24">
        <v>71750000</v>
      </c>
      <c r="H603" s="23">
        <v>5.0000000000000001E-3</v>
      </c>
      <c r="I603" s="39">
        <v>44470</v>
      </c>
      <c r="J603" s="39">
        <v>44500</v>
      </c>
      <c r="K603" s="24">
        <f t="shared" si="38"/>
        <v>31</v>
      </c>
      <c r="L603" s="24">
        <f t="shared" si="39"/>
        <v>30469</v>
      </c>
      <c r="M603" s="24">
        <v>71750000</v>
      </c>
      <c r="N603" s="39">
        <v>45780</v>
      </c>
    </row>
    <row r="604" spans="1:14" s="5" customFormat="1" outlineLevel="2">
      <c r="A604" s="39" t="s">
        <v>231</v>
      </c>
      <c r="B604" s="40" t="s">
        <v>63</v>
      </c>
      <c r="C604" s="41" t="s">
        <v>55</v>
      </c>
      <c r="D604" s="40" t="s">
        <v>56</v>
      </c>
      <c r="E604" s="24">
        <v>10000000</v>
      </c>
      <c r="F604" s="39">
        <v>43963</v>
      </c>
      <c r="G604" s="24">
        <v>7166677</v>
      </c>
      <c r="H604" s="23">
        <v>5.0000000000000001E-3</v>
      </c>
      <c r="I604" s="39">
        <v>44470</v>
      </c>
      <c r="J604" s="39">
        <v>44483</v>
      </c>
      <c r="K604" s="24">
        <f t="shared" si="38"/>
        <v>14</v>
      </c>
      <c r="L604" s="24">
        <f t="shared" si="39"/>
        <v>1374</v>
      </c>
      <c r="M604" s="24">
        <v>7000011</v>
      </c>
      <c r="N604" s="39">
        <v>45788</v>
      </c>
    </row>
    <row r="605" spans="1:14" s="5" customFormat="1" outlineLevel="2">
      <c r="A605" s="39" t="s">
        <v>231</v>
      </c>
      <c r="B605" s="40" t="s">
        <v>63</v>
      </c>
      <c r="C605" s="41" t="s">
        <v>55</v>
      </c>
      <c r="D605" s="40"/>
      <c r="E605" s="24"/>
      <c r="F605" s="39"/>
      <c r="G605" s="24">
        <v>7000011</v>
      </c>
      <c r="H605" s="23">
        <v>5.0000000000000001E-3</v>
      </c>
      <c r="I605" s="39">
        <v>44484</v>
      </c>
      <c r="J605" s="39">
        <v>44500</v>
      </c>
      <c r="K605" s="24">
        <f t="shared" si="38"/>
        <v>17</v>
      </c>
      <c r="L605" s="24">
        <f t="shared" si="39"/>
        <v>1630</v>
      </c>
      <c r="M605" s="24"/>
      <c r="N605" s="39">
        <v>45788</v>
      </c>
    </row>
    <row r="606" spans="1:14" s="5" customFormat="1" outlineLevel="2">
      <c r="A606" s="39" t="s">
        <v>231</v>
      </c>
      <c r="B606" s="40" t="s">
        <v>64</v>
      </c>
      <c r="C606" s="41" t="s">
        <v>55</v>
      </c>
      <c r="D606" s="40" t="s">
        <v>56</v>
      </c>
      <c r="E606" s="24">
        <v>4000000</v>
      </c>
      <c r="F606" s="39">
        <v>43970</v>
      </c>
      <c r="G606" s="24">
        <v>2915264</v>
      </c>
      <c r="H606" s="23">
        <v>5.0000000000000001E-3</v>
      </c>
      <c r="I606" s="39">
        <v>44470</v>
      </c>
      <c r="J606" s="39">
        <v>44483</v>
      </c>
      <c r="K606" s="24">
        <f t="shared" si="38"/>
        <v>14</v>
      </c>
      <c r="L606" s="24">
        <f t="shared" si="39"/>
        <v>559</v>
      </c>
      <c r="M606" s="24">
        <v>2847468</v>
      </c>
      <c r="N606" s="39">
        <v>45795</v>
      </c>
    </row>
    <row r="607" spans="1:14" s="5" customFormat="1" outlineLevel="2">
      <c r="A607" s="39" t="s">
        <v>231</v>
      </c>
      <c r="B607" s="40" t="s">
        <v>64</v>
      </c>
      <c r="C607" s="41" t="s">
        <v>55</v>
      </c>
      <c r="D607" s="40"/>
      <c r="E607" s="24"/>
      <c r="F607" s="39"/>
      <c r="G607" s="24">
        <v>2847468</v>
      </c>
      <c r="H607" s="23">
        <v>5.0000000000000001E-3</v>
      </c>
      <c r="I607" s="39">
        <v>44484</v>
      </c>
      <c r="J607" s="39">
        <v>44500</v>
      </c>
      <c r="K607" s="24">
        <f t="shared" si="38"/>
        <v>17</v>
      </c>
      <c r="L607" s="24">
        <f t="shared" si="39"/>
        <v>663</v>
      </c>
      <c r="M607" s="24"/>
      <c r="N607" s="39">
        <v>45795</v>
      </c>
    </row>
    <row r="608" spans="1:14" s="5" customFormat="1" outlineLevel="2">
      <c r="A608" s="39" t="s">
        <v>231</v>
      </c>
      <c r="B608" s="40" t="s">
        <v>65</v>
      </c>
      <c r="C608" s="41" t="s">
        <v>55</v>
      </c>
      <c r="D608" s="40" t="s">
        <v>56</v>
      </c>
      <c r="E608" s="24">
        <v>18000000</v>
      </c>
      <c r="F608" s="39">
        <v>43977</v>
      </c>
      <c r="G608" s="24">
        <v>13118656</v>
      </c>
      <c r="H608" s="23">
        <v>5.0000000000000001E-3</v>
      </c>
      <c r="I608" s="39">
        <v>44470</v>
      </c>
      <c r="J608" s="39">
        <v>44483</v>
      </c>
      <c r="K608" s="24">
        <f t="shared" si="38"/>
        <v>14</v>
      </c>
      <c r="L608" s="24">
        <f t="shared" si="39"/>
        <v>2516</v>
      </c>
      <c r="M608" s="24">
        <v>12813572</v>
      </c>
      <c r="N608" s="39">
        <v>45802</v>
      </c>
    </row>
    <row r="609" spans="1:14" s="5" customFormat="1" outlineLevel="2">
      <c r="A609" s="39" t="s">
        <v>231</v>
      </c>
      <c r="B609" s="40" t="s">
        <v>65</v>
      </c>
      <c r="C609" s="41" t="s">
        <v>55</v>
      </c>
      <c r="D609" s="40"/>
      <c r="E609" s="24"/>
      <c r="F609" s="39"/>
      <c r="G609" s="24">
        <v>12813572</v>
      </c>
      <c r="H609" s="23">
        <v>5.0000000000000001E-3</v>
      </c>
      <c r="I609" s="39">
        <v>44484</v>
      </c>
      <c r="J609" s="39">
        <v>44500</v>
      </c>
      <c r="K609" s="24">
        <f t="shared" si="38"/>
        <v>17</v>
      </c>
      <c r="L609" s="24">
        <f t="shared" si="39"/>
        <v>2984</v>
      </c>
      <c r="M609" s="24"/>
      <c r="N609" s="39">
        <v>45802</v>
      </c>
    </row>
    <row r="610" spans="1:14" s="5" customFormat="1" outlineLevel="2">
      <c r="A610" s="39" t="s">
        <v>231</v>
      </c>
      <c r="B610" s="40" t="s">
        <v>68</v>
      </c>
      <c r="C610" s="41" t="s">
        <v>55</v>
      </c>
      <c r="D610" s="40" t="s">
        <v>56</v>
      </c>
      <c r="E610" s="24">
        <v>6000000</v>
      </c>
      <c r="F610" s="39">
        <v>43984</v>
      </c>
      <c r="G610" s="24">
        <v>4372896</v>
      </c>
      <c r="H610" s="23">
        <v>5.0000000000000001E-3</v>
      </c>
      <c r="I610" s="39">
        <v>44470</v>
      </c>
      <c r="J610" s="39">
        <v>44483</v>
      </c>
      <c r="K610" s="24">
        <f t="shared" si="38"/>
        <v>14</v>
      </c>
      <c r="L610" s="24">
        <f t="shared" si="39"/>
        <v>839</v>
      </c>
      <c r="M610" s="24">
        <v>4271202</v>
      </c>
      <c r="N610" s="39">
        <v>45809</v>
      </c>
    </row>
    <row r="611" spans="1:14" s="5" customFormat="1" outlineLevel="2">
      <c r="A611" s="39" t="s">
        <v>231</v>
      </c>
      <c r="B611" s="40" t="s">
        <v>68</v>
      </c>
      <c r="C611" s="41" t="s">
        <v>55</v>
      </c>
      <c r="D611" s="40"/>
      <c r="E611" s="24"/>
      <c r="F611" s="39"/>
      <c r="G611" s="24">
        <v>4271202</v>
      </c>
      <c r="H611" s="23">
        <v>5.0000000000000001E-3</v>
      </c>
      <c r="I611" s="39">
        <v>44484</v>
      </c>
      <c r="J611" s="39">
        <v>44500</v>
      </c>
      <c r="K611" s="24">
        <f t="shared" si="38"/>
        <v>17</v>
      </c>
      <c r="L611" s="24">
        <f t="shared" si="39"/>
        <v>995</v>
      </c>
      <c r="M611" s="24"/>
      <c r="N611" s="39">
        <v>45809</v>
      </c>
    </row>
    <row r="612" spans="1:14" s="5" customFormat="1" outlineLevel="1">
      <c r="A612" s="42" t="s">
        <v>234</v>
      </c>
      <c r="B612" s="70"/>
      <c r="C612" s="71"/>
      <c r="D612" s="70"/>
      <c r="E612" s="72">
        <f>SUBTOTAL(9,E580:E611)</f>
        <v>1625100000</v>
      </c>
      <c r="F612" s="73"/>
      <c r="G612" s="72"/>
      <c r="H612" s="74"/>
      <c r="I612" s="73"/>
      <c r="J612" s="73"/>
      <c r="K612" s="72"/>
      <c r="L612" s="72">
        <f>SUBTOTAL(9,L580:L611)</f>
        <v>495220</v>
      </c>
      <c r="M612" s="72">
        <f>SUBTOTAL(9,M580:M611)</f>
        <v>1539514934</v>
      </c>
      <c r="N612" s="73"/>
    </row>
    <row r="613" spans="1:14" s="5" customFormat="1" outlineLevel="2">
      <c r="A613" s="39" t="s">
        <v>235</v>
      </c>
      <c r="B613" s="40" t="s">
        <v>16</v>
      </c>
      <c r="C613" s="41" t="s">
        <v>17</v>
      </c>
      <c r="D613" s="40" t="s">
        <v>18</v>
      </c>
      <c r="E613" s="24">
        <v>50000000</v>
      </c>
      <c r="F613" s="39">
        <v>43829</v>
      </c>
      <c r="G613" s="24">
        <v>32499986</v>
      </c>
      <c r="H613" s="23">
        <v>5.0000000000000001E-3</v>
      </c>
      <c r="I613" s="39">
        <v>44470</v>
      </c>
      <c r="J613" s="39">
        <v>44483</v>
      </c>
      <c r="K613" s="24">
        <f t="shared" ref="K613:K632" si="40">J613-I613+1</f>
        <v>14</v>
      </c>
      <c r="L613" s="24">
        <f t="shared" ref="L613:L632" si="41">ROUND(G613*H613*K613/365,0)</f>
        <v>6233</v>
      </c>
      <c r="M613" s="24">
        <v>31666652</v>
      </c>
      <c r="N613" s="39">
        <v>45655</v>
      </c>
    </row>
    <row r="614" spans="1:14" s="5" customFormat="1" outlineLevel="2">
      <c r="A614" s="39" t="s">
        <v>235</v>
      </c>
      <c r="B614" s="40" t="s">
        <v>16</v>
      </c>
      <c r="C614" s="41" t="s">
        <v>17</v>
      </c>
      <c r="D614" s="40"/>
      <c r="E614" s="24"/>
      <c r="F614" s="39"/>
      <c r="G614" s="24">
        <v>31666652</v>
      </c>
      <c r="H614" s="23">
        <v>5.0000000000000001E-3</v>
      </c>
      <c r="I614" s="39">
        <v>44484</v>
      </c>
      <c r="J614" s="39">
        <v>44500</v>
      </c>
      <c r="K614" s="24">
        <f t="shared" si="40"/>
        <v>17</v>
      </c>
      <c r="L614" s="24">
        <f t="shared" si="41"/>
        <v>7374</v>
      </c>
      <c r="M614" s="24"/>
      <c r="N614" s="39">
        <v>45655</v>
      </c>
    </row>
    <row r="615" spans="1:14" s="5" customFormat="1" outlineLevel="2">
      <c r="A615" s="39" t="s">
        <v>235</v>
      </c>
      <c r="B615" s="40" t="s">
        <v>19</v>
      </c>
      <c r="C615" s="41" t="s">
        <v>427</v>
      </c>
      <c r="D615" s="40" t="s">
        <v>426</v>
      </c>
      <c r="E615" s="24">
        <v>2060000</v>
      </c>
      <c r="F615" s="39">
        <v>44494</v>
      </c>
      <c r="G615" s="24">
        <v>2060000</v>
      </c>
      <c r="H615" s="23">
        <v>5.0000000000000001E-3</v>
      </c>
      <c r="I615" s="39">
        <v>44494</v>
      </c>
      <c r="J615" s="39">
        <v>44500</v>
      </c>
      <c r="K615" s="24">
        <f t="shared" si="40"/>
        <v>7</v>
      </c>
      <c r="L615" s="24">
        <f t="shared" si="41"/>
        <v>198</v>
      </c>
      <c r="M615" s="24">
        <v>2060000</v>
      </c>
      <c r="N615" s="39">
        <v>45589</v>
      </c>
    </row>
    <row r="616" spans="1:14" s="5" customFormat="1" outlineLevel="2">
      <c r="A616" s="39" t="s">
        <v>235</v>
      </c>
      <c r="B616" s="40" t="s">
        <v>22</v>
      </c>
      <c r="C616" s="41" t="s">
        <v>427</v>
      </c>
      <c r="D616" s="40" t="s">
        <v>426</v>
      </c>
      <c r="E616" s="24">
        <v>21980000</v>
      </c>
      <c r="F616" s="39">
        <v>44494</v>
      </c>
      <c r="G616" s="24">
        <v>21980000</v>
      </c>
      <c r="H616" s="23">
        <v>5.0000000000000001E-3</v>
      </c>
      <c r="I616" s="39">
        <v>44494</v>
      </c>
      <c r="J616" s="39">
        <v>44500</v>
      </c>
      <c r="K616" s="24">
        <f t="shared" si="40"/>
        <v>7</v>
      </c>
      <c r="L616" s="24">
        <f t="shared" si="41"/>
        <v>2108</v>
      </c>
      <c r="M616" s="24">
        <v>21980000</v>
      </c>
      <c r="N616" s="39">
        <v>45589</v>
      </c>
    </row>
    <row r="617" spans="1:14" s="5" customFormat="1" outlineLevel="2">
      <c r="A617" s="39" t="s">
        <v>235</v>
      </c>
      <c r="B617" s="40" t="s">
        <v>25</v>
      </c>
      <c r="C617" s="41" t="s">
        <v>427</v>
      </c>
      <c r="D617" s="40" t="s">
        <v>426</v>
      </c>
      <c r="E617" s="24">
        <v>62960000</v>
      </c>
      <c r="F617" s="39">
        <v>44494</v>
      </c>
      <c r="G617" s="24">
        <v>62960000</v>
      </c>
      <c r="H617" s="23">
        <v>5.0000000000000001E-3</v>
      </c>
      <c r="I617" s="39">
        <v>44494</v>
      </c>
      <c r="J617" s="39">
        <v>44500</v>
      </c>
      <c r="K617" s="24">
        <f t="shared" si="40"/>
        <v>7</v>
      </c>
      <c r="L617" s="24">
        <f t="shared" si="41"/>
        <v>6037</v>
      </c>
      <c r="M617" s="24">
        <v>62960000</v>
      </c>
      <c r="N617" s="39">
        <v>45589</v>
      </c>
    </row>
    <row r="618" spans="1:14" s="5" customFormat="1" outlineLevel="2">
      <c r="A618" s="39" t="s">
        <v>235</v>
      </c>
      <c r="B618" s="40" t="s">
        <v>26</v>
      </c>
      <c r="C618" s="41" t="s">
        <v>414</v>
      </c>
      <c r="D618" s="40" t="s">
        <v>413</v>
      </c>
      <c r="E618" s="24">
        <v>122700000</v>
      </c>
      <c r="F618" s="39">
        <v>44495</v>
      </c>
      <c r="G618" s="24">
        <v>122700000</v>
      </c>
      <c r="H618" s="23">
        <v>5.0000000000000001E-3</v>
      </c>
      <c r="I618" s="39">
        <v>44495</v>
      </c>
      <c r="J618" s="39">
        <v>44500</v>
      </c>
      <c r="K618" s="24">
        <f t="shared" si="40"/>
        <v>6</v>
      </c>
      <c r="L618" s="24">
        <f t="shared" si="41"/>
        <v>10085</v>
      </c>
      <c r="M618" s="24">
        <v>122700000</v>
      </c>
      <c r="N618" s="39">
        <v>45590</v>
      </c>
    </row>
    <row r="619" spans="1:14" s="5" customFormat="1" outlineLevel="2">
      <c r="A619" s="39" t="s">
        <v>235</v>
      </c>
      <c r="B619" s="40" t="s">
        <v>39</v>
      </c>
      <c r="C619" s="41" t="s">
        <v>17</v>
      </c>
      <c r="D619" s="40" t="s">
        <v>18</v>
      </c>
      <c r="E619" s="24">
        <v>25200000</v>
      </c>
      <c r="F619" s="39">
        <v>43829</v>
      </c>
      <c r="G619" s="24">
        <v>16380000</v>
      </c>
      <c r="H619" s="23">
        <v>5.0000000000000001E-3</v>
      </c>
      <c r="I619" s="39">
        <v>44470</v>
      </c>
      <c r="J619" s="39">
        <v>44483</v>
      </c>
      <c r="K619" s="24">
        <f t="shared" si="40"/>
        <v>14</v>
      </c>
      <c r="L619" s="24">
        <f t="shared" si="41"/>
        <v>3141</v>
      </c>
      <c r="M619" s="24">
        <v>15960000</v>
      </c>
      <c r="N619" s="39">
        <v>45655</v>
      </c>
    </row>
    <row r="620" spans="1:14" s="5" customFormat="1" outlineLevel="2">
      <c r="A620" s="39" t="s">
        <v>235</v>
      </c>
      <c r="B620" s="40" t="s">
        <v>39</v>
      </c>
      <c r="C620" s="41" t="s">
        <v>17</v>
      </c>
      <c r="D620" s="40"/>
      <c r="E620" s="24"/>
      <c r="F620" s="39"/>
      <c r="G620" s="24">
        <v>15960000</v>
      </c>
      <c r="H620" s="23">
        <v>5.0000000000000001E-3</v>
      </c>
      <c r="I620" s="39">
        <v>44484</v>
      </c>
      <c r="J620" s="39">
        <v>44500</v>
      </c>
      <c r="K620" s="24">
        <f t="shared" si="40"/>
        <v>17</v>
      </c>
      <c r="L620" s="24">
        <f t="shared" si="41"/>
        <v>3717</v>
      </c>
      <c r="M620" s="24"/>
      <c r="N620" s="39">
        <v>45655</v>
      </c>
    </row>
    <row r="621" spans="1:14" s="5" customFormat="1" outlineLevel="2">
      <c r="A621" s="39" t="s">
        <v>235</v>
      </c>
      <c r="B621" s="40" t="s">
        <v>54</v>
      </c>
      <c r="C621" s="41" t="s">
        <v>17</v>
      </c>
      <c r="D621" s="40" t="s">
        <v>18</v>
      </c>
      <c r="E621" s="24">
        <v>11310000</v>
      </c>
      <c r="F621" s="39">
        <v>43920</v>
      </c>
      <c r="G621" s="24">
        <v>7738422</v>
      </c>
      <c r="H621" s="23">
        <v>5.0000000000000001E-3</v>
      </c>
      <c r="I621" s="39">
        <v>44470</v>
      </c>
      <c r="J621" s="39">
        <v>44483</v>
      </c>
      <c r="K621" s="24">
        <f t="shared" si="40"/>
        <v>14</v>
      </c>
      <c r="L621" s="24">
        <f t="shared" si="41"/>
        <v>1484</v>
      </c>
      <c r="M621" s="24">
        <v>7540001</v>
      </c>
      <c r="N621" s="39">
        <v>45745</v>
      </c>
    </row>
    <row r="622" spans="1:14" s="5" customFormat="1" outlineLevel="2">
      <c r="A622" s="39" t="s">
        <v>235</v>
      </c>
      <c r="B622" s="40" t="s">
        <v>54</v>
      </c>
      <c r="C622" s="41" t="s">
        <v>17</v>
      </c>
      <c r="D622" s="40"/>
      <c r="E622" s="24"/>
      <c r="F622" s="39"/>
      <c r="G622" s="24">
        <v>7540001</v>
      </c>
      <c r="H622" s="23">
        <v>5.0000000000000001E-3</v>
      </c>
      <c r="I622" s="39">
        <v>44484</v>
      </c>
      <c r="J622" s="39">
        <v>44500</v>
      </c>
      <c r="K622" s="24">
        <f t="shared" si="40"/>
        <v>17</v>
      </c>
      <c r="L622" s="24">
        <f t="shared" si="41"/>
        <v>1756</v>
      </c>
      <c r="M622" s="24"/>
      <c r="N622" s="39">
        <v>45745</v>
      </c>
    </row>
    <row r="623" spans="1:14" s="5" customFormat="1" outlineLevel="2">
      <c r="A623" s="39" t="s">
        <v>235</v>
      </c>
      <c r="B623" s="40" t="s">
        <v>59</v>
      </c>
      <c r="C623" s="41" t="s">
        <v>17</v>
      </c>
      <c r="D623" s="40" t="s">
        <v>18</v>
      </c>
      <c r="E623" s="24">
        <v>6050000</v>
      </c>
      <c r="F623" s="39">
        <v>43990</v>
      </c>
      <c r="G623" s="24">
        <v>4290000</v>
      </c>
      <c r="H623" s="23">
        <v>5.0000000000000001E-3</v>
      </c>
      <c r="I623" s="39">
        <v>44470</v>
      </c>
      <c r="J623" s="39">
        <v>44483</v>
      </c>
      <c r="K623" s="24">
        <f t="shared" si="40"/>
        <v>14</v>
      </c>
      <c r="L623" s="24">
        <f t="shared" si="41"/>
        <v>823</v>
      </c>
      <c r="M623" s="24">
        <v>4180000</v>
      </c>
      <c r="N623" s="39">
        <v>45815</v>
      </c>
    </row>
    <row r="624" spans="1:14" s="5" customFormat="1" outlineLevel="2">
      <c r="A624" s="39" t="s">
        <v>235</v>
      </c>
      <c r="B624" s="40" t="s">
        <v>59</v>
      </c>
      <c r="C624" s="41" t="s">
        <v>17</v>
      </c>
      <c r="D624" s="40"/>
      <c r="E624" s="24"/>
      <c r="F624" s="39"/>
      <c r="G624" s="24">
        <v>4180000</v>
      </c>
      <c r="H624" s="23">
        <v>5.0000000000000001E-3</v>
      </c>
      <c r="I624" s="39">
        <v>44484</v>
      </c>
      <c r="J624" s="39">
        <v>44500</v>
      </c>
      <c r="K624" s="24">
        <f t="shared" si="40"/>
        <v>17</v>
      </c>
      <c r="L624" s="24">
        <f t="shared" si="41"/>
        <v>973</v>
      </c>
      <c r="M624" s="24"/>
      <c r="N624" s="39">
        <v>45815</v>
      </c>
    </row>
    <row r="625" spans="1:14" s="5" customFormat="1" outlineLevel="2">
      <c r="A625" s="39" t="s">
        <v>235</v>
      </c>
      <c r="B625" s="40" t="s">
        <v>62</v>
      </c>
      <c r="C625" s="41" t="s">
        <v>17</v>
      </c>
      <c r="D625" s="40" t="s">
        <v>18</v>
      </c>
      <c r="E625" s="24">
        <v>7541000</v>
      </c>
      <c r="F625" s="39">
        <v>44074</v>
      </c>
      <c r="G625" s="24">
        <v>5655753</v>
      </c>
      <c r="H625" s="23">
        <v>5.0000000000000001E-3</v>
      </c>
      <c r="I625" s="39">
        <v>44470</v>
      </c>
      <c r="J625" s="39">
        <v>44483</v>
      </c>
      <c r="K625" s="24">
        <f t="shared" si="40"/>
        <v>14</v>
      </c>
      <c r="L625" s="24">
        <f t="shared" si="41"/>
        <v>1085</v>
      </c>
      <c r="M625" s="24">
        <v>5510734</v>
      </c>
      <c r="N625" s="39">
        <v>45899</v>
      </c>
    </row>
    <row r="626" spans="1:14" s="5" customFormat="1" outlineLevel="2">
      <c r="A626" s="39" t="s">
        <v>235</v>
      </c>
      <c r="B626" s="40" t="s">
        <v>62</v>
      </c>
      <c r="C626" s="41" t="s">
        <v>17</v>
      </c>
      <c r="D626" s="40"/>
      <c r="E626" s="24"/>
      <c r="F626" s="39"/>
      <c r="G626" s="24">
        <v>5510734</v>
      </c>
      <c r="H626" s="23">
        <v>5.0000000000000001E-3</v>
      </c>
      <c r="I626" s="39">
        <v>44484</v>
      </c>
      <c r="J626" s="39">
        <v>44500</v>
      </c>
      <c r="K626" s="24">
        <f t="shared" si="40"/>
        <v>17</v>
      </c>
      <c r="L626" s="24">
        <f t="shared" si="41"/>
        <v>1283</v>
      </c>
      <c r="M626" s="24"/>
      <c r="N626" s="39">
        <v>45899</v>
      </c>
    </row>
    <row r="627" spans="1:14" s="5" customFormat="1" outlineLevel="2">
      <c r="A627" s="39" t="s">
        <v>235</v>
      </c>
      <c r="B627" s="40" t="s">
        <v>63</v>
      </c>
      <c r="C627" s="41" t="s">
        <v>17</v>
      </c>
      <c r="D627" s="40" t="s">
        <v>18</v>
      </c>
      <c r="E627" s="24">
        <v>8986000</v>
      </c>
      <c r="F627" s="39">
        <v>44160</v>
      </c>
      <c r="G627" s="24">
        <v>7152120</v>
      </c>
      <c r="H627" s="23">
        <v>5.0000000000000001E-3</v>
      </c>
      <c r="I627" s="39">
        <v>44470</v>
      </c>
      <c r="J627" s="39">
        <v>44483</v>
      </c>
      <c r="K627" s="24">
        <f t="shared" si="40"/>
        <v>14</v>
      </c>
      <c r="L627" s="24">
        <f t="shared" si="41"/>
        <v>1372</v>
      </c>
      <c r="M627" s="24">
        <v>6968732</v>
      </c>
      <c r="N627" s="39">
        <v>45985</v>
      </c>
    </row>
    <row r="628" spans="1:14" s="5" customFormat="1" outlineLevel="2">
      <c r="A628" s="39" t="s">
        <v>235</v>
      </c>
      <c r="B628" s="40" t="s">
        <v>63</v>
      </c>
      <c r="C628" s="41" t="s">
        <v>17</v>
      </c>
      <c r="D628" s="40"/>
      <c r="E628" s="24"/>
      <c r="F628" s="39"/>
      <c r="G628" s="24">
        <v>6968732</v>
      </c>
      <c r="H628" s="23">
        <v>5.0000000000000001E-3</v>
      </c>
      <c r="I628" s="39">
        <v>44484</v>
      </c>
      <c r="J628" s="39">
        <v>44500</v>
      </c>
      <c r="K628" s="24">
        <f t="shared" si="40"/>
        <v>17</v>
      </c>
      <c r="L628" s="24">
        <f t="shared" si="41"/>
        <v>1623</v>
      </c>
      <c r="M628" s="24"/>
      <c r="N628" s="39">
        <v>45985</v>
      </c>
    </row>
    <row r="629" spans="1:14" s="5" customFormat="1" outlineLevel="2">
      <c r="A629" s="39" t="s">
        <v>235</v>
      </c>
      <c r="B629" s="40" t="s">
        <v>64</v>
      </c>
      <c r="C629" s="41" t="s">
        <v>17</v>
      </c>
      <c r="D629" s="40" t="s">
        <v>18</v>
      </c>
      <c r="E629" s="24">
        <v>2534784</v>
      </c>
      <c r="F629" s="39">
        <v>44334</v>
      </c>
      <c r="G629" s="24">
        <v>2298988</v>
      </c>
      <c r="H629" s="23">
        <v>5.0000000000000001E-3</v>
      </c>
      <c r="I629" s="39">
        <v>44470</v>
      </c>
      <c r="J629" s="39">
        <v>44483</v>
      </c>
      <c r="K629" s="24">
        <f t="shared" si="40"/>
        <v>14</v>
      </c>
      <c r="L629" s="24">
        <f t="shared" si="41"/>
        <v>441</v>
      </c>
      <c r="M629" s="24">
        <v>2240039</v>
      </c>
      <c r="N629" s="39">
        <v>46159</v>
      </c>
    </row>
    <row r="630" spans="1:14" s="5" customFormat="1" outlineLevel="2">
      <c r="A630" s="39" t="s">
        <v>235</v>
      </c>
      <c r="B630" s="40" t="s">
        <v>64</v>
      </c>
      <c r="C630" s="41" t="s">
        <v>17</v>
      </c>
      <c r="D630" s="40"/>
      <c r="E630" s="24"/>
      <c r="F630" s="39"/>
      <c r="G630" s="24">
        <v>2240039</v>
      </c>
      <c r="H630" s="23">
        <v>5.0000000000000001E-3</v>
      </c>
      <c r="I630" s="39">
        <v>44484</v>
      </c>
      <c r="J630" s="39">
        <v>44500</v>
      </c>
      <c r="K630" s="24">
        <f t="shared" si="40"/>
        <v>17</v>
      </c>
      <c r="L630" s="24">
        <f t="shared" si="41"/>
        <v>522</v>
      </c>
      <c r="M630" s="24"/>
      <c r="N630" s="39">
        <v>46159</v>
      </c>
    </row>
    <row r="631" spans="1:14" s="5" customFormat="1" outlineLevel="2">
      <c r="A631" s="39" t="s">
        <v>235</v>
      </c>
      <c r="B631" s="40" t="s">
        <v>65</v>
      </c>
      <c r="C631" s="41" t="s">
        <v>410</v>
      </c>
      <c r="D631" s="40" t="s">
        <v>409</v>
      </c>
      <c r="E631" s="24">
        <v>1000000</v>
      </c>
      <c r="F631" s="39">
        <v>44484</v>
      </c>
      <c r="G631" s="24">
        <v>1000000</v>
      </c>
      <c r="H631" s="23">
        <v>5.0000000000000001E-3</v>
      </c>
      <c r="I631" s="39">
        <v>44484</v>
      </c>
      <c r="J631" s="39">
        <v>44500</v>
      </c>
      <c r="K631" s="24">
        <f t="shared" si="40"/>
        <v>17</v>
      </c>
      <c r="L631" s="24">
        <f t="shared" si="41"/>
        <v>233</v>
      </c>
      <c r="M631" s="24">
        <v>1000000</v>
      </c>
      <c r="N631" s="39">
        <v>45579</v>
      </c>
    </row>
    <row r="632" spans="1:14" s="5" customFormat="1" outlineLevel="2">
      <c r="A632" s="39" t="s">
        <v>235</v>
      </c>
      <c r="B632" s="40" t="s">
        <v>68</v>
      </c>
      <c r="C632" s="41" t="s">
        <v>425</v>
      </c>
      <c r="D632" s="40" t="s">
        <v>424</v>
      </c>
      <c r="E632" s="24">
        <v>365000000</v>
      </c>
      <c r="F632" s="39">
        <v>44484</v>
      </c>
      <c r="G632" s="24">
        <v>365000000</v>
      </c>
      <c r="H632" s="23">
        <v>5.0000000000000001E-3</v>
      </c>
      <c r="I632" s="39">
        <v>44484</v>
      </c>
      <c r="J632" s="39">
        <v>44500</v>
      </c>
      <c r="K632" s="24">
        <f t="shared" si="40"/>
        <v>17</v>
      </c>
      <c r="L632" s="24">
        <f t="shared" si="41"/>
        <v>85000</v>
      </c>
      <c r="M632" s="24">
        <v>365000000</v>
      </c>
      <c r="N632" s="39">
        <v>45579</v>
      </c>
    </row>
    <row r="633" spans="1:14" s="5" customFormat="1" outlineLevel="1">
      <c r="A633" s="42" t="s">
        <v>236</v>
      </c>
      <c r="B633" s="70"/>
      <c r="C633" s="71"/>
      <c r="D633" s="70"/>
      <c r="E633" s="72">
        <f>SUBTOTAL(9,E613:E632)</f>
        <v>687321784</v>
      </c>
      <c r="F633" s="73"/>
      <c r="G633" s="72"/>
      <c r="H633" s="74"/>
      <c r="I633" s="73"/>
      <c r="J633" s="73"/>
      <c r="K633" s="72"/>
      <c r="L633" s="72">
        <f>SUBTOTAL(9,L613:L632)</f>
        <v>135488</v>
      </c>
      <c r="M633" s="72">
        <f>SUBTOTAL(9,M613:M632)</f>
        <v>649766158</v>
      </c>
      <c r="N633" s="73"/>
    </row>
    <row r="634" spans="1:14" s="5" customFormat="1" outlineLevel="2">
      <c r="A634" s="39" t="s">
        <v>237</v>
      </c>
      <c r="B634" s="40" t="s">
        <v>16</v>
      </c>
      <c r="C634" s="41" t="s">
        <v>45</v>
      </c>
      <c r="D634" s="40" t="s">
        <v>46</v>
      </c>
      <c r="E634" s="24">
        <v>4300000</v>
      </c>
      <c r="F634" s="39">
        <v>43966</v>
      </c>
      <c r="G634" s="24">
        <v>4300000</v>
      </c>
      <c r="H634" s="23">
        <v>5.0000000000000001E-3</v>
      </c>
      <c r="I634" s="39">
        <v>44470</v>
      </c>
      <c r="J634" s="39">
        <v>44500</v>
      </c>
      <c r="K634" s="24">
        <f>J634-I634+1</f>
        <v>31</v>
      </c>
      <c r="L634" s="24">
        <f>ROUND(G634*H634*K634/365,0)</f>
        <v>1826</v>
      </c>
      <c r="M634" s="24">
        <v>4300000</v>
      </c>
      <c r="N634" s="39">
        <v>45791</v>
      </c>
    </row>
    <row r="635" spans="1:14" s="5" customFormat="1" outlineLevel="2">
      <c r="A635" s="39" t="s">
        <v>237</v>
      </c>
      <c r="B635" s="40" t="s">
        <v>39</v>
      </c>
      <c r="C635" s="41" t="s">
        <v>66</v>
      </c>
      <c r="D635" s="40" t="s">
        <v>67</v>
      </c>
      <c r="E635" s="24">
        <v>120000000</v>
      </c>
      <c r="F635" s="39">
        <v>44060</v>
      </c>
      <c r="G635" s="24">
        <v>120000000</v>
      </c>
      <c r="H635" s="23">
        <v>5.0000000000000001E-3</v>
      </c>
      <c r="I635" s="39">
        <v>44470</v>
      </c>
      <c r="J635" s="39">
        <v>44500</v>
      </c>
      <c r="K635" s="24">
        <f>J635-I635+1</f>
        <v>31</v>
      </c>
      <c r="L635" s="24">
        <f>ROUND(G635*H635*K635/365,0)</f>
        <v>50959</v>
      </c>
      <c r="M635" s="24">
        <v>120000000</v>
      </c>
      <c r="N635" s="39">
        <v>45885</v>
      </c>
    </row>
    <row r="636" spans="1:14" s="5" customFormat="1" outlineLevel="1">
      <c r="A636" s="42" t="s">
        <v>238</v>
      </c>
      <c r="B636" s="70"/>
      <c r="C636" s="71"/>
      <c r="D636" s="70"/>
      <c r="E636" s="72">
        <f>SUBTOTAL(9,E634:E635)</f>
        <v>124300000</v>
      </c>
      <c r="F636" s="73"/>
      <c r="G636" s="72"/>
      <c r="H636" s="74"/>
      <c r="I636" s="73"/>
      <c r="J636" s="73"/>
      <c r="K636" s="72"/>
      <c r="L636" s="72">
        <f>SUBTOTAL(9,L634:L635)</f>
        <v>52785</v>
      </c>
      <c r="M636" s="72">
        <f>SUBTOTAL(9,M634:M635)</f>
        <v>124300000</v>
      </c>
      <c r="N636" s="73"/>
    </row>
    <row r="637" spans="1:14" s="5" customFormat="1" outlineLevel="2">
      <c r="A637" s="39" t="s">
        <v>239</v>
      </c>
      <c r="B637" s="40" t="s">
        <v>16</v>
      </c>
      <c r="C637" s="41" t="s">
        <v>109</v>
      </c>
      <c r="D637" s="40" t="s">
        <v>110</v>
      </c>
      <c r="E637" s="24">
        <v>38650000</v>
      </c>
      <c r="F637" s="39">
        <v>43986</v>
      </c>
      <c r="G637" s="24">
        <v>38650000</v>
      </c>
      <c r="H637" s="23">
        <v>5.0000000000000001E-3</v>
      </c>
      <c r="I637" s="39">
        <v>44470</v>
      </c>
      <c r="J637" s="39">
        <v>44500</v>
      </c>
      <c r="K637" s="24">
        <f t="shared" ref="K637:K668" si="42">J637-I637+1</f>
        <v>31</v>
      </c>
      <c r="L637" s="24">
        <f t="shared" ref="L637:L668" si="43">ROUND(G637*H637*K637/365,0)</f>
        <v>16413</v>
      </c>
      <c r="M637" s="24">
        <v>38650000</v>
      </c>
      <c r="N637" s="39">
        <v>45811</v>
      </c>
    </row>
    <row r="638" spans="1:14" s="5" customFormat="1" outlineLevel="2">
      <c r="A638" s="39" t="s">
        <v>239</v>
      </c>
      <c r="B638" s="40" t="s">
        <v>19</v>
      </c>
      <c r="C638" s="41" t="s">
        <v>125</v>
      </c>
      <c r="D638" s="40" t="s">
        <v>126</v>
      </c>
      <c r="E638" s="24">
        <v>23000000</v>
      </c>
      <c r="F638" s="39">
        <v>44155</v>
      </c>
      <c r="G638" s="24">
        <v>23000000</v>
      </c>
      <c r="H638" s="23">
        <v>5.0000000000000001E-3</v>
      </c>
      <c r="I638" s="39">
        <v>44470</v>
      </c>
      <c r="J638" s="39">
        <v>44500</v>
      </c>
      <c r="K638" s="24">
        <f t="shared" si="42"/>
        <v>31</v>
      </c>
      <c r="L638" s="24">
        <f t="shared" si="43"/>
        <v>9767</v>
      </c>
      <c r="M638" s="24">
        <v>23000000</v>
      </c>
      <c r="N638" s="39">
        <v>45980</v>
      </c>
    </row>
    <row r="639" spans="1:14" s="5" customFormat="1" outlineLevel="2">
      <c r="A639" s="39" t="s">
        <v>239</v>
      </c>
      <c r="B639" s="40" t="s">
        <v>22</v>
      </c>
      <c r="C639" s="41" t="s">
        <v>125</v>
      </c>
      <c r="D639" s="40" t="s">
        <v>126</v>
      </c>
      <c r="E639" s="24">
        <v>1000000</v>
      </c>
      <c r="F639" s="39">
        <v>44160</v>
      </c>
      <c r="G639" s="24">
        <v>1000000</v>
      </c>
      <c r="H639" s="23">
        <v>5.0000000000000001E-3</v>
      </c>
      <c r="I639" s="39">
        <v>44470</v>
      </c>
      <c r="J639" s="39">
        <v>44500</v>
      </c>
      <c r="K639" s="24">
        <f t="shared" si="42"/>
        <v>31</v>
      </c>
      <c r="L639" s="24">
        <f t="shared" si="43"/>
        <v>425</v>
      </c>
      <c r="M639" s="24">
        <v>1000000</v>
      </c>
      <c r="N639" s="39">
        <v>45985</v>
      </c>
    </row>
    <row r="640" spans="1:14" s="5" customFormat="1" outlineLevel="2">
      <c r="A640" s="39" t="s">
        <v>239</v>
      </c>
      <c r="B640" s="40" t="s">
        <v>25</v>
      </c>
      <c r="C640" s="41" t="s">
        <v>95</v>
      </c>
      <c r="D640" s="40" t="s">
        <v>96</v>
      </c>
      <c r="E640" s="24">
        <v>6030000</v>
      </c>
      <c r="F640" s="39">
        <v>44145</v>
      </c>
      <c r="G640" s="24">
        <v>6030000</v>
      </c>
      <c r="H640" s="23">
        <v>5.0000000000000001E-3</v>
      </c>
      <c r="I640" s="39">
        <v>44470</v>
      </c>
      <c r="J640" s="39">
        <v>44500</v>
      </c>
      <c r="K640" s="24">
        <f t="shared" si="42"/>
        <v>31</v>
      </c>
      <c r="L640" s="24">
        <f t="shared" si="43"/>
        <v>2561</v>
      </c>
      <c r="M640" s="24">
        <v>6030000</v>
      </c>
      <c r="N640" s="39">
        <v>45970</v>
      </c>
    </row>
    <row r="641" spans="1:14" s="5" customFormat="1" outlineLevel="2">
      <c r="A641" s="39" t="s">
        <v>239</v>
      </c>
      <c r="B641" s="40" t="s">
        <v>26</v>
      </c>
      <c r="C641" s="41" t="s">
        <v>240</v>
      </c>
      <c r="D641" s="40" t="s">
        <v>241</v>
      </c>
      <c r="E641" s="24">
        <v>16018839</v>
      </c>
      <c r="F641" s="39">
        <v>44188</v>
      </c>
      <c r="G641" s="24">
        <v>16018839</v>
      </c>
      <c r="H641" s="23">
        <v>5.0000000000000001E-3</v>
      </c>
      <c r="I641" s="39">
        <v>44470</v>
      </c>
      <c r="J641" s="39">
        <v>44500</v>
      </c>
      <c r="K641" s="24">
        <f t="shared" si="42"/>
        <v>31</v>
      </c>
      <c r="L641" s="24">
        <f t="shared" si="43"/>
        <v>6803</v>
      </c>
      <c r="M641" s="24">
        <v>16018839</v>
      </c>
      <c r="N641" s="39">
        <v>46013</v>
      </c>
    </row>
    <row r="642" spans="1:14" s="5" customFormat="1" outlineLevel="2">
      <c r="A642" s="39" t="s">
        <v>239</v>
      </c>
      <c r="B642" s="40" t="s">
        <v>29</v>
      </c>
      <c r="C642" s="41" t="s">
        <v>240</v>
      </c>
      <c r="D642" s="40" t="s">
        <v>241</v>
      </c>
      <c r="E642" s="24">
        <v>31481161</v>
      </c>
      <c r="F642" s="39">
        <v>44188</v>
      </c>
      <c r="G642" s="24">
        <v>31481161</v>
      </c>
      <c r="H642" s="23">
        <v>5.0000000000000001E-3</v>
      </c>
      <c r="I642" s="39">
        <v>44470</v>
      </c>
      <c r="J642" s="39">
        <v>44500</v>
      </c>
      <c r="K642" s="24">
        <f t="shared" si="42"/>
        <v>31</v>
      </c>
      <c r="L642" s="24">
        <f t="shared" si="43"/>
        <v>13369</v>
      </c>
      <c r="M642" s="24">
        <v>31481161</v>
      </c>
      <c r="N642" s="39">
        <v>46013</v>
      </c>
    </row>
    <row r="643" spans="1:14" s="5" customFormat="1" outlineLevel="2">
      <c r="A643" s="39" t="s">
        <v>239</v>
      </c>
      <c r="B643" s="40" t="s">
        <v>32</v>
      </c>
      <c r="C643" s="41" t="s">
        <v>242</v>
      </c>
      <c r="D643" s="40" t="s">
        <v>243</v>
      </c>
      <c r="E643" s="24">
        <v>10000000</v>
      </c>
      <c r="F643" s="39">
        <v>44172</v>
      </c>
      <c r="G643" s="24">
        <v>10000000</v>
      </c>
      <c r="H643" s="23">
        <v>5.0000000000000001E-3</v>
      </c>
      <c r="I643" s="39">
        <v>44470</v>
      </c>
      <c r="J643" s="39">
        <v>44500</v>
      </c>
      <c r="K643" s="24">
        <f t="shared" si="42"/>
        <v>31</v>
      </c>
      <c r="L643" s="24">
        <f t="shared" si="43"/>
        <v>4247</v>
      </c>
      <c r="M643" s="24">
        <v>10000000</v>
      </c>
      <c r="N643" s="39">
        <v>45997</v>
      </c>
    </row>
    <row r="644" spans="1:14" s="5" customFormat="1" outlineLevel="2">
      <c r="A644" s="39" t="s">
        <v>239</v>
      </c>
      <c r="B644" s="40" t="s">
        <v>33</v>
      </c>
      <c r="C644" s="41" t="s">
        <v>242</v>
      </c>
      <c r="D644" s="40" t="s">
        <v>243</v>
      </c>
      <c r="E644" s="24">
        <v>10000000</v>
      </c>
      <c r="F644" s="39">
        <v>44181</v>
      </c>
      <c r="G644" s="24">
        <v>10000000</v>
      </c>
      <c r="H644" s="23">
        <v>5.0000000000000001E-3</v>
      </c>
      <c r="I644" s="39">
        <v>44470</v>
      </c>
      <c r="J644" s="39">
        <v>44500</v>
      </c>
      <c r="K644" s="24">
        <f t="shared" si="42"/>
        <v>31</v>
      </c>
      <c r="L644" s="24">
        <f t="shared" si="43"/>
        <v>4247</v>
      </c>
      <c r="M644" s="24">
        <v>10000000</v>
      </c>
      <c r="N644" s="39">
        <v>46006</v>
      </c>
    </row>
    <row r="645" spans="1:14" s="5" customFormat="1" outlineLevel="2">
      <c r="A645" s="39" t="s">
        <v>239</v>
      </c>
      <c r="B645" s="40" t="s">
        <v>34</v>
      </c>
      <c r="C645" s="41" t="s">
        <v>244</v>
      </c>
      <c r="D645" s="40" t="s">
        <v>245</v>
      </c>
      <c r="E645" s="24">
        <v>210000000</v>
      </c>
      <c r="F645" s="39">
        <v>44172</v>
      </c>
      <c r="G645" s="24">
        <v>210000000</v>
      </c>
      <c r="H645" s="23">
        <v>5.0000000000000001E-3</v>
      </c>
      <c r="I645" s="39">
        <v>44470</v>
      </c>
      <c r="J645" s="39">
        <v>44500</v>
      </c>
      <c r="K645" s="24">
        <f t="shared" si="42"/>
        <v>31</v>
      </c>
      <c r="L645" s="24">
        <f t="shared" si="43"/>
        <v>89178</v>
      </c>
      <c r="M645" s="24">
        <v>210000000</v>
      </c>
      <c r="N645" s="39">
        <v>45997</v>
      </c>
    </row>
    <row r="646" spans="1:14" s="5" customFormat="1" outlineLevel="2">
      <c r="A646" s="39" t="s">
        <v>239</v>
      </c>
      <c r="B646" s="40" t="s">
        <v>35</v>
      </c>
      <c r="C646" s="41" t="s">
        <v>246</v>
      </c>
      <c r="D646" s="40" t="s">
        <v>247</v>
      </c>
      <c r="E646" s="24">
        <v>3000000</v>
      </c>
      <c r="F646" s="39">
        <v>44167</v>
      </c>
      <c r="G646" s="24">
        <v>3000000</v>
      </c>
      <c r="H646" s="23">
        <v>5.0000000000000001E-3</v>
      </c>
      <c r="I646" s="39">
        <v>44470</v>
      </c>
      <c r="J646" s="39">
        <v>44500</v>
      </c>
      <c r="K646" s="24">
        <f t="shared" si="42"/>
        <v>31</v>
      </c>
      <c r="L646" s="24">
        <f t="shared" si="43"/>
        <v>1274</v>
      </c>
      <c r="M646" s="24">
        <v>3000000</v>
      </c>
      <c r="N646" s="39">
        <v>45992</v>
      </c>
    </row>
    <row r="647" spans="1:14" s="5" customFormat="1" outlineLevel="2">
      <c r="A647" s="39" t="s">
        <v>239</v>
      </c>
      <c r="B647" s="40" t="s">
        <v>36</v>
      </c>
      <c r="C647" s="41" t="s">
        <v>95</v>
      </c>
      <c r="D647" s="40" t="s">
        <v>96</v>
      </c>
      <c r="E647" s="24">
        <v>5530000</v>
      </c>
      <c r="F647" s="39">
        <v>44168</v>
      </c>
      <c r="G647" s="24">
        <v>5530000</v>
      </c>
      <c r="H647" s="23">
        <v>5.0000000000000001E-3</v>
      </c>
      <c r="I647" s="39">
        <v>44470</v>
      </c>
      <c r="J647" s="39">
        <v>44500</v>
      </c>
      <c r="K647" s="24">
        <f t="shared" si="42"/>
        <v>31</v>
      </c>
      <c r="L647" s="24">
        <f t="shared" si="43"/>
        <v>2348</v>
      </c>
      <c r="M647" s="24">
        <v>5530000</v>
      </c>
      <c r="N647" s="39">
        <v>45993</v>
      </c>
    </row>
    <row r="648" spans="1:14" s="5" customFormat="1" outlineLevel="2">
      <c r="A648" s="39" t="s">
        <v>239</v>
      </c>
      <c r="B648" s="40" t="s">
        <v>39</v>
      </c>
      <c r="C648" s="41" t="s">
        <v>248</v>
      </c>
      <c r="D648" s="40" t="s">
        <v>249</v>
      </c>
      <c r="E648" s="24">
        <v>23530000</v>
      </c>
      <c r="F648" s="39">
        <v>44013</v>
      </c>
      <c r="G648" s="24">
        <v>23530000</v>
      </c>
      <c r="H648" s="23">
        <v>5.0000000000000001E-3</v>
      </c>
      <c r="I648" s="39">
        <v>44470</v>
      </c>
      <c r="J648" s="39">
        <v>44500</v>
      </c>
      <c r="K648" s="24">
        <f t="shared" si="42"/>
        <v>31</v>
      </c>
      <c r="L648" s="24">
        <f t="shared" si="43"/>
        <v>9992</v>
      </c>
      <c r="M648" s="24">
        <v>23530000</v>
      </c>
      <c r="N648" s="39">
        <v>45838</v>
      </c>
    </row>
    <row r="649" spans="1:14" s="5" customFormat="1" outlineLevel="2">
      <c r="A649" s="39" t="s">
        <v>239</v>
      </c>
      <c r="B649" s="40" t="s">
        <v>40</v>
      </c>
      <c r="C649" s="41" t="s">
        <v>242</v>
      </c>
      <c r="D649" s="40" t="s">
        <v>243</v>
      </c>
      <c r="E649" s="24">
        <v>10000000</v>
      </c>
      <c r="F649" s="39">
        <v>44208</v>
      </c>
      <c r="G649" s="24">
        <v>10000000</v>
      </c>
      <c r="H649" s="23">
        <v>5.0000000000000001E-3</v>
      </c>
      <c r="I649" s="39">
        <v>44470</v>
      </c>
      <c r="J649" s="39">
        <v>44500</v>
      </c>
      <c r="K649" s="24">
        <f t="shared" si="42"/>
        <v>31</v>
      </c>
      <c r="L649" s="24">
        <f t="shared" si="43"/>
        <v>4247</v>
      </c>
      <c r="M649" s="24">
        <v>10000000</v>
      </c>
      <c r="N649" s="39">
        <v>46033</v>
      </c>
    </row>
    <row r="650" spans="1:14" s="5" customFormat="1" outlineLevel="2">
      <c r="A650" s="39" t="s">
        <v>239</v>
      </c>
      <c r="B650" s="40" t="s">
        <v>41</v>
      </c>
      <c r="C650" s="41" t="s">
        <v>125</v>
      </c>
      <c r="D650" s="40" t="s">
        <v>126</v>
      </c>
      <c r="E650" s="24">
        <v>28000000</v>
      </c>
      <c r="F650" s="39">
        <v>44217</v>
      </c>
      <c r="G650" s="24">
        <v>28000000</v>
      </c>
      <c r="H650" s="23">
        <v>5.0000000000000001E-3</v>
      </c>
      <c r="I650" s="39">
        <v>44470</v>
      </c>
      <c r="J650" s="39">
        <v>44500</v>
      </c>
      <c r="K650" s="24">
        <f t="shared" si="42"/>
        <v>31</v>
      </c>
      <c r="L650" s="24">
        <f t="shared" si="43"/>
        <v>11890</v>
      </c>
      <c r="M650" s="24">
        <v>28000000</v>
      </c>
      <c r="N650" s="39">
        <v>46042</v>
      </c>
    </row>
    <row r="651" spans="1:14" s="5" customFormat="1" outlineLevel="2">
      <c r="A651" s="39" t="s">
        <v>239</v>
      </c>
      <c r="B651" s="40" t="s">
        <v>42</v>
      </c>
      <c r="C651" s="41" t="s">
        <v>250</v>
      </c>
      <c r="D651" s="40" t="s">
        <v>251</v>
      </c>
      <c r="E651" s="24">
        <v>22500000</v>
      </c>
      <c r="F651" s="39">
        <v>44215</v>
      </c>
      <c r="G651" s="24">
        <v>19500000</v>
      </c>
      <c r="H651" s="23">
        <v>5.0000000000000001E-3</v>
      </c>
      <c r="I651" s="39">
        <v>44470</v>
      </c>
      <c r="J651" s="39">
        <v>44483</v>
      </c>
      <c r="K651" s="24">
        <f t="shared" si="42"/>
        <v>14</v>
      </c>
      <c r="L651" s="24">
        <f t="shared" si="43"/>
        <v>3740</v>
      </c>
      <c r="M651" s="24">
        <v>19125000</v>
      </c>
      <c r="N651" s="39">
        <v>46040</v>
      </c>
    </row>
    <row r="652" spans="1:14" s="5" customFormat="1" outlineLevel="2">
      <c r="A652" s="39" t="s">
        <v>239</v>
      </c>
      <c r="B652" s="40" t="s">
        <v>42</v>
      </c>
      <c r="C652" s="41" t="s">
        <v>250</v>
      </c>
      <c r="D652" s="40"/>
      <c r="E652" s="24"/>
      <c r="F652" s="39"/>
      <c r="G652" s="24">
        <v>19125000</v>
      </c>
      <c r="H652" s="23">
        <v>5.0000000000000001E-3</v>
      </c>
      <c r="I652" s="39">
        <v>44484</v>
      </c>
      <c r="J652" s="39">
        <v>44500</v>
      </c>
      <c r="K652" s="24">
        <f t="shared" si="42"/>
        <v>17</v>
      </c>
      <c r="L652" s="24">
        <f t="shared" si="43"/>
        <v>4454</v>
      </c>
      <c r="M652" s="24"/>
      <c r="N652" s="39">
        <v>46040</v>
      </c>
    </row>
    <row r="653" spans="1:14" s="5" customFormat="1" outlineLevel="2">
      <c r="A653" s="39" t="s">
        <v>239</v>
      </c>
      <c r="B653" s="40" t="s">
        <v>43</v>
      </c>
      <c r="C653" s="41" t="s">
        <v>250</v>
      </c>
      <c r="D653" s="40" t="s">
        <v>251</v>
      </c>
      <c r="E653" s="24">
        <v>4950000</v>
      </c>
      <c r="F653" s="39">
        <v>44215</v>
      </c>
      <c r="G653" s="24">
        <v>4290000</v>
      </c>
      <c r="H653" s="23">
        <v>5.0000000000000001E-3</v>
      </c>
      <c r="I653" s="39">
        <v>44470</v>
      </c>
      <c r="J653" s="39">
        <v>44483</v>
      </c>
      <c r="K653" s="24">
        <f t="shared" si="42"/>
        <v>14</v>
      </c>
      <c r="L653" s="24">
        <f t="shared" si="43"/>
        <v>823</v>
      </c>
      <c r="M653" s="24">
        <v>4207500</v>
      </c>
      <c r="N653" s="39">
        <v>46040</v>
      </c>
    </row>
    <row r="654" spans="1:14" s="5" customFormat="1" outlineLevel="2">
      <c r="A654" s="39" t="s">
        <v>239</v>
      </c>
      <c r="B654" s="40" t="s">
        <v>43</v>
      </c>
      <c r="C654" s="41" t="s">
        <v>250</v>
      </c>
      <c r="D654" s="40"/>
      <c r="E654" s="24"/>
      <c r="F654" s="39"/>
      <c r="G654" s="24">
        <v>4207500</v>
      </c>
      <c r="H654" s="23">
        <v>5.0000000000000001E-3</v>
      </c>
      <c r="I654" s="39">
        <v>44484</v>
      </c>
      <c r="J654" s="39">
        <v>44500</v>
      </c>
      <c r="K654" s="24">
        <f t="shared" si="42"/>
        <v>17</v>
      </c>
      <c r="L654" s="24">
        <f t="shared" si="43"/>
        <v>980</v>
      </c>
      <c r="M654" s="24"/>
      <c r="N654" s="39">
        <v>46040</v>
      </c>
    </row>
    <row r="655" spans="1:14" s="5" customFormat="1" outlineLevel="2">
      <c r="A655" s="39" t="s">
        <v>239</v>
      </c>
      <c r="B655" s="40" t="s">
        <v>44</v>
      </c>
      <c r="C655" s="41" t="s">
        <v>242</v>
      </c>
      <c r="D655" s="40" t="s">
        <v>243</v>
      </c>
      <c r="E655" s="24">
        <v>10000000</v>
      </c>
      <c r="F655" s="39">
        <v>44244</v>
      </c>
      <c r="G655" s="24">
        <v>10000000</v>
      </c>
      <c r="H655" s="23">
        <v>5.0000000000000001E-3</v>
      </c>
      <c r="I655" s="39">
        <v>44470</v>
      </c>
      <c r="J655" s="39">
        <v>44500</v>
      </c>
      <c r="K655" s="24">
        <f t="shared" si="42"/>
        <v>31</v>
      </c>
      <c r="L655" s="24">
        <f t="shared" si="43"/>
        <v>4247</v>
      </c>
      <c r="M655" s="24">
        <v>10000000</v>
      </c>
      <c r="N655" s="39">
        <v>46069</v>
      </c>
    </row>
    <row r="656" spans="1:14" s="5" customFormat="1" outlineLevel="2">
      <c r="A656" s="39" t="s">
        <v>239</v>
      </c>
      <c r="B656" s="40" t="s">
        <v>47</v>
      </c>
      <c r="C656" s="41" t="s">
        <v>242</v>
      </c>
      <c r="D656" s="40" t="s">
        <v>243</v>
      </c>
      <c r="E656" s="24">
        <v>4000000</v>
      </c>
      <c r="F656" s="39">
        <v>44249</v>
      </c>
      <c r="G656" s="24">
        <v>4000000</v>
      </c>
      <c r="H656" s="23">
        <v>5.0000000000000001E-3</v>
      </c>
      <c r="I656" s="39">
        <v>44470</v>
      </c>
      <c r="J656" s="39">
        <v>44500</v>
      </c>
      <c r="K656" s="24">
        <f t="shared" si="42"/>
        <v>31</v>
      </c>
      <c r="L656" s="24">
        <f t="shared" si="43"/>
        <v>1699</v>
      </c>
      <c r="M656" s="24">
        <v>4000000</v>
      </c>
      <c r="N656" s="39">
        <v>46074</v>
      </c>
    </row>
    <row r="657" spans="1:14" s="5" customFormat="1" outlineLevel="2">
      <c r="A657" s="39" t="s">
        <v>239</v>
      </c>
      <c r="B657" s="40" t="s">
        <v>50</v>
      </c>
      <c r="C657" s="41" t="s">
        <v>306</v>
      </c>
      <c r="D657" s="40" t="s">
        <v>305</v>
      </c>
      <c r="E657" s="24">
        <v>23949000</v>
      </c>
      <c r="F657" s="39">
        <v>44251</v>
      </c>
      <c r="G657" s="24">
        <v>23949000</v>
      </c>
      <c r="H657" s="23">
        <v>5.0000000000000001E-3</v>
      </c>
      <c r="I657" s="39">
        <v>44470</v>
      </c>
      <c r="J657" s="39">
        <v>44500</v>
      </c>
      <c r="K657" s="24">
        <f t="shared" si="42"/>
        <v>31</v>
      </c>
      <c r="L657" s="24">
        <f t="shared" si="43"/>
        <v>10170</v>
      </c>
      <c r="M657" s="24">
        <v>23949000</v>
      </c>
      <c r="N657" s="39">
        <v>46076</v>
      </c>
    </row>
    <row r="658" spans="1:14" s="5" customFormat="1" outlineLevel="2">
      <c r="A658" s="39" t="s">
        <v>239</v>
      </c>
      <c r="B658" s="40" t="s">
        <v>51</v>
      </c>
      <c r="C658" s="41" t="s">
        <v>66</v>
      </c>
      <c r="D658" s="40" t="s">
        <v>67</v>
      </c>
      <c r="E658" s="24">
        <v>40000000</v>
      </c>
      <c r="F658" s="39">
        <v>44235</v>
      </c>
      <c r="G658" s="24">
        <v>40000000</v>
      </c>
      <c r="H658" s="23">
        <v>5.0000000000000001E-3</v>
      </c>
      <c r="I658" s="39">
        <v>44470</v>
      </c>
      <c r="J658" s="39">
        <v>44500</v>
      </c>
      <c r="K658" s="24">
        <f t="shared" si="42"/>
        <v>31</v>
      </c>
      <c r="L658" s="24">
        <f t="shared" si="43"/>
        <v>16986</v>
      </c>
      <c r="M658" s="24">
        <v>40000000</v>
      </c>
      <c r="N658" s="39">
        <v>46060</v>
      </c>
    </row>
    <row r="659" spans="1:14" s="5" customFormat="1" outlineLevel="2">
      <c r="A659" s="39" t="s">
        <v>239</v>
      </c>
      <c r="B659" s="40" t="s">
        <v>52</v>
      </c>
      <c r="C659" s="41" t="s">
        <v>244</v>
      </c>
      <c r="D659" s="40" t="s">
        <v>245</v>
      </c>
      <c r="E659" s="24">
        <v>64000000</v>
      </c>
      <c r="F659" s="39">
        <v>44228</v>
      </c>
      <c r="G659" s="24">
        <v>64000000</v>
      </c>
      <c r="H659" s="23">
        <v>5.0000000000000001E-3</v>
      </c>
      <c r="I659" s="39">
        <v>44470</v>
      </c>
      <c r="J659" s="39">
        <v>44500</v>
      </c>
      <c r="K659" s="24">
        <f t="shared" si="42"/>
        <v>31</v>
      </c>
      <c r="L659" s="24">
        <f t="shared" si="43"/>
        <v>27178</v>
      </c>
      <c r="M659" s="24">
        <v>64000000</v>
      </c>
      <c r="N659" s="39">
        <v>46053</v>
      </c>
    </row>
    <row r="660" spans="1:14" s="5" customFormat="1" outlineLevel="2">
      <c r="A660" s="39" t="s">
        <v>239</v>
      </c>
      <c r="B660" s="40" t="s">
        <v>53</v>
      </c>
      <c r="C660" s="41" t="s">
        <v>246</v>
      </c>
      <c r="D660" s="40" t="s">
        <v>247</v>
      </c>
      <c r="E660" s="24">
        <v>100000000</v>
      </c>
      <c r="F660" s="39">
        <v>44251</v>
      </c>
      <c r="G660" s="24">
        <v>100000000</v>
      </c>
      <c r="H660" s="23">
        <v>5.0000000000000001E-3</v>
      </c>
      <c r="I660" s="39">
        <v>44470</v>
      </c>
      <c r="J660" s="39">
        <v>44500</v>
      </c>
      <c r="K660" s="24">
        <f t="shared" si="42"/>
        <v>31</v>
      </c>
      <c r="L660" s="24">
        <f t="shared" si="43"/>
        <v>42466</v>
      </c>
      <c r="M660" s="24">
        <v>100000000</v>
      </c>
      <c r="N660" s="39">
        <v>46076</v>
      </c>
    </row>
    <row r="661" spans="1:14" s="5" customFormat="1" outlineLevel="2">
      <c r="A661" s="39" t="s">
        <v>239</v>
      </c>
      <c r="B661" s="40" t="s">
        <v>54</v>
      </c>
      <c r="C661" s="41" t="s">
        <v>248</v>
      </c>
      <c r="D661" s="40" t="s">
        <v>249</v>
      </c>
      <c r="E661" s="24">
        <v>47470000</v>
      </c>
      <c r="F661" s="39">
        <v>44013</v>
      </c>
      <c r="G661" s="24">
        <v>47470000</v>
      </c>
      <c r="H661" s="23">
        <v>5.0000000000000001E-3</v>
      </c>
      <c r="I661" s="39">
        <v>44470</v>
      </c>
      <c r="J661" s="39">
        <v>44500</v>
      </c>
      <c r="K661" s="24">
        <f t="shared" si="42"/>
        <v>31</v>
      </c>
      <c r="L661" s="24">
        <f t="shared" si="43"/>
        <v>20158</v>
      </c>
      <c r="M661" s="24">
        <v>47470000</v>
      </c>
      <c r="N661" s="39">
        <v>45838</v>
      </c>
    </row>
    <row r="662" spans="1:14" s="5" customFormat="1" outlineLevel="2">
      <c r="A662" s="39" t="s">
        <v>239</v>
      </c>
      <c r="B662" s="40" t="s">
        <v>57</v>
      </c>
      <c r="C662" s="41" t="s">
        <v>246</v>
      </c>
      <c r="D662" s="40" t="s">
        <v>247</v>
      </c>
      <c r="E662" s="24">
        <v>93000000</v>
      </c>
      <c r="F662" s="39">
        <v>44251</v>
      </c>
      <c r="G662" s="24">
        <v>93000000</v>
      </c>
      <c r="H662" s="23">
        <v>5.0000000000000001E-3</v>
      </c>
      <c r="I662" s="39">
        <v>44470</v>
      </c>
      <c r="J662" s="39">
        <v>44500</v>
      </c>
      <c r="K662" s="24">
        <f t="shared" si="42"/>
        <v>31</v>
      </c>
      <c r="L662" s="24">
        <f t="shared" si="43"/>
        <v>39493</v>
      </c>
      <c r="M662" s="24">
        <v>93000000</v>
      </c>
      <c r="N662" s="39">
        <v>46076</v>
      </c>
    </row>
    <row r="663" spans="1:14" s="5" customFormat="1" outlineLevel="2">
      <c r="A663" s="39" t="s">
        <v>239</v>
      </c>
      <c r="B663" s="40" t="s">
        <v>99</v>
      </c>
      <c r="C663" s="41" t="s">
        <v>95</v>
      </c>
      <c r="D663" s="40" t="s">
        <v>96</v>
      </c>
      <c r="E663" s="24">
        <v>4840000</v>
      </c>
      <c r="F663" s="39">
        <v>44235</v>
      </c>
      <c r="G663" s="24">
        <v>4840000</v>
      </c>
      <c r="H663" s="23">
        <v>5.0000000000000001E-3</v>
      </c>
      <c r="I663" s="39">
        <v>44470</v>
      </c>
      <c r="J663" s="39">
        <v>44500</v>
      </c>
      <c r="K663" s="24">
        <f t="shared" si="42"/>
        <v>31</v>
      </c>
      <c r="L663" s="24">
        <f t="shared" si="43"/>
        <v>2055</v>
      </c>
      <c r="M663" s="24">
        <v>4840000</v>
      </c>
      <c r="N663" s="39">
        <v>46060</v>
      </c>
    </row>
    <row r="664" spans="1:14" s="5" customFormat="1" outlineLevel="2">
      <c r="A664" s="39" t="s">
        <v>239</v>
      </c>
      <c r="B664" s="40" t="s">
        <v>100</v>
      </c>
      <c r="C664" s="41" t="s">
        <v>130</v>
      </c>
      <c r="D664" s="40" t="s">
        <v>131</v>
      </c>
      <c r="E664" s="24">
        <v>10000000</v>
      </c>
      <c r="F664" s="39">
        <v>44284</v>
      </c>
      <c r="G664" s="24">
        <v>5000000</v>
      </c>
      <c r="H664" s="23">
        <v>5.0000000000000001E-3</v>
      </c>
      <c r="I664" s="39">
        <v>44470</v>
      </c>
      <c r="J664" s="39">
        <v>44500</v>
      </c>
      <c r="K664" s="24">
        <f t="shared" si="42"/>
        <v>31</v>
      </c>
      <c r="L664" s="24">
        <f t="shared" si="43"/>
        <v>2123</v>
      </c>
      <c r="M664" s="24">
        <v>5000000</v>
      </c>
      <c r="N664" s="39">
        <v>46109</v>
      </c>
    </row>
    <row r="665" spans="1:14" s="5" customFormat="1" outlineLevel="2">
      <c r="A665" s="39" t="s">
        <v>239</v>
      </c>
      <c r="B665" s="40" t="s">
        <v>101</v>
      </c>
      <c r="C665" s="41" t="s">
        <v>244</v>
      </c>
      <c r="D665" s="40" t="s">
        <v>245</v>
      </c>
      <c r="E665" s="24">
        <v>70000000</v>
      </c>
      <c r="F665" s="39">
        <v>44260</v>
      </c>
      <c r="G665" s="24">
        <v>70000000</v>
      </c>
      <c r="H665" s="23">
        <v>5.0000000000000001E-3</v>
      </c>
      <c r="I665" s="39">
        <v>44470</v>
      </c>
      <c r="J665" s="39">
        <v>44500</v>
      </c>
      <c r="K665" s="24">
        <f t="shared" si="42"/>
        <v>31</v>
      </c>
      <c r="L665" s="24">
        <f t="shared" si="43"/>
        <v>29726</v>
      </c>
      <c r="M665" s="24">
        <v>70000000</v>
      </c>
      <c r="N665" s="39">
        <v>46085</v>
      </c>
    </row>
    <row r="666" spans="1:14" s="5" customFormat="1" outlineLevel="2">
      <c r="A666" s="39" t="s">
        <v>239</v>
      </c>
      <c r="B666" s="40" t="s">
        <v>102</v>
      </c>
      <c r="C666" s="41" t="s">
        <v>125</v>
      </c>
      <c r="D666" s="40" t="s">
        <v>126</v>
      </c>
      <c r="E666" s="24">
        <v>5000000</v>
      </c>
      <c r="F666" s="39">
        <v>44259</v>
      </c>
      <c r="G666" s="24">
        <v>5000000</v>
      </c>
      <c r="H666" s="23">
        <v>5.0000000000000001E-3</v>
      </c>
      <c r="I666" s="39">
        <v>44470</v>
      </c>
      <c r="J666" s="39">
        <v>44500</v>
      </c>
      <c r="K666" s="24">
        <f t="shared" si="42"/>
        <v>31</v>
      </c>
      <c r="L666" s="24">
        <f t="shared" si="43"/>
        <v>2123</v>
      </c>
      <c r="M666" s="24">
        <v>5000000</v>
      </c>
      <c r="N666" s="39">
        <v>46084</v>
      </c>
    </row>
    <row r="667" spans="1:14" s="5" customFormat="1" outlineLevel="2">
      <c r="A667" s="39" t="s">
        <v>239</v>
      </c>
      <c r="B667" s="40" t="s">
        <v>103</v>
      </c>
      <c r="C667" s="41" t="s">
        <v>66</v>
      </c>
      <c r="D667" s="40" t="s">
        <v>67</v>
      </c>
      <c r="E667" s="24">
        <v>49780000</v>
      </c>
      <c r="F667" s="39">
        <v>44306</v>
      </c>
      <c r="G667" s="24">
        <v>49780000</v>
      </c>
      <c r="H667" s="23">
        <v>5.0000000000000001E-3</v>
      </c>
      <c r="I667" s="39">
        <v>44470</v>
      </c>
      <c r="J667" s="39">
        <v>44500</v>
      </c>
      <c r="K667" s="24">
        <f t="shared" si="42"/>
        <v>31</v>
      </c>
      <c r="L667" s="24">
        <f t="shared" si="43"/>
        <v>21139</v>
      </c>
      <c r="M667" s="24">
        <v>49780000</v>
      </c>
      <c r="N667" s="39">
        <v>46131</v>
      </c>
    </row>
    <row r="668" spans="1:14" s="5" customFormat="1" outlineLevel="2">
      <c r="A668" s="39" t="s">
        <v>239</v>
      </c>
      <c r="B668" s="40" t="s">
        <v>104</v>
      </c>
      <c r="C668" s="41" t="s">
        <v>244</v>
      </c>
      <c r="D668" s="40" t="s">
        <v>245</v>
      </c>
      <c r="E668" s="24">
        <v>39000000</v>
      </c>
      <c r="F668" s="39">
        <v>44295</v>
      </c>
      <c r="G668" s="24">
        <v>39000000</v>
      </c>
      <c r="H668" s="23">
        <v>5.0000000000000001E-3</v>
      </c>
      <c r="I668" s="39">
        <v>44470</v>
      </c>
      <c r="J668" s="39">
        <v>44500</v>
      </c>
      <c r="K668" s="24">
        <f t="shared" si="42"/>
        <v>31</v>
      </c>
      <c r="L668" s="24">
        <f t="shared" si="43"/>
        <v>16562</v>
      </c>
      <c r="M668" s="24">
        <v>39000000</v>
      </c>
      <c r="N668" s="39">
        <v>46120</v>
      </c>
    </row>
    <row r="669" spans="1:14" s="5" customFormat="1" outlineLevel="2">
      <c r="A669" s="39" t="s">
        <v>239</v>
      </c>
      <c r="B669" s="40" t="s">
        <v>105</v>
      </c>
      <c r="C669" s="41" t="s">
        <v>95</v>
      </c>
      <c r="D669" s="40" t="s">
        <v>96</v>
      </c>
      <c r="E669" s="24">
        <v>2600000</v>
      </c>
      <c r="F669" s="39">
        <v>44314</v>
      </c>
      <c r="G669" s="24">
        <v>2600000</v>
      </c>
      <c r="H669" s="23">
        <v>5.0000000000000001E-3</v>
      </c>
      <c r="I669" s="39">
        <v>44470</v>
      </c>
      <c r="J669" s="39">
        <v>44500</v>
      </c>
      <c r="K669" s="24">
        <f t="shared" ref="K669:K700" si="44">J669-I669+1</f>
        <v>31</v>
      </c>
      <c r="L669" s="24">
        <f t="shared" ref="L669:L700" si="45">ROUND(G669*H669*K669/365,0)</f>
        <v>1104</v>
      </c>
      <c r="M669" s="24">
        <v>2600000</v>
      </c>
      <c r="N669" s="39">
        <v>46139</v>
      </c>
    </row>
    <row r="670" spans="1:14" s="5" customFormat="1" outlineLevel="2">
      <c r="A670" s="39" t="s">
        <v>239</v>
      </c>
      <c r="B670" s="40" t="s">
        <v>106</v>
      </c>
      <c r="C670" s="41" t="s">
        <v>339</v>
      </c>
      <c r="D670" s="40" t="s">
        <v>338</v>
      </c>
      <c r="E670" s="24">
        <v>1000000</v>
      </c>
      <c r="F670" s="39">
        <v>44292</v>
      </c>
      <c r="G670" s="24">
        <v>1000000</v>
      </c>
      <c r="H670" s="23">
        <v>5.0000000000000001E-3</v>
      </c>
      <c r="I670" s="39">
        <v>44470</v>
      </c>
      <c r="J670" s="39">
        <v>44500</v>
      </c>
      <c r="K670" s="24">
        <f t="shared" si="44"/>
        <v>31</v>
      </c>
      <c r="L670" s="24">
        <f t="shared" si="45"/>
        <v>425</v>
      </c>
      <c r="M670" s="24">
        <v>1000000</v>
      </c>
      <c r="N670" s="39">
        <v>46117</v>
      </c>
    </row>
    <row r="671" spans="1:14" s="5" customFormat="1" outlineLevel="2">
      <c r="A671" s="39" t="s">
        <v>239</v>
      </c>
      <c r="B671" s="40" t="s">
        <v>59</v>
      </c>
      <c r="C671" s="41" t="s">
        <v>240</v>
      </c>
      <c r="D671" s="40" t="s">
        <v>241</v>
      </c>
      <c r="E671" s="24">
        <v>6665394</v>
      </c>
      <c r="F671" s="39">
        <v>44029</v>
      </c>
      <c r="G671" s="24">
        <v>6665394</v>
      </c>
      <c r="H671" s="23">
        <v>5.0000000000000001E-3</v>
      </c>
      <c r="I671" s="39">
        <v>44470</v>
      </c>
      <c r="J671" s="39">
        <v>44500</v>
      </c>
      <c r="K671" s="24">
        <f t="shared" si="44"/>
        <v>31</v>
      </c>
      <c r="L671" s="24">
        <f t="shared" si="45"/>
        <v>2831</v>
      </c>
      <c r="M671" s="24">
        <v>6665394</v>
      </c>
      <c r="N671" s="39">
        <v>45854</v>
      </c>
    </row>
    <row r="672" spans="1:14" s="5" customFormat="1" outlineLevel="2">
      <c r="A672" s="39" t="s">
        <v>239</v>
      </c>
      <c r="B672" s="40" t="s">
        <v>136</v>
      </c>
      <c r="C672" s="41" t="s">
        <v>345</v>
      </c>
      <c r="D672" s="40" t="s">
        <v>344</v>
      </c>
      <c r="E672" s="24">
        <v>10000000</v>
      </c>
      <c r="F672" s="39">
        <v>44315</v>
      </c>
      <c r="G672" s="24">
        <v>10000000</v>
      </c>
      <c r="H672" s="23">
        <v>3.0000000000000001E-3</v>
      </c>
      <c r="I672" s="39">
        <v>44470</v>
      </c>
      <c r="J672" s="39">
        <v>44500</v>
      </c>
      <c r="K672" s="24">
        <f t="shared" si="44"/>
        <v>31</v>
      </c>
      <c r="L672" s="24">
        <f t="shared" si="45"/>
        <v>2548</v>
      </c>
      <c r="M672" s="24">
        <v>10000000</v>
      </c>
      <c r="N672" s="39">
        <v>46140</v>
      </c>
    </row>
    <row r="673" spans="1:14" s="5" customFormat="1" outlineLevel="2">
      <c r="A673" s="39" t="s">
        <v>239</v>
      </c>
      <c r="B673" s="40" t="s">
        <v>137</v>
      </c>
      <c r="C673" s="41" t="s">
        <v>244</v>
      </c>
      <c r="D673" s="40" t="s">
        <v>245</v>
      </c>
      <c r="E673" s="24">
        <v>67000000</v>
      </c>
      <c r="F673" s="39">
        <v>44321</v>
      </c>
      <c r="G673" s="24">
        <v>67000000</v>
      </c>
      <c r="H673" s="23">
        <v>5.0000000000000001E-3</v>
      </c>
      <c r="I673" s="39">
        <v>44470</v>
      </c>
      <c r="J673" s="39">
        <v>44500</v>
      </c>
      <c r="K673" s="24">
        <f t="shared" si="44"/>
        <v>31</v>
      </c>
      <c r="L673" s="24">
        <f t="shared" si="45"/>
        <v>28452</v>
      </c>
      <c r="M673" s="24">
        <v>67000000</v>
      </c>
      <c r="N673" s="39">
        <v>46146</v>
      </c>
    </row>
    <row r="674" spans="1:14" s="5" customFormat="1" outlineLevel="2">
      <c r="A674" s="39" t="s">
        <v>239</v>
      </c>
      <c r="B674" s="40" t="s">
        <v>138</v>
      </c>
      <c r="C674" s="41" t="s">
        <v>232</v>
      </c>
      <c r="D674" s="40" t="s">
        <v>233</v>
      </c>
      <c r="E674" s="24">
        <v>287705120</v>
      </c>
      <c r="F674" s="39">
        <v>44327</v>
      </c>
      <c r="G674" s="24">
        <v>287705120</v>
      </c>
      <c r="H674" s="23">
        <v>5.0000000000000001E-3</v>
      </c>
      <c r="I674" s="39">
        <v>44470</v>
      </c>
      <c r="J674" s="39">
        <v>44500</v>
      </c>
      <c r="K674" s="24">
        <f t="shared" si="44"/>
        <v>31</v>
      </c>
      <c r="L674" s="24">
        <f t="shared" si="45"/>
        <v>122176</v>
      </c>
      <c r="M674" s="24">
        <v>287705120</v>
      </c>
      <c r="N674" s="39">
        <v>46152</v>
      </c>
    </row>
    <row r="675" spans="1:14" s="5" customFormat="1" outlineLevel="2">
      <c r="A675" s="39" t="s">
        <v>239</v>
      </c>
      <c r="B675" s="40" t="s">
        <v>139</v>
      </c>
      <c r="C675" s="41" t="s">
        <v>367</v>
      </c>
      <c r="D675" s="40" t="s">
        <v>366</v>
      </c>
      <c r="E675" s="24">
        <v>14000000</v>
      </c>
      <c r="F675" s="39">
        <v>44336</v>
      </c>
      <c r="G675" s="24">
        <v>14000000</v>
      </c>
      <c r="H675" s="23">
        <v>5.0000000000000001E-3</v>
      </c>
      <c r="I675" s="39">
        <v>44470</v>
      </c>
      <c r="J675" s="39">
        <v>44500</v>
      </c>
      <c r="K675" s="24">
        <f t="shared" si="44"/>
        <v>31</v>
      </c>
      <c r="L675" s="24">
        <f t="shared" si="45"/>
        <v>5945</v>
      </c>
      <c r="M675" s="24">
        <v>14000000</v>
      </c>
      <c r="N675" s="39">
        <v>46161</v>
      </c>
    </row>
    <row r="676" spans="1:14" s="5" customFormat="1" outlineLevel="2">
      <c r="A676" s="39" t="s">
        <v>239</v>
      </c>
      <c r="B676" s="40" t="s">
        <v>140</v>
      </c>
      <c r="C676" s="41" t="s">
        <v>244</v>
      </c>
      <c r="D676" s="40" t="s">
        <v>245</v>
      </c>
      <c r="E676" s="24">
        <v>64000000</v>
      </c>
      <c r="F676" s="39">
        <v>44354</v>
      </c>
      <c r="G676" s="24">
        <v>64000000</v>
      </c>
      <c r="H676" s="23">
        <v>5.0000000000000001E-3</v>
      </c>
      <c r="I676" s="39">
        <v>44470</v>
      </c>
      <c r="J676" s="39">
        <v>44500</v>
      </c>
      <c r="K676" s="24">
        <f t="shared" si="44"/>
        <v>31</v>
      </c>
      <c r="L676" s="24">
        <f t="shared" si="45"/>
        <v>27178</v>
      </c>
      <c r="M676" s="24">
        <v>64000000</v>
      </c>
      <c r="N676" s="39">
        <v>46179</v>
      </c>
    </row>
    <row r="677" spans="1:14" s="5" customFormat="1" outlineLevel="2">
      <c r="A677" s="39" t="s">
        <v>239</v>
      </c>
      <c r="B677" s="40" t="s">
        <v>169</v>
      </c>
      <c r="C677" s="41" t="s">
        <v>250</v>
      </c>
      <c r="D677" s="40" t="s">
        <v>251</v>
      </c>
      <c r="E677" s="24">
        <v>33500000</v>
      </c>
      <c r="F677" s="39">
        <v>44362</v>
      </c>
      <c r="G677" s="24">
        <v>31672727</v>
      </c>
      <c r="H677" s="23">
        <v>5.0000000000000001E-3</v>
      </c>
      <c r="I677" s="39">
        <v>44470</v>
      </c>
      <c r="J677" s="39">
        <v>44483</v>
      </c>
      <c r="K677" s="24">
        <f t="shared" si="44"/>
        <v>14</v>
      </c>
      <c r="L677" s="24">
        <f t="shared" si="45"/>
        <v>6074</v>
      </c>
      <c r="M677" s="24">
        <v>31063636</v>
      </c>
      <c r="N677" s="39">
        <v>46187</v>
      </c>
    </row>
    <row r="678" spans="1:14" s="5" customFormat="1" outlineLevel="2">
      <c r="A678" s="39" t="s">
        <v>239</v>
      </c>
      <c r="B678" s="40" t="s">
        <v>169</v>
      </c>
      <c r="C678" s="41" t="s">
        <v>250</v>
      </c>
      <c r="D678" s="40"/>
      <c r="E678" s="24"/>
      <c r="F678" s="39"/>
      <c r="G678" s="24">
        <v>31063636</v>
      </c>
      <c r="H678" s="23">
        <v>5.0000000000000001E-3</v>
      </c>
      <c r="I678" s="39">
        <v>44484</v>
      </c>
      <c r="J678" s="39">
        <v>44500</v>
      </c>
      <c r="K678" s="24">
        <f t="shared" si="44"/>
        <v>17</v>
      </c>
      <c r="L678" s="24">
        <f t="shared" si="45"/>
        <v>7234</v>
      </c>
      <c r="M678" s="24"/>
      <c r="N678" s="39">
        <v>46187</v>
      </c>
    </row>
    <row r="679" spans="1:14" s="5" customFormat="1" outlineLevel="2">
      <c r="A679" s="39" t="s">
        <v>239</v>
      </c>
      <c r="B679" s="40" t="s">
        <v>170</v>
      </c>
      <c r="C679" s="41" t="s">
        <v>250</v>
      </c>
      <c r="D679" s="40" t="s">
        <v>251</v>
      </c>
      <c r="E679" s="24">
        <v>7400000</v>
      </c>
      <c r="F679" s="39">
        <v>44362</v>
      </c>
      <c r="G679" s="24">
        <v>6996362</v>
      </c>
      <c r="H679" s="23">
        <v>5.0000000000000001E-3</v>
      </c>
      <c r="I679" s="39">
        <v>44470</v>
      </c>
      <c r="J679" s="39">
        <v>44483</v>
      </c>
      <c r="K679" s="24">
        <f t="shared" si="44"/>
        <v>14</v>
      </c>
      <c r="L679" s="24">
        <f t="shared" si="45"/>
        <v>1342</v>
      </c>
      <c r="M679" s="24">
        <v>6861816</v>
      </c>
      <c r="N679" s="39">
        <v>46187</v>
      </c>
    </row>
    <row r="680" spans="1:14" s="5" customFormat="1" outlineLevel="2">
      <c r="A680" s="39" t="s">
        <v>239</v>
      </c>
      <c r="B680" s="40" t="s">
        <v>170</v>
      </c>
      <c r="C680" s="41" t="s">
        <v>250</v>
      </c>
      <c r="D680" s="40"/>
      <c r="E680" s="24"/>
      <c r="F680" s="39"/>
      <c r="G680" s="24">
        <v>6861816</v>
      </c>
      <c r="H680" s="23">
        <v>5.0000000000000001E-3</v>
      </c>
      <c r="I680" s="39">
        <v>44484</v>
      </c>
      <c r="J680" s="39">
        <v>44500</v>
      </c>
      <c r="K680" s="24">
        <f t="shared" si="44"/>
        <v>17</v>
      </c>
      <c r="L680" s="24">
        <f t="shared" si="45"/>
        <v>1598</v>
      </c>
      <c r="M680" s="24"/>
      <c r="N680" s="39">
        <v>46187</v>
      </c>
    </row>
    <row r="681" spans="1:14" s="5" customFormat="1" outlineLevel="2">
      <c r="A681" s="39" t="s">
        <v>239</v>
      </c>
      <c r="B681" s="40" t="s">
        <v>171</v>
      </c>
      <c r="C681" s="41" t="s">
        <v>66</v>
      </c>
      <c r="D681" s="40" t="s">
        <v>67</v>
      </c>
      <c r="E681" s="24">
        <v>35910000</v>
      </c>
      <c r="F681" s="39">
        <v>44400</v>
      </c>
      <c r="G681" s="24">
        <v>35910000</v>
      </c>
      <c r="H681" s="23">
        <v>5.0000000000000001E-3</v>
      </c>
      <c r="I681" s="39">
        <v>44470</v>
      </c>
      <c r="J681" s="39">
        <v>44500</v>
      </c>
      <c r="K681" s="24">
        <f t="shared" si="44"/>
        <v>31</v>
      </c>
      <c r="L681" s="24">
        <f t="shared" si="45"/>
        <v>15249</v>
      </c>
      <c r="M681" s="24">
        <v>35910000</v>
      </c>
      <c r="N681" s="39">
        <v>46225</v>
      </c>
    </row>
    <row r="682" spans="1:14" s="5" customFormat="1" outlineLevel="2">
      <c r="A682" s="39" t="s">
        <v>239</v>
      </c>
      <c r="B682" s="40" t="s">
        <v>172</v>
      </c>
      <c r="C682" s="41" t="s">
        <v>367</v>
      </c>
      <c r="D682" s="40" t="s">
        <v>366</v>
      </c>
      <c r="E682" s="24">
        <v>6552000</v>
      </c>
      <c r="F682" s="39">
        <v>44386</v>
      </c>
      <c r="G682" s="24">
        <v>6552000</v>
      </c>
      <c r="H682" s="23">
        <v>5.0000000000000001E-3</v>
      </c>
      <c r="I682" s="39">
        <v>44470</v>
      </c>
      <c r="J682" s="39">
        <v>44500</v>
      </c>
      <c r="K682" s="24">
        <f t="shared" si="44"/>
        <v>31</v>
      </c>
      <c r="L682" s="24">
        <f t="shared" si="45"/>
        <v>2782</v>
      </c>
      <c r="M682" s="24">
        <v>6552000</v>
      </c>
      <c r="N682" s="39">
        <v>46211</v>
      </c>
    </row>
    <row r="683" spans="1:14" s="5" customFormat="1" outlineLevel="2">
      <c r="A683" s="39" t="s">
        <v>239</v>
      </c>
      <c r="B683" s="40" t="s">
        <v>173</v>
      </c>
      <c r="C683" s="41" t="s">
        <v>367</v>
      </c>
      <c r="D683" s="40" t="s">
        <v>366</v>
      </c>
      <c r="E683" s="24">
        <v>7062000</v>
      </c>
      <c r="F683" s="39">
        <v>44405</v>
      </c>
      <c r="G683" s="24">
        <v>7062000</v>
      </c>
      <c r="H683" s="23">
        <v>5.0000000000000001E-3</v>
      </c>
      <c r="I683" s="39">
        <v>44470</v>
      </c>
      <c r="J683" s="39">
        <v>44500</v>
      </c>
      <c r="K683" s="24">
        <f t="shared" si="44"/>
        <v>31</v>
      </c>
      <c r="L683" s="24">
        <f t="shared" si="45"/>
        <v>2999</v>
      </c>
      <c r="M683" s="24">
        <v>7062000</v>
      </c>
      <c r="N683" s="39">
        <v>46230</v>
      </c>
    </row>
    <row r="684" spans="1:14" s="5" customFormat="1" outlineLevel="2">
      <c r="A684" s="39" t="s">
        <v>239</v>
      </c>
      <c r="B684" s="40" t="s">
        <v>62</v>
      </c>
      <c r="C684" s="41" t="s">
        <v>240</v>
      </c>
      <c r="D684" s="40" t="s">
        <v>241</v>
      </c>
      <c r="E684" s="24">
        <v>12334606</v>
      </c>
      <c r="F684" s="39">
        <v>44029</v>
      </c>
      <c r="G684" s="24">
        <v>12334606</v>
      </c>
      <c r="H684" s="23">
        <v>5.0000000000000001E-3</v>
      </c>
      <c r="I684" s="39">
        <v>44470</v>
      </c>
      <c r="J684" s="39">
        <v>44500</v>
      </c>
      <c r="K684" s="24">
        <f t="shared" si="44"/>
        <v>31</v>
      </c>
      <c r="L684" s="24">
        <f t="shared" si="45"/>
        <v>5238</v>
      </c>
      <c r="M684" s="24">
        <v>12334606</v>
      </c>
      <c r="N684" s="39">
        <v>45854</v>
      </c>
    </row>
    <row r="685" spans="1:14" s="5" customFormat="1" outlineLevel="2">
      <c r="A685" s="39" t="s">
        <v>239</v>
      </c>
      <c r="B685" s="40" t="s">
        <v>174</v>
      </c>
      <c r="C685" s="41" t="s">
        <v>367</v>
      </c>
      <c r="D685" s="40" t="s">
        <v>366</v>
      </c>
      <c r="E685" s="24">
        <v>8000000</v>
      </c>
      <c r="F685" s="39">
        <v>44428</v>
      </c>
      <c r="G685" s="24">
        <v>8000000</v>
      </c>
      <c r="H685" s="23">
        <v>5.0000000000000001E-3</v>
      </c>
      <c r="I685" s="39">
        <v>44470</v>
      </c>
      <c r="J685" s="39">
        <v>44500</v>
      </c>
      <c r="K685" s="24">
        <f t="shared" si="44"/>
        <v>31</v>
      </c>
      <c r="L685" s="24">
        <f t="shared" si="45"/>
        <v>3397</v>
      </c>
      <c r="M685" s="24">
        <v>8000000</v>
      </c>
      <c r="N685" s="39">
        <v>46253</v>
      </c>
    </row>
    <row r="686" spans="1:14" s="5" customFormat="1" outlineLevel="2">
      <c r="A686" s="39" t="s">
        <v>239</v>
      </c>
      <c r="B686" s="40" t="s">
        <v>175</v>
      </c>
      <c r="C686" s="41" t="s">
        <v>244</v>
      </c>
      <c r="D686" s="40" t="s">
        <v>245</v>
      </c>
      <c r="E686" s="24">
        <v>100000000</v>
      </c>
      <c r="F686" s="39">
        <v>44468</v>
      </c>
      <c r="G686" s="24">
        <v>100000000</v>
      </c>
      <c r="H686" s="23">
        <v>5.0000000000000001E-3</v>
      </c>
      <c r="I686" s="39">
        <v>44470</v>
      </c>
      <c r="J686" s="39">
        <v>44500</v>
      </c>
      <c r="K686" s="24">
        <f t="shared" si="44"/>
        <v>31</v>
      </c>
      <c r="L686" s="24">
        <f t="shared" si="45"/>
        <v>42466</v>
      </c>
      <c r="M686" s="24">
        <v>100000000</v>
      </c>
      <c r="N686" s="39">
        <v>46293</v>
      </c>
    </row>
    <row r="687" spans="1:14" s="5" customFormat="1" outlineLevel="2">
      <c r="A687" s="39" t="s">
        <v>239</v>
      </c>
      <c r="B687" s="40" t="s">
        <v>176</v>
      </c>
      <c r="C687" s="41" t="s">
        <v>339</v>
      </c>
      <c r="D687" s="40" t="s">
        <v>338</v>
      </c>
      <c r="E687" s="24">
        <v>50000000</v>
      </c>
      <c r="F687" s="39">
        <v>44469</v>
      </c>
      <c r="G687" s="24">
        <v>50000000</v>
      </c>
      <c r="H687" s="23">
        <v>5.0000000000000001E-3</v>
      </c>
      <c r="I687" s="39">
        <v>44470</v>
      </c>
      <c r="J687" s="39">
        <v>44500</v>
      </c>
      <c r="K687" s="24">
        <f t="shared" si="44"/>
        <v>31</v>
      </c>
      <c r="L687" s="24">
        <f t="shared" si="45"/>
        <v>21233</v>
      </c>
      <c r="M687" s="24">
        <v>50000000</v>
      </c>
      <c r="N687" s="39">
        <v>46294</v>
      </c>
    </row>
    <row r="688" spans="1:14" s="5" customFormat="1" outlineLevel="2">
      <c r="A688" s="39" t="s">
        <v>239</v>
      </c>
      <c r="B688" s="40" t="s">
        <v>177</v>
      </c>
      <c r="C688" s="41" t="s">
        <v>412</v>
      </c>
      <c r="D688" s="40" t="s">
        <v>411</v>
      </c>
      <c r="E688" s="24">
        <v>7700000</v>
      </c>
      <c r="F688" s="39">
        <v>44453</v>
      </c>
      <c r="G688" s="24">
        <v>7700000</v>
      </c>
      <c r="H688" s="23">
        <v>5.0000000000000001E-3</v>
      </c>
      <c r="I688" s="39">
        <v>44470</v>
      </c>
      <c r="J688" s="39">
        <v>44500</v>
      </c>
      <c r="K688" s="24">
        <f t="shared" si="44"/>
        <v>31</v>
      </c>
      <c r="L688" s="24">
        <f t="shared" si="45"/>
        <v>3270</v>
      </c>
      <c r="M688" s="24">
        <v>7700000</v>
      </c>
      <c r="N688" s="39">
        <v>45548</v>
      </c>
    </row>
    <row r="689" spans="1:14" s="5" customFormat="1" outlineLevel="2">
      <c r="A689" s="39" t="s">
        <v>239</v>
      </c>
      <c r="B689" s="40" t="s">
        <v>178</v>
      </c>
      <c r="C689" s="41" t="s">
        <v>412</v>
      </c>
      <c r="D689" s="40" t="s">
        <v>411</v>
      </c>
      <c r="E689" s="24">
        <v>2800000</v>
      </c>
      <c r="F689" s="39">
        <v>44454</v>
      </c>
      <c r="G689" s="24">
        <v>2800000</v>
      </c>
      <c r="H689" s="23">
        <v>5.0000000000000001E-3</v>
      </c>
      <c r="I689" s="39">
        <v>44470</v>
      </c>
      <c r="J689" s="39">
        <v>44500</v>
      </c>
      <c r="K689" s="24">
        <f t="shared" si="44"/>
        <v>31</v>
      </c>
      <c r="L689" s="24">
        <f t="shared" si="45"/>
        <v>1189</v>
      </c>
      <c r="M689" s="24">
        <v>2800000</v>
      </c>
      <c r="N689" s="39">
        <v>45549</v>
      </c>
    </row>
    <row r="690" spans="1:14" s="5" customFormat="1" outlineLevel="2">
      <c r="A690" s="39" t="s">
        <v>239</v>
      </c>
      <c r="B690" s="40" t="s">
        <v>179</v>
      </c>
      <c r="C690" s="41" t="s">
        <v>412</v>
      </c>
      <c r="D690" s="40" t="s">
        <v>411</v>
      </c>
      <c r="E690" s="24">
        <v>1700000</v>
      </c>
      <c r="F690" s="39">
        <v>44453</v>
      </c>
      <c r="G690" s="24">
        <v>1700000</v>
      </c>
      <c r="H690" s="23">
        <v>5.0000000000000001E-3</v>
      </c>
      <c r="I690" s="39">
        <v>44470</v>
      </c>
      <c r="J690" s="39">
        <v>44500</v>
      </c>
      <c r="K690" s="24">
        <f t="shared" si="44"/>
        <v>31</v>
      </c>
      <c r="L690" s="24">
        <f t="shared" si="45"/>
        <v>722</v>
      </c>
      <c r="M690" s="24">
        <v>1700000</v>
      </c>
      <c r="N690" s="39">
        <v>45548</v>
      </c>
    </row>
    <row r="691" spans="1:14" s="5" customFormat="1" outlineLevel="2">
      <c r="A691" s="39" t="s">
        <v>239</v>
      </c>
      <c r="B691" s="40" t="s">
        <v>180</v>
      </c>
      <c r="C691" s="41" t="s">
        <v>412</v>
      </c>
      <c r="D691" s="40" t="s">
        <v>411</v>
      </c>
      <c r="E691" s="24">
        <v>400000</v>
      </c>
      <c r="F691" s="39">
        <v>44453</v>
      </c>
      <c r="G691" s="24">
        <v>400000</v>
      </c>
      <c r="H691" s="23">
        <v>5.0000000000000001E-3</v>
      </c>
      <c r="I691" s="39">
        <v>44470</v>
      </c>
      <c r="J691" s="39">
        <v>44500</v>
      </c>
      <c r="K691" s="24">
        <f t="shared" si="44"/>
        <v>31</v>
      </c>
      <c r="L691" s="24">
        <f t="shared" si="45"/>
        <v>170</v>
      </c>
      <c r="M691" s="24">
        <v>400000</v>
      </c>
      <c r="N691" s="39">
        <v>45548</v>
      </c>
    </row>
    <row r="692" spans="1:14" s="5" customFormat="1" outlineLevel="2">
      <c r="A692" s="39" t="s">
        <v>239</v>
      </c>
      <c r="B692" s="40" t="s">
        <v>181</v>
      </c>
      <c r="C692" s="41" t="s">
        <v>280</v>
      </c>
      <c r="D692" s="40" t="s">
        <v>281</v>
      </c>
      <c r="E692" s="24">
        <v>300000000</v>
      </c>
      <c r="F692" s="39">
        <v>44468</v>
      </c>
      <c r="G692" s="24">
        <v>300000000</v>
      </c>
      <c r="H692" s="23">
        <v>3.0000000000000001E-3</v>
      </c>
      <c r="I692" s="39">
        <v>44470</v>
      </c>
      <c r="J692" s="39">
        <v>44500</v>
      </c>
      <c r="K692" s="24">
        <f t="shared" si="44"/>
        <v>31</v>
      </c>
      <c r="L692" s="24">
        <f t="shared" si="45"/>
        <v>76438</v>
      </c>
      <c r="M692" s="24">
        <v>300000000</v>
      </c>
      <c r="N692" s="39">
        <v>45563</v>
      </c>
    </row>
    <row r="693" spans="1:14" s="5" customFormat="1" outlineLevel="2">
      <c r="A693" s="39" t="s">
        <v>239</v>
      </c>
      <c r="B693" s="40" t="s">
        <v>182</v>
      </c>
      <c r="C693" s="41" t="s">
        <v>240</v>
      </c>
      <c r="D693" s="40" t="s">
        <v>241</v>
      </c>
      <c r="E693" s="24">
        <v>57441016</v>
      </c>
      <c r="F693" s="39">
        <v>44489</v>
      </c>
      <c r="G693" s="24">
        <v>57441016</v>
      </c>
      <c r="H693" s="23">
        <v>5.0000000000000001E-3</v>
      </c>
      <c r="I693" s="39">
        <v>44489</v>
      </c>
      <c r="J693" s="39">
        <v>44500</v>
      </c>
      <c r="K693" s="24">
        <f t="shared" si="44"/>
        <v>12</v>
      </c>
      <c r="L693" s="24">
        <f t="shared" si="45"/>
        <v>9442</v>
      </c>
      <c r="M693" s="24">
        <v>57441016</v>
      </c>
      <c r="N693" s="39">
        <v>46314</v>
      </c>
    </row>
    <row r="694" spans="1:14" s="5" customFormat="1" outlineLevel="2">
      <c r="A694" s="39" t="s">
        <v>239</v>
      </c>
      <c r="B694" s="40" t="s">
        <v>183</v>
      </c>
      <c r="C694" s="41" t="s">
        <v>240</v>
      </c>
      <c r="D694" s="40" t="s">
        <v>241</v>
      </c>
      <c r="E694" s="24">
        <v>48558984</v>
      </c>
      <c r="F694" s="39">
        <v>44489</v>
      </c>
      <c r="G694" s="24">
        <v>48558984</v>
      </c>
      <c r="H694" s="23">
        <v>5.0000000000000001E-3</v>
      </c>
      <c r="I694" s="39">
        <v>44489</v>
      </c>
      <c r="J694" s="39">
        <v>44500</v>
      </c>
      <c r="K694" s="24">
        <f t="shared" si="44"/>
        <v>12</v>
      </c>
      <c r="L694" s="24">
        <f t="shared" si="45"/>
        <v>7982</v>
      </c>
      <c r="M694" s="24">
        <v>48558984</v>
      </c>
      <c r="N694" s="39">
        <v>46314</v>
      </c>
    </row>
    <row r="695" spans="1:14" s="5" customFormat="1" outlineLevel="2">
      <c r="A695" s="39" t="s">
        <v>239</v>
      </c>
      <c r="B695" s="40" t="s">
        <v>63</v>
      </c>
      <c r="C695" s="41" t="s">
        <v>252</v>
      </c>
      <c r="D695" s="40" t="s">
        <v>253</v>
      </c>
      <c r="E695" s="24">
        <v>131500000</v>
      </c>
      <c r="F695" s="39">
        <v>44089</v>
      </c>
      <c r="G695" s="24">
        <v>131500000</v>
      </c>
      <c r="H695" s="23">
        <v>5.0000000000000001E-3</v>
      </c>
      <c r="I695" s="39">
        <v>44470</v>
      </c>
      <c r="J695" s="39">
        <v>44500</v>
      </c>
      <c r="K695" s="24">
        <f t="shared" si="44"/>
        <v>31</v>
      </c>
      <c r="L695" s="24">
        <f t="shared" si="45"/>
        <v>55842</v>
      </c>
      <c r="M695" s="24">
        <v>131500000</v>
      </c>
      <c r="N695" s="39">
        <v>45914</v>
      </c>
    </row>
    <row r="696" spans="1:14" s="5" customFormat="1" outlineLevel="2">
      <c r="A696" s="39" t="s">
        <v>239</v>
      </c>
      <c r="B696" s="40" t="s">
        <v>184</v>
      </c>
      <c r="C696" s="41" t="s">
        <v>306</v>
      </c>
      <c r="D696" s="40" t="s">
        <v>305</v>
      </c>
      <c r="E696" s="24">
        <v>69161000</v>
      </c>
      <c r="F696" s="39">
        <v>44487</v>
      </c>
      <c r="G696" s="24">
        <v>69161000</v>
      </c>
      <c r="H696" s="23">
        <v>5.0000000000000001E-3</v>
      </c>
      <c r="I696" s="39">
        <v>44487</v>
      </c>
      <c r="J696" s="39">
        <v>44500</v>
      </c>
      <c r="K696" s="24">
        <f t="shared" si="44"/>
        <v>14</v>
      </c>
      <c r="L696" s="24">
        <f t="shared" si="45"/>
        <v>13264</v>
      </c>
      <c r="M696" s="24">
        <v>69161000</v>
      </c>
      <c r="N696" s="39">
        <v>46312</v>
      </c>
    </row>
    <row r="697" spans="1:14" s="5" customFormat="1" outlineLevel="2">
      <c r="A697" s="39" t="s">
        <v>239</v>
      </c>
      <c r="B697" s="40" t="s">
        <v>185</v>
      </c>
      <c r="C697" s="41" t="s">
        <v>367</v>
      </c>
      <c r="D697" s="40" t="s">
        <v>366</v>
      </c>
      <c r="E697" s="24">
        <v>12392000</v>
      </c>
      <c r="F697" s="39">
        <v>44477</v>
      </c>
      <c r="G697" s="24">
        <v>12392000</v>
      </c>
      <c r="H697" s="23">
        <v>5.0000000000000001E-3</v>
      </c>
      <c r="I697" s="39">
        <v>44477</v>
      </c>
      <c r="J697" s="39">
        <v>44500</v>
      </c>
      <c r="K697" s="24">
        <f t="shared" si="44"/>
        <v>24</v>
      </c>
      <c r="L697" s="24">
        <f t="shared" si="45"/>
        <v>4074</v>
      </c>
      <c r="M697" s="24">
        <v>12392000</v>
      </c>
      <c r="N697" s="39">
        <v>46302</v>
      </c>
    </row>
    <row r="698" spans="1:14" s="5" customFormat="1" outlineLevel="2">
      <c r="A698" s="39" t="s">
        <v>239</v>
      </c>
      <c r="B698" s="40" t="s">
        <v>186</v>
      </c>
      <c r="C698" s="41" t="s">
        <v>294</v>
      </c>
      <c r="D698" s="40" t="s">
        <v>295</v>
      </c>
      <c r="E698" s="24">
        <v>450000000</v>
      </c>
      <c r="F698" s="39">
        <v>44473</v>
      </c>
      <c r="G698" s="24">
        <v>450000000</v>
      </c>
      <c r="H698" s="23">
        <v>5.0000000000000001E-3</v>
      </c>
      <c r="I698" s="39">
        <v>44473</v>
      </c>
      <c r="J698" s="39">
        <v>44500</v>
      </c>
      <c r="K698" s="24">
        <f t="shared" si="44"/>
        <v>28</v>
      </c>
      <c r="L698" s="24">
        <f t="shared" si="45"/>
        <v>172603</v>
      </c>
      <c r="M698" s="24">
        <v>450000000</v>
      </c>
      <c r="N698" s="39">
        <v>45568</v>
      </c>
    </row>
    <row r="699" spans="1:14" s="5" customFormat="1" outlineLevel="2">
      <c r="A699" s="39" t="s">
        <v>239</v>
      </c>
      <c r="B699" s="40" t="s">
        <v>189</v>
      </c>
      <c r="C699" s="41" t="s">
        <v>412</v>
      </c>
      <c r="D699" s="40" t="s">
        <v>411</v>
      </c>
      <c r="E699" s="24">
        <v>25000000</v>
      </c>
      <c r="F699" s="39">
        <v>44484</v>
      </c>
      <c r="G699" s="24">
        <v>25000000</v>
      </c>
      <c r="H699" s="23">
        <v>5.0000000000000001E-3</v>
      </c>
      <c r="I699" s="39">
        <v>44484</v>
      </c>
      <c r="J699" s="39">
        <v>44500</v>
      </c>
      <c r="K699" s="24">
        <f t="shared" si="44"/>
        <v>17</v>
      </c>
      <c r="L699" s="24">
        <f t="shared" si="45"/>
        <v>5822</v>
      </c>
      <c r="M699" s="24">
        <v>25000000</v>
      </c>
      <c r="N699" s="39">
        <v>45579</v>
      </c>
    </row>
    <row r="700" spans="1:14" s="5" customFormat="1" outlineLevel="2">
      <c r="A700" s="39" t="s">
        <v>239</v>
      </c>
      <c r="B700" s="40" t="s">
        <v>190</v>
      </c>
      <c r="C700" s="41" t="s">
        <v>294</v>
      </c>
      <c r="D700" s="40" t="s">
        <v>295</v>
      </c>
      <c r="E700" s="24">
        <v>750000000</v>
      </c>
      <c r="F700" s="39">
        <v>44473</v>
      </c>
      <c r="G700" s="24">
        <v>750000000</v>
      </c>
      <c r="H700" s="23">
        <v>3.0000000000000001E-3</v>
      </c>
      <c r="I700" s="39">
        <v>44473</v>
      </c>
      <c r="J700" s="39">
        <v>44500</v>
      </c>
      <c r="K700" s="24">
        <f t="shared" si="44"/>
        <v>28</v>
      </c>
      <c r="L700" s="24">
        <f t="shared" si="45"/>
        <v>172603</v>
      </c>
      <c r="M700" s="24">
        <v>750000000</v>
      </c>
      <c r="N700" s="39">
        <v>45568</v>
      </c>
    </row>
    <row r="701" spans="1:14" s="5" customFormat="1" outlineLevel="2">
      <c r="A701" s="39" t="s">
        <v>239</v>
      </c>
      <c r="B701" s="40" t="s">
        <v>64</v>
      </c>
      <c r="C701" s="41" t="s">
        <v>109</v>
      </c>
      <c r="D701" s="40" t="s">
        <v>110</v>
      </c>
      <c r="E701" s="24">
        <v>10400000</v>
      </c>
      <c r="F701" s="39">
        <v>44096</v>
      </c>
      <c r="G701" s="24">
        <v>10400000</v>
      </c>
      <c r="H701" s="23">
        <v>5.0000000000000001E-3</v>
      </c>
      <c r="I701" s="39">
        <v>44470</v>
      </c>
      <c r="J701" s="39">
        <v>44500</v>
      </c>
      <c r="K701" s="24">
        <f t="shared" ref="K701:K732" si="46">J701-I701+1</f>
        <v>31</v>
      </c>
      <c r="L701" s="24">
        <f t="shared" ref="L701:L732" si="47">ROUND(G701*H701*K701/365,0)</f>
        <v>4416</v>
      </c>
      <c r="M701" s="24">
        <v>10400000</v>
      </c>
      <c r="N701" s="39">
        <v>45921</v>
      </c>
    </row>
    <row r="702" spans="1:14" s="5" customFormat="1" outlineLevel="2">
      <c r="A702" s="39" t="s">
        <v>239</v>
      </c>
      <c r="B702" s="40" t="s">
        <v>65</v>
      </c>
      <c r="C702" s="41" t="s">
        <v>242</v>
      </c>
      <c r="D702" s="40" t="s">
        <v>243</v>
      </c>
      <c r="E702" s="24">
        <v>10000000</v>
      </c>
      <c r="F702" s="39">
        <v>44139</v>
      </c>
      <c r="G702" s="24">
        <v>10000000</v>
      </c>
      <c r="H702" s="23">
        <v>5.0000000000000001E-3</v>
      </c>
      <c r="I702" s="39">
        <v>44470</v>
      </c>
      <c r="J702" s="39">
        <v>44500</v>
      </c>
      <c r="K702" s="24">
        <f t="shared" si="46"/>
        <v>31</v>
      </c>
      <c r="L702" s="24">
        <f t="shared" si="47"/>
        <v>4247</v>
      </c>
      <c r="M702" s="24">
        <v>10000000</v>
      </c>
      <c r="N702" s="39">
        <v>45964</v>
      </c>
    </row>
    <row r="703" spans="1:14" s="5" customFormat="1" outlineLevel="2">
      <c r="A703" s="39" t="s">
        <v>239</v>
      </c>
      <c r="B703" s="40" t="s">
        <v>68</v>
      </c>
      <c r="C703" s="41" t="s">
        <v>242</v>
      </c>
      <c r="D703" s="40" t="s">
        <v>243</v>
      </c>
      <c r="E703" s="24">
        <v>10000000</v>
      </c>
      <c r="F703" s="39">
        <v>44152</v>
      </c>
      <c r="G703" s="24">
        <v>10000000</v>
      </c>
      <c r="H703" s="23">
        <v>5.0000000000000001E-3</v>
      </c>
      <c r="I703" s="39">
        <v>44470</v>
      </c>
      <c r="J703" s="39">
        <v>44500</v>
      </c>
      <c r="K703" s="24">
        <f t="shared" si="46"/>
        <v>31</v>
      </c>
      <c r="L703" s="24">
        <f t="shared" si="47"/>
        <v>4247</v>
      </c>
      <c r="M703" s="24">
        <v>10000000</v>
      </c>
      <c r="N703" s="39">
        <v>45977</v>
      </c>
    </row>
    <row r="704" spans="1:14" s="5" customFormat="1" outlineLevel="1">
      <c r="A704" s="42" t="s">
        <v>254</v>
      </c>
      <c r="B704" s="70"/>
      <c r="C704" s="71"/>
      <c r="D704" s="70"/>
      <c r="E704" s="72">
        <f>SUBTOTAL(9,E637:E703)</f>
        <v>3605511120</v>
      </c>
      <c r="F704" s="73"/>
      <c r="G704" s="72"/>
      <c r="H704" s="74"/>
      <c r="I704" s="73"/>
      <c r="J704" s="73"/>
      <c r="K704" s="72"/>
      <c r="L704" s="72">
        <f>SUBTOTAL(9,L637:L703)</f>
        <v>1259485</v>
      </c>
      <c r="M704" s="72">
        <f>SUBTOTAL(9,M637:M703)</f>
        <v>3593419072</v>
      </c>
      <c r="N704" s="73"/>
    </row>
    <row r="705" spans="1:14" s="5" customFormat="1" outlineLevel="2">
      <c r="A705" s="39" t="s">
        <v>255</v>
      </c>
      <c r="B705" s="40" t="s">
        <v>16</v>
      </c>
      <c r="C705" s="41" t="s">
        <v>20</v>
      </c>
      <c r="D705" s="40" t="s">
        <v>21</v>
      </c>
      <c r="E705" s="24">
        <v>330000000</v>
      </c>
      <c r="F705" s="39">
        <v>43915</v>
      </c>
      <c r="G705" s="24">
        <v>330000000</v>
      </c>
      <c r="H705" s="23">
        <v>5.0000000000000001E-3</v>
      </c>
      <c r="I705" s="39">
        <v>44470</v>
      </c>
      <c r="J705" s="39">
        <v>44500</v>
      </c>
      <c r="K705" s="24">
        <f>J705-I705+1</f>
        <v>31</v>
      </c>
      <c r="L705" s="24">
        <f>ROUND(G705*H705*K705/365,0)</f>
        <v>140137</v>
      </c>
      <c r="M705" s="24">
        <v>330000000</v>
      </c>
      <c r="N705" s="39">
        <v>45740</v>
      </c>
    </row>
    <row r="706" spans="1:14" s="5" customFormat="1" outlineLevel="2">
      <c r="A706" s="39" t="s">
        <v>255</v>
      </c>
      <c r="B706" s="40" t="s">
        <v>39</v>
      </c>
      <c r="C706" s="41" t="s">
        <v>20</v>
      </c>
      <c r="D706" s="40" t="s">
        <v>21</v>
      </c>
      <c r="E706" s="24">
        <v>93600000</v>
      </c>
      <c r="F706" s="39">
        <v>43955</v>
      </c>
      <c r="G706" s="24">
        <v>93600000</v>
      </c>
      <c r="H706" s="23">
        <v>5.0000000000000001E-3</v>
      </c>
      <c r="I706" s="39">
        <v>44470</v>
      </c>
      <c r="J706" s="39">
        <v>44500</v>
      </c>
      <c r="K706" s="24">
        <f>J706-I706+1</f>
        <v>31</v>
      </c>
      <c r="L706" s="24">
        <f>ROUND(G706*H706*K706/365,0)</f>
        <v>39748</v>
      </c>
      <c r="M706" s="24">
        <v>93600000</v>
      </c>
      <c r="N706" s="39">
        <v>45780</v>
      </c>
    </row>
    <row r="707" spans="1:14" s="5" customFormat="1" outlineLevel="2">
      <c r="A707" s="39" t="s">
        <v>255</v>
      </c>
      <c r="B707" s="40" t="s">
        <v>54</v>
      </c>
      <c r="C707" s="41" t="s">
        <v>20</v>
      </c>
      <c r="D707" s="40" t="s">
        <v>21</v>
      </c>
      <c r="E707" s="24">
        <v>576400000</v>
      </c>
      <c r="F707" s="39">
        <v>44013</v>
      </c>
      <c r="G707" s="24">
        <v>576400000</v>
      </c>
      <c r="H707" s="23">
        <v>5.0000000000000001E-3</v>
      </c>
      <c r="I707" s="39">
        <v>44470</v>
      </c>
      <c r="J707" s="39">
        <v>44500</v>
      </c>
      <c r="K707" s="24">
        <f>J707-I707+1</f>
        <v>31</v>
      </c>
      <c r="L707" s="24">
        <f>ROUND(G707*H707*K707/365,0)</f>
        <v>244773</v>
      </c>
      <c r="M707" s="24">
        <v>576400000</v>
      </c>
      <c r="N707" s="39">
        <v>45838</v>
      </c>
    </row>
    <row r="708" spans="1:14" s="5" customFormat="1" outlineLevel="1">
      <c r="A708" s="42" t="s">
        <v>256</v>
      </c>
      <c r="B708" s="70"/>
      <c r="C708" s="71"/>
      <c r="D708" s="70"/>
      <c r="E708" s="72">
        <f>SUBTOTAL(9,E705:E707)</f>
        <v>1000000000</v>
      </c>
      <c r="F708" s="73"/>
      <c r="G708" s="72"/>
      <c r="H708" s="74"/>
      <c r="I708" s="73"/>
      <c r="J708" s="73"/>
      <c r="K708" s="72"/>
      <c r="L708" s="72">
        <f>SUBTOTAL(9,L705:L707)</f>
        <v>424658</v>
      </c>
      <c r="M708" s="72">
        <f>SUBTOTAL(9,M705:M707)</f>
        <v>1000000000</v>
      </c>
      <c r="N708" s="73"/>
    </row>
    <row r="709" spans="1:14" s="5" customFormat="1" outlineLevel="2">
      <c r="A709" s="39" t="s">
        <v>257</v>
      </c>
      <c r="B709" s="40" t="s">
        <v>16</v>
      </c>
      <c r="C709" s="41" t="s">
        <v>262</v>
      </c>
      <c r="D709" s="40" t="s">
        <v>259</v>
      </c>
      <c r="E709" s="24">
        <v>3400000</v>
      </c>
      <c r="F709" s="39">
        <v>43927</v>
      </c>
      <c r="G709" s="24">
        <v>3400000</v>
      </c>
      <c r="H709" s="23">
        <v>5.0000000000000001E-3</v>
      </c>
      <c r="I709" s="39">
        <v>44470</v>
      </c>
      <c r="J709" s="39">
        <v>44500</v>
      </c>
      <c r="K709" s="24">
        <f t="shared" ref="K709:K740" si="48">J709-I709+1</f>
        <v>31</v>
      </c>
      <c r="L709" s="24">
        <f t="shared" ref="L709:L740" si="49">ROUND(G709*H709*K709/365,0)</f>
        <v>1444</v>
      </c>
      <c r="M709" s="24">
        <v>3400000</v>
      </c>
      <c r="N709" s="39">
        <v>45752</v>
      </c>
    </row>
    <row r="710" spans="1:14" s="5" customFormat="1" outlineLevel="2">
      <c r="A710" s="39" t="s">
        <v>257</v>
      </c>
      <c r="B710" s="40" t="s">
        <v>19</v>
      </c>
      <c r="C710" s="41" t="s">
        <v>260</v>
      </c>
      <c r="D710" s="40" t="s">
        <v>261</v>
      </c>
      <c r="E710" s="24">
        <v>620000</v>
      </c>
      <c r="F710" s="39">
        <v>44148</v>
      </c>
      <c r="G710" s="24">
        <v>470000</v>
      </c>
      <c r="H710" s="23">
        <v>5.0000000000000001E-3</v>
      </c>
      <c r="I710" s="39">
        <v>44470</v>
      </c>
      <c r="J710" s="39">
        <v>44483</v>
      </c>
      <c r="K710" s="24">
        <f t="shared" si="48"/>
        <v>14</v>
      </c>
      <c r="L710" s="24">
        <f t="shared" si="49"/>
        <v>90</v>
      </c>
      <c r="M710" s="24">
        <v>460000</v>
      </c>
      <c r="N710" s="39">
        <v>45973</v>
      </c>
    </row>
    <row r="711" spans="1:14" s="5" customFormat="1" outlineLevel="2">
      <c r="A711" s="39" t="s">
        <v>257</v>
      </c>
      <c r="B711" s="40" t="s">
        <v>19</v>
      </c>
      <c r="C711" s="41" t="s">
        <v>260</v>
      </c>
      <c r="D711" s="40"/>
      <c r="E711" s="24"/>
      <c r="F711" s="39"/>
      <c r="G711" s="24">
        <v>460000</v>
      </c>
      <c r="H711" s="23">
        <v>5.0000000000000001E-3</v>
      </c>
      <c r="I711" s="39">
        <v>44484</v>
      </c>
      <c r="J711" s="39">
        <v>44500</v>
      </c>
      <c r="K711" s="24">
        <f t="shared" si="48"/>
        <v>17</v>
      </c>
      <c r="L711" s="24">
        <f t="shared" si="49"/>
        <v>107</v>
      </c>
      <c r="M711" s="24"/>
      <c r="N711" s="39">
        <v>45973</v>
      </c>
    </row>
    <row r="712" spans="1:14" s="5" customFormat="1" outlineLevel="2">
      <c r="A712" s="39" t="s">
        <v>257</v>
      </c>
      <c r="B712" s="40" t="s">
        <v>22</v>
      </c>
      <c r="C712" s="41" t="s">
        <v>260</v>
      </c>
      <c r="D712" s="40" t="s">
        <v>261</v>
      </c>
      <c r="E712" s="24">
        <v>3910000</v>
      </c>
      <c r="F712" s="39">
        <v>44165</v>
      </c>
      <c r="G712" s="24">
        <v>3196000</v>
      </c>
      <c r="H712" s="23">
        <v>5.0000000000000001E-3</v>
      </c>
      <c r="I712" s="39">
        <v>44470</v>
      </c>
      <c r="J712" s="39">
        <v>44483</v>
      </c>
      <c r="K712" s="24">
        <f t="shared" si="48"/>
        <v>14</v>
      </c>
      <c r="L712" s="24">
        <f t="shared" si="49"/>
        <v>613</v>
      </c>
      <c r="M712" s="24">
        <v>3128000</v>
      </c>
      <c r="N712" s="39">
        <v>45990</v>
      </c>
    </row>
    <row r="713" spans="1:14" s="5" customFormat="1" outlineLevel="2">
      <c r="A713" s="39" t="s">
        <v>257</v>
      </c>
      <c r="B713" s="40" t="s">
        <v>22</v>
      </c>
      <c r="C713" s="41" t="s">
        <v>260</v>
      </c>
      <c r="D713" s="40"/>
      <c r="E713" s="24"/>
      <c r="F713" s="39"/>
      <c r="G713" s="24">
        <v>3128000</v>
      </c>
      <c r="H713" s="23">
        <v>5.0000000000000001E-3</v>
      </c>
      <c r="I713" s="39">
        <v>44484</v>
      </c>
      <c r="J713" s="39">
        <v>44500</v>
      </c>
      <c r="K713" s="24">
        <f t="shared" si="48"/>
        <v>17</v>
      </c>
      <c r="L713" s="24">
        <f t="shared" si="49"/>
        <v>728</v>
      </c>
      <c r="M713" s="24"/>
      <c r="N713" s="39">
        <v>45990</v>
      </c>
    </row>
    <row r="714" spans="1:14" s="5" customFormat="1" outlineLevel="2">
      <c r="A714" s="39" t="s">
        <v>257</v>
      </c>
      <c r="B714" s="40" t="s">
        <v>25</v>
      </c>
      <c r="C714" s="41" t="s">
        <v>260</v>
      </c>
      <c r="D714" s="40" t="s">
        <v>261</v>
      </c>
      <c r="E714" s="24">
        <v>4030000</v>
      </c>
      <c r="F714" s="39">
        <v>44165</v>
      </c>
      <c r="G714" s="24">
        <v>3290000</v>
      </c>
      <c r="H714" s="23">
        <v>5.0000000000000001E-3</v>
      </c>
      <c r="I714" s="39">
        <v>44470</v>
      </c>
      <c r="J714" s="39">
        <v>44483</v>
      </c>
      <c r="K714" s="24">
        <f t="shared" si="48"/>
        <v>14</v>
      </c>
      <c r="L714" s="24">
        <f t="shared" si="49"/>
        <v>631</v>
      </c>
      <c r="M714" s="24">
        <v>3220000</v>
      </c>
      <c r="N714" s="39">
        <v>45990</v>
      </c>
    </row>
    <row r="715" spans="1:14" s="5" customFormat="1" outlineLevel="2">
      <c r="A715" s="39" t="s">
        <v>257</v>
      </c>
      <c r="B715" s="40" t="s">
        <v>25</v>
      </c>
      <c r="C715" s="41" t="s">
        <v>260</v>
      </c>
      <c r="D715" s="40"/>
      <c r="E715" s="24"/>
      <c r="F715" s="39"/>
      <c r="G715" s="24">
        <v>3220000</v>
      </c>
      <c r="H715" s="23">
        <v>5.0000000000000001E-3</v>
      </c>
      <c r="I715" s="39">
        <v>44484</v>
      </c>
      <c r="J715" s="39">
        <v>44500</v>
      </c>
      <c r="K715" s="24">
        <f t="shared" si="48"/>
        <v>17</v>
      </c>
      <c r="L715" s="24">
        <f t="shared" si="49"/>
        <v>750</v>
      </c>
      <c r="M715" s="24"/>
      <c r="N715" s="39">
        <v>45990</v>
      </c>
    </row>
    <row r="716" spans="1:14" s="5" customFormat="1" outlineLevel="2">
      <c r="A716" s="39" t="s">
        <v>257</v>
      </c>
      <c r="B716" s="40" t="s">
        <v>26</v>
      </c>
      <c r="C716" s="41" t="s">
        <v>260</v>
      </c>
      <c r="D716" s="40" t="s">
        <v>261</v>
      </c>
      <c r="E716" s="24">
        <v>570000</v>
      </c>
      <c r="F716" s="39">
        <v>44155</v>
      </c>
      <c r="G716" s="24">
        <v>570000</v>
      </c>
      <c r="H716" s="23">
        <v>5.0000000000000001E-3</v>
      </c>
      <c r="I716" s="39">
        <v>44470</v>
      </c>
      <c r="J716" s="39">
        <v>44500</v>
      </c>
      <c r="K716" s="24">
        <f t="shared" si="48"/>
        <v>31</v>
      </c>
      <c r="L716" s="24">
        <f t="shared" si="49"/>
        <v>242</v>
      </c>
      <c r="M716" s="24">
        <v>570000</v>
      </c>
      <c r="N716" s="39">
        <v>45980</v>
      </c>
    </row>
    <row r="717" spans="1:14" s="5" customFormat="1" outlineLevel="2">
      <c r="A717" s="39" t="s">
        <v>257</v>
      </c>
      <c r="B717" s="40" t="s">
        <v>29</v>
      </c>
      <c r="C717" s="41" t="s">
        <v>260</v>
      </c>
      <c r="D717" s="40" t="s">
        <v>261</v>
      </c>
      <c r="E717" s="24">
        <v>6000000</v>
      </c>
      <c r="F717" s="39">
        <v>44155</v>
      </c>
      <c r="G717" s="24">
        <v>6000000</v>
      </c>
      <c r="H717" s="23">
        <v>5.0000000000000001E-3</v>
      </c>
      <c r="I717" s="39">
        <v>44470</v>
      </c>
      <c r="J717" s="39">
        <v>44500</v>
      </c>
      <c r="K717" s="24">
        <f t="shared" si="48"/>
        <v>31</v>
      </c>
      <c r="L717" s="24">
        <f t="shared" si="49"/>
        <v>2548</v>
      </c>
      <c r="M717" s="24">
        <v>6000000</v>
      </c>
      <c r="N717" s="39">
        <v>45980</v>
      </c>
    </row>
    <row r="718" spans="1:14" s="5" customFormat="1" outlineLevel="2">
      <c r="A718" s="39" t="s">
        <v>257</v>
      </c>
      <c r="B718" s="40" t="s">
        <v>32</v>
      </c>
      <c r="C718" s="41" t="s">
        <v>260</v>
      </c>
      <c r="D718" s="40" t="s">
        <v>261</v>
      </c>
      <c r="E718" s="24">
        <v>270000</v>
      </c>
      <c r="F718" s="39">
        <v>44181</v>
      </c>
      <c r="G718" s="24">
        <v>188000</v>
      </c>
      <c r="H718" s="23">
        <v>5.0000000000000001E-3</v>
      </c>
      <c r="I718" s="39">
        <v>44470</v>
      </c>
      <c r="J718" s="39">
        <v>44483</v>
      </c>
      <c r="K718" s="24">
        <f t="shared" si="48"/>
        <v>14</v>
      </c>
      <c r="L718" s="24">
        <f t="shared" si="49"/>
        <v>36</v>
      </c>
      <c r="M718" s="24">
        <v>184000</v>
      </c>
      <c r="N718" s="39">
        <v>46006</v>
      </c>
    </row>
    <row r="719" spans="1:14" s="5" customFormat="1" outlineLevel="2">
      <c r="A719" s="39" t="s">
        <v>257</v>
      </c>
      <c r="B719" s="40" t="s">
        <v>32</v>
      </c>
      <c r="C719" s="41" t="s">
        <v>260</v>
      </c>
      <c r="D719" s="40"/>
      <c r="E719" s="24"/>
      <c r="F719" s="39"/>
      <c r="G719" s="24">
        <v>184000</v>
      </c>
      <c r="H719" s="23">
        <v>5.0000000000000001E-3</v>
      </c>
      <c r="I719" s="39">
        <v>44484</v>
      </c>
      <c r="J719" s="39">
        <v>44500</v>
      </c>
      <c r="K719" s="24">
        <f t="shared" si="48"/>
        <v>17</v>
      </c>
      <c r="L719" s="24">
        <f t="shared" si="49"/>
        <v>43</v>
      </c>
      <c r="M719" s="24"/>
      <c r="N719" s="39">
        <v>46006</v>
      </c>
    </row>
    <row r="720" spans="1:14" s="5" customFormat="1" outlineLevel="2">
      <c r="A720" s="39" t="s">
        <v>257</v>
      </c>
      <c r="B720" s="40" t="s">
        <v>33</v>
      </c>
      <c r="C720" s="41" t="s">
        <v>260</v>
      </c>
      <c r="D720" s="40" t="s">
        <v>261</v>
      </c>
      <c r="E720" s="24">
        <v>2400000</v>
      </c>
      <c r="F720" s="39">
        <v>44181</v>
      </c>
      <c r="G720" s="24">
        <v>2400000</v>
      </c>
      <c r="H720" s="23">
        <v>5.0000000000000001E-3</v>
      </c>
      <c r="I720" s="39">
        <v>44470</v>
      </c>
      <c r="J720" s="39">
        <v>44500</v>
      </c>
      <c r="K720" s="24">
        <f t="shared" si="48"/>
        <v>31</v>
      </c>
      <c r="L720" s="24">
        <f t="shared" si="49"/>
        <v>1019</v>
      </c>
      <c r="M720" s="24">
        <v>2400000</v>
      </c>
      <c r="N720" s="39">
        <v>46006</v>
      </c>
    </row>
    <row r="721" spans="1:14" s="5" customFormat="1" outlineLevel="2">
      <c r="A721" s="39" t="s">
        <v>257</v>
      </c>
      <c r="B721" s="40" t="s">
        <v>34</v>
      </c>
      <c r="C721" s="41" t="s">
        <v>260</v>
      </c>
      <c r="D721" s="40" t="s">
        <v>261</v>
      </c>
      <c r="E721" s="24">
        <v>11000000</v>
      </c>
      <c r="F721" s="39">
        <v>44181</v>
      </c>
      <c r="G721" s="24">
        <v>11000000</v>
      </c>
      <c r="H721" s="23">
        <v>5.0000000000000001E-3</v>
      </c>
      <c r="I721" s="39">
        <v>44470</v>
      </c>
      <c r="J721" s="39">
        <v>44500</v>
      </c>
      <c r="K721" s="24">
        <f t="shared" si="48"/>
        <v>31</v>
      </c>
      <c r="L721" s="24">
        <f t="shared" si="49"/>
        <v>4671</v>
      </c>
      <c r="M721" s="24">
        <v>11000000</v>
      </c>
      <c r="N721" s="39">
        <v>46006</v>
      </c>
    </row>
    <row r="722" spans="1:14" s="5" customFormat="1" outlineLevel="2">
      <c r="A722" s="39" t="s">
        <v>257</v>
      </c>
      <c r="B722" s="40" t="s">
        <v>35</v>
      </c>
      <c r="C722" s="41" t="s">
        <v>260</v>
      </c>
      <c r="D722" s="40" t="s">
        <v>261</v>
      </c>
      <c r="E722" s="24">
        <v>220000</v>
      </c>
      <c r="F722" s="39">
        <v>44215</v>
      </c>
      <c r="G722" s="24">
        <v>188000</v>
      </c>
      <c r="H722" s="23">
        <v>5.0000000000000001E-3</v>
      </c>
      <c r="I722" s="39">
        <v>44470</v>
      </c>
      <c r="J722" s="39">
        <v>44483</v>
      </c>
      <c r="K722" s="24">
        <f t="shared" si="48"/>
        <v>14</v>
      </c>
      <c r="L722" s="24">
        <f t="shared" si="49"/>
        <v>36</v>
      </c>
      <c r="M722" s="24">
        <v>184000</v>
      </c>
      <c r="N722" s="39">
        <v>46040</v>
      </c>
    </row>
    <row r="723" spans="1:14" s="5" customFormat="1" outlineLevel="2">
      <c r="A723" s="39" t="s">
        <v>257</v>
      </c>
      <c r="B723" s="40" t="s">
        <v>35</v>
      </c>
      <c r="C723" s="41" t="s">
        <v>260</v>
      </c>
      <c r="D723" s="40"/>
      <c r="E723" s="24"/>
      <c r="F723" s="39"/>
      <c r="G723" s="24">
        <v>184000</v>
      </c>
      <c r="H723" s="23">
        <v>5.0000000000000001E-3</v>
      </c>
      <c r="I723" s="39">
        <v>44484</v>
      </c>
      <c r="J723" s="39">
        <v>44500</v>
      </c>
      <c r="K723" s="24">
        <f t="shared" si="48"/>
        <v>17</v>
      </c>
      <c r="L723" s="24">
        <f t="shared" si="49"/>
        <v>43</v>
      </c>
      <c r="M723" s="24"/>
      <c r="N723" s="39">
        <v>46040</v>
      </c>
    </row>
    <row r="724" spans="1:14" s="5" customFormat="1" outlineLevel="2">
      <c r="A724" s="39" t="s">
        <v>257</v>
      </c>
      <c r="B724" s="40" t="s">
        <v>36</v>
      </c>
      <c r="C724" s="41" t="s">
        <v>260</v>
      </c>
      <c r="D724" s="40" t="s">
        <v>261</v>
      </c>
      <c r="E724" s="24">
        <v>1000000</v>
      </c>
      <c r="F724" s="39">
        <v>44215</v>
      </c>
      <c r="G724" s="24">
        <v>846000</v>
      </c>
      <c r="H724" s="23">
        <v>5.0000000000000001E-3</v>
      </c>
      <c r="I724" s="39">
        <v>44470</v>
      </c>
      <c r="J724" s="39">
        <v>44483</v>
      </c>
      <c r="K724" s="24">
        <f t="shared" si="48"/>
        <v>14</v>
      </c>
      <c r="L724" s="24">
        <f t="shared" si="49"/>
        <v>162</v>
      </c>
      <c r="M724" s="24">
        <v>828000</v>
      </c>
      <c r="N724" s="39">
        <v>46040</v>
      </c>
    </row>
    <row r="725" spans="1:14" s="5" customFormat="1" outlineLevel="2">
      <c r="A725" s="39" t="s">
        <v>257</v>
      </c>
      <c r="B725" s="40" t="s">
        <v>36</v>
      </c>
      <c r="C725" s="41" t="s">
        <v>260</v>
      </c>
      <c r="D725" s="40"/>
      <c r="E725" s="24"/>
      <c r="F725" s="39"/>
      <c r="G725" s="24">
        <v>828000</v>
      </c>
      <c r="H725" s="23">
        <v>5.0000000000000001E-3</v>
      </c>
      <c r="I725" s="39">
        <v>44484</v>
      </c>
      <c r="J725" s="39">
        <v>44500</v>
      </c>
      <c r="K725" s="24">
        <f t="shared" si="48"/>
        <v>17</v>
      </c>
      <c r="L725" s="24">
        <f t="shared" si="49"/>
        <v>193</v>
      </c>
      <c r="M725" s="24"/>
      <c r="N725" s="39">
        <v>46040</v>
      </c>
    </row>
    <row r="726" spans="1:14" s="5" customFormat="1" outlineLevel="2">
      <c r="A726" s="39" t="s">
        <v>257</v>
      </c>
      <c r="B726" s="40" t="s">
        <v>39</v>
      </c>
      <c r="C726" s="41" t="s">
        <v>262</v>
      </c>
      <c r="D726" s="40" t="s">
        <v>259</v>
      </c>
      <c r="E726" s="24">
        <v>70440000</v>
      </c>
      <c r="F726" s="39">
        <v>43951</v>
      </c>
      <c r="G726" s="24">
        <v>70440000</v>
      </c>
      <c r="H726" s="23">
        <v>5.0000000000000001E-3</v>
      </c>
      <c r="I726" s="39">
        <v>44470</v>
      </c>
      <c r="J726" s="39">
        <v>44500</v>
      </c>
      <c r="K726" s="24">
        <f t="shared" si="48"/>
        <v>31</v>
      </c>
      <c r="L726" s="24">
        <f t="shared" si="49"/>
        <v>29913</v>
      </c>
      <c r="M726" s="24">
        <v>70440000</v>
      </c>
      <c r="N726" s="39">
        <v>45776</v>
      </c>
    </row>
    <row r="727" spans="1:14" s="5" customFormat="1" outlineLevel="2">
      <c r="A727" s="39" t="s">
        <v>257</v>
      </c>
      <c r="B727" s="40" t="s">
        <v>40</v>
      </c>
      <c r="C727" s="41" t="s">
        <v>262</v>
      </c>
      <c r="D727" s="40" t="s">
        <v>259</v>
      </c>
      <c r="E727" s="24">
        <v>54250000</v>
      </c>
      <c r="F727" s="39">
        <v>44228</v>
      </c>
      <c r="G727" s="24">
        <v>54250000</v>
      </c>
      <c r="H727" s="23">
        <v>5.0000000000000001E-3</v>
      </c>
      <c r="I727" s="39">
        <v>44470</v>
      </c>
      <c r="J727" s="39">
        <v>44500</v>
      </c>
      <c r="K727" s="24">
        <f t="shared" si="48"/>
        <v>31</v>
      </c>
      <c r="L727" s="24">
        <f t="shared" si="49"/>
        <v>23038</v>
      </c>
      <c r="M727" s="24">
        <v>54250000</v>
      </c>
      <c r="N727" s="39">
        <v>46053</v>
      </c>
    </row>
    <row r="728" spans="1:14" s="5" customFormat="1" outlineLevel="2">
      <c r="A728" s="39" t="s">
        <v>257</v>
      </c>
      <c r="B728" s="40" t="s">
        <v>41</v>
      </c>
      <c r="C728" s="41" t="s">
        <v>304</v>
      </c>
      <c r="D728" s="40" t="s">
        <v>303</v>
      </c>
      <c r="E728" s="24">
        <v>40000000</v>
      </c>
      <c r="F728" s="39">
        <v>44229</v>
      </c>
      <c r="G728" s="24">
        <v>40000000</v>
      </c>
      <c r="H728" s="23">
        <v>5.0000000000000001E-3</v>
      </c>
      <c r="I728" s="39">
        <v>44470</v>
      </c>
      <c r="J728" s="39">
        <v>44500</v>
      </c>
      <c r="K728" s="24">
        <f t="shared" si="48"/>
        <v>31</v>
      </c>
      <c r="L728" s="24">
        <f t="shared" si="49"/>
        <v>16986</v>
      </c>
      <c r="M728" s="24">
        <v>40000000</v>
      </c>
      <c r="N728" s="39">
        <v>46054</v>
      </c>
    </row>
    <row r="729" spans="1:14" s="5" customFormat="1" outlineLevel="2">
      <c r="A729" s="39" t="s">
        <v>257</v>
      </c>
      <c r="B729" s="40" t="s">
        <v>42</v>
      </c>
      <c r="C729" s="41" t="s">
        <v>304</v>
      </c>
      <c r="D729" s="40" t="s">
        <v>303</v>
      </c>
      <c r="E729" s="24">
        <v>38000000</v>
      </c>
      <c r="F729" s="39">
        <v>44245</v>
      </c>
      <c r="G729" s="24">
        <v>38000000</v>
      </c>
      <c r="H729" s="23">
        <v>5.0000000000000001E-3</v>
      </c>
      <c r="I729" s="39">
        <v>44470</v>
      </c>
      <c r="J729" s="39">
        <v>44500</v>
      </c>
      <c r="K729" s="24">
        <f t="shared" si="48"/>
        <v>31</v>
      </c>
      <c r="L729" s="24">
        <f t="shared" si="49"/>
        <v>16137</v>
      </c>
      <c r="M729" s="24">
        <v>38000000</v>
      </c>
      <c r="N729" s="39">
        <v>46070</v>
      </c>
    </row>
    <row r="730" spans="1:14" s="5" customFormat="1" outlineLevel="2">
      <c r="A730" s="39" t="s">
        <v>257</v>
      </c>
      <c r="B730" s="40" t="s">
        <v>43</v>
      </c>
      <c r="C730" s="41" t="s">
        <v>89</v>
      </c>
      <c r="D730" s="40" t="s">
        <v>90</v>
      </c>
      <c r="E730" s="24">
        <v>66000000</v>
      </c>
      <c r="F730" s="39">
        <v>44270</v>
      </c>
      <c r="G730" s="24">
        <v>66000000</v>
      </c>
      <c r="H730" s="23">
        <v>5.0000000000000001E-3</v>
      </c>
      <c r="I730" s="39">
        <v>44470</v>
      </c>
      <c r="J730" s="39">
        <v>44500</v>
      </c>
      <c r="K730" s="24">
        <f t="shared" si="48"/>
        <v>31</v>
      </c>
      <c r="L730" s="24">
        <f t="shared" si="49"/>
        <v>28027</v>
      </c>
      <c r="M730" s="24">
        <v>66000000</v>
      </c>
      <c r="N730" s="39">
        <v>46095</v>
      </c>
    </row>
    <row r="731" spans="1:14" s="5" customFormat="1" outlineLevel="2">
      <c r="A731" s="39" t="s">
        <v>257</v>
      </c>
      <c r="B731" s="40" t="s">
        <v>44</v>
      </c>
      <c r="C731" s="41" t="s">
        <v>260</v>
      </c>
      <c r="D731" s="40" t="s">
        <v>261</v>
      </c>
      <c r="E731" s="24">
        <v>10800000</v>
      </c>
      <c r="F731" s="39">
        <v>44273</v>
      </c>
      <c r="G731" s="24">
        <v>10800000</v>
      </c>
      <c r="H731" s="23">
        <v>5.0000000000000001E-3</v>
      </c>
      <c r="I731" s="39">
        <v>44470</v>
      </c>
      <c r="J731" s="39">
        <v>44500</v>
      </c>
      <c r="K731" s="24">
        <f t="shared" si="48"/>
        <v>31</v>
      </c>
      <c r="L731" s="24">
        <f t="shared" si="49"/>
        <v>4586</v>
      </c>
      <c r="M731" s="24">
        <v>10800000</v>
      </c>
      <c r="N731" s="39">
        <v>46098</v>
      </c>
    </row>
    <row r="732" spans="1:14" s="5" customFormat="1" outlineLevel="2">
      <c r="A732" s="39" t="s">
        <v>257</v>
      </c>
      <c r="B732" s="40" t="s">
        <v>47</v>
      </c>
      <c r="C732" s="41" t="s">
        <v>260</v>
      </c>
      <c r="D732" s="40" t="s">
        <v>261</v>
      </c>
      <c r="E732" s="24">
        <v>1720000</v>
      </c>
      <c r="F732" s="39">
        <v>44285</v>
      </c>
      <c r="G732" s="24">
        <v>1720000</v>
      </c>
      <c r="H732" s="23">
        <v>5.0000000000000001E-3</v>
      </c>
      <c r="I732" s="39">
        <v>44470</v>
      </c>
      <c r="J732" s="39">
        <v>44500</v>
      </c>
      <c r="K732" s="24">
        <f t="shared" si="48"/>
        <v>31</v>
      </c>
      <c r="L732" s="24">
        <f t="shared" si="49"/>
        <v>730</v>
      </c>
      <c r="M732" s="24">
        <v>1720000</v>
      </c>
      <c r="N732" s="39">
        <v>46110</v>
      </c>
    </row>
    <row r="733" spans="1:14" s="5" customFormat="1" outlineLevel="2">
      <c r="A733" s="39" t="s">
        <v>257</v>
      </c>
      <c r="B733" s="40" t="s">
        <v>50</v>
      </c>
      <c r="C733" s="41" t="s">
        <v>324</v>
      </c>
      <c r="D733" s="40" t="s">
        <v>323</v>
      </c>
      <c r="E733" s="24">
        <v>28800000</v>
      </c>
      <c r="F733" s="39">
        <v>44271</v>
      </c>
      <c r="G733" s="24">
        <v>27360000</v>
      </c>
      <c r="H733" s="23">
        <v>5.0000000000000001E-3</v>
      </c>
      <c r="I733" s="39">
        <v>44470</v>
      </c>
      <c r="J733" s="39">
        <v>44483</v>
      </c>
      <c r="K733" s="24">
        <f t="shared" si="48"/>
        <v>14</v>
      </c>
      <c r="L733" s="24">
        <f t="shared" si="49"/>
        <v>5247</v>
      </c>
      <c r="M733" s="24">
        <v>27120000</v>
      </c>
      <c r="N733" s="39">
        <v>46096</v>
      </c>
    </row>
    <row r="734" spans="1:14" s="5" customFormat="1" outlineLevel="2">
      <c r="A734" s="39" t="s">
        <v>257</v>
      </c>
      <c r="B734" s="40" t="s">
        <v>50</v>
      </c>
      <c r="C734" s="41" t="s">
        <v>324</v>
      </c>
      <c r="D734" s="40"/>
      <c r="E734" s="24"/>
      <c r="F734" s="39"/>
      <c r="G734" s="24">
        <v>27120000</v>
      </c>
      <c r="H734" s="23">
        <v>5.0000000000000001E-3</v>
      </c>
      <c r="I734" s="39">
        <v>44484</v>
      </c>
      <c r="J734" s="39">
        <v>44500</v>
      </c>
      <c r="K734" s="24">
        <f t="shared" si="48"/>
        <v>17</v>
      </c>
      <c r="L734" s="24">
        <f t="shared" si="49"/>
        <v>6316</v>
      </c>
      <c r="M734" s="24"/>
      <c r="N734" s="39">
        <v>46096</v>
      </c>
    </row>
    <row r="735" spans="1:14" s="5" customFormat="1" outlineLevel="2">
      <c r="A735" s="39" t="s">
        <v>257</v>
      </c>
      <c r="B735" s="40" t="s">
        <v>51</v>
      </c>
      <c r="C735" s="41" t="s">
        <v>324</v>
      </c>
      <c r="D735" s="40" t="s">
        <v>323</v>
      </c>
      <c r="E735" s="24">
        <v>45270000</v>
      </c>
      <c r="F735" s="39">
        <v>44271</v>
      </c>
      <c r="G735" s="24">
        <v>43006500</v>
      </c>
      <c r="H735" s="23">
        <v>5.0000000000000001E-3</v>
      </c>
      <c r="I735" s="39">
        <v>44470</v>
      </c>
      <c r="J735" s="39">
        <v>44483</v>
      </c>
      <c r="K735" s="24">
        <f t="shared" si="48"/>
        <v>14</v>
      </c>
      <c r="L735" s="24">
        <f t="shared" si="49"/>
        <v>8248</v>
      </c>
      <c r="M735" s="24">
        <v>42629250</v>
      </c>
      <c r="N735" s="39">
        <v>46096</v>
      </c>
    </row>
    <row r="736" spans="1:14" s="5" customFormat="1" outlineLevel="2">
      <c r="A736" s="39" t="s">
        <v>257</v>
      </c>
      <c r="B736" s="40" t="s">
        <v>51</v>
      </c>
      <c r="C736" s="41" t="s">
        <v>324</v>
      </c>
      <c r="D736" s="40"/>
      <c r="E736" s="24"/>
      <c r="F736" s="39"/>
      <c r="G736" s="24">
        <v>42629250</v>
      </c>
      <c r="H736" s="23">
        <v>5.0000000000000001E-3</v>
      </c>
      <c r="I736" s="39">
        <v>44484</v>
      </c>
      <c r="J736" s="39">
        <v>44500</v>
      </c>
      <c r="K736" s="24">
        <f t="shared" si="48"/>
        <v>17</v>
      </c>
      <c r="L736" s="24">
        <f t="shared" si="49"/>
        <v>9927</v>
      </c>
      <c r="M736" s="24"/>
      <c r="N736" s="39">
        <v>46096</v>
      </c>
    </row>
    <row r="737" spans="1:14" s="5" customFormat="1" outlineLevel="2">
      <c r="A737" s="39" t="s">
        <v>257</v>
      </c>
      <c r="B737" s="40" t="s">
        <v>52</v>
      </c>
      <c r="C737" s="41" t="s">
        <v>324</v>
      </c>
      <c r="D737" s="40" t="s">
        <v>323</v>
      </c>
      <c r="E737" s="24">
        <v>32000000</v>
      </c>
      <c r="F737" s="39">
        <v>44271</v>
      </c>
      <c r="G737" s="24">
        <v>29714288</v>
      </c>
      <c r="H737" s="23">
        <v>5.0000000000000001E-3</v>
      </c>
      <c r="I737" s="39">
        <v>44470</v>
      </c>
      <c r="J737" s="39">
        <v>44483</v>
      </c>
      <c r="K737" s="24">
        <f t="shared" si="48"/>
        <v>14</v>
      </c>
      <c r="L737" s="24">
        <f t="shared" si="49"/>
        <v>5699</v>
      </c>
      <c r="M737" s="24">
        <v>29333336</v>
      </c>
      <c r="N737" s="39">
        <v>46096</v>
      </c>
    </row>
    <row r="738" spans="1:14" s="5" customFormat="1" outlineLevel="2">
      <c r="A738" s="39" t="s">
        <v>257</v>
      </c>
      <c r="B738" s="40" t="s">
        <v>52</v>
      </c>
      <c r="C738" s="41" t="s">
        <v>324</v>
      </c>
      <c r="D738" s="40"/>
      <c r="E738" s="24"/>
      <c r="F738" s="39"/>
      <c r="G738" s="24">
        <v>29333336</v>
      </c>
      <c r="H738" s="23">
        <v>5.0000000000000001E-3</v>
      </c>
      <c r="I738" s="39">
        <v>44484</v>
      </c>
      <c r="J738" s="39">
        <v>44500</v>
      </c>
      <c r="K738" s="24">
        <f t="shared" si="48"/>
        <v>17</v>
      </c>
      <c r="L738" s="24">
        <f t="shared" si="49"/>
        <v>6831</v>
      </c>
      <c r="M738" s="24"/>
      <c r="N738" s="39">
        <v>46096</v>
      </c>
    </row>
    <row r="739" spans="1:14" s="5" customFormat="1" outlineLevel="2">
      <c r="A739" s="39" t="s">
        <v>257</v>
      </c>
      <c r="B739" s="40" t="s">
        <v>53</v>
      </c>
      <c r="C739" s="41" t="s">
        <v>262</v>
      </c>
      <c r="D739" s="40" t="s">
        <v>259</v>
      </c>
      <c r="E739" s="24">
        <v>21700000</v>
      </c>
      <c r="F739" s="39">
        <v>44287</v>
      </c>
      <c r="G739" s="24">
        <v>21700000</v>
      </c>
      <c r="H739" s="23">
        <v>5.0000000000000001E-3</v>
      </c>
      <c r="I739" s="39">
        <v>44470</v>
      </c>
      <c r="J739" s="39">
        <v>44500</v>
      </c>
      <c r="K739" s="24">
        <f t="shared" si="48"/>
        <v>31</v>
      </c>
      <c r="L739" s="24">
        <f t="shared" si="49"/>
        <v>9215</v>
      </c>
      <c r="M739" s="24">
        <v>21700000</v>
      </c>
      <c r="N739" s="39">
        <v>46112</v>
      </c>
    </row>
    <row r="740" spans="1:14" s="5" customFormat="1" outlineLevel="2">
      <c r="A740" s="39" t="s">
        <v>257</v>
      </c>
      <c r="B740" s="40" t="s">
        <v>54</v>
      </c>
      <c r="C740" s="41" t="s">
        <v>248</v>
      </c>
      <c r="D740" s="40" t="s">
        <v>249</v>
      </c>
      <c r="E740" s="24">
        <v>182300000</v>
      </c>
      <c r="F740" s="39">
        <v>43959</v>
      </c>
      <c r="G740" s="24">
        <v>169510000</v>
      </c>
      <c r="H740" s="23">
        <v>5.0000000000000001E-3</v>
      </c>
      <c r="I740" s="39">
        <v>44470</v>
      </c>
      <c r="J740" s="39">
        <v>44483</v>
      </c>
      <c r="K740" s="24">
        <f t="shared" si="48"/>
        <v>14</v>
      </c>
      <c r="L740" s="24">
        <f t="shared" si="49"/>
        <v>32509</v>
      </c>
      <c r="M740" s="24">
        <v>166980000</v>
      </c>
      <c r="N740" s="39">
        <v>45784</v>
      </c>
    </row>
    <row r="741" spans="1:14" s="5" customFormat="1" outlineLevel="2">
      <c r="A741" s="39" t="s">
        <v>257</v>
      </c>
      <c r="B741" s="40" t="s">
        <v>54</v>
      </c>
      <c r="C741" s="41" t="s">
        <v>248</v>
      </c>
      <c r="D741" s="40"/>
      <c r="E741" s="24"/>
      <c r="F741" s="39"/>
      <c r="G741" s="24">
        <v>166980000</v>
      </c>
      <c r="H741" s="23">
        <v>5.0000000000000001E-3</v>
      </c>
      <c r="I741" s="39">
        <v>44484</v>
      </c>
      <c r="J741" s="39">
        <v>44500</v>
      </c>
      <c r="K741" s="24">
        <f t="shared" ref="K741:K772" si="50">J741-I741+1</f>
        <v>17</v>
      </c>
      <c r="L741" s="24">
        <f t="shared" ref="L741:L772" si="51">ROUND(G741*H741*K741/365,0)</f>
        <v>38886</v>
      </c>
      <c r="M741" s="24"/>
      <c r="N741" s="39">
        <v>45784</v>
      </c>
    </row>
    <row r="742" spans="1:14" s="5" customFormat="1" outlineLevel="2">
      <c r="A742" s="39" t="s">
        <v>257</v>
      </c>
      <c r="B742" s="40" t="s">
        <v>57</v>
      </c>
      <c r="C742" s="41" t="s">
        <v>260</v>
      </c>
      <c r="D742" s="40" t="s">
        <v>261</v>
      </c>
      <c r="E742" s="24">
        <v>20900000</v>
      </c>
      <c r="F742" s="39">
        <v>44300</v>
      </c>
      <c r="G742" s="24">
        <v>18330000</v>
      </c>
      <c r="H742" s="23">
        <v>5.0000000000000001E-3</v>
      </c>
      <c r="I742" s="39">
        <v>44470</v>
      </c>
      <c r="J742" s="39">
        <v>44483</v>
      </c>
      <c r="K742" s="24">
        <f t="shared" si="50"/>
        <v>14</v>
      </c>
      <c r="L742" s="24">
        <f t="shared" si="51"/>
        <v>3515</v>
      </c>
      <c r="M742" s="24">
        <v>17940000</v>
      </c>
      <c r="N742" s="39">
        <v>46125</v>
      </c>
    </row>
    <row r="743" spans="1:14" s="5" customFormat="1" outlineLevel="2">
      <c r="A743" s="39" t="s">
        <v>257</v>
      </c>
      <c r="B743" s="40" t="s">
        <v>57</v>
      </c>
      <c r="C743" s="41" t="s">
        <v>260</v>
      </c>
      <c r="D743" s="40"/>
      <c r="E743" s="24"/>
      <c r="F743" s="39"/>
      <c r="G743" s="24">
        <v>17940000</v>
      </c>
      <c r="H743" s="23">
        <v>5.0000000000000001E-3</v>
      </c>
      <c r="I743" s="39">
        <v>44484</v>
      </c>
      <c r="J743" s="39">
        <v>44500</v>
      </c>
      <c r="K743" s="24">
        <f t="shared" si="50"/>
        <v>17</v>
      </c>
      <c r="L743" s="24">
        <f t="shared" si="51"/>
        <v>4178</v>
      </c>
      <c r="M743" s="24"/>
      <c r="N743" s="39">
        <v>46125</v>
      </c>
    </row>
    <row r="744" spans="1:14" s="5" customFormat="1" outlineLevel="2">
      <c r="A744" s="39" t="s">
        <v>257</v>
      </c>
      <c r="B744" s="40" t="s">
        <v>58</v>
      </c>
      <c r="C744" s="41" t="s">
        <v>262</v>
      </c>
      <c r="D744" s="40" t="s">
        <v>259</v>
      </c>
      <c r="E744" s="24">
        <v>21700000</v>
      </c>
      <c r="F744" s="39">
        <v>44319</v>
      </c>
      <c r="G744" s="24">
        <v>21700000</v>
      </c>
      <c r="H744" s="23">
        <v>5.0000000000000001E-3</v>
      </c>
      <c r="I744" s="39">
        <v>44470</v>
      </c>
      <c r="J744" s="39">
        <v>44500</v>
      </c>
      <c r="K744" s="24">
        <f t="shared" si="50"/>
        <v>31</v>
      </c>
      <c r="L744" s="24">
        <f t="shared" si="51"/>
        <v>9215</v>
      </c>
      <c r="M744" s="24">
        <v>21700000</v>
      </c>
      <c r="N744" s="39">
        <v>46144</v>
      </c>
    </row>
    <row r="745" spans="1:14" s="5" customFormat="1" outlineLevel="2">
      <c r="A745" s="39" t="s">
        <v>257</v>
      </c>
      <c r="B745" s="40" t="s">
        <v>99</v>
      </c>
      <c r="C745" s="41" t="s">
        <v>262</v>
      </c>
      <c r="D745" s="40" t="s">
        <v>259</v>
      </c>
      <c r="E745" s="24">
        <v>21700000</v>
      </c>
      <c r="F745" s="39">
        <v>44333</v>
      </c>
      <c r="G745" s="24">
        <v>21700000</v>
      </c>
      <c r="H745" s="23">
        <v>5.0000000000000001E-3</v>
      </c>
      <c r="I745" s="39">
        <v>44470</v>
      </c>
      <c r="J745" s="39">
        <v>44500</v>
      </c>
      <c r="K745" s="24">
        <f t="shared" si="50"/>
        <v>31</v>
      </c>
      <c r="L745" s="24">
        <f t="shared" si="51"/>
        <v>9215</v>
      </c>
      <c r="M745" s="24">
        <v>21700000</v>
      </c>
      <c r="N745" s="39">
        <v>46158</v>
      </c>
    </row>
    <row r="746" spans="1:14" s="5" customFormat="1" outlineLevel="2">
      <c r="A746" s="39" t="s">
        <v>257</v>
      </c>
      <c r="B746" s="40" t="s">
        <v>100</v>
      </c>
      <c r="C746" s="41" t="s">
        <v>260</v>
      </c>
      <c r="D746" s="40" t="s">
        <v>261</v>
      </c>
      <c r="E746" s="24">
        <v>12860000</v>
      </c>
      <c r="F746" s="39">
        <v>44326</v>
      </c>
      <c r="G746" s="24">
        <v>11609000</v>
      </c>
      <c r="H746" s="23">
        <v>5.0000000000000001E-3</v>
      </c>
      <c r="I746" s="39">
        <v>44470</v>
      </c>
      <c r="J746" s="39">
        <v>44483</v>
      </c>
      <c r="K746" s="24">
        <f t="shared" si="50"/>
        <v>14</v>
      </c>
      <c r="L746" s="24">
        <f t="shared" si="51"/>
        <v>2226</v>
      </c>
      <c r="M746" s="24">
        <v>11362000</v>
      </c>
      <c r="N746" s="39">
        <v>46151</v>
      </c>
    </row>
    <row r="747" spans="1:14" s="5" customFormat="1" outlineLevel="2">
      <c r="A747" s="39" t="s">
        <v>257</v>
      </c>
      <c r="B747" s="40" t="s">
        <v>100</v>
      </c>
      <c r="C747" s="41" t="s">
        <v>260</v>
      </c>
      <c r="D747" s="40"/>
      <c r="E747" s="24"/>
      <c r="F747" s="39"/>
      <c r="G747" s="24">
        <v>11362000</v>
      </c>
      <c r="H747" s="23">
        <v>5.0000000000000001E-3</v>
      </c>
      <c r="I747" s="39">
        <v>44484</v>
      </c>
      <c r="J747" s="39">
        <v>44500</v>
      </c>
      <c r="K747" s="24">
        <f t="shared" si="50"/>
        <v>17</v>
      </c>
      <c r="L747" s="24">
        <f t="shared" si="51"/>
        <v>2646</v>
      </c>
      <c r="M747" s="24"/>
      <c r="N747" s="39">
        <v>46151</v>
      </c>
    </row>
    <row r="748" spans="1:14" s="5" customFormat="1" outlineLevel="2">
      <c r="A748" s="39" t="s">
        <v>257</v>
      </c>
      <c r="B748" s="40" t="s">
        <v>101</v>
      </c>
      <c r="C748" s="41" t="s">
        <v>304</v>
      </c>
      <c r="D748" s="40" t="s">
        <v>303</v>
      </c>
      <c r="E748" s="24">
        <v>37500000</v>
      </c>
      <c r="F748" s="39">
        <v>44377</v>
      </c>
      <c r="G748" s="24">
        <v>37500000</v>
      </c>
      <c r="H748" s="23">
        <v>5.0000000000000001E-3</v>
      </c>
      <c r="I748" s="39">
        <v>44470</v>
      </c>
      <c r="J748" s="39">
        <v>44500</v>
      </c>
      <c r="K748" s="24">
        <f t="shared" si="50"/>
        <v>31</v>
      </c>
      <c r="L748" s="24">
        <f t="shared" si="51"/>
        <v>15925</v>
      </c>
      <c r="M748" s="24">
        <v>37500000</v>
      </c>
      <c r="N748" s="39">
        <v>46202</v>
      </c>
    </row>
    <row r="749" spans="1:14" s="5" customFormat="1" outlineLevel="2">
      <c r="A749" s="39" t="s">
        <v>257</v>
      </c>
      <c r="B749" s="40" t="s">
        <v>102</v>
      </c>
      <c r="C749" s="41" t="s">
        <v>260</v>
      </c>
      <c r="D749" s="40" t="s">
        <v>261</v>
      </c>
      <c r="E749" s="24">
        <v>3350000</v>
      </c>
      <c r="F749" s="39">
        <v>44355</v>
      </c>
      <c r="G749" s="24">
        <v>3055000</v>
      </c>
      <c r="H749" s="23">
        <v>5.0000000000000001E-3</v>
      </c>
      <c r="I749" s="39">
        <v>44470</v>
      </c>
      <c r="J749" s="39">
        <v>44483</v>
      </c>
      <c r="K749" s="24">
        <f t="shared" si="50"/>
        <v>14</v>
      </c>
      <c r="L749" s="24">
        <f t="shared" si="51"/>
        <v>586</v>
      </c>
      <c r="M749" s="24">
        <v>2990000</v>
      </c>
      <c r="N749" s="39">
        <v>46180</v>
      </c>
    </row>
    <row r="750" spans="1:14" s="5" customFormat="1" outlineLevel="2">
      <c r="A750" s="39" t="s">
        <v>257</v>
      </c>
      <c r="B750" s="40" t="s">
        <v>102</v>
      </c>
      <c r="C750" s="41" t="s">
        <v>260</v>
      </c>
      <c r="D750" s="40"/>
      <c r="E750" s="24"/>
      <c r="F750" s="39"/>
      <c r="G750" s="24">
        <v>2990000</v>
      </c>
      <c r="H750" s="23">
        <v>5.0000000000000001E-3</v>
      </c>
      <c r="I750" s="39">
        <v>44484</v>
      </c>
      <c r="J750" s="39">
        <v>44500</v>
      </c>
      <c r="K750" s="24">
        <f t="shared" si="50"/>
        <v>17</v>
      </c>
      <c r="L750" s="24">
        <f t="shared" si="51"/>
        <v>696</v>
      </c>
      <c r="M750" s="24"/>
      <c r="N750" s="39">
        <v>46180</v>
      </c>
    </row>
    <row r="751" spans="1:14" s="5" customFormat="1" outlineLevel="2">
      <c r="A751" s="39" t="s">
        <v>257</v>
      </c>
      <c r="B751" s="40" t="s">
        <v>103</v>
      </c>
      <c r="C751" s="41" t="s">
        <v>262</v>
      </c>
      <c r="D751" s="40" t="s">
        <v>259</v>
      </c>
      <c r="E751" s="24">
        <v>680000</v>
      </c>
      <c r="F751" s="39">
        <v>44364</v>
      </c>
      <c r="G751" s="24">
        <v>680000</v>
      </c>
      <c r="H751" s="23">
        <v>5.0000000000000001E-3</v>
      </c>
      <c r="I751" s="39">
        <v>44470</v>
      </c>
      <c r="J751" s="39">
        <v>44500</v>
      </c>
      <c r="K751" s="24">
        <f t="shared" si="50"/>
        <v>31</v>
      </c>
      <c r="L751" s="24">
        <f t="shared" si="51"/>
        <v>289</v>
      </c>
      <c r="M751" s="24">
        <v>680000</v>
      </c>
      <c r="N751" s="39">
        <v>46189</v>
      </c>
    </row>
    <row r="752" spans="1:14" s="5" customFormat="1" outlineLevel="2">
      <c r="A752" s="39" t="s">
        <v>257</v>
      </c>
      <c r="B752" s="40" t="s">
        <v>104</v>
      </c>
      <c r="C752" s="41" t="s">
        <v>262</v>
      </c>
      <c r="D752" s="40" t="s">
        <v>259</v>
      </c>
      <c r="E752" s="24">
        <v>18080000</v>
      </c>
      <c r="F752" s="39">
        <v>44364</v>
      </c>
      <c r="G752" s="24">
        <v>18080000</v>
      </c>
      <c r="H752" s="23">
        <v>5.0000000000000001E-3</v>
      </c>
      <c r="I752" s="39">
        <v>44470</v>
      </c>
      <c r="J752" s="39">
        <v>44500</v>
      </c>
      <c r="K752" s="24">
        <f t="shared" si="50"/>
        <v>31</v>
      </c>
      <c r="L752" s="24">
        <f t="shared" si="51"/>
        <v>7678</v>
      </c>
      <c r="M752" s="24">
        <v>18080000</v>
      </c>
      <c r="N752" s="39">
        <v>46189</v>
      </c>
    </row>
    <row r="753" spans="1:14" s="5" customFormat="1" outlineLevel="2">
      <c r="A753" s="39" t="s">
        <v>257</v>
      </c>
      <c r="B753" s="40" t="s">
        <v>105</v>
      </c>
      <c r="C753" s="41" t="s">
        <v>262</v>
      </c>
      <c r="D753" s="40" t="s">
        <v>259</v>
      </c>
      <c r="E753" s="24">
        <v>5790000</v>
      </c>
      <c r="F753" s="39">
        <v>44364</v>
      </c>
      <c r="G753" s="24">
        <v>5790000</v>
      </c>
      <c r="H753" s="23">
        <v>5.0000000000000001E-3</v>
      </c>
      <c r="I753" s="39">
        <v>44470</v>
      </c>
      <c r="J753" s="39">
        <v>44500</v>
      </c>
      <c r="K753" s="24">
        <f t="shared" si="50"/>
        <v>31</v>
      </c>
      <c r="L753" s="24">
        <f t="shared" si="51"/>
        <v>2459</v>
      </c>
      <c r="M753" s="24">
        <v>5790000</v>
      </c>
      <c r="N753" s="39">
        <v>46189</v>
      </c>
    </row>
    <row r="754" spans="1:14" s="5" customFormat="1" outlineLevel="2">
      <c r="A754" s="39" t="s">
        <v>257</v>
      </c>
      <c r="B754" s="40" t="s">
        <v>106</v>
      </c>
      <c r="C754" s="41" t="s">
        <v>248</v>
      </c>
      <c r="D754" s="40" t="s">
        <v>249</v>
      </c>
      <c r="E754" s="24">
        <v>120000000</v>
      </c>
      <c r="F754" s="39">
        <v>44399</v>
      </c>
      <c r="G754" s="24">
        <v>117096000</v>
      </c>
      <c r="H754" s="23">
        <v>5.0000000000000001E-3</v>
      </c>
      <c r="I754" s="39">
        <v>44470</v>
      </c>
      <c r="J754" s="39">
        <v>44483</v>
      </c>
      <c r="K754" s="24">
        <f t="shared" si="50"/>
        <v>14</v>
      </c>
      <c r="L754" s="24">
        <f t="shared" si="51"/>
        <v>22457</v>
      </c>
      <c r="M754" s="24">
        <v>115668000</v>
      </c>
      <c r="N754" s="39">
        <v>46224</v>
      </c>
    </row>
    <row r="755" spans="1:14" s="5" customFormat="1" outlineLevel="2">
      <c r="A755" s="39" t="s">
        <v>257</v>
      </c>
      <c r="B755" s="40" t="s">
        <v>106</v>
      </c>
      <c r="C755" s="41" t="s">
        <v>248</v>
      </c>
      <c r="D755" s="40"/>
      <c r="E755" s="24"/>
      <c r="F755" s="39"/>
      <c r="G755" s="24">
        <v>115668000</v>
      </c>
      <c r="H755" s="23">
        <v>5.0000000000000001E-3</v>
      </c>
      <c r="I755" s="39">
        <v>44484</v>
      </c>
      <c r="J755" s="39">
        <v>44500</v>
      </c>
      <c r="K755" s="24">
        <f t="shared" si="50"/>
        <v>17</v>
      </c>
      <c r="L755" s="24">
        <f t="shared" si="51"/>
        <v>26936</v>
      </c>
      <c r="M755" s="24"/>
      <c r="N755" s="39">
        <v>46224</v>
      </c>
    </row>
    <row r="756" spans="1:14" s="5" customFormat="1" outlineLevel="2">
      <c r="A756" s="39" t="s">
        <v>257</v>
      </c>
      <c r="B756" s="40" t="s">
        <v>59</v>
      </c>
      <c r="C756" s="41" t="s">
        <v>260</v>
      </c>
      <c r="D756" s="40" t="s">
        <v>261</v>
      </c>
      <c r="E756" s="24">
        <v>610000</v>
      </c>
      <c r="F756" s="39">
        <v>44085</v>
      </c>
      <c r="G756" s="24">
        <v>470000</v>
      </c>
      <c r="H756" s="23">
        <v>5.0000000000000001E-3</v>
      </c>
      <c r="I756" s="39">
        <v>44470</v>
      </c>
      <c r="J756" s="39">
        <v>44483</v>
      </c>
      <c r="K756" s="24">
        <f t="shared" si="50"/>
        <v>14</v>
      </c>
      <c r="L756" s="24">
        <f t="shared" si="51"/>
        <v>90</v>
      </c>
      <c r="M756" s="24">
        <v>460000</v>
      </c>
      <c r="N756" s="39">
        <v>45910</v>
      </c>
    </row>
    <row r="757" spans="1:14" s="5" customFormat="1" outlineLevel="2">
      <c r="A757" s="39" t="s">
        <v>257</v>
      </c>
      <c r="B757" s="40" t="s">
        <v>59</v>
      </c>
      <c r="C757" s="41" t="s">
        <v>260</v>
      </c>
      <c r="D757" s="40"/>
      <c r="E757" s="24"/>
      <c r="F757" s="39"/>
      <c r="G757" s="24">
        <v>460000</v>
      </c>
      <c r="H757" s="23">
        <v>5.0000000000000001E-3</v>
      </c>
      <c r="I757" s="39">
        <v>44484</v>
      </c>
      <c r="J757" s="39">
        <v>44500</v>
      </c>
      <c r="K757" s="24">
        <f t="shared" si="50"/>
        <v>17</v>
      </c>
      <c r="L757" s="24">
        <f t="shared" si="51"/>
        <v>107</v>
      </c>
      <c r="M757" s="24"/>
      <c r="N757" s="39">
        <v>45910</v>
      </c>
    </row>
    <row r="758" spans="1:14" s="5" customFormat="1" outlineLevel="2">
      <c r="A758" s="39" t="s">
        <v>257</v>
      </c>
      <c r="B758" s="40" t="s">
        <v>136</v>
      </c>
      <c r="C758" s="41" t="s">
        <v>262</v>
      </c>
      <c r="D758" s="40" t="s">
        <v>259</v>
      </c>
      <c r="E758" s="24">
        <v>39000000</v>
      </c>
      <c r="F758" s="39">
        <v>44425</v>
      </c>
      <c r="G758" s="24">
        <v>38350000</v>
      </c>
      <c r="H758" s="23">
        <v>5.0000000000000001E-3</v>
      </c>
      <c r="I758" s="39">
        <v>44470</v>
      </c>
      <c r="J758" s="39">
        <v>44483</v>
      </c>
      <c r="K758" s="24">
        <f t="shared" si="50"/>
        <v>14</v>
      </c>
      <c r="L758" s="24">
        <f t="shared" si="51"/>
        <v>7355</v>
      </c>
      <c r="M758" s="24">
        <v>37700000</v>
      </c>
      <c r="N758" s="39">
        <v>46250</v>
      </c>
    </row>
    <row r="759" spans="1:14" s="5" customFormat="1" outlineLevel="2">
      <c r="A759" s="39" t="s">
        <v>257</v>
      </c>
      <c r="B759" s="40" t="s">
        <v>136</v>
      </c>
      <c r="C759" s="41" t="s">
        <v>262</v>
      </c>
      <c r="D759" s="40"/>
      <c r="E759" s="24"/>
      <c r="F759" s="39"/>
      <c r="G759" s="24">
        <v>37700000</v>
      </c>
      <c r="H759" s="23">
        <v>5.0000000000000001E-3</v>
      </c>
      <c r="I759" s="39">
        <v>44484</v>
      </c>
      <c r="J759" s="39">
        <v>44500</v>
      </c>
      <c r="K759" s="24">
        <f t="shared" si="50"/>
        <v>17</v>
      </c>
      <c r="L759" s="24">
        <f t="shared" si="51"/>
        <v>8779</v>
      </c>
      <c r="M759" s="24"/>
      <c r="N759" s="39">
        <v>46250</v>
      </c>
    </row>
    <row r="760" spans="1:14" s="5" customFormat="1" outlineLevel="2">
      <c r="A760" s="39" t="s">
        <v>257</v>
      </c>
      <c r="B760" s="40" t="s">
        <v>137</v>
      </c>
      <c r="C760" s="41" t="s">
        <v>262</v>
      </c>
      <c r="D760" s="40" t="s">
        <v>259</v>
      </c>
      <c r="E760" s="24">
        <v>18080000</v>
      </c>
      <c r="F760" s="39">
        <v>44425</v>
      </c>
      <c r="G760" s="24">
        <v>18080000</v>
      </c>
      <c r="H760" s="23">
        <v>5.0000000000000001E-3</v>
      </c>
      <c r="I760" s="39">
        <v>44470</v>
      </c>
      <c r="J760" s="39">
        <v>44500</v>
      </c>
      <c r="K760" s="24">
        <f t="shared" si="50"/>
        <v>31</v>
      </c>
      <c r="L760" s="24">
        <f t="shared" si="51"/>
        <v>7678</v>
      </c>
      <c r="M760" s="24">
        <v>18080000</v>
      </c>
      <c r="N760" s="39">
        <v>46250</v>
      </c>
    </row>
    <row r="761" spans="1:14" s="5" customFormat="1" outlineLevel="2">
      <c r="A761" s="39" t="s">
        <v>257</v>
      </c>
      <c r="B761" s="40" t="s">
        <v>138</v>
      </c>
      <c r="C761" s="41" t="s">
        <v>398</v>
      </c>
      <c r="D761" s="40" t="s">
        <v>397</v>
      </c>
      <c r="E761" s="24">
        <v>2920000</v>
      </c>
      <c r="F761" s="39">
        <v>44439</v>
      </c>
      <c r="G761" s="24">
        <v>2895667</v>
      </c>
      <c r="H761" s="23">
        <v>5.0000000000000001E-3</v>
      </c>
      <c r="I761" s="39">
        <v>44470</v>
      </c>
      <c r="J761" s="39">
        <v>44483</v>
      </c>
      <c r="K761" s="24">
        <f t="shared" si="50"/>
        <v>14</v>
      </c>
      <c r="L761" s="24">
        <f t="shared" si="51"/>
        <v>555</v>
      </c>
      <c r="M761" s="24">
        <v>2871334</v>
      </c>
      <c r="N761" s="39">
        <v>46264</v>
      </c>
    </row>
    <row r="762" spans="1:14" s="5" customFormat="1" outlineLevel="2">
      <c r="A762" s="39" t="s">
        <v>257</v>
      </c>
      <c r="B762" s="40" t="s">
        <v>138</v>
      </c>
      <c r="C762" s="41" t="s">
        <v>398</v>
      </c>
      <c r="D762" s="40"/>
      <c r="E762" s="24"/>
      <c r="F762" s="39"/>
      <c r="G762" s="24">
        <v>2871334</v>
      </c>
      <c r="H762" s="23">
        <v>5.0000000000000001E-3</v>
      </c>
      <c r="I762" s="39">
        <v>44484</v>
      </c>
      <c r="J762" s="39">
        <v>44500</v>
      </c>
      <c r="K762" s="24">
        <f t="shared" si="50"/>
        <v>17</v>
      </c>
      <c r="L762" s="24">
        <f t="shared" si="51"/>
        <v>669</v>
      </c>
      <c r="M762" s="24"/>
      <c r="N762" s="39">
        <v>46264</v>
      </c>
    </row>
    <row r="763" spans="1:14" s="5" customFormat="1" outlineLevel="2">
      <c r="A763" s="39" t="s">
        <v>257</v>
      </c>
      <c r="B763" s="40" t="s">
        <v>139</v>
      </c>
      <c r="C763" s="41" t="s">
        <v>398</v>
      </c>
      <c r="D763" s="40" t="s">
        <v>397</v>
      </c>
      <c r="E763" s="24">
        <v>4770000</v>
      </c>
      <c r="F763" s="39">
        <v>44439</v>
      </c>
      <c r="G763" s="24">
        <v>4713214</v>
      </c>
      <c r="H763" s="23">
        <v>5.0000000000000001E-3</v>
      </c>
      <c r="I763" s="39">
        <v>44470</v>
      </c>
      <c r="J763" s="39">
        <v>44483</v>
      </c>
      <c r="K763" s="24">
        <f t="shared" si="50"/>
        <v>14</v>
      </c>
      <c r="L763" s="24">
        <f t="shared" si="51"/>
        <v>904</v>
      </c>
      <c r="M763" s="24">
        <v>4656428</v>
      </c>
      <c r="N763" s="39">
        <v>46264</v>
      </c>
    </row>
    <row r="764" spans="1:14" s="5" customFormat="1" outlineLevel="2">
      <c r="A764" s="39" t="s">
        <v>257</v>
      </c>
      <c r="B764" s="40" t="s">
        <v>139</v>
      </c>
      <c r="C764" s="41" t="s">
        <v>398</v>
      </c>
      <c r="D764" s="40"/>
      <c r="E764" s="24"/>
      <c r="F764" s="39"/>
      <c r="G764" s="24">
        <v>4656428</v>
      </c>
      <c r="H764" s="23">
        <v>5.0000000000000001E-3</v>
      </c>
      <c r="I764" s="39">
        <v>44484</v>
      </c>
      <c r="J764" s="39">
        <v>44500</v>
      </c>
      <c r="K764" s="24">
        <f t="shared" si="50"/>
        <v>17</v>
      </c>
      <c r="L764" s="24">
        <f t="shared" si="51"/>
        <v>1084</v>
      </c>
      <c r="M764" s="24"/>
      <c r="N764" s="39">
        <v>46264</v>
      </c>
    </row>
    <row r="765" spans="1:14" s="5" customFormat="1" outlineLevel="2">
      <c r="A765" s="39" t="s">
        <v>257</v>
      </c>
      <c r="B765" s="40" t="s">
        <v>140</v>
      </c>
      <c r="C765" s="41" t="s">
        <v>260</v>
      </c>
      <c r="D765" s="40" t="s">
        <v>261</v>
      </c>
      <c r="E765" s="24">
        <v>1930000</v>
      </c>
      <c r="F765" s="39">
        <v>44427</v>
      </c>
      <c r="G765" s="24">
        <v>1930000</v>
      </c>
      <c r="H765" s="23">
        <v>5.0000000000000001E-3</v>
      </c>
      <c r="I765" s="39">
        <v>44470</v>
      </c>
      <c r="J765" s="39">
        <v>44500</v>
      </c>
      <c r="K765" s="24">
        <f t="shared" si="50"/>
        <v>31</v>
      </c>
      <c r="L765" s="24">
        <f t="shared" si="51"/>
        <v>820</v>
      </c>
      <c r="M765" s="24">
        <v>1930000</v>
      </c>
      <c r="N765" s="39">
        <v>46252</v>
      </c>
    </row>
    <row r="766" spans="1:14" s="5" customFormat="1" outlineLevel="2">
      <c r="A766" s="39" t="s">
        <v>257</v>
      </c>
      <c r="B766" s="40" t="s">
        <v>169</v>
      </c>
      <c r="C766" s="41" t="s">
        <v>262</v>
      </c>
      <c r="D766" s="40" t="s">
        <v>259</v>
      </c>
      <c r="E766" s="24">
        <v>4800000</v>
      </c>
      <c r="F766" s="39">
        <v>44454</v>
      </c>
      <c r="G766" s="24">
        <v>4800000</v>
      </c>
      <c r="H766" s="23">
        <v>5.0000000000000001E-3</v>
      </c>
      <c r="I766" s="39">
        <v>44470</v>
      </c>
      <c r="J766" s="39">
        <v>44500</v>
      </c>
      <c r="K766" s="24">
        <f t="shared" si="50"/>
        <v>31</v>
      </c>
      <c r="L766" s="24">
        <f t="shared" si="51"/>
        <v>2038</v>
      </c>
      <c r="M766" s="24">
        <v>4800000</v>
      </c>
      <c r="N766" s="39">
        <v>46279</v>
      </c>
    </row>
    <row r="767" spans="1:14" s="5" customFormat="1" outlineLevel="2">
      <c r="A767" s="39" t="s">
        <v>257</v>
      </c>
      <c r="B767" s="40" t="s">
        <v>170</v>
      </c>
      <c r="C767" s="41" t="s">
        <v>262</v>
      </c>
      <c r="D767" s="40" t="s">
        <v>259</v>
      </c>
      <c r="E767" s="24">
        <v>1200000</v>
      </c>
      <c r="F767" s="39">
        <v>44454</v>
      </c>
      <c r="G767" s="24">
        <v>1200000</v>
      </c>
      <c r="H767" s="23">
        <v>5.0000000000000001E-3</v>
      </c>
      <c r="I767" s="39">
        <v>44470</v>
      </c>
      <c r="J767" s="39">
        <v>44483</v>
      </c>
      <c r="K767" s="24">
        <f t="shared" si="50"/>
        <v>14</v>
      </c>
      <c r="L767" s="24">
        <f t="shared" si="51"/>
        <v>230</v>
      </c>
      <c r="M767" s="24">
        <v>1155000</v>
      </c>
      <c r="N767" s="39">
        <v>45549</v>
      </c>
    </row>
    <row r="768" spans="1:14" s="5" customFormat="1" outlineLevel="2">
      <c r="A768" s="39" t="s">
        <v>257</v>
      </c>
      <c r="B768" s="40" t="s">
        <v>170</v>
      </c>
      <c r="C768" s="41" t="s">
        <v>262</v>
      </c>
      <c r="D768" s="40"/>
      <c r="E768" s="24"/>
      <c r="F768" s="39"/>
      <c r="G768" s="24">
        <v>1155000</v>
      </c>
      <c r="H768" s="23">
        <v>5.0000000000000001E-3</v>
      </c>
      <c r="I768" s="39">
        <v>44484</v>
      </c>
      <c r="J768" s="39">
        <v>44500</v>
      </c>
      <c r="K768" s="24">
        <f t="shared" si="50"/>
        <v>17</v>
      </c>
      <c r="L768" s="24">
        <f t="shared" si="51"/>
        <v>269</v>
      </c>
      <c r="M768" s="24"/>
      <c r="N768" s="39">
        <v>45549</v>
      </c>
    </row>
    <row r="769" spans="1:14" s="5" customFormat="1" outlineLevel="2">
      <c r="A769" s="39" t="s">
        <v>257</v>
      </c>
      <c r="B769" s="40" t="s">
        <v>171</v>
      </c>
      <c r="C769" s="41" t="s">
        <v>262</v>
      </c>
      <c r="D769" s="40" t="s">
        <v>259</v>
      </c>
      <c r="E769" s="24">
        <v>10700000</v>
      </c>
      <c r="F769" s="39">
        <v>44454</v>
      </c>
      <c r="G769" s="24">
        <v>10700000</v>
      </c>
      <c r="H769" s="23">
        <v>5.0000000000000001E-3</v>
      </c>
      <c r="I769" s="39">
        <v>44470</v>
      </c>
      <c r="J769" s="39">
        <v>44500</v>
      </c>
      <c r="K769" s="24">
        <f t="shared" si="50"/>
        <v>31</v>
      </c>
      <c r="L769" s="24">
        <f t="shared" si="51"/>
        <v>4544</v>
      </c>
      <c r="M769" s="24">
        <v>10700000</v>
      </c>
      <c r="N769" s="39">
        <v>46279</v>
      </c>
    </row>
    <row r="770" spans="1:14" s="5" customFormat="1" outlineLevel="2">
      <c r="A770" s="39" t="s">
        <v>257</v>
      </c>
      <c r="B770" s="40" t="s">
        <v>172</v>
      </c>
      <c r="C770" s="41" t="s">
        <v>262</v>
      </c>
      <c r="D770" s="40" t="s">
        <v>259</v>
      </c>
      <c r="E770" s="24">
        <v>14460000</v>
      </c>
      <c r="F770" s="39">
        <v>44456</v>
      </c>
      <c r="G770" s="24">
        <v>14460000</v>
      </c>
      <c r="H770" s="23">
        <v>5.0000000000000001E-3</v>
      </c>
      <c r="I770" s="39">
        <v>44470</v>
      </c>
      <c r="J770" s="39">
        <v>44500</v>
      </c>
      <c r="K770" s="24">
        <f t="shared" si="50"/>
        <v>31</v>
      </c>
      <c r="L770" s="24">
        <f t="shared" si="51"/>
        <v>6141</v>
      </c>
      <c r="M770" s="24">
        <v>14460000</v>
      </c>
      <c r="N770" s="39">
        <v>46281</v>
      </c>
    </row>
    <row r="771" spans="1:14" s="5" customFormat="1" outlineLevel="2">
      <c r="A771" s="39" t="s">
        <v>257</v>
      </c>
      <c r="B771" s="40" t="s">
        <v>173</v>
      </c>
      <c r="C771" s="41" t="s">
        <v>262</v>
      </c>
      <c r="D771" s="40" t="s">
        <v>259</v>
      </c>
      <c r="E771" s="24">
        <v>7200000</v>
      </c>
      <c r="F771" s="39">
        <v>44456</v>
      </c>
      <c r="G771" s="24">
        <v>7200000</v>
      </c>
      <c r="H771" s="23">
        <v>5.0000000000000001E-3</v>
      </c>
      <c r="I771" s="39">
        <v>44470</v>
      </c>
      <c r="J771" s="39">
        <v>44500</v>
      </c>
      <c r="K771" s="24">
        <f t="shared" si="50"/>
        <v>31</v>
      </c>
      <c r="L771" s="24">
        <f t="shared" si="51"/>
        <v>3058</v>
      </c>
      <c r="M771" s="24">
        <v>7200000</v>
      </c>
      <c r="N771" s="39">
        <v>46281</v>
      </c>
    </row>
    <row r="772" spans="1:14" s="5" customFormat="1" outlineLevel="2">
      <c r="A772" s="39" t="s">
        <v>257</v>
      </c>
      <c r="B772" s="40" t="s">
        <v>62</v>
      </c>
      <c r="C772" s="41" t="s">
        <v>262</v>
      </c>
      <c r="D772" s="40" t="s">
        <v>259</v>
      </c>
      <c r="E772" s="24">
        <v>18080000</v>
      </c>
      <c r="F772" s="39">
        <v>44102</v>
      </c>
      <c r="G772" s="24">
        <v>18080000</v>
      </c>
      <c r="H772" s="23">
        <v>5.0000000000000001E-3</v>
      </c>
      <c r="I772" s="39">
        <v>44470</v>
      </c>
      <c r="J772" s="39">
        <v>44500</v>
      </c>
      <c r="K772" s="24">
        <f t="shared" si="50"/>
        <v>31</v>
      </c>
      <c r="L772" s="24">
        <f t="shared" si="51"/>
        <v>7678</v>
      </c>
      <c r="M772" s="24">
        <v>18080000</v>
      </c>
      <c r="N772" s="39">
        <v>45927</v>
      </c>
    </row>
    <row r="773" spans="1:14" s="5" customFormat="1" outlineLevel="2">
      <c r="A773" s="39" t="s">
        <v>257</v>
      </c>
      <c r="B773" s="40" t="s">
        <v>174</v>
      </c>
      <c r="C773" s="41" t="s">
        <v>262</v>
      </c>
      <c r="D773" s="40" t="s">
        <v>259</v>
      </c>
      <c r="E773" s="24">
        <v>8680000</v>
      </c>
      <c r="F773" s="39">
        <v>44456</v>
      </c>
      <c r="G773" s="24">
        <v>8680000</v>
      </c>
      <c r="H773" s="23">
        <v>5.0000000000000001E-3</v>
      </c>
      <c r="I773" s="39">
        <v>44470</v>
      </c>
      <c r="J773" s="39">
        <v>44500</v>
      </c>
      <c r="K773" s="24">
        <f t="shared" ref="K773:K804" si="52">J773-I773+1</f>
        <v>31</v>
      </c>
      <c r="L773" s="24">
        <f t="shared" ref="L773:L804" si="53">ROUND(G773*H773*K773/365,0)</f>
        <v>3686</v>
      </c>
      <c r="M773" s="24">
        <v>8680000</v>
      </c>
      <c r="N773" s="39">
        <v>46281</v>
      </c>
    </row>
    <row r="774" spans="1:14" s="5" customFormat="1" outlineLevel="2">
      <c r="A774" s="39" t="s">
        <v>257</v>
      </c>
      <c r="B774" s="40" t="s">
        <v>175</v>
      </c>
      <c r="C774" s="41" t="s">
        <v>398</v>
      </c>
      <c r="D774" s="40" t="s">
        <v>397</v>
      </c>
      <c r="E774" s="24">
        <v>153080000</v>
      </c>
      <c r="F774" s="39">
        <v>44466</v>
      </c>
      <c r="G774" s="24">
        <v>153080000</v>
      </c>
      <c r="H774" s="23">
        <v>5.0000000000000001E-3</v>
      </c>
      <c r="I774" s="39">
        <v>44470</v>
      </c>
      <c r="J774" s="39">
        <v>44483</v>
      </c>
      <c r="K774" s="24">
        <f t="shared" si="52"/>
        <v>14</v>
      </c>
      <c r="L774" s="24">
        <f t="shared" si="53"/>
        <v>29358</v>
      </c>
      <c r="M774" s="24">
        <v>151804333</v>
      </c>
      <c r="N774" s="39">
        <v>46291</v>
      </c>
    </row>
    <row r="775" spans="1:14" s="5" customFormat="1" outlineLevel="2">
      <c r="A775" s="39" t="s">
        <v>257</v>
      </c>
      <c r="B775" s="40" t="s">
        <v>175</v>
      </c>
      <c r="C775" s="41" t="s">
        <v>398</v>
      </c>
      <c r="D775" s="40"/>
      <c r="E775" s="24"/>
      <c r="F775" s="39"/>
      <c r="G775" s="24">
        <v>151804333</v>
      </c>
      <c r="H775" s="23">
        <v>5.0000000000000001E-3</v>
      </c>
      <c r="I775" s="39">
        <v>44484</v>
      </c>
      <c r="J775" s="39">
        <v>44500</v>
      </c>
      <c r="K775" s="24">
        <f t="shared" si="52"/>
        <v>17</v>
      </c>
      <c r="L775" s="24">
        <f t="shared" si="53"/>
        <v>35352</v>
      </c>
      <c r="M775" s="24"/>
      <c r="N775" s="39">
        <v>46291</v>
      </c>
    </row>
    <row r="776" spans="1:14" s="5" customFormat="1" outlineLevel="2">
      <c r="A776" s="39" t="s">
        <v>257</v>
      </c>
      <c r="B776" s="40" t="s">
        <v>176</v>
      </c>
      <c r="C776" s="41" t="s">
        <v>260</v>
      </c>
      <c r="D776" s="40" t="s">
        <v>261</v>
      </c>
      <c r="E776" s="24">
        <v>50510000</v>
      </c>
      <c r="F776" s="39">
        <v>44469</v>
      </c>
      <c r="G776" s="24">
        <v>50510000</v>
      </c>
      <c r="H776" s="23">
        <v>5.0000000000000001E-3</v>
      </c>
      <c r="I776" s="39">
        <v>44470</v>
      </c>
      <c r="J776" s="39">
        <v>44483</v>
      </c>
      <c r="K776" s="24">
        <f t="shared" si="52"/>
        <v>14</v>
      </c>
      <c r="L776" s="24">
        <f t="shared" si="53"/>
        <v>9687</v>
      </c>
      <c r="M776" s="24">
        <v>49404000</v>
      </c>
      <c r="N776" s="39">
        <v>46294</v>
      </c>
    </row>
    <row r="777" spans="1:14" s="5" customFormat="1" outlineLevel="2">
      <c r="A777" s="39" t="s">
        <v>257</v>
      </c>
      <c r="B777" s="40" t="s">
        <v>176</v>
      </c>
      <c r="C777" s="41" t="s">
        <v>260</v>
      </c>
      <c r="D777" s="40"/>
      <c r="E777" s="24"/>
      <c r="F777" s="39"/>
      <c r="G777" s="24">
        <v>49404000</v>
      </c>
      <c r="H777" s="23">
        <v>5.0000000000000001E-3</v>
      </c>
      <c r="I777" s="39">
        <v>44484</v>
      </c>
      <c r="J777" s="39">
        <v>44500</v>
      </c>
      <c r="K777" s="24">
        <f t="shared" si="52"/>
        <v>17</v>
      </c>
      <c r="L777" s="24">
        <f t="shared" si="53"/>
        <v>11505</v>
      </c>
      <c r="M777" s="24"/>
      <c r="N777" s="39">
        <v>46294</v>
      </c>
    </row>
    <row r="778" spans="1:14" s="5" customFormat="1" outlineLevel="2">
      <c r="A778" s="39" t="s">
        <v>257</v>
      </c>
      <c r="B778" s="40" t="s">
        <v>177</v>
      </c>
      <c r="C778" s="41" t="s">
        <v>304</v>
      </c>
      <c r="D778" s="40" t="s">
        <v>303</v>
      </c>
      <c r="E778" s="24">
        <v>48000000</v>
      </c>
      <c r="F778" s="39">
        <v>44484</v>
      </c>
      <c r="G778" s="24">
        <v>48000000</v>
      </c>
      <c r="H778" s="23">
        <v>5.0000000000000001E-3</v>
      </c>
      <c r="I778" s="39">
        <v>44484</v>
      </c>
      <c r="J778" s="39">
        <v>44500</v>
      </c>
      <c r="K778" s="24">
        <f t="shared" si="52"/>
        <v>17</v>
      </c>
      <c r="L778" s="24">
        <f t="shared" si="53"/>
        <v>11178</v>
      </c>
      <c r="M778" s="24">
        <v>48000000</v>
      </c>
      <c r="N778" s="39">
        <v>46309</v>
      </c>
    </row>
    <row r="779" spans="1:14" s="5" customFormat="1" outlineLevel="2">
      <c r="A779" s="39" t="s">
        <v>257</v>
      </c>
      <c r="B779" s="40" t="s">
        <v>178</v>
      </c>
      <c r="C779" s="41" t="s">
        <v>89</v>
      </c>
      <c r="D779" s="40" t="s">
        <v>90</v>
      </c>
      <c r="E779" s="24">
        <v>50000000</v>
      </c>
      <c r="F779" s="39">
        <v>44498</v>
      </c>
      <c r="G779" s="24">
        <v>50000000</v>
      </c>
      <c r="H779" s="23">
        <v>5.0000000000000001E-3</v>
      </c>
      <c r="I779" s="39">
        <v>44498</v>
      </c>
      <c r="J779" s="39">
        <v>44500</v>
      </c>
      <c r="K779" s="24">
        <f t="shared" si="52"/>
        <v>3</v>
      </c>
      <c r="L779" s="24">
        <f t="shared" si="53"/>
        <v>2055</v>
      </c>
      <c r="M779" s="24">
        <v>50000000</v>
      </c>
      <c r="N779" s="39">
        <v>46323</v>
      </c>
    </row>
    <row r="780" spans="1:14" s="5" customFormat="1" outlineLevel="2">
      <c r="A780" s="39" t="s">
        <v>257</v>
      </c>
      <c r="B780" s="40" t="s">
        <v>179</v>
      </c>
      <c r="C780" s="41" t="s">
        <v>398</v>
      </c>
      <c r="D780" s="40" t="s">
        <v>397</v>
      </c>
      <c r="E780" s="24">
        <v>1670000</v>
      </c>
      <c r="F780" s="39">
        <v>44487</v>
      </c>
      <c r="G780" s="24">
        <v>1670000</v>
      </c>
      <c r="H780" s="23">
        <v>5.0000000000000001E-3</v>
      </c>
      <c r="I780" s="39">
        <v>44487</v>
      </c>
      <c r="J780" s="39">
        <v>44500</v>
      </c>
      <c r="K780" s="24">
        <f t="shared" si="52"/>
        <v>14</v>
      </c>
      <c r="L780" s="24">
        <f t="shared" si="53"/>
        <v>320</v>
      </c>
      <c r="M780" s="24">
        <v>1670000</v>
      </c>
      <c r="N780" s="39">
        <v>46312</v>
      </c>
    </row>
    <row r="781" spans="1:14" s="5" customFormat="1" outlineLevel="2">
      <c r="A781" s="39" t="s">
        <v>257</v>
      </c>
      <c r="B781" s="40" t="s">
        <v>180</v>
      </c>
      <c r="C781" s="41" t="s">
        <v>398</v>
      </c>
      <c r="D781" s="40" t="s">
        <v>397</v>
      </c>
      <c r="E781" s="24">
        <v>11480000</v>
      </c>
      <c r="F781" s="39">
        <v>44487</v>
      </c>
      <c r="G781" s="24">
        <v>11480000</v>
      </c>
      <c r="H781" s="23">
        <v>5.0000000000000001E-3</v>
      </c>
      <c r="I781" s="39">
        <v>44487</v>
      </c>
      <c r="J781" s="39">
        <v>44500</v>
      </c>
      <c r="K781" s="24">
        <f t="shared" si="52"/>
        <v>14</v>
      </c>
      <c r="L781" s="24">
        <f t="shared" si="53"/>
        <v>2202</v>
      </c>
      <c r="M781" s="24">
        <v>11480000</v>
      </c>
      <c r="N781" s="39">
        <v>46312</v>
      </c>
    </row>
    <row r="782" spans="1:14" s="5" customFormat="1" outlineLevel="2">
      <c r="A782" s="39" t="s">
        <v>257</v>
      </c>
      <c r="B782" s="40" t="s">
        <v>181</v>
      </c>
      <c r="C782" s="41" t="s">
        <v>248</v>
      </c>
      <c r="D782" s="40" t="s">
        <v>249</v>
      </c>
      <c r="E782" s="24">
        <v>30000000</v>
      </c>
      <c r="F782" s="39">
        <v>44489</v>
      </c>
      <c r="G782" s="24">
        <v>30000000</v>
      </c>
      <c r="H782" s="23">
        <v>5.0000000000000001E-3</v>
      </c>
      <c r="I782" s="39">
        <v>44489</v>
      </c>
      <c r="J782" s="39">
        <v>44500</v>
      </c>
      <c r="K782" s="24">
        <f t="shared" si="52"/>
        <v>12</v>
      </c>
      <c r="L782" s="24">
        <f t="shared" si="53"/>
        <v>4932</v>
      </c>
      <c r="M782" s="24">
        <v>30000000</v>
      </c>
      <c r="N782" s="39">
        <v>46314</v>
      </c>
    </row>
    <row r="783" spans="1:14" s="5" customFormat="1" outlineLevel="2">
      <c r="A783" s="39" t="s">
        <v>257</v>
      </c>
      <c r="B783" s="40" t="s">
        <v>63</v>
      </c>
      <c r="C783" s="41" t="s">
        <v>262</v>
      </c>
      <c r="D783" s="40" t="s">
        <v>259</v>
      </c>
      <c r="E783" s="24">
        <v>50630000</v>
      </c>
      <c r="F783" s="39">
        <v>44131</v>
      </c>
      <c r="G783" s="24">
        <v>50630000</v>
      </c>
      <c r="H783" s="23">
        <v>5.0000000000000001E-3</v>
      </c>
      <c r="I783" s="39">
        <v>44470</v>
      </c>
      <c r="J783" s="39">
        <v>44500</v>
      </c>
      <c r="K783" s="24">
        <f t="shared" si="52"/>
        <v>31</v>
      </c>
      <c r="L783" s="24">
        <f t="shared" si="53"/>
        <v>21500</v>
      </c>
      <c r="M783" s="24">
        <v>50630000</v>
      </c>
      <c r="N783" s="39">
        <v>45956</v>
      </c>
    </row>
    <row r="784" spans="1:14" s="5" customFormat="1" outlineLevel="2">
      <c r="A784" s="39" t="s">
        <v>257</v>
      </c>
      <c r="B784" s="40" t="s">
        <v>64</v>
      </c>
      <c r="C784" s="41" t="s">
        <v>260</v>
      </c>
      <c r="D784" s="40" t="s">
        <v>261</v>
      </c>
      <c r="E784" s="24">
        <v>710000</v>
      </c>
      <c r="F784" s="39">
        <v>44110</v>
      </c>
      <c r="G784" s="24">
        <v>564000</v>
      </c>
      <c r="H784" s="23">
        <v>5.0000000000000001E-3</v>
      </c>
      <c r="I784" s="39">
        <v>44470</v>
      </c>
      <c r="J784" s="39">
        <v>44483</v>
      </c>
      <c r="K784" s="24">
        <f t="shared" si="52"/>
        <v>14</v>
      </c>
      <c r="L784" s="24">
        <f t="shared" si="53"/>
        <v>108</v>
      </c>
      <c r="M784" s="24">
        <v>552000</v>
      </c>
      <c r="N784" s="39">
        <v>45935</v>
      </c>
    </row>
    <row r="785" spans="1:14" s="5" customFormat="1" outlineLevel="2">
      <c r="A785" s="39" t="s">
        <v>257</v>
      </c>
      <c r="B785" s="40" t="s">
        <v>64</v>
      </c>
      <c r="C785" s="41" t="s">
        <v>260</v>
      </c>
      <c r="D785" s="40"/>
      <c r="E785" s="24"/>
      <c r="F785" s="39"/>
      <c r="G785" s="24">
        <v>552000</v>
      </c>
      <c r="H785" s="23">
        <v>5.0000000000000001E-3</v>
      </c>
      <c r="I785" s="39">
        <v>44484</v>
      </c>
      <c r="J785" s="39">
        <v>44500</v>
      </c>
      <c r="K785" s="24">
        <f t="shared" si="52"/>
        <v>17</v>
      </c>
      <c r="L785" s="24">
        <f t="shared" si="53"/>
        <v>129</v>
      </c>
      <c r="M785" s="24"/>
      <c r="N785" s="39">
        <v>45935</v>
      </c>
    </row>
    <row r="786" spans="1:14" s="5" customFormat="1" outlineLevel="2">
      <c r="A786" s="39" t="s">
        <v>257</v>
      </c>
      <c r="B786" s="40" t="s">
        <v>65</v>
      </c>
      <c r="C786" s="41" t="s">
        <v>260</v>
      </c>
      <c r="D786" s="40" t="s">
        <v>261</v>
      </c>
      <c r="E786" s="24">
        <v>830000</v>
      </c>
      <c r="F786" s="39">
        <v>44137</v>
      </c>
      <c r="G786" s="24">
        <v>658000</v>
      </c>
      <c r="H786" s="23">
        <v>5.0000000000000001E-3</v>
      </c>
      <c r="I786" s="39">
        <v>44470</v>
      </c>
      <c r="J786" s="39">
        <v>44483</v>
      </c>
      <c r="K786" s="24">
        <f t="shared" si="52"/>
        <v>14</v>
      </c>
      <c r="L786" s="24">
        <f t="shared" si="53"/>
        <v>126</v>
      </c>
      <c r="M786" s="24">
        <v>644000</v>
      </c>
      <c r="N786" s="39">
        <v>45962</v>
      </c>
    </row>
    <row r="787" spans="1:14" s="5" customFormat="1" outlineLevel="2">
      <c r="A787" s="39" t="s">
        <v>257</v>
      </c>
      <c r="B787" s="40" t="s">
        <v>65</v>
      </c>
      <c r="C787" s="41" t="s">
        <v>260</v>
      </c>
      <c r="D787" s="40"/>
      <c r="E787" s="24"/>
      <c r="F787" s="39"/>
      <c r="G787" s="24">
        <v>644000</v>
      </c>
      <c r="H787" s="23">
        <v>5.0000000000000001E-3</v>
      </c>
      <c r="I787" s="39">
        <v>44484</v>
      </c>
      <c r="J787" s="39">
        <v>44500</v>
      </c>
      <c r="K787" s="24">
        <f t="shared" si="52"/>
        <v>17</v>
      </c>
      <c r="L787" s="24">
        <f t="shared" si="53"/>
        <v>150</v>
      </c>
      <c r="M787" s="24"/>
      <c r="N787" s="39">
        <v>45962</v>
      </c>
    </row>
    <row r="788" spans="1:14" s="5" customFormat="1" outlineLevel="2">
      <c r="A788" s="39" t="s">
        <v>257</v>
      </c>
      <c r="B788" s="40" t="s">
        <v>68</v>
      </c>
      <c r="C788" s="41" t="s">
        <v>260</v>
      </c>
      <c r="D788" s="40" t="s">
        <v>261</v>
      </c>
      <c r="E788" s="24">
        <v>180000</v>
      </c>
      <c r="F788" s="39">
        <v>44141</v>
      </c>
      <c r="G788" s="24">
        <v>141000</v>
      </c>
      <c r="H788" s="23">
        <v>5.0000000000000001E-3</v>
      </c>
      <c r="I788" s="39">
        <v>44470</v>
      </c>
      <c r="J788" s="39">
        <v>44483</v>
      </c>
      <c r="K788" s="24">
        <f t="shared" si="52"/>
        <v>14</v>
      </c>
      <c r="L788" s="24">
        <f t="shared" si="53"/>
        <v>27</v>
      </c>
      <c r="M788" s="24">
        <v>138000</v>
      </c>
      <c r="N788" s="39">
        <v>45966</v>
      </c>
    </row>
    <row r="789" spans="1:14" s="5" customFormat="1" outlineLevel="2">
      <c r="A789" s="39" t="s">
        <v>257</v>
      </c>
      <c r="B789" s="40" t="s">
        <v>68</v>
      </c>
      <c r="C789" s="41" t="s">
        <v>260</v>
      </c>
      <c r="D789" s="40"/>
      <c r="E789" s="24"/>
      <c r="F789" s="39"/>
      <c r="G789" s="24">
        <v>138000</v>
      </c>
      <c r="H789" s="23">
        <v>5.0000000000000001E-3</v>
      </c>
      <c r="I789" s="39">
        <v>44484</v>
      </c>
      <c r="J789" s="39">
        <v>44500</v>
      </c>
      <c r="K789" s="24">
        <f t="shared" si="52"/>
        <v>17</v>
      </c>
      <c r="L789" s="24">
        <f t="shared" si="53"/>
        <v>32</v>
      </c>
      <c r="M789" s="24"/>
      <c r="N789" s="39">
        <v>45966</v>
      </c>
    </row>
    <row r="790" spans="1:14" s="5" customFormat="1" outlineLevel="1">
      <c r="A790" s="42" t="s">
        <v>263</v>
      </c>
      <c r="B790" s="70"/>
      <c r="C790" s="71"/>
      <c r="D790" s="70"/>
      <c r="E790" s="72">
        <f>SUBTOTAL(9,E709:E789)</f>
        <v>1416780000</v>
      </c>
      <c r="F790" s="73"/>
      <c r="G790" s="72"/>
      <c r="H790" s="74"/>
      <c r="I790" s="73"/>
      <c r="J790" s="73"/>
      <c r="K790" s="72"/>
      <c r="L790" s="72">
        <f>SUBTOTAL(9,L709:L789)</f>
        <v>548018</v>
      </c>
      <c r="M790" s="72">
        <f>SUBTOTAL(9,M709:M789)</f>
        <v>1378851681</v>
      </c>
      <c r="N790" s="73"/>
    </row>
    <row r="791" spans="1:14" s="5" customFormat="1" outlineLevel="2">
      <c r="A791" s="39" t="s">
        <v>264</v>
      </c>
      <c r="B791" s="40" t="s">
        <v>16</v>
      </c>
      <c r="C791" s="41" t="s">
        <v>27</v>
      </c>
      <c r="D791" s="40" t="s">
        <v>28</v>
      </c>
      <c r="E791" s="24">
        <v>26000000</v>
      </c>
      <c r="F791" s="39">
        <v>44140</v>
      </c>
      <c r="G791" s="24">
        <v>26000000</v>
      </c>
      <c r="H791" s="23">
        <v>5.0000000000000001E-3</v>
      </c>
      <c r="I791" s="39">
        <v>44470</v>
      </c>
      <c r="J791" s="39">
        <v>44500</v>
      </c>
      <c r="K791" s="24">
        <f>J791-I791+1</f>
        <v>31</v>
      </c>
      <c r="L791" s="24">
        <f>ROUND(G791*H791*K791/365,0)</f>
        <v>11041</v>
      </c>
      <c r="M791" s="24">
        <v>26000000</v>
      </c>
      <c r="N791" s="39">
        <v>45965</v>
      </c>
    </row>
    <row r="792" spans="1:14" s="5" customFormat="1" outlineLevel="2">
      <c r="A792" s="39" t="s">
        <v>264</v>
      </c>
      <c r="B792" s="40" t="s">
        <v>39</v>
      </c>
      <c r="C792" s="41" t="s">
        <v>27</v>
      </c>
      <c r="D792" s="40" t="s">
        <v>28</v>
      </c>
      <c r="E792" s="24">
        <v>10250000</v>
      </c>
      <c r="F792" s="39">
        <v>44140</v>
      </c>
      <c r="G792" s="24">
        <v>10250000</v>
      </c>
      <c r="H792" s="23">
        <v>5.0000000000000001E-3</v>
      </c>
      <c r="I792" s="39">
        <v>44470</v>
      </c>
      <c r="J792" s="39">
        <v>44500</v>
      </c>
      <c r="K792" s="24">
        <f>J792-I792+1</f>
        <v>31</v>
      </c>
      <c r="L792" s="24">
        <f>ROUND(G792*H792*K792/365,0)</f>
        <v>4353</v>
      </c>
      <c r="M792" s="24">
        <v>10250000</v>
      </c>
      <c r="N792" s="39">
        <v>45965</v>
      </c>
    </row>
    <row r="793" spans="1:14" s="5" customFormat="1" outlineLevel="2">
      <c r="A793" s="39" t="s">
        <v>264</v>
      </c>
      <c r="B793" s="40" t="s">
        <v>54</v>
      </c>
      <c r="C793" s="41" t="s">
        <v>27</v>
      </c>
      <c r="D793" s="40" t="s">
        <v>28</v>
      </c>
      <c r="E793" s="24">
        <v>3960000</v>
      </c>
      <c r="F793" s="39">
        <v>44148</v>
      </c>
      <c r="G793" s="24">
        <v>3960000</v>
      </c>
      <c r="H793" s="23">
        <v>5.0000000000000001E-3</v>
      </c>
      <c r="I793" s="39">
        <v>44470</v>
      </c>
      <c r="J793" s="39">
        <v>44500</v>
      </c>
      <c r="K793" s="24">
        <f>J793-I793+1</f>
        <v>31</v>
      </c>
      <c r="L793" s="24">
        <f>ROUND(G793*H793*K793/365,0)</f>
        <v>1682</v>
      </c>
      <c r="M793" s="24">
        <v>3960000</v>
      </c>
      <c r="N793" s="39">
        <v>45973</v>
      </c>
    </row>
    <row r="794" spans="1:14" s="5" customFormat="1" outlineLevel="2">
      <c r="A794" s="39" t="s">
        <v>264</v>
      </c>
      <c r="B794" s="40" t="s">
        <v>59</v>
      </c>
      <c r="C794" s="41" t="s">
        <v>27</v>
      </c>
      <c r="D794" s="40" t="s">
        <v>28</v>
      </c>
      <c r="E794" s="24">
        <v>8000000</v>
      </c>
      <c r="F794" s="39">
        <v>44244</v>
      </c>
      <c r="G794" s="24">
        <v>8000000</v>
      </c>
      <c r="H794" s="23">
        <v>5.0000000000000001E-3</v>
      </c>
      <c r="I794" s="39">
        <v>44470</v>
      </c>
      <c r="J794" s="39">
        <v>44500</v>
      </c>
      <c r="K794" s="24">
        <f>J794-I794+1</f>
        <v>31</v>
      </c>
      <c r="L794" s="24">
        <f>ROUND(G794*H794*K794/365,0)</f>
        <v>3397</v>
      </c>
      <c r="M794" s="24">
        <v>8000000</v>
      </c>
      <c r="N794" s="39">
        <v>46069</v>
      </c>
    </row>
    <row r="795" spans="1:14" s="5" customFormat="1" outlineLevel="2">
      <c r="A795" s="39" t="s">
        <v>264</v>
      </c>
      <c r="B795" s="40" t="s">
        <v>62</v>
      </c>
      <c r="C795" s="41" t="s">
        <v>27</v>
      </c>
      <c r="D795" s="40" t="s">
        <v>28</v>
      </c>
      <c r="E795" s="24">
        <v>28560000</v>
      </c>
      <c r="F795" s="39">
        <v>44403</v>
      </c>
      <c r="G795" s="24">
        <v>28560000</v>
      </c>
      <c r="H795" s="23">
        <v>5.0000000000000001E-3</v>
      </c>
      <c r="I795" s="39">
        <v>44470</v>
      </c>
      <c r="J795" s="39">
        <v>44500</v>
      </c>
      <c r="K795" s="24">
        <f>J795-I795+1</f>
        <v>31</v>
      </c>
      <c r="L795" s="24">
        <f>ROUND(G795*H795*K795/365,0)</f>
        <v>12128</v>
      </c>
      <c r="M795" s="24">
        <v>28560000</v>
      </c>
      <c r="N795" s="39">
        <v>46228</v>
      </c>
    </row>
    <row r="796" spans="1:14" s="5" customFormat="1" outlineLevel="1">
      <c r="A796" s="42" t="s">
        <v>265</v>
      </c>
      <c r="B796" s="70"/>
      <c r="C796" s="71"/>
      <c r="D796" s="70"/>
      <c r="E796" s="72">
        <f>SUBTOTAL(9,E791:E795)</f>
        <v>76770000</v>
      </c>
      <c r="F796" s="73"/>
      <c r="G796" s="72"/>
      <c r="H796" s="74"/>
      <c r="I796" s="73"/>
      <c r="J796" s="73"/>
      <c r="K796" s="72"/>
      <c r="L796" s="72">
        <f>SUBTOTAL(9,L791:L795)</f>
        <v>32601</v>
      </c>
      <c r="M796" s="72">
        <f>SUBTOTAL(9,M791:M795)</f>
        <v>76770000</v>
      </c>
      <c r="N796" s="73"/>
    </row>
    <row r="797" spans="1:14" s="5" customFormat="1" outlineLevel="2">
      <c r="A797" s="39" t="s">
        <v>266</v>
      </c>
      <c r="B797" s="40" t="s">
        <v>16</v>
      </c>
      <c r="C797" s="41" t="s">
        <v>128</v>
      </c>
      <c r="D797" s="40" t="s">
        <v>129</v>
      </c>
      <c r="E797" s="24">
        <v>50000000</v>
      </c>
      <c r="F797" s="39">
        <v>44099</v>
      </c>
      <c r="G797" s="24">
        <v>50000000</v>
      </c>
      <c r="H797" s="23">
        <v>5.0000000000000001E-3</v>
      </c>
      <c r="I797" s="39">
        <v>44470</v>
      </c>
      <c r="J797" s="39">
        <v>44500</v>
      </c>
      <c r="K797" s="24">
        <f>J797-I797+1</f>
        <v>31</v>
      </c>
      <c r="L797" s="24">
        <f>ROUND(G797*H797*K797/365,0)</f>
        <v>21233</v>
      </c>
      <c r="M797" s="24">
        <v>50000000</v>
      </c>
      <c r="N797" s="39">
        <v>45924</v>
      </c>
    </row>
    <row r="798" spans="1:14" s="5" customFormat="1" outlineLevel="2">
      <c r="A798" s="39" t="s">
        <v>266</v>
      </c>
      <c r="B798" s="40" t="s">
        <v>39</v>
      </c>
      <c r="C798" s="41" t="s">
        <v>128</v>
      </c>
      <c r="D798" s="40" t="s">
        <v>129</v>
      </c>
      <c r="E798" s="24">
        <v>30000000</v>
      </c>
      <c r="F798" s="39">
        <v>44232</v>
      </c>
      <c r="G798" s="24">
        <v>30000000</v>
      </c>
      <c r="H798" s="23">
        <v>5.0000000000000001E-3</v>
      </c>
      <c r="I798" s="39">
        <v>44470</v>
      </c>
      <c r="J798" s="39">
        <v>44500</v>
      </c>
      <c r="K798" s="24">
        <f>J798-I798+1</f>
        <v>31</v>
      </c>
      <c r="L798" s="24">
        <f>ROUND(G798*H798*K798/365,0)</f>
        <v>12740</v>
      </c>
      <c r="M798" s="24">
        <v>30000000</v>
      </c>
      <c r="N798" s="39">
        <v>46057</v>
      </c>
    </row>
    <row r="799" spans="1:14" s="5" customFormat="1" outlineLevel="2">
      <c r="A799" s="39" t="s">
        <v>266</v>
      </c>
      <c r="B799" s="40" t="s">
        <v>54</v>
      </c>
      <c r="C799" s="41" t="s">
        <v>128</v>
      </c>
      <c r="D799" s="40" t="s">
        <v>129</v>
      </c>
      <c r="E799" s="24">
        <v>34000000</v>
      </c>
      <c r="F799" s="39">
        <v>44484</v>
      </c>
      <c r="G799" s="24">
        <v>34000000</v>
      </c>
      <c r="H799" s="23">
        <v>5.0000000000000001E-3</v>
      </c>
      <c r="I799" s="39">
        <v>44484</v>
      </c>
      <c r="J799" s="39">
        <v>44500</v>
      </c>
      <c r="K799" s="24">
        <f>J799-I799+1</f>
        <v>17</v>
      </c>
      <c r="L799" s="24">
        <f>ROUND(G799*H799*K799/365,0)</f>
        <v>7918</v>
      </c>
      <c r="M799" s="24">
        <v>34000000</v>
      </c>
      <c r="N799" s="39">
        <v>46309</v>
      </c>
    </row>
    <row r="800" spans="1:14" s="5" customFormat="1" outlineLevel="1">
      <c r="A800" s="42" t="s">
        <v>267</v>
      </c>
      <c r="B800" s="70"/>
      <c r="C800" s="71"/>
      <c r="D800" s="70"/>
      <c r="E800" s="72">
        <f>SUBTOTAL(9,E797:E799)</f>
        <v>114000000</v>
      </c>
      <c r="F800" s="73"/>
      <c r="G800" s="72"/>
      <c r="H800" s="74"/>
      <c r="I800" s="73"/>
      <c r="J800" s="73"/>
      <c r="K800" s="72"/>
      <c r="L800" s="72">
        <f>SUBTOTAL(9,L797:L799)</f>
        <v>41891</v>
      </c>
      <c r="M800" s="72">
        <f>SUBTOTAL(9,M797:M799)</f>
        <v>114000000</v>
      </c>
      <c r="N800" s="73"/>
    </row>
    <row r="801" spans="1:14" s="5" customFormat="1" outlineLevel="2">
      <c r="A801" s="39" t="s">
        <v>268</v>
      </c>
      <c r="B801" s="40" t="s">
        <v>16</v>
      </c>
      <c r="C801" s="41" t="s">
        <v>20</v>
      </c>
      <c r="D801" s="40" t="s">
        <v>21</v>
      </c>
      <c r="E801" s="24">
        <v>43200000</v>
      </c>
      <c r="F801" s="39">
        <v>43937</v>
      </c>
      <c r="G801" s="24">
        <v>43200000</v>
      </c>
      <c r="H801" s="23">
        <v>3.0000000000000001E-3</v>
      </c>
      <c r="I801" s="39">
        <v>44470</v>
      </c>
      <c r="J801" s="39">
        <v>44500</v>
      </c>
      <c r="K801" s="24">
        <f t="shared" ref="K801:K807" si="54">J801-I801+1</f>
        <v>31</v>
      </c>
      <c r="L801" s="24">
        <f t="shared" ref="L801:L807" si="55">ROUND(G801*H801*K801/365,0)</f>
        <v>11007</v>
      </c>
      <c r="M801" s="24">
        <v>43200000</v>
      </c>
      <c r="N801" s="39">
        <v>45762</v>
      </c>
    </row>
    <row r="802" spans="1:14" s="5" customFormat="1" outlineLevel="2">
      <c r="A802" s="39" t="s">
        <v>268</v>
      </c>
      <c r="B802" s="40" t="s">
        <v>39</v>
      </c>
      <c r="C802" s="41" t="s">
        <v>20</v>
      </c>
      <c r="D802" s="40" t="s">
        <v>21</v>
      </c>
      <c r="E802" s="24">
        <v>330000000</v>
      </c>
      <c r="F802" s="39">
        <v>44013</v>
      </c>
      <c r="G802" s="24">
        <v>330000000</v>
      </c>
      <c r="H802" s="23">
        <v>3.0000000000000001E-3</v>
      </c>
      <c r="I802" s="39">
        <v>44470</v>
      </c>
      <c r="J802" s="39">
        <v>44500</v>
      </c>
      <c r="K802" s="24">
        <f t="shared" si="54"/>
        <v>31</v>
      </c>
      <c r="L802" s="24">
        <f t="shared" si="55"/>
        <v>84082</v>
      </c>
      <c r="M802" s="24">
        <v>330000000</v>
      </c>
      <c r="N802" s="39">
        <v>45838</v>
      </c>
    </row>
    <row r="803" spans="1:14" s="5" customFormat="1" outlineLevel="2">
      <c r="A803" s="39" t="s">
        <v>268</v>
      </c>
      <c r="B803" s="40" t="s">
        <v>54</v>
      </c>
      <c r="C803" s="41" t="s">
        <v>20</v>
      </c>
      <c r="D803" s="40" t="s">
        <v>21</v>
      </c>
      <c r="E803" s="24">
        <v>120000000</v>
      </c>
      <c r="F803" s="39">
        <v>44049</v>
      </c>
      <c r="G803" s="24">
        <v>120000000</v>
      </c>
      <c r="H803" s="23">
        <v>3.0000000000000001E-3</v>
      </c>
      <c r="I803" s="39">
        <v>44470</v>
      </c>
      <c r="J803" s="39">
        <v>44500</v>
      </c>
      <c r="K803" s="24">
        <f t="shared" si="54"/>
        <v>31</v>
      </c>
      <c r="L803" s="24">
        <f t="shared" si="55"/>
        <v>30575</v>
      </c>
      <c r="M803" s="24">
        <v>120000000</v>
      </c>
      <c r="N803" s="39">
        <v>45874</v>
      </c>
    </row>
    <row r="804" spans="1:14" s="5" customFormat="1" outlineLevel="2">
      <c r="A804" s="39" t="s">
        <v>268</v>
      </c>
      <c r="B804" s="40" t="s">
        <v>59</v>
      </c>
      <c r="C804" s="41" t="s">
        <v>20</v>
      </c>
      <c r="D804" s="40" t="s">
        <v>21</v>
      </c>
      <c r="E804" s="24">
        <v>39840000</v>
      </c>
      <c r="F804" s="39">
        <v>44111</v>
      </c>
      <c r="G804" s="24">
        <v>39840000</v>
      </c>
      <c r="H804" s="23">
        <v>3.0000000000000001E-3</v>
      </c>
      <c r="I804" s="39">
        <v>44470</v>
      </c>
      <c r="J804" s="39">
        <v>44500</v>
      </c>
      <c r="K804" s="24">
        <f t="shared" si="54"/>
        <v>31</v>
      </c>
      <c r="L804" s="24">
        <f t="shared" si="55"/>
        <v>10151</v>
      </c>
      <c r="M804" s="24">
        <v>39840000</v>
      </c>
      <c r="N804" s="39">
        <v>45936</v>
      </c>
    </row>
    <row r="805" spans="1:14" s="5" customFormat="1" outlineLevel="2">
      <c r="A805" s="39" t="s">
        <v>268</v>
      </c>
      <c r="B805" s="40" t="s">
        <v>62</v>
      </c>
      <c r="C805" s="41" t="s">
        <v>20</v>
      </c>
      <c r="D805" s="40" t="s">
        <v>21</v>
      </c>
      <c r="E805" s="24">
        <v>252000000</v>
      </c>
      <c r="F805" s="39">
        <v>44231</v>
      </c>
      <c r="G805" s="24">
        <v>252000000</v>
      </c>
      <c r="H805" s="23">
        <v>3.0000000000000001E-3</v>
      </c>
      <c r="I805" s="39">
        <v>44470</v>
      </c>
      <c r="J805" s="39">
        <v>44500</v>
      </c>
      <c r="K805" s="24">
        <f t="shared" si="54"/>
        <v>31</v>
      </c>
      <c r="L805" s="24">
        <f t="shared" si="55"/>
        <v>64208</v>
      </c>
      <c r="M805" s="24">
        <v>252000000</v>
      </c>
      <c r="N805" s="39">
        <v>46056</v>
      </c>
    </row>
    <row r="806" spans="1:14" s="5" customFormat="1" outlineLevel="2">
      <c r="A806" s="39" t="s">
        <v>268</v>
      </c>
      <c r="B806" s="40" t="s">
        <v>63</v>
      </c>
      <c r="C806" s="41" t="s">
        <v>280</v>
      </c>
      <c r="D806" s="40" t="s">
        <v>281</v>
      </c>
      <c r="E806" s="24">
        <v>250000000</v>
      </c>
      <c r="F806" s="39">
        <v>44228</v>
      </c>
      <c r="G806" s="24">
        <v>250000000</v>
      </c>
      <c r="H806" s="23">
        <v>3.0000000000000001E-3</v>
      </c>
      <c r="I806" s="39">
        <v>44470</v>
      </c>
      <c r="J806" s="39">
        <v>44500</v>
      </c>
      <c r="K806" s="24">
        <f t="shared" si="54"/>
        <v>31</v>
      </c>
      <c r="L806" s="24">
        <f t="shared" si="55"/>
        <v>63699</v>
      </c>
      <c r="M806" s="24">
        <v>250000000</v>
      </c>
      <c r="N806" s="39">
        <v>46053</v>
      </c>
    </row>
    <row r="807" spans="1:14" s="5" customFormat="1" outlineLevel="2">
      <c r="A807" s="39" t="s">
        <v>268</v>
      </c>
      <c r="B807" s="40" t="s">
        <v>64</v>
      </c>
      <c r="C807" s="41" t="s">
        <v>280</v>
      </c>
      <c r="D807" s="40" t="s">
        <v>281</v>
      </c>
      <c r="E807" s="24">
        <v>50000000</v>
      </c>
      <c r="F807" s="39">
        <v>44347</v>
      </c>
      <c r="G807" s="24">
        <v>50000000</v>
      </c>
      <c r="H807" s="23">
        <v>3.0000000000000001E-3</v>
      </c>
      <c r="I807" s="39">
        <v>44470</v>
      </c>
      <c r="J807" s="39">
        <v>44500</v>
      </c>
      <c r="K807" s="24">
        <f t="shared" si="54"/>
        <v>31</v>
      </c>
      <c r="L807" s="24">
        <f t="shared" si="55"/>
        <v>12740</v>
      </c>
      <c r="M807" s="24">
        <v>50000000</v>
      </c>
      <c r="N807" s="39">
        <v>45807</v>
      </c>
    </row>
    <row r="808" spans="1:14" s="5" customFormat="1" outlineLevel="1">
      <c r="A808" s="42" t="s">
        <v>269</v>
      </c>
      <c r="B808" s="70"/>
      <c r="C808" s="71"/>
      <c r="D808" s="70"/>
      <c r="E808" s="72">
        <f>SUBTOTAL(9,E801:E807)</f>
        <v>1085040000</v>
      </c>
      <c r="F808" s="73"/>
      <c r="G808" s="72"/>
      <c r="H808" s="74"/>
      <c r="I808" s="73"/>
      <c r="J808" s="73"/>
      <c r="K808" s="72"/>
      <c r="L808" s="72">
        <f>SUBTOTAL(9,L801:L807)</f>
        <v>276462</v>
      </c>
      <c r="M808" s="72">
        <f>SUBTOTAL(9,M801:M807)</f>
        <v>1085040000</v>
      </c>
      <c r="N808" s="73"/>
    </row>
    <row r="809" spans="1:14" s="5" customFormat="1" outlineLevel="2">
      <c r="A809" s="39" t="s">
        <v>343</v>
      </c>
      <c r="B809" s="40" t="s">
        <v>16</v>
      </c>
      <c r="C809" s="41" t="s">
        <v>246</v>
      </c>
      <c r="D809" s="40" t="s">
        <v>247</v>
      </c>
      <c r="E809" s="24">
        <v>1230000</v>
      </c>
      <c r="F809" s="39">
        <v>44308</v>
      </c>
      <c r="G809" s="24">
        <v>1230000</v>
      </c>
      <c r="H809" s="23">
        <v>5.0000000000000001E-3</v>
      </c>
      <c r="I809" s="39">
        <v>44470</v>
      </c>
      <c r="J809" s="39">
        <v>44500</v>
      </c>
      <c r="K809" s="24">
        <f>J809-I809+1</f>
        <v>31</v>
      </c>
      <c r="L809" s="24">
        <f>ROUND(G809*H809*K809/365,0)</f>
        <v>522</v>
      </c>
      <c r="M809" s="24">
        <v>1230000</v>
      </c>
      <c r="N809" s="39">
        <v>46133</v>
      </c>
    </row>
    <row r="810" spans="1:14" s="5" customFormat="1" outlineLevel="2">
      <c r="A810" s="39" t="s">
        <v>343</v>
      </c>
      <c r="B810" s="40" t="s">
        <v>39</v>
      </c>
      <c r="C810" s="41" t="s">
        <v>246</v>
      </c>
      <c r="D810" s="40" t="s">
        <v>247</v>
      </c>
      <c r="E810" s="24">
        <v>298770000</v>
      </c>
      <c r="F810" s="39">
        <v>44455</v>
      </c>
      <c r="G810" s="24">
        <v>298770000</v>
      </c>
      <c r="H810" s="23">
        <v>5.0000000000000001E-3</v>
      </c>
      <c r="I810" s="39">
        <v>44470</v>
      </c>
      <c r="J810" s="39">
        <v>44500</v>
      </c>
      <c r="K810" s="24">
        <f>J810-I810+1</f>
        <v>31</v>
      </c>
      <c r="L810" s="24">
        <f>ROUND(G810*H810*K810/365,0)</f>
        <v>126875</v>
      </c>
      <c r="M810" s="24">
        <v>298770000</v>
      </c>
      <c r="N810" s="39">
        <v>46280</v>
      </c>
    </row>
    <row r="811" spans="1:14" s="5" customFormat="1" outlineLevel="1">
      <c r="A811" s="42" t="s">
        <v>342</v>
      </c>
      <c r="B811" s="70"/>
      <c r="C811" s="71"/>
      <c r="D811" s="70"/>
      <c r="E811" s="72">
        <f>SUBTOTAL(9,E809:E810)</f>
        <v>300000000</v>
      </c>
      <c r="F811" s="73"/>
      <c r="G811" s="72"/>
      <c r="H811" s="74"/>
      <c r="I811" s="73"/>
      <c r="J811" s="73"/>
      <c r="K811" s="72"/>
      <c r="L811" s="72">
        <f>SUBTOTAL(9,L809:L810)</f>
        <v>127397</v>
      </c>
      <c r="M811" s="72">
        <f>SUBTOTAL(9,M809:M810)</f>
        <v>300000000</v>
      </c>
      <c r="N811" s="73"/>
    </row>
    <row r="812" spans="1:14" s="5" customFormat="1" outlineLevel="2">
      <c r="A812" s="39" t="s">
        <v>270</v>
      </c>
      <c r="B812" s="40" t="s">
        <v>16</v>
      </c>
      <c r="C812" s="41" t="s">
        <v>273</v>
      </c>
      <c r="D812" s="40" t="s">
        <v>272</v>
      </c>
      <c r="E812" s="24">
        <v>126000000</v>
      </c>
      <c r="F812" s="39">
        <v>43804</v>
      </c>
      <c r="G812" s="24">
        <v>126000000</v>
      </c>
      <c r="H812" s="23">
        <v>5.0000000000000001E-3</v>
      </c>
      <c r="I812" s="39">
        <v>44470</v>
      </c>
      <c r="J812" s="39">
        <v>44500</v>
      </c>
      <c r="K812" s="24">
        <f t="shared" ref="K812:K843" si="56">J812-I812+1</f>
        <v>31</v>
      </c>
      <c r="L812" s="24">
        <f t="shared" ref="L812:L843" si="57">ROUND(G812*H812*K812/365,0)</f>
        <v>53507</v>
      </c>
      <c r="M812" s="24">
        <v>126000000</v>
      </c>
      <c r="N812" s="39">
        <v>45630</v>
      </c>
    </row>
    <row r="813" spans="1:14" s="5" customFormat="1" outlineLevel="2">
      <c r="A813" s="39" t="s">
        <v>270</v>
      </c>
      <c r="B813" s="40" t="s">
        <v>19</v>
      </c>
      <c r="C813" s="41" t="s">
        <v>273</v>
      </c>
      <c r="D813" s="40" t="s">
        <v>272</v>
      </c>
      <c r="E813" s="24">
        <v>46600000</v>
      </c>
      <c r="F813" s="39">
        <v>43866</v>
      </c>
      <c r="G813" s="24">
        <v>46600000</v>
      </c>
      <c r="H813" s="23">
        <v>5.0000000000000001E-3</v>
      </c>
      <c r="I813" s="39">
        <v>44470</v>
      </c>
      <c r="J813" s="39">
        <v>44500</v>
      </c>
      <c r="K813" s="24">
        <f t="shared" si="56"/>
        <v>31</v>
      </c>
      <c r="L813" s="24">
        <f t="shared" si="57"/>
        <v>19789</v>
      </c>
      <c r="M813" s="24">
        <v>46600000</v>
      </c>
      <c r="N813" s="39">
        <v>45692</v>
      </c>
    </row>
    <row r="814" spans="1:14" s="5" customFormat="1" outlineLevel="2">
      <c r="A814" s="39" t="s">
        <v>270</v>
      </c>
      <c r="B814" s="40" t="s">
        <v>145</v>
      </c>
      <c r="C814" s="41" t="s">
        <v>115</v>
      </c>
      <c r="D814" s="40" t="s">
        <v>116</v>
      </c>
      <c r="E814" s="24">
        <v>41000000</v>
      </c>
      <c r="F814" s="39">
        <v>44337</v>
      </c>
      <c r="G814" s="24">
        <v>41000000</v>
      </c>
      <c r="H814" s="23">
        <v>5.0000000000000001E-3</v>
      </c>
      <c r="I814" s="39">
        <v>44470</v>
      </c>
      <c r="J814" s="39">
        <v>44500</v>
      </c>
      <c r="K814" s="24">
        <f t="shared" si="56"/>
        <v>31</v>
      </c>
      <c r="L814" s="24">
        <f t="shared" si="57"/>
        <v>17411</v>
      </c>
      <c r="M814" s="24">
        <v>41000000</v>
      </c>
      <c r="N814" s="39">
        <v>46162</v>
      </c>
    </row>
    <row r="815" spans="1:14" s="5" customFormat="1" outlineLevel="2">
      <c r="A815" s="39" t="s">
        <v>270</v>
      </c>
      <c r="B815" s="40" t="s">
        <v>148</v>
      </c>
      <c r="C815" s="41" t="s">
        <v>143</v>
      </c>
      <c r="D815" s="40" t="s">
        <v>144</v>
      </c>
      <c r="E815" s="24">
        <v>2900000</v>
      </c>
      <c r="F815" s="39">
        <v>44319</v>
      </c>
      <c r="G815" s="24">
        <v>2900000</v>
      </c>
      <c r="H815" s="23">
        <v>5.0000000000000001E-3</v>
      </c>
      <c r="I815" s="39">
        <v>44470</v>
      </c>
      <c r="J815" s="39">
        <v>44500</v>
      </c>
      <c r="K815" s="24">
        <f t="shared" si="56"/>
        <v>31</v>
      </c>
      <c r="L815" s="24">
        <f t="shared" si="57"/>
        <v>1232</v>
      </c>
      <c r="M815" s="24">
        <v>2900000</v>
      </c>
      <c r="N815" s="39">
        <v>46144</v>
      </c>
    </row>
    <row r="816" spans="1:14" s="5" customFormat="1" outlineLevel="2">
      <c r="A816" s="39" t="s">
        <v>270</v>
      </c>
      <c r="B816" s="40" t="s">
        <v>151</v>
      </c>
      <c r="C816" s="41" t="s">
        <v>143</v>
      </c>
      <c r="D816" s="40" t="s">
        <v>144</v>
      </c>
      <c r="E816" s="24">
        <v>6800000</v>
      </c>
      <c r="F816" s="39">
        <v>44327</v>
      </c>
      <c r="G816" s="24">
        <v>6800000</v>
      </c>
      <c r="H816" s="23">
        <v>5.0000000000000001E-3</v>
      </c>
      <c r="I816" s="39">
        <v>44470</v>
      </c>
      <c r="J816" s="39">
        <v>44500</v>
      </c>
      <c r="K816" s="24">
        <f t="shared" si="56"/>
        <v>31</v>
      </c>
      <c r="L816" s="24">
        <f t="shared" si="57"/>
        <v>2888</v>
      </c>
      <c r="M816" s="24">
        <v>6800000</v>
      </c>
      <c r="N816" s="39">
        <v>46152</v>
      </c>
    </row>
    <row r="817" spans="1:14" s="5" customFormat="1" outlineLevel="2">
      <c r="A817" s="39" t="s">
        <v>270</v>
      </c>
      <c r="B817" s="40" t="s">
        <v>152</v>
      </c>
      <c r="C817" s="41" t="s">
        <v>143</v>
      </c>
      <c r="D817" s="40" t="s">
        <v>144</v>
      </c>
      <c r="E817" s="24">
        <v>1620000</v>
      </c>
      <c r="F817" s="39">
        <v>44347</v>
      </c>
      <c r="G817" s="24">
        <v>1620000</v>
      </c>
      <c r="H817" s="23">
        <v>5.0000000000000001E-3</v>
      </c>
      <c r="I817" s="39">
        <v>44470</v>
      </c>
      <c r="J817" s="39">
        <v>44500</v>
      </c>
      <c r="K817" s="24">
        <f t="shared" si="56"/>
        <v>31</v>
      </c>
      <c r="L817" s="24">
        <f t="shared" si="57"/>
        <v>688</v>
      </c>
      <c r="M817" s="24">
        <v>1620000</v>
      </c>
      <c r="N817" s="39">
        <v>46172</v>
      </c>
    </row>
    <row r="818" spans="1:14" s="5" customFormat="1" outlineLevel="2">
      <c r="A818" s="39" t="s">
        <v>270</v>
      </c>
      <c r="B818" s="40" t="s">
        <v>153</v>
      </c>
      <c r="C818" s="41" t="s">
        <v>273</v>
      </c>
      <c r="D818" s="40" t="s">
        <v>272</v>
      </c>
      <c r="E818" s="24">
        <v>1500000</v>
      </c>
      <c r="F818" s="39">
        <v>44321</v>
      </c>
      <c r="G818" s="24">
        <v>1500000</v>
      </c>
      <c r="H818" s="23">
        <v>5.0000000000000001E-3</v>
      </c>
      <c r="I818" s="39">
        <v>44470</v>
      </c>
      <c r="J818" s="39">
        <v>44500</v>
      </c>
      <c r="K818" s="24">
        <f t="shared" si="56"/>
        <v>31</v>
      </c>
      <c r="L818" s="24">
        <f t="shared" si="57"/>
        <v>637</v>
      </c>
      <c r="M818" s="24">
        <v>1500000</v>
      </c>
      <c r="N818" s="39">
        <v>46146</v>
      </c>
    </row>
    <row r="819" spans="1:14" s="5" customFormat="1" outlineLevel="2">
      <c r="A819" s="39" t="s">
        <v>270</v>
      </c>
      <c r="B819" s="40" t="s">
        <v>154</v>
      </c>
      <c r="C819" s="41" t="s">
        <v>273</v>
      </c>
      <c r="D819" s="40" t="s">
        <v>272</v>
      </c>
      <c r="E819" s="24">
        <v>18000000</v>
      </c>
      <c r="F819" s="39">
        <v>44321</v>
      </c>
      <c r="G819" s="24">
        <v>18000000</v>
      </c>
      <c r="H819" s="23">
        <v>5.0000000000000001E-3</v>
      </c>
      <c r="I819" s="39">
        <v>44470</v>
      </c>
      <c r="J819" s="39">
        <v>44500</v>
      </c>
      <c r="K819" s="24">
        <f t="shared" si="56"/>
        <v>31</v>
      </c>
      <c r="L819" s="24">
        <f t="shared" si="57"/>
        <v>7644</v>
      </c>
      <c r="M819" s="24">
        <v>18000000</v>
      </c>
      <c r="N819" s="39">
        <v>46146</v>
      </c>
    </row>
    <row r="820" spans="1:14" s="5" customFormat="1" outlineLevel="2">
      <c r="A820" s="39" t="s">
        <v>270</v>
      </c>
      <c r="B820" s="40" t="s">
        <v>157</v>
      </c>
      <c r="C820" s="41" t="s">
        <v>75</v>
      </c>
      <c r="D820" s="40" t="s">
        <v>76</v>
      </c>
      <c r="E820" s="24">
        <v>38590000</v>
      </c>
      <c r="F820" s="39">
        <v>44321</v>
      </c>
      <c r="G820" s="24">
        <v>38590000</v>
      </c>
      <c r="H820" s="23">
        <v>5.0000000000000001E-3</v>
      </c>
      <c r="I820" s="39">
        <v>44470</v>
      </c>
      <c r="J820" s="39">
        <v>44500</v>
      </c>
      <c r="K820" s="24">
        <f t="shared" si="56"/>
        <v>31</v>
      </c>
      <c r="L820" s="24">
        <f t="shared" si="57"/>
        <v>16388</v>
      </c>
      <c r="M820" s="24">
        <v>38590000</v>
      </c>
      <c r="N820" s="39">
        <v>46146</v>
      </c>
    </row>
    <row r="821" spans="1:14" s="5" customFormat="1" outlineLevel="2">
      <c r="A821" s="39" t="s">
        <v>270</v>
      </c>
      <c r="B821" s="40" t="s">
        <v>158</v>
      </c>
      <c r="C821" s="41" t="s">
        <v>322</v>
      </c>
      <c r="D821" s="40" t="s">
        <v>321</v>
      </c>
      <c r="E821" s="24">
        <v>4163250</v>
      </c>
      <c r="F821" s="39">
        <v>44377</v>
      </c>
      <c r="G821" s="24">
        <v>4163250</v>
      </c>
      <c r="H821" s="23">
        <v>5.0000000000000001E-3</v>
      </c>
      <c r="I821" s="39">
        <v>44470</v>
      </c>
      <c r="J821" s="39">
        <v>44500</v>
      </c>
      <c r="K821" s="24">
        <f t="shared" si="56"/>
        <v>31</v>
      </c>
      <c r="L821" s="24">
        <f t="shared" si="57"/>
        <v>1768</v>
      </c>
      <c r="M821" s="24">
        <v>4163250</v>
      </c>
      <c r="N821" s="39">
        <v>46202</v>
      </c>
    </row>
    <row r="822" spans="1:14" s="5" customFormat="1" outlineLevel="2">
      <c r="A822" s="39" t="s">
        <v>270</v>
      </c>
      <c r="B822" s="40" t="s">
        <v>159</v>
      </c>
      <c r="C822" s="41" t="s">
        <v>274</v>
      </c>
      <c r="D822" s="40" t="s">
        <v>275</v>
      </c>
      <c r="E822" s="24">
        <v>18388440</v>
      </c>
      <c r="F822" s="39">
        <v>44356</v>
      </c>
      <c r="G822" s="24">
        <v>18388440</v>
      </c>
      <c r="H822" s="23">
        <v>5.0000000000000001E-3</v>
      </c>
      <c r="I822" s="39">
        <v>44470</v>
      </c>
      <c r="J822" s="39">
        <v>44500</v>
      </c>
      <c r="K822" s="24">
        <f t="shared" si="56"/>
        <v>31</v>
      </c>
      <c r="L822" s="24">
        <f t="shared" si="57"/>
        <v>7809</v>
      </c>
      <c r="M822" s="24">
        <v>18388440</v>
      </c>
      <c r="N822" s="39">
        <v>46181</v>
      </c>
    </row>
    <row r="823" spans="1:14" s="5" customFormat="1" outlineLevel="2">
      <c r="A823" s="39" t="s">
        <v>270</v>
      </c>
      <c r="B823" s="40" t="s">
        <v>320</v>
      </c>
      <c r="C823" s="41" t="s">
        <v>274</v>
      </c>
      <c r="D823" s="40" t="s">
        <v>275</v>
      </c>
      <c r="E823" s="24">
        <v>21892380</v>
      </c>
      <c r="F823" s="39">
        <v>44356</v>
      </c>
      <c r="G823" s="24">
        <v>21892380</v>
      </c>
      <c r="H823" s="23">
        <v>5.0000000000000001E-3</v>
      </c>
      <c r="I823" s="39">
        <v>44470</v>
      </c>
      <c r="J823" s="39">
        <v>44500</v>
      </c>
      <c r="K823" s="24">
        <f t="shared" si="56"/>
        <v>31</v>
      </c>
      <c r="L823" s="24">
        <f t="shared" si="57"/>
        <v>9297</v>
      </c>
      <c r="M823" s="24">
        <v>21892380</v>
      </c>
      <c r="N823" s="39">
        <v>46181</v>
      </c>
    </row>
    <row r="824" spans="1:14" s="5" customFormat="1" outlineLevel="2">
      <c r="A824" s="39" t="s">
        <v>270</v>
      </c>
      <c r="B824" s="40" t="s">
        <v>22</v>
      </c>
      <c r="C824" s="41" t="s">
        <v>273</v>
      </c>
      <c r="D824" s="40" t="s">
        <v>272</v>
      </c>
      <c r="E824" s="24">
        <v>1300000</v>
      </c>
      <c r="F824" s="39">
        <v>43866</v>
      </c>
      <c r="G824" s="24">
        <v>1300000</v>
      </c>
      <c r="H824" s="23">
        <v>5.0000000000000001E-3</v>
      </c>
      <c r="I824" s="39">
        <v>44470</v>
      </c>
      <c r="J824" s="39">
        <v>44500</v>
      </c>
      <c r="K824" s="24">
        <f t="shared" si="56"/>
        <v>31</v>
      </c>
      <c r="L824" s="24">
        <f t="shared" si="57"/>
        <v>552</v>
      </c>
      <c r="M824" s="24">
        <v>1300000</v>
      </c>
      <c r="N824" s="39">
        <v>45692</v>
      </c>
    </row>
    <row r="825" spans="1:14" s="5" customFormat="1" outlineLevel="2">
      <c r="A825" s="39" t="s">
        <v>270</v>
      </c>
      <c r="B825" s="40" t="s">
        <v>319</v>
      </c>
      <c r="C825" s="41" t="s">
        <v>143</v>
      </c>
      <c r="D825" s="40" t="s">
        <v>144</v>
      </c>
      <c r="E825" s="24">
        <v>900000</v>
      </c>
      <c r="F825" s="39">
        <v>44368</v>
      </c>
      <c r="G825" s="24">
        <v>900000</v>
      </c>
      <c r="H825" s="23">
        <v>5.0000000000000001E-3</v>
      </c>
      <c r="I825" s="39">
        <v>44470</v>
      </c>
      <c r="J825" s="39">
        <v>44500</v>
      </c>
      <c r="K825" s="24">
        <f t="shared" si="56"/>
        <v>31</v>
      </c>
      <c r="L825" s="24">
        <f t="shared" si="57"/>
        <v>382</v>
      </c>
      <c r="M825" s="24">
        <v>900000</v>
      </c>
      <c r="N825" s="39">
        <v>46193</v>
      </c>
    </row>
    <row r="826" spans="1:14" s="5" customFormat="1" outlineLevel="2">
      <c r="A826" s="39" t="s">
        <v>270</v>
      </c>
      <c r="B826" s="40" t="s">
        <v>318</v>
      </c>
      <c r="C826" s="41" t="s">
        <v>273</v>
      </c>
      <c r="D826" s="40" t="s">
        <v>272</v>
      </c>
      <c r="E826" s="24">
        <v>13700000</v>
      </c>
      <c r="F826" s="39">
        <v>44351</v>
      </c>
      <c r="G826" s="24">
        <v>13700000</v>
      </c>
      <c r="H826" s="23">
        <v>5.0000000000000001E-3</v>
      </c>
      <c r="I826" s="39">
        <v>44470</v>
      </c>
      <c r="J826" s="39">
        <v>44500</v>
      </c>
      <c r="K826" s="24">
        <f t="shared" si="56"/>
        <v>31</v>
      </c>
      <c r="L826" s="24">
        <f t="shared" si="57"/>
        <v>5818</v>
      </c>
      <c r="M826" s="24">
        <v>13700000</v>
      </c>
      <c r="N826" s="39">
        <v>46176</v>
      </c>
    </row>
    <row r="827" spans="1:14" s="5" customFormat="1" outlineLevel="2">
      <c r="A827" s="39" t="s">
        <v>270</v>
      </c>
      <c r="B827" s="40" t="s">
        <v>317</v>
      </c>
      <c r="C827" s="41" t="s">
        <v>274</v>
      </c>
      <c r="D827" s="40" t="s">
        <v>275</v>
      </c>
      <c r="E827" s="24">
        <v>21892380</v>
      </c>
      <c r="F827" s="39">
        <v>44391</v>
      </c>
      <c r="G827" s="24">
        <v>21892380</v>
      </c>
      <c r="H827" s="23">
        <v>5.0000000000000001E-3</v>
      </c>
      <c r="I827" s="39">
        <v>44470</v>
      </c>
      <c r="J827" s="39">
        <v>44500</v>
      </c>
      <c r="K827" s="24">
        <f t="shared" si="56"/>
        <v>31</v>
      </c>
      <c r="L827" s="24">
        <f t="shared" si="57"/>
        <v>9297</v>
      </c>
      <c r="M827" s="24">
        <v>21892380</v>
      </c>
      <c r="N827" s="39">
        <v>46216</v>
      </c>
    </row>
    <row r="828" spans="1:14" s="5" customFormat="1" outlineLevel="2">
      <c r="A828" s="39" t="s">
        <v>270</v>
      </c>
      <c r="B828" s="40" t="s">
        <v>316</v>
      </c>
      <c r="C828" s="41" t="s">
        <v>274</v>
      </c>
      <c r="D828" s="40" t="s">
        <v>275</v>
      </c>
      <c r="E828" s="24">
        <v>14303880</v>
      </c>
      <c r="F828" s="39">
        <v>44391</v>
      </c>
      <c r="G828" s="24">
        <v>14303880</v>
      </c>
      <c r="H828" s="23">
        <v>5.0000000000000001E-3</v>
      </c>
      <c r="I828" s="39">
        <v>44470</v>
      </c>
      <c r="J828" s="39">
        <v>44500</v>
      </c>
      <c r="K828" s="24">
        <f t="shared" si="56"/>
        <v>31</v>
      </c>
      <c r="L828" s="24">
        <f t="shared" si="57"/>
        <v>6074</v>
      </c>
      <c r="M828" s="24">
        <v>14303880</v>
      </c>
      <c r="N828" s="39">
        <v>46216</v>
      </c>
    </row>
    <row r="829" spans="1:14" s="5" customFormat="1" outlineLevel="2">
      <c r="A829" s="39" t="s">
        <v>270</v>
      </c>
      <c r="B829" s="40" t="s">
        <v>315</v>
      </c>
      <c r="C829" s="41" t="s">
        <v>115</v>
      </c>
      <c r="D829" s="40" t="s">
        <v>116</v>
      </c>
      <c r="E829" s="24">
        <v>18650000</v>
      </c>
      <c r="F829" s="39">
        <v>44384</v>
      </c>
      <c r="G829" s="24">
        <v>18650000</v>
      </c>
      <c r="H829" s="23">
        <v>5.0000000000000001E-3</v>
      </c>
      <c r="I829" s="39">
        <v>44470</v>
      </c>
      <c r="J829" s="39">
        <v>44500</v>
      </c>
      <c r="K829" s="24">
        <f t="shared" si="56"/>
        <v>31</v>
      </c>
      <c r="L829" s="24">
        <f t="shared" si="57"/>
        <v>7920</v>
      </c>
      <c r="M829" s="24">
        <v>18650000</v>
      </c>
      <c r="N829" s="39">
        <v>46209</v>
      </c>
    </row>
    <row r="830" spans="1:14" s="5" customFormat="1" outlineLevel="2">
      <c r="A830" s="39" t="s">
        <v>270</v>
      </c>
      <c r="B830" s="40" t="s">
        <v>314</v>
      </c>
      <c r="C830" s="41" t="s">
        <v>273</v>
      </c>
      <c r="D830" s="40" t="s">
        <v>272</v>
      </c>
      <c r="E830" s="24">
        <v>16800000</v>
      </c>
      <c r="F830" s="39">
        <v>44382</v>
      </c>
      <c r="G830" s="24">
        <v>16800000</v>
      </c>
      <c r="H830" s="23">
        <v>5.0000000000000001E-3</v>
      </c>
      <c r="I830" s="39">
        <v>44470</v>
      </c>
      <c r="J830" s="39">
        <v>44500</v>
      </c>
      <c r="K830" s="24">
        <f t="shared" si="56"/>
        <v>31</v>
      </c>
      <c r="L830" s="24">
        <f t="shared" si="57"/>
        <v>7134</v>
      </c>
      <c r="M830" s="24">
        <v>16800000</v>
      </c>
      <c r="N830" s="39">
        <v>46207</v>
      </c>
    </row>
    <row r="831" spans="1:14" s="5" customFormat="1" outlineLevel="2">
      <c r="A831" s="39" t="s">
        <v>270</v>
      </c>
      <c r="B831" s="40" t="s">
        <v>313</v>
      </c>
      <c r="C831" s="41" t="s">
        <v>273</v>
      </c>
      <c r="D831" s="40" t="s">
        <v>272</v>
      </c>
      <c r="E831" s="24">
        <v>8400000</v>
      </c>
      <c r="F831" s="39">
        <v>44382</v>
      </c>
      <c r="G831" s="24">
        <v>8400000</v>
      </c>
      <c r="H831" s="23">
        <v>5.0000000000000001E-3</v>
      </c>
      <c r="I831" s="39">
        <v>44470</v>
      </c>
      <c r="J831" s="39">
        <v>44500</v>
      </c>
      <c r="K831" s="24">
        <f t="shared" si="56"/>
        <v>31</v>
      </c>
      <c r="L831" s="24">
        <f t="shared" si="57"/>
        <v>3567</v>
      </c>
      <c r="M831" s="24">
        <v>8400000</v>
      </c>
      <c r="N831" s="39">
        <v>46207</v>
      </c>
    </row>
    <row r="832" spans="1:14" s="5" customFormat="1" outlineLevel="2">
      <c r="A832" s="39" t="s">
        <v>270</v>
      </c>
      <c r="B832" s="40" t="s">
        <v>312</v>
      </c>
      <c r="C832" s="41" t="s">
        <v>273</v>
      </c>
      <c r="D832" s="40" t="s">
        <v>272</v>
      </c>
      <c r="E832" s="24">
        <v>14100000</v>
      </c>
      <c r="F832" s="39">
        <v>44382</v>
      </c>
      <c r="G832" s="24">
        <v>14100000</v>
      </c>
      <c r="H832" s="23">
        <v>5.0000000000000001E-3</v>
      </c>
      <c r="I832" s="39">
        <v>44470</v>
      </c>
      <c r="J832" s="39">
        <v>44500</v>
      </c>
      <c r="K832" s="24">
        <f t="shared" si="56"/>
        <v>31</v>
      </c>
      <c r="L832" s="24">
        <f t="shared" si="57"/>
        <v>5988</v>
      </c>
      <c r="M832" s="24">
        <v>14100000</v>
      </c>
      <c r="N832" s="39">
        <v>46207</v>
      </c>
    </row>
    <row r="833" spans="1:14" s="5" customFormat="1" outlineLevel="2">
      <c r="A833" s="39" t="s">
        <v>270</v>
      </c>
      <c r="B833" s="40" t="s">
        <v>311</v>
      </c>
      <c r="C833" s="41" t="s">
        <v>75</v>
      </c>
      <c r="D833" s="40" t="s">
        <v>76</v>
      </c>
      <c r="E833" s="24">
        <v>44280000</v>
      </c>
      <c r="F833" s="39">
        <v>44378</v>
      </c>
      <c r="G833" s="24">
        <v>44280000</v>
      </c>
      <c r="H833" s="23">
        <v>5.0000000000000001E-3</v>
      </c>
      <c r="I833" s="39">
        <v>44470</v>
      </c>
      <c r="J833" s="39">
        <v>44500</v>
      </c>
      <c r="K833" s="24">
        <f t="shared" si="56"/>
        <v>31</v>
      </c>
      <c r="L833" s="24">
        <f t="shared" si="57"/>
        <v>18804</v>
      </c>
      <c r="M833" s="24">
        <v>44280000</v>
      </c>
      <c r="N833" s="39">
        <v>46203</v>
      </c>
    </row>
    <row r="834" spans="1:14" s="5" customFormat="1" outlineLevel="2">
      <c r="A834" s="39" t="s">
        <v>270</v>
      </c>
      <c r="B834" s="40" t="s">
        <v>310</v>
      </c>
      <c r="C834" s="41" t="s">
        <v>302</v>
      </c>
      <c r="D834" s="40" t="s">
        <v>301</v>
      </c>
      <c r="E834" s="24">
        <v>20206000</v>
      </c>
      <c r="F834" s="39">
        <v>44431</v>
      </c>
      <c r="G834" s="24">
        <v>20206000</v>
      </c>
      <c r="H834" s="23">
        <v>5.0000000000000001E-3</v>
      </c>
      <c r="I834" s="39">
        <v>44470</v>
      </c>
      <c r="J834" s="39">
        <v>44500</v>
      </c>
      <c r="K834" s="24">
        <f t="shared" si="56"/>
        <v>31</v>
      </c>
      <c r="L834" s="24">
        <f t="shared" si="57"/>
        <v>8581</v>
      </c>
      <c r="M834" s="24">
        <v>20206000</v>
      </c>
      <c r="N834" s="39">
        <v>46256</v>
      </c>
    </row>
    <row r="835" spans="1:14" s="5" customFormat="1" outlineLevel="2">
      <c r="A835" s="39" t="s">
        <v>270</v>
      </c>
      <c r="B835" s="40" t="s">
        <v>25</v>
      </c>
      <c r="C835" s="41" t="s">
        <v>274</v>
      </c>
      <c r="D835" s="40" t="s">
        <v>275</v>
      </c>
      <c r="E835" s="24">
        <v>9087600</v>
      </c>
      <c r="F835" s="39">
        <v>43901</v>
      </c>
      <c r="G835" s="24">
        <v>9087600</v>
      </c>
      <c r="H835" s="23">
        <v>5.0000000000000001E-3</v>
      </c>
      <c r="I835" s="39">
        <v>44470</v>
      </c>
      <c r="J835" s="39">
        <v>44500</v>
      </c>
      <c r="K835" s="24">
        <f t="shared" si="56"/>
        <v>31</v>
      </c>
      <c r="L835" s="24">
        <f t="shared" si="57"/>
        <v>3859</v>
      </c>
      <c r="M835" s="24">
        <v>9087600</v>
      </c>
      <c r="N835" s="39">
        <v>45726</v>
      </c>
    </row>
    <row r="836" spans="1:14" s="5" customFormat="1" outlineLevel="2">
      <c r="A836" s="39" t="s">
        <v>270</v>
      </c>
      <c r="B836" s="40" t="s">
        <v>309</v>
      </c>
      <c r="C836" s="41" t="s">
        <v>322</v>
      </c>
      <c r="D836" s="40" t="s">
        <v>321</v>
      </c>
      <c r="E836" s="24">
        <v>3202500</v>
      </c>
      <c r="F836" s="39">
        <v>44410</v>
      </c>
      <c r="G836" s="24">
        <v>3202500</v>
      </c>
      <c r="H836" s="23">
        <v>5.0000000000000001E-3</v>
      </c>
      <c r="I836" s="39">
        <v>44470</v>
      </c>
      <c r="J836" s="39">
        <v>44500</v>
      </c>
      <c r="K836" s="24">
        <f t="shared" si="56"/>
        <v>31</v>
      </c>
      <c r="L836" s="24">
        <f t="shared" si="57"/>
        <v>1360</v>
      </c>
      <c r="M836" s="24">
        <v>3202500</v>
      </c>
      <c r="N836" s="39">
        <v>46235</v>
      </c>
    </row>
    <row r="837" spans="1:14" s="5" customFormat="1" outlineLevel="2">
      <c r="A837" s="39" t="s">
        <v>270</v>
      </c>
      <c r="B837" s="40" t="s">
        <v>308</v>
      </c>
      <c r="C837" s="41" t="s">
        <v>322</v>
      </c>
      <c r="D837" s="40" t="s">
        <v>321</v>
      </c>
      <c r="E837" s="24">
        <v>3202500</v>
      </c>
      <c r="F837" s="39">
        <v>44439</v>
      </c>
      <c r="G837" s="24">
        <v>3202500</v>
      </c>
      <c r="H837" s="23">
        <v>5.0000000000000001E-3</v>
      </c>
      <c r="I837" s="39">
        <v>44470</v>
      </c>
      <c r="J837" s="39">
        <v>44500</v>
      </c>
      <c r="K837" s="24">
        <f t="shared" si="56"/>
        <v>31</v>
      </c>
      <c r="L837" s="24">
        <f t="shared" si="57"/>
        <v>1360</v>
      </c>
      <c r="M837" s="24">
        <v>3202500</v>
      </c>
      <c r="N837" s="39">
        <v>46264</v>
      </c>
    </row>
    <row r="838" spans="1:14" s="5" customFormat="1" outlineLevel="2">
      <c r="A838" s="39" t="s">
        <v>270</v>
      </c>
      <c r="B838" s="40" t="s">
        <v>307</v>
      </c>
      <c r="C838" s="41" t="s">
        <v>274</v>
      </c>
      <c r="D838" s="40" t="s">
        <v>275</v>
      </c>
      <c r="E838" s="24">
        <v>14303880</v>
      </c>
      <c r="F838" s="39">
        <v>44419</v>
      </c>
      <c r="G838" s="24">
        <v>14303880</v>
      </c>
      <c r="H838" s="23">
        <v>5.0000000000000001E-3</v>
      </c>
      <c r="I838" s="39">
        <v>44470</v>
      </c>
      <c r="J838" s="39">
        <v>44500</v>
      </c>
      <c r="K838" s="24">
        <f t="shared" si="56"/>
        <v>31</v>
      </c>
      <c r="L838" s="24">
        <f t="shared" si="57"/>
        <v>6074</v>
      </c>
      <c r="M838" s="24">
        <v>14303880</v>
      </c>
      <c r="N838" s="39">
        <v>46244</v>
      </c>
    </row>
    <row r="839" spans="1:14" s="5" customFormat="1" outlineLevel="2">
      <c r="A839" s="39" t="s">
        <v>270</v>
      </c>
      <c r="B839" s="40" t="s">
        <v>335</v>
      </c>
      <c r="C839" s="41" t="s">
        <v>274</v>
      </c>
      <c r="D839" s="40" t="s">
        <v>275</v>
      </c>
      <c r="E839" s="24">
        <v>18035040</v>
      </c>
      <c r="F839" s="39">
        <v>44419</v>
      </c>
      <c r="G839" s="24">
        <v>18035040</v>
      </c>
      <c r="H839" s="23">
        <v>5.0000000000000001E-3</v>
      </c>
      <c r="I839" s="39">
        <v>44470</v>
      </c>
      <c r="J839" s="39">
        <v>44500</v>
      </c>
      <c r="K839" s="24">
        <f t="shared" si="56"/>
        <v>31</v>
      </c>
      <c r="L839" s="24">
        <f t="shared" si="57"/>
        <v>7659</v>
      </c>
      <c r="M839" s="24">
        <v>18035040</v>
      </c>
      <c r="N839" s="39">
        <v>46244</v>
      </c>
    </row>
    <row r="840" spans="1:14" s="5" customFormat="1" outlineLevel="2">
      <c r="A840" s="39" t="s">
        <v>270</v>
      </c>
      <c r="B840" s="40" t="s">
        <v>334</v>
      </c>
      <c r="C840" s="41" t="s">
        <v>252</v>
      </c>
      <c r="D840" s="40" t="s">
        <v>253</v>
      </c>
      <c r="E840" s="24">
        <v>54300000</v>
      </c>
      <c r="F840" s="39">
        <v>44414</v>
      </c>
      <c r="G840" s="24">
        <v>54300000</v>
      </c>
      <c r="H840" s="23">
        <v>5.0000000000000001E-3</v>
      </c>
      <c r="I840" s="39">
        <v>44470</v>
      </c>
      <c r="J840" s="39">
        <v>44500</v>
      </c>
      <c r="K840" s="24">
        <f t="shared" si="56"/>
        <v>31</v>
      </c>
      <c r="L840" s="24">
        <f t="shared" si="57"/>
        <v>23059</v>
      </c>
      <c r="M840" s="24">
        <v>54300000</v>
      </c>
      <c r="N840" s="39">
        <v>46239</v>
      </c>
    </row>
    <row r="841" spans="1:14" s="5" customFormat="1" outlineLevel="2">
      <c r="A841" s="39" t="s">
        <v>270</v>
      </c>
      <c r="B841" s="40" t="s">
        <v>333</v>
      </c>
      <c r="C841" s="41" t="s">
        <v>143</v>
      </c>
      <c r="D841" s="40" t="s">
        <v>144</v>
      </c>
      <c r="E841" s="24">
        <v>10000000</v>
      </c>
      <c r="F841" s="39">
        <v>44410</v>
      </c>
      <c r="G841" s="24">
        <v>10000000</v>
      </c>
      <c r="H841" s="23">
        <v>5.0000000000000001E-3</v>
      </c>
      <c r="I841" s="39">
        <v>44470</v>
      </c>
      <c r="J841" s="39">
        <v>44500</v>
      </c>
      <c r="K841" s="24">
        <f t="shared" si="56"/>
        <v>31</v>
      </c>
      <c r="L841" s="24">
        <f t="shared" si="57"/>
        <v>4247</v>
      </c>
      <c r="M841" s="24">
        <v>10000000</v>
      </c>
      <c r="N841" s="39">
        <v>46235</v>
      </c>
    </row>
    <row r="842" spans="1:14" s="5" customFormat="1" outlineLevel="2">
      <c r="A842" s="39" t="s">
        <v>270</v>
      </c>
      <c r="B842" s="40" t="s">
        <v>332</v>
      </c>
      <c r="C842" s="41" t="s">
        <v>143</v>
      </c>
      <c r="D842" s="40" t="s">
        <v>144</v>
      </c>
      <c r="E842" s="24">
        <v>5990000</v>
      </c>
      <c r="F842" s="39">
        <v>44439</v>
      </c>
      <c r="G842" s="24">
        <v>5990000</v>
      </c>
      <c r="H842" s="23">
        <v>5.0000000000000001E-3</v>
      </c>
      <c r="I842" s="39">
        <v>44470</v>
      </c>
      <c r="J842" s="39">
        <v>44500</v>
      </c>
      <c r="K842" s="24">
        <f t="shared" si="56"/>
        <v>31</v>
      </c>
      <c r="L842" s="24">
        <f t="shared" si="57"/>
        <v>2544</v>
      </c>
      <c r="M842" s="24">
        <v>5990000</v>
      </c>
      <c r="N842" s="39">
        <v>46264</v>
      </c>
    </row>
    <row r="843" spans="1:14" s="5" customFormat="1" outlineLevel="2">
      <c r="A843" s="39" t="s">
        <v>270</v>
      </c>
      <c r="B843" s="40" t="s">
        <v>331</v>
      </c>
      <c r="C843" s="41" t="s">
        <v>273</v>
      </c>
      <c r="D843" s="40" t="s">
        <v>272</v>
      </c>
      <c r="E843" s="24">
        <v>10700000</v>
      </c>
      <c r="F843" s="39">
        <v>44413</v>
      </c>
      <c r="G843" s="24">
        <v>10700000</v>
      </c>
      <c r="H843" s="23">
        <v>5.0000000000000001E-3</v>
      </c>
      <c r="I843" s="39">
        <v>44470</v>
      </c>
      <c r="J843" s="39">
        <v>44500</v>
      </c>
      <c r="K843" s="24">
        <f t="shared" si="56"/>
        <v>31</v>
      </c>
      <c r="L843" s="24">
        <f t="shared" si="57"/>
        <v>4544</v>
      </c>
      <c r="M843" s="24">
        <v>10700000</v>
      </c>
      <c r="N843" s="39">
        <v>46238</v>
      </c>
    </row>
    <row r="844" spans="1:14" s="5" customFormat="1" outlineLevel="2">
      <c r="A844" s="39" t="s">
        <v>270</v>
      </c>
      <c r="B844" s="40" t="s">
        <v>330</v>
      </c>
      <c r="C844" s="41" t="s">
        <v>273</v>
      </c>
      <c r="D844" s="40" t="s">
        <v>272</v>
      </c>
      <c r="E844" s="24">
        <v>11600000</v>
      </c>
      <c r="F844" s="39">
        <v>44413</v>
      </c>
      <c r="G844" s="24">
        <v>11600000</v>
      </c>
      <c r="H844" s="23">
        <v>5.0000000000000001E-3</v>
      </c>
      <c r="I844" s="39">
        <v>44470</v>
      </c>
      <c r="J844" s="39">
        <v>44500</v>
      </c>
      <c r="K844" s="24">
        <f t="shared" ref="K844:K875" si="58">J844-I844+1</f>
        <v>31</v>
      </c>
      <c r="L844" s="24">
        <f t="shared" ref="L844:L875" si="59">ROUND(G844*H844*K844/365,0)</f>
        <v>4926</v>
      </c>
      <c r="M844" s="24">
        <v>11600000</v>
      </c>
      <c r="N844" s="39">
        <v>46238</v>
      </c>
    </row>
    <row r="845" spans="1:14" s="5" customFormat="1" outlineLevel="2">
      <c r="A845" s="39" t="s">
        <v>270</v>
      </c>
      <c r="B845" s="40" t="s">
        <v>329</v>
      </c>
      <c r="C845" s="41" t="s">
        <v>273</v>
      </c>
      <c r="D845" s="40" t="s">
        <v>272</v>
      </c>
      <c r="E845" s="24">
        <v>4400000</v>
      </c>
      <c r="F845" s="39">
        <v>44413</v>
      </c>
      <c r="G845" s="24">
        <v>4400000</v>
      </c>
      <c r="H845" s="23">
        <v>5.0000000000000001E-3</v>
      </c>
      <c r="I845" s="39">
        <v>44470</v>
      </c>
      <c r="J845" s="39">
        <v>44500</v>
      </c>
      <c r="K845" s="24">
        <f t="shared" si="58"/>
        <v>31</v>
      </c>
      <c r="L845" s="24">
        <f t="shared" si="59"/>
        <v>1868</v>
      </c>
      <c r="M845" s="24">
        <v>4400000</v>
      </c>
      <c r="N845" s="39">
        <v>46238</v>
      </c>
    </row>
    <row r="846" spans="1:14" s="5" customFormat="1" outlineLevel="2">
      <c r="A846" s="39" t="s">
        <v>270</v>
      </c>
      <c r="B846" s="40" t="s">
        <v>26</v>
      </c>
      <c r="C846" s="41" t="s">
        <v>274</v>
      </c>
      <c r="D846" s="40" t="s">
        <v>275</v>
      </c>
      <c r="E846" s="24">
        <v>7270080</v>
      </c>
      <c r="F846" s="39">
        <v>43901</v>
      </c>
      <c r="G846" s="24">
        <v>7270080</v>
      </c>
      <c r="H846" s="23">
        <v>5.0000000000000001E-3</v>
      </c>
      <c r="I846" s="39">
        <v>44470</v>
      </c>
      <c r="J846" s="39">
        <v>44500</v>
      </c>
      <c r="K846" s="24">
        <f t="shared" si="58"/>
        <v>31</v>
      </c>
      <c r="L846" s="24">
        <f t="shared" si="59"/>
        <v>3087</v>
      </c>
      <c r="M846" s="24">
        <v>7270080</v>
      </c>
      <c r="N846" s="39">
        <v>45726</v>
      </c>
    </row>
    <row r="847" spans="1:14" s="5" customFormat="1" outlineLevel="2">
      <c r="A847" s="39" t="s">
        <v>270</v>
      </c>
      <c r="B847" s="40" t="s">
        <v>328</v>
      </c>
      <c r="C847" s="41" t="s">
        <v>363</v>
      </c>
      <c r="D847" s="40" t="s">
        <v>362</v>
      </c>
      <c r="E847" s="24">
        <v>5700000</v>
      </c>
      <c r="F847" s="39">
        <v>44438</v>
      </c>
      <c r="G847" s="24">
        <v>5700000</v>
      </c>
      <c r="H847" s="23">
        <v>5.0000000000000001E-3</v>
      </c>
      <c r="I847" s="39">
        <v>44470</v>
      </c>
      <c r="J847" s="39">
        <v>44500</v>
      </c>
      <c r="K847" s="24">
        <f t="shared" si="58"/>
        <v>31</v>
      </c>
      <c r="L847" s="24">
        <f t="shared" si="59"/>
        <v>2421</v>
      </c>
      <c r="M847" s="24">
        <v>5700000</v>
      </c>
      <c r="N847" s="39">
        <v>45533</v>
      </c>
    </row>
    <row r="848" spans="1:14" s="5" customFormat="1" outlineLevel="2">
      <c r="A848" s="39" t="s">
        <v>270</v>
      </c>
      <c r="B848" s="40" t="s">
        <v>327</v>
      </c>
      <c r="C848" s="41" t="s">
        <v>410</v>
      </c>
      <c r="D848" s="40" t="s">
        <v>409</v>
      </c>
      <c r="E848" s="24">
        <v>1470000</v>
      </c>
      <c r="F848" s="39">
        <v>44468</v>
      </c>
      <c r="G848" s="24">
        <v>1470000</v>
      </c>
      <c r="H848" s="23">
        <v>5.0000000000000001E-3</v>
      </c>
      <c r="I848" s="39">
        <v>44470</v>
      </c>
      <c r="J848" s="39">
        <v>44500</v>
      </c>
      <c r="K848" s="24">
        <f t="shared" si="58"/>
        <v>31</v>
      </c>
      <c r="L848" s="24">
        <f t="shared" si="59"/>
        <v>624</v>
      </c>
      <c r="M848" s="24">
        <v>1470000</v>
      </c>
      <c r="N848" s="39">
        <v>45563</v>
      </c>
    </row>
    <row r="849" spans="1:14" s="5" customFormat="1" outlineLevel="2">
      <c r="A849" s="39" t="s">
        <v>270</v>
      </c>
      <c r="B849" s="40" t="s">
        <v>326</v>
      </c>
      <c r="C849" s="41" t="s">
        <v>294</v>
      </c>
      <c r="D849" s="40" t="s">
        <v>295</v>
      </c>
      <c r="E849" s="24">
        <v>135260000</v>
      </c>
      <c r="F849" s="39">
        <v>44467</v>
      </c>
      <c r="G849" s="24">
        <v>135260000</v>
      </c>
      <c r="H849" s="23">
        <v>3.0000000000000001E-3</v>
      </c>
      <c r="I849" s="39">
        <v>44470</v>
      </c>
      <c r="J849" s="39">
        <v>44500</v>
      </c>
      <c r="K849" s="24">
        <f t="shared" si="58"/>
        <v>31</v>
      </c>
      <c r="L849" s="24">
        <f t="shared" si="59"/>
        <v>34464</v>
      </c>
      <c r="M849" s="24">
        <v>135260000</v>
      </c>
      <c r="N849" s="39">
        <v>45562</v>
      </c>
    </row>
    <row r="850" spans="1:14" s="5" customFormat="1" outlineLevel="2">
      <c r="A850" s="39" t="s">
        <v>270</v>
      </c>
      <c r="B850" s="40" t="s">
        <v>325</v>
      </c>
      <c r="C850" s="41" t="s">
        <v>302</v>
      </c>
      <c r="D850" s="40" t="s">
        <v>301</v>
      </c>
      <c r="E850" s="24">
        <v>32320000</v>
      </c>
      <c r="F850" s="39">
        <v>44446</v>
      </c>
      <c r="G850" s="24">
        <v>32320000</v>
      </c>
      <c r="H850" s="23">
        <v>5.0000000000000001E-3</v>
      </c>
      <c r="I850" s="39">
        <v>44470</v>
      </c>
      <c r="J850" s="39">
        <v>44500</v>
      </c>
      <c r="K850" s="24">
        <f t="shared" si="58"/>
        <v>31</v>
      </c>
      <c r="L850" s="24">
        <f t="shared" si="59"/>
        <v>13725</v>
      </c>
      <c r="M850" s="24">
        <v>32320000</v>
      </c>
      <c r="N850" s="39">
        <v>46271</v>
      </c>
    </row>
    <row r="851" spans="1:14" s="5" customFormat="1" outlineLevel="2">
      <c r="A851" s="39" t="s">
        <v>270</v>
      </c>
      <c r="B851" s="40" t="s">
        <v>361</v>
      </c>
      <c r="C851" s="41" t="s">
        <v>322</v>
      </c>
      <c r="D851" s="40" t="s">
        <v>321</v>
      </c>
      <c r="E851" s="24">
        <v>3202500</v>
      </c>
      <c r="F851" s="39">
        <v>44469</v>
      </c>
      <c r="G851" s="24">
        <v>3202500</v>
      </c>
      <c r="H851" s="23">
        <v>5.0000000000000001E-3</v>
      </c>
      <c r="I851" s="39">
        <v>44470</v>
      </c>
      <c r="J851" s="39">
        <v>44500</v>
      </c>
      <c r="K851" s="24">
        <f t="shared" si="58"/>
        <v>31</v>
      </c>
      <c r="L851" s="24">
        <f t="shared" si="59"/>
        <v>1360</v>
      </c>
      <c r="M851" s="24">
        <v>3202500</v>
      </c>
      <c r="N851" s="39">
        <v>46294</v>
      </c>
    </row>
    <row r="852" spans="1:14" s="5" customFormat="1" outlineLevel="2">
      <c r="A852" s="39" t="s">
        <v>270</v>
      </c>
      <c r="B852" s="40" t="s">
        <v>360</v>
      </c>
      <c r="C852" s="41" t="s">
        <v>408</v>
      </c>
      <c r="D852" s="40" t="s">
        <v>407</v>
      </c>
      <c r="E852" s="24">
        <v>63000000</v>
      </c>
      <c r="F852" s="39">
        <v>44442</v>
      </c>
      <c r="G852" s="24">
        <v>63000000</v>
      </c>
      <c r="H852" s="23">
        <v>5.0000000000000001E-3</v>
      </c>
      <c r="I852" s="39">
        <v>44470</v>
      </c>
      <c r="J852" s="39">
        <v>44500</v>
      </c>
      <c r="K852" s="24">
        <f t="shared" si="58"/>
        <v>31</v>
      </c>
      <c r="L852" s="24">
        <f t="shared" si="59"/>
        <v>26753</v>
      </c>
      <c r="M852" s="24">
        <v>63000000</v>
      </c>
      <c r="N852" s="39">
        <v>45537</v>
      </c>
    </row>
    <row r="853" spans="1:14" s="5" customFormat="1" outlineLevel="2">
      <c r="A853" s="39" t="s">
        <v>270</v>
      </c>
      <c r="B853" s="40" t="s">
        <v>359</v>
      </c>
      <c r="C853" s="41" t="s">
        <v>274</v>
      </c>
      <c r="D853" s="40" t="s">
        <v>275</v>
      </c>
      <c r="E853" s="24">
        <v>18035040</v>
      </c>
      <c r="F853" s="39">
        <v>44447</v>
      </c>
      <c r="G853" s="24">
        <v>18035040</v>
      </c>
      <c r="H853" s="23">
        <v>5.0000000000000001E-3</v>
      </c>
      <c r="I853" s="39">
        <v>44470</v>
      </c>
      <c r="J853" s="39">
        <v>44500</v>
      </c>
      <c r="K853" s="24">
        <f t="shared" si="58"/>
        <v>31</v>
      </c>
      <c r="L853" s="24">
        <f t="shared" si="59"/>
        <v>7659</v>
      </c>
      <c r="M853" s="24">
        <v>18035040</v>
      </c>
      <c r="N853" s="39">
        <v>46272</v>
      </c>
    </row>
    <row r="854" spans="1:14" s="5" customFormat="1" outlineLevel="2">
      <c r="A854" s="39" t="s">
        <v>270</v>
      </c>
      <c r="B854" s="40" t="s">
        <v>358</v>
      </c>
      <c r="C854" s="41" t="s">
        <v>274</v>
      </c>
      <c r="D854" s="40" t="s">
        <v>275</v>
      </c>
      <c r="E854" s="24">
        <v>9909960</v>
      </c>
      <c r="F854" s="39">
        <v>44447</v>
      </c>
      <c r="G854" s="24">
        <v>9909960</v>
      </c>
      <c r="H854" s="23">
        <v>5.0000000000000001E-3</v>
      </c>
      <c r="I854" s="39">
        <v>44470</v>
      </c>
      <c r="J854" s="39">
        <v>44500</v>
      </c>
      <c r="K854" s="24">
        <f t="shared" si="58"/>
        <v>31</v>
      </c>
      <c r="L854" s="24">
        <f t="shared" si="59"/>
        <v>4208</v>
      </c>
      <c r="M854" s="24">
        <v>9909960</v>
      </c>
      <c r="N854" s="39">
        <v>46272</v>
      </c>
    </row>
    <row r="855" spans="1:14" s="5" customFormat="1" outlineLevel="2">
      <c r="A855" s="39" t="s">
        <v>270</v>
      </c>
      <c r="B855" s="40" t="s">
        <v>357</v>
      </c>
      <c r="C855" s="41" t="s">
        <v>143</v>
      </c>
      <c r="D855" s="40" t="s">
        <v>144</v>
      </c>
      <c r="E855" s="24">
        <v>1840000</v>
      </c>
      <c r="F855" s="39">
        <v>44469</v>
      </c>
      <c r="G855" s="24">
        <v>1840000</v>
      </c>
      <c r="H855" s="23">
        <v>5.0000000000000001E-3</v>
      </c>
      <c r="I855" s="39">
        <v>44470</v>
      </c>
      <c r="J855" s="39">
        <v>44500</v>
      </c>
      <c r="K855" s="24">
        <f t="shared" si="58"/>
        <v>31</v>
      </c>
      <c r="L855" s="24">
        <f t="shared" si="59"/>
        <v>781</v>
      </c>
      <c r="M855" s="24">
        <v>1840000</v>
      </c>
      <c r="N855" s="39">
        <v>46294</v>
      </c>
    </row>
    <row r="856" spans="1:14" s="5" customFormat="1" outlineLevel="2">
      <c r="A856" s="39" t="s">
        <v>270</v>
      </c>
      <c r="B856" s="40" t="s">
        <v>356</v>
      </c>
      <c r="C856" s="41" t="s">
        <v>273</v>
      </c>
      <c r="D856" s="40" t="s">
        <v>272</v>
      </c>
      <c r="E856" s="24">
        <v>8600000</v>
      </c>
      <c r="F856" s="39">
        <v>44442</v>
      </c>
      <c r="G856" s="24">
        <v>8600000</v>
      </c>
      <c r="H856" s="23">
        <v>5.0000000000000001E-3</v>
      </c>
      <c r="I856" s="39">
        <v>44470</v>
      </c>
      <c r="J856" s="39">
        <v>44500</v>
      </c>
      <c r="K856" s="24">
        <f t="shared" si="58"/>
        <v>31</v>
      </c>
      <c r="L856" s="24">
        <f t="shared" si="59"/>
        <v>3652</v>
      </c>
      <c r="M856" s="24">
        <v>8600000</v>
      </c>
      <c r="N856" s="39">
        <v>46267</v>
      </c>
    </row>
    <row r="857" spans="1:14" s="5" customFormat="1" outlineLevel="2">
      <c r="A857" s="39" t="s">
        <v>270</v>
      </c>
      <c r="B857" s="40" t="s">
        <v>29</v>
      </c>
      <c r="C857" s="41" t="s">
        <v>273</v>
      </c>
      <c r="D857" s="40" t="s">
        <v>272</v>
      </c>
      <c r="E857" s="24">
        <v>99400000</v>
      </c>
      <c r="F857" s="39">
        <v>43917</v>
      </c>
      <c r="G857" s="24">
        <v>99400000</v>
      </c>
      <c r="H857" s="23">
        <v>5.0000000000000001E-3</v>
      </c>
      <c r="I857" s="39">
        <v>44470</v>
      </c>
      <c r="J857" s="39">
        <v>44500</v>
      </c>
      <c r="K857" s="24">
        <f t="shared" si="58"/>
        <v>31</v>
      </c>
      <c r="L857" s="24">
        <f t="shared" si="59"/>
        <v>42211</v>
      </c>
      <c r="M857" s="24">
        <v>99400000</v>
      </c>
      <c r="N857" s="39">
        <v>45742</v>
      </c>
    </row>
    <row r="858" spans="1:14" s="5" customFormat="1" outlineLevel="2">
      <c r="A858" s="39" t="s">
        <v>270</v>
      </c>
      <c r="B858" s="40" t="s">
        <v>355</v>
      </c>
      <c r="C858" s="41" t="s">
        <v>273</v>
      </c>
      <c r="D858" s="40" t="s">
        <v>272</v>
      </c>
      <c r="E858" s="24">
        <v>2400000</v>
      </c>
      <c r="F858" s="39">
        <v>44442</v>
      </c>
      <c r="G858" s="24">
        <v>2400000</v>
      </c>
      <c r="H858" s="23">
        <v>5.0000000000000001E-3</v>
      </c>
      <c r="I858" s="39">
        <v>44470</v>
      </c>
      <c r="J858" s="39">
        <v>44500</v>
      </c>
      <c r="K858" s="24">
        <f t="shared" si="58"/>
        <v>31</v>
      </c>
      <c r="L858" s="24">
        <f t="shared" si="59"/>
        <v>1019</v>
      </c>
      <c r="M858" s="24">
        <v>2400000</v>
      </c>
      <c r="N858" s="39">
        <v>46267</v>
      </c>
    </row>
    <row r="859" spans="1:14" s="5" customFormat="1" outlineLevel="2">
      <c r="A859" s="39" t="s">
        <v>270</v>
      </c>
      <c r="B859" s="40" t="s">
        <v>354</v>
      </c>
      <c r="C859" s="41" t="s">
        <v>294</v>
      </c>
      <c r="D859" s="40" t="s">
        <v>295</v>
      </c>
      <c r="E859" s="24">
        <v>136110000</v>
      </c>
      <c r="F859" s="39">
        <v>44495</v>
      </c>
      <c r="G859" s="24">
        <v>136110000</v>
      </c>
      <c r="H859" s="23">
        <v>3.0000000000000001E-3</v>
      </c>
      <c r="I859" s="39">
        <v>44495</v>
      </c>
      <c r="J859" s="39">
        <v>44500</v>
      </c>
      <c r="K859" s="24">
        <f t="shared" si="58"/>
        <v>6</v>
      </c>
      <c r="L859" s="24">
        <f t="shared" si="59"/>
        <v>6712</v>
      </c>
      <c r="M859" s="24">
        <v>136110000</v>
      </c>
      <c r="N859" s="39">
        <v>45590</v>
      </c>
    </row>
    <row r="860" spans="1:14" s="5" customFormat="1" outlineLevel="2">
      <c r="A860" s="39" t="s">
        <v>270</v>
      </c>
      <c r="B860" s="40" t="s">
        <v>353</v>
      </c>
      <c r="C860" s="41" t="s">
        <v>408</v>
      </c>
      <c r="D860" s="40" t="s">
        <v>407</v>
      </c>
      <c r="E860" s="24">
        <v>50000000</v>
      </c>
      <c r="F860" s="39">
        <v>44473</v>
      </c>
      <c r="G860" s="24">
        <v>50000000</v>
      </c>
      <c r="H860" s="23">
        <v>5.0000000000000001E-3</v>
      </c>
      <c r="I860" s="39">
        <v>44473</v>
      </c>
      <c r="J860" s="39">
        <v>44500</v>
      </c>
      <c r="K860" s="24">
        <f t="shared" si="58"/>
        <v>28</v>
      </c>
      <c r="L860" s="24">
        <f t="shared" si="59"/>
        <v>19178</v>
      </c>
      <c r="M860" s="24">
        <v>50000000</v>
      </c>
      <c r="N860" s="39">
        <v>45568</v>
      </c>
    </row>
    <row r="861" spans="1:14" s="5" customFormat="1" outlineLevel="2">
      <c r="A861" s="39" t="s">
        <v>270</v>
      </c>
      <c r="B861" s="40" t="s">
        <v>352</v>
      </c>
      <c r="C861" s="41" t="s">
        <v>274</v>
      </c>
      <c r="D861" s="40" t="s">
        <v>275</v>
      </c>
      <c r="E861" s="24">
        <v>9909960</v>
      </c>
      <c r="F861" s="39">
        <v>44482</v>
      </c>
      <c r="G861" s="24">
        <v>9909960</v>
      </c>
      <c r="H861" s="23">
        <v>5.0000000000000001E-3</v>
      </c>
      <c r="I861" s="39">
        <v>44482</v>
      </c>
      <c r="J861" s="39">
        <v>44500</v>
      </c>
      <c r="K861" s="24">
        <f t="shared" si="58"/>
        <v>19</v>
      </c>
      <c r="L861" s="24">
        <f t="shared" si="59"/>
        <v>2579</v>
      </c>
      <c r="M861" s="24">
        <v>9909960</v>
      </c>
      <c r="N861" s="39">
        <v>46307</v>
      </c>
    </row>
    <row r="862" spans="1:14" s="5" customFormat="1" outlineLevel="2">
      <c r="A862" s="39" t="s">
        <v>270</v>
      </c>
      <c r="B862" s="40" t="s">
        <v>349</v>
      </c>
      <c r="C862" s="41" t="s">
        <v>274</v>
      </c>
      <c r="D862" s="40" t="s">
        <v>275</v>
      </c>
      <c r="E862" s="24">
        <v>6913320</v>
      </c>
      <c r="F862" s="39">
        <v>44482</v>
      </c>
      <c r="G862" s="24">
        <v>6913320</v>
      </c>
      <c r="H862" s="23">
        <v>5.0000000000000001E-3</v>
      </c>
      <c r="I862" s="39">
        <v>44482</v>
      </c>
      <c r="J862" s="39">
        <v>44500</v>
      </c>
      <c r="K862" s="24">
        <f t="shared" si="58"/>
        <v>19</v>
      </c>
      <c r="L862" s="24">
        <f t="shared" si="59"/>
        <v>1799</v>
      </c>
      <c r="M862" s="24">
        <v>6913320</v>
      </c>
      <c r="N862" s="39">
        <v>46307</v>
      </c>
    </row>
    <row r="863" spans="1:14" s="5" customFormat="1" outlineLevel="2">
      <c r="A863" s="39" t="s">
        <v>270</v>
      </c>
      <c r="B863" s="40" t="s">
        <v>348</v>
      </c>
      <c r="C863" s="41" t="s">
        <v>274</v>
      </c>
      <c r="D863" s="40" t="s">
        <v>275</v>
      </c>
      <c r="E863" s="24">
        <v>19920000</v>
      </c>
      <c r="F863" s="39">
        <v>44482</v>
      </c>
      <c r="G863" s="24">
        <v>19920000</v>
      </c>
      <c r="H863" s="23">
        <v>5.0000000000000001E-3</v>
      </c>
      <c r="I863" s="39">
        <v>44482</v>
      </c>
      <c r="J863" s="39">
        <v>44500</v>
      </c>
      <c r="K863" s="24">
        <f t="shared" si="58"/>
        <v>19</v>
      </c>
      <c r="L863" s="24">
        <f t="shared" si="59"/>
        <v>5185</v>
      </c>
      <c r="M863" s="24">
        <v>19920000</v>
      </c>
      <c r="N863" s="39">
        <v>46307</v>
      </c>
    </row>
    <row r="864" spans="1:14" s="5" customFormat="1" outlineLevel="2">
      <c r="A864" s="39" t="s">
        <v>270</v>
      </c>
      <c r="B864" s="40" t="s">
        <v>347</v>
      </c>
      <c r="C864" s="41" t="s">
        <v>274</v>
      </c>
      <c r="D864" s="40" t="s">
        <v>275</v>
      </c>
      <c r="E864" s="24">
        <v>1305264</v>
      </c>
      <c r="F864" s="39">
        <v>44482</v>
      </c>
      <c r="G864" s="24">
        <v>1305264</v>
      </c>
      <c r="H864" s="23">
        <v>5.0000000000000001E-3</v>
      </c>
      <c r="I864" s="39">
        <v>44482</v>
      </c>
      <c r="J864" s="39">
        <v>44500</v>
      </c>
      <c r="K864" s="24">
        <f t="shared" si="58"/>
        <v>19</v>
      </c>
      <c r="L864" s="24">
        <f t="shared" si="59"/>
        <v>340</v>
      </c>
      <c r="M864" s="24">
        <v>1305264</v>
      </c>
      <c r="N864" s="39">
        <v>46307</v>
      </c>
    </row>
    <row r="865" spans="1:14" s="5" customFormat="1" outlineLevel="2">
      <c r="A865" s="39" t="s">
        <v>270</v>
      </c>
      <c r="B865" s="40" t="s">
        <v>346</v>
      </c>
      <c r="C865" s="41" t="s">
        <v>79</v>
      </c>
      <c r="D865" s="40" t="s">
        <v>80</v>
      </c>
      <c r="E865" s="24">
        <v>1700000</v>
      </c>
      <c r="F865" s="39">
        <v>44498</v>
      </c>
      <c r="G865" s="24">
        <v>1700000</v>
      </c>
      <c r="H865" s="23">
        <v>5.0000000000000001E-3</v>
      </c>
      <c r="I865" s="39">
        <v>44498</v>
      </c>
      <c r="J865" s="39">
        <v>44500</v>
      </c>
      <c r="K865" s="24">
        <f t="shared" si="58"/>
        <v>3</v>
      </c>
      <c r="L865" s="24">
        <f t="shared" si="59"/>
        <v>70</v>
      </c>
      <c r="M865" s="24">
        <v>1700000</v>
      </c>
      <c r="N865" s="39">
        <v>45593</v>
      </c>
    </row>
    <row r="866" spans="1:14" s="5" customFormat="1" outlineLevel="2">
      <c r="A866" s="39" t="s">
        <v>270</v>
      </c>
      <c r="B866" s="40" t="s">
        <v>373</v>
      </c>
      <c r="C866" s="41" t="s">
        <v>273</v>
      </c>
      <c r="D866" s="40" t="s">
        <v>272</v>
      </c>
      <c r="E866" s="24">
        <v>2200000</v>
      </c>
      <c r="F866" s="39">
        <v>44474</v>
      </c>
      <c r="G866" s="24">
        <v>2200000</v>
      </c>
      <c r="H866" s="23">
        <v>5.0000000000000001E-3</v>
      </c>
      <c r="I866" s="39">
        <v>44474</v>
      </c>
      <c r="J866" s="39">
        <v>44500</v>
      </c>
      <c r="K866" s="24">
        <f t="shared" si="58"/>
        <v>27</v>
      </c>
      <c r="L866" s="24">
        <f t="shared" si="59"/>
        <v>814</v>
      </c>
      <c r="M866" s="24">
        <v>2200000</v>
      </c>
      <c r="N866" s="39">
        <v>46299</v>
      </c>
    </row>
    <row r="867" spans="1:14" s="5" customFormat="1" outlineLevel="2">
      <c r="A867" s="39" t="s">
        <v>270</v>
      </c>
      <c r="B867" s="40" t="s">
        <v>372</v>
      </c>
      <c r="C867" s="41" t="s">
        <v>273</v>
      </c>
      <c r="D867" s="40" t="s">
        <v>272</v>
      </c>
      <c r="E867" s="24">
        <v>9000000</v>
      </c>
      <c r="F867" s="39">
        <v>44474</v>
      </c>
      <c r="G867" s="24">
        <v>9000000</v>
      </c>
      <c r="H867" s="23">
        <v>5.0000000000000001E-3</v>
      </c>
      <c r="I867" s="39">
        <v>44474</v>
      </c>
      <c r="J867" s="39">
        <v>44500</v>
      </c>
      <c r="K867" s="24">
        <f t="shared" si="58"/>
        <v>27</v>
      </c>
      <c r="L867" s="24">
        <f t="shared" si="59"/>
        <v>3329</v>
      </c>
      <c r="M867" s="24">
        <v>9000000</v>
      </c>
      <c r="N867" s="39">
        <v>46299</v>
      </c>
    </row>
    <row r="868" spans="1:14" s="5" customFormat="1" outlineLevel="2">
      <c r="A868" s="39" t="s">
        <v>270</v>
      </c>
      <c r="B868" s="40" t="s">
        <v>32</v>
      </c>
      <c r="C868" s="41" t="s">
        <v>274</v>
      </c>
      <c r="D868" s="40" t="s">
        <v>275</v>
      </c>
      <c r="E868" s="24">
        <v>9087600</v>
      </c>
      <c r="F868" s="39">
        <v>43929</v>
      </c>
      <c r="G868" s="24">
        <v>9087600</v>
      </c>
      <c r="H868" s="23">
        <v>5.0000000000000001E-3</v>
      </c>
      <c r="I868" s="39">
        <v>44470</v>
      </c>
      <c r="J868" s="39">
        <v>44500</v>
      </c>
      <c r="K868" s="24">
        <f t="shared" si="58"/>
        <v>31</v>
      </c>
      <c r="L868" s="24">
        <f t="shared" si="59"/>
        <v>3859</v>
      </c>
      <c r="M868" s="24">
        <v>9087600</v>
      </c>
      <c r="N868" s="39">
        <v>45754</v>
      </c>
    </row>
    <row r="869" spans="1:14" s="5" customFormat="1" outlineLevel="2">
      <c r="A869" s="39" t="s">
        <v>270</v>
      </c>
      <c r="B869" s="40" t="s">
        <v>371</v>
      </c>
      <c r="C869" s="41" t="s">
        <v>273</v>
      </c>
      <c r="D869" s="40" t="s">
        <v>272</v>
      </c>
      <c r="E869" s="24">
        <v>2000000</v>
      </c>
      <c r="F869" s="39">
        <v>44474</v>
      </c>
      <c r="G869" s="24">
        <v>2000000</v>
      </c>
      <c r="H869" s="23">
        <v>5.0000000000000001E-3</v>
      </c>
      <c r="I869" s="39">
        <v>44474</v>
      </c>
      <c r="J869" s="39">
        <v>44500</v>
      </c>
      <c r="K869" s="24">
        <f t="shared" si="58"/>
        <v>27</v>
      </c>
      <c r="L869" s="24">
        <f t="shared" si="59"/>
        <v>740</v>
      </c>
      <c r="M869" s="24">
        <v>2000000</v>
      </c>
      <c r="N869" s="39">
        <v>46299</v>
      </c>
    </row>
    <row r="870" spans="1:14" s="5" customFormat="1" outlineLevel="2">
      <c r="A870" s="39" t="s">
        <v>270</v>
      </c>
      <c r="B870" s="40" t="s">
        <v>370</v>
      </c>
      <c r="C870" s="41" t="s">
        <v>30</v>
      </c>
      <c r="D870" s="40" t="s">
        <v>31</v>
      </c>
      <c r="E870" s="24">
        <v>70000000</v>
      </c>
      <c r="F870" s="39">
        <v>44475</v>
      </c>
      <c r="G870" s="24">
        <v>70000000</v>
      </c>
      <c r="H870" s="23">
        <v>5.0000000000000001E-3</v>
      </c>
      <c r="I870" s="39">
        <v>44475</v>
      </c>
      <c r="J870" s="39">
        <v>44500</v>
      </c>
      <c r="K870" s="24">
        <f t="shared" si="58"/>
        <v>26</v>
      </c>
      <c r="L870" s="24">
        <f t="shared" si="59"/>
        <v>24932</v>
      </c>
      <c r="M870" s="24">
        <v>70000000</v>
      </c>
      <c r="N870" s="39">
        <v>46300</v>
      </c>
    </row>
    <row r="871" spans="1:14" s="5" customFormat="1" outlineLevel="2">
      <c r="A871" s="39" t="s">
        <v>270</v>
      </c>
      <c r="B871" s="40" t="s">
        <v>33</v>
      </c>
      <c r="C871" s="41" t="s">
        <v>274</v>
      </c>
      <c r="D871" s="40" t="s">
        <v>275</v>
      </c>
      <c r="E871" s="24">
        <v>13007640</v>
      </c>
      <c r="F871" s="39">
        <v>43929</v>
      </c>
      <c r="G871" s="24">
        <v>13007640</v>
      </c>
      <c r="H871" s="23">
        <v>5.0000000000000001E-3</v>
      </c>
      <c r="I871" s="39">
        <v>44470</v>
      </c>
      <c r="J871" s="39">
        <v>44500</v>
      </c>
      <c r="K871" s="24">
        <f t="shared" si="58"/>
        <v>31</v>
      </c>
      <c r="L871" s="24">
        <f t="shared" si="59"/>
        <v>5524</v>
      </c>
      <c r="M871" s="24">
        <v>13007640</v>
      </c>
      <c r="N871" s="39">
        <v>45754</v>
      </c>
    </row>
    <row r="872" spans="1:14" s="5" customFormat="1" outlineLevel="2">
      <c r="A872" s="39" t="s">
        <v>270</v>
      </c>
      <c r="B872" s="40" t="s">
        <v>34</v>
      </c>
      <c r="C872" s="41" t="s">
        <v>276</v>
      </c>
      <c r="D872" s="40" t="s">
        <v>277</v>
      </c>
      <c r="E872" s="24">
        <v>61668037</v>
      </c>
      <c r="F872" s="39">
        <v>43949</v>
      </c>
      <c r="G872" s="24">
        <v>61668037</v>
      </c>
      <c r="H872" s="23">
        <v>5.0000000000000001E-3</v>
      </c>
      <c r="I872" s="39">
        <v>44470</v>
      </c>
      <c r="J872" s="39">
        <v>44500</v>
      </c>
      <c r="K872" s="24">
        <f t="shared" si="58"/>
        <v>31</v>
      </c>
      <c r="L872" s="24">
        <f t="shared" si="59"/>
        <v>26188</v>
      </c>
      <c r="M872" s="24">
        <v>61668037</v>
      </c>
      <c r="N872" s="39">
        <v>45774</v>
      </c>
    </row>
    <row r="873" spans="1:14" s="5" customFormat="1" outlineLevel="2">
      <c r="A873" s="39" t="s">
        <v>270</v>
      </c>
      <c r="B873" s="40" t="s">
        <v>35</v>
      </c>
      <c r="C873" s="41" t="s">
        <v>274</v>
      </c>
      <c r="D873" s="40" t="s">
        <v>275</v>
      </c>
      <c r="E873" s="24">
        <v>13007640</v>
      </c>
      <c r="F873" s="39">
        <v>43964</v>
      </c>
      <c r="G873" s="24">
        <v>13007640</v>
      </c>
      <c r="H873" s="23">
        <v>5.0000000000000001E-3</v>
      </c>
      <c r="I873" s="39">
        <v>44470</v>
      </c>
      <c r="J873" s="39">
        <v>44500</v>
      </c>
      <c r="K873" s="24">
        <f t="shared" si="58"/>
        <v>31</v>
      </c>
      <c r="L873" s="24">
        <f t="shared" si="59"/>
        <v>5524</v>
      </c>
      <c r="M873" s="24">
        <v>13007640</v>
      </c>
      <c r="N873" s="39">
        <v>45789</v>
      </c>
    </row>
    <row r="874" spans="1:14" s="5" customFormat="1" outlineLevel="2">
      <c r="A874" s="39" t="s">
        <v>270</v>
      </c>
      <c r="B874" s="40" t="s">
        <v>36</v>
      </c>
      <c r="C874" s="41" t="s">
        <v>274</v>
      </c>
      <c r="D874" s="40" t="s">
        <v>275</v>
      </c>
      <c r="E874" s="24">
        <v>6361320</v>
      </c>
      <c r="F874" s="39">
        <v>43964</v>
      </c>
      <c r="G874" s="24">
        <v>6361320</v>
      </c>
      <c r="H874" s="23">
        <v>5.0000000000000001E-3</v>
      </c>
      <c r="I874" s="39">
        <v>44470</v>
      </c>
      <c r="J874" s="39">
        <v>44500</v>
      </c>
      <c r="K874" s="24">
        <f t="shared" si="58"/>
        <v>31</v>
      </c>
      <c r="L874" s="24">
        <f t="shared" si="59"/>
        <v>2701</v>
      </c>
      <c r="M874" s="24">
        <v>6361320</v>
      </c>
      <c r="N874" s="39">
        <v>45789</v>
      </c>
    </row>
    <row r="875" spans="1:14" s="5" customFormat="1" outlineLevel="2">
      <c r="A875" s="39" t="s">
        <v>270</v>
      </c>
      <c r="B875" s="40" t="s">
        <v>39</v>
      </c>
      <c r="C875" s="41" t="s">
        <v>274</v>
      </c>
      <c r="D875" s="40" t="s">
        <v>275</v>
      </c>
      <c r="E875" s="24">
        <v>5452560</v>
      </c>
      <c r="F875" s="39">
        <v>43810</v>
      </c>
      <c r="G875" s="24">
        <v>5452560</v>
      </c>
      <c r="H875" s="23">
        <v>5.0000000000000001E-3</v>
      </c>
      <c r="I875" s="39">
        <v>44470</v>
      </c>
      <c r="J875" s="39">
        <v>44500</v>
      </c>
      <c r="K875" s="24">
        <f t="shared" si="58"/>
        <v>31</v>
      </c>
      <c r="L875" s="24">
        <f t="shared" si="59"/>
        <v>2315</v>
      </c>
      <c r="M875" s="24">
        <v>5452560</v>
      </c>
      <c r="N875" s="39">
        <v>45636</v>
      </c>
    </row>
    <row r="876" spans="1:14" s="5" customFormat="1" outlineLevel="2">
      <c r="A876" s="39" t="s">
        <v>270</v>
      </c>
      <c r="B876" s="40" t="s">
        <v>40</v>
      </c>
      <c r="C876" s="41" t="s">
        <v>273</v>
      </c>
      <c r="D876" s="40" t="s">
        <v>272</v>
      </c>
      <c r="E876" s="24">
        <v>69800000</v>
      </c>
      <c r="F876" s="39">
        <v>43956</v>
      </c>
      <c r="G876" s="24">
        <v>69800000</v>
      </c>
      <c r="H876" s="23">
        <v>5.0000000000000001E-3</v>
      </c>
      <c r="I876" s="39">
        <v>44470</v>
      </c>
      <c r="J876" s="39">
        <v>44500</v>
      </c>
      <c r="K876" s="24">
        <f t="shared" ref="K876:K907" si="60">J876-I876+1</f>
        <v>31</v>
      </c>
      <c r="L876" s="24">
        <f t="shared" ref="L876:L907" si="61">ROUND(G876*H876*K876/365,0)</f>
        <v>29641</v>
      </c>
      <c r="M876" s="24">
        <v>69800000</v>
      </c>
      <c r="N876" s="39">
        <v>45781</v>
      </c>
    </row>
    <row r="877" spans="1:14" s="5" customFormat="1" outlineLevel="2">
      <c r="A877" s="39" t="s">
        <v>270</v>
      </c>
      <c r="B877" s="40" t="s">
        <v>41</v>
      </c>
      <c r="C877" s="41" t="s">
        <v>273</v>
      </c>
      <c r="D877" s="40" t="s">
        <v>272</v>
      </c>
      <c r="E877" s="24">
        <v>1500000</v>
      </c>
      <c r="F877" s="39">
        <v>43956</v>
      </c>
      <c r="G877" s="24">
        <v>1500000</v>
      </c>
      <c r="H877" s="23">
        <v>5.0000000000000001E-3</v>
      </c>
      <c r="I877" s="39">
        <v>44470</v>
      </c>
      <c r="J877" s="39">
        <v>44500</v>
      </c>
      <c r="K877" s="24">
        <f t="shared" si="60"/>
        <v>31</v>
      </c>
      <c r="L877" s="24">
        <f t="shared" si="61"/>
        <v>637</v>
      </c>
      <c r="M877" s="24">
        <v>1500000</v>
      </c>
      <c r="N877" s="39">
        <v>45781</v>
      </c>
    </row>
    <row r="878" spans="1:14" s="5" customFormat="1" outlineLevel="2">
      <c r="A878" s="39" t="s">
        <v>270</v>
      </c>
      <c r="B878" s="40" t="s">
        <v>42</v>
      </c>
      <c r="C878" s="41" t="s">
        <v>30</v>
      </c>
      <c r="D878" s="40" t="s">
        <v>31</v>
      </c>
      <c r="E878" s="24">
        <v>50000000</v>
      </c>
      <c r="F878" s="39">
        <v>43976</v>
      </c>
      <c r="G878" s="24">
        <v>50000000</v>
      </c>
      <c r="H878" s="23">
        <v>5.0000000000000001E-3</v>
      </c>
      <c r="I878" s="39">
        <v>44470</v>
      </c>
      <c r="J878" s="39">
        <v>44500</v>
      </c>
      <c r="K878" s="24">
        <f t="shared" si="60"/>
        <v>31</v>
      </c>
      <c r="L878" s="24">
        <f t="shared" si="61"/>
        <v>21233</v>
      </c>
      <c r="M878" s="24">
        <v>50000000</v>
      </c>
      <c r="N878" s="39">
        <v>45801</v>
      </c>
    </row>
    <row r="879" spans="1:14" s="5" customFormat="1" outlineLevel="2">
      <c r="A879" s="39" t="s">
        <v>270</v>
      </c>
      <c r="B879" s="40" t="s">
        <v>43</v>
      </c>
      <c r="C879" s="41" t="s">
        <v>274</v>
      </c>
      <c r="D879" s="40" t="s">
        <v>275</v>
      </c>
      <c r="E879" s="24">
        <v>6657720</v>
      </c>
      <c r="F879" s="39">
        <v>43992</v>
      </c>
      <c r="G879" s="24">
        <v>6657720</v>
      </c>
      <c r="H879" s="23">
        <v>5.0000000000000001E-3</v>
      </c>
      <c r="I879" s="39">
        <v>44470</v>
      </c>
      <c r="J879" s="39">
        <v>44500</v>
      </c>
      <c r="K879" s="24">
        <f t="shared" si="60"/>
        <v>31</v>
      </c>
      <c r="L879" s="24">
        <f t="shared" si="61"/>
        <v>2827</v>
      </c>
      <c r="M879" s="24">
        <v>6657720</v>
      </c>
      <c r="N879" s="39">
        <v>45817</v>
      </c>
    </row>
    <row r="880" spans="1:14" s="5" customFormat="1" outlineLevel="2">
      <c r="A880" s="39" t="s">
        <v>270</v>
      </c>
      <c r="B880" s="40" t="s">
        <v>44</v>
      </c>
      <c r="C880" s="41" t="s">
        <v>274</v>
      </c>
      <c r="D880" s="40" t="s">
        <v>275</v>
      </c>
      <c r="E880" s="24">
        <v>6361320</v>
      </c>
      <c r="F880" s="39">
        <v>43992</v>
      </c>
      <c r="G880" s="24">
        <v>6361320</v>
      </c>
      <c r="H880" s="23">
        <v>5.0000000000000001E-3</v>
      </c>
      <c r="I880" s="39">
        <v>44470</v>
      </c>
      <c r="J880" s="39">
        <v>44500</v>
      </c>
      <c r="K880" s="24">
        <f t="shared" si="60"/>
        <v>31</v>
      </c>
      <c r="L880" s="24">
        <f t="shared" si="61"/>
        <v>2701</v>
      </c>
      <c r="M880" s="24">
        <v>6361320</v>
      </c>
      <c r="N880" s="39">
        <v>45817</v>
      </c>
    </row>
    <row r="881" spans="1:14" s="5" customFormat="1" outlineLevel="2">
      <c r="A881" s="39" t="s">
        <v>270</v>
      </c>
      <c r="B881" s="40" t="s">
        <v>47</v>
      </c>
      <c r="C881" s="41" t="s">
        <v>273</v>
      </c>
      <c r="D881" s="40" t="s">
        <v>272</v>
      </c>
      <c r="E881" s="24">
        <v>41200000</v>
      </c>
      <c r="F881" s="39">
        <v>43987</v>
      </c>
      <c r="G881" s="24">
        <v>41200000</v>
      </c>
      <c r="H881" s="23">
        <v>5.0000000000000001E-3</v>
      </c>
      <c r="I881" s="39">
        <v>44470</v>
      </c>
      <c r="J881" s="39">
        <v>44500</v>
      </c>
      <c r="K881" s="24">
        <f t="shared" si="60"/>
        <v>31</v>
      </c>
      <c r="L881" s="24">
        <f t="shared" si="61"/>
        <v>17496</v>
      </c>
      <c r="M881" s="24">
        <v>41200000</v>
      </c>
      <c r="N881" s="39">
        <v>45812</v>
      </c>
    </row>
    <row r="882" spans="1:14" s="5" customFormat="1" outlineLevel="2">
      <c r="A882" s="39" t="s">
        <v>270</v>
      </c>
      <c r="B882" s="40" t="s">
        <v>50</v>
      </c>
      <c r="C882" s="41" t="s">
        <v>274</v>
      </c>
      <c r="D882" s="40" t="s">
        <v>275</v>
      </c>
      <c r="E882" s="24">
        <v>6657720</v>
      </c>
      <c r="F882" s="39">
        <v>44020</v>
      </c>
      <c r="G882" s="24">
        <v>6657720</v>
      </c>
      <c r="H882" s="23">
        <v>5.0000000000000001E-3</v>
      </c>
      <c r="I882" s="39">
        <v>44470</v>
      </c>
      <c r="J882" s="39">
        <v>44500</v>
      </c>
      <c r="K882" s="24">
        <f t="shared" si="60"/>
        <v>31</v>
      </c>
      <c r="L882" s="24">
        <f t="shared" si="61"/>
        <v>2827</v>
      </c>
      <c r="M882" s="24">
        <v>6657720</v>
      </c>
      <c r="N882" s="39">
        <v>45845</v>
      </c>
    </row>
    <row r="883" spans="1:14" s="5" customFormat="1" outlineLevel="2">
      <c r="A883" s="39" t="s">
        <v>270</v>
      </c>
      <c r="B883" s="40" t="s">
        <v>51</v>
      </c>
      <c r="C883" s="41" t="s">
        <v>274</v>
      </c>
      <c r="D883" s="40" t="s">
        <v>275</v>
      </c>
      <c r="E883" s="24">
        <v>6657720</v>
      </c>
      <c r="F883" s="39">
        <v>44020</v>
      </c>
      <c r="G883" s="24">
        <v>6657720</v>
      </c>
      <c r="H883" s="23">
        <v>5.0000000000000001E-3</v>
      </c>
      <c r="I883" s="39">
        <v>44470</v>
      </c>
      <c r="J883" s="39">
        <v>44500</v>
      </c>
      <c r="K883" s="24">
        <f t="shared" si="60"/>
        <v>31</v>
      </c>
      <c r="L883" s="24">
        <f t="shared" si="61"/>
        <v>2827</v>
      </c>
      <c r="M883" s="24">
        <v>6657720</v>
      </c>
      <c r="N883" s="39">
        <v>45845</v>
      </c>
    </row>
    <row r="884" spans="1:14" s="5" customFormat="1" outlineLevel="2">
      <c r="A884" s="39" t="s">
        <v>270</v>
      </c>
      <c r="B884" s="40" t="s">
        <v>52</v>
      </c>
      <c r="C884" s="41" t="s">
        <v>273</v>
      </c>
      <c r="D884" s="40" t="s">
        <v>272</v>
      </c>
      <c r="E884" s="24">
        <v>11800000</v>
      </c>
      <c r="F884" s="39">
        <v>44015</v>
      </c>
      <c r="G884" s="24">
        <v>11800000</v>
      </c>
      <c r="H884" s="23">
        <v>5.0000000000000001E-3</v>
      </c>
      <c r="I884" s="39">
        <v>44470</v>
      </c>
      <c r="J884" s="39">
        <v>44500</v>
      </c>
      <c r="K884" s="24">
        <f t="shared" si="60"/>
        <v>31</v>
      </c>
      <c r="L884" s="24">
        <f t="shared" si="61"/>
        <v>5011</v>
      </c>
      <c r="M884" s="24">
        <v>11800000</v>
      </c>
      <c r="N884" s="39">
        <v>45840</v>
      </c>
    </row>
    <row r="885" spans="1:14" s="5" customFormat="1" outlineLevel="2">
      <c r="A885" s="39" t="s">
        <v>270</v>
      </c>
      <c r="B885" s="40" t="s">
        <v>53</v>
      </c>
      <c r="C885" s="41" t="s">
        <v>273</v>
      </c>
      <c r="D885" s="40" t="s">
        <v>272</v>
      </c>
      <c r="E885" s="24">
        <v>2600000</v>
      </c>
      <c r="F885" s="39">
        <v>44015</v>
      </c>
      <c r="G885" s="24">
        <v>2600000</v>
      </c>
      <c r="H885" s="23">
        <v>5.0000000000000001E-3</v>
      </c>
      <c r="I885" s="39">
        <v>44470</v>
      </c>
      <c r="J885" s="39">
        <v>44500</v>
      </c>
      <c r="K885" s="24">
        <f t="shared" si="60"/>
        <v>31</v>
      </c>
      <c r="L885" s="24">
        <f t="shared" si="61"/>
        <v>1104</v>
      </c>
      <c r="M885" s="24">
        <v>2600000</v>
      </c>
      <c r="N885" s="39">
        <v>45840</v>
      </c>
    </row>
    <row r="886" spans="1:14" s="5" customFormat="1" outlineLevel="2">
      <c r="A886" s="39" t="s">
        <v>270</v>
      </c>
      <c r="B886" s="40" t="s">
        <v>54</v>
      </c>
      <c r="C886" s="41" t="s">
        <v>278</v>
      </c>
      <c r="D886" s="40" t="s">
        <v>279</v>
      </c>
      <c r="E886" s="24">
        <v>220000000</v>
      </c>
      <c r="F886" s="39">
        <v>43815</v>
      </c>
      <c r="G886" s="24">
        <v>220000000</v>
      </c>
      <c r="H886" s="23">
        <v>5.0000000000000001E-3</v>
      </c>
      <c r="I886" s="39">
        <v>44470</v>
      </c>
      <c r="J886" s="39">
        <v>44500</v>
      </c>
      <c r="K886" s="24">
        <f t="shared" si="60"/>
        <v>31</v>
      </c>
      <c r="L886" s="24">
        <f t="shared" si="61"/>
        <v>93425</v>
      </c>
      <c r="M886" s="24">
        <v>220000000</v>
      </c>
      <c r="N886" s="39">
        <v>45641</v>
      </c>
    </row>
    <row r="887" spans="1:14" s="5" customFormat="1" outlineLevel="2">
      <c r="A887" s="39" t="s">
        <v>270</v>
      </c>
      <c r="B887" s="40" t="s">
        <v>57</v>
      </c>
      <c r="C887" s="41" t="s">
        <v>143</v>
      </c>
      <c r="D887" s="40" t="s">
        <v>144</v>
      </c>
      <c r="E887" s="24">
        <v>10400000</v>
      </c>
      <c r="F887" s="39">
        <v>44033</v>
      </c>
      <c r="G887" s="24">
        <v>10400000</v>
      </c>
      <c r="H887" s="23">
        <v>5.0000000000000001E-3</v>
      </c>
      <c r="I887" s="39">
        <v>44470</v>
      </c>
      <c r="J887" s="39">
        <v>44500</v>
      </c>
      <c r="K887" s="24">
        <f t="shared" si="60"/>
        <v>31</v>
      </c>
      <c r="L887" s="24">
        <f t="shared" si="61"/>
        <v>4416</v>
      </c>
      <c r="M887" s="24">
        <v>10400000</v>
      </c>
      <c r="N887" s="39">
        <v>45858</v>
      </c>
    </row>
    <row r="888" spans="1:14" s="5" customFormat="1" outlineLevel="2">
      <c r="A888" s="39" t="s">
        <v>270</v>
      </c>
      <c r="B888" s="40" t="s">
        <v>58</v>
      </c>
      <c r="C888" s="41" t="s">
        <v>97</v>
      </c>
      <c r="D888" s="40" t="s">
        <v>98</v>
      </c>
      <c r="E888" s="24">
        <v>28200000</v>
      </c>
      <c r="F888" s="39">
        <v>44027</v>
      </c>
      <c r="G888" s="24">
        <v>28200000</v>
      </c>
      <c r="H888" s="23">
        <v>5.0000000000000001E-3</v>
      </c>
      <c r="I888" s="39">
        <v>44470</v>
      </c>
      <c r="J888" s="39">
        <v>44500</v>
      </c>
      <c r="K888" s="24">
        <f t="shared" si="60"/>
        <v>31</v>
      </c>
      <c r="L888" s="24">
        <f t="shared" si="61"/>
        <v>11975</v>
      </c>
      <c r="M888" s="24">
        <v>28200000</v>
      </c>
      <c r="N888" s="39">
        <v>45852</v>
      </c>
    </row>
    <row r="889" spans="1:14" s="5" customFormat="1" outlineLevel="2">
      <c r="A889" s="39" t="s">
        <v>270</v>
      </c>
      <c r="B889" s="40" t="s">
        <v>99</v>
      </c>
      <c r="C889" s="41" t="s">
        <v>274</v>
      </c>
      <c r="D889" s="40" t="s">
        <v>275</v>
      </c>
      <c r="E889" s="24">
        <v>6657720</v>
      </c>
      <c r="F889" s="39">
        <v>44055</v>
      </c>
      <c r="G889" s="24">
        <v>6657720</v>
      </c>
      <c r="H889" s="23">
        <v>5.0000000000000001E-3</v>
      </c>
      <c r="I889" s="39">
        <v>44470</v>
      </c>
      <c r="J889" s="39">
        <v>44500</v>
      </c>
      <c r="K889" s="24">
        <f t="shared" si="60"/>
        <v>31</v>
      </c>
      <c r="L889" s="24">
        <f t="shared" si="61"/>
        <v>2827</v>
      </c>
      <c r="M889" s="24">
        <v>6657720</v>
      </c>
      <c r="N889" s="39">
        <v>45880</v>
      </c>
    </row>
    <row r="890" spans="1:14" s="5" customFormat="1" outlineLevel="2">
      <c r="A890" s="39" t="s">
        <v>270</v>
      </c>
      <c r="B890" s="40" t="s">
        <v>100</v>
      </c>
      <c r="C890" s="41" t="s">
        <v>274</v>
      </c>
      <c r="D890" s="40" t="s">
        <v>275</v>
      </c>
      <c r="E890" s="24">
        <v>6714720</v>
      </c>
      <c r="F890" s="39">
        <v>44055</v>
      </c>
      <c r="G890" s="24">
        <v>6714720</v>
      </c>
      <c r="H890" s="23">
        <v>5.0000000000000001E-3</v>
      </c>
      <c r="I890" s="39">
        <v>44470</v>
      </c>
      <c r="J890" s="39">
        <v>44500</v>
      </c>
      <c r="K890" s="24">
        <f t="shared" si="60"/>
        <v>31</v>
      </c>
      <c r="L890" s="24">
        <f t="shared" si="61"/>
        <v>2851</v>
      </c>
      <c r="M890" s="24">
        <v>6714720</v>
      </c>
      <c r="N890" s="39">
        <v>45880</v>
      </c>
    </row>
    <row r="891" spans="1:14" s="5" customFormat="1" outlineLevel="2">
      <c r="A891" s="39" t="s">
        <v>270</v>
      </c>
      <c r="B891" s="40" t="s">
        <v>101</v>
      </c>
      <c r="C891" s="41" t="s">
        <v>273</v>
      </c>
      <c r="D891" s="40" t="s">
        <v>272</v>
      </c>
      <c r="E891" s="24">
        <v>47630000</v>
      </c>
      <c r="F891" s="39">
        <v>44048</v>
      </c>
      <c r="G891" s="24">
        <v>47630000</v>
      </c>
      <c r="H891" s="23">
        <v>5.0000000000000001E-3</v>
      </c>
      <c r="I891" s="39">
        <v>44470</v>
      </c>
      <c r="J891" s="39">
        <v>44500</v>
      </c>
      <c r="K891" s="24">
        <f t="shared" si="60"/>
        <v>31</v>
      </c>
      <c r="L891" s="24">
        <f t="shared" si="61"/>
        <v>20226</v>
      </c>
      <c r="M891" s="24">
        <v>47630000</v>
      </c>
      <c r="N891" s="39">
        <v>45873</v>
      </c>
    </row>
    <row r="892" spans="1:14" s="5" customFormat="1" outlineLevel="2">
      <c r="A892" s="39" t="s">
        <v>270</v>
      </c>
      <c r="B892" s="40" t="s">
        <v>102</v>
      </c>
      <c r="C892" s="41" t="s">
        <v>273</v>
      </c>
      <c r="D892" s="40" t="s">
        <v>272</v>
      </c>
      <c r="E892" s="24">
        <v>1970000</v>
      </c>
      <c r="F892" s="39">
        <v>44048</v>
      </c>
      <c r="G892" s="24">
        <v>1970000</v>
      </c>
      <c r="H892" s="23">
        <v>5.0000000000000001E-3</v>
      </c>
      <c r="I892" s="39">
        <v>44470</v>
      </c>
      <c r="J892" s="39">
        <v>44500</v>
      </c>
      <c r="K892" s="24">
        <f t="shared" si="60"/>
        <v>31</v>
      </c>
      <c r="L892" s="24">
        <f t="shared" si="61"/>
        <v>837</v>
      </c>
      <c r="M892" s="24">
        <v>1970000</v>
      </c>
      <c r="N892" s="39">
        <v>45873</v>
      </c>
    </row>
    <row r="893" spans="1:14" s="5" customFormat="1" outlineLevel="2">
      <c r="A893" s="39" t="s">
        <v>270</v>
      </c>
      <c r="B893" s="40" t="s">
        <v>103</v>
      </c>
      <c r="C893" s="41" t="s">
        <v>252</v>
      </c>
      <c r="D893" s="40" t="s">
        <v>253</v>
      </c>
      <c r="E893" s="24">
        <v>27700000</v>
      </c>
      <c r="F893" s="39">
        <v>44071</v>
      </c>
      <c r="G893" s="24">
        <v>27700000</v>
      </c>
      <c r="H893" s="23">
        <v>5.0000000000000001E-3</v>
      </c>
      <c r="I893" s="39">
        <v>44470</v>
      </c>
      <c r="J893" s="39">
        <v>44500</v>
      </c>
      <c r="K893" s="24">
        <f t="shared" si="60"/>
        <v>31</v>
      </c>
      <c r="L893" s="24">
        <f t="shared" si="61"/>
        <v>11763</v>
      </c>
      <c r="M893" s="24">
        <v>27700000</v>
      </c>
      <c r="N893" s="39">
        <v>45896</v>
      </c>
    </row>
    <row r="894" spans="1:14" s="5" customFormat="1" outlineLevel="2">
      <c r="A894" s="39" t="s">
        <v>270</v>
      </c>
      <c r="B894" s="40" t="s">
        <v>104</v>
      </c>
      <c r="C894" s="41" t="s">
        <v>274</v>
      </c>
      <c r="D894" s="40" t="s">
        <v>275</v>
      </c>
      <c r="E894" s="24">
        <v>6714720</v>
      </c>
      <c r="F894" s="39">
        <v>44083</v>
      </c>
      <c r="G894" s="24">
        <v>6714720</v>
      </c>
      <c r="H894" s="23">
        <v>5.0000000000000001E-3</v>
      </c>
      <c r="I894" s="39">
        <v>44470</v>
      </c>
      <c r="J894" s="39">
        <v>44500</v>
      </c>
      <c r="K894" s="24">
        <f t="shared" si="60"/>
        <v>31</v>
      </c>
      <c r="L894" s="24">
        <f t="shared" si="61"/>
        <v>2851</v>
      </c>
      <c r="M894" s="24">
        <v>6714720</v>
      </c>
      <c r="N894" s="39">
        <v>45908</v>
      </c>
    </row>
    <row r="895" spans="1:14" s="5" customFormat="1" outlineLevel="2">
      <c r="A895" s="39" t="s">
        <v>270</v>
      </c>
      <c r="B895" s="40" t="s">
        <v>105</v>
      </c>
      <c r="C895" s="41" t="s">
        <v>274</v>
      </c>
      <c r="D895" s="40" t="s">
        <v>275</v>
      </c>
      <c r="E895" s="24">
        <v>5805960</v>
      </c>
      <c r="F895" s="39">
        <v>44083</v>
      </c>
      <c r="G895" s="24">
        <v>5805960</v>
      </c>
      <c r="H895" s="23">
        <v>5.0000000000000001E-3</v>
      </c>
      <c r="I895" s="39">
        <v>44470</v>
      </c>
      <c r="J895" s="39">
        <v>44500</v>
      </c>
      <c r="K895" s="24">
        <f t="shared" si="60"/>
        <v>31</v>
      </c>
      <c r="L895" s="24">
        <f t="shared" si="61"/>
        <v>2466</v>
      </c>
      <c r="M895" s="24">
        <v>5805960</v>
      </c>
      <c r="N895" s="39">
        <v>45908</v>
      </c>
    </row>
    <row r="896" spans="1:14" s="5" customFormat="1" outlineLevel="2">
      <c r="A896" s="39" t="s">
        <v>270</v>
      </c>
      <c r="B896" s="40" t="s">
        <v>106</v>
      </c>
      <c r="C896" s="41" t="s">
        <v>273</v>
      </c>
      <c r="D896" s="40" t="s">
        <v>272</v>
      </c>
      <c r="E896" s="24">
        <v>19100000</v>
      </c>
      <c r="F896" s="39">
        <v>44078</v>
      </c>
      <c r="G896" s="24">
        <v>19100000</v>
      </c>
      <c r="H896" s="23">
        <v>5.0000000000000001E-3</v>
      </c>
      <c r="I896" s="39">
        <v>44470</v>
      </c>
      <c r="J896" s="39">
        <v>44500</v>
      </c>
      <c r="K896" s="24">
        <f t="shared" si="60"/>
        <v>31</v>
      </c>
      <c r="L896" s="24">
        <f t="shared" si="61"/>
        <v>8111</v>
      </c>
      <c r="M896" s="24">
        <v>19100000</v>
      </c>
      <c r="N896" s="39">
        <v>45903</v>
      </c>
    </row>
    <row r="897" spans="1:14" s="5" customFormat="1" outlineLevel="2">
      <c r="A897" s="39" t="s">
        <v>270</v>
      </c>
      <c r="B897" s="40" t="s">
        <v>59</v>
      </c>
      <c r="C897" s="41" t="s">
        <v>274</v>
      </c>
      <c r="D897" s="40" t="s">
        <v>275</v>
      </c>
      <c r="E897" s="24">
        <v>5452560</v>
      </c>
      <c r="F897" s="39">
        <v>43838</v>
      </c>
      <c r="G897" s="24">
        <v>5452560</v>
      </c>
      <c r="H897" s="23">
        <v>5.0000000000000001E-3</v>
      </c>
      <c r="I897" s="39">
        <v>44470</v>
      </c>
      <c r="J897" s="39">
        <v>44500</v>
      </c>
      <c r="K897" s="24">
        <f t="shared" si="60"/>
        <v>31</v>
      </c>
      <c r="L897" s="24">
        <f t="shared" si="61"/>
        <v>2315</v>
      </c>
      <c r="M897" s="24">
        <v>5452560</v>
      </c>
      <c r="N897" s="39">
        <v>45664</v>
      </c>
    </row>
    <row r="898" spans="1:14" s="5" customFormat="1" outlineLevel="2">
      <c r="A898" s="39" t="s">
        <v>270</v>
      </c>
      <c r="B898" s="40" t="s">
        <v>136</v>
      </c>
      <c r="C898" s="41" t="s">
        <v>30</v>
      </c>
      <c r="D898" s="40" t="s">
        <v>31</v>
      </c>
      <c r="E898" s="24">
        <v>31000000</v>
      </c>
      <c r="F898" s="39">
        <v>44102</v>
      </c>
      <c r="G898" s="24">
        <v>31000000</v>
      </c>
      <c r="H898" s="23">
        <v>5.0000000000000001E-3</v>
      </c>
      <c r="I898" s="39">
        <v>44470</v>
      </c>
      <c r="J898" s="39">
        <v>44500</v>
      </c>
      <c r="K898" s="24">
        <f t="shared" si="60"/>
        <v>31</v>
      </c>
      <c r="L898" s="24">
        <f t="shared" si="61"/>
        <v>13164</v>
      </c>
      <c r="M898" s="24">
        <v>31000000</v>
      </c>
      <c r="N898" s="39">
        <v>45927</v>
      </c>
    </row>
    <row r="899" spans="1:14" s="5" customFormat="1" outlineLevel="2">
      <c r="A899" s="39" t="s">
        <v>270</v>
      </c>
      <c r="B899" s="40" t="s">
        <v>137</v>
      </c>
      <c r="C899" s="41" t="s">
        <v>143</v>
      </c>
      <c r="D899" s="40" t="s">
        <v>144</v>
      </c>
      <c r="E899" s="24">
        <v>10700000</v>
      </c>
      <c r="F899" s="39">
        <v>44104</v>
      </c>
      <c r="G899" s="24">
        <v>10700000</v>
      </c>
      <c r="H899" s="23">
        <v>5.0000000000000001E-3</v>
      </c>
      <c r="I899" s="39">
        <v>44470</v>
      </c>
      <c r="J899" s="39">
        <v>44500</v>
      </c>
      <c r="K899" s="24">
        <f t="shared" si="60"/>
        <v>31</v>
      </c>
      <c r="L899" s="24">
        <f t="shared" si="61"/>
        <v>4544</v>
      </c>
      <c r="M899" s="24">
        <v>10700000</v>
      </c>
      <c r="N899" s="39">
        <v>45929</v>
      </c>
    </row>
    <row r="900" spans="1:14" s="5" customFormat="1" outlineLevel="2">
      <c r="A900" s="39" t="s">
        <v>270</v>
      </c>
      <c r="B900" s="40" t="s">
        <v>138</v>
      </c>
      <c r="C900" s="41" t="s">
        <v>280</v>
      </c>
      <c r="D900" s="40" t="s">
        <v>281</v>
      </c>
      <c r="E900" s="24">
        <v>1000000000</v>
      </c>
      <c r="F900" s="39">
        <v>44102</v>
      </c>
      <c r="G900" s="24">
        <v>1000000000</v>
      </c>
      <c r="H900" s="23">
        <v>5.0000000000000001E-3</v>
      </c>
      <c r="I900" s="39">
        <v>44470</v>
      </c>
      <c r="J900" s="39">
        <v>44500</v>
      </c>
      <c r="K900" s="24">
        <f t="shared" si="60"/>
        <v>31</v>
      </c>
      <c r="L900" s="24">
        <f t="shared" si="61"/>
        <v>424658</v>
      </c>
      <c r="M900" s="24">
        <v>1000000000</v>
      </c>
      <c r="N900" s="39">
        <v>45927</v>
      </c>
    </row>
    <row r="901" spans="1:14" s="5" customFormat="1" outlineLevel="2">
      <c r="A901" s="39" t="s">
        <v>270</v>
      </c>
      <c r="B901" s="40" t="s">
        <v>139</v>
      </c>
      <c r="C901" s="41" t="s">
        <v>274</v>
      </c>
      <c r="D901" s="40" t="s">
        <v>275</v>
      </c>
      <c r="E901" s="24">
        <v>5805960</v>
      </c>
      <c r="F901" s="39">
        <v>44111</v>
      </c>
      <c r="G901" s="24">
        <v>5805960</v>
      </c>
      <c r="H901" s="23">
        <v>5.0000000000000001E-3</v>
      </c>
      <c r="I901" s="39">
        <v>44470</v>
      </c>
      <c r="J901" s="39">
        <v>44500</v>
      </c>
      <c r="K901" s="24">
        <f t="shared" si="60"/>
        <v>31</v>
      </c>
      <c r="L901" s="24">
        <f t="shared" si="61"/>
        <v>2466</v>
      </c>
      <c r="M901" s="24">
        <v>5805960</v>
      </c>
      <c r="N901" s="39">
        <v>45936</v>
      </c>
    </row>
    <row r="902" spans="1:14" s="5" customFormat="1" outlineLevel="2">
      <c r="A902" s="39" t="s">
        <v>270</v>
      </c>
      <c r="B902" s="40" t="s">
        <v>140</v>
      </c>
      <c r="C902" s="41" t="s">
        <v>274</v>
      </c>
      <c r="D902" s="40" t="s">
        <v>275</v>
      </c>
      <c r="E902" s="24">
        <v>5805960</v>
      </c>
      <c r="F902" s="39">
        <v>44111</v>
      </c>
      <c r="G902" s="24">
        <v>5805960</v>
      </c>
      <c r="H902" s="23">
        <v>5.0000000000000001E-3</v>
      </c>
      <c r="I902" s="39">
        <v>44470</v>
      </c>
      <c r="J902" s="39">
        <v>44500</v>
      </c>
      <c r="K902" s="24">
        <f t="shared" si="60"/>
        <v>31</v>
      </c>
      <c r="L902" s="24">
        <f t="shared" si="61"/>
        <v>2466</v>
      </c>
      <c r="M902" s="24">
        <v>5805960</v>
      </c>
      <c r="N902" s="39">
        <v>45936</v>
      </c>
    </row>
    <row r="903" spans="1:14" s="5" customFormat="1" outlineLevel="2">
      <c r="A903" s="39" t="s">
        <v>270</v>
      </c>
      <c r="B903" s="40" t="s">
        <v>169</v>
      </c>
      <c r="C903" s="41" t="s">
        <v>273</v>
      </c>
      <c r="D903" s="40" t="s">
        <v>272</v>
      </c>
      <c r="E903" s="24">
        <v>18400000</v>
      </c>
      <c r="F903" s="39">
        <v>44109</v>
      </c>
      <c r="G903" s="24">
        <v>18400000</v>
      </c>
      <c r="H903" s="23">
        <v>5.0000000000000001E-3</v>
      </c>
      <c r="I903" s="39">
        <v>44470</v>
      </c>
      <c r="J903" s="39">
        <v>44500</v>
      </c>
      <c r="K903" s="24">
        <f t="shared" si="60"/>
        <v>31</v>
      </c>
      <c r="L903" s="24">
        <f t="shared" si="61"/>
        <v>7814</v>
      </c>
      <c r="M903" s="24">
        <v>18400000</v>
      </c>
      <c r="N903" s="39">
        <v>45934</v>
      </c>
    </row>
    <row r="904" spans="1:14" s="5" customFormat="1" outlineLevel="2">
      <c r="A904" s="39" t="s">
        <v>270</v>
      </c>
      <c r="B904" s="40" t="s">
        <v>170</v>
      </c>
      <c r="C904" s="41" t="s">
        <v>273</v>
      </c>
      <c r="D904" s="40" t="s">
        <v>272</v>
      </c>
      <c r="E904" s="24">
        <v>1500000</v>
      </c>
      <c r="F904" s="39">
        <v>44109</v>
      </c>
      <c r="G904" s="24">
        <v>1500000</v>
      </c>
      <c r="H904" s="23">
        <v>5.0000000000000001E-3</v>
      </c>
      <c r="I904" s="39">
        <v>44470</v>
      </c>
      <c r="J904" s="39">
        <v>44500</v>
      </c>
      <c r="K904" s="24">
        <f t="shared" si="60"/>
        <v>31</v>
      </c>
      <c r="L904" s="24">
        <f t="shared" si="61"/>
        <v>637</v>
      </c>
      <c r="M904" s="24">
        <v>1500000</v>
      </c>
      <c r="N904" s="39">
        <v>45934</v>
      </c>
    </row>
    <row r="905" spans="1:14" s="5" customFormat="1" outlineLevel="2">
      <c r="A905" s="39" t="s">
        <v>270</v>
      </c>
      <c r="B905" s="40" t="s">
        <v>171</v>
      </c>
      <c r="C905" s="41" t="s">
        <v>125</v>
      </c>
      <c r="D905" s="40" t="s">
        <v>126</v>
      </c>
      <c r="E905" s="24">
        <v>3480000</v>
      </c>
      <c r="F905" s="39">
        <v>44125</v>
      </c>
      <c r="G905" s="24">
        <v>3480000</v>
      </c>
      <c r="H905" s="23">
        <v>5.0000000000000001E-3</v>
      </c>
      <c r="I905" s="39">
        <v>44470</v>
      </c>
      <c r="J905" s="39">
        <v>44500</v>
      </c>
      <c r="K905" s="24">
        <f t="shared" si="60"/>
        <v>31</v>
      </c>
      <c r="L905" s="24">
        <f t="shared" si="61"/>
        <v>1478</v>
      </c>
      <c r="M905" s="24">
        <v>3480000</v>
      </c>
      <c r="N905" s="39">
        <v>45950</v>
      </c>
    </row>
    <row r="906" spans="1:14" s="5" customFormat="1" outlineLevel="2">
      <c r="A906" s="39" t="s">
        <v>270</v>
      </c>
      <c r="B906" s="40" t="s">
        <v>172</v>
      </c>
      <c r="C906" s="41" t="s">
        <v>276</v>
      </c>
      <c r="D906" s="40" t="s">
        <v>277</v>
      </c>
      <c r="E906" s="24">
        <v>32000000</v>
      </c>
      <c r="F906" s="39">
        <v>44133</v>
      </c>
      <c r="G906" s="24">
        <v>32000000</v>
      </c>
      <c r="H906" s="23">
        <v>5.0000000000000001E-3</v>
      </c>
      <c r="I906" s="39">
        <v>44470</v>
      </c>
      <c r="J906" s="39">
        <v>44500</v>
      </c>
      <c r="K906" s="24">
        <f t="shared" si="60"/>
        <v>31</v>
      </c>
      <c r="L906" s="24">
        <f t="shared" si="61"/>
        <v>13589</v>
      </c>
      <c r="M906" s="24">
        <v>32000000</v>
      </c>
      <c r="N906" s="39">
        <v>45958</v>
      </c>
    </row>
    <row r="907" spans="1:14" s="5" customFormat="1" outlineLevel="2">
      <c r="A907" s="39" t="s">
        <v>270</v>
      </c>
      <c r="B907" s="40" t="s">
        <v>173</v>
      </c>
      <c r="C907" s="41" t="s">
        <v>274</v>
      </c>
      <c r="D907" s="40" t="s">
        <v>275</v>
      </c>
      <c r="E907" s="24">
        <v>5805960</v>
      </c>
      <c r="F907" s="39">
        <v>44146</v>
      </c>
      <c r="G907" s="24">
        <v>5805960</v>
      </c>
      <c r="H907" s="23">
        <v>5.0000000000000001E-3</v>
      </c>
      <c r="I907" s="39">
        <v>44470</v>
      </c>
      <c r="J907" s="39">
        <v>44500</v>
      </c>
      <c r="K907" s="24">
        <f t="shared" si="60"/>
        <v>31</v>
      </c>
      <c r="L907" s="24">
        <f t="shared" si="61"/>
        <v>2466</v>
      </c>
      <c r="M907" s="24">
        <v>5805960</v>
      </c>
      <c r="N907" s="39">
        <v>45971</v>
      </c>
    </row>
    <row r="908" spans="1:14" s="5" customFormat="1" outlineLevel="2">
      <c r="A908" s="39" t="s">
        <v>270</v>
      </c>
      <c r="B908" s="40" t="s">
        <v>62</v>
      </c>
      <c r="C908" s="41" t="s">
        <v>274</v>
      </c>
      <c r="D908" s="40" t="s">
        <v>275</v>
      </c>
      <c r="E908" s="24">
        <v>5452560</v>
      </c>
      <c r="F908" s="39">
        <v>43838</v>
      </c>
      <c r="G908" s="24">
        <v>5452560</v>
      </c>
      <c r="H908" s="23">
        <v>5.0000000000000001E-3</v>
      </c>
      <c r="I908" s="39">
        <v>44470</v>
      </c>
      <c r="J908" s="39">
        <v>44500</v>
      </c>
      <c r="K908" s="24">
        <f t="shared" ref="K908:K939" si="62">J908-I908+1</f>
        <v>31</v>
      </c>
      <c r="L908" s="24">
        <f t="shared" ref="L908:L939" si="63">ROUND(G908*H908*K908/365,0)</f>
        <v>2315</v>
      </c>
      <c r="M908" s="24">
        <v>5452560</v>
      </c>
      <c r="N908" s="39">
        <v>45664</v>
      </c>
    </row>
    <row r="909" spans="1:14" s="5" customFormat="1" outlineLevel="2">
      <c r="A909" s="39" t="s">
        <v>270</v>
      </c>
      <c r="B909" s="40" t="s">
        <v>174</v>
      </c>
      <c r="C909" s="41" t="s">
        <v>274</v>
      </c>
      <c r="D909" s="40" t="s">
        <v>275</v>
      </c>
      <c r="E909" s="24">
        <v>14338200</v>
      </c>
      <c r="F909" s="39">
        <v>44146</v>
      </c>
      <c r="G909" s="24">
        <v>14338200</v>
      </c>
      <c r="H909" s="23">
        <v>5.0000000000000001E-3</v>
      </c>
      <c r="I909" s="39">
        <v>44470</v>
      </c>
      <c r="J909" s="39">
        <v>44500</v>
      </c>
      <c r="K909" s="24">
        <f t="shared" si="62"/>
        <v>31</v>
      </c>
      <c r="L909" s="24">
        <f t="shared" si="63"/>
        <v>6089</v>
      </c>
      <c r="M909" s="24">
        <v>14338200</v>
      </c>
      <c r="N909" s="39">
        <v>45971</v>
      </c>
    </row>
    <row r="910" spans="1:14" s="5" customFormat="1" outlineLevel="2">
      <c r="A910" s="39" t="s">
        <v>270</v>
      </c>
      <c r="B910" s="40" t="s">
        <v>175</v>
      </c>
      <c r="C910" s="41" t="s">
        <v>273</v>
      </c>
      <c r="D910" s="40" t="s">
        <v>272</v>
      </c>
      <c r="E910" s="24">
        <v>31500000</v>
      </c>
      <c r="F910" s="39">
        <v>44140</v>
      </c>
      <c r="G910" s="24">
        <v>31500000</v>
      </c>
      <c r="H910" s="23">
        <v>5.0000000000000001E-3</v>
      </c>
      <c r="I910" s="39">
        <v>44470</v>
      </c>
      <c r="J910" s="39">
        <v>44500</v>
      </c>
      <c r="K910" s="24">
        <f t="shared" si="62"/>
        <v>31</v>
      </c>
      <c r="L910" s="24">
        <f t="shared" si="63"/>
        <v>13377</v>
      </c>
      <c r="M910" s="24">
        <v>31500000</v>
      </c>
      <c r="N910" s="39">
        <v>45965</v>
      </c>
    </row>
    <row r="911" spans="1:14" s="5" customFormat="1" outlineLevel="2">
      <c r="A911" s="39" t="s">
        <v>270</v>
      </c>
      <c r="B911" s="40" t="s">
        <v>176</v>
      </c>
      <c r="C911" s="41" t="s">
        <v>125</v>
      </c>
      <c r="D911" s="40" t="s">
        <v>126</v>
      </c>
      <c r="E911" s="24">
        <v>2500000</v>
      </c>
      <c r="F911" s="39">
        <v>44146</v>
      </c>
      <c r="G911" s="24">
        <v>2500000</v>
      </c>
      <c r="H911" s="23">
        <v>5.0000000000000001E-3</v>
      </c>
      <c r="I911" s="39">
        <v>44470</v>
      </c>
      <c r="J911" s="39">
        <v>44500</v>
      </c>
      <c r="K911" s="24">
        <f t="shared" si="62"/>
        <v>31</v>
      </c>
      <c r="L911" s="24">
        <f t="shared" si="63"/>
        <v>1062</v>
      </c>
      <c r="M911" s="24">
        <v>2500000</v>
      </c>
      <c r="N911" s="39">
        <v>45971</v>
      </c>
    </row>
    <row r="912" spans="1:14" s="5" customFormat="1" outlineLevel="2">
      <c r="A912" s="39" t="s">
        <v>270</v>
      </c>
      <c r="B912" s="40" t="s">
        <v>177</v>
      </c>
      <c r="C912" s="41" t="s">
        <v>276</v>
      </c>
      <c r="D912" s="40" t="s">
        <v>277</v>
      </c>
      <c r="E912" s="24">
        <v>30000000</v>
      </c>
      <c r="F912" s="39">
        <v>44140</v>
      </c>
      <c r="G912" s="24">
        <v>30000000</v>
      </c>
      <c r="H912" s="23">
        <v>5.0000000000000001E-3</v>
      </c>
      <c r="I912" s="39">
        <v>44470</v>
      </c>
      <c r="J912" s="39">
        <v>44500</v>
      </c>
      <c r="K912" s="24">
        <f t="shared" si="62"/>
        <v>31</v>
      </c>
      <c r="L912" s="24">
        <f t="shared" si="63"/>
        <v>12740</v>
      </c>
      <c r="M912" s="24">
        <v>30000000</v>
      </c>
      <c r="N912" s="39">
        <v>45965</v>
      </c>
    </row>
    <row r="913" spans="1:14" s="5" customFormat="1" outlineLevel="2">
      <c r="A913" s="39" t="s">
        <v>270</v>
      </c>
      <c r="B913" s="40" t="s">
        <v>178</v>
      </c>
      <c r="C913" s="41" t="s">
        <v>115</v>
      </c>
      <c r="D913" s="40" t="s">
        <v>116</v>
      </c>
      <c r="E913" s="24">
        <v>6100000</v>
      </c>
      <c r="F913" s="39">
        <v>44138</v>
      </c>
      <c r="G913" s="24">
        <v>6100000</v>
      </c>
      <c r="H913" s="23">
        <v>5.0000000000000001E-3</v>
      </c>
      <c r="I913" s="39">
        <v>44470</v>
      </c>
      <c r="J913" s="39">
        <v>44500</v>
      </c>
      <c r="K913" s="24">
        <f t="shared" si="62"/>
        <v>31</v>
      </c>
      <c r="L913" s="24">
        <f t="shared" si="63"/>
        <v>2590</v>
      </c>
      <c r="M913" s="24">
        <v>6100000</v>
      </c>
      <c r="N913" s="39">
        <v>45963</v>
      </c>
    </row>
    <row r="914" spans="1:14" s="5" customFormat="1" outlineLevel="2">
      <c r="A914" s="39" t="s">
        <v>270</v>
      </c>
      <c r="B914" s="40" t="s">
        <v>179</v>
      </c>
      <c r="C914" s="41" t="s">
        <v>278</v>
      </c>
      <c r="D914" s="40" t="s">
        <v>279</v>
      </c>
      <c r="E914" s="24">
        <v>82036355</v>
      </c>
      <c r="F914" s="39">
        <v>44137</v>
      </c>
      <c r="G914" s="24">
        <v>82036355</v>
      </c>
      <c r="H914" s="23">
        <v>5.0000000000000001E-3</v>
      </c>
      <c r="I914" s="39">
        <v>44470</v>
      </c>
      <c r="J914" s="39">
        <v>44500</v>
      </c>
      <c r="K914" s="24">
        <f t="shared" si="62"/>
        <v>31</v>
      </c>
      <c r="L914" s="24">
        <f t="shared" si="63"/>
        <v>34837</v>
      </c>
      <c r="M914" s="24">
        <v>82036355</v>
      </c>
      <c r="N914" s="39">
        <v>45962</v>
      </c>
    </row>
    <row r="915" spans="1:14" s="5" customFormat="1" outlineLevel="2">
      <c r="A915" s="39" t="s">
        <v>270</v>
      </c>
      <c r="B915" s="40" t="s">
        <v>180</v>
      </c>
      <c r="C915" s="41" t="s">
        <v>280</v>
      </c>
      <c r="D915" s="40" t="s">
        <v>281</v>
      </c>
      <c r="E915" s="24">
        <v>1000000000</v>
      </c>
      <c r="F915" s="39">
        <v>44162</v>
      </c>
      <c r="G915" s="24">
        <v>1000000000</v>
      </c>
      <c r="H915" s="23">
        <v>5.0000000000000001E-3</v>
      </c>
      <c r="I915" s="39">
        <v>44470</v>
      </c>
      <c r="J915" s="39">
        <v>44500</v>
      </c>
      <c r="K915" s="24">
        <f t="shared" si="62"/>
        <v>31</v>
      </c>
      <c r="L915" s="24">
        <f t="shared" si="63"/>
        <v>424658</v>
      </c>
      <c r="M915" s="24">
        <v>1000000000</v>
      </c>
      <c r="N915" s="39">
        <v>45987</v>
      </c>
    </row>
    <row r="916" spans="1:14" s="5" customFormat="1" outlineLevel="2">
      <c r="A916" s="39" t="s">
        <v>270</v>
      </c>
      <c r="B916" s="40" t="s">
        <v>181</v>
      </c>
      <c r="C916" s="41" t="s">
        <v>75</v>
      </c>
      <c r="D916" s="40" t="s">
        <v>76</v>
      </c>
      <c r="E916" s="24">
        <v>47490000</v>
      </c>
      <c r="F916" s="39">
        <v>44137</v>
      </c>
      <c r="G916" s="24">
        <v>47490000</v>
      </c>
      <c r="H916" s="23">
        <v>5.0000000000000001E-3</v>
      </c>
      <c r="I916" s="39">
        <v>44470</v>
      </c>
      <c r="J916" s="39">
        <v>44500</v>
      </c>
      <c r="K916" s="24">
        <f t="shared" si="62"/>
        <v>31</v>
      </c>
      <c r="L916" s="24">
        <f t="shared" si="63"/>
        <v>20167</v>
      </c>
      <c r="M916" s="24">
        <v>47490000</v>
      </c>
      <c r="N916" s="39">
        <v>45962</v>
      </c>
    </row>
    <row r="917" spans="1:14" s="5" customFormat="1" outlineLevel="2">
      <c r="A917" s="39" t="s">
        <v>270</v>
      </c>
      <c r="B917" s="40" t="s">
        <v>182</v>
      </c>
      <c r="C917" s="41" t="s">
        <v>143</v>
      </c>
      <c r="D917" s="40" t="s">
        <v>144</v>
      </c>
      <c r="E917" s="24">
        <v>5300000</v>
      </c>
      <c r="F917" s="39">
        <v>44145</v>
      </c>
      <c r="G917" s="24">
        <v>5300000</v>
      </c>
      <c r="H917" s="23">
        <v>5.0000000000000001E-3</v>
      </c>
      <c r="I917" s="39">
        <v>44470</v>
      </c>
      <c r="J917" s="39">
        <v>44500</v>
      </c>
      <c r="K917" s="24">
        <f t="shared" si="62"/>
        <v>31</v>
      </c>
      <c r="L917" s="24">
        <f t="shared" si="63"/>
        <v>2251</v>
      </c>
      <c r="M917" s="24">
        <v>5300000</v>
      </c>
      <c r="N917" s="39">
        <v>45970</v>
      </c>
    </row>
    <row r="918" spans="1:14" s="5" customFormat="1" outlineLevel="2">
      <c r="A918" s="39" t="s">
        <v>270</v>
      </c>
      <c r="B918" s="40" t="s">
        <v>183</v>
      </c>
      <c r="C918" s="41" t="s">
        <v>143</v>
      </c>
      <c r="D918" s="40" t="s">
        <v>144</v>
      </c>
      <c r="E918" s="24">
        <v>4130000</v>
      </c>
      <c r="F918" s="39">
        <v>44151</v>
      </c>
      <c r="G918" s="24">
        <v>4130000</v>
      </c>
      <c r="H918" s="23">
        <v>5.0000000000000001E-3</v>
      </c>
      <c r="I918" s="39">
        <v>44470</v>
      </c>
      <c r="J918" s="39">
        <v>44500</v>
      </c>
      <c r="K918" s="24">
        <f t="shared" si="62"/>
        <v>31</v>
      </c>
      <c r="L918" s="24">
        <f t="shared" si="63"/>
        <v>1754</v>
      </c>
      <c r="M918" s="24">
        <v>4130000</v>
      </c>
      <c r="N918" s="39">
        <v>45976</v>
      </c>
    </row>
    <row r="919" spans="1:14" s="5" customFormat="1" outlineLevel="2">
      <c r="A919" s="39" t="s">
        <v>270</v>
      </c>
      <c r="B919" s="40" t="s">
        <v>63</v>
      </c>
      <c r="C919" s="41" t="s">
        <v>273</v>
      </c>
      <c r="D919" s="40" t="s">
        <v>272</v>
      </c>
      <c r="E919" s="24">
        <v>55600000</v>
      </c>
      <c r="F919" s="39">
        <v>43833</v>
      </c>
      <c r="G919" s="24">
        <v>55600000</v>
      </c>
      <c r="H919" s="23">
        <v>5.0000000000000001E-3</v>
      </c>
      <c r="I919" s="39">
        <v>44470</v>
      </c>
      <c r="J919" s="39">
        <v>44500</v>
      </c>
      <c r="K919" s="24">
        <f t="shared" si="62"/>
        <v>31</v>
      </c>
      <c r="L919" s="24">
        <f t="shared" si="63"/>
        <v>23611</v>
      </c>
      <c r="M919" s="24">
        <v>55600000</v>
      </c>
      <c r="N919" s="39">
        <v>45659</v>
      </c>
    </row>
    <row r="920" spans="1:14" s="5" customFormat="1" outlineLevel="2">
      <c r="A920" s="39" t="s">
        <v>270</v>
      </c>
      <c r="B920" s="40" t="s">
        <v>184</v>
      </c>
      <c r="C920" s="41" t="s">
        <v>143</v>
      </c>
      <c r="D920" s="40" t="s">
        <v>144</v>
      </c>
      <c r="E920" s="24">
        <v>6450000</v>
      </c>
      <c r="F920" s="39">
        <v>44165</v>
      </c>
      <c r="G920" s="24">
        <v>6450000</v>
      </c>
      <c r="H920" s="23">
        <v>5.0000000000000001E-3</v>
      </c>
      <c r="I920" s="39">
        <v>44470</v>
      </c>
      <c r="J920" s="39">
        <v>44500</v>
      </c>
      <c r="K920" s="24">
        <f t="shared" si="62"/>
        <v>31</v>
      </c>
      <c r="L920" s="24">
        <f t="shared" si="63"/>
        <v>2739</v>
      </c>
      <c r="M920" s="24">
        <v>6450000</v>
      </c>
      <c r="N920" s="39">
        <v>45990</v>
      </c>
    </row>
    <row r="921" spans="1:14" s="5" customFormat="1" outlineLevel="2">
      <c r="A921" s="39" t="s">
        <v>270</v>
      </c>
      <c r="B921" s="40" t="s">
        <v>185</v>
      </c>
      <c r="C921" s="41" t="s">
        <v>55</v>
      </c>
      <c r="D921" s="40" t="s">
        <v>56</v>
      </c>
      <c r="E921" s="24">
        <v>31466520</v>
      </c>
      <c r="F921" s="39">
        <v>44189</v>
      </c>
      <c r="G921" s="24">
        <v>31466520</v>
      </c>
      <c r="H921" s="23">
        <v>5.0000000000000001E-3</v>
      </c>
      <c r="I921" s="39">
        <v>44470</v>
      </c>
      <c r="J921" s="39">
        <v>44500</v>
      </c>
      <c r="K921" s="24">
        <f t="shared" si="62"/>
        <v>31</v>
      </c>
      <c r="L921" s="24">
        <f t="shared" si="63"/>
        <v>13362</v>
      </c>
      <c r="M921" s="24">
        <v>31466520</v>
      </c>
      <c r="N921" s="39">
        <v>46014</v>
      </c>
    </row>
    <row r="922" spans="1:14" s="5" customFormat="1" outlineLevel="2">
      <c r="A922" s="39" t="s">
        <v>270</v>
      </c>
      <c r="B922" s="40" t="s">
        <v>186</v>
      </c>
      <c r="C922" s="41" t="s">
        <v>274</v>
      </c>
      <c r="D922" s="40" t="s">
        <v>275</v>
      </c>
      <c r="E922" s="24">
        <v>14338200</v>
      </c>
      <c r="F922" s="39">
        <v>44174</v>
      </c>
      <c r="G922" s="24">
        <v>14338200</v>
      </c>
      <c r="H922" s="23">
        <v>5.0000000000000001E-3</v>
      </c>
      <c r="I922" s="39">
        <v>44470</v>
      </c>
      <c r="J922" s="39">
        <v>44500</v>
      </c>
      <c r="K922" s="24">
        <f t="shared" si="62"/>
        <v>31</v>
      </c>
      <c r="L922" s="24">
        <f t="shared" si="63"/>
        <v>6089</v>
      </c>
      <c r="M922" s="24">
        <v>14338200</v>
      </c>
      <c r="N922" s="39">
        <v>45999</v>
      </c>
    </row>
    <row r="923" spans="1:14" s="5" customFormat="1" outlineLevel="2">
      <c r="A923" s="39" t="s">
        <v>270</v>
      </c>
      <c r="B923" s="40" t="s">
        <v>189</v>
      </c>
      <c r="C923" s="41" t="s">
        <v>274</v>
      </c>
      <c r="D923" s="40" t="s">
        <v>275</v>
      </c>
      <c r="E923" s="24">
        <v>4977000</v>
      </c>
      <c r="F923" s="39">
        <v>44174</v>
      </c>
      <c r="G923" s="24">
        <v>4977000</v>
      </c>
      <c r="H923" s="23">
        <v>5.0000000000000001E-3</v>
      </c>
      <c r="I923" s="39">
        <v>44470</v>
      </c>
      <c r="J923" s="39">
        <v>44500</v>
      </c>
      <c r="K923" s="24">
        <f t="shared" si="62"/>
        <v>31</v>
      </c>
      <c r="L923" s="24">
        <f t="shared" si="63"/>
        <v>2114</v>
      </c>
      <c r="M923" s="24">
        <v>4977000</v>
      </c>
      <c r="N923" s="39">
        <v>45999</v>
      </c>
    </row>
    <row r="924" spans="1:14" s="5" customFormat="1" outlineLevel="2">
      <c r="A924" s="39" t="s">
        <v>270</v>
      </c>
      <c r="B924" s="40" t="s">
        <v>190</v>
      </c>
      <c r="C924" s="41" t="s">
        <v>115</v>
      </c>
      <c r="D924" s="40" t="s">
        <v>116</v>
      </c>
      <c r="E924" s="24">
        <v>40000000</v>
      </c>
      <c r="F924" s="39">
        <v>44193</v>
      </c>
      <c r="G924" s="24">
        <v>40000000</v>
      </c>
      <c r="H924" s="23">
        <v>5.0000000000000001E-3</v>
      </c>
      <c r="I924" s="39">
        <v>44470</v>
      </c>
      <c r="J924" s="39">
        <v>44500</v>
      </c>
      <c r="K924" s="24">
        <f t="shared" si="62"/>
        <v>31</v>
      </c>
      <c r="L924" s="24">
        <f t="shared" si="63"/>
        <v>16986</v>
      </c>
      <c r="M924" s="24">
        <v>40000000</v>
      </c>
      <c r="N924" s="39">
        <v>46018</v>
      </c>
    </row>
    <row r="925" spans="1:14" s="5" customFormat="1" outlineLevel="2">
      <c r="A925" s="39" t="s">
        <v>270</v>
      </c>
      <c r="B925" s="40" t="s">
        <v>191</v>
      </c>
      <c r="C925" s="41" t="s">
        <v>143</v>
      </c>
      <c r="D925" s="40" t="s">
        <v>144</v>
      </c>
      <c r="E925" s="24">
        <v>8890000</v>
      </c>
      <c r="F925" s="39">
        <v>44175</v>
      </c>
      <c r="G925" s="24">
        <v>8890000</v>
      </c>
      <c r="H925" s="23">
        <v>5.0000000000000001E-3</v>
      </c>
      <c r="I925" s="39">
        <v>44470</v>
      </c>
      <c r="J925" s="39">
        <v>44500</v>
      </c>
      <c r="K925" s="24">
        <f t="shared" si="62"/>
        <v>31</v>
      </c>
      <c r="L925" s="24">
        <f t="shared" si="63"/>
        <v>3775</v>
      </c>
      <c r="M925" s="24">
        <v>8890000</v>
      </c>
      <c r="N925" s="39">
        <v>46000</v>
      </c>
    </row>
    <row r="926" spans="1:14" s="5" customFormat="1" outlineLevel="2">
      <c r="A926" s="39" t="s">
        <v>270</v>
      </c>
      <c r="B926" s="40" t="s">
        <v>192</v>
      </c>
      <c r="C926" s="41" t="s">
        <v>143</v>
      </c>
      <c r="D926" s="40" t="s">
        <v>144</v>
      </c>
      <c r="E926" s="24">
        <v>4020000</v>
      </c>
      <c r="F926" s="39">
        <v>44196</v>
      </c>
      <c r="G926" s="24">
        <v>4020000</v>
      </c>
      <c r="H926" s="23">
        <v>5.0000000000000001E-3</v>
      </c>
      <c r="I926" s="39">
        <v>44470</v>
      </c>
      <c r="J926" s="39">
        <v>44500</v>
      </c>
      <c r="K926" s="24">
        <f t="shared" si="62"/>
        <v>31</v>
      </c>
      <c r="L926" s="24">
        <f t="shared" si="63"/>
        <v>1707</v>
      </c>
      <c r="M926" s="24">
        <v>4020000</v>
      </c>
      <c r="N926" s="39">
        <v>46021</v>
      </c>
    </row>
    <row r="927" spans="1:14" s="5" customFormat="1" outlineLevel="2">
      <c r="A927" s="39" t="s">
        <v>270</v>
      </c>
      <c r="B927" s="40" t="s">
        <v>193</v>
      </c>
      <c r="C927" s="41" t="s">
        <v>273</v>
      </c>
      <c r="D927" s="40" t="s">
        <v>272</v>
      </c>
      <c r="E927" s="24">
        <v>86700000</v>
      </c>
      <c r="F927" s="39">
        <v>44169</v>
      </c>
      <c r="G927" s="24">
        <v>86700000</v>
      </c>
      <c r="H927" s="23">
        <v>5.0000000000000001E-3</v>
      </c>
      <c r="I927" s="39">
        <v>44470</v>
      </c>
      <c r="J927" s="39">
        <v>44500</v>
      </c>
      <c r="K927" s="24">
        <f t="shared" si="62"/>
        <v>31</v>
      </c>
      <c r="L927" s="24">
        <f t="shared" si="63"/>
        <v>36818</v>
      </c>
      <c r="M927" s="24">
        <v>86700000</v>
      </c>
      <c r="N927" s="39">
        <v>45994</v>
      </c>
    </row>
    <row r="928" spans="1:14" s="5" customFormat="1" outlineLevel="2">
      <c r="A928" s="39" t="s">
        <v>270</v>
      </c>
      <c r="B928" s="40" t="s">
        <v>194</v>
      </c>
      <c r="C928" s="41" t="s">
        <v>274</v>
      </c>
      <c r="D928" s="40" t="s">
        <v>275</v>
      </c>
      <c r="E928" s="24">
        <v>4977000</v>
      </c>
      <c r="F928" s="39">
        <v>44209</v>
      </c>
      <c r="G928" s="24">
        <v>4977000</v>
      </c>
      <c r="H928" s="23">
        <v>5.0000000000000001E-3</v>
      </c>
      <c r="I928" s="39">
        <v>44470</v>
      </c>
      <c r="J928" s="39">
        <v>44500</v>
      </c>
      <c r="K928" s="24">
        <f t="shared" si="62"/>
        <v>31</v>
      </c>
      <c r="L928" s="24">
        <f t="shared" si="63"/>
        <v>2114</v>
      </c>
      <c r="M928" s="24">
        <v>4977000</v>
      </c>
      <c r="N928" s="39">
        <v>46034</v>
      </c>
    </row>
    <row r="929" spans="1:14" s="5" customFormat="1" outlineLevel="2">
      <c r="A929" s="39" t="s">
        <v>270</v>
      </c>
      <c r="B929" s="40" t="s">
        <v>195</v>
      </c>
      <c r="C929" s="41" t="s">
        <v>274</v>
      </c>
      <c r="D929" s="40" t="s">
        <v>275</v>
      </c>
      <c r="E929" s="24">
        <v>9862800</v>
      </c>
      <c r="F929" s="39">
        <v>44209</v>
      </c>
      <c r="G929" s="24">
        <v>9862800</v>
      </c>
      <c r="H929" s="23">
        <v>5.0000000000000001E-3</v>
      </c>
      <c r="I929" s="39">
        <v>44470</v>
      </c>
      <c r="J929" s="39">
        <v>44500</v>
      </c>
      <c r="K929" s="24">
        <f t="shared" si="62"/>
        <v>31</v>
      </c>
      <c r="L929" s="24">
        <f t="shared" si="63"/>
        <v>4188</v>
      </c>
      <c r="M929" s="24">
        <v>9862800</v>
      </c>
      <c r="N929" s="39">
        <v>46034</v>
      </c>
    </row>
    <row r="930" spans="1:14" s="5" customFormat="1" outlineLevel="2">
      <c r="A930" s="39" t="s">
        <v>270</v>
      </c>
      <c r="B930" s="40" t="s">
        <v>64</v>
      </c>
      <c r="C930" s="41" t="s">
        <v>273</v>
      </c>
      <c r="D930" s="40" t="s">
        <v>272</v>
      </c>
      <c r="E930" s="24">
        <v>28400000</v>
      </c>
      <c r="F930" s="39">
        <v>43833</v>
      </c>
      <c r="G930" s="24">
        <v>28400000</v>
      </c>
      <c r="H930" s="23">
        <v>5.0000000000000001E-3</v>
      </c>
      <c r="I930" s="39">
        <v>44470</v>
      </c>
      <c r="J930" s="39">
        <v>44500</v>
      </c>
      <c r="K930" s="24">
        <f t="shared" si="62"/>
        <v>31</v>
      </c>
      <c r="L930" s="24">
        <f t="shared" si="63"/>
        <v>12060</v>
      </c>
      <c r="M930" s="24">
        <v>28400000</v>
      </c>
      <c r="N930" s="39">
        <v>45659</v>
      </c>
    </row>
    <row r="931" spans="1:14" s="5" customFormat="1" outlineLevel="2">
      <c r="A931" s="39" t="s">
        <v>270</v>
      </c>
      <c r="B931" s="40" t="s">
        <v>196</v>
      </c>
      <c r="C931" s="41" t="s">
        <v>143</v>
      </c>
      <c r="D931" s="40" t="s">
        <v>144</v>
      </c>
      <c r="E931" s="24">
        <v>3620000</v>
      </c>
      <c r="F931" s="39">
        <v>44207</v>
      </c>
      <c r="G931" s="24">
        <v>3620000</v>
      </c>
      <c r="H931" s="23">
        <v>5.0000000000000001E-3</v>
      </c>
      <c r="I931" s="39">
        <v>44470</v>
      </c>
      <c r="J931" s="39">
        <v>44500</v>
      </c>
      <c r="K931" s="24">
        <f t="shared" si="62"/>
        <v>31</v>
      </c>
      <c r="L931" s="24">
        <f t="shared" si="63"/>
        <v>1537</v>
      </c>
      <c r="M931" s="24">
        <v>3620000</v>
      </c>
      <c r="N931" s="39">
        <v>46032</v>
      </c>
    </row>
    <row r="932" spans="1:14" s="5" customFormat="1" outlineLevel="2">
      <c r="A932" s="39" t="s">
        <v>270</v>
      </c>
      <c r="B932" s="40" t="s">
        <v>197</v>
      </c>
      <c r="C932" s="41" t="s">
        <v>273</v>
      </c>
      <c r="D932" s="40" t="s">
        <v>272</v>
      </c>
      <c r="E932" s="24">
        <v>20600000</v>
      </c>
      <c r="F932" s="39">
        <v>44201</v>
      </c>
      <c r="G932" s="24">
        <v>20600000</v>
      </c>
      <c r="H932" s="23">
        <v>5.0000000000000001E-3</v>
      </c>
      <c r="I932" s="39">
        <v>44470</v>
      </c>
      <c r="J932" s="39">
        <v>44500</v>
      </c>
      <c r="K932" s="24">
        <f t="shared" si="62"/>
        <v>31</v>
      </c>
      <c r="L932" s="24">
        <f t="shared" si="63"/>
        <v>8748</v>
      </c>
      <c r="M932" s="24">
        <v>20600000</v>
      </c>
      <c r="N932" s="39">
        <v>46026</v>
      </c>
    </row>
    <row r="933" spans="1:14" s="5" customFormat="1" outlineLevel="2">
      <c r="A933" s="39" t="s">
        <v>270</v>
      </c>
      <c r="B933" s="40" t="s">
        <v>198</v>
      </c>
      <c r="C933" s="41" t="s">
        <v>75</v>
      </c>
      <c r="D933" s="40" t="s">
        <v>76</v>
      </c>
      <c r="E933" s="24">
        <v>53640000</v>
      </c>
      <c r="F933" s="39">
        <v>44203</v>
      </c>
      <c r="G933" s="24">
        <v>53640000</v>
      </c>
      <c r="H933" s="23">
        <v>5.0000000000000001E-3</v>
      </c>
      <c r="I933" s="39">
        <v>44470</v>
      </c>
      <c r="J933" s="39">
        <v>44500</v>
      </c>
      <c r="K933" s="24">
        <f t="shared" si="62"/>
        <v>31</v>
      </c>
      <c r="L933" s="24">
        <f t="shared" si="63"/>
        <v>22779</v>
      </c>
      <c r="M933" s="24">
        <v>53640000</v>
      </c>
      <c r="N933" s="39">
        <v>46028</v>
      </c>
    </row>
    <row r="934" spans="1:14" s="5" customFormat="1" outlineLevel="2">
      <c r="A934" s="39" t="s">
        <v>270</v>
      </c>
      <c r="B934" s="40" t="s">
        <v>199</v>
      </c>
      <c r="C934" s="41" t="s">
        <v>302</v>
      </c>
      <c r="D934" s="40" t="s">
        <v>301</v>
      </c>
      <c r="E934" s="24">
        <v>40160000</v>
      </c>
      <c r="F934" s="39">
        <v>44232</v>
      </c>
      <c r="G934" s="24">
        <v>40160000</v>
      </c>
      <c r="H934" s="23">
        <v>5.0000000000000001E-3</v>
      </c>
      <c r="I934" s="39">
        <v>44470</v>
      </c>
      <c r="J934" s="39">
        <v>44500</v>
      </c>
      <c r="K934" s="24">
        <f t="shared" si="62"/>
        <v>31</v>
      </c>
      <c r="L934" s="24">
        <f t="shared" si="63"/>
        <v>17054</v>
      </c>
      <c r="M934" s="24">
        <v>40160000</v>
      </c>
      <c r="N934" s="39">
        <v>46057</v>
      </c>
    </row>
    <row r="935" spans="1:14" s="5" customFormat="1" outlineLevel="2">
      <c r="A935" s="39" t="s">
        <v>270</v>
      </c>
      <c r="B935" s="40" t="s">
        <v>200</v>
      </c>
      <c r="C935" s="41" t="s">
        <v>274</v>
      </c>
      <c r="D935" s="40" t="s">
        <v>275</v>
      </c>
      <c r="E935" s="24">
        <v>3655380</v>
      </c>
      <c r="F935" s="39">
        <v>44230</v>
      </c>
      <c r="G935" s="24">
        <v>3655380</v>
      </c>
      <c r="H935" s="23">
        <v>5.0000000000000001E-3</v>
      </c>
      <c r="I935" s="39">
        <v>44470</v>
      </c>
      <c r="J935" s="39">
        <v>44500</v>
      </c>
      <c r="K935" s="24">
        <f t="shared" si="62"/>
        <v>31</v>
      </c>
      <c r="L935" s="24">
        <f t="shared" si="63"/>
        <v>1552</v>
      </c>
      <c r="M935" s="24">
        <v>3655380</v>
      </c>
      <c r="N935" s="39">
        <v>46055</v>
      </c>
    </row>
    <row r="936" spans="1:14" s="5" customFormat="1" outlineLevel="2">
      <c r="A936" s="39" t="s">
        <v>270</v>
      </c>
      <c r="B936" s="40" t="s">
        <v>201</v>
      </c>
      <c r="C936" s="41" t="s">
        <v>274</v>
      </c>
      <c r="D936" s="40" t="s">
        <v>275</v>
      </c>
      <c r="E936" s="24">
        <v>9862800</v>
      </c>
      <c r="F936" s="39">
        <v>44230</v>
      </c>
      <c r="G936" s="24">
        <v>9862800</v>
      </c>
      <c r="H936" s="23">
        <v>5.0000000000000001E-3</v>
      </c>
      <c r="I936" s="39">
        <v>44470</v>
      </c>
      <c r="J936" s="39">
        <v>44500</v>
      </c>
      <c r="K936" s="24">
        <f t="shared" si="62"/>
        <v>31</v>
      </c>
      <c r="L936" s="24">
        <f t="shared" si="63"/>
        <v>4188</v>
      </c>
      <c r="M936" s="24">
        <v>9862800</v>
      </c>
      <c r="N936" s="39">
        <v>46055</v>
      </c>
    </row>
    <row r="937" spans="1:14" s="5" customFormat="1" outlineLevel="2">
      <c r="A937" s="39" t="s">
        <v>270</v>
      </c>
      <c r="B937" s="40" t="s">
        <v>202</v>
      </c>
      <c r="C937" s="41" t="s">
        <v>125</v>
      </c>
      <c r="D937" s="40" t="s">
        <v>126</v>
      </c>
      <c r="E937" s="24">
        <v>32000000</v>
      </c>
      <c r="F937" s="39">
        <v>44250</v>
      </c>
      <c r="G937" s="24">
        <v>32000000</v>
      </c>
      <c r="H937" s="23">
        <v>5.0000000000000001E-3</v>
      </c>
      <c r="I937" s="39">
        <v>44470</v>
      </c>
      <c r="J937" s="39">
        <v>44500</v>
      </c>
      <c r="K937" s="24">
        <f t="shared" si="62"/>
        <v>31</v>
      </c>
      <c r="L937" s="24">
        <f t="shared" si="63"/>
        <v>13589</v>
      </c>
      <c r="M937" s="24">
        <v>32000000</v>
      </c>
      <c r="N937" s="39">
        <v>46075</v>
      </c>
    </row>
    <row r="938" spans="1:14" s="5" customFormat="1" outlineLevel="2">
      <c r="A938" s="39" t="s">
        <v>270</v>
      </c>
      <c r="B938" s="40" t="s">
        <v>203</v>
      </c>
      <c r="C938" s="41" t="s">
        <v>143</v>
      </c>
      <c r="D938" s="40" t="s">
        <v>144</v>
      </c>
      <c r="E938" s="24">
        <v>2390000</v>
      </c>
      <c r="F938" s="39">
        <v>44228</v>
      </c>
      <c r="G938" s="24">
        <v>2390000</v>
      </c>
      <c r="H938" s="23">
        <v>5.0000000000000001E-3</v>
      </c>
      <c r="I938" s="39">
        <v>44470</v>
      </c>
      <c r="J938" s="39">
        <v>44500</v>
      </c>
      <c r="K938" s="24">
        <f t="shared" si="62"/>
        <v>31</v>
      </c>
      <c r="L938" s="24">
        <f t="shared" si="63"/>
        <v>1015</v>
      </c>
      <c r="M938" s="24">
        <v>2390000</v>
      </c>
      <c r="N938" s="39">
        <v>46053</v>
      </c>
    </row>
    <row r="939" spans="1:14" s="5" customFormat="1" outlineLevel="2">
      <c r="A939" s="39" t="s">
        <v>270</v>
      </c>
      <c r="B939" s="40" t="s">
        <v>204</v>
      </c>
      <c r="C939" s="41" t="s">
        <v>273</v>
      </c>
      <c r="D939" s="40" t="s">
        <v>272</v>
      </c>
      <c r="E939" s="24">
        <v>43200000</v>
      </c>
      <c r="F939" s="39">
        <v>44232</v>
      </c>
      <c r="G939" s="24">
        <v>43200000</v>
      </c>
      <c r="H939" s="23">
        <v>5.0000000000000001E-3</v>
      </c>
      <c r="I939" s="39">
        <v>44470</v>
      </c>
      <c r="J939" s="39">
        <v>44500</v>
      </c>
      <c r="K939" s="24">
        <f t="shared" si="62"/>
        <v>31</v>
      </c>
      <c r="L939" s="24">
        <f t="shared" si="63"/>
        <v>18345</v>
      </c>
      <c r="M939" s="24">
        <v>43200000</v>
      </c>
      <c r="N939" s="39">
        <v>46057</v>
      </c>
    </row>
    <row r="940" spans="1:14" s="5" customFormat="1" outlineLevel="2">
      <c r="A940" s="39" t="s">
        <v>270</v>
      </c>
      <c r="B940" s="40" t="s">
        <v>205</v>
      </c>
      <c r="C940" s="41" t="s">
        <v>273</v>
      </c>
      <c r="D940" s="40" t="s">
        <v>272</v>
      </c>
      <c r="E940" s="24">
        <v>4600000</v>
      </c>
      <c r="F940" s="39">
        <v>44232</v>
      </c>
      <c r="G940" s="24">
        <v>4600000</v>
      </c>
      <c r="H940" s="23">
        <v>5.0000000000000001E-3</v>
      </c>
      <c r="I940" s="39">
        <v>44470</v>
      </c>
      <c r="J940" s="39">
        <v>44500</v>
      </c>
      <c r="K940" s="24">
        <f t="shared" ref="K940:K971" si="64">J940-I940+1</f>
        <v>31</v>
      </c>
      <c r="L940" s="24">
        <f t="shared" ref="L940:L971" si="65">ROUND(G940*H940*K940/365,0)</f>
        <v>1953</v>
      </c>
      <c r="M940" s="24">
        <v>4600000</v>
      </c>
      <c r="N940" s="39">
        <v>46057</v>
      </c>
    </row>
    <row r="941" spans="1:14" s="5" customFormat="1" outlineLevel="2">
      <c r="A941" s="39" t="s">
        <v>270</v>
      </c>
      <c r="B941" s="40" t="s">
        <v>65</v>
      </c>
      <c r="C941" s="41" t="s">
        <v>274</v>
      </c>
      <c r="D941" s="40" t="s">
        <v>275</v>
      </c>
      <c r="E941" s="24">
        <v>5452560</v>
      </c>
      <c r="F941" s="39">
        <v>43873</v>
      </c>
      <c r="G941" s="24">
        <v>5452560</v>
      </c>
      <c r="H941" s="23">
        <v>5.0000000000000001E-3</v>
      </c>
      <c r="I941" s="39">
        <v>44470</v>
      </c>
      <c r="J941" s="39">
        <v>44500</v>
      </c>
      <c r="K941" s="24">
        <f t="shared" si="64"/>
        <v>31</v>
      </c>
      <c r="L941" s="24">
        <f t="shared" si="65"/>
        <v>2315</v>
      </c>
      <c r="M941" s="24">
        <v>5452560</v>
      </c>
      <c r="N941" s="39">
        <v>45699</v>
      </c>
    </row>
    <row r="942" spans="1:14" s="5" customFormat="1" outlineLevel="2">
      <c r="A942" s="39" t="s">
        <v>270</v>
      </c>
      <c r="B942" s="40" t="s">
        <v>206</v>
      </c>
      <c r="C942" s="41" t="s">
        <v>302</v>
      </c>
      <c r="D942" s="40" t="s">
        <v>301</v>
      </c>
      <c r="E942" s="24">
        <v>40660000</v>
      </c>
      <c r="F942" s="39">
        <v>44272</v>
      </c>
      <c r="G942" s="24">
        <v>40660000</v>
      </c>
      <c r="H942" s="23">
        <v>5.0000000000000001E-3</v>
      </c>
      <c r="I942" s="39">
        <v>44470</v>
      </c>
      <c r="J942" s="39">
        <v>44500</v>
      </c>
      <c r="K942" s="24">
        <f t="shared" si="64"/>
        <v>31</v>
      </c>
      <c r="L942" s="24">
        <f t="shared" si="65"/>
        <v>17267</v>
      </c>
      <c r="M942" s="24">
        <v>40660000</v>
      </c>
      <c r="N942" s="39">
        <v>46097</v>
      </c>
    </row>
    <row r="943" spans="1:14" s="5" customFormat="1" outlineLevel="2">
      <c r="A943" s="39" t="s">
        <v>270</v>
      </c>
      <c r="B943" s="40" t="s">
        <v>207</v>
      </c>
      <c r="C943" s="41" t="s">
        <v>322</v>
      </c>
      <c r="D943" s="40" t="s">
        <v>321</v>
      </c>
      <c r="E943" s="24">
        <v>13800000</v>
      </c>
      <c r="F943" s="39">
        <v>44264</v>
      </c>
      <c r="G943" s="24">
        <v>13800000</v>
      </c>
      <c r="H943" s="23">
        <v>5.0000000000000001E-3</v>
      </c>
      <c r="I943" s="39">
        <v>44470</v>
      </c>
      <c r="J943" s="39">
        <v>44500</v>
      </c>
      <c r="K943" s="24">
        <f t="shared" si="64"/>
        <v>31</v>
      </c>
      <c r="L943" s="24">
        <f t="shared" si="65"/>
        <v>5860</v>
      </c>
      <c r="M943" s="24">
        <v>13800000</v>
      </c>
      <c r="N943" s="39">
        <v>46089</v>
      </c>
    </row>
    <row r="944" spans="1:14" s="5" customFormat="1" outlineLevel="2">
      <c r="A944" s="39" t="s">
        <v>270</v>
      </c>
      <c r="B944" s="40" t="s">
        <v>208</v>
      </c>
      <c r="C944" s="41" t="s">
        <v>274</v>
      </c>
      <c r="D944" s="40" t="s">
        <v>275</v>
      </c>
      <c r="E944" s="24">
        <v>8641320</v>
      </c>
      <c r="F944" s="39">
        <v>44265</v>
      </c>
      <c r="G944" s="24">
        <v>8641320</v>
      </c>
      <c r="H944" s="23">
        <v>5.0000000000000001E-3</v>
      </c>
      <c r="I944" s="39">
        <v>44470</v>
      </c>
      <c r="J944" s="39">
        <v>44500</v>
      </c>
      <c r="K944" s="24">
        <f t="shared" si="64"/>
        <v>31</v>
      </c>
      <c r="L944" s="24">
        <f t="shared" si="65"/>
        <v>3670</v>
      </c>
      <c r="M944" s="24">
        <v>8641320</v>
      </c>
      <c r="N944" s="39">
        <v>46090</v>
      </c>
    </row>
    <row r="945" spans="1:14" s="5" customFormat="1" outlineLevel="2">
      <c r="A945" s="39" t="s">
        <v>270</v>
      </c>
      <c r="B945" s="40" t="s">
        <v>209</v>
      </c>
      <c r="C945" s="41" t="s">
        <v>274</v>
      </c>
      <c r="D945" s="40" t="s">
        <v>275</v>
      </c>
      <c r="E945" s="24">
        <v>3655380</v>
      </c>
      <c r="F945" s="39">
        <v>44265</v>
      </c>
      <c r="G945" s="24">
        <v>3655380</v>
      </c>
      <c r="H945" s="23">
        <v>5.0000000000000001E-3</v>
      </c>
      <c r="I945" s="39">
        <v>44470</v>
      </c>
      <c r="J945" s="39">
        <v>44500</v>
      </c>
      <c r="K945" s="24">
        <f t="shared" si="64"/>
        <v>31</v>
      </c>
      <c r="L945" s="24">
        <f t="shared" si="65"/>
        <v>1552</v>
      </c>
      <c r="M945" s="24">
        <v>3655380</v>
      </c>
      <c r="N945" s="39">
        <v>46090</v>
      </c>
    </row>
    <row r="946" spans="1:14" s="5" customFormat="1" outlineLevel="2">
      <c r="A946" s="39" t="s">
        <v>270</v>
      </c>
      <c r="B946" s="40" t="s">
        <v>210</v>
      </c>
      <c r="C946" s="41" t="s">
        <v>274</v>
      </c>
      <c r="D946" s="40" t="s">
        <v>275</v>
      </c>
      <c r="E946" s="24">
        <v>13280000</v>
      </c>
      <c r="F946" s="39">
        <v>44272</v>
      </c>
      <c r="G946" s="24">
        <v>13280000</v>
      </c>
      <c r="H946" s="23">
        <v>5.0000000000000001E-3</v>
      </c>
      <c r="I946" s="39">
        <v>44470</v>
      </c>
      <c r="J946" s="39">
        <v>44500</v>
      </c>
      <c r="K946" s="24">
        <f t="shared" si="64"/>
        <v>31</v>
      </c>
      <c r="L946" s="24">
        <f t="shared" si="65"/>
        <v>5639</v>
      </c>
      <c r="M946" s="24">
        <v>13280000</v>
      </c>
      <c r="N946" s="39">
        <v>46097</v>
      </c>
    </row>
    <row r="947" spans="1:14" s="5" customFormat="1" outlineLevel="2">
      <c r="A947" s="39" t="s">
        <v>270</v>
      </c>
      <c r="B947" s="40" t="s">
        <v>211</v>
      </c>
      <c r="C947" s="41" t="s">
        <v>115</v>
      </c>
      <c r="D947" s="40" t="s">
        <v>116</v>
      </c>
      <c r="E947" s="24">
        <v>47000000</v>
      </c>
      <c r="F947" s="39">
        <v>44284</v>
      </c>
      <c r="G947" s="24">
        <v>47000000</v>
      </c>
      <c r="H947" s="23">
        <v>5.0000000000000001E-3</v>
      </c>
      <c r="I947" s="39">
        <v>44470</v>
      </c>
      <c r="J947" s="39">
        <v>44500</v>
      </c>
      <c r="K947" s="24">
        <f t="shared" si="64"/>
        <v>31</v>
      </c>
      <c r="L947" s="24">
        <f t="shared" si="65"/>
        <v>19959</v>
      </c>
      <c r="M947" s="24">
        <v>47000000</v>
      </c>
      <c r="N947" s="39">
        <v>46109</v>
      </c>
    </row>
    <row r="948" spans="1:14" s="5" customFormat="1" outlineLevel="2">
      <c r="A948" s="39" t="s">
        <v>270</v>
      </c>
      <c r="B948" s="40" t="s">
        <v>212</v>
      </c>
      <c r="C948" s="41" t="s">
        <v>143</v>
      </c>
      <c r="D948" s="40" t="s">
        <v>144</v>
      </c>
      <c r="E948" s="24">
        <v>5840000</v>
      </c>
      <c r="F948" s="39">
        <v>44257</v>
      </c>
      <c r="G948" s="24">
        <v>5840000</v>
      </c>
      <c r="H948" s="23">
        <v>5.0000000000000001E-3</v>
      </c>
      <c r="I948" s="39">
        <v>44470</v>
      </c>
      <c r="J948" s="39">
        <v>44500</v>
      </c>
      <c r="K948" s="24">
        <f t="shared" si="64"/>
        <v>31</v>
      </c>
      <c r="L948" s="24">
        <f t="shared" si="65"/>
        <v>2480</v>
      </c>
      <c r="M948" s="24">
        <v>5840000</v>
      </c>
      <c r="N948" s="39">
        <v>46082</v>
      </c>
    </row>
    <row r="949" spans="1:14" s="5" customFormat="1" outlineLevel="2">
      <c r="A949" s="39" t="s">
        <v>270</v>
      </c>
      <c r="B949" s="40" t="s">
        <v>213</v>
      </c>
      <c r="C949" s="41" t="s">
        <v>143</v>
      </c>
      <c r="D949" s="40" t="s">
        <v>144</v>
      </c>
      <c r="E949" s="24">
        <v>3570000</v>
      </c>
      <c r="F949" s="39">
        <v>44286</v>
      </c>
      <c r="G949" s="24">
        <v>3570000</v>
      </c>
      <c r="H949" s="23">
        <v>5.0000000000000001E-3</v>
      </c>
      <c r="I949" s="39">
        <v>44470</v>
      </c>
      <c r="J949" s="39">
        <v>44500</v>
      </c>
      <c r="K949" s="24">
        <f t="shared" si="64"/>
        <v>31</v>
      </c>
      <c r="L949" s="24">
        <f t="shared" si="65"/>
        <v>1516</v>
      </c>
      <c r="M949" s="24">
        <v>3570000</v>
      </c>
      <c r="N949" s="39">
        <v>46111</v>
      </c>
    </row>
    <row r="950" spans="1:14" s="5" customFormat="1" outlineLevel="2">
      <c r="A950" s="39" t="s">
        <v>270</v>
      </c>
      <c r="B950" s="40" t="s">
        <v>214</v>
      </c>
      <c r="C950" s="41" t="s">
        <v>273</v>
      </c>
      <c r="D950" s="40" t="s">
        <v>272</v>
      </c>
      <c r="E950" s="24">
        <v>63400000</v>
      </c>
      <c r="F950" s="39">
        <v>44260</v>
      </c>
      <c r="G950" s="24">
        <v>63400000</v>
      </c>
      <c r="H950" s="23">
        <v>5.0000000000000001E-3</v>
      </c>
      <c r="I950" s="39">
        <v>44470</v>
      </c>
      <c r="J950" s="39">
        <v>44500</v>
      </c>
      <c r="K950" s="24">
        <f t="shared" si="64"/>
        <v>31</v>
      </c>
      <c r="L950" s="24">
        <f t="shared" si="65"/>
        <v>26923</v>
      </c>
      <c r="M950" s="24">
        <v>63400000</v>
      </c>
      <c r="N950" s="39">
        <v>46085</v>
      </c>
    </row>
    <row r="951" spans="1:14" s="5" customFormat="1" outlineLevel="2">
      <c r="A951" s="39" t="s">
        <v>270</v>
      </c>
      <c r="B951" s="40" t="s">
        <v>215</v>
      </c>
      <c r="C951" s="41" t="s">
        <v>273</v>
      </c>
      <c r="D951" s="40" t="s">
        <v>272</v>
      </c>
      <c r="E951" s="24">
        <v>2800000</v>
      </c>
      <c r="F951" s="39">
        <v>44260</v>
      </c>
      <c r="G951" s="24">
        <v>2800000</v>
      </c>
      <c r="H951" s="23">
        <v>5.0000000000000001E-3</v>
      </c>
      <c r="I951" s="39">
        <v>44470</v>
      </c>
      <c r="J951" s="39">
        <v>44500</v>
      </c>
      <c r="K951" s="24">
        <f t="shared" si="64"/>
        <v>31</v>
      </c>
      <c r="L951" s="24">
        <f t="shared" si="65"/>
        <v>1189</v>
      </c>
      <c r="M951" s="24">
        <v>2800000</v>
      </c>
      <c r="N951" s="39">
        <v>46085</v>
      </c>
    </row>
    <row r="952" spans="1:14" s="5" customFormat="1" outlineLevel="2">
      <c r="A952" s="39" t="s">
        <v>270</v>
      </c>
      <c r="B952" s="40" t="s">
        <v>68</v>
      </c>
      <c r="C952" s="41" t="s">
        <v>274</v>
      </c>
      <c r="D952" s="40" t="s">
        <v>275</v>
      </c>
      <c r="E952" s="24">
        <v>7270080</v>
      </c>
      <c r="F952" s="39">
        <v>43873</v>
      </c>
      <c r="G952" s="24">
        <v>7270080</v>
      </c>
      <c r="H952" s="23">
        <v>5.0000000000000001E-3</v>
      </c>
      <c r="I952" s="39">
        <v>44470</v>
      </c>
      <c r="J952" s="39">
        <v>44500</v>
      </c>
      <c r="K952" s="24">
        <f t="shared" si="64"/>
        <v>31</v>
      </c>
      <c r="L952" s="24">
        <f t="shared" si="65"/>
        <v>3087</v>
      </c>
      <c r="M952" s="24">
        <v>7270080</v>
      </c>
      <c r="N952" s="39">
        <v>45699</v>
      </c>
    </row>
    <row r="953" spans="1:14" s="5" customFormat="1" outlineLevel="2">
      <c r="A953" s="39" t="s">
        <v>270</v>
      </c>
      <c r="B953" s="40" t="s">
        <v>216</v>
      </c>
      <c r="C953" s="41" t="s">
        <v>75</v>
      </c>
      <c r="D953" s="40" t="s">
        <v>76</v>
      </c>
      <c r="E953" s="24">
        <v>48420000</v>
      </c>
      <c r="F953" s="39">
        <v>44280</v>
      </c>
      <c r="G953" s="24">
        <v>48420000</v>
      </c>
      <c r="H953" s="23">
        <v>5.0000000000000001E-3</v>
      </c>
      <c r="I953" s="39">
        <v>44470</v>
      </c>
      <c r="J953" s="39">
        <v>44500</v>
      </c>
      <c r="K953" s="24">
        <f t="shared" si="64"/>
        <v>31</v>
      </c>
      <c r="L953" s="24">
        <f t="shared" si="65"/>
        <v>20562</v>
      </c>
      <c r="M953" s="24">
        <v>48420000</v>
      </c>
      <c r="N953" s="39">
        <v>46105</v>
      </c>
    </row>
    <row r="954" spans="1:14" s="5" customFormat="1" outlineLevel="2">
      <c r="A954" s="39" t="s">
        <v>270</v>
      </c>
      <c r="B954" s="40" t="s">
        <v>217</v>
      </c>
      <c r="C954" s="41" t="s">
        <v>274</v>
      </c>
      <c r="D954" s="40" t="s">
        <v>275</v>
      </c>
      <c r="E954" s="24">
        <v>8641320</v>
      </c>
      <c r="F954" s="39">
        <v>44293</v>
      </c>
      <c r="G954" s="24">
        <v>8641320</v>
      </c>
      <c r="H954" s="23">
        <v>5.0000000000000001E-3</v>
      </c>
      <c r="I954" s="39">
        <v>44470</v>
      </c>
      <c r="J954" s="39">
        <v>44500</v>
      </c>
      <c r="K954" s="24">
        <f t="shared" si="64"/>
        <v>31</v>
      </c>
      <c r="L954" s="24">
        <f t="shared" si="65"/>
        <v>3670</v>
      </c>
      <c r="M954" s="24">
        <v>8641320</v>
      </c>
      <c r="N954" s="39">
        <v>46118</v>
      </c>
    </row>
    <row r="955" spans="1:14" s="5" customFormat="1" outlineLevel="2">
      <c r="A955" s="39" t="s">
        <v>270</v>
      </c>
      <c r="B955" s="40" t="s">
        <v>218</v>
      </c>
      <c r="C955" s="41" t="s">
        <v>274</v>
      </c>
      <c r="D955" s="40" t="s">
        <v>275</v>
      </c>
      <c r="E955" s="24">
        <v>10475040</v>
      </c>
      <c r="F955" s="39">
        <v>44293</v>
      </c>
      <c r="G955" s="24">
        <v>10475040</v>
      </c>
      <c r="H955" s="23">
        <v>5.0000000000000001E-3</v>
      </c>
      <c r="I955" s="39">
        <v>44470</v>
      </c>
      <c r="J955" s="39">
        <v>44500</v>
      </c>
      <c r="K955" s="24">
        <f t="shared" si="64"/>
        <v>31</v>
      </c>
      <c r="L955" s="24">
        <f t="shared" si="65"/>
        <v>4448</v>
      </c>
      <c r="M955" s="24">
        <v>10475040</v>
      </c>
      <c r="N955" s="39">
        <v>46118</v>
      </c>
    </row>
    <row r="956" spans="1:14" s="5" customFormat="1" outlineLevel="2">
      <c r="A956" s="39" t="s">
        <v>270</v>
      </c>
      <c r="B956" s="40" t="s">
        <v>221</v>
      </c>
      <c r="C956" s="41" t="s">
        <v>143</v>
      </c>
      <c r="D956" s="40" t="s">
        <v>144</v>
      </c>
      <c r="E956" s="24">
        <v>2890000</v>
      </c>
      <c r="F956" s="39">
        <v>44298</v>
      </c>
      <c r="G956" s="24">
        <v>2890000</v>
      </c>
      <c r="H956" s="23">
        <v>5.0000000000000001E-3</v>
      </c>
      <c r="I956" s="39">
        <v>44470</v>
      </c>
      <c r="J956" s="39">
        <v>44500</v>
      </c>
      <c r="K956" s="24">
        <f t="shared" si="64"/>
        <v>31</v>
      </c>
      <c r="L956" s="24">
        <f t="shared" si="65"/>
        <v>1227</v>
      </c>
      <c r="M956" s="24">
        <v>2890000</v>
      </c>
      <c r="N956" s="39">
        <v>46123</v>
      </c>
    </row>
    <row r="957" spans="1:14" s="5" customFormat="1" outlineLevel="2">
      <c r="A957" s="39" t="s">
        <v>270</v>
      </c>
      <c r="B957" s="40" t="s">
        <v>222</v>
      </c>
      <c r="C957" s="41" t="s">
        <v>273</v>
      </c>
      <c r="D957" s="40" t="s">
        <v>272</v>
      </c>
      <c r="E957" s="24">
        <v>5600000</v>
      </c>
      <c r="F957" s="39">
        <v>44287</v>
      </c>
      <c r="G957" s="24">
        <v>5600000</v>
      </c>
      <c r="H957" s="23">
        <v>5.0000000000000001E-3</v>
      </c>
      <c r="I957" s="39">
        <v>44470</v>
      </c>
      <c r="J957" s="39">
        <v>44500</v>
      </c>
      <c r="K957" s="24">
        <f t="shared" si="64"/>
        <v>31</v>
      </c>
      <c r="L957" s="24">
        <f t="shared" si="65"/>
        <v>2378</v>
      </c>
      <c r="M957" s="24">
        <v>5600000</v>
      </c>
      <c r="N957" s="39">
        <v>46112</v>
      </c>
    </row>
    <row r="958" spans="1:14" s="5" customFormat="1" outlineLevel="2">
      <c r="A958" s="39" t="s">
        <v>270</v>
      </c>
      <c r="B958" s="40" t="s">
        <v>223</v>
      </c>
      <c r="C958" s="41" t="s">
        <v>273</v>
      </c>
      <c r="D958" s="40" t="s">
        <v>272</v>
      </c>
      <c r="E958" s="24">
        <v>24000000</v>
      </c>
      <c r="F958" s="39">
        <v>44287</v>
      </c>
      <c r="G958" s="24">
        <v>24000000</v>
      </c>
      <c r="H958" s="23">
        <v>5.0000000000000001E-3</v>
      </c>
      <c r="I958" s="39">
        <v>44470</v>
      </c>
      <c r="J958" s="39">
        <v>44500</v>
      </c>
      <c r="K958" s="24">
        <f t="shared" si="64"/>
        <v>31</v>
      </c>
      <c r="L958" s="24">
        <f t="shared" si="65"/>
        <v>10192</v>
      </c>
      <c r="M958" s="24">
        <v>24000000</v>
      </c>
      <c r="N958" s="39">
        <v>46112</v>
      </c>
    </row>
    <row r="959" spans="1:14" s="5" customFormat="1" outlineLevel="2">
      <c r="A959" s="39" t="s">
        <v>270</v>
      </c>
      <c r="B959" s="40" t="s">
        <v>224</v>
      </c>
      <c r="C959" s="41" t="s">
        <v>341</v>
      </c>
      <c r="D959" s="40" t="s">
        <v>340</v>
      </c>
      <c r="E959" s="24">
        <v>19600000</v>
      </c>
      <c r="F959" s="39">
        <v>44314</v>
      </c>
      <c r="G959" s="24">
        <v>19600000</v>
      </c>
      <c r="H959" s="23">
        <v>5.0000000000000001E-3</v>
      </c>
      <c r="I959" s="39">
        <v>44470</v>
      </c>
      <c r="J959" s="39">
        <v>44500</v>
      </c>
      <c r="K959" s="24">
        <f t="shared" si="64"/>
        <v>31</v>
      </c>
      <c r="L959" s="24">
        <f t="shared" si="65"/>
        <v>8323</v>
      </c>
      <c r="M959" s="24">
        <v>19600000</v>
      </c>
      <c r="N959" s="39">
        <v>46139</v>
      </c>
    </row>
    <row r="960" spans="1:14" s="5" customFormat="1" outlineLevel="2">
      <c r="A960" s="39" t="s">
        <v>270</v>
      </c>
      <c r="B960" s="40" t="s">
        <v>225</v>
      </c>
      <c r="C960" s="41" t="s">
        <v>341</v>
      </c>
      <c r="D960" s="40" t="s">
        <v>340</v>
      </c>
      <c r="E960" s="24">
        <v>46800000</v>
      </c>
      <c r="F960" s="39">
        <v>44314</v>
      </c>
      <c r="G960" s="24">
        <v>46800000</v>
      </c>
      <c r="H960" s="23">
        <v>5.0000000000000001E-3</v>
      </c>
      <c r="I960" s="39">
        <v>44470</v>
      </c>
      <c r="J960" s="39">
        <v>44500</v>
      </c>
      <c r="K960" s="24">
        <f t="shared" si="64"/>
        <v>31</v>
      </c>
      <c r="L960" s="24">
        <f t="shared" si="65"/>
        <v>19874</v>
      </c>
      <c r="M960" s="24">
        <v>46800000</v>
      </c>
      <c r="N960" s="39">
        <v>46139</v>
      </c>
    </row>
    <row r="961" spans="1:14" s="5" customFormat="1" outlineLevel="2">
      <c r="A961" s="39" t="s">
        <v>270</v>
      </c>
      <c r="B961" s="40" t="s">
        <v>226</v>
      </c>
      <c r="C961" s="41" t="s">
        <v>274</v>
      </c>
      <c r="D961" s="40" t="s">
        <v>275</v>
      </c>
      <c r="E961" s="24">
        <v>10475040</v>
      </c>
      <c r="F961" s="39">
        <v>44328</v>
      </c>
      <c r="G961" s="24">
        <v>10475040</v>
      </c>
      <c r="H961" s="23">
        <v>5.0000000000000001E-3</v>
      </c>
      <c r="I961" s="39">
        <v>44470</v>
      </c>
      <c r="J961" s="39">
        <v>44500</v>
      </c>
      <c r="K961" s="24">
        <f t="shared" si="64"/>
        <v>31</v>
      </c>
      <c r="L961" s="24">
        <f t="shared" si="65"/>
        <v>4448</v>
      </c>
      <c r="M961" s="24">
        <v>10475040</v>
      </c>
      <c r="N961" s="39">
        <v>46153</v>
      </c>
    </row>
    <row r="962" spans="1:14" s="5" customFormat="1" outlineLevel="2">
      <c r="A962" s="39" t="s">
        <v>270</v>
      </c>
      <c r="B962" s="40" t="s">
        <v>227</v>
      </c>
      <c r="C962" s="41" t="s">
        <v>274</v>
      </c>
      <c r="D962" s="40" t="s">
        <v>275</v>
      </c>
      <c r="E962" s="24">
        <v>18388440</v>
      </c>
      <c r="F962" s="39">
        <v>44328</v>
      </c>
      <c r="G962" s="24">
        <v>18388440</v>
      </c>
      <c r="H962" s="23">
        <v>5.0000000000000001E-3</v>
      </c>
      <c r="I962" s="39">
        <v>44470</v>
      </c>
      <c r="J962" s="39">
        <v>44500</v>
      </c>
      <c r="K962" s="24">
        <f t="shared" si="64"/>
        <v>31</v>
      </c>
      <c r="L962" s="24">
        <f t="shared" si="65"/>
        <v>7809</v>
      </c>
      <c r="M962" s="24">
        <v>18388440</v>
      </c>
      <c r="N962" s="39">
        <v>46153</v>
      </c>
    </row>
    <row r="963" spans="1:14" s="5" customFormat="1" outlineLevel="1">
      <c r="A963" s="42" t="s">
        <v>282</v>
      </c>
      <c r="B963" s="70"/>
      <c r="C963" s="71"/>
      <c r="D963" s="70"/>
      <c r="E963" s="72">
        <f>SUBTOTAL(9,E812:E962)</f>
        <v>5305852806</v>
      </c>
      <c r="F963" s="73"/>
      <c r="G963" s="72"/>
      <c r="H963" s="74"/>
      <c r="I963" s="73"/>
      <c r="J963" s="73"/>
      <c r="K963" s="72"/>
      <c r="L963" s="72">
        <f>SUBTOTAL(9,L812:L962)</f>
        <v>2164628</v>
      </c>
      <c r="M963" s="72">
        <f>SUBTOTAL(9,M812:M962)</f>
        <v>5305852806</v>
      </c>
      <c r="N963" s="73"/>
    </row>
    <row r="964" spans="1:14" s="5" customFormat="1" outlineLevel="2">
      <c r="A964" s="39" t="s">
        <v>283</v>
      </c>
      <c r="B964" s="40" t="s">
        <v>16</v>
      </c>
      <c r="C964" s="41" t="s">
        <v>284</v>
      </c>
      <c r="D964" s="40" t="s">
        <v>285</v>
      </c>
      <c r="E964" s="24">
        <v>50000000</v>
      </c>
      <c r="F964" s="39">
        <v>44211</v>
      </c>
      <c r="G964" s="24">
        <v>50000000</v>
      </c>
      <c r="H964" s="23">
        <v>5.0000000000000001E-3</v>
      </c>
      <c r="I964" s="39">
        <v>44470</v>
      </c>
      <c r="J964" s="39">
        <v>44500</v>
      </c>
      <c r="K964" s="24">
        <f>J964-I964+1</f>
        <v>31</v>
      </c>
      <c r="L964" s="24">
        <f>ROUND(G964*H964*K964/365,0)</f>
        <v>21233</v>
      </c>
      <c r="M964" s="24">
        <v>50000000</v>
      </c>
      <c r="N964" s="39">
        <v>46036</v>
      </c>
    </row>
    <row r="965" spans="1:14" s="5" customFormat="1" outlineLevel="1">
      <c r="A965" s="42" t="s">
        <v>286</v>
      </c>
      <c r="B965" s="70"/>
      <c r="C965" s="71"/>
      <c r="D965" s="70"/>
      <c r="E965" s="72">
        <f>SUBTOTAL(9,E964:E964)</f>
        <v>50000000</v>
      </c>
      <c r="F965" s="73"/>
      <c r="G965" s="72"/>
      <c r="H965" s="74"/>
      <c r="I965" s="73"/>
      <c r="J965" s="73"/>
      <c r="K965" s="72"/>
      <c r="L965" s="72">
        <f>SUBTOTAL(9,L964:L964)</f>
        <v>21233</v>
      </c>
      <c r="M965" s="72">
        <f>SUBTOTAL(9,M964:M964)</f>
        <v>50000000</v>
      </c>
      <c r="N965" s="73"/>
    </row>
    <row r="966" spans="1:14" s="5" customFormat="1" outlineLevel="2">
      <c r="A966" s="39" t="s">
        <v>287</v>
      </c>
      <c r="B966" s="40" t="s">
        <v>16</v>
      </c>
      <c r="C966" s="41" t="s">
        <v>30</v>
      </c>
      <c r="D966" s="40" t="s">
        <v>31</v>
      </c>
      <c r="E966" s="24">
        <v>20000000</v>
      </c>
      <c r="F966" s="39">
        <v>43985</v>
      </c>
      <c r="G966" s="24">
        <v>20000000</v>
      </c>
      <c r="H966" s="23">
        <v>5.0000000000000001E-3</v>
      </c>
      <c r="I966" s="39">
        <v>44470</v>
      </c>
      <c r="J966" s="39">
        <v>44500</v>
      </c>
      <c r="K966" s="24">
        <f>J966-I966+1</f>
        <v>31</v>
      </c>
      <c r="L966" s="24">
        <f>ROUND(G966*H966*K966/365,0)</f>
        <v>8493</v>
      </c>
      <c r="M966" s="24">
        <v>20000000</v>
      </c>
      <c r="N966" s="39">
        <v>45810</v>
      </c>
    </row>
    <row r="967" spans="1:14" s="5" customFormat="1" outlineLevel="2">
      <c r="A967" s="39" t="s">
        <v>287</v>
      </c>
      <c r="B967" s="40" t="s">
        <v>39</v>
      </c>
      <c r="C967" s="41" t="s">
        <v>30</v>
      </c>
      <c r="D967" s="40" t="s">
        <v>31</v>
      </c>
      <c r="E967" s="24">
        <v>13800000</v>
      </c>
      <c r="F967" s="39">
        <v>44034</v>
      </c>
      <c r="G967" s="24">
        <v>13800000</v>
      </c>
      <c r="H967" s="23">
        <v>5.0000000000000001E-3</v>
      </c>
      <c r="I967" s="39">
        <v>44470</v>
      </c>
      <c r="J967" s="39">
        <v>44500</v>
      </c>
      <c r="K967" s="24">
        <f>J967-I967+1</f>
        <v>31</v>
      </c>
      <c r="L967" s="24">
        <f>ROUND(G967*H967*K967/365,0)</f>
        <v>5860</v>
      </c>
      <c r="M967" s="24">
        <v>13800000</v>
      </c>
      <c r="N967" s="39">
        <v>45859</v>
      </c>
    </row>
    <row r="968" spans="1:14" s="5" customFormat="1" outlineLevel="2">
      <c r="A968" s="39" t="s">
        <v>287</v>
      </c>
      <c r="B968" s="40" t="s">
        <v>54</v>
      </c>
      <c r="C968" s="41" t="s">
        <v>30</v>
      </c>
      <c r="D968" s="40" t="s">
        <v>31</v>
      </c>
      <c r="E968" s="24">
        <v>25000000</v>
      </c>
      <c r="F968" s="39">
        <v>44102</v>
      </c>
      <c r="G968" s="24">
        <v>25000000</v>
      </c>
      <c r="H968" s="23">
        <v>5.0000000000000001E-3</v>
      </c>
      <c r="I968" s="39">
        <v>44470</v>
      </c>
      <c r="J968" s="39">
        <v>44500</v>
      </c>
      <c r="K968" s="24">
        <f>J968-I968+1</f>
        <v>31</v>
      </c>
      <c r="L968" s="24">
        <f>ROUND(G968*H968*K968/365,0)</f>
        <v>10616</v>
      </c>
      <c r="M968" s="24">
        <v>25000000</v>
      </c>
      <c r="N968" s="39">
        <v>45927</v>
      </c>
    </row>
    <row r="969" spans="1:14" s="5" customFormat="1" outlineLevel="2">
      <c r="A969" s="39" t="s">
        <v>287</v>
      </c>
      <c r="B969" s="40" t="s">
        <v>59</v>
      </c>
      <c r="C969" s="41" t="s">
        <v>30</v>
      </c>
      <c r="D969" s="40" t="s">
        <v>31</v>
      </c>
      <c r="E969" s="24">
        <v>5600000</v>
      </c>
      <c r="F969" s="39">
        <v>44103</v>
      </c>
      <c r="G969" s="24">
        <v>5600000</v>
      </c>
      <c r="H969" s="23">
        <v>5.0000000000000001E-3</v>
      </c>
      <c r="I969" s="39">
        <v>44470</v>
      </c>
      <c r="J969" s="39">
        <v>44500</v>
      </c>
      <c r="K969" s="24">
        <f>J969-I969+1</f>
        <v>31</v>
      </c>
      <c r="L969" s="24">
        <f>ROUND(G969*H969*K969/365,0)</f>
        <v>2378</v>
      </c>
      <c r="M969" s="24">
        <v>5600000</v>
      </c>
      <c r="N969" s="39">
        <v>45928</v>
      </c>
    </row>
    <row r="970" spans="1:14" s="5" customFormat="1" outlineLevel="2">
      <c r="A970" s="39" t="s">
        <v>287</v>
      </c>
      <c r="B970" s="40" t="s">
        <v>62</v>
      </c>
      <c r="C970" s="41" t="s">
        <v>30</v>
      </c>
      <c r="D970" s="40" t="s">
        <v>31</v>
      </c>
      <c r="E970" s="24">
        <v>108000000</v>
      </c>
      <c r="F970" s="39">
        <v>44476</v>
      </c>
      <c r="G970" s="24">
        <v>108000000</v>
      </c>
      <c r="H970" s="23">
        <v>5.0000000000000001E-3</v>
      </c>
      <c r="I970" s="39">
        <v>44476</v>
      </c>
      <c r="J970" s="39">
        <v>44500</v>
      </c>
      <c r="K970" s="24">
        <f>J970-I970+1</f>
        <v>25</v>
      </c>
      <c r="L970" s="24">
        <f>ROUND(G970*H970*K970/365,0)</f>
        <v>36986</v>
      </c>
      <c r="M970" s="24">
        <v>108000000</v>
      </c>
      <c r="N970" s="39">
        <v>46301</v>
      </c>
    </row>
    <row r="971" spans="1:14" s="5" customFormat="1" outlineLevel="1">
      <c r="A971" s="42" t="s">
        <v>288</v>
      </c>
      <c r="B971" s="70"/>
      <c r="C971" s="71"/>
      <c r="D971" s="70"/>
      <c r="E971" s="72">
        <f>SUBTOTAL(9,E966:E970)</f>
        <v>172400000</v>
      </c>
      <c r="F971" s="73"/>
      <c r="G971" s="72"/>
      <c r="H971" s="74"/>
      <c r="I971" s="73"/>
      <c r="J971" s="73"/>
      <c r="K971" s="72"/>
      <c r="L971" s="72">
        <f>SUBTOTAL(9,L966:L970)</f>
        <v>64333</v>
      </c>
      <c r="M971" s="72">
        <f>SUBTOTAL(9,M966:M970)</f>
        <v>172400000</v>
      </c>
      <c r="N971" s="73"/>
    </row>
    <row r="972" spans="1:14" s="5" customFormat="1" outlineLevel="2">
      <c r="A972" s="39" t="s">
        <v>289</v>
      </c>
      <c r="B972" s="40" t="s">
        <v>16</v>
      </c>
      <c r="C972" s="41" t="s">
        <v>121</v>
      </c>
      <c r="D972" s="40" t="s">
        <v>122</v>
      </c>
      <c r="E972" s="24">
        <v>72000000</v>
      </c>
      <c r="F972" s="39">
        <v>43917</v>
      </c>
      <c r="G972" s="24">
        <v>72000000</v>
      </c>
      <c r="H972" s="23">
        <v>5.0000000000000001E-3</v>
      </c>
      <c r="I972" s="39">
        <v>44470</v>
      </c>
      <c r="J972" s="39">
        <v>44500</v>
      </c>
      <c r="K972" s="24">
        <f t="shared" ref="K972:K984" si="66">J972-I972+1</f>
        <v>31</v>
      </c>
      <c r="L972" s="24">
        <f t="shared" ref="L972:L984" si="67">ROUND(G972*H972*K972/365,0)</f>
        <v>30575</v>
      </c>
      <c r="M972" s="24">
        <v>72000000</v>
      </c>
      <c r="N972" s="39">
        <v>45742</v>
      </c>
    </row>
    <row r="973" spans="1:14" s="5" customFormat="1" outlineLevel="2">
      <c r="A973" s="39" t="s">
        <v>289</v>
      </c>
      <c r="B973" s="40" t="s">
        <v>19</v>
      </c>
      <c r="C973" s="41" t="s">
        <v>121</v>
      </c>
      <c r="D973" s="40" t="s">
        <v>122</v>
      </c>
      <c r="E973" s="24">
        <v>41000000</v>
      </c>
      <c r="F973" s="39">
        <v>44483</v>
      </c>
      <c r="G973" s="24">
        <v>41000000</v>
      </c>
      <c r="H973" s="23">
        <v>5.0000000000000001E-3</v>
      </c>
      <c r="I973" s="39">
        <v>44483</v>
      </c>
      <c r="J973" s="39">
        <v>44500</v>
      </c>
      <c r="K973" s="24">
        <f t="shared" si="66"/>
        <v>18</v>
      </c>
      <c r="L973" s="24">
        <f t="shared" si="67"/>
        <v>10110</v>
      </c>
      <c r="M973" s="24">
        <v>41000000</v>
      </c>
      <c r="N973" s="39">
        <v>46308</v>
      </c>
    </row>
    <row r="974" spans="1:14" s="5" customFormat="1" outlineLevel="2">
      <c r="A974" s="39" t="s">
        <v>289</v>
      </c>
      <c r="B974" s="40" t="s">
        <v>39</v>
      </c>
      <c r="C974" s="41" t="s">
        <v>121</v>
      </c>
      <c r="D974" s="40" t="s">
        <v>122</v>
      </c>
      <c r="E974" s="24">
        <v>144000000</v>
      </c>
      <c r="F974" s="39">
        <v>44018</v>
      </c>
      <c r="G974" s="24">
        <v>144000000</v>
      </c>
      <c r="H974" s="23">
        <v>5.0000000000000001E-3</v>
      </c>
      <c r="I974" s="39">
        <v>44470</v>
      </c>
      <c r="J974" s="39">
        <v>44500</v>
      </c>
      <c r="K974" s="24">
        <f t="shared" si="66"/>
        <v>31</v>
      </c>
      <c r="L974" s="24">
        <f t="shared" si="67"/>
        <v>61151</v>
      </c>
      <c r="M974" s="24">
        <v>144000000</v>
      </c>
      <c r="N974" s="39">
        <v>45843</v>
      </c>
    </row>
    <row r="975" spans="1:14" s="5" customFormat="1" outlineLevel="2">
      <c r="A975" s="39" t="s">
        <v>289</v>
      </c>
      <c r="B975" s="40" t="s">
        <v>54</v>
      </c>
      <c r="C975" s="41" t="s">
        <v>290</v>
      </c>
      <c r="D975" s="40" t="s">
        <v>291</v>
      </c>
      <c r="E975" s="24">
        <v>6820000</v>
      </c>
      <c r="F975" s="39">
        <v>44092</v>
      </c>
      <c r="G975" s="24">
        <v>5455996</v>
      </c>
      <c r="H975" s="23">
        <v>5.0000000000000001E-3</v>
      </c>
      <c r="I975" s="39">
        <v>44470</v>
      </c>
      <c r="J975" s="39">
        <v>44483</v>
      </c>
      <c r="K975" s="24">
        <f t="shared" si="66"/>
        <v>14</v>
      </c>
      <c r="L975" s="24">
        <f t="shared" si="67"/>
        <v>1046</v>
      </c>
      <c r="M975" s="24">
        <v>5342329</v>
      </c>
      <c r="N975" s="39">
        <v>45917</v>
      </c>
    </row>
    <row r="976" spans="1:14" s="5" customFormat="1" outlineLevel="2">
      <c r="A976" s="39" t="s">
        <v>289</v>
      </c>
      <c r="B976" s="40" t="s">
        <v>54</v>
      </c>
      <c r="C976" s="41" t="s">
        <v>290</v>
      </c>
      <c r="D976" s="40"/>
      <c r="E976" s="24"/>
      <c r="F976" s="39"/>
      <c r="G976" s="24">
        <v>5342329</v>
      </c>
      <c r="H976" s="23">
        <v>5.0000000000000001E-3</v>
      </c>
      <c r="I976" s="39">
        <v>44484</v>
      </c>
      <c r="J976" s="39">
        <v>44500</v>
      </c>
      <c r="K976" s="24">
        <f t="shared" si="66"/>
        <v>17</v>
      </c>
      <c r="L976" s="24">
        <f t="shared" si="67"/>
        <v>1244</v>
      </c>
      <c r="M976" s="24"/>
      <c r="N976" s="39">
        <v>45917</v>
      </c>
    </row>
    <row r="977" spans="1:14" s="5" customFormat="1" outlineLevel="2">
      <c r="A977" s="39" t="s">
        <v>289</v>
      </c>
      <c r="B977" s="40" t="s">
        <v>59</v>
      </c>
      <c r="C977" s="41" t="s">
        <v>290</v>
      </c>
      <c r="D977" s="40" t="s">
        <v>291</v>
      </c>
      <c r="E977" s="24">
        <v>17380000</v>
      </c>
      <c r="F977" s="39">
        <v>44092</v>
      </c>
      <c r="G977" s="24">
        <v>11586664</v>
      </c>
      <c r="H977" s="23">
        <v>5.0000000000000001E-3</v>
      </c>
      <c r="I977" s="39">
        <v>44470</v>
      </c>
      <c r="J977" s="39">
        <v>44483</v>
      </c>
      <c r="K977" s="24">
        <f t="shared" si="66"/>
        <v>14</v>
      </c>
      <c r="L977" s="24">
        <f t="shared" si="67"/>
        <v>2222</v>
      </c>
      <c r="M977" s="24">
        <v>11103886</v>
      </c>
      <c r="N977" s="39">
        <v>45186</v>
      </c>
    </row>
    <row r="978" spans="1:14" s="5" customFormat="1" outlineLevel="2">
      <c r="A978" s="39" t="s">
        <v>289</v>
      </c>
      <c r="B978" s="40" t="s">
        <v>59</v>
      </c>
      <c r="C978" s="41" t="s">
        <v>290</v>
      </c>
      <c r="D978" s="40"/>
      <c r="E978" s="24"/>
      <c r="F978" s="39"/>
      <c r="G978" s="24">
        <v>11103886</v>
      </c>
      <c r="H978" s="23">
        <v>5.0000000000000001E-3</v>
      </c>
      <c r="I978" s="39">
        <v>44484</v>
      </c>
      <c r="J978" s="39">
        <v>44500</v>
      </c>
      <c r="K978" s="24">
        <f t="shared" si="66"/>
        <v>17</v>
      </c>
      <c r="L978" s="24">
        <f t="shared" si="67"/>
        <v>2586</v>
      </c>
      <c r="M978" s="24"/>
      <c r="N978" s="39">
        <v>45186</v>
      </c>
    </row>
    <row r="979" spans="1:14" s="5" customFormat="1" outlineLevel="2">
      <c r="A979" s="39" t="s">
        <v>289</v>
      </c>
      <c r="B979" s="40" t="s">
        <v>62</v>
      </c>
      <c r="C979" s="41" t="s">
        <v>121</v>
      </c>
      <c r="D979" s="40" t="s">
        <v>122</v>
      </c>
      <c r="E979" s="24">
        <v>41000000</v>
      </c>
      <c r="F979" s="39">
        <v>44140</v>
      </c>
      <c r="G979" s="24">
        <v>41000000</v>
      </c>
      <c r="H979" s="23">
        <v>5.0000000000000001E-3</v>
      </c>
      <c r="I979" s="39">
        <v>44470</v>
      </c>
      <c r="J979" s="39">
        <v>44500</v>
      </c>
      <c r="K979" s="24">
        <f t="shared" si="66"/>
        <v>31</v>
      </c>
      <c r="L979" s="24">
        <f t="shared" si="67"/>
        <v>17411</v>
      </c>
      <c r="M979" s="24">
        <v>41000000</v>
      </c>
      <c r="N979" s="39">
        <v>45965</v>
      </c>
    </row>
    <row r="980" spans="1:14" s="5" customFormat="1" outlineLevel="2">
      <c r="A980" s="39" t="s">
        <v>289</v>
      </c>
      <c r="B980" s="40" t="s">
        <v>63</v>
      </c>
      <c r="C980" s="41" t="s">
        <v>290</v>
      </c>
      <c r="D980" s="40" t="s">
        <v>291</v>
      </c>
      <c r="E980" s="24">
        <v>3220000</v>
      </c>
      <c r="F980" s="39">
        <v>44161</v>
      </c>
      <c r="G980" s="24">
        <v>2664830</v>
      </c>
      <c r="H980" s="23">
        <v>5.0000000000000001E-3</v>
      </c>
      <c r="I980" s="39">
        <v>44470</v>
      </c>
      <c r="J980" s="39">
        <v>44483</v>
      </c>
      <c r="K980" s="24">
        <f t="shared" si="66"/>
        <v>14</v>
      </c>
      <c r="L980" s="24">
        <f t="shared" si="67"/>
        <v>511</v>
      </c>
      <c r="M980" s="24">
        <v>2609313</v>
      </c>
      <c r="N980" s="39">
        <v>45986</v>
      </c>
    </row>
    <row r="981" spans="1:14" s="5" customFormat="1" outlineLevel="2">
      <c r="A981" s="39" t="s">
        <v>289</v>
      </c>
      <c r="B981" s="40" t="s">
        <v>63</v>
      </c>
      <c r="C981" s="41" t="s">
        <v>290</v>
      </c>
      <c r="D981" s="40"/>
      <c r="E981" s="24"/>
      <c r="F981" s="39"/>
      <c r="G981" s="24">
        <v>2609313</v>
      </c>
      <c r="H981" s="23">
        <v>5.0000000000000001E-3</v>
      </c>
      <c r="I981" s="39">
        <v>44484</v>
      </c>
      <c r="J981" s="39">
        <v>44500</v>
      </c>
      <c r="K981" s="24">
        <f t="shared" si="66"/>
        <v>17</v>
      </c>
      <c r="L981" s="24">
        <f t="shared" si="67"/>
        <v>608</v>
      </c>
      <c r="M981" s="24"/>
      <c r="N981" s="39">
        <v>45986</v>
      </c>
    </row>
    <row r="982" spans="1:14" s="5" customFormat="1" outlineLevel="2">
      <c r="A982" s="39" t="s">
        <v>289</v>
      </c>
      <c r="B982" s="40" t="s">
        <v>64</v>
      </c>
      <c r="C982" s="41" t="s">
        <v>121</v>
      </c>
      <c r="D982" s="40" t="s">
        <v>122</v>
      </c>
      <c r="E982" s="24">
        <v>50000000</v>
      </c>
      <c r="F982" s="39">
        <v>44189</v>
      </c>
      <c r="G982" s="24">
        <v>50000000</v>
      </c>
      <c r="H982" s="23">
        <v>5.0000000000000001E-3</v>
      </c>
      <c r="I982" s="39">
        <v>44470</v>
      </c>
      <c r="J982" s="39">
        <v>44500</v>
      </c>
      <c r="K982" s="24">
        <f t="shared" si="66"/>
        <v>31</v>
      </c>
      <c r="L982" s="24">
        <f t="shared" si="67"/>
        <v>21233</v>
      </c>
      <c r="M982" s="24">
        <v>50000000</v>
      </c>
      <c r="N982" s="39">
        <v>46014</v>
      </c>
    </row>
    <row r="983" spans="1:14" s="5" customFormat="1" outlineLevel="2">
      <c r="A983" s="39" t="s">
        <v>289</v>
      </c>
      <c r="B983" s="40" t="s">
        <v>65</v>
      </c>
      <c r="C983" s="41" t="s">
        <v>121</v>
      </c>
      <c r="D983" s="40" t="s">
        <v>122</v>
      </c>
      <c r="E983" s="24">
        <v>15000000</v>
      </c>
      <c r="F983" s="39">
        <v>44189</v>
      </c>
      <c r="G983" s="24">
        <v>15000000</v>
      </c>
      <c r="H983" s="23">
        <v>5.0000000000000001E-3</v>
      </c>
      <c r="I983" s="39">
        <v>44470</v>
      </c>
      <c r="J983" s="39">
        <v>44500</v>
      </c>
      <c r="K983" s="24">
        <f t="shared" si="66"/>
        <v>31</v>
      </c>
      <c r="L983" s="24">
        <f t="shared" si="67"/>
        <v>6370</v>
      </c>
      <c r="M983" s="24">
        <v>15000000</v>
      </c>
      <c r="N983" s="39">
        <v>46014</v>
      </c>
    </row>
    <row r="984" spans="1:14" s="5" customFormat="1" outlineLevel="2">
      <c r="A984" s="39" t="s">
        <v>289</v>
      </c>
      <c r="B984" s="40" t="s">
        <v>68</v>
      </c>
      <c r="C984" s="41" t="s">
        <v>121</v>
      </c>
      <c r="D984" s="40" t="s">
        <v>122</v>
      </c>
      <c r="E984" s="24">
        <v>850000</v>
      </c>
      <c r="F984" s="39">
        <v>44253</v>
      </c>
      <c r="G984" s="24">
        <v>850000</v>
      </c>
      <c r="H984" s="23">
        <v>5.0000000000000001E-3</v>
      </c>
      <c r="I984" s="39">
        <v>44470</v>
      </c>
      <c r="J984" s="39">
        <v>44500</v>
      </c>
      <c r="K984" s="24">
        <f t="shared" si="66"/>
        <v>31</v>
      </c>
      <c r="L984" s="24">
        <f t="shared" si="67"/>
        <v>361</v>
      </c>
      <c r="M984" s="24">
        <v>850000</v>
      </c>
      <c r="N984" s="39">
        <v>46078</v>
      </c>
    </row>
    <row r="985" spans="1:14" s="5" customFormat="1" outlineLevel="1">
      <c r="A985" s="42" t="s">
        <v>292</v>
      </c>
      <c r="B985" s="70"/>
      <c r="C985" s="71"/>
      <c r="D985" s="70"/>
      <c r="E985" s="72">
        <f>SUBTOTAL(9,E972:E984)</f>
        <v>391270000</v>
      </c>
      <c r="F985" s="73"/>
      <c r="G985" s="72"/>
      <c r="H985" s="74"/>
      <c r="I985" s="73"/>
      <c r="J985" s="73"/>
      <c r="K985" s="72"/>
      <c r="L985" s="72">
        <f>SUBTOTAL(9,L972:L984)</f>
        <v>155428</v>
      </c>
      <c r="M985" s="72">
        <f>SUBTOTAL(9,M972:M984)</f>
        <v>382905528</v>
      </c>
      <c r="N985" s="73"/>
    </row>
    <row r="986" spans="1:14" s="5" customFormat="1" outlineLevel="2">
      <c r="A986" s="39" t="s">
        <v>293</v>
      </c>
      <c r="B986" s="40" t="s">
        <v>16</v>
      </c>
      <c r="C986" s="41" t="s">
        <v>121</v>
      </c>
      <c r="D986" s="40" t="s">
        <v>122</v>
      </c>
      <c r="E986" s="24">
        <v>190000000</v>
      </c>
      <c r="F986" s="39">
        <v>43797</v>
      </c>
      <c r="G986" s="24">
        <v>190000000</v>
      </c>
      <c r="H986" s="23">
        <v>5.0000000000000001E-3</v>
      </c>
      <c r="I986" s="39">
        <v>44470</v>
      </c>
      <c r="J986" s="39">
        <v>44500</v>
      </c>
      <c r="K986" s="24">
        <f t="shared" ref="K986:K1017" si="68">J986-I986+1</f>
        <v>31</v>
      </c>
      <c r="L986" s="24">
        <f t="shared" ref="L986:L1017" si="69">ROUND(G986*H986*K986/365,0)</f>
        <v>80685</v>
      </c>
      <c r="M986" s="24">
        <v>190000000</v>
      </c>
      <c r="N986" s="39">
        <v>45623</v>
      </c>
    </row>
    <row r="987" spans="1:14" s="5" customFormat="1" outlineLevel="2">
      <c r="A987" s="39" t="s">
        <v>293</v>
      </c>
      <c r="B987" s="40" t="s">
        <v>19</v>
      </c>
      <c r="C987" s="41" t="s">
        <v>55</v>
      </c>
      <c r="D987" s="40" t="s">
        <v>56</v>
      </c>
      <c r="E987" s="24">
        <v>1310400</v>
      </c>
      <c r="F987" s="39">
        <v>44043</v>
      </c>
      <c r="G987" s="24">
        <v>976850</v>
      </c>
      <c r="H987" s="23">
        <v>5.0000000000000001E-3</v>
      </c>
      <c r="I987" s="39">
        <v>44470</v>
      </c>
      <c r="J987" s="39">
        <v>44483</v>
      </c>
      <c r="K987" s="24">
        <f t="shared" si="68"/>
        <v>14</v>
      </c>
      <c r="L987" s="24">
        <f t="shared" si="69"/>
        <v>187</v>
      </c>
      <c r="M987" s="24">
        <v>953025</v>
      </c>
      <c r="N987" s="39">
        <v>45868</v>
      </c>
    </row>
    <row r="988" spans="1:14" s="5" customFormat="1" outlineLevel="2">
      <c r="A988" s="39" t="s">
        <v>293</v>
      </c>
      <c r="B988" s="40" t="s">
        <v>19</v>
      </c>
      <c r="C988" s="41" t="s">
        <v>55</v>
      </c>
      <c r="D988" s="40"/>
      <c r="E988" s="24"/>
      <c r="F988" s="39"/>
      <c r="G988" s="24">
        <v>953025</v>
      </c>
      <c r="H988" s="23">
        <v>5.0000000000000001E-3</v>
      </c>
      <c r="I988" s="39">
        <v>44484</v>
      </c>
      <c r="J988" s="39">
        <v>44500</v>
      </c>
      <c r="K988" s="24">
        <f t="shared" si="68"/>
        <v>17</v>
      </c>
      <c r="L988" s="24">
        <f t="shared" si="69"/>
        <v>222</v>
      </c>
      <c r="M988" s="24"/>
      <c r="N988" s="39">
        <v>45868</v>
      </c>
    </row>
    <row r="989" spans="1:14" s="5" customFormat="1" outlineLevel="2">
      <c r="A989" s="39" t="s">
        <v>293</v>
      </c>
      <c r="B989" s="40" t="s">
        <v>22</v>
      </c>
      <c r="C989" s="41" t="s">
        <v>20</v>
      </c>
      <c r="D989" s="40" t="s">
        <v>21</v>
      </c>
      <c r="E989" s="24">
        <v>201600000</v>
      </c>
      <c r="F989" s="39">
        <v>44028</v>
      </c>
      <c r="G989" s="24">
        <v>201600000</v>
      </c>
      <c r="H989" s="23">
        <v>3.0000000000000001E-3</v>
      </c>
      <c r="I989" s="39">
        <v>44470</v>
      </c>
      <c r="J989" s="39">
        <v>44500</v>
      </c>
      <c r="K989" s="24">
        <f t="shared" si="68"/>
        <v>31</v>
      </c>
      <c r="L989" s="24">
        <f t="shared" si="69"/>
        <v>51367</v>
      </c>
      <c r="M989" s="24">
        <v>201600000</v>
      </c>
      <c r="N989" s="39">
        <v>45853</v>
      </c>
    </row>
    <row r="990" spans="1:14" s="5" customFormat="1" outlineLevel="2">
      <c r="A990" s="39" t="s">
        <v>293</v>
      </c>
      <c r="B990" s="40" t="s">
        <v>25</v>
      </c>
      <c r="C990" s="41" t="s">
        <v>294</v>
      </c>
      <c r="D990" s="40" t="s">
        <v>295</v>
      </c>
      <c r="E990" s="24">
        <v>67678400</v>
      </c>
      <c r="F990" s="39">
        <v>44041</v>
      </c>
      <c r="G990" s="24">
        <v>67678400</v>
      </c>
      <c r="H990" s="23">
        <v>5.0000000000000001E-3</v>
      </c>
      <c r="I990" s="39">
        <v>44470</v>
      </c>
      <c r="J990" s="39">
        <v>44500</v>
      </c>
      <c r="K990" s="24">
        <f t="shared" si="68"/>
        <v>31</v>
      </c>
      <c r="L990" s="24">
        <f t="shared" si="69"/>
        <v>28740</v>
      </c>
      <c r="M990" s="24">
        <v>67678400</v>
      </c>
      <c r="N990" s="39">
        <v>45866</v>
      </c>
    </row>
    <row r="991" spans="1:14" s="5" customFormat="1" outlineLevel="2">
      <c r="A991" s="39" t="s">
        <v>293</v>
      </c>
      <c r="B991" s="40" t="s">
        <v>26</v>
      </c>
      <c r="C991" s="41" t="s">
        <v>294</v>
      </c>
      <c r="D991" s="40" t="s">
        <v>295</v>
      </c>
      <c r="E991" s="24">
        <v>56400000</v>
      </c>
      <c r="F991" s="39">
        <v>44060</v>
      </c>
      <c r="G991" s="24">
        <v>56400000</v>
      </c>
      <c r="H991" s="23">
        <v>5.0000000000000001E-3</v>
      </c>
      <c r="I991" s="39">
        <v>44470</v>
      </c>
      <c r="J991" s="39">
        <v>44500</v>
      </c>
      <c r="K991" s="24">
        <f t="shared" si="68"/>
        <v>31</v>
      </c>
      <c r="L991" s="24">
        <f t="shared" si="69"/>
        <v>23951</v>
      </c>
      <c r="M991" s="24">
        <v>56400000</v>
      </c>
      <c r="N991" s="39">
        <v>45885</v>
      </c>
    </row>
    <row r="992" spans="1:14" s="5" customFormat="1" outlineLevel="2">
      <c r="A992" s="39" t="s">
        <v>293</v>
      </c>
      <c r="B992" s="40" t="s">
        <v>29</v>
      </c>
      <c r="C992" s="41" t="s">
        <v>294</v>
      </c>
      <c r="D992" s="40" t="s">
        <v>295</v>
      </c>
      <c r="E992" s="24">
        <v>56400000</v>
      </c>
      <c r="F992" s="39">
        <v>44089</v>
      </c>
      <c r="G992" s="24">
        <v>56400000</v>
      </c>
      <c r="H992" s="23">
        <v>5.0000000000000001E-3</v>
      </c>
      <c r="I992" s="39">
        <v>44470</v>
      </c>
      <c r="J992" s="39">
        <v>44500</v>
      </c>
      <c r="K992" s="24">
        <f t="shared" si="68"/>
        <v>31</v>
      </c>
      <c r="L992" s="24">
        <f t="shared" si="69"/>
        <v>23951</v>
      </c>
      <c r="M992" s="24">
        <v>56400000</v>
      </c>
      <c r="N992" s="39">
        <v>45914</v>
      </c>
    </row>
    <row r="993" spans="1:14" s="5" customFormat="1" outlineLevel="2">
      <c r="A993" s="39" t="s">
        <v>293</v>
      </c>
      <c r="B993" s="40" t="s">
        <v>32</v>
      </c>
      <c r="C993" s="41" t="s">
        <v>294</v>
      </c>
      <c r="D993" s="40" t="s">
        <v>295</v>
      </c>
      <c r="E993" s="24">
        <v>56400000</v>
      </c>
      <c r="F993" s="39">
        <v>44119</v>
      </c>
      <c r="G993" s="24">
        <v>56400000</v>
      </c>
      <c r="H993" s="23">
        <v>5.0000000000000001E-3</v>
      </c>
      <c r="I993" s="39">
        <v>44470</v>
      </c>
      <c r="J993" s="39">
        <v>44500</v>
      </c>
      <c r="K993" s="24">
        <f t="shared" si="68"/>
        <v>31</v>
      </c>
      <c r="L993" s="24">
        <f t="shared" si="69"/>
        <v>23951</v>
      </c>
      <c r="M993" s="24">
        <v>56400000</v>
      </c>
      <c r="N993" s="39">
        <v>45944</v>
      </c>
    </row>
    <row r="994" spans="1:14" s="5" customFormat="1" outlineLevel="2">
      <c r="A994" s="39" t="s">
        <v>293</v>
      </c>
      <c r="B994" s="40" t="s">
        <v>33</v>
      </c>
      <c r="C994" s="41" t="s">
        <v>55</v>
      </c>
      <c r="D994" s="40" t="s">
        <v>56</v>
      </c>
      <c r="E994" s="24">
        <v>1169666</v>
      </c>
      <c r="F994" s="39">
        <v>44134</v>
      </c>
      <c r="G994" s="24">
        <v>922232</v>
      </c>
      <c r="H994" s="23">
        <v>5.0000000000000001E-3</v>
      </c>
      <c r="I994" s="39">
        <v>44470</v>
      </c>
      <c r="J994" s="39">
        <v>44483</v>
      </c>
      <c r="K994" s="24">
        <f t="shared" si="68"/>
        <v>14</v>
      </c>
      <c r="L994" s="24">
        <f t="shared" si="69"/>
        <v>177</v>
      </c>
      <c r="M994" s="24">
        <v>899738</v>
      </c>
      <c r="N994" s="39">
        <v>45959</v>
      </c>
    </row>
    <row r="995" spans="1:14" s="5" customFormat="1" outlineLevel="2">
      <c r="A995" s="39" t="s">
        <v>293</v>
      </c>
      <c r="B995" s="40" t="s">
        <v>33</v>
      </c>
      <c r="C995" s="41" t="s">
        <v>55</v>
      </c>
      <c r="D995" s="40"/>
      <c r="E995" s="24"/>
      <c r="F995" s="39"/>
      <c r="G995" s="24">
        <v>899738</v>
      </c>
      <c r="H995" s="23">
        <v>5.0000000000000001E-3</v>
      </c>
      <c r="I995" s="39">
        <v>44484</v>
      </c>
      <c r="J995" s="39">
        <v>44500</v>
      </c>
      <c r="K995" s="24">
        <f t="shared" si="68"/>
        <v>17</v>
      </c>
      <c r="L995" s="24">
        <f t="shared" si="69"/>
        <v>210</v>
      </c>
      <c r="M995" s="24"/>
      <c r="N995" s="39">
        <v>45959</v>
      </c>
    </row>
    <row r="996" spans="1:14" s="5" customFormat="1" outlineLevel="2">
      <c r="A996" s="39" t="s">
        <v>293</v>
      </c>
      <c r="B996" s="40" t="s">
        <v>34</v>
      </c>
      <c r="C996" s="41" t="s">
        <v>294</v>
      </c>
      <c r="D996" s="40" t="s">
        <v>295</v>
      </c>
      <c r="E996" s="24">
        <v>56400000</v>
      </c>
      <c r="F996" s="39">
        <v>44151</v>
      </c>
      <c r="G996" s="24">
        <v>56400000</v>
      </c>
      <c r="H996" s="23">
        <v>5.0000000000000001E-3</v>
      </c>
      <c r="I996" s="39">
        <v>44470</v>
      </c>
      <c r="J996" s="39">
        <v>44500</v>
      </c>
      <c r="K996" s="24">
        <f t="shared" si="68"/>
        <v>31</v>
      </c>
      <c r="L996" s="24">
        <f t="shared" si="69"/>
        <v>23951</v>
      </c>
      <c r="M996" s="24">
        <v>56400000</v>
      </c>
      <c r="N996" s="39">
        <v>45976</v>
      </c>
    </row>
    <row r="997" spans="1:14" s="5" customFormat="1" outlineLevel="2">
      <c r="A997" s="39" t="s">
        <v>293</v>
      </c>
      <c r="B997" s="40" t="s">
        <v>35</v>
      </c>
      <c r="C997" s="41" t="s">
        <v>115</v>
      </c>
      <c r="D997" s="40" t="s">
        <v>116</v>
      </c>
      <c r="E997" s="24">
        <v>2230000</v>
      </c>
      <c r="F997" s="39">
        <v>44138</v>
      </c>
      <c r="G997" s="24">
        <v>2230000</v>
      </c>
      <c r="H997" s="23">
        <v>5.0000000000000001E-3</v>
      </c>
      <c r="I997" s="39">
        <v>44470</v>
      </c>
      <c r="J997" s="39">
        <v>44500</v>
      </c>
      <c r="K997" s="24">
        <f t="shared" si="68"/>
        <v>31</v>
      </c>
      <c r="L997" s="24">
        <f t="shared" si="69"/>
        <v>947</v>
      </c>
      <c r="M997" s="24">
        <v>2230000</v>
      </c>
      <c r="N997" s="39">
        <v>45963</v>
      </c>
    </row>
    <row r="998" spans="1:14" s="5" customFormat="1" outlineLevel="2">
      <c r="A998" s="39" t="s">
        <v>293</v>
      </c>
      <c r="B998" s="40" t="s">
        <v>36</v>
      </c>
      <c r="C998" s="41" t="s">
        <v>294</v>
      </c>
      <c r="D998" s="40" t="s">
        <v>295</v>
      </c>
      <c r="E998" s="24">
        <v>112800000</v>
      </c>
      <c r="F998" s="39">
        <v>44180</v>
      </c>
      <c r="G998" s="24">
        <v>112800000</v>
      </c>
      <c r="H998" s="23">
        <v>5.0000000000000001E-3</v>
      </c>
      <c r="I998" s="39">
        <v>44470</v>
      </c>
      <c r="J998" s="39">
        <v>44500</v>
      </c>
      <c r="K998" s="24">
        <f t="shared" si="68"/>
        <v>31</v>
      </c>
      <c r="L998" s="24">
        <f t="shared" si="69"/>
        <v>47901</v>
      </c>
      <c r="M998" s="24">
        <v>112800000</v>
      </c>
      <c r="N998" s="39">
        <v>46005</v>
      </c>
    </row>
    <row r="999" spans="1:14" s="5" customFormat="1" outlineLevel="2">
      <c r="A999" s="39" t="s">
        <v>293</v>
      </c>
      <c r="B999" s="40" t="s">
        <v>39</v>
      </c>
      <c r="C999" s="41" t="s">
        <v>121</v>
      </c>
      <c r="D999" s="40" t="s">
        <v>122</v>
      </c>
      <c r="E999" s="24">
        <v>37000000</v>
      </c>
      <c r="F999" s="39">
        <v>43829</v>
      </c>
      <c r="G999" s="24">
        <v>37000000</v>
      </c>
      <c r="H999" s="23">
        <v>5.0000000000000001E-3</v>
      </c>
      <c r="I999" s="39">
        <v>44470</v>
      </c>
      <c r="J999" s="39">
        <v>44500</v>
      </c>
      <c r="K999" s="24">
        <f t="shared" si="68"/>
        <v>31</v>
      </c>
      <c r="L999" s="24">
        <f t="shared" si="69"/>
        <v>15712</v>
      </c>
      <c r="M999" s="24">
        <v>37000000</v>
      </c>
      <c r="N999" s="39">
        <v>45655</v>
      </c>
    </row>
    <row r="1000" spans="1:14" s="5" customFormat="1" outlineLevel="2">
      <c r="A1000" s="39" t="s">
        <v>293</v>
      </c>
      <c r="B1000" s="40" t="s">
        <v>40</v>
      </c>
      <c r="C1000" s="41" t="s">
        <v>294</v>
      </c>
      <c r="D1000" s="40" t="s">
        <v>295</v>
      </c>
      <c r="E1000" s="24">
        <v>3667200</v>
      </c>
      <c r="F1000" s="39">
        <v>44180</v>
      </c>
      <c r="G1000" s="24">
        <v>3667200</v>
      </c>
      <c r="H1000" s="23">
        <v>5.0000000000000001E-3</v>
      </c>
      <c r="I1000" s="39">
        <v>44470</v>
      </c>
      <c r="J1000" s="39">
        <v>44500</v>
      </c>
      <c r="K1000" s="24">
        <f t="shared" si="68"/>
        <v>31</v>
      </c>
      <c r="L1000" s="24">
        <f t="shared" si="69"/>
        <v>1557</v>
      </c>
      <c r="M1000" s="24">
        <v>3667200</v>
      </c>
      <c r="N1000" s="39">
        <v>46005</v>
      </c>
    </row>
    <row r="1001" spans="1:14" s="5" customFormat="1" outlineLevel="2">
      <c r="A1001" s="39" t="s">
        <v>293</v>
      </c>
      <c r="B1001" s="40" t="s">
        <v>41</v>
      </c>
      <c r="C1001" s="41" t="s">
        <v>132</v>
      </c>
      <c r="D1001" s="40" t="s">
        <v>133</v>
      </c>
      <c r="E1001" s="24">
        <v>30870000</v>
      </c>
      <c r="F1001" s="39">
        <v>44175</v>
      </c>
      <c r="G1001" s="24">
        <v>30870000</v>
      </c>
      <c r="H1001" s="23">
        <v>5.0000000000000001E-3</v>
      </c>
      <c r="I1001" s="39">
        <v>44470</v>
      </c>
      <c r="J1001" s="39">
        <v>44500</v>
      </c>
      <c r="K1001" s="24">
        <f t="shared" si="68"/>
        <v>31</v>
      </c>
      <c r="L1001" s="24">
        <f t="shared" si="69"/>
        <v>13109</v>
      </c>
      <c r="M1001" s="24">
        <v>30870000</v>
      </c>
      <c r="N1001" s="39">
        <v>46000</v>
      </c>
    </row>
    <row r="1002" spans="1:14" s="5" customFormat="1" outlineLevel="2">
      <c r="A1002" s="39" t="s">
        <v>293</v>
      </c>
      <c r="B1002" s="40" t="s">
        <v>42</v>
      </c>
      <c r="C1002" s="41" t="s">
        <v>294</v>
      </c>
      <c r="D1002" s="40" t="s">
        <v>295</v>
      </c>
      <c r="E1002" s="24">
        <v>57011200</v>
      </c>
      <c r="F1002" s="39">
        <v>44211</v>
      </c>
      <c r="G1002" s="24">
        <v>57011200</v>
      </c>
      <c r="H1002" s="23">
        <v>5.0000000000000001E-3</v>
      </c>
      <c r="I1002" s="39">
        <v>44470</v>
      </c>
      <c r="J1002" s="39">
        <v>44500</v>
      </c>
      <c r="K1002" s="24">
        <f t="shared" si="68"/>
        <v>31</v>
      </c>
      <c r="L1002" s="24">
        <f t="shared" si="69"/>
        <v>24210</v>
      </c>
      <c r="M1002" s="24">
        <v>57011200</v>
      </c>
      <c r="N1002" s="39">
        <v>46036</v>
      </c>
    </row>
    <row r="1003" spans="1:14" s="5" customFormat="1" outlineLevel="2">
      <c r="A1003" s="39" t="s">
        <v>293</v>
      </c>
      <c r="B1003" s="40" t="s">
        <v>43</v>
      </c>
      <c r="C1003" s="41" t="s">
        <v>115</v>
      </c>
      <c r="D1003" s="40" t="s">
        <v>116</v>
      </c>
      <c r="E1003" s="24">
        <v>10000000</v>
      </c>
      <c r="F1003" s="39">
        <v>44225</v>
      </c>
      <c r="G1003" s="24">
        <v>10000000</v>
      </c>
      <c r="H1003" s="23">
        <v>5.0000000000000001E-3</v>
      </c>
      <c r="I1003" s="39">
        <v>44470</v>
      </c>
      <c r="J1003" s="39">
        <v>44500</v>
      </c>
      <c r="K1003" s="24">
        <f t="shared" si="68"/>
        <v>31</v>
      </c>
      <c r="L1003" s="24">
        <f t="shared" si="69"/>
        <v>4247</v>
      </c>
      <c r="M1003" s="24">
        <v>10000000</v>
      </c>
      <c r="N1003" s="39">
        <v>46050</v>
      </c>
    </row>
    <row r="1004" spans="1:14" s="5" customFormat="1" outlineLevel="2">
      <c r="A1004" s="39" t="s">
        <v>293</v>
      </c>
      <c r="B1004" s="40" t="s">
        <v>44</v>
      </c>
      <c r="C1004" s="41" t="s">
        <v>132</v>
      </c>
      <c r="D1004" s="40" t="s">
        <v>133</v>
      </c>
      <c r="E1004" s="24">
        <v>5880000</v>
      </c>
      <c r="F1004" s="39">
        <v>44207</v>
      </c>
      <c r="G1004" s="24">
        <v>5880000</v>
      </c>
      <c r="H1004" s="23">
        <v>5.0000000000000001E-3</v>
      </c>
      <c r="I1004" s="39">
        <v>44470</v>
      </c>
      <c r="J1004" s="39">
        <v>44500</v>
      </c>
      <c r="K1004" s="24">
        <f t="shared" si="68"/>
        <v>31</v>
      </c>
      <c r="L1004" s="24">
        <f t="shared" si="69"/>
        <v>2497</v>
      </c>
      <c r="M1004" s="24">
        <v>5880000</v>
      </c>
      <c r="N1004" s="39">
        <v>46032</v>
      </c>
    </row>
    <row r="1005" spans="1:14" s="5" customFormat="1" outlineLevel="2">
      <c r="A1005" s="39" t="s">
        <v>293</v>
      </c>
      <c r="B1005" s="40" t="s">
        <v>47</v>
      </c>
      <c r="C1005" s="41" t="s">
        <v>132</v>
      </c>
      <c r="D1005" s="40" t="s">
        <v>133</v>
      </c>
      <c r="E1005" s="24">
        <v>660000</v>
      </c>
      <c r="F1005" s="39">
        <v>44221</v>
      </c>
      <c r="G1005" s="24">
        <v>660000</v>
      </c>
      <c r="H1005" s="23">
        <v>5.0000000000000001E-3</v>
      </c>
      <c r="I1005" s="39">
        <v>44470</v>
      </c>
      <c r="J1005" s="39">
        <v>44500</v>
      </c>
      <c r="K1005" s="24">
        <f t="shared" si="68"/>
        <v>31</v>
      </c>
      <c r="L1005" s="24">
        <f t="shared" si="69"/>
        <v>280</v>
      </c>
      <c r="M1005" s="24">
        <v>660000</v>
      </c>
      <c r="N1005" s="39">
        <v>46046</v>
      </c>
    </row>
    <row r="1006" spans="1:14" s="5" customFormat="1" outlineLevel="2">
      <c r="A1006" s="39" t="s">
        <v>293</v>
      </c>
      <c r="B1006" s="40" t="s">
        <v>50</v>
      </c>
      <c r="C1006" s="41" t="s">
        <v>132</v>
      </c>
      <c r="D1006" s="40" t="s">
        <v>133</v>
      </c>
      <c r="E1006" s="24">
        <v>4160000</v>
      </c>
      <c r="F1006" s="39">
        <v>44207</v>
      </c>
      <c r="G1006" s="24">
        <v>4160000</v>
      </c>
      <c r="H1006" s="23">
        <v>5.0000000000000001E-3</v>
      </c>
      <c r="I1006" s="39">
        <v>44470</v>
      </c>
      <c r="J1006" s="39">
        <v>44500</v>
      </c>
      <c r="K1006" s="24">
        <f t="shared" si="68"/>
        <v>31</v>
      </c>
      <c r="L1006" s="24">
        <f t="shared" si="69"/>
        <v>1767</v>
      </c>
      <c r="M1006" s="24">
        <v>4160000</v>
      </c>
      <c r="N1006" s="39">
        <v>46032</v>
      </c>
    </row>
    <row r="1007" spans="1:14" s="5" customFormat="1" outlineLevel="2">
      <c r="A1007" s="39" t="s">
        <v>293</v>
      </c>
      <c r="B1007" s="40" t="s">
        <v>51</v>
      </c>
      <c r="C1007" s="41" t="s">
        <v>294</v>
      </c>
      <c r="D1007" s="40" t="s">
        <v>295</v>
      </c>
      <c r="E1007" s="24">
        <v>64400000</v>
      </c>
      <c r="F1007" s="39">
        <v>44236</v>
      </c>
      <c r="G1007" s="24">
        <v>64400000</v>
      </c>
      <c r="H1007" s="23">
        <v>5.0000000000000001E-3</v>
      </c>
      <c r="I1007" s="39">
        <v>44470</v>
      </c>
      <c r="J1007" s="39">
        <v>44500</v>
      </c>
      <c r="K1007" s="24">
        <f t="shared" si="68"/>
        <v>31</v>
      </c>
      <c r="L1007" s="24">
        <f t="shared" si="69"/>
        <v>27348</v>
      </c>
      <c r="M1007" s="24">
        <v>64400000</v>
      </c>
      <c r="N1007" s="39">
        <v>46061</v>
      </c>
    </row>
    <row r="1008" spans="1:14" s="5" customFormat="1" outlineLevel="2">
      <c r="A1008" s="39" t="s">
        <v>293</v>
      </c>
      <c r="B1008" s="40" t="s">
        <v>52</v>
      </c>
      <c r="C1008" s="41" t="s">
        <v>294</v>
      </c>
      <c r="D1008" s="40" t="s">
        <v>295</v>
      </c>
      <c r="E1008" s="24">
        <v>57011200</v>
      </c>
      <c r="F1008" s="39">
        <v>44245</v>
      </c>
      <c r="G1008" s="24">
        <v>57011200</v>
      </c>
      <c r="H1008" s="23">
        <v>5.0000000000000001E-3</v>
      </c>
      <c r="I1008" s="39">
        <v>44470</v>
      </c>
      <c r="J1008" s="39">
        <v>44500</v>
      </c>
      <c r="K1008" s="24">
        <f t="shared" si="68"/>
        <v>31</v>
      </c>
      <c r="L1008" s="24">
        <f t="shared" si="69"/>
        <v>24210</v>
      </c>
      <c r="M1008" s="24">
        <v>57011200</v>
      </c>
      <c r="N1008" s="39">
        <v>46070</v>
      </c>
    </row>
    <row r="1009" spans="1:14" s="5" customFormat="1" outlineLevel="2">
      <c r="A1009" s="39" t="s">
        <v>293</v>
      </c>
      <c r="B1009" s="40" t="s">
        <v>53</v>
      </c>
      <c r="C1009" s="41" t="s">
        <v>132</v>
      </c>
      <c r="D1009" s="40" t="s">
        <v>133</v>
      </c>
      <c r="E1009" s="24">
        <v>3640000</v>
      </c>
      <c r="F1009" s="39">
        <v>44244</v>
      </c>
      <c r="G1009" s="24">
        <v>3640000</v>
      </c>
      <c r="H1009" s="23">
        <v>5.0000000000000001E-3</v>
      </c>
      <c r="I1009" s="39">
        <v>44470</v>
      </c>
      <c r="J1009" s="39">
        <v>44500</v>
      </c>
      <c r="K1009" s="24">
        <f t="shared" si="68"/>
        <v>31</v>
      </c>
      <c r="L1009" s="24">
        <f t="shared" si="69"/>
        <v>1546</v>
      </c>
      <c r="M1009" s="24">
        <v>3640000</v>
      </c>
      <c r="N1009" s="39">
        <v>46069</v>
      </c>
    </row>
    <row r="1010" spans="1:14" s="5" customFormat="1" outlineLevel="2">
      <c r="A1010" s="39" t="s">
        <v>293</v>
      </c>
      <c r="B1010" s="40" t="s">
        <v>54</v>
      </c>
      <c r="C1010" s="41" t="s">
        <v>55</v>
      </c>
      <c r="D1010" s="40" t="s">
        <v>56</v>
      </c>
      <c r="E1010" s="24">
        <v>17276700</v>
      </c>
      <c r="F1010" s="39">
        <v>43878</v>
      </c>
      <c r="G1010" s="24">
        <v>11805745</v>
      </c>
      <c r="H1010" s="23">
        <v>5.0000000000000001E-3</v>
      </c>
      <c r="I1010" s="39">
        <v>44470</v>
      </c>
      <c r="J1010" s="39">
        <v>44483</v>
      </c>
      <c r="K1010" s="24">
        <f t="shared" si="68"/>
        <v>14</v>
      </c>
      <c r="L1010" s="24">
        <f t="shared" si="69"/>
        <v>2264</v>
      </c>
      <c r="M1010" s="24">
        <v>11517800</v>
      </c>
      <c r="N1010" s="39">
        <v>45704</v>
      </c>
    </row>
    <row r="1011" spans="1:14" s="5" customFormat="1" outlineLevel="2">
      <c r="A1011" s="39" t="s">
        <v>293</v>
      </c>
      <c r="B1011" s="40" t="s">
        <v>54</v>
      </c>
      <c r="C1011" s="41" t="s">
        <v>55</v>
      </c>
      <c r="D1011" s="40"/>
      <c r="E1011" s="24"/>
      <c r="F1011" s="39"/>
      <c r="G1011" s="24">
        <v>11517800</v>
      </c>
      <c r="H1011" s="23">
        <v>5.0000000000000001E-3</v>
      </c>
      <c r="I1011" s="39">
        <v>44484</v>
      </c>
      <c r="J1011" s="39">
        <v>44500</v>
      </c>
      <c r="K1011" s="24">
        <f t="shared" si="68"/>
        <v>17</v>
      </c>
      <c r="L1011" s="24">
        <f t="shared" si="69"/>
        <v>2682</v>
      </c>
      <c r="M1011" s="24"/>
      <c r="N1011" s="39">
        <v>45704</v>
      </c>
    </row>
    <row r="1012" spans="1:14" s="5" customFormat="1" outlineLevel="2">
      <c r="A1012" s="39" t="s">
        <v>293</v>
      </c>
      <c r="B1012" s="40" t="s">
        <v>57</v>
      </c>
      <c r="C1012" s="41" t="s">
        <v>132</v>
      </c>
      <c r="D1012" s="40" t="s">
        <v>133</v>
      </c>
      <c r="E1012" s="24">
        <v>7500000</v>
      </c>
      <c r="F1012" s="39">
        <v>44228</v>
      </c>
      <c r="G1012" s="24">
        <v>7500000</v>
      </c>
      <c r="H1012" s="23">
        <v>5.0000000000000001E-3</v>
      </c>
      <c r="I1012" s="39">
        <v>44470</v>
      </c>
      <c r="J1012" s="39">
        <v>44500</v>
      </c>
      <c r="K1012" s="24">
        <f t="shared" si="68"/>
        <v>31</v>
      </c>
      <c r="L1012" s="24">
        <f t="shared" si="69"/>
        <v>3185</v>
      </c>
      <c r="M1012" s="24">
        <v>7500000</v>
      </c>
      <c r="N1012" s="39">
        <v>46053</v>
      </c>
    </row>
    <row r="1013" spans="1:14" s="5" customFormat="1" outlineLevel="2">
      <c r="A1013" s="39" t="s">
        <v>293</v>
      </c>
      <c r="B1013" s="40" t="s">
        <v>58</v>
      </c>
      <c r="C1013" s="41" t="s">
        <v>132</v>
      </c>
      <c r="D1013" s="40" t="s">
        <v>133</v>
      </c>
      <c r="E1013" s="24">
        <v>7490000</v>
      </c>
      <c r="F1013" s="39">
        <v>44235</v>
      </c>
      <c r="G1013" s="24">
        <v>7490000</v>
      </c>
      <c r="H1013" s="23">
        <v>5.0000000000000001E-3</v>
      </c>
      <c r="I1013" s="39">
        <v>44470</v>
      </c>
      <c r="J1013" s="39">
        <v>44500</v>
      </c>
      <c r="K1013" s="24">
        <f t="shared" si="68"/>
        <v>31</v>
      </c>
      <c r="L1013" s="24">
        <f t="shared" si="69"/>
        <v>3181</v>
      </c>
      <c r="M1013" s="24">
        <v>7490000</v>
      </c>
      <c r="N1013" s="39">
        <v>46060</v>
      </c>
    </row>
    <row r="1014" spans="1:14" s="5" customFormat="1" outlineLevel="2">
      <c r="A1014" s="39" t="s">
        <v>293</v>
      </c>
      <c r="B1014" s="40" t="s">
        <v>99</v>
      </c>
      <c r="C1014" s="41" t="s">
        <v>132</v>
      </c>
      <c r="D1014" s="40" t="s">
        <v>133</v>
      </c>
      <c r="E1014" s="24">
        <v>6670000</v>
      </c>
      <c r="F1014" s="39">
        <v>44252</v>
      </c>
      <c r="G1014" s="24">
        <v>6670000</v>
      </c>
      <c r="H1014" s="23">
        <v>5.0000000000000001E-3</v>
      </c>
      <c r="I1014" s="39">
        <v>44470</v>
      </c>
      <c r="J1014" s="39">
        <v>44500</v>
      </c>
      <c r="K1014" s="24">
        <f t="shared" si="68"/>
        <v>31</v>
      </c>
      <c r="L1014" s="24">
        <f t="shared" si="69"/>
        <v>2832</v>
      </c>
      <c r="M1014" s="24">
        <v>6670000</v>
      </c>
      <c r="N1014" s="39">
        <v>46077</v>
      </c>
    </row>
    <row r="1015" spans="1:14" s="5" customFormat="1" outlineLevel="2">
      <c r="A1015" s="39" t="s">
        <v>293</v>
      </c>
      <c r="B1015" s="40" t="s">
        <v>100</v>
      </c>
      <c r="C1015" s="41" t="s">
        <v>20</v>
      </c>
      <c r="D1015" s="40" t="s">
        <v>21</v>
      </c>
      <c r="E1015" s="24">
        <v>199200000</v>
      </c>
      <c r="F1015" s="39">
        <v>44259</v>
      </c>
      <c r="G1015" s="24">
        <v>199200000</v>
      </c>
      <c r="H1015" s="23">
        <v>3.0000000000000001E-3</v>
      </c>
      <c r="I1015" s="39">
        <v>44470</v>
      </c>
      <c r="J1015" s="39">
        <v>44500</v>
      </c>
      <c r="K1015" s="24">
        <f t="shared" si="68"/>
        <v>31</v>
      </c>
      <c r="L1015" s="24">
        <f t="shared" si="69"/>
        <v>50755</v>
      </c>
      <c r="M1015" s="24">
        <v>199200000</v>
      </c>
      <c r="N1015" s="39">
        <v>46084</v>
      </c>
    </row>
    <row r="1016" spans="1:14" s="5" customFormat="1" outlineLevel="2">
      <c r="A1016" s="39" t="s">
        <v>293</v>
      </c>
      <c r="B1016" s="40" t="s">
        <v>101</v>
      </c>
      <c r="C1016" s="41" t="s">
        <v>294</v>
      </c>
      <c r="D1016" s="40" t="s">
        <v>295</v>
      </c>
      <c r="E1016" s="24">
        <v>39703444</v>
      </c>
      <c r="F1016" s="39">
        <v>44270</v>
      </c>
      <c r="G1016" s="24">
        <v>39703444</v>
      </c>
      <c r="H1016" s="23">
        <v>5.0000000000000001E-3</v>
      </c>
      <c r="I1016" s="39">
        <v>44470</v>
      </c>
      <c r="J1016" s="39">
        <v>44500</v>
      </c>
      <c r="K1016" s="24">
        <f t="shared" si="68"/>
        <v>31</v>
      </c>
      <c r="L1016" s="24">
        <f t="shared" si="69"/>
        <v>16860</v>
      </c>
      <c r="M1016" s="24">
        <v>39703444</v>
      </c>
      <c r="N1016" s="39">
        <v>46095</v>
      </c>
    </row>
    <row r="1017" spans="1:14" s="5" customFormat="1" outlineLevel="2">
      <c r="A1017" s="39" t="s">
        <v>293</v>
      </c>
      <c r="B1017" s="40" t="s">
        <v>102</v>
      </c>
      <c r="C1017" s="41" t="s">
        <v>115</v>
      </c>
      <c r="D1017" s="40" t="s">
        <v>116</v>
      </c>
      <c r="E1017" s="24">
        <v>27770000</v>
      </c>
      <c r="F1017" s="39">
        <v>44273</v>
      </c>
      <c r="G1017" s="24">
        <v>27770000</v>
      </c>
      <c r="H1017" s="23">
        <v>5.0000000000000001E-3</v>
      </c>
      <c r="I1017" s="39">
        <v>44470</v>
      </c>
      <c r="J1017" s="39">
        <v>44500</v>
      </c>
      <c r="K1017" s="24">
        <f t="shared" si="68"/>
        <v>31</v>
      </c>
      <c r="L1017" s="24">
        <f t="shared" si="69"/>
        <v>11793</v>
      </c>
      <c r="M1017" s="24">
        <v>27770000</v>
      </c>
      <c r="N1017" s="39">
        <v>46098</v>
      </c>
    </row>
    <row r="1018" spans="1:14" s="5" customFormat="1" outlineLevel="2">
      <c r="A1018" s="39" t="s">
        <v>293</v>
      </c>
      <c r="B1018" s="40" t="s">
        <v>103</v>
      </c>
      <c r="C1018" s="41" t="s">
        <v>132</v>
      </c>
      <c r="D1018" s="40" t="s">
        <v>133</v>
      </c>
      <c r="E1018" s="24">
        <v>2620000</v>
      </c>
      <c r="F1018" s="39">
        <v>44280</v>
      </c>
      <c r="G1018" s="24">
        <v>2620000</v>
      </c>
      <c r="H1018" s="23">
        <v>5.0000000000000001E-3</v>
      </c>
      <c r="I1018" s="39">
        <v>44470</v>
      </c>
      <c r="J1018" s="39">
        <v>44500</v>
      </c>
      <c r="K1018" s="24">
        <f t="shared" ref="K1018:K1049" si="70">J1018-I1018+1</f>
        <v>31</v>
      </c>
      <c r="L1018" s="24">
        <f t="shared" ref="L1018:L1049" si="71">ROUND(G1018*H1018*K1018/365,0)</f>
        <v>1113</v>
      </c>
      <c r="M1018" s="24">
        <v>2620000</v>
      </c>
      <c r="N1018" s="39">
        <v>46105</v>
      </c>
    </row>
    <row r="1019" spans="1:14" s="5" customFormat="1" outlineLevel="2">
      <c r="A1019" s="39" t="s">
        <v>293</v>
      </c>
      <c r="B1019" s="40" t="s">
        <v>104</v>
      </c>
      <c r="C1019" s="41" t="s">
        <v>132</v>
      </c>
      <c r="D1019" s="40" t="s">
        <v>133</v>
      </c>
      <c r="E1019" s="24">
        <v>6350000</v>
      </c>
      <c r="F1019" s="39">
        <v>44265</v>
      </c>
      <c r="G1019" s="24">
        <v>6350000</v>
      </c>
      <c r="H1019" s="23">
        <v>5.0000000000000001E-3</v>
      </c>
      <c r="I1019" s="39">
        <v>44470</v>
      </c>
      <c r="J1019" s="39">
        <v>44500</v>
      </c>
      <c r="K1019" s="24">
        <f t="shared" si="70"/>
        <v>31</v>
      </c>
      <c r="L1019" s="24">
        <f t="shared" si="71"/>
        <v>2697</v>
      </c>
      <c r="M1019" s="24">
        <v>6350000</v>
      </c>
      <c r="N1019" s="39">
        <v>46090</v>
      </c>
    </row>
    <row r="1020" spans="1:14" s="5" customFormat="1" outlineLevel="2">
      <c r="A1020" s="39" t="s">
        <v>293</v>
      </c>
      <c r="B1020" s="40" t="s">
        <v>105</v>
      </c>
      <c r="C1020" s="41" t="s">
        <v>132</v>
      </c>
      <c r="D1020" s="40" t="s">
        <v>133</v>
      </c>
      <c r="E1020" s="24">
        <v>1870000</v>
      </c>
      <c r="F1020" s="39">
        <v>44280</v>
      </c>
      <c r="G1020" s="24">
        <v>1870000</v>
      </c>
      <c r="H1020" s="23">
        <v>5.0000000000000001E-3</v>
      </c>
      <c r="I1020" s="39">
        <v>44470</v>
      </c>
      <c r="J1020" s="39">
        <v>44500</v>
      </c>
      <c r="K1020" s="24">
        <f t="shared" si="70"/>
        <v>31</v>
      </c>
      <c r="L1020" s="24">
        <f t="shared" si="71"/>
        <v>794</v>
      </c>
      <c r="M1020" s="24">
        <v>1870000</v>
      </c>
      <c r="N1020" s="39">
        <v>46105</v>
      </c>
    </row>
    <row r="1021" spans="1:14" s="5" customFormat="1" outlineLevel="2">
      <c r="A1021" s="39" t="s">
        <v>293</v>
      </c>
      <c r="B1021" s="40" t="s">
        <v>106</v>
      </c>
      <c r="C1021" s="41" t="s">
        <v>294</v>
      </c>
      <c r="D1021" s="40" t="s">
        <v>295</v>
      </c>
      <c r="E1021" s="24">
        <v>72291200</v>
      </c>
      <c r="F1021" s="39">
        <v>44301</v>
      </c>
      <c r="G1021" s="24">
        <v>72291200</v>
      </c>
      <c r="H1021" s="23">
        <v>5.0000000000000001E-3</v>
      </c>
      <c r="I1021" s="39">
        <v>44470</v>
      </c>
      <c r="J1021" s="39">
        <v>44500</v>
      </c>
      <c r="K1021" s="24">
        <f t="shared" si="70"/>
        <v>31</v>
      </c>
      <c r="L1021" s="24">
        <f t="shared" si="71"/>
        <v>30699</v>
      </c>
      <c r="M1021" s="24">
        <v>72291200</v>
      </c>
      <c r="N1021" s="39">
        <v>46126</v>
      </c>
    </row>
    <row r="1022" spans="1:14" s="5" customFormat="1" outlineLevel="2">
      <c r="A1022" s="39" t="s">
        <v>293</v>
      </c>
      <c r="B1022" s="40" t="s">
        <v>59</v>
      </c>
      <c r="C1022" s="41" t="s">
        <v>121</v>
      </c>
      <c r="D1022" s="40" t="s">
        <v>122</v>
      </c>
      <c r="E1022" s="24">
        <v>73000000</v>
      </c>
      <c r="F1022" s="39">
        <v>43896</v>
      </c>
      <c r="G1022" s="24">
        <v>73000000</v>
      </c>
      <c r="H1022" s="23">
        <v>5.0000000000000001E-3</v>
      </c>
      <c r="I1022" s="39">
        <v>44470</v>
      </c>
      <c r="J1022" s="39">
        <v>44500</v>
      </c>
      <c r="K1022" s="24">
        <f t="shared" si="70"/>
        <v>31</v>
      </c>
      <c r="L1022" s="24">
        <f t="shared" si="71"/>
        <v>31000</v>
      </c>
      <c r="M1022" s="24">
        <v>73000000</v>
      </c>
      <c r="N1022" s="39">
        <v>45721</v>
      </c>
    </row>
    <row r="1023" spans="1:14" s="5" customFormat="1" outlineLevel="2">
      <c r="A1023" s="39" t="s">
        <v>293</v>
      </c>
      <c r="B1023" s="40" t="s">
        <v>136</v>
      </c>
      <c r="C1023" s="41" t="s">
        <v>132</v>
      </c>
      <c r="D1023" s="40" t="s">
        <v>133</v>
      </c>
      <c r="E1023" s="24">
        <v>750000</v>
      </c>
      <c r="F1023" s="39">
        <v>44301</v>
      </c>
      <c r="G1023" s="24">
        <v>750000</v>
      </c>
      <c r="H1023" s="23">
        <v>5.0000000000000001E-3</v>
      </c>
      <c r="I1023" s="39">
        <v>44470</v>
      </c>
      <c r="J1023" s="39">
        <v>44500</v>
      </c>
      <c r="K1023" s="24">
        <f t="shared" si="70"/>
        <v>31</v>
      </c>
      <c r="L1023" s="24">
        <f t="shared" si="71"/>
        <v>318</v>
      </c>
      <c r="M1023" s="24">
        <v>750000</v>
      </c>
      <c r="N1023" s="39">
        <v>46126</v>
      </c>
    </row>
    <row r="1024" spans="1:14" s="5" customFormat="1" outlineLevel="2">
      <c r="A1024" s="39" t="s">
        <v>293</v>
      </c>
      <c r="B1024" s="40" t="s">
        <v>137</v>
      </c>
      <c r="C1024" s="41" t="s">
        <v>132</v>
      </c>
      <c r="D1024" s="40" t="s">
        <v>133</v>
      </c>
      <c r="E1024" s="24">
        <v>4560000</v>
      </c>
      <c r="F1024" s="39">
        <v>44298</v>
      </c>
      <c r="G1024" s="24">
        <v>4560000</v>
      </c>
      <c r="H1024" s="23">
        <v>5.0000000000000001E-3</v>
      </c>
      <c r="I1024" s="39">
        <v>44470</v>
      </c>
      <c r="J1024" s="39">
        <v>44500</v>
      </c>
      <c r="K1024" s="24">
        <f t="shared" si="70"/>
        <v>31</v>
      </c>
      <c r="L1024" s="24">
        <f t="shared" si="71"/>
        <v>1936</v>
      </c>
      <c r="M1024" s="24">
        <v>4560000</v>
      </c>
      <c r="N1024" s="39">
        <v>46123</v>
      </c>
    </row>
    <row r="1025" spans="1:14" s="5" customFormat="1" outlineLevel="2">
      <c r="A1025" s="39" t="s">
        <v>293</v>
      </c>
      <c r="B1025" s="40" t="s">
        <v>138</v>
      </c>
      <c r="C1025" s="41" t="s">
        <v>132</v>
      </c>
      <c r="D1025" s="40" t="s">
        <v>133</v>
      </c>
      <c r="E1025" s="24">
        <v>10770000</v>
      </c>
      <c r="F1025" s="39">
        <v>44312</v>
      </c>
      <c r="G1025" s="24">
        <v>10770000</v>
      </c>
      <c r="H1025" s="23">
        <v>5.0000000000000001E-3</v>
      </c>
      <c r="I1025" s="39">
        <v>44470</v>
      </c>
      <c r="J1025" s="39">
        <v>44500</v>
      </c>
      <c r="K1025" s="24">
        <f t="shared" si="70"/>
        <v>31</v>
      </c>
      <c r="L1025" s="24">
        <f t="shared" si="71"/>
        <v>4574</v>
      </c>
      <c r="M1025" s="24">
        <v>10770000</v>
      </c>
      <c r="N1025" s="39">
        <v>46137</v>
      </c>
    </row>
    <row r="1026" spans="1:14" s="5" customFormat="1" outlineLevel="2">
      <c r="A1026" s="39" t="s">
        <v>293</v>
      </c>
      <c r="B1026" s="40" t="s">
        <v>139</v>
      </c>
      <c r="C1026" s="41" t="s">
        <v>339</v>
      </c>
      <c r="D1026" s="40" t="s">
        <v>338</v>
      </c>
      <c r="E1026" s="24">
        <v>500000</v>
      </c>
      <c r="F1026" s="39">
        <v>44293</v>
      </c>
      <c r="G1026" s="24">
        <v>500000</v>
      </c>
      <c r="H1026" s="23">
        <v>5.0000000000000001E-3</v>
      </c>
      <c r="I1026" s="39">
        <v>44470</v>
      </c>
      <c r="J1026" s="39">
        <v>44500</v>
      </c>
      <c r="K1026" s="24">
        <f t="shared" si="70"/>
        <v>31</v>
      </c>
      <c r="L1026" s="24">
        <f t="shared" si="71"/>
        <v>212</v>
      </c>
      <c r="M1026" s="24">
        <v>500000</v>
      </c>
      <c r="N1026" s="39">
        <v>46118</v>
      </c>
    </row>
    <row r="1027" spans="1:14" s="5" customFormat="1" outlineLevel="2">
      <c r="A1027" s="39" t="s">
        <v>293</v>
      </c>
      <c r="B1027" s="40" t="s">
        <v>140</v>
      </c>
      <c r="C1027" s="41" t="s">
        <v>294</v>
      </c>
      <c r="D1027" s="40" t="s">
        <v>295</v>
      </c>
      <c r="E1027" s="24">
        <v>83384000</v>
      </c>
      <c r="F1027" s="39">
        <v>44333</v>
      </c>
      <c r="G1027" s="24">
        <v>83384000</v>
      </c>
      <c r="H1027" s="23">
        <v>5.0000000000000001E-3</v>
      </c>
      <c r="I1027" s="39">
        <v>44470</v>
      </c>
      <c r="J1027" s="39">
        <v>44500</v>
      </c>
      <c r="K1027" s="24">
        <f t="shared" si="70"/>
        <v>31</v>
      </c>
      <c r="L1027" s="24">
        <f t="shared" si="71"/>
        <v>35410</v>
      </c>
      <c r="M1027" s="24">
        <v>83384000</v>
      </c>
      <c r="N1027" s="39">
        <v>46158</v>
      </c>
    </row>
    <row r="1028" spans="1:14" s="5" customFormat="1" outlineLevel="2">
      <c r="A1028" s="39" t="s">
        <v>293</v>
      </c>
      <c r="B1028" s="40" t="s">
        <v>169</v>
      </c>
      <c r="C1028" s="41" t="s">
        <v>294</v>
      </c>
      <c r="D1028" s="40" t="s">
        <v>295</v>
      </c>
      <c r="E1028" s="24">
        <v>11904000</v>
      </c>
      <c r="F1028" s="39">
        <v>44347</v>
      </c>
      <c r="G1028" s="24">
        <v>11904000</v>
      </c>
      <c r="H1028" s="23">
        <v>5.0000000000000001E-3</v>
      </c>
      <c r="I1028" s="39">
        <v>44470</v>
      </c>
      <c r="J1028" s="39">
        <v>44500</v>
      </c>
      <c r="K1028" s="24">
        <f t="shared" si="70"/>
        <v>31</v>
      </c>
      <c r="L1028" s="24">
        <f t="shared" si="71"/>
        <v>5055</v>
      </c>
      <c r="M1028" s="24">
        <v>11904000</v>
      </c>
      <c r="N1028" s="39">
        <v>46172</v>
      </c>
    </row>
    <row r="1029" spans="1:14" s="5" customFormat="1" outlineLevel="2">
      <c r="A1029" s="39" t="s">
        <v>293</v>
      </c>
      <c r="B1029" s="40" t="s">
        <v>170</v>
      </c>
      <c r="C1029" s="41" t="s">
        <v>132</v>
      </c>
      <c r="D1029" s="40" t="s">
        <v>133</v>
      </c>
      <c r="E1029" s="24">
        <v>1470000</v>
      </c>
      <c r="F1029" s="39">
        <v>44319</v>
      </c>
      <c r="G1029" s="24">
        <v>1470000</v>
      </c>
      <c r="H1029" s="23">
        <v>5.0000000000000001E-3</v>
      </c>
      <c r="I1029" s="39">
        <v>44470</v>
      </c>
      <c r="J1029" s="39">
        <v>44500</v>
      </c>
      <c r="K1029" s="24">
        <f t="shared" si="70"/>
        <v>31</v>
      </c>
      <c r="L1029" s="24">
        <f t="shared" si="71"/>
        <v>624</v>
      </c>
      <c r="M1029" s="24">
        <v>1470000</v>
      </c>
      <c r="N1029" s="39">
        <v>46144</v>
      </c>
    </row>
    <row r="1030" spans="1:14" s="5" customFormat="1" outlineLevel="2">
      <c r="A1030" s="39" t="s">
        <v>293</v>
      </c>
      <c r="B1030" s="40" t="s">
        <v>171</v>
      </c>
      <c r="C1030" s="41" t="s">
        <v>132</v>
      </c>
      <c r="D1030" s="40" t="s">
        <v>133</v>
      </c>
      <c r="E1030" s="24">
        <v>1480000</v>
      </c>
      <c r="F1030" s="39">
        <v>44341</v>
      </c>
      <c r="G1030" s="24">
        <v>1480000</v>
      </c>
      <c r="H1030" s="23">
        <v>5.0000000000000001E-3</v>
      </c>
      <c r="I1030" s="39">
        <v>44470</v>
      </c>
      <c r="J1030" s="39">
        <v>44500</v>
      </c>
      <c r="K1030" s="24">
        <f t="shared" si="70"/>
        <v>31</v>
      </c>
      <c r="L1030" s="24">
        <f t="shared" si="71"/>
        <v>628</v>
      </c>
      <c r="M1030" s="24">
        <v>1480000</v>
      </c>
      <c r="N1030" s="39">
        <v>46166</v>
      </c>
    </row>
    <row r="1031" spans="1:14" s="5" customFormat="1" outlineLevel="2">
      <c r="A1031" s="39" t="s">
        <v>293</v>
      </c>
      <c r="B1031" s="40" t="s">
        <v>172</v>
      </c>
      <c r="C1031" s="41" t="s">
        <v>132</v>
      </c>
      <c r="D1031" s="40" t="s">
        <v>133</v>
      </c>
      <c r="E1031" s="24">
        <v>6090000</v>
      </c>
      <c r="F1031" s="39">
        <v>44326</v>
      </c>
      <c r="G1031" s="24">
        <v>6090000</v>
      </c>
      <c r="H1031" s="23">
        <v>5.0000000000000001E-3</v>
      </c>
      <c r="I1031" s="39">
        <v>44470</v>
      </c>
      <c r="J1031" s="39">
        <v>44500</v>
      </c>
      <c r="K1031" s="24">
        <f t="shared" si="70"/>
        <v>31</v>
      </c>
      <c r="L1031" s="24">
        <f t="shared" si="71"/>
        <v>2586</v>
      </c>
      <c r="M1031" s="24">
        <v>6090000</v>
      </c>
      <c r="N1031" s="39">
        <v>46151</v>
      </c>
    </row>
    <row r="1032" spans="1:14" s="5" customFormat="1" outlineLevel="2">
      <c r="A1032" s="39" t="s">
        <v>293</v>
      </c>
      <c r="B1032" s="40" t="s">
        <v>173</v>
      </c>
      <c r="C1032" s="41" t="s">
        <v>132</v>
      </c>
      <c r="D1032" s="40" t="s">
        <v>133</v>
      </c>
      <c r="E1032" s="24">
        <v>9220000</v>
      </c>
      <c r="F1032" s="39">
        <v>44341</v>
      </c>
      <c r="G1032" s="24">
        <v>9220000</v>
      </c>
      <c r="H1032" s="23">
        <v>5.0000000000000001E-3</v>
      </c>
      <c r="I1032" s="39">
        <v>44470</v>
      </c>
      <c r="J1032" s="39">
        <v>44500</v>
      </c>
      <c r="K1032" s="24">
        <f t="shared" si="70"/>
        <v>31</v>
      </c>
      <c r="L1032" s="24">
        <f t="shared" si="71"/>
        <v>3915</v>
      </c>
      <c r="M1032" s="24">
        <v>9220000</v>
      </c>
      <c r="N1032" s="39">
        <v>46166</v>
      </c>
    </row>
    <row r="1033" spans="1:14" s="5" customFormat="1" outlineLevel="2">
      <c r="A1033" s="39" t="s">
        <v>293</v>
      </c>
      <c r="B1033" s="40" t="s">
        <v>62</v>
      </c>
      <c r="C1033" s="41" t="s">
        <v>55</v>
      </c>
      <c r="D1033" s="40" t="s">
        <v>56</v>
      </c>
      <c r="E1033" s="24">
        <v>19997321</v>
      </c>
      <c r="F1033" s="39">
        <v>43948</v>
      </c>
      <c r="G1033" s="24">
        <v>19997321</v>
      </c>
      <c r="H1033" s="23">
        <v>5.0000000000000001E-3</v>
      </c>
      <c r="I1033" s="39">
        <v>44470</v>
      </c>
      <c r="J1033" s="39">
        <v>44500</v>
      </c>
      <c r="K1033" s="24">
        <f t="shared" si="70"/>
        <v>31</v>
      </c>
      <c r="L1033" s="24">
        <f t="shared" si="71"/>
        <v>8492</v>
      </c>
      <c r="M1033" s="24">
        <v>19997321</v>
      </c>
      <c r="N1033" s="39">
        <v>45773</v>
      </c>
    </row>
    <row r="1034" spans="1:14" s="5" customFormat="1" outlineLevel="2">
      <c r="A1034" s="39" t="s">
        <v>293</v>
      </c>
      <c r="B1034" s="40" t="s">
        <v>174</v>
      </c>
      <c r="C1034" s="41" t="s">
        <v>294</v>
      </c>
      <c r="D1034" s="40" t="s">
        <v>295</v>
      </c>
      <c r="E1034" s="24">
        <v>4424000</v>
      </c>
      <c r="F1034" s="39">
        <v>44362</v>
      </c>
      <c r="G1034" s="24">
        <v>4424000</v>
      </c>
      <c r="H1034" s="23">
        <v>5.0000000000000001E-3</v>
      </c>
      <c r="I1034" s="39">
        <v>44470</v>
      </c>
      <c r="J1034" s="39">
        <v>44500</v>
      </c>
      <c r="K1034" s="24">
        <f t="shared" si="70"/>
        <v>31</v>
      </c>
      <c r="L1034" s="24">
        <f t="shared" si="71"/>
        <v>1879</v>
      </c>
      <c r="M1034" s="24">
        <v>4424000</v>
      </c>
      <c r="N1034" s="39">
        <v>46187</v>
      </c>
    </row>
    <row r="1035" spans="1:14" s="5" customFormat="1" outlineLevel="2">
      <c r="A1035" s="39" t="s">
        <v>293</v>
      </c>
      <c r="B1035" s="40" t="s">
        <v>175</v>
      </c>
      <c r="C1035" s="41" t="s">
        <v>115</v>
      </c>
      <c r="D1035" s="40" t="s">
        <v>116</v>
      </c>
      <c r="E1035" s="24">
        <v>17000000</v>
      </c>
      <c r="F1035" s="39">
        <v>44370</v>
      </c>
      <c r="G1035" s="24">
        <v>17000000</v>
      </c>
      <c r="H1035" s="23">
        <v>5.0000000000000001E-3</v>
      </c>
      <c r="I1035" s="39">
        <v>44470</v>
      </c>
      <c r="J1035" s="39">
        <v>44500</v>
      </c>
      <c r="K1035" s="24">
        <f t="shared" si="70"/>
        <v>31</v>
      </c>
      <c r="L1035" s="24">
        <f t="shared" si="71"/>
        <v>7219</v>
      </c>
      <c r="M1035" s="24">
        <v>17000000</v>
      </c>
      <c r="N1035" s="39">
        <v>45465</v>
      </c>
    </row>
    <row r="1036" spans="1:14" s="5" customFormat="1" outlineLevel="2">
      <c r="A1036" s="39" t="s">
        <v>293</v>
      </c>
      <c r="B1036" s="40" t="s">
        <v>176</v>
      </c>
      <c r="C1036" s="41" t="s">
        <v>132</v>
      </c>
      <c r="D1036" s="40" t="s">
        <v>133</v>
      </c>
      <c r="E1036" s="24">
        <v>1420000</v>
      </c>
      <c r="F1036" s="39">
        <v>44368</v>
      </c>
      <c r="G1036" s="24">
        <v>1420000</v>
      </c>
      <c r="H1036" s="23">
        <v>5.0000000000000001E-3</v>
      </c>
      <c r="I1036" s="39">
        <v>44470</v>
      </c>
      <c r="J1036" s="39">
        <v>44500</v>
      </c>
      <c r="K1036" s="24">
        <f t="shared" si="70"/>
        <v>31</v>
      </c>
      <c r="L1036" s="24">
        <f t="shared" si="71"/>
        <v>603</v>
      </c>
      <c r="M1036" s="24">
        <v>1420000</v>
      </c>
      <c r="N1036" s="39">
        <v>46193</v>
      </c>
    </row>
    <row r="1037" spans="1:14" s="5" customFormat="1" outlineLevel="2">
      <c r="A1037" s="39" t="s">
        <v>293</v>
      </c>
      <c r="B1037" s="40" t="s">
        <v>177</v>
      </c>
      <c r="C1037" s="41" t="s">
        <v>132</v>
      </c>
      <c r="D1037" s="40" t="s">
        <v>133</v>
      </c>
      <c r="E1037" s="24">
        <v>6000000</v>
      </c>
      <c r="F1037" s="39">
        <v>44357</v>
      </c>
      <c r="G1037" s="24">
        <v>6000000</v>
      </c>
      <c r="H1037" s="23">
        <v>5.0000000000000001E-3</v>
      </c>
      <c r="I1037" s="39">
        <v>44470</v>
      </c>
      <c r="J1037" s="39">
        <v>44500</v>
      </c>
      <c r="K1037" s="24">
        <f t="shared" si="70"/>
        <v>31</v>
      </c>
      <c r="L1037" s="24">
        <f t="shared" si="71"/>
        <v>2548</v>
      </c>
      <c r="M1037" s="24">
        <v>6000000</v>
      </c>
      <c r="N1037" s="39">
        <v>46182</v>
      </c>
    </row>
    <row r="1038" spans="1:14" s="5" customFormat="1" outlineLevel="2">
      <c r="A1038" s="39" t="s">
        <v>293</v>
      </c>
      <c r="B1038" s="40" t="s">
        <v>178</v>
      </c>
      <c r="C1038" s="41" t="s">
        <v>132</v>
      </c>
      <c r="D1038" s="40" t="s">
        <v>133</v>
      </c>
      <c r="E1038" s="24">
        <v>760000</v>
      </c>
      <c r="F1038" s="39">
        <v>44372</v>
      </c>
      <c r="G1038" s="24">
        <v>760000</v>
      </c>
      <c r="H1038" s="23">
        <v>5.0000000000000001E-3</v>
      </c>
      <c r="I1038" s="39">
        <v>44470</v>
      </c>
      <c r="J1038" s="39">
        <v>44500</v>
      </c>
      <c r="K1038" s="24">
        <f t="shared" si="70"/>
        <v>31</v>
      </c>
      <c r="L1038" s="24">
        <f t="shared" si="71"/>
        <v>323</v>
      </c>
      <c r="M1038" s="24">
        <v>760000</v>
      </c>
      <c r="N1038" s="39">
        <v>46197</v>
      </c>
    </row>
    <row r="1039" spans="1:14" s="5" customFormat="1" outlineLevel="2">
      <c r="A1039" s="39" t="s">
        <v>293</v>
      </c>
      <c r="B1039" s="40" t="s">
        <v>179</v>
      </c>
      <c r="C1039" s="41" t="s">
        <v>294</v>
      </c>
      <c r="D1039" s="40" t="s">
        <v>295</v>
      </c>
      <c r="E1039" s="24">
        <v>35516244</v>
      </c>
      <c r="F1039" s="39">
        <v>44392</v>
      </c>
      <c r="G1039" s="24">
        <v>35516244</v>
      </c>
      <c r="H1039" s="23">
        <v>5.0000000000000001E-3</v>
      </c>
      <c r="I1039" s="39">
        <v>44470</v>
      </c>
      <c r="J1039" s="39">
        <v>44500</v>
      </c>
      <c r="K1039" s="24">
        <f t="shared" si="70"/>
        <v>31</v>
      </c>
      <c r="L1039" s="24">
        <f t="shared" si="71"/>
        <v>15082</v>
      </c>
      <c r="M1039" s="24">
        <v>35516244</v>
      </c>
      <c r="N1039" s="39">
        <v>46217</v>
      </c>
    </row>
    <row r="1040" spans="1:14" s="5" customFormat="1" outlineLevel="2">
      <c r="A1040" s="39" t="s">
        <v>293</v>
      </c>
      <c r="B1040" s="40" t="s">
        <v>180</v>
      </c>
      <c r="C1040" s="41" t="s">
        <v>132</v>
      </c>
      <c r="D1040" s="40" t="s">
        <v>133</v>
      </c>
      <c r="E1040" s="24">
        <v>3890000</v>
      </c>
      <c r="F1040" s="39">
        <v>44382</v>
      </c>
      <c r="G1040" s="24">
        <v>3890000</v>
      </c>
      <c r="H1040" s="23">
        <v>5.0000000000000001E-3</v>
      </c>
      <c r="I1040" s="39">
        <v>44470</v>
      </c>
      <c r="J1040" s="39">
        <v>44500</v>
      </c>
      <c r="K1040" s="24">
        <f t="shared" si="70"/>
        <v>31</v>
      </c>
      <c r="L1040" s="24">
        <f t="shared" si="71"/>
        <v>1652</v>
      </c>
      <c r="M1040" s="24">
        <v>3890000</v>
      </c>
      <c r="N1040" s="39">
        <v>46207</v>
      </c>
    </row>
    <row r="1041" spans="1:14" s="5" customFormat="1" outlineLevel="2">
      <c r="A1041" s="39" t="s">
        <v>293</v>
      </c>
      <c r="B1041" s="40" t="s">
        <v>181</v>
      </c>
      <c r="C1041" s="41" t="s">
        <v>132</v>
      </c>
      <c r="D1041" s="40" t="s">
        <v>133</v>
      </c>
      <c r="E1041" s="24">
        <v>1360000</v>
      </c>
      <c r="F1041" s="39">
        <v>44389</v>
      </c>
      <c r="G1041" s="24">
        <v>1360000</v>
      </c>
      <c r="H1041" s="23">
        <v>5.0000000000000001E-3</v>
      </c>
      <c r="I1041" s="39">
        <v>44470</v>
      </c>
      <c r="J1041" s="39">
        <v>44500</v>
      </c>
      <c r="K1041" s="24">
        <f t="shared" si="70"/>
        <v>31</v>
      </c>
      <c r="L1041" s="24">
        <f t="shared" si="71"/>
        <v>578</v>
      </c>
      <c r="M1041" s="24">
        <v>1360000</v>
      </c>
      <c r="N1041" s="39">
        <v>46214</v>
      </c>
    </row>
    <row r="1042" spans="1:14" s="5" customFormat="1" outlineLevel="2">
      <c r="A1042" s="39" t="s">
        <v>293</v>
      </c>
      <c r="B1042" s="40" t="s">
        <v>182</v>
      </c>
      <c r="C1042" s="41" t="s">
        <v>132</v>
      </c>
      <c r="D1042" s="40" t="s">
        <v>133</v>
      </c>
      <c r="E1042" s="24">
        <v>7190000</v>
      </c>
      <c r="F1042" s="39">
        <v>44389</v>
      </c>
      <c r="G1042" s="24">
        <v>7190000</v>
      </c>
      <c r="H1042" s="23">
        <v>5.0000000000000001E-3</v>
      </c>
      <c r="I1042" s="39">
        <v>44470</v>
      </c>
      <c r="J1042" s="39">
        <v>44500</v>
      </c>
      <c r="K1042" s="24">
        <f t="shared" si="70"/>
        <v>31</v>
      </c>
      <c r="L1042" s="24">
        <f t="shared" si="71"/>
        <v>3053</v>
      </c>
      <c r="M1042" s="24">
        <v>7190000</v>
      </c>
      <c r="N1042" s="39">
        <v>46214</v>
      </c>
    </row>
    <row r="1043" spans="1:14" s="5" customFormat="1" outlineLevel="2">
      <c r="A1043" s="39" t="s">
        <v>293</v>
      </c>
      <c r="B1043" s="40" t="s">
        <v>183</v>
      </c>
      <c r="C1043" s="41" t="s">
        <v>132</v>
      </c>
      <c r="D1043" s="40" t="s">
        <v>133</v>
      </c>
      <c r="E1043" s="24">
        <v>3120000</v>
      </c>
      <c r="F1043" s="39">
        <v>44403</v>
      </c>
      <c r="G1043" s="24">
        <v>3120000</v>
      </c>
      <c r="H1043" s="23">
        <v>5.0000000000000001E-3</v>
      </c>
      <c r="I1043" s="39">
        <v>44470</v>
      </c>
      <c r="J1043" s="39">
        <v>44500</v>
      </c>
      <c r="K1043" s="24">
        <f t="shared" si="70"/>
        <v>31</v>
      </c>
      <c r="L1043" s="24">
        <f t="shared" si="71"/>
        <v>1325</v>
      </c>
      <c r="M1043" s="24">
        <v>3120000</v>
      </c>
      <c r="N1043" s="39">
        <v>46228</v>
      </c>
    </row>
    <row r="1044" spans="1:14" s="5" customFormat="1" outlineLevel="2">
      <c r="A1044" s="39" t="s">
        <v>293</v>
      </c>
      <c r="B1044" s="40" t="s">
        <v>63</v>
      </c>
      <c r="C1044" s="41" t="s">
        <v>20</v>
      </c>
      <c r="D1044" s="40" t="s">
        <v>21</v>
      </c>
      <c r="E1044" s="24">
        <v>242400000</v>
      </c>
      <c r="F1044" s="39">
        <v>43930</v>
      </c>
      <c r="G1044" s="24">
        <v>242400000</v>
      </c>
      <c r="H1044" s="23">
        <v>3.0000000000000001E-3</v>
      </c>
      <c r="I1044" s="39">
        <v>44470</v>
      </c>
      <c r="J1044" s="39">
        <v>44500</v>
      </c>
      <c r="K1044" s="24">
        <f t="shared" si="70"/>
        <v>31</v>
      </c>
      <c r="L1044" s="24">
        <f t="shared" si="71"/>
        <v>61762</v>
      </c>
      <c r="M1044" s="24">
        <v>242400000</v>
      </c>
      <c r="N1044" s="39">
        <v>45755</v>
      </c>
    </row>
    <row r="1045" spans="1:14" s="5" customFormat="1" outlineLevel="2">
      <c r="A1045" s="39" t="s">
        <v>293</v>
      </c>
      <c r="B1045" s="40" t="s">
        <v>184</v>
      </c>
      <c r="C1045" s="41" t="s">
        <v>115</v>
      </c>
      <c r="D1045" s="40" t="s">
        <v>116</v>
      </c>
      <c r="E1045" s="24">
        <v>12250000</v>
      </c>
      <c r="F1045" s="39">
        <v>44426</v>
      </c>
      <c r="G1045" s="24">
        <v>12250000</v>
      </c>
      <c r="H1045" s="23">
        <v>5.0000000000000001E-3</v>
      </c>
      <c r="I1045" s="39">
        <v>44470</v>
      </c>
      <c r="J1045" s="39">
        <v>44500</v>
      </c>
      <c r="K1045" s="24">
        <f t="shared" si="70"/>
        <v>31</v>
      </c>
      <c r="L1045" s="24">
        <f t="shared" si="71"/>
        <v>5202</v>
      </c>
      <c r="M1045" s="24">
        <v>12250000</v>
      </c>
      <c r="N1045" s="39">
        <v>46251</v>
      </c>
    </row>
    <row r="1046" spans="1:14" s="5" customFormat="1" outlineLevel="2">
      <c r="A1046" s="39" t="s">
        <v>293</v>
      </c>
      <c r="B1046" s="40" t="s">
        <v>185</v>
      </c>
      <c r="C1046" s="41" t="s">
        <v>132</v>
      </c>
      <c r="D1046" s="40" t="s">
        <v>133</v>
      </c>
      <c r="E1046" s="24">
        <v>4750000</v>
      </c>
      <c r="F1046" s="39">
        <v>44418</v>
      </c>
      <c r="G1046" s="24">
        <v>4750000</v>
      </c>
      <c r="H1046" s="23">
        <v>5.0000000000000001E-3</v>
      </c>
      <c r="I1046" s="39">
        <v>44470</v>
      </c>
      <c r="J1046" s="39">
        <v>44500</v>
      </c>
      <c r="K1046" s="24">
        <f t="shared" si="70"/>
        <v>31</v>
      </c>
      <c r="L1046" s="24">
        <f t="shared" si="71"/>
        <v>2017</v>
      </c>
      <c r="M1046" s="24">
        <v>4750000</v>
      </c>
      <c r="N1046" s="39">
        <v>46243</v>
      </c>
    </row>
    <row r="1047" spans="1:14" s="5" customFormat="1" outlineLevel="2">
      <c r="A1047" s="39" t="s">
        <v>293</v>
      </c>
      <c r="B1047" s="40" t="s">
        <v>186</v>
      </c>
      <c r="C1047" s="41" t="s">
        <v>132</v>
      </c>
      <c r="D1047" s="40" t="s">
        <v>133</v>
      </c>
      <c r="E1047" s="24">
        <v>1750000</v>
      </c>
      <c r="F1047" s="39">
        <v>44418</v>
      </c>
      <c r="G1047" s="24">
        <v>1750000</v>
      </c>
      <c r="H1047" s="23">
        <v>5.0000000000000001E-3</v>
      </c>
      <c r="I1047" s="39">
        <v>44470</v>
      </c>
      <c r="J1047" s="39">
        <v>44500</v>
      </c>
      <c r="K1047" s="24">
        <f t="shared" si="70"/>
        <v>31</v>
      </c>
      <c r="L1047" s="24">
        <f t="shared" si="71"/>
        <v>743</v>
      </c>
      <c r="M1047" s="24">
        <v>1750000</v>
      </c>
      <c r="N1047" s="39">
        <v>46243</v>
      </c>
    </row>
    <row r="1048" spans="1:14" s="5" customFormat="1" outlineLevel="2">
      <c r="A1048" s="39" t="s">
        <v>293</v>
      </c>
      <c r="B1048" s="40" t="s">
        <v>189</v>
      </c>
      <c r="C1048" s="41" t="s">
        <v>294</v>
      </c>
      <c r="D1048" s="40" t="s">
        <v>295</v>
      </c>
      <c r="E1048" s="24">
        <v>80418236</v>
      </c>
      <c r="F1048" s="39">
        <v>44454</v>
      </c>
      <c r="G1048" s="24">
        <v>80418236</v>
      </c>
      <c r="H1048" s="23">
        <v>5.0000000000000001E-3</v>
      </c>
      <c r="I1048" s="39">
        <v>44470</v>
      </c>
      <c r="J1048" s="39">
        <v>44500</v>
      </c>
      <c r="K1048" s="24">
        <f t="shared" si="70"/>
        <v>31</v>
      </c>
      <c r="L1048" s="24">
        <f t="shared" si="71"/>
        <v>34150</v>
      </c>
      <c r="M1048" s="24">
        <v>80418236</v>
      </c>
      <c r="N1048" s="39">
        <v>46279</v>
      </c>
    </row>
    <row r="1049" spans="1:14" s="5" customFormat="1" outlineLevel="2">
      <c r="A1049" s="39" t="s">
        <v>293</v>
      </c>
      <c r="B1049" s="40" t="s">
        <v>190</v>
      </c>
      <c r="C1049" s="41" t="s">
        <v>294</v>
      </c>
      <c r="D1049" s="40" t="s">
        <v>295</v>
      </c>
      <c r="E1049" s="24">
        <v>39822560</v>
      </c>
      <c r="F1049" s="39">
        <v>44452</v>
      </c>
      <c r="G1049" s="24">
        <v>39822560</v>
      </c>
      <c r="H1049" s="23">
        <v>5.0000000000000001E-3</v>
      </c>
      <c r="I1049" s="39">
        <v>44470</v>
      </c>
      <c r="J1049" s="39">
        <v>44500</v>
      </c>
      <c r="K1049" s="24">
        <f t="shared" si="70"/>
        <v>31</v>
      </c>
      <c r="L1049" s="24">
        <f t="shared" si="71"/>
        <v>16911</v>
      </c>
      <c r="M1049" s="24">
        <v>39822560</v>
      </c>
      <c r="N1049" s="39">
        <v>46277</v>
      </c>
    </row>
    <row r="1050" spans="1:14" s="5" customFormat="1" outlineLevel="2">
      <c r="A1050" s="39" t="s">
        <v>293</v>
      </c>
      <c r="B1050" s="40" t="s">
        <v>191</v>
      </c>
      <c r="C1050" s="41" t="s">
        <v>132</v>
      </c>
      <c r="D1050" s="40" t="s">
        <v>133</v>
      </c>
      <c r="E1050" s="24">
        <v>3720000</v>
      </c>
      <c r="F1050" s="39">
        <v>44440</v>
      </c>
      <c r="G1050" s="24">
        <v>3720000</v>
      </c>
      <c r="H1050" s="23">
        <v>5.0000000000000001E-3</v>
      </c>
      <c r="I1050" s="39">
        <v>44470</v>
      </c>
      <c r="J1050" s="39">
        <v>44500</v>
      </c>
      <c r="K1050" s="24">
        <f t="shared" ref="K1050:K1081" si="72">J1050-I1050+1</f>
        <v>31</v>
      </c>
      <c r="L1050" s="24">
        <f t="shared" ref="L1050:L1081" si="73">ROUND(G1050*H1050*K1050/365,0)</f>
        <v>1580</v>
      </c>
      <c r="M1050" s="24">
        <v>3720000</v>
      </c>
      <c r="N1050" s="39">
        <v>46265</v>
      </c>
    </row>
    <row r="1051" spans="1:14" s="5" customFormat="1" outlineLevel="2">
      <c r="A1051" s="39" t="s">
        <v>293</v>
      </c>
      <c r="B1051" s="40" t="s">
        <v>192</v>
      </c>
      <c r="C1051" s="41" t="s">
        <v>294</v>
      </c>
      <c r="D1051" s="40" t="s">
        <v>295</v>
      </c>
      <c r="E1051" s="24">
        <v>34264000</v>
      </c>
      <c r="F1051" s="39">
        <v>44484</v>
      </c>
      <c r="G1051" s="24">
        <v>34264000</v>
      </c>
      <c r="H1051" s="23">
        <v>5.0000000000000001E-3</v>
      </c>
      <c r="I1051" s="39">
        <v>44484</v>
      </c>
      <c r="J1051" s="39">
        <v>44500</v>
      </c>
      <c r="K1051" s="24">
        <f t="shared" si="72"/>
        <v>17</v>
      </c>
      <c r="L1051" s="24">
        <f t="shared" si="73"/>
        <v>7979</v>
      </c>
      <c r="M1051" s="24">
        <v>34264000</v>
      </c>
      <c r="N1051" s="39">
        <v>46309</v>
      </c>
    </row>
    <row r="1052" spans="1:14" s="5" customFormat="1" outlineLevel="2">
      <c r="A1052" s="39" t="s">
        <v>293</v>
      </c>
      <c r="B1052" s="40" t="s">
        <v>64</v>
      </c>
      <c r="C1052" s="41" t="s">
        <v>20</v>
      </c>
      <c r="D1052" s="40" t="s">
        <v>21</v>
      </c>
      <c r="E1052" s="24">
        <v>156000000</v>
      </c>
      <c r="F1052" s="39">
        <v>43958</v>
      </c>
      <c r="G1052" s="24">
        <v>156000000</v>
      </c>
      <c r="H1052" s="23">
        <v>3.0000000000000001E-3</v>
      </c>
      <c r="I1052" s="39">
        <v>44470</v>
      </c>
      <c r="J1052" s="39">
        <v>44500</v>
      </c>
      <c r="K1052" s="24">
        <f t="shared" si="72"/>
        <v>31</v>
      </c>
      <c r="L1052" s="24">
        <f t="shared" si="73"/>
        <v>39748</v>
      </c>
      <c r="M1052" s="24">
        <v>156000000</v>
      </c>
      <c r="N1052" s="39">
        <v>45783</v>
      </c>
    </row>
    <row r="1053" spans="1:14" s="5" customFormat="1" outlineLevel="2">
      <c r="A1053" s="39" t="s">
        <v>293</v>
      </c>
      <c r="B1053" s="40" t="s">
        <v>65</v>
      </c>
      <c r="C1053" s="41" t="s">
        <v>294</v>
      </c>
      <c r="D1053" s="40" t="s">
        <v>295</v>
      </c>
      <c r="E1053" s="24">
        <v>33840000</v>
      </c>
      <c r="F1053" s="39">
        <v>43986</v>
      </c>
      <c r="G1053" s="24">
        <v>33840000</v>
      </c>
      <c r="H1053" s="23">
        <v>5.0000000000000001E-3</v>
      </c>
      <c r="I1053" s="39">
        <v>44470</v>
      </c>
      <c r="J1053" s="39">
        <v>44500</v>
      </c>
      <c r="K1053" s="24">
        <f t="shared" si="72"/>
        <v>31</v>
      </c>
      <c r="L1053" s="24">
        <f t="shared" si="73"/>
        <v>14370</v>
      </c>
      <c r="M1053" s="24">
        <v>33840000</v>
      </c>
      <c r="N1053" s="39">
        <v>45811</v>
      </c>
    </row>
    <row r="1054" spans="1:14" s="5" customFormat="1" outlineLevel="2">
      <c r="A1054" s="39" t="s">
        <v>293</v>
      </c>
      <c r="B1054" s="40" t="s">
        <v>68</v>
      </c>
      <c r="C1054" s="41" t="s">
        <v>294</v>
      </c>
      <c r="D1054" s="40" t="s">
        <v>295</v>
      </c>
      <c r="E1054" s="24">
        <v>134396612</v>
      </c>
      <c r="F1054" s="39">
        <v>43986</v>
      </c>
      <c r="G1054" s="24">
        <v>134396612</v>
      </c>
      <c r="H1054" s="23">
        <v>5.0000000000000001E-3</v>
      </c>
      <c r="I1054" s="39">
        <v>44470</v>
      </c>
      <c r="J1054" s="39">
        <v>44500</v>
      </c>
      <c r="K1054" s="24">
        <f t="shared" si="72"/>
        <v>31</v>
      </c>
      <c r="L1054" s="24">
        <f t="shared" si="73"/>
        <v>57073</v>
      </c>
      <c r="M1054" s="24">
        <v>134396612</v>
      </c>
      <c r="N1054" s="39">
        <v>45811</v>
      </c>
    </row>
    <row r="1055" spans="1:14" s="5" customFormat="1" outlineLevel="1">
      <c r="A1055" s="42" t="s">
        <v>296</v>
      </c>
      <c r="B1055" s="70"/>
      <c r="C1055" s="71"/>
      <c r="D1055" s="70"/>
      <c r="E1055" s="72">
        <f>SUBTOTAL(9,E986:E1054)</f>
        <v>2512846383</v>
      </c>
      <c r="F1055" s="73"/>
      <c r="G1055" s="72"/>
      <c r="H1055" s="74"/>
      <c r="I1055" s="73"/>
      <c r="J1055" s="73"/>
      <c r="K1055" s="72"/>
      <c r="L1055" s="72">
        <f>SUBTOTAL(9,L986:L1054)</f>
        <v>922125</v>
      </c>
      <c r="M1055" s="72">
        <f>SUBTOTAL(9,M986:M1054)</f>
        <v>2506460180</v>
      </c>
      <c r="N1055" s="73"/>
    </row>
    <row r="1056" spans="1:14" s="17" customFormat="1" ht="19.5" outlineLevel="1">
      <c r="A1056" s="11"/>
      <c r="B1056" s="68"/>
      <c r="C1056" s="69"/>
      <c r="D1056" s="68"/>
      <c r="E1056" s="66"/>
      <c r="F1056" s="65"/>
      <c r="G1056" s="66"/>
      <c r="H1056" s="67"/>
      <c r="I1056" s="65"/>
      <c r="J1056" s="65"/>
      <c r="K1056" s="66"/>
      <c r="L1056" s="66"/>
      <c r="M1056" s="66"/>
      <c r="N1056" s="65"/>
    </row>
    <row r="1057" spans="1:14" s="5" customFormat="1" ht="19.5">
      <c r="A1057" s="9" t="s">
        <v>297</v>
      </c>
      <c r="B1057" s="63"/>
      <c r="C1057" s="64"/>
      <c r="D1057" s="63"/>
      <c r="E1057" s="61">
        <f>SUBTOTAL(9,E4:E1054)</f>
        <v>39631934012</v>
      </c>
      <c r="F1057" s="60"/>
      <c r="G1057" s="61"/>
      <c r="H1057" s="62"/>
      <c r="I1057" s="60"/>
      <c r="J1057" s="60"/>
      <c r="K1057" s="61"/>
      <c r="L1057" s="61">
        <f>SUBTOTAL(9,L4:L1054)</f>
        <v>14624676</v>
      </c>
      <c r="M1057" s="61">
        <f>SUBTOTAL(9,M4:M1054)</f>
        <v>39205449371</v>
      </c>
      <c r="N1057" s="60"/>
    </row>
    <row r="1059" spans="1:14" ht="19.5">
      <c r="A1059" s="18" t="s">
        <v>298</v>
      </c>
      <c r="B1059" s="18"/>
      <c r="E1059" s="19" t="s">
        <v>299</v>
      </c>
      <c r="G1059" s="1"/>
      <c r="H1059" s="20" t="s">
        <v>300</v>
      </c>
      <c r="I1059" s="21"/>
    </row>
  </sheetData>
  <autoFilter ref="A3:M1054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0448-2346-439D-877B-554D6BE982D5}">
  <dimension ref="A1:N1112"/>
  <sheetViews>
    <sheetView zoomScaleNormal="100" workbookViewId="0">
      <selection activeCell="C7" sqref="C7"/>
    </sheetView>
  </sheetViews>
  <sheetFormatPr defaultColWidth="5.375" defaultRowHeight="15.75" outlineLevelRow="2"/>
  <cols>
    <col min="1" max="1" width="16.375" style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9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4" width="9.75" style="1" bestFit="1" customWidth="1"/>
    <col min="15" max="16384" width="5.375" style="1"/>
  </cols>
  <sheetData>
    <row r="1" spans="1:14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7"/>
      <c r="B2" s="28" t="s">
        <v>0</v>
      </c>
      <c r="C2" s="29">
        <v>44530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  <c r="N2" s="27"/>
    </row>
    <row r="3" spans="1:14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  <c r="N3" s="22" t="s">
        <v>423</v>
      </c>
    </row>
    <row r="4" spans="1:14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44501</v>
      </c>
      <c r="J4" s="39">
        <v>44530</v>
      </c>
      <c r="K4" s="24">
        <v>30</v>
      </c>
      <c r="L4" s="24">
        <v>66781</v>
      </c>
      <c r="M4" s="24">
        <v>162500000</v>
      </c>
      <c r="N4" s="39">
        <v>45678</v>
      </c>
    </row>
    <row r="5" spans="1:14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44501</v>
      </c>
      <c r="J5" s="39">
        <v>44530</v>
      </c>
      <c r="K5" s="24">
        <v>30</v>
      </c>
      <c r="L5" s="24">
        <v>592</v>
      </c>
      <c r="M5" s="24">
        <v>2400000</v>
      </c>
      <c r="N5" s="39">
        <v>45783</v>
      </c>
    </row>
    <row r="6" spans="1:14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44501</v>
      </c>
      <c r="J6" s="39">
        <v>44530</v>
      </c>
      <c r="K6" s="24">
        <v>30</v>
      </c>
      <c r="L6" s="24">
        <v>3029</v>
      </c>
      <c r="M6" s="24">
        <v>7370000</v>
      </c>
      <c r="N6" s="39">
        <v>45822</v>
      </c>
    </row>
    <row r="7" spans="1:14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44501</v>
      </c>
      <c r="J7" s="39">
        <v>44530</v>
      </c>
      <c r="K7" s="24">
        <v>30</v>
      </c>
      <c r="L7" s="24">
        <v>2421</v>
      </c>
      <c r="M7" s="24">
        <v>5890000</v>
      </c>
      <c r="N7" s="39">
        <v>45815</v>
      </c>
    </row>
    <row r="8" spans="1:14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44501</v>
      </c>
      <c r="J8" s="39">
        <v>44530</v>
      </c>
      <c r="K8" s="24">
        <v>30</v>
      </c>
      <c r="L8" s="24">
        <v>1241</v>
      </c>
      <c r="M8" s="24">
        <v>3020000</v>
      </c>
      <c r="N8" s="39">
        <v>45852</v>
      </c>
    </row>
    <row r="9" spans="1:14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44501</v>
      </c>
      <c r="J9" s="39">
        <v>44530</v>
      </c>
      <c r="K9" s="24">
        <v>30</v>
      </c>
      <c r="L9" s="24">
        <v>34767</v>
      </c>
      <c r="M9" s="24">
        <v>84600000</v>
      </c>
      <c r="N9" s="39">
        <v>45839</v>
      </c>
    </row>
    <row r="10" spans="1:14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44501</v>
      </c>
      <c r="J10" s="39">
        <v>44530</v>
      </c>
      <c r="K10" s="24">
        <v>30</v>
      </c>
      <c r="L10" s="24">
        <v>24658</v>
      </c>
      <c r="M10" s="24">
        <v>60000000</v>
      </c>
      <c r="N10" s="39">
        <v>45859</v>
      </c>
    </row>
    <row r="11" spans="1:14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44501</v>
      </c>
      <c r="J11" s="39">
        <v>44530</v>
      </c>
      <c r="K11" s="24">
        <v>30</v>
      </c>
      <c r="L11" s="24">
        <v>39945</v>
      </c>
      <c r="M11" s="24">
        <v>162000000</v>
      </c>
      <c r="N11" s="39">
        <v>45847</v>
      </c>
    </row>
    <row r="12" spans="1:14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44501</v>
      </c>
      <c r="J12" s="39">
        <v>44530</v>
      </c>
      <c r="K12" s="24">
        <v>30</v>
      </c>
      <c r="L12" s="24">
        <v>1704</v>
      </c>
      <c r="M12" s="24">
        <v>4147000</v>
      </c>
      <c r="N12" s="39">
        <v>45896</v>
      </c>
    </row>
    <row r="13" spans="1:14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44501</v>
      </c>
      <c r="J13" s="39">
        <v>44530</v>
      </c>
      <c r="K13" s="24">
        <v>30</v>
      </c>
      <c r="L13" s="24">
        <v>304</v>
      </c>
      <c r="M13" s="24">
        <v>740000</v>
      </c>
      <c r="N13" s="39">
        <v>45900</v>
      </c>
    </row>
    <row r="14" spans="1:14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44501</v>
      </c>
      <c r="J14" s="39">
        <v>44530</v>
      </c>
      <c r="K14" s="24">
        <v>30</v>
      </c>
      <c r="L14" s="24">
        <v>72424</v>
      </c>
      <c r="M14" s="24">
        <v>176232000</v>
      </c>
      <c r="N14" s="39">
        <v>45906</v>
      </c>
    </row>
    <row r="15" spans="1:14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44501</v>
      </c>
      <c r="J15" s="39">
        <v>44530</v>
      </c>
      <c r="K15" s="24">
        <v>30</v>
      </c>
      <c r="L15" s="24">
        <v>2642</v>
      </c>
      <c r="M15" s="24">
        <v>6430000</v>
      </c>
      <c r="N15" s="39">
        <v>45745</v>
      </c>
    </row>
    <row r="16" spans="1:14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44501</v>
      </c>
      <c r="J16" s="39">
        <v>44530</v>
      </c>
      <c r="K16" s="24">
        <v>30</v>
      </c>
      <c r="L16" s="24">
        <v>2219</v>
      </c>
      <c r="M16" s="24">
        <v>5400000</v>
      </c>
      <c r="N16" s="39">
        <v>45928</v>
      </c>
    </row>
    <row r="17" spans="1:14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44501</v>
      </c>
      <c r="J17" s="39">
        <v>44530</v>
      </c>
      <c r="K17" s="24">
        <v>30</v>
      </c>
      <c r="L17" s="24">
        <v>156</v>
      </c>
      <c r="M17" s="24">
        <v>380000</v>
      </c>
      <c r="N17" s="39">
        <v>45941</v>
      </c>
    </row>
    <row r="18" spans="1:14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44501</v>
      </c>
      <c r="J18" s="39">
        <v>44530</v>
      </c>
      <c r="K18" s="24">
        <v>30</v>
      </c>
      <c r="L18" s="24">
        <v>986</v>
      </c>
      <c r="M18" s="24">
        <v>2400000</v>
      </c>
      <c r="N18" s="39">
        <v>45948</v>
      </c>
    </row>
    <row r="19" spans="1:14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44501</v>
      </c>
      <c r="J19" s="39">
        <v>44530</v>
      </c>
      <c r="K19" s="24">
        <v>30</v>
      </c>
      <c r="L19" s="24">
        <v>411</v>
      </c>
      <c r="M19" s="24">
        <v>1000000</v>
      </c>
      <c r="N19" s="39">
        <v>45956</v>
      </c>
    </row>
    <row r="20" spans="1:14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44501</v>
      </c>
      <c r="J20" s="39">
        <v>44530</v>
      </c>
      <c r="K20" s="24">
        <v>30</v>
      </c>
      <c r="L20" s="24">
        <v>4110</v>
      </c>
      <c r="M20" s="24">
        <v>10000000</v>
      </c>
      <c r="N20" s="39">
        <v>45945</v>
      </c>
    </row>
    <row r="21" spans="1:14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44501</v>
      </c>
      <c r="J21" s="39">
        <v>44530</v>
      </c>
      <c r="K21" s="24">
        <v>30</v>
      </c>
      <c r="L21" s="24">
        <v>102740</v>
      </c>
      <c r="M21" s="24">
        <v>250000000</v>
      </c>
      <c r="N21" s="39">
        <v>45972</v>
      </c>
    </row>
    <row r="22" spans="1:14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44501</v>
      </c>
      <c r="J22" s="39">
        <v>44530</v>
      </c>
      <c r="K22" s="24">
        <v>30</v>
      </c>
      <c r="L22" s="24">
        <v>82192</v>
      </c>
      <c r="M22" s="24">
        <v>200000000</v>
      </c>
      <c r="N22" s="39">
        <v>45972</v>
      </c>
    </row>
    <row r="23" spans="1:14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44501</v>
      </c>
      <c r="J23" s="39">
        <v>44530</v>
      </c>
      <c r="K23" s="24">
        <v>30</v>
      </c>
      <c r="L23" s="24">
        <v>3534</v>
      </c>
      <c r="M23" s="24">
        <v>8600000</v>
      </c>
      <c r="N23" s="39">
        <v>45980</v>
      </c>
    </row>
    <row r="24" spans="1:14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44501</v>
      </c>
      <c r="J24" s="39">
        <v>44530</v>
      </c>
      <c r="K24" s="24">
        <v>30</v>
      </c>
      <c r="L24" s="24">
        <v>681</v>
      </c>
      <c r="M24" s="24">
        <v>1657000</v>
      </c>
      <c r="N24" s="39">
        <v>45985</v>
      </c>
    </row>
    <row r="25" spans="1:14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44501</v>
      </c>
      <c r="J25" s="39">
        <v>44530</v>
      </c>
      <c r="K25" s="24">
        <v>30</v>
      </c>
      <c r="L25" s="24">
        <v>822</v>
      </c>
      <c r="M25" s="24">
        <v>2000000</v>
      </c>
      <c r="N25" s="39">
        <v>46013</v>
      </c>
    </row>
    <row r="26" spans="1:14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44501</v>
      </c>
      <c r="J26" s="39">
        <v>44530</v>
      </c>
      <c r="K26" s="24">
        <v>30</v>
      </c>
      <c r="L26" s="24">
        <v>11753</v>
      </c>
      <c r="M26" s="24">
        <v>28600000</v>
      </c>
      <c r="N26" s="39">
        <v>45746</v>
      </c>
    </row>
    <row r="27" spans="1:14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44501</v>
      </c>
      <c r="J27" s="39">
        <v>44530</v>
      </c>
      <c r="K27" s="24">
        <v>30</v>
      </c>
      <c r="L27" s="24">
        <v>247</v>
      </c>
      <c r="M27" s="24">
        <v>600000</v>
      </c>
      <c r="N27" s="39">
        <v>46025</v>
      </c>
    </row>
    <row r="28" spans="1:14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44501</v>
      </c>
      <c r="J28" s="39">
        <v>44530</v>
      </c>
      <c r="K28" s="24">
        <v>30</v>
      </c>
      <c r="L28" s="24">
        <v>14795</v>
      </c>
      <c r="M28" s="24">
        <v>60000000</v>
      </c>
      <c r="N28" s="39">
        <v>46042</v>
      </c>
    </row>
    <row r="29" spans="1:14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44501</v>
      </c>
      <c r="J29" s="39">
        <v>44530</v>
      </c>
      <c r="K29" s="24">
        <v>30</v>
      </c>
      <c r="L29" s="24">
        <v>32877</v>
      </c>
      <c r="M29" s="24">
        <v>80000000</v>
      </c>
      <c r="N29" s="39">
        <v>46095</v>
      </c>
    </row>
    <row r="30" spans="1:14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44501</v>
      </c>
      <c r="J30" s="39">
        <v>44530</v>
      </c>
      <c r="K30" s="24">
        <v>30</v>
      </c>
      <c r="L30" s="24">
        <v>53425</v>
      </c>
      <c r="M30" s="24">
        <v>130000000</v>
      </c>
      <c r="N30" s="39">
        <v>46095</v>
      </c>
    </row>
    <row r="31" spans="1:14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44501</v>
      </c>
      <c r="J31" s="39">
        <v>44530</v>
      </c>
      <c r="K31" s="24">
        <v>30</v>
      </c>
      <c r="L31" s="24">
        <v>34484</v>
      </c>
      <c r="M31" s="24">
        <v>83911000</v>
      </c>
      <c r="N31" s="39">
        <v>46110</v>
      </c>
    </row>
    <row r="32" spans="1:14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13025422</v>
      </c>
      <c r="H32" s="23">
        <v>5.0000000000000001E-3</v>
      </c>
      <c r="I32" s="39">
        <v>44501</v>
      </c>
      <c r="J32" s="39">
        <v>44514</v>
      </c>
      <c r="K32" s="24">
        <v>14</v>
      </c>
      <c r="L32" s="24">
        <v>2498</v>
      </c>
      <c r="M32" s="24">
        <v>12779659</v>
      </c>
      <c r="N32" s="39">
        <v>46126</v>
      </c>
    </row>
    <row r="33" spans="1:14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12779659</v>
      </c>
      <c r="H33" s="23">
        <v>5.0000000000000001E-3</v>
      </c>
      <c r="I33" s="39">
        <v>44515</v>
      </c>
      <c r="J33" s="39">
        <v>44530</v>
      </c>
      <c r="K33" s="24">
        <v>16</v>
      </c>
      <c r="L33" s="24">
        <v>2801</v>
      </c>
      <c r="M33" s="24"/>
      <c r="N33" s="39">
        <v>46126</v>
      </c>
    </row>
    <row r="34" spans="1:14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44501</v>
      </c>
      <c r="J34" s="39">
        <v>44530</v>
      </c>
      <c r="K34" s="24">
        <v>30</v>
      </c>
      <c r="L34" s="24">
        <v>50893</v>
      </c>
      <c r="M34" s="24">
        <v>206400000</v>
      </c>
      <c r="N34" s="39">
        <v>46119</v>
      </c>
    </row>
    <row r="35" spans="1:14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44501</v>
      </c>
      <c r="J35" s="39">
        <v>44530</v>
      </c>
      <c r="K35" s="24">
        <v>30</v>
      </c>
      <c r="L35" s="24">
        <v>8051</v>
      </c>
      <c r="M35" s="24">
        <v>19590000</v>
      </c>
      <c r="N35" s="39">
        <v>46172</v>
      </c>
    </row>
    <row r="36" spans="1:14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44501</v>
      </c>
      <c r="J36" s="39">
        <v>44530</v>
      </c>
      <c r="K36" s="24">
        <v>30</v>
      </c>
      <c r="L36" s="24">
        <v>6986</v>
      </c>
      <c r="M36" s="24">
        <v>17000000</v>
      </c>
      <c r="N36" s="39">
        <v>46155</v>
      </c>
    </row>
    <row r="37" spans="1:14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44501</v>
      </c>
      <c r="J37" s="39">
        <v>44530</v>
      </c>
      <c r="K37" s="24">
        <v>30</v>
      </c>
      <c r="L37" s="24">
        <v>13110</v>
      </c>
      <c r="M37" s="24">
        <v>31900000</v>
      </c>
      <c r="N37" s="39">
        <v>46202</v>
      </c>
    </row>
    <row r="38" spans="1:14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44501</v>
      </c>
      <c r="J38" s="39">
        <v>44530</v>
      </c>
      <c r="K38" s="24">
        <v>30</v>
      </c>
      <c r="L38" s="24">
        <v>8219</v>
      </c>
      <c r="M38" s="24">
        <v>20000000</v>
      </c>
      <c r="N38" s="39">
        <v>45747</v>
      </c>
    </row>
    <row r="39" spans="1:14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44501</v>
      </c>
      <c r="J39" s="39">
        <v>44530</v>
      </c>
      <c r="K39" s="24">
        <v>30</v>
      </c>
      <c r="L39" s="24">
        <v>1791</v>
      </c>
      <c r="M39" s="24">
        <v>4359000</v>
      </c>
      <c r="N39" s="39">
        <v>46196</v>
      </c>
    </row>
    <row r="40" spans="1:14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44501</v>
      </c>
      <c r="J40" s="39">
        <v>44530</v>
      </c>
      <c r="K40" s="24">
        <v>30</v>
      </c>
      <c r="L40" s="24">
        <v>31956</v>
      </c>
      <c r="M40" s="24">
        <v>129600000</v>
      </c>
      <c r="N40" s="39">
        <v>46230</v>
      </c>
    </row>
    <row r="41" spans="1:14" s="5" customFormat="1" outlineLevel="2">
      <c r="A41" s="39" t="s">
        <v>15</v>
      </c>
      <c r="B41" s="40" t="s">
        <v>138</v>
      </c>
      <c r="C41" s="41" t="s">
        <v>45</v>
      </c>
      <c r="D41" s="40" t="s">
        <v>46</v>
      </c>
      <c r="E41" s="24">
        <v>50000000</v>
      </c>
      <c r="F41" s="39">
        <v>44432</v>
      </c>
      <c r="G41" s="24">
        <v>50000000</v>
      </c>
      <c r="H41" s="23">
        <v>5.0000000000000001E-3</v>
      </c>
      <c r="I41" s="39">
        <v>44501</v>
      </c>
      <c r="J41" s="39">
        <v>44530</v>
      </c>
      <c r="K41" s="24">
        <v>30</v>
      </c>
      <c r="L41" s="24">
        <v>20548</v>
      </c>
      <c r="M41" s="24">
        <v>50000000</v>
      </c>
      <c r="N41" s="39">
        <v>46257</v>
      </c>
    </row>
    <row r="42" spans="1:14" s="5" customFormat="1" outlineLevel="2">
      <c r="A42" s="39" t="s">
        <v>15</v>
      </c>
      <c r="B42" s="40" t="s">
        <v>139</v>
      </c>
      <c r="C42" s="41" t="s">
        <v>37</v>
      </c>
      <c r="D42" s="40" t="s">
        <v>38</v>
      </c>
      <c r="E42" s="24">
        <v>64569000</v>
      </c>
      <c r="F42" s="39">
        <v>44461</v>
      </c>
      <c r="G42" s="24">
        <v>64569000</v>
      </c>
      <c r="H42" s="23">
        <v>5.0000000000000001E-3</v>
      </c>
      <c r="I42" s="39">
        <v>44501</v>
      </c>
      <c r="J42" s="39">
        <v>44530</v>
      </c>
      <c r="K42" s="24">
        <v>30</v>
      </c>
      <c r="L42" s="24">
        <v>26535</v>
      </c>
      <c r="M42" s="24">
        <v>64569000</v>
      </c>
      <c r="N42" s="39">
        <v>46286</v>
      </c>
    </row>
    <row r="43" spans="1:14" s="5" customFormat="1" outlineLevel="2">
      <c r="A43" s="39" t="s">
        <v>15</v>
      </c>
      <c r="B43" s="40" t="s">
        <v>140</v>
      </c>
      <c r="C43" s="41" t="s">
        <v>37</v>
      </c>
      <c r="D43" s="40" t="s">
        <v>38</v>
      </c>
      <c r="E43" s="24">
        <v>248976000</v>
      </c>
      <c r="F43" s="39">
        <v>44461</v>
      </c>
      <c r="G43" s="24">
        <v>248976000</v>
      </c>
      <c r="H43" s="23">
        <v>5.0000000000000001E-3</v>
      </c>
      <c r="I43" s="39">
        <v>44501</v>
      </c>
      <c r="J43" s="39">
        <v>44530</v>
      </c>
      <c r="K43" s="24">
        <v>30</v>
      </c>
      <c r="L43" s="24">
        <v>102319</v>
      </c>
      <c r="M43" s="24">
        <v>248976000</v>
      </c>
      <c r="N43" s="39">
        <v>46286</v>
      </c>
    </row>
    <row r="44" spans="1:14" s="5" customFormat="1" outlineLevel="2">
      <c r="A44" s="39" t="s">
        <v>15</v>
      </c>
      <c r="B44" s="40" t="s">
        <v>169</v>
      </c>
      <c r="C44" s="41" t="s">
        <v>17</v>
      </c>
      <c r="D44" s="40" t="s">
        <v>18</v>
      </c>
      <c r="E44" s="24">
        <v>7938000</v>
      </c>
      <c r="F44" s="39">
        <v>44462</v>
      </c>
      <c r="G44" s="24">
        <v>7938000</v>
      </c>
      <c r="H44" s="23">
        <v>5.0000000000000001E-3</v>
      </c>
      <c r="I44" s="39">
        <v>44501</v>
      </c>
      <c r="J44" s="39">
        <v>44530</v>
      </c>
      <c r="K44" s="24">
        <v>30</v>
      </c>
      <c r="L44" s="24">
        <v>3262</v>
      </c>
      <c r="M44" s="24">
        <v>7938000</v>
      </c>
      <c r="N44" s="39">
        <v>46287</v>
      </c>
    </row>
    <row r="45" spans="1:14" s="5" customFormat="1" outlineLevel="2">
      <c r="A45" s="39" t="s">
        <v>15</v>
      </c>
      <c r="B45" s="40" t="s">
        <v>170</v>
      </c>
      <c r="C45" s="41" t="s">
        <v>365</v>
      </c>
      <c r="D45" s="40" t="s">
        <v>364</v>
      </c>
      <c r="E45" s="24">
        <v>13200000</v>
      </c>
      <c r="F45" s="39">
        <v>44484</v>
      </c>
      <c r="G45" s="24">
        <v>13200000</v>
      </c>
      <c r="H45" s="23">
        <v>5.0000000000000001E-3</v>
      </c>
      <c r="I45" s="39">
        <v>44501</v>
      </c>
      <c r="J45" s="39">
        <v>44514</v>
      </c>
      <c r="K45" s="24">
        <v>14</v>
      </c>
      <c r="L45" s="24">
        <v>2532</v>
      </c>
      <c r="M45" s="24">
        <v>12950943</v>
      </c>
      <c r="N45" s="39">
        <v>46309</v>
      </c>
    </row>
    <row r="46" spans="1:14" s="5" customFormat="1" outlineLevel="2">
      <c r="A46" s="39" t="s">
        <v>15</v>
      </c>
      <c r="B46" s="40" t="s">
        <v>170</v>
      </c>
      <c r="C46" s="41" t="s">
        <v>365</v>
      </c>
      <c r="D46" s="40"/>
      <c r="E46" s="24"/>
      <c r="F46" s="39"/>
      <c r="G46" s="24">
        <v>12950943</v>
      </c>
      <c r="H46" s="23">
        <v>5.0000000000000001E-3</v>
      </c>
      <c r="I46" s="39">
        <v>44515</v>
      </c>
      <c r="J46" s="39">
        <v>44530</v>
      </c>
      <c r="K46" s="24">
        <v>16</v>
      </c>
      <c r="L46" s="24">
        <v>2839</v>
      </c>
      <c r="M46" s="24"/>
      <c r="N46" s="39">
        <v>46309</v>
      </c>
    </row>
    <row r="47" spans="1:14" s="5" customFormat="1" outlineLevel="2">
      <c r="A47" s="39" t="s">
        <v>15</v>
      </c>
      <c r="B47" s="40" t="s">
        <v>171</v>
      </c>
      <c r="C47" s="41" t="s">
        <v>155</v>
      </c>
      <c r="D47" s="40" t="s">
        <v>156</v>
      </c>
      <c r="E47" s="24">
        <v>500000000</v>
      </c>
      <c r="F47" s="39">
        <v>44474</v>
      </c>
      <c r="G47" s="24">
        <v>500000000</v>
      </c>
      <c r="H47" s="23">
        <v>5.0000000000000001E-3</v>
      </c>
      <c r="I47" s="39">
        <v>44501</v>
      </c>
      <c r="J47" s="39">
        <v>44530</v>
      </c>
      <c r="K47" s="24">
        <v>30</v>
      </c>
      <c r="L47" s="24">
        <v>205479</v>
      </c>
      <c r="M47" s="24">
        <v>500000000</v>
      </c>
      <c r="N47" s="39">
        <v>45569</v>
      </c>
    </row>
    <row r="48" spans="1:14" s="5" customFormat="1" outlineLevel="2">
      <c r="A48" s="39" t="s">
        <v>15</v>
      </c>
      <c r="B48" s="40" t="s">
        <v>172</v>
      </c>
      <c r="C48" s="41" t="s">
        <v>23</v>
      </c>
      <c r="D48" s="40" t="s">
        <v>24</v>
      </c>
      <c r="E48" s="24">
        <v>34030000</v>
      </c>
      <c r="F48" s="39">
        <v>44476</v>
      </c>
      <c r="G48" s="24">
        <v>34030000</v>
      </c>
      <c r="H48" s="23">
        <v>5.0000000000000001E-3</v>
      </c>
      <c r="I48" s="39">
        <v>44501</v>
      </c>
      <c r="J48" s="39">
        <v>44530</v>
      </c>
      <c r="K48" s="24">
        <v>30</v>
      </c>
      <c r="L48" s="24">
        <v>13985</v>
      </c>
      <c r="M48" s="24">
        <v>34030000</v>
      </c>
      <c r="N48" s="39">
        <v>46301</v>
      </c>
    </row>
    <row r="49" spans="1:14" s="5" customFormat="1" outlineLevel="2">
      <c r="A49" s="39" t="s">
        <v>15</v>
      </c>
      <c r="B49" s="40" t="s">
        <v>173</v>
      </c>
      <c r="C49" s="41" t="s">
        <v>155</v>
      </c>
      <c r="D49" s="40" t="s">
        <v>156</v>
      </c>
      <c r="E49" s="24">
        <v>50000000</v>
      </c>
      <c r="F49" s="39">
        <v>44508</v>
      </c>
      <c r="G49" s="24">
        <v>50000000</v>
      </c>
      <c r="H49" s="23">
        <v>5.0000000000000001E-3</v>
      </c>
      <c r="I49" s="39">
        <v>44508</v>
      </c>
      <c r="J49" s="39">
        <v>44530</v>
      </c>
      <c r="K49" s="24">
        <v>23</v>
      </c>
      <c r="L49" s="24">
        <v>15753</v>
      </c>
      <c r="M49" s="24">
        <v>50000000</v>
      </c>
      <c r="N49" s="39">
        <v>45603</v>
      </c>
    </row>
    <row r="50" spans="1:14" s="5" customFormat="1" outlineLevel="2">
      <c r="A50" s="39" t="s">
        <v>15</v>
      </c>
      <c r="B50" s="40" t="s">
        <v>62</v>
      </c>
      <c r="C50" s="41" t="s">
        <v>55</v>
      </c>
      <c r="D50" s="40" t="s">
        <v>56</v>
      </c>
      <c r="E50" s="24">
        <v>10000000</v>
      </c>
      <c r="F50" s="39">
        <v>43934</v>
      </c>
      <c r="G50" s="24">
        <v>10000000</v>
      </c>
      <c r="H50" s="23">
        <v>5.0000000000000001E-3</v>
      </c>
      <c r="I50" s="39">
        <v>44501</v>
      </c>
      <c r="J50" s="39">
        <v>44530</v>
      </c>
      <c r="K50" s="24">
        <v>30</v>
      </c>
      <c r="L50" s="24">
        <v>4110</v>
      </c>
      <c r="M50" s="24">
        <v>10000000</v>
      </c>
      <c r="N50" s="39">
        <v>45759</v>
      </c>
    </row>
    <row r="51" spans="1:14" s="5" customFormat="1" outlineLevel="2">
      <c r="A51" s="39" t="s">
        <v>15</v>
      </c>
      <c r="B51" s="40" t="s">
        <v>174</v>
      </c>
      <c r="C51" s="41" t="s">
        <v>37</v>
      </c>
      <c r="D51" s="40" t="s">
        <v>38</v>
      </c>
      <c r="E51" s="24">
        <v>91524000</v>
      </c>
      <c r="F51" s="39">
        <v>44523</v>
      </c>
      <c r="G51" s="24">
        <v>91524000</v>
      </c>
      <c r="H51" s="23">
        <v>5.0000000000000001E-3</v>
      </c>
      <c r="I51" s="39">
        <v>44523</v>
      </c>
      <c r="J51" s="39">
        <v>44530</v>
      </c>
      <c r="K51" s="24">
        <v>8</v>
      </c>
      <c r="L51" s="24">
        <v>10030</v>
      </c>
      <c r="M51" s="24">
        <v>91524000</v>
      </c>
      <c r="N51" s="39">
        <v>46348</v>
      </c>
    </row>
    <row r="52" spans="1:14" s="5" customFormat="1" outlineLevel="2">
      <c r="A52" s="39" t="s">
        <v>15</v>
      </c>
      <c r="B52" s="40" t="s">
        <v>63</v>
      </c>
      <c r="C52" s="41" t="s">
        <v>55</v>
      </c>
      <c r="D52" s="40" t="s">
        <v>56</v>
      </c>
      <c r="E52" s="24">
        <v>30000000</v>
      </c>
      <c r="F52" s="39">
        <v>43937</v>
      </c>
      <c r="G52" s="24">
        <v>30000000</v>
      </c>
      <c r="H52" s="23">
        <v>5.0000000000000001E-3</v>
      </c>
      <c r="I52" s="39">
        <v>44501</v>
      </c>
      <c r="J52" s="39">
        <v>44530</v>
      </c>
      <c r="K52" s="24">
        <v>30</v>
      </c>
      <c r="L52" s="24">
        <v>12329</v>
      </c>
      <c r="M52" s="24">
        <v>30000000</v>
      </c>
      <c r="N52" s="39">
        <v>45762</v>
      </c>
    </row>
    <row r="53" spans="1:14" s="5" customFormat="1" outlineLevel="2">
      <c r="A53" s="39" t="s">
        <v>15</v>
      </c>
      <c r="B53" s="40" t="s">
        <v>64</v>
      </c>
      <c r="C53" s="41" t="s">
        <v>55</v>
      </c>
      <c r="D53" s="40" t="s">
        <v>56</v>
      </c>
      <c r="E53" s="24">
        <v>58360000</v>
      </c>
      <c r="F53" s="39">
        <v>43929</v>
      </c>
      <c r="G53" s="24">
        <v>58360000</v>
      </c>
      <c r="H53" s="23">
        <v>5.0000000000000001E-3</v>
      </c>
      <c r="I53" s="39">
        <v>44501</v>
      </c>
      <c r="J53" s="39">
        <v>44530</v>
      </c>
      <c r="K53" s="24">
        <v>30</v>
      </c>
      <c r="L53" s="24">
        <v>23984</v>
      </c>
      <c r="M53" s="24">
        <v>58360000</v>
      </c>
      <c r="N53" s="39">
        <v>45754</v>
      </c>
    </row>
    <row r="54" spans="1:14" s="5" customFormat="1" outlineLevel="2">
      <c r="A54" s="39" t="s">
        <v>15</v>
      </c>
      <c r="B54" s="40" t="s">
        <v>65</v>
      </c>
      <c r="C54" s="41" t="s">
        <v>66</v>
      </c>
      <c r="D54" s="40" t="s">
        <v>67</v>
      </c>
      <c r="E54" s="24">
        <v>64000000</v>
      </c>
      <c r="F54" s="39">
        <v>43966</v>
      </c>
      <c r="G54" s="24">
        <v>64000000</v>
      </c>
      <c r="H54" s="23">
        <v>5.0000000000000001E-3</v>
      </c>
      <c r="I54" s="39">
        <v>44501</v>
      </c>
      <c r="J54" s="39">
        <v>44530</v>
      </c>
      <c r="K54" s="24">
        <v>30</v>
      </c>
      <c r="L54" s="24">
        <v>26301</v>
      </c>
      <c r="M54" s="24">
        <v>64000000</v>
      </c>
      <c r="N54" s="39">
        <v>45791</v>
      </c>
    </row>
    <row r="55" spans="1:14" s="5" customFormat="1" outlineLevel="2">
      <c r="A55" s="39" t="s">
        <v>15</v>
      </c>
      <c r="B55" s="40" t="s">
        <v>68</v>
      </c>
      <c r="C55" s="41" t="s">
        <v>55</v>
      </c>
      <c r="D55" s="40" t="s">
        <v>56</v>
      </c>
      <c r="E55" s="24">
        <v>11400000</v>
      </c>
      <c r="F55" s="39">
        <v>43962</v>
      </c>
      <c r="G55" s="24">
        <v>11400000</v>
      </c>
      <c r="H55" s="23">
        <v>5.0000000000000001E-3</v>
      </c>
      <c r="I55" s="39">
        <v>44501</v>
      </c>
      <c r="J55" s="39">
        <v>44530</v>
      </c>
      <c r="K55" s="24">
        <v>30</v>
      </c>
      <c r="L55" s="24">
        <v>4685</v>
      </c>
      <c r="M55" s="24">
        <v>11400000</v>
      </c>
      <c r="N55" s="39">
        <v>45787</v>
      </c>
    </row>
    <row r="56" spans="1:14" s="5" customFormat="1" outlineLevel="1">
      <c r="A56" s="42" t="s">
        <v>69</v>
      </c>
      <c r="B56" s="43"/>
      <c r="C56" s="44"/>
      <c r="D56" s="43"/>
      <c r="E56" s="45">
        <v>3217223000</v>
      </c>
      <c r="F56" s="46"/>
      <c r="G56" s="45"/>
      <c r="H56" s="47"/>
      <c r="I56" s="46"/>
      <c r="J56" s="46"/>
      <c r="K56" s="45"/>
      <c r="L56" s="45">
        <v>1196936</v>
      </c>
      <c r="M56" s="45">
        <v>3215253602</v>
      </c>
      <c r="N56" s="46"/>
    </row>
    <row r="57" spans="1:14" s="5" customFormat="1" outlineLevel="2">
      <c r="A57" s="39" t="s">
        <v>70</v>
      </c>
      <c r="B57" s="40" t="s">
        <v>16</v>
      </c>
      <c r="C57" s="41" t="s">
        <v>27</v>
      </c>
      <c r="D57" s="40" t="s">
        <v>28</v>
      </c>
      <c r="E57" s="24">
        <v>21330000</v>
      </c>
      <c r="F57" s="39">
        <v>44046</v>
      </c>
      <c r="G57" s="24">
        <v>21330000</v>
      </c>
      <c r="H57" s="23">
        <v>5.0000000000000001E-3</v>
      </c>
      <c r="I57" s="39">
        <v>44501</v>
      </c>
      <c r="J57" s="39">
        <v>44530</v>
      </c>
      <c r="K57" s="24">
        <v>30</v>
      </c>
      <c r="L57" s="24">
        <v>8766</v>
      </c>
      <c r="M57" s="24">
        <v>21330000</v>
      </c>
      <c r="N57" s="39">
        <v>45871</v>
      </c>
    </row>
    <row r="58" spans="1:14" s="5" customFormat="1" outlineLevel="2">
      <c r="A58" s="39" t="s">
        <v>70</v>
      </c>
      <c r="B58" s="40" t="s">
        <v>39</v>
      </c>
      <c r="C58" s="41" t="s">
        <v>27</v>
      </c>
      <c r="D58" s="40" t="s">
        <v>28</v>
      </c>
      <c r="E58" s="24">
        <v>8670000</v>
      </c>
      <c r="F58" s="39">
        <v>44060</v>
      </c>
      <c r="G58" s="24">
        <v>8670000</v>
      </c>
      <c r="H58" s="23">
        <v>5.0000000000000001E-3</v>
      </c>
      <c r="I58" s="39">
        <v>44501</v>
      </c>
      <c r="J58" s="39">
        <v>44530</v>
      </c>
      <c r="K58" s="24">
        <v>30</v>
      </c>
      <c r="L58" s="24">
        <v>3563</v>
      </c>
      <c r="M58" s="24">
        <v>8670000</v>
      </c>
      <c r="N58" s="39">
        <v>45885</v>
      </c>
    </row>
    <row r="59" spans="1:14" s="5" customFormat="1" outlineLevel="2">
      <c r="A59" s="39" t="s">
        <v>70</v>
      </c>
      <c r="B59" s="40" t="s">
        <v>54</v>
      </c>
      <c r="C59" s="41" t="s">
        <v>71</v>
      </c>
      <c r="D59" s="40" t="s">
        <v>72</v>
      </c>
      <c r="E59" s="24">
        <v>10600000</v>
      </c>
      <c r="F59" s="39">
        <v>44085</v>
      </c>
      <c r="G59" s="24">
        <v>10600000</v>
      </c>
      <c r="H59" s="23">
        <v>5.0000000000000001E-3</v>
      </c>
      <c r="I59" s="39">
        <v>44501</v>
      </c>
      <c r="J59" s="39">
        <v>44530</v>
      </c>
      <c r="K59" s="24">
        <v>30</v>
      </c>
      <c r="L59" s="24">
        <v>4356</v>
      </c>
      <c r="M59" s="24">
        <v>10600000</v>
      </c>
      <c r="N59" s="39">
        <v>45910</v>
      </c>
    </row>
    <row r="60" spans="1:14" s="5" customFormat="1" outlineLevel="2">
      <c r="A60" s="39" t="s">
        <v>70</v>
      </c>
      <c r="B60" s="40" t="s">
        <v>59</v>
      </c>
      <c r="C60" s="41" t="s">
        <v>73</v>
      </c>
      <c r="D60" s="40" t="s">
        <v>74</v>
      </c>
      <c r="E60" s="24">
        <v>40170000</v>
      </c>
      <c r="F60" s="39">
        <v>44172</v>
      </c>
      <c r="G60" s="24">
        <v>40170000</v>
      </c>
      <c r="H60" s="23">
        <v>5.0000000000000001E-3</v>
      </c>
      <c r="I60" s="39">
        <v>44501</v>
      </c>
      <c r="J60" s="39">
        <v>44530</v>
      </c>
      <c r="K60" s="24">
        <v>30</v>
      </c>
      <c r="L60" s="24">
        <v>16508</v>
      </c>
      <c r="M60" s="24">
        <v>40170000</v>
      </c>
      <c r="N60" s="39">
        <v>45997</v>
      </c>
    </row>
    <row r="61" spans="1:14" s="5" customFormat="1" outlineLevel="2">
      <c r="A61" s="39" t="s">
        <v>70</v>
      </c>
      <c r="B61" s="40" t="s">
        <v>62</v>
      </c>
      <c r="C61" s="41" t="s">
        <v>75</v>
      </c>
      <c r="D61" s="40" t="s">
        <v>76</v>
      </c>
      <c r="E61" s="24">
        <v>5170000</v>
      </c>
      <c r="F61" s="39">
        <v>44166</v>
      </c>
      <c r="G61" s="24">
        <v>5170000</v>
      </c>
      <c r="H61" s="23">
        <v>5.0000000000000001E-3</v>
      </c>
      <c r="I61" s="39">
        <v>44501</v>
      </c>
      <c r="J61" s="39">
        <v>44530</v>
      </c>
      <c r="K61" s="24">
        <v>30</v>
      </c>
      <c r="L61" s="24">
        <v>2125</v>
      </c>
      <c r="M61" s="24">
        <v>5170000</v>
      </c>
      <c r="N61" s="39">
        <v>45991</v>
      </c>
    </row>
    <row r="62" spans="1:14" s="5" customFormat="1" outlineLevel="2">
      <c r="A62" s="39" t="s">
        <v>70</v>
      </c>
      <c r="B62" s="40" t="s">
        <v>63</v>
      </c>
      <c r="C62" s="41" t="s">
        <v>242</v>
      </c>
      <c r="D62" s="40" t="s">
        <v>243</v>
      </c>
      <c r="E62" s="24">
        <v>22400000</v>
      </c>
      <c r="F62" s="39">
        <v>44433</v>
      </c>
      <c r="G62" s="24">
        <v>22400000</v>
      </c>
      <c r="H62" s="23">
        <v>5.0000000000000001E-3</v>
      </c>
      <c r="I62" s="39">
        <v>44501</v>
      </c>
      <c r="J62" s="39">
        <v>44530</v>
      </c>
      <c r="K62" s="24">
        <v>30</v>
      </c>
      <c r="L62" s="24">
        <v>9205</v>
      </c>
      <c r="M62" s="24">
        <v>22400000</v>
      </c>
      <c r="N62" s="39">
        <v>45528</v>
      </c>
    </row>
    <row r="63" spans="1:14" s="5" customFormat="1" outlineLevel="2">
      <c r="A63" s="39" t="s">
        <v>70</v>
      </c>
      <c r="B63" s="40" t="s">
        <v>64</v>
      </c>
      <c r="C63" s="41" t="s">
        <v>242</v>
      </c>
      <c r="D63" s="40" t="s">
        <v>243</v>
      </c>
      <c r="E63" s="24">
        <v>11200000</v>
      </c>
      <c r="F63" s="39">
        <v>44473</v>
      </c>
      <c r="G63" s="24">
        <v>11200000</v>
      </c>
      <c r="H63" s="23">
        <v>5.0000000000000001E-3</v>
      </c>
      <c r="I63" s="39">
        <v>44501</v>
      </c>
      <c r="J63" s="39">
        <v>44530</v>
      </c>
      <c r="K63" s="24">
        <v>30</v>
      </c>
      <c r="L63" s="24">
        <v>4603</v>
      </c>
      <c r="M63" s="24">
        <v>11200000</v>
      </c>
      <c r="N63" s="39">
        <v>45568</v>
      </c>
    </row>
    <row r="64" spans="1:14" s="5" customFormat="1" outlineLevel="2">
      <c r="A64" s="39" t="s">
        <v>70</v>
      </c>
      <c r="B64" s="40" t="s">
        <v>65</v>
      </c>
      <c r="C64" s="41" t="s">
        <v>442</v>
      </c>
      <c r="D64" s="40" t="s">
        <v>441</v>
      </c>
      <c r="E64" s="24">
        <v>5000000</v>
      </c>
      <c r="F64" s="39">
        <v>44496</v>
      </c>
      <c r="G64" s="24">
        <v>5000000</v>
      </c>
      <c r="H64" s="23">
        <v>5.0000000000000001E-3</v>
      </c>
      <c r="I64" s="39">
        <v>44501</v>
      </c>
      <c r="J64" s="39">
        <v>44514</v>
      </c>
      <c r="K64" s="24">
        <v>14</v>
      </c>
      <c r="L64" s="24">
        <v>959</v>
      </c>
      <c r="M64" s="24">
        <v>4936700</v>
      </c>
      <c r="N64" s="39">
        <v>45591</v>
      </c>
    </row>
    <row r="65" spans="1:14" s="5" customFormat="1" outlineLevel="2">
      <c r="A65" s="39" t="s">
        <v>70</v>
      </c>
      <c r="B65" s="40" t="s">
        <v>65</v>
      </c>
      <c r="C65" s="41" t="s">
        <v>442</v>
      </c>
      <c r="D65" s="40"/>
      <c r="E65" s="24"/>
      <c r="F65" s="39"/>
      <c r="G65" s="24">
        <v>4936700</v>
      </c>
      <c r="H65" s="23">
        <v>5.0000000000000001E-3</v>
      </c>
      <c r="I65" s="39">
        <v>44515</v>
      </c>
      <c r="J65" s="39">
        <v>44530</v>
      </c>
      <c r="K65" s="24">
        <v>16</v>
      </c>
      <c r="L65" s="24">
        <v>1082</v>
      </c>
      <c r="M65" s="24"/>
      <c r="N65" s="39">
        <v>45591</v>
      </c>
    </row>
    <row r="66" spans="1:14" s="5" customFormat="1" outlineLevel="1">
      <c r="A66" s="42" t="s">
        <v>77</v>
      </c>
      <c r="B66" s="43"/>
      <c r="C66" s="44"/>
      <c r="D66" s="43"/>
      <c r="E66" s="45">
        <v>124540000</v>
      </c>
      <c r="F66" s="46"/>
      <c r="G66" s="45"/>
      <c r="H66" s="47"/>
      <c r="I66" s="46"/>
      <c r="J66" s="46"/>
      <c r="K66" s="45"/>
      <c r="L66" s="45">
        <v>51167</v>
      </c>
      <c r="M66" s="45">
        <v>124476700</v>
      </c>
      <c r="N66" s="46"/>
    </row>
    <row r="67" spans="1:14" s="5" customFormat="1" outlineLevel="2">
      <c r="A67" s="39" t="s">
        <v>78</v>
      </c>
      <c r="B67" s="40" t="s">
        <v>16</v>
      </c>
      <c r="C67" s="41" t="s">
        <v>55</v>
      </c>
      <c r="D67" s="40" t="s">
        <v>56</v>
      </c>
      <c r="E67" s="24">
        <v>26500000</v>
      </c>
      <c r="F67" s="39">
        <v>43907</v>
      </c>
      <c r="G67" s="24">
        <v>20505956</v>
      </c>
      <c r="H67" s="23">
        <v>5.0000000000000001E-3</v>
      </c>
      <c r="I67" s="39">
        <v>44501</v>
      </c>
      <c r="J67" s="39">
        <v>44514</v>
      </c>
      <c r="K67" s="24">
        <v>14</v>
      </c>
      <c r="L67" s="24">
        <v>3933</v>
      </c>
      <c r="M67" s="24">
        <v>20190480</v>
      </c>
      <c r="N67" s="39">
        <v>45732</v>
      </c>
    </row>
    <row r="68" spans="1:14" s="5" customFormat="1" outlineLevel="2">
      <c r="A68" s="39" t="s">
        <v>78</v>
      </c>
      <c r="B68" s="40" t="s">
        <v>16</v>
      </c>
      <c r="C68" s="41" t="s">
        <v>55</v>
      </c>
      <c r="D68" s="40"/>
      <c r="E68" s="24"/>
      <c r="F68" s="39"/>
      <c r="G68" s="24">
        <v>20190480</v>
      </c>
      <c r="H68" s="23">
        <v>5.0000000000000001E-3</v>
      </c>
      <c r="I68" s="39">
        <v>44515</v>
      </c>
      <c r="J68" s="39">
        <v>44530</v>
      </c>
      <c r="K68" s="24">
        <v>16</v>
      </c>
      <c r="L68" s="24">
        <v>4425</v>
      </c>
      <c r="M68" s="24"/>
      <c r="N68" s="39">
        <v>45732</v>
      </c>
    </row>
    <row r="69" spans="1:14" s="5" customFormat="1" outlineLevel="2">
      <c r="A69" s="39" t="s">
        <v>78</v>
      </c>
      <c r="B69" s="40" t="s">
        <v>19</v>
      </c>
      <c r="C69" s="41" t="s">
        <v>79</v>
      </c>
      <c r="D69" s="40" t="s">
        <v>80</v>
      </c>
      <c r="E69" s="24">
        <v>130000000</v>
      </c>
      <c r="F69" s="39">
        <v>44013</v>
      </c>
      <c r="G69" s="24">
        <v>130000000</v>
      </c>
      <c r="H69" s="23">
        <v>5.0000000000000001E-3</v>
      </c>
      <c r="I69" s="39">
        <v>44501</v>
      </c>
      <c r="J69" s="39">
        <v>44530</v>
      </c>
      <c r="K69" s="24">
        <v>30</v>
      </c>
      <c r="L69" s="24">
        <v>53425</v>
      </c>
      <c r="M69" s="24">
        <v>130000000</v>
      </c>
      <c r="N69" s="39">
        <v>45838</v>
      </c>
    </row>
    <row r="70" spans="1:14" s="5" customFormat="1" outlineLevel="2">
      <c r="A70" s="39" t="s">
        <v>78</v>
      </c>
      <c r="B70" s="40" t="s">
        <v>22</v>
      </c>
      <c r="C70" s="41" t="s">
        <v>81</v>
      </c>
      <c r="D70" s="40" t="s">
        <v>82</v>
      </c>
      <c r="E70" s="24">
        <v>3400000</v>
      </c>
      <c r="F70" s="39">
        <v>44063</v>
      </c>
      <c r="G70" s="24">
        <v>2579320</v>
      </c>
      <c r="H70" s="23">
        <v>5.0000000000000001E-3</v>
      </c>
      <c r="I70" s="39">
        <v>44501</v>
      </c>
      <c r="J70" s="39">
        <v>44514</v>
      </c>
      <c r="K70" s="24">
        <v>14</v>
      </c>
      <c r="L70" s="24">
        <v>495</v>
      </c>
      <c r="M70" s="24">
        <v>2520700</v>
      </c>
      <c r="N70" s="39">
        <v>45888</v>
      </c>
    </row>
    <row r="71" spans="1:14" s="5" customFormat="1" outlineLevel="2">
      <c r="A71" s="39" t="s">
        <v>78</v>
      </c>
      <c r="B71" s="40" t="s">
        <v>22</v>
      </c>
      <c r="C71" s="41" t="s">
        <v>81</v>
      </c>
      <c r="D71" s="40"/>
      <c r="E71" s="24"/>
      <c r="F71" s="39"/>
      <c r="G71" s="24">
        <v>2520700</v>
      </c>
      <c r="H71" s="23">
        <v>5.0000000000000001E-3</v>
      </c>
      <c r="I71" s="39">
        <v>44515</v>
      </c>
      <c r="J71" s="39">
        <v>44530</v>
      </c>
      <c r="K71" s="24">
        <v>16</v>
      </c>
      <c r="L71" s="24">
        <v>552</v>
      </c>
      <c r="M71" s="24"/>
      <c r="N71" s="39">
        <v>45888</v>
      </c>
    </row>
    <row r="72" spans="1:14" s="5" customFormat="1" outlineLevel="2">
      <c r="A72" s="39" t="s">
        <v>78</v>
      </c>
      <c r="B72" s="40" t="s">
        <v>25</v>
      </c>
      <c r="C72" s="41" t="s">
        <v>81</v>
      </c>
      <c r="D72" s="40" t="s">
        <v>82</v>
      </c>
      <c r="E72" s="24">
        <v>9800000</v>
      </c>
      <c r="F72" s="39">
        <v>44071</v>
      </c>
      <c r="G72" s="24">
        <v>7434462</v>
      </c>
      <c r="H72" s="23">
        <v>5.0000000000000001E-3</v>
      </c>
      <c r="I72" s="39">
        <v>44501</v>
      </c>
      <c r="J72" s="39">
        <v>44514</v>
      </c>
      <c r="K72" s="24">
        <v>14</v>
      </c>
      <c r="L72" s="24">
        <v>1426</v>
      </c>
      <c r="M72" s="24">
        <v>7265495</v>
      </c>
      <c r="N72" s="39">
        <v>45896</v>
      </c>
    </row>
    <row r="73" spans="1:14" s="5" customFormat="1" outlineLevel="2">
      <c r="A73" s="39" t="s">
        <v>78</v>
      </c>
      <c r="B73" s="40" t="s">
        <v>25</v>
      </c>
      <c r="C73" s="41" t="s">
        <v>81</v>
      </c>
      <c r="D73" s="40"/>
      <c r="E73" s="24"/>
      <c r="F73" s="39"/>
      <c r="G73" s="24">
        <v>7265495</v>
      </c>
      <c r="H73" s="23">
        <v>5.0000000000000001E-3</v>
      </c>
      <c r="I73" s="39">
        <v>44515</v>
      </c>
      <c r="J73" s="39">
        <v>44530</v>
      </c>
      <c r="K73" s="24">
        <v>16</v>
      </c>
      <c r="L73" s="24">
        <v>1592</v>
      </c>
      <c r="M73" s="24"/>
      <c r="N73" s="39">
        <v>45896</v>
      </c>
    </row>
    <row r="74" spans="1:14" s="5" customFormat="1" outlineLevel="2">
      <c r="A74" s="39" t="s">
        <v>78</v>
      </c>
      <c r="B74" s="40" t="s">
        <v>26</v>
      </c>
      <c r="C74" s="41" t="s">
        <v>83</v>
      </c>
      <c r="D74" s="40" t="s">
        <v>84</v>
      </c>
      <c r="E74" s="24">
        <v>201000000</v>
      </c>
      <c r="F74" s="39">
        <v>44064</v>
      </c>
      <c r="G74" s="24">
        <v>201000000</v>
      </c>
      <c r="H74" s="23">
        <v>5.0000000000000001E-3</v>
      </c>
      <c r="I74" s="39">
        <v>44501</v>
      </c>
      <c r="J74" s="39">
        <v>44530</v>
      </c>
      <c r="K74" s="24">
        <v>30</v>
      </c>
      <c r="L74" s="24">
        <v>82603</v>
      </c>
      <c r="M74" s="24">
        <v>201000000</v>
      </c>
      <c r="N74" s="39">
        <v>45889</v>
      </c>
    </row>
    <row r="75" spans="1:14" s="5" customFormat="1" outlineLevel="2">
      <c r="A75" s="39" t="s">
        <v>78</v>
      </c>
      <c r="B75" s="40" t="s">
        <v>29</v>
      </c>
      <c r="C75" s="41" t="s">
        <v>85</v>
      </c>
      <c r="D75" s="40" t="s">
        <v>86</v>
      </c>
      <c r="E75" s="24">
        <v>211550000</v>
      </c>
      <c r="F75" s="39">
        <v>44078</v>
      </c>
      <c r="G75" s="24">
        <v>211550000</v>
      </c>
      <c r="H75" s="23">
        <v>5.0000000000000001E-3</v>
      </c>
      <c r="I75" s="39">
        <v>44501</v>
      </c>
      <c r="J75" s="39">
        <v>44530</v>
      </c>
      <c r="K75" s="24">
        <v>30</v>
      </c>
      <c r="L75" s="24">
        <v>86938</v>
      </c>
      <c r="M75" s="24">
        <v>211550000</v>
      </c>
      <c r="N75" s="39">
        <v>45903</v>
      </c>
    </row>
    <row r="76" spans="1:14" s="5" customFormat="1" outlineLevel="2">
      <c r="A76" s="39" t="s">
        <v>78</v>
      </c>
      <c r="B76" s="40" t="s">
        <v>32</v>
      </c>
      <c r="C76" s="41" t="s">
        <v>85</v>
      </c>
      <c r="D76" s="40" t="s">
        <v>86</v>
      </c>
      <c r="E76" s="24">
        <v>91330000</v>
      </c>
      <c r="F76" s="39">
        <v>44120</v>
      </c>
      <c r="G76" s="24">
        <v>91330000</v>
      </c>
      <c r="H76" s="23">
        <v>5.0000000000000001E-3</v>
      </c>
      <c r="I76" s="39">
        <v>44501</v>
      </c>
      <c r="J76" s="39">
        <v>44530</v>
      </c>
      <c r="K76" s="24">
        <v>30</v>
      </c>
      <c r="L76" s="24">
        <v>37533</v>
      </c>
      <c r="M76" s="24">
        <v>91330000</v>
      </c>
      <c r="N76" s="39">
        <v>45945</v>
      </c>
    </row>
    <row r="77" spans="1:14" s="5" customFormat="1" outlineLevel="2">
      <c r="A77" s="39" t="s">
        <v>78</v>
      </c>
      <c r="B77" s="40" t="s">
        <v>33</v>
      </c>
      <c r="C77" s="41" t="s">
        <v>45</v>
      </c>
      <c r="D77" s="40" t="s">
        <v>46</v>
      </c>
      <c r="E77" s="24">
        <v>10000000</v>
      </c>
      <c r="F77" s="39">
        <v>44120</v>
      </c>
      <c r="G77" s="24">
        <v>10000000</v>
      </c>
      <c r="H77" s="23">
        <v>5.0000000000000001E-3</v>
      </c>
      <c r="I77" s="39">
        <v>44501</v>
      </c>
      <c r="J77" s="39">
        <v>44530</v>
      </c>
      <c r="K77" s="24">
        <v>30</v>
      </c>
      <c r="L77" s="24">
        <v>4110</v>
      </c>
      <c r="M77" s="24">
        <v>10000000</v>
      </c>
      <c r="N77" s="39">
        <v>45945</v>
      </c>
    </row>
    <row r="78" spans="1:14" s="5" customFormat="1" outlineLevel="2">
      <c r="A78" s="39" t="s">
        <v>78</v>
      </c>
      <c r="B78" s="40" t="s">
        <v>34</v>
      </c>
      <c r="C78" s="41" t="s">
        <v>87</v>
      </c>
      <c r="D78" s="40" t="s">
        <v>88</v>
      </c>
      <c r="E78" s="24">
        <v>40000000</v>
      </c>
      <c r="F78" s="39">
        <v>44131</v>
      </c>
      <c r="G78" s="24">
        <v>40000000</v>
      </c>
      <c r="H78" s="23">
        <v>5.0000000000000001E-3</v>
      </c>
      <c r="I78" s="39">
        <v>44501</v>
      </c>
      <c r="J78" s="39">
        <v>44530</v>
      </c>
      <c r="K78" s="24">
        <v>30</v>
      </c>
      <c r="L78" s="24">
        <v>16438</v>
      </c>
      <c r="M78" s="24">
        <v>40000000</v>
      </c>
      <c r="N78" s="39">
        <v>45956</v>
      </c>
    </row>
    <row r="79" spans="1:14" s="5" customFormat="1" outlineLevel="2">
      <c r="A79" s="39" t="s">
        <v>78</v>
      </c>
      <c r="B79" s="40" t="s">
        <v>35</v>
      </c>
      <c r="C79" s="41" t="s">
        <v>89</v>
      </c>
      <c r="D79" s="40" t="s">
        <v>90</v>
      </c>
      <c r="E79" s="24">
        <v>88000000</v>
      </c>
      <c r="F79" s="39">
        <v>44119</v>
      </c>
      <c r="G79" s="24">
        <v>88000000</v>
      </c>
      <c r="H79" s="23">
        <v>5.0000000000000001E-3</v>
      </c>
      <c r="I79" s="39">
        <v>44501</v>
      </c>
      <c r="J79" s="39">
        <v>44530</v>
      </c>
      <c r="K79" s="24">
        <v>30</v>
      </c>
      <c r="L79" s="24">
        <v>36164</v>
      </c>
      <c r="M79" s="24">
        <v>88000000</v>
      </c>
      <c r="N79" s="39">
        <v>45944</v>
      </c>
    </row>
    <row r="80" spans="1:14" s="5" customFormat="1" outlineLevel="2">
      <c r="A80" s="39" t="s">
        <v>78</v>
      </c>
      <c r="B80" s="40" t="s">
        <v>36</v>
      </c>
      <c r="C80" s="41" t="s">
        <v>91</v>
      </c>
      <c r="D80" s="40" t="s">
        <v>92</v>
      </c>
      <c r="E80" s="24">
        <v>65800000</v>
      </c>
      <c r="F80" s="39">
        <v>44119</v>
      </c>
      <c r="G80" s="24">
        <v>65800000</v>
      </c>
      <c r="H80" s="23">
        <v>5.0000000000000001E-3</v>
      </c>
      <c r="I80" s="39">
        <v>44501</v>
      </c>
      <c r="J80" s="39">
        <v>44530</v>
      </c>
      <c r="K80" s="24">
        <v>30</v>
      </c>
      <c r="L80" s="24">
        <v>27041</v>
      </c>
      <c r="M80" s="24">
        <v>65800000</v>
      </c>
      <c r="N80" s="39">
        <v>45944</v>
      </c>
    </row>
    <row r="81" spans="1:14" s="5" customFormat="1" outlineLevel="2">
      <c r="A81" s="39" t="s">
        <v>78</v>
      </c>
      <c r="B81" s="40" t="s">
        <v>39</v>
      </c>
      <c r="C81" s="41" t="s">
        <v>60</v>
      </c>
      <c r="D81" s="40" t="s">
        <v>61</v>
      </c>
      <c r="E81" s="24">
        <v>90000000</v>
      </c>
      <c r="F81" s="39">
        <v>43913</v>
      </c>
      <c r="G81" s="24">
        <v>76875000</v>
      </c>
      <c r="H81" s="23">
        <v>5.0000000000000001E-3</v>
      </c>
      <c r="I81" s="39">
        <v>44501</v>
      </c>
      <c r="J81" s="39">
        <v>44514</v>
      </c>
      <c r="K81" s="24">
        <v>14</v>
      </c>
      <c r="L81" s="24">
        <v>14743</v>
      </c>
      <c r="M81" s="24">
        <v>75000000</v>
      </c>
      <c r="N81" s="39">
        <v>45738</v>
      </c>
    </row>
    <row r="82" spans="1:14" s="5" customFormat="1" outlineLevel="2">
      <c r="A82" s="39" t="s">
        <v>78</v>
      </c>
      <c r="B82" s="40" t="s">
        <v>39</v>
      </c>
      <c r="C82" s="41" t="s">
        <v>60</v>
      </c>
      <c r="D82" s="40"/>
      <c r="E82" s="24"/>
      <c r="F82" s="39"/>
      <c r="G82" s="24">
        <v>75000000</v>
      </c>
      <c r="H82" s="23">
        <v>5.0000000000000001E-3</v>
      </c>
      <c r="I82" s="39">
        <v>44515</v>
      </c>
      <c r="J82" s="39">
        <v>44530</v>
      </c>
      <c r="K82" s="24">
        <v>16</v>
      </c>
      <c r="L82" s="24">
        <v>16438</v>
      </c>
      <c r="M82" s="24"/>
      <c r="N82" s="39">
        <v>45738</v>
      </c>
    </row>
    <row r="83" spans="1:14" s="5" customFormat="1" outlineLevel="2">
      <c r="A83" s="39" t="s">
        <v>78</v>
      </c>
      <c r="B83" s="40" t="s">
        <v>40</v>
      </c>
      <c r="C83" s="41" t="s">
        <v>93</v>
      </c>
      <c r="D83" s="40" t="s">
        <v>94</v>
      </c>
      <c r="E83" s="24">
        <v>7611996</v>
      </c>
      <c r="F83" s="39">
        <v>44151</v>
      </c>
      <c r="G83" s="24">
        <v>7611996</v>
      </c>
      <c r="H83" s="23">
        <v>5.0000000000000001E-3</v>
      </c>
      <c r="I83" s="39">
        <v>44501</v>
      </c>
      <c r="J83" s="39">
        <v>44530</v>
      </c>
      <c r="K83" s="24">
        <v>30</v>
      </c>
      <c r="L83" s="24">
        <v>3128</v>
      </c>
      <c r="M83" s="24">
        <v>7611996</v>
      </c>
      <c r="N83" s="39">
        <v>45976</v>
      </c>
    </row>
    <row r="84" spans="1:14" s="5" customFormat="1" outlineLevel="2">
      <c r="A84" s="39" t="s">
        <v>78</v>
      </c>
      <c r="B84" s="40" t="s">
        <v>41</v>
      </c>
      <c r="C84" s="41" t="s">
        <v>93</v>
      </c>
      <c r="D84" s="40" t="s">
        <v>94</v>
      </c>
      <c r="E84" s="24">
        <v>4900000</v>
      </c>
      <c r="F84" s="39">
        <v>44151</v>
      </c>
      <c r="G84" s="24">
        <v>4900000</v>
      </c>
      <c r="H84" s="23">
        <v>5.0000000000000001E-3</v>
      </c>
      <c r="I84" s="39">
        <v>44501</v>
      </c>
      <c r="J84" s="39">
        <v>44530</v>
      </c>
      <c r="K84" s="24">
        <v>30</v>
      </c>
      <c r="L84" s="24">
        <v>2014</v>
      </c>
      <c r="M84" s="24">
        <v>4900000</v>
      </c>
      <c r="N84" s="39">
        <v>45976</v>
      </c>
    </row>
    <row r="85" spans="1:14" s="5" customFormat="1" outlineLevel="2">
      <c r="A85" s="39" t="s">
        <v>78</v>
      </c>
      <c r="B85" s="40" t="s">
        <v>42</v>
      </c>
      <c r="C85" s="41" t="s">
        <v>93</v>
      </c>
      <c r="D85" s="40" t="s">
        <v>94</v>
      </c>
      <c r="E85" s="24">
        <v>21838392</v>
      </c>
      <c r="F85" s="39">
        <v>44151</v>
      </c>
      <c r="G85" s="24">
        <v>21838392</v>
      </c>
      <c r="H85" s="23">
        <v>5.0000000000000001E-3</v>
      </c>
      <c r="I85" s="39">
        <v>44501</v>
      </c>
      <c r="J85" s="39">
        <v>44530</v>
      </c>
      <c r="K85" s="24">
        <v>30</v>
      </c>
      <c r="L85" s="24">
        <v>8975</v>
      </c>
      <c r="M85" s="24">
        <v>21838392</v>
      </c>
      <c r="N85" s="39">
        <v>45976</v>
      </c>
    </row>
    <row r="86" spans="1:14" s="5" customFormat="1" outlineLevel="2">
      <c r="A86" s="39" t="s">
        <v>78</v>
      </c>
      <c r="B86" s="40" t="s">
        <v>43</v>
      </c>
      <c r="C86" s="41" t="s">
        <v>95</v>
      </c>
      <c r="D86" s="40" t="s">
        <v>96</v>
      </c>
      <c r="E86" s="24">
        <v>41950000</v>
      </c>
      <c r="F86" s="39">
        <v>44154</v>
      </c>
      <c r="G86" s="24">
        <v>41950000</v>
      </c>
      <c r="H86" s="23">
        <v>5.0000000000000001E-3</v>
      </c>
      <c r="I86" s="39">
        <v>44501</v>
      </c>
      <c r="J86" s="39">
        <v>44530</v>
      </c>
      <c r="K86" s="24">
        <v>30</v>
      </c>
      <c r="L86" s="24">
        <v>17240</v>
      </c>
      <c r="M86" s="24">
        <v>41950000</v>
      </c>
      <c r="N86" s="39">
        <v>45979</v>
      </c>
    </row>
    <row r="87" spans="1:14" s="5" customFormat="1" outlineLevel="2">
      <c r="A87" s="39" t="s">
        <v>78</v>
      </c>
      <c r="B87" s="40" t="s">
        <v>44</v>
      </c>
      <c r="C87" s="41" t="s">
        <v>95</v>
      </c>
      <c r="D87" s="40" t="s">
        <v>96</v>
      </c>
      <c r="E87" s="24">
        <v>30000000</v>
      </c>
      <c r="F87" s="39">
        <v>44154</v>
      </c>
      <c r="G87" s="24">
        <v>26071427</v>
      </c>
      <c r="H87" s="23">
        <v>5.0000000000000001E-3</v>
      </c>
      <c r="I87" s="39">
        <v>44501</v>
      </c>
      <c r="J87" s="39">
        <v>44514</v>
      </c>
      <c r="K87" s="24">
        <v>14</v>
      </c>
      <c r="L87" s="24">
        <v>5000</v>
      </c>
      <c r="M87" s="24">
        <v>25714284</v>
      </c>
      <c r="N87" s="39">
        <v>45979</v>
      </c>
    </row>
    <row r="88" spans="1:14" s="5" customFormat="1" outlineLevel="2">
      <c r="A88" s="39" t="s">
        <v>78</v>
      </c>
      <c r="B88" s="40" t="s">
        <v>44</v>
      </c>
      <c r="C88" s="41" t="s">
        <v>95</v>
      </c>
      <c r="D88" s="40"/>
      <c r="E88" s="24"/>
      <c r="F88" s="39"/>
      <c r="G88" s="24">
        <v>25714284</v>
      </c>
      <c r="H88" s="23">
        <v>5.0000000000000001E-3</v>
      </c>
      <c r="I88" s="39">
        <v>44515</v>
      </c>
      <c r="J88" s="39">
        <v>44530</v>
      </c>
      <c r="K88" s="24">
        <v>16</v>
      </c>
      <c r="L88" s="24">
        <v>5636</v>
      </c>
      <c r="M88" s="24"/>
      <c r="N88" s="39">
        <v>45979</v>
      </c>
    </row>
    <row r="89" spans="1:14" s="5" customFormat="1" outlineLevel="2">
      <c r="A89" s="39" t="s">
        <v>78</v>
      </c>
      <c r="B89" s="40" t="s">
        <v>47</v>
      </c>
      <c r="C89" s="41" t="s">
        <v>81</v>
      </c>
      <c r="D89" s="40" t="s">
        <v>82</v>
      </c>
      <c r="E89" s="24">
        <v>3490000</v>
      </c>
      <c r="F89" s="39">
        <v>44138</v>
      </c>
      <c r="G89" s="24">
        <v>2791995</v>
      </c>
      <c r="H89" s="23">
        <v>5.0000000000000001E-3</v>
      </c>
      <c r="I89" s="39">
        <v>44501</v>
      </c>
      <c r="J89" s="39">
        <v>44514</v>
      </c>
      <c r="K89" s="24">
        <v>14</v>
      </c>
      <c r="L89" s="24">
        <v>535</v>
      </c>
      <c r="M89" s="24">
        <v>2728540</v>
      </c>
      <c r="N89" s="39">
        <v>45963</v>
      </c>
    </row>
    <row r="90" spans="1:14" s="5" customFormat="1" outlineLevel="2">
      <c r="A90" s="39" t="s">
        <v>78</v>
      </c>
      <c r="B90" s="40" t="s">
        <v>47</v>
      </c>
      <c r="C90" s="41" t="s">
        <v>81</v>
      </c>
      <c r="D90" s="40"/>
      <c r="E90" s="24"/>
      <c r="F90" s="39"/>
      <c r="G90" s="24">
        <v>2728540</v>
      </c>
      <c r="H90" s="23">
        <v>5.0000000000000001E-3</v>
      </c>
      <c r="I90" s="39">
        <v>44515</v>
      </c>
      <c r="J90" s="39">
        <v>44530</v>
      </c>
      <c r="K90" s="24">
        <v>16</v>
      </c>
      <c r="L90" s="24">
        <v>598</v>
      </c>
      <c r="M90" s="24"/>
      <c r="N90" s="39">
        <v>45963</v>
      </c>
    </row>
    <row r="91" spans="1:14" s="5" customFormat="1" outlineLevel="2">
      <c r="A91" s="39" t="s">
        <v>78</v>
      </c>
      <c r="B91" s="40" t="s">
        <v>50</v>
      </c>
      <c r="C91" s="41" t="s">
        <v>81</v>
      </c>
      <c r="D91" s="40" t="s">
        <v>82</v>
      </c>
      <c r="E91" s="24">
        <v>1970000</v>
      </c>
      <c r="F91" s="39">
        <v>44147</v>
      </c>
      <c r="G91" s="24">
        <v>1575991</v>
      </c>
      <c r="H91" s="23">
        <v>5.0000000000000001E-3</v>
      </c>
      <c r="I91" s="39">
        <v>44501</v>
      </c>
      <c r="J91" s="39">
        <v>44514</v>
      </c>
      <c r="K91" s="24">
        <v>14</v>
      </c>
      <c r="L91" s="24">
        <v>302</v>
      </c>
      <c r="M91" s="24">
        <v>1540172</v>
      </c>
      <c r="N91" s="39">
        <v>45972</v>
      </c>
    </row>
    <row r="92" spans="1:14" s="5" customFormat="1" outlineLevel="2">
      <c r="A92" s="39" t="s">
        <v>78</v>
      </c>
      <c r="B92" s="40" t="s">
        <v>50</v>
      </c>
      <c r="C92" s="41" t="s">
        <v>81</v>
      </c>
      <c r="D92" s="40"/>
      <c r="E92" s="24"/>
      <c r="F92" s="39"/>
      <c r="G92" s="24">
        <v>1540172</v>
      </c>
      <c r="H92" s="23">
        <v>5.0000000000000001E-3</v>
      </c>
      <c r="I92" s="39">
        <v>44515</v>
      </c>
      <c r="J92" s="39">
        <v>44530</v>
      </c>
      <c r="K92" s="24">
        <v>16</v>
      </c>
      <c r="L92" s="24">
        <v>338</v>
      </c>
      <c r="M92" s="24"/>
      <c r="N92" s="39">
        <v>45972</v>
      </c>
    </row>
    <row r="93" spans="1:14" s="5" customFormat="1" outlineLevel="2">
      <c r="A93" s="39" t="s">
        <v>78</v>
      </c>
      <c r="B93" s="40" t="s">
        <v>51</v>
      </c>
      <c r="C93" s="41" t="s">
        <v>93</v>
      </c>
      <c r="D93" s="40" t="s">
        <v>94</v>
      </c>
      <c r="E93" s="24">
        <v>20979731</v>
      </c>
      <c r="F93" s="39">
        <v>44167</v>
      </c>
      <c r="G93" s="24">
        <v>20979731</v>
      </c>
      <c r="H93" s="23">
        <v>5.0000000000000001E-3</v>
      </c>
      <c r="I93" s="39">
        <v>44501</v>
      </c>
      <c r="J93" s="39">
        <v>44530</v>
      </c>
      <c r="K93" s="24">
        <v>30</v>
      </c>
      <c r="L93" s="24">
        <v>8622</v>
      </c>
      <c r="M93" s="24">
        <v>20979731</v>
      </c>
      <c r="N93" s="39">
        <v>45992</v>
      </c>
    </row>
    <row r="94" spans="1:14" s="5" customFormat="1" outlineLevel="2">
      <c r="A94" s="39" t="s">
        <v>78</v>
      </c>
      <c r="B94" s="40" t="s">
        <v>52</v>
      </c>
      <c r="C94" s="41" t="s">
        <v>93</v>
      </c>
      <c r="D94" s="40" t="s">
        <v>94</v>
      </c>
      <c r="E94" s="24">
        <v>15036832</v>
      </c>
      <c r="F94" s="39">
        <v>44181</v>
      </c>
      <c r="G94" s="24">
        <v>15036832</v>
      </c>
      <c r="H94" s="23">
        <v>5.0000000000000001E-3</v>
      </c>
      <c r="I94" s="39">
        <v>44501</v>
      </c>
      <c r="J94" s="39">
        <v>44530</v>
      </c>
      <c r="K94" s="24">
        <v>30</v>
      </c>
      <c r="L94" s="24">
        <v>6180</v>
      </c>
      <c r="M94" s="24">
        <v>15036832</v>
      </c>
      <c r="N94" s="39">
        <v>46006</v>
      </c>
    </row>
    <row r="95" spans="1:14" s="5" customFormat="1" outlineLevel="2">
      <c r="A95" s="39" t="s">
        <v>78</v>
      </c>
      <c r="B95" s="40" t="s">
        <v>53</v>
      </c>
      <c r="C95" s="41" t="s">
        <v>93</v>
      </c>
      <c r="D95" s="40" t="s">
        <v>94</v>
      </c>
      <c r="E95" s="24">
        <v>2070415</v>
      </c>
      <c r="F95" s="39">
        <v>44193</v>
      </c>
      <c r="G95" s="24">
        <v>2070415</v>
      </c>
      <c r="H95" s="23">
        <v>5.0000000000000001E-3</v>
      </c>
      <c r="I95" s="39">
        <v>44501</v>
      </c>
      <c r="J95" s="39">
        <v>44530</v>
      </c>
      <c r="K95" s="24">
        <v>30</v>
      </c>
      <c r="L95" s="24">
        <v>851</v>
      </c>
      <c r="M95" s="24">
        <v>2070415</v>
      </c>
      <c r="N95" s="39">
        <v>46018</v>
      </c>
    </row>
    <row r="96" spans="1:14" s="5" customFormat="1" outlineLevel="2">
      <c r="A96" s="39" t="s">
        <v>78</v>
      </c>
      <c r="B96" s="40" t="s">
        <v>54</v>
      </c>
      <c r="C96" s="41" t="s">
        <v>55</v>
      </c>
      <c r="D96" s="40" t="s">
        <v>56</v>
      </c>
      <c r="E96" s="24">
        <v>23500000</v>
      </c>
      <c r="F96" s="39">
        <v>43928</v>
      </c>
      <c r="G96" s="24">
        <v>18184503</v>
      </c>
      <c r="H96" s="23">
        <v>5.0000000000000001E-3</v>
      </c>
      <c r="I96" s="39">
        <v>44501</v>
      </c>
      <c r="J96" s="39">
        <v>44514</v>
      </c>
      <c r="K96" s="24">
        <v>14</v>
      </c>
      <c r="L96" s="24">
        <v>3487</v>
      </c>
      <c r="M96" s="24">
        <v>17904740</v>
      </c>
      <c r="N96" s="39">
        <v>45753</v>
      </c>
    </row>
    <row r="97" spans="1:14" s="5" customFormat="1" outlineLevel="2">
      <c r="A97" s="39" t="s">
        <v>78</v>
      </c>
      <c r="B97" s="40" t="s">
        <v>54</v>
      </c>
      <c r="C97" s="41" t="s">
        <v>55</v>
      </c>
      <c r="D97" s="40"/>
      <c r="E97" s="24"/>
      <c r="F97" s="39"/>
      <c r="G97" s="24">
        <v>17904740</v>
      </c>
      <c r="H97" s="23">
        <v>5.0000000000000001E-3</v>
      </c>
      <c r="I97" s="39">
        <v>44515</v>
      </c>
      <c r="J97" s="39">
        <v>44530</v>
      </c>
      <c r="K97" s="24">
        <v>16</v>
      </c>
      <c r="L97" s="24">
        <v>3924</v>
      </c>
      <c r="M97" s="24"/>
      <c r="N97" s="39">
        <v>45753</v>
      </c>
    </row>
    <row r="98" spans="1:14" s="5" customFormat="1" outlineLevel="2">
      <c r="A98" s="39" t="s">
        <v>78</v>
      </c>
      <c r="B98" s="40" t="s">
        <v>57</v>
      </c>
      <c r="C98" s="41" t="s">
        <v>83</v>
      </c>
      <c r="D98" s="40" t="s">
        <v>84</v>
      </c>
      <c r="E98" s="24">
        <v>125000000</v>
      </c>
      <c r="F98" s="39">
        <v>44189</v>
      </c>
      <c r="G98" s="24">
        <v>125000000</v>
      </c>
      <c r="H98" s="23">
        <v>5.0000000000000001E-3</v>
      </c>
      <c r="I98" s="39">
        <v>44501</v>
      </c>
      <c r="J98" s="39">
        <v>44530</v>
      </c>
      <c r="K98" s="24">
        <v>30</v>
      </c>
      <c r="L98" s="24">
        <v>51370</v>
      </c>
      <c r="M98" s="24">
        <v>125000000</v>
      </c>
      <c r="N98" s="39">
        <v>46014</v>
      </c>
    </row>
    <row r="99" spans="1:14" s="5" customFormat="1" outlineLevel="2">
      <c r="A99" s="39" t="s">
        <v>78</v>
      </c>
      <c r="B99" s="40" t="s">
        <v>58</v>
      </c>
      <c r="C99" s="41" t="s">
        <v>97</v>
      </c>
      <c r="D99" s="40" t="s">
        <v>98</v>
      </c>
      <c r="E99" s="24">
        <v>51800000</v>
      </c>
      <c r="F99" s="39">
        <v>44180</v>
      </c>
      <c r="G99" s="24">
        <v>51800000</v>
      </c>
      <c r="H99" s="23">
        <v>5.0000000000000001E-3</v>
      </c>
      <c r="I99" s="39">
        <v>44501</v>
      </c>
      <c r="J99" s="39">
        <v>44530</v>
      </c>
      <c r="K99" s="24">
        <v>30</v>
      </c>
      <c r="L99" s="24">
        <v>21288</v>
      </c>
      <c r="M99" s="24">
        <v>51800000</v>
      </c>
      <c r="N99" s="39">
        <v>46005</v>
      </c>
    </row>
    <row r="100" spans="1:14" s="5" customFormat="1" outlineLevel="2">
      <c r="A100" s="39" t="s">
        <v>78</v>
      </c>
      <c r="B100" s="40" t="s">
        <v>99</v>
      </c>
      <c r="C100" s="41" t="s">
        <v>91</v>
      </c>
      <c r="D100" s="40" t="s">
        <v>92</v>
      </c>
      <c r="E100" s="24">
        <v>25000000</v>
      </c>
      <c r="F100" s="39">
        <v>44180</v>
      </c>
      <c r="G100" s="24">
        <v>25000000</v>
      </c>
      <c r="H100" s="23">
        <v>5.0000000000000001E-3</v>
      </c>
      <c r="I100" s="39">
        <v>44501</v>
      </c>
      <c r="J100" s="39">
        <v>44530</v>
      </c>
      <c r="K100" s="24">
        <v>30</v>
      </c>
      <c r="L100" s="24">
        <v>10274</v>
      </c>
      <c r="M100" s="24">
        <v>25000000</v>
      </c>
      <c r="N100" s="39">
        <v>46005</v>
      </c>
    </row>
    <row r="101" spans="1:14" s="5" customFormat="1" outlineLevel="2">
      <c r="A101" s="39" t="s">
        <v>78</v>
      </c>
      <c r="B101" s="40" t="s">
        <v>100</v>
      </c>
      <c r="C101" s="41" t="s">
        <v>91</v>
      </c>
      <c r="D101" s="40" t="s">
        <v>92</v>
      </c>
      <c r="E101" s="24">
        <v>44000000</v>
      </c>
      <c r="F101" s="39">
        <v>44180</v>
      </c>
      <c r="G101" s="24">
        <v>44000000</v>
      </c>
      <c r="H101" s="23">
        <v>5.0000000000000001E-3</v>
      </c>
      <c r="I101" s="39">
        <v>44501</v>
      </c>
      <c r="J101" s="39">
        <v>44530</v>
      </c>
      <c r="K101" s="24">
        <v>30</v>
      </c>
      <c r="L101" s="24">
        <v>18082</v>
      </c>
      <c r="M101" s="24">
        <v>44000000</v>
      </c>
      <c r="N101" s="39">
        <v>46005</v>
      </c>
    </row>
    <row r="102" spans="1:14" s="5" customFormat="1" outlineLevel="2">
      <c r="A102" s="39" t="s">
        <v>78</v>
      </c>
      <c r="B102" s="40" t="s">
        <v>101</v>
      </c>
      <c r="C102" s="41" t="s">
        <v>95</v>
      </c>
      <c r="D102" s="40" t="s">
        <v>96</v>
      </c>
      <c r="E102" s="24">
        <v>129650000</v>
      </c>
      <c r="F102" s="39">
        <v>44195</v>
      </c>
      <c r="G102" s="24">
        <v>129650000</v>
      </c>
      <c r="H102" s="23">
        <v>5.0000000000000001E-3</v>
      </c>
      <c r="I102" s="39">
        <v>44501</v>
      </c>
      <c r="J102" s="39">
        <v>44530</v>
      </c>
      <c r="K102" s="24">
        <v>30</v>
      </c>
      <c r="L102" s="24">
        <v>53281</v>
      </c>
      <c r="M102" s="24">
        <v>129650000</v>
      </c>
      <c r="N102" s="39">
        <v>46020</v>
      </c>
    </row>
    <row r="103" spans="1:14" s="5" customFormat="1" outlineLevel="2">
      <c r="A103" s="39" t="s">
        <v>78</v>
      </c>
      <c r="B103" s="40" t="s">
        <v>102</v>
      </c>
      <c r="C103" s="41" t="s">
        <v>95</v>
      </c>
      <c r="D103" s="40" t="s">
        <v>96</v>
      </c>
      <c r="E103" s="24">
        <v>12000000</v>
      </c>
      <c r="F103" s="39">
        <v>44195</v>
      </c>
      <c r="G103" s="24">
        <v>10554210</v>
      </c>
      <c r="H103" s="23">
        <v>5.0000000000000001E-3</v>
      </c>
      <c r="I103" s="39">
        <v>44501</v>
      </c>
      <c r="J103" s="39">
        <v>44514</v>
      </c>
      <c r="K103" s="24">
        <v>14</v>
      </c>
      <c r="L103" s="24">
        <v>2024</v>
      </c>
      <c r="M103" s="24">
        <v>10409631</v>
      </c>
      <c r="N103" s="39">
        <v>46020</v>
      </c>
    </row>
    <row r="104" spans="1:14" s="5" customFormat="1" outlineLevel="2">
      <c r="A104" s="39" t="s">
        <v>78</v>
      </c>
      <c r="B104" s="40" t="s">
        <v>102</v>
      </c>
      <c r="C104" s="41" t="s">
        <v>95</v>
      </c>
      <c r="D104" s="40"/>
      <c r="E104" s="24"/>
      <c r="F104" s="39"/>
      <c r="G104" s="24">
        <v>10409631</v>
      </c>
      <c r="H104" s="23">
        <v>5.0000000000000001E-3</v>
      </c>
      <c r="I104" s="39">
        <v>44515</v>
      </c>
      <c r="J104" s="39">
        <v>44530</v>
      </c>
      <c r="K104" s="24">
        <v>16</v>
      </c>
      <c r="L104" s="24">
        <v>2282</v>
      </c>
      <c r="M104" s="24"/>
      <c r="N104" s="39">
        <v>46020</v>
      </c>
    </row>
    <row r="105" spans="1:14" s="5" customFormat="1" outlineLevel="2">
      <c r="A105" s="39" t="s">
        <v>78</v>
      </c>
      <c r="B105" s="40" t="s">
        <v>103</v>
      </c>
      <c r="C105" s="41" t="s">
        <v>66</v>
      </c>
      <c r="D105" s="40" t="s">
        <v>67</v>
      </c>
      <c r="E105" s="24">
        <v>144000000</v>
      </c>
      <c r="F105" s="39">
        <v>44196</v>
      </c>
      <c r="G105" s="24">
        <v>144000000</v>
      </c>
      <c r="H105" s="23">
        <v>5.0000000000000001E-3</v>
      </c>
      <c r="I105" s="39">
        <v>44501</v>
      </c>
      <c r="J105" s="39">
        <v>44530</v>
      </c>
      <c r="K105" s="24">
        <v>30</v>
      </c>
      <c r="L105" s="24">
        <v>59178</v>
      </c>
      <c r="M105" s="24">
        <v>144000000</v>
      </c>
      <c r="N105" s="39">
        <v>46021</v>
      </c>
    </row>
    <row r="106" spans="1:14" s="5" customFormat="1" outlineLevel="2">
      <c r="A106" s="39" t="s">
        <v>78</v>
      </c>
      <c r="B106" s="40" t="s">
        <v>104</v>
      </c>
      <c r="C106" s="41" t="s">
        <v>91</v>
      </c>
      <c r="D106" s="40" t="s">
        <v>92</v>
      </c>
      <c r="E106" s="24">
        <v>45000000</v>
      </c>
      <c r="F106" s="39">
        <v>44211</v>
      </c>
      <c r="G106" s="24">
        <v>45000000</v>
      </c>
      <c r="H106" s="23">
        <v>5.0000000000000001E-3</v>
      </c>
      <c r="I106" s="39">
        <v>44501</v>
      </c>
      <c r="J106" s="39">
        <v>44530</v>
      </c>
      <c r="K106" s="24">
        <v>30</v>
      </c>
      <c r="L106" s="24">
        <v>18493</v>
      </c>
      <c r="M106" s="24">
        <v>45000000</v>
      </c>
      <c r="N106" s="39">
        <v>46036</v>
      </c>
    </row>
    <row r="107" spans="1:14" s="5" customFormat="1" outlineLevel="2">
      <c r="A107" s="39" t="s">
        <v>78</v>
      </c>
      <c r="B107" s="40" t="s">
        <v>105</v>
      </c>
      <c r="C107" s="41" t="s">
        <v>91</v>
      </c>
      <c r="D107" s="40" t="s">
        <v>92</v>
      </c>
      <c r="E107" s="24">
        <v>31000000</v>
      </c>
      <c r="F107" s="39">
        <v>44211</v>
      </c>
      <c r="G107" s="24">
        <v>31000000</v>
      </c>
      <c r="H107" s="23">
        <v>5.0000000000000001E-3</v>
      </c>
      <c r="I107" s="39">
        <v>44501</v>
      </c>
      <c r="J107" s="39">
        <v>44530</v>
      </c>
      <c r="K107" s="24">
        <v>30</v>
      </c>
      <c r="L107" s="24">
        <v>12740</v>
      </c>
      <c r="M107" s="24">
        <v>31000000</v>
      </c>
      <c r="N107" s="39">
        <v>46036</v>
      </c>
    </row>
    <row r="108" spans="1:14" s="5" customFormat="1" outlineLevel="2">
      <c r="A108" s="39" t="s">
        <v>78</v>
      </c>
      <c r="B108" s="40" t="s">
        <v>106</v>
      </c>
      <c r="C108" s="41" t="s">
        <v>93</v>
      </c>
      <c r="D108" s="40" t="s">
        <v>94</v>
      </c>
      <c r="E108" s="24">
        <v>7174630</v>
      </c>
      <c r="F108" s="39">
        <v>44203</v>
      </c>
      <c r="G108" s="24">
        <v>7174630</v>
      </c>
      <c r="H108" s="23">
        <v>5.0000000000000001E-3</v>
      </c>
      <c r="I108" s="39">
        <v>44501</v>
      </c>
      <c r="J108" s="39">
        <v>44530</v>
      </c>
      <c r="K108" s="24">
        <v>30</v>
      </c>
      <c r="L108" s="24">
        <v>2948</v>
      </c>
      <c r="M108" s="24">
        <v>7174630</v>
      </c>
      <c r="N108" s="39">
        <v>46028</v>
      </c>
    </row>
    <row r="109" spans="1:14" s="5" customFormat="1" outlineLevel="2">
      <c r="A109" s="39" t="s">
        <v>78</v>
      </c>
      <c r="B109" s="40" t="s">
        <v>59</v>
      </c>
      <c r="C109" s="41" t="s">
        <v>81</v>
      </c>
      <c r="D109" s="40" t="s">
        <v>82</v>
      </c>
      <c r="E109" s="24">
        <v>7000000</v>
      </c>
      <c r="F109" s="39">
        <v>44004</v>
      </c>
      <c r="G109" s="24">
        <v>5133328</v>
      </c>
      <c r="H109" s="23">
        <v>5.0000000000000001E-3</v>
      </c>
      <c r="I109" s="39">
        <v>44501</v>
      </c>
      <c r="J109" s="39">
        <v>44514</v>
      </c>
      <c r="K109" s="24">
        <v>14</v>
      </c>
      <c r="L109" s="24">
        <v>984</v>
      </c>
      <c r="M109" s="24">
        <v>5016661</v>
      </c>
      <c r="N109" s="39">
        <v>45829</v>
      </c>
    </row>
    <row r="110" spans="1:14" s="5" customFormat="1" outlineLevel="2">
      <c r="A110" s="39" t="s">
        <v>78</v>
      </c>
      <c r="B110" s="40" t="s">
        <v>59</v>
      </c>
      <c r="C110" s="41" t="s">
        <v>81</v>
      </c>
      <c r="D110" s="40"/>
      <c r="E110" s="24"/>
      <c r="F110" s="39"/>
      <c r="G110" s="24">
        <v>5016661</v>
      </c>
      <c r="H110" s="23">
        <v>5.0000000000000001E-3</v>
      </c>
      <c r="I110" s="39">
        <v>44515</v>
      </c>
      <c r="J110" s="39">
        <v>44530</v>
      </c>
      <c r="K110" s="24">
        <v>16</v>
      </c>
      <c r="L110" s="24">
        <v>1100</v>
      </c>
      <c r="M110" s="24"/>
      <c r="N110" s="39">
        <v>45829</v>
      </c>
    </row>
    <row r="111" spans="1:14" s="5" customFormat="1" outlineLevel="2">
      <c r="A111" s="39" t="s">
        <v>78</v>
      </c>
      <c r="B111" s="40" t="s">
        <v>136</v>
      </c>
      <c r="C111" s="41" t="s">
        <v>95</v>
      </c>
      <c r="D111" s="40" t="s">
        <v>96</v>
      </c>
      <c r="E111" s="24">
        <v>3650000</v>
      </c>
      <c r="F111" s="39">
        <v>44246</v>
      </c>
      <c r="G111" s="24">
        <v>3650000</v>
      </c>
      <c r="H111" s="23">
        <v>5.0000000000000001E-3</v>
      </c>
      <c r="I111" s="39">
        <v>44501</v>
      </c>
      <c r="J111" s="39">
        <v>44530</v>
      </c>
      <c r="K111" s="24">
        <v>30</v>
      </c>
      <c r="L111" s="24">
        <v>1500</v>
      </c>
      <c r="M111" s="24">
        <v>3650000</v>
      </c>
      <c r="N111" s="39">
        <v>46071</v>
      </c>
    </row>
    <row r="112" spans="1:14" s="5" customFormat="1" outlineLevel="2">
      <c r="A112" s="39" t="s">
        <v>78</v>
      </c>
      <c r="B112" s="40" t="s">
        <v>137</v>
      </c>
      <c r="C112" s="41" t="s">
        <v>93</v>
      </c>
      <c r="D112" s="40" t="s">
        <v>94</v>
      </c>
      <c r="E112" s="24">
        <v>1028354</v>
      </c>
      <c r="F112" s="39">
        <v>44236</v>
      </c>
      <c r="G112" s="24">
        <v>1028354</v>
      </c>
      <c r="H112" s="23">
        <v>5.0000000000000001E-3</v>
      </c>
      <c r="I112" s="39">
        <v>44501</v>
      </c>
      <c r="J112" s="39">
        <v>44530</v>
      </c>
      <c r="K112" s="24">
        <v>30</v>
      </c>
      <c r="L112" s="24">
        <v>423</v>
      </c>
      <c r="M112" s="24">
        <v>1028354</v>
      </c>
      <c r="N112" s="39">
        <v>46061</v>
      </c>
    </row>
    <row r="113" spans="1:14" s="5" customFormat="1" outlineLevel="2">
      <c r="A113" s="39" t="s">
        <v>78</v>
      </c>
      <c r="B113" s="40" t="s">
        <v>138</v>
      </c>
      <c r="C113" s="41" t="s">
        <v>93</v>
      </c>
      <c r="D113" s="40" t="s">
        <v>94</v>
      </c>
      <c r="E113" s="24">
        <v>1983370</v>
      </c>
      <c r="F113" s="39">
        <v>44246</v>
      </c>
      <c r="G113" s="24">
        <v>1983370</v>
      </c>
      <c r="H113" s="23">
        <v>5.0000000000000001E-3</v>
      </c>
      <c r="I113" s="39">
        <v>44501</v>
      </c>
      <c r="J113" s="39">
        <v>44530</v>
      </c>
      <c r="K113" s="24">
        <v>30</v>
      </c>
      <c r="L113" s="24">
        <v>815</v>
      </c>
      <c r="M113" s="24">
        <v>1983370</v>
      </c>
      <c r="N113" s="39">
        <v>46071</v>
      </c>
    </row>
    <row r="114" spans="1:14" s="5" customFormat="1" outlineLevel="2">
      <c r="A114" s="39" t="s">
        <v>78</v>
      </c>
      <c r="B114" s="40" t="s">
        <v>139</v>
      </c>
      <c r="C114" s="41" t="s">
        <v>306</v>
      </c>
      <c r="D114" s="40" t="s">
        <v>305</v>
      </c>
      <c r="E114" s="24">
        <v>10000000</v>
      </c>
      <c r="F114" s="39">
        <v>44252</v>
      </c>
      <c r="G114" s="24">
        <v>10000000</v>
      </c>
      <c r="H114" s="23">
        <v>5.0000000000000001E-3</v>
      </c>
      <c r="I114" s="39">
        <v>44501</v>
      </c>
      <c r="J114" s="39">
        <v>44530</v>
      </c>
      <c r="K114" s="24">
        <v>30</v>
      </c>
      <c r="L114" s="24">
        <v>4110</v>
      </c>
      <c r="M114" s="24">
        <v>10000000</v>
      </c>
      <c r="N114" s="39">
        <v>46077</v>
      </c>
    </row>
    <row r="115" spans="1:14" s="5" customFormat="1" outlineLevel="2">
      <c r="A115" s="39" t="s">
        <v>78</v>
      </c>
      <c r="B115" s="40" t="s">
        <v>140</v>
      </c>
      <c r="C115" s="41" t="s">
        <v>85</v>
      </c>
      <c r="D115" s="40" t="s">
        <v>86</v>
      </c>
      <c r="E115" s="24">
        <v>67620000</v>
      </c>
      <c r="F115" s="39">
        <v>44253</v>
      </c>
      <c r="G115" s="24">
        <v>67620000</v>
      </c>
      <c r="H115" s="23">
        <v>5.0000000000000001E-3</v>
      </c>
      <c r="I115" s="39">
        <v>44501</v>
      </c>
      <c r="J115" s="39">
        <v>44530</v>
      </c>
      <c r="K115" s="24">
        <v>30</v>
      </c>
      <c r="L115" s="24">
        <v>27789</v>
      </c>
      <c r="M115" s="24">
        <v>67620000</v>
      </c>
      <c r="N115" s="39">
        <v>46078</v>
      </c>
    </row>
    <row r="116" spans="1:14" s="5" customFormat="1" outlineLevel="2">
      <c r="A116" s="39" t="s">
        <v>78</v>
      </c>
      <c r="B116" s="40" t="s">
        <v>169</v>
      </c>
      <c r="C116" s="41" t="s">
        <v>91</v>
      </c>
      <c r="D116" s="40" t="s">
        <v>92</v>
      </c>
      <c r="E116" s="24">
        <v>33000000</v>
      </c>
      <c r="F116" s="39">
        <v>44270</v>
      </c>
      <c r="G116" s="24">
        <v>33000000</v>
      </c>
      <c r="H116" s="23">
        <v>5.0000000000000001E-3</v>
      </c>
      <c r="I116" s="39">
        <v>44501</v>
      </c>
      <c r="J116" s="39">
        <v>44530</v>
      </c>
      <c r="K116" s="24">
        <v>30</v>
      </c>
      <c r="L116" s="24">
        <v>13562</v>
      </c>
      <c r="M116" s="24">
        <v>33000000</v>
      </c>
      <c r="N116" s="39">
        <v>46095</v>
      </c>
    </row>
    <row r="117" spans="1:14" s="5" customFormat="1" outlineLevel="2">
      <c r="A117" s="39" t="s">
        <v>78</v>
      </c>
      <c r="B117" s="40" t="s">
        <v>170</v>
      </c>
      <c r="C117" s="41" t="s">
        <v>91</v>
      </c>
      <c r="D117" s="40" t="s">
        <v>92</v>
      </c>
      <c r="E117" s="24">
        <v>38900000</v>
      </c>
      <c r="F117" s="39">
        <v>44270</v>
      </c>
      <c r="G117" s="24">
        <v>38900000</v>
      </c>
      <c r="H117" s="23">
        <v>5.0000000000000001E-3</v>
      </c>
      <c r="I117" s="39">
        <v>44501</v>
      </c>
      <c r="J117" s="39">
        <v>44530</v>
      </c>
      <c r="K117" s="24">
        <v>30</v>
      </c>
      <c r="L117" s="24">
        <v>15986</v>
      </c>
      <c r="M117" s="24">
        <v>38900000</v>
      </c>
      <c r="N117" s="39">
        <v>46095</v>
      </c>
    </row>
    <row r="118" spans="1:14" s="5" customFormat="1" outlineLevel="2">
      <c r="A118" s="39" t="s">
        <v>78</v>
      </c>
      <c r="B118" s="40" t="s">
        <v>171</v>
      </c>
      <c r="C118" s="41" t="s">
        <v>81</v>
      </c>
      <c r="D118" s="40" t="s">
        <v>82</v>
      </c>
      <c r="E118" s="24">
        <v>6800000</v>
      </c>
      <c r="F118" s="39">
        <v>44272</v>
      </c>
      <c r="G118" s="24">
        <v>5866662</v>
      </c>
      <c r="H118" s="23">
        <v>5.0000000000000001E-3</v>
      </c>
      <c r="I118" s="39">
        <v>44501</v>
      </c>
      <c r="J118" s="39">
        <v>44514</v>
      </c>
      <c r="K118" s="24">
        <v>14</v>
      </c>
      <c r="L118" s="24">
        <v>1125</v>
      </c>
      <c r="M118" s="24">
        <v>5733328</v>
      </c>
      <c r="N118" s="39">
        <v>46097</v>
      </c>
    </row>
    <row r="119" spans="1:14" s="5" customFormat="1" outlineLevel="2">
      <c r="A119" s="39" t="s">
        <v>78</v>
      </c>
      <c r="B119" s="40" t="s">
        <v>171</v>
      </c>
      <c r="C119" s="41" t="s">
        <v>81</v>
      </c>
      <c r="D119" s="40"/>
      <c r="E119" s="24"/>
      <c r="F119" s="39"/>
      <c r="G119" s="24">
        <v>5733328</v>
      </c>
      <c r="H119" s="23">
        <v>5.0000000000000001E-3</v>
      </c>
      <c r="I119" s="39">
        <v>44515</v>
      </c>
      <c r="J119" s="39">
        <v>44530</v>
      </c>
      <c r="K119" s="24">
        <v>16</v>
      </c>
      <c r="L119" s="24">
        <v>1257</v>
      </c>
      <c r="M119" s="24"/>
      <c r="N119" s="39">
        <v>46097</v>
      </c>
    </row>
    <row r="120" spans="1:14" s="5" customFormat="1" outlineLevel="2">
      <c r="A120" s="39" t="s">
        <v>78</v>
      </c>
      <c r="B120" s="40" t="s">
        <v>172</v>
      </c>
      <c r="C120" s="41" t="s">
        <v>81</v>
      </c>
      <c r="D120" s="40" t="s">
        <v>82</v>
      </c>
      <c r="E120" s="24">
        <v>5540000</v>
      </c>
      <c r="F120" s="39">
        <v>44285</v>
      </c>
      <c r="G120" s="24">
        <v>4779604</v>
      </c>
      <c r="H120" s="23">
        <v>5.0000000000000001E-3</v>
      </c>
      <c r="I120" s="39">
        <v>44501</v>
      </c>
      <c r="J120" s="39">
        <v>44514</v>
      </c>
      <c r="K120" s="24">
        <v>14</v>
      </c>
      <c r="L120" s="24">
        <v>917</v>
      </c>
      <c r="M120" s="24">
        <v>4670976</v>
      </c>
      <c r="N120" s="39">
        <v>46110</v>
      </c>
    </row>
    <row r="121" spans="1:14" s="5" customFormat="1" outlineLevel="2">
      <c r="A121" s="39" t="s">
        <v>78</v>
      </c>
      <c r="B121" s="40" t="s">
        <v>172</v>
      </c>
      <c r="C121" s="41" t="s">
        <v>81</v>
      </c>
      <c r="D121" s="40"/>
      <c r="E121" s="24"/>
      <c r="F121" s="39"/>
      <c r="G121" s="24">
        <v>4670976</v>
      </c>
      <c r="H121" s="23">
        <v>5.0000000000000001E-3</v>
      </c>
      <c r="I121" s="39">
        <v>44515</v>
      </c>
      <c r="J121" s="39">
        <v>44530</v>
      </c>
      <c r="K121" s="24">
        <v>16</v>
      </c>
      <c r="L121" s="24">
        <v>1024</v>
      </c>
      <c r="M121" s="24"/>
      <c r="N121" s="39">
        <v>46110</v>
      </c>
    </row>
    <row r="122" spans="1:14" s="5" customFormat="1" outlineLevel="2">
      <c r="A122" s="39" t="s">
        <v>78</v>
      </c>
      <c r="B122" s="40" t="s">
        <v>173</v>
      </c>
      <c r="C122" s="41" t="s">
        <v>337</v>
      </c>
      <c r="D122" s="40" t="s">
        <v>336</v>
      </c>
      <c r="E122" s="24">
        <v>30000000</v>
      </c>
      <c r="F122" s="39">
        <v>44286</v>
      </c>
      <c r="G122" s="24">
        <v>26500000</v>
      </c>
      <c r="H122" s="23">
        <v>5.0000000000000001E-3</v>
      </c>
      <c r="I122" s="39">
        <v>44501</v>
      </c>
      <c r="J122" s="39">
        <v>44514</v>
      </c>
      <c r="K122" s="24">
        <v>14</v>
      </c>
      <c r="L122" s="24">
        <v>5082</v>
      </c>
      <c r="M122" s="24">
        <v>26000000</v>
      </c>
      <c r="N122" s="39">
        <v>46111</v>
      </c>
    </row>
    <row r="123" spans="1:14" s="5" customFormat="1" outlineLevel="2">
      <c r="A123" s="39" t="s">
        <v>78</v>
      </c>
      <c r="B123" s="40" t="s">
        <v>173</v>
      </c>
      <c r="C123" s="41" t="s">
        <v>337</v>
      </c>
      <c r="D123" s="40"/>
      <c r="E123" s="24"/>
      <c r="F123" s="39"/>
      <c r="G123" s="24">
        <v>26000000</v>
      </c>
      <c r="H123" s="23">
        <v>5.0000000000000001E-3</v>
      </c>
      <c r="I123" s="39">
        <v>44515</v>
      </c>
      <c r="J123" s="39">
        <v>44530</v>
      </c>
      <c r="K123" s="24">
        <v>16</v>
      </c>
      <c r="L123" s="24">
        <v>5699</v>
      </c>
      <c r="M123" s="24"/>
      <c r="N123" s="39">
        <v>46111</v>
      </c>
    </row>
    <row r="124" spans="1:14" s="5" customFormat="1" outlineLevel="2">
      <c r="A124" s="39" t="s">
        <v>78</v>
      </c>
      <c r="B124" s="40" t="s">
        <v>62</v>
      </c>
      <c r="C124" s="41" t="s">
        <v>83</v>
      </c>
      <c r="D124" s="40" t="s">
        <v>84</v>
      </c>
      <c r="E124" s="24">
        <v>298410000</v>
      </c>
      <c r="F124" s="39">
        <v>44006</v>
      </c>
      <c r="G124" s="24">
        <v>298410000</v>
      </c>
      <c r="H124" s="23">
        <v>5.0000000000000001E-3</v>
      </c>
      <c r="I124" s="39">
        <v>44501</v>
      </c>
      <c r="J124" s="39">
        <v>44530</v>
      </c>
      <c r="K124" s="24">
        <v>30</v>
      </c>
      <c r="L124" s="24">
        <v>122634</v>
      </c>
      <c r="M124" s="24">
        <v>298410000</v>
      </c>
      <c r="N124" s="39">
        <v>45831</v>
      </c>
    </row>
    <row r="125" spans="1:14" s="5" customFormat="1" outlineLevel="2">
      <c r="A125" s="39" t="s">
        <v>78</v>
      </c>
      <c r="B125" s="40" t="s">
        <v>174</v>
      </c>
      <c r="C125" s="41" t="s">
        <v>155</v>
      </c>
      <c r="D125" s="40" t="s">
        <v>156</v>
      </c>
      <c r="E125" s="24">
        <v>120000000</v>
      </c>
      <c r="F125" s="39">
        <v>44270</v>
      </c>
      <c r="G125" s="24">
        <v>120000000</v>
      </c>
      <c r="H125" s="23">
        <v>5.0000000000000001E-3</v>
      </c>
      <c r="I125" s="39">
        <v>44501</v>
      </c>
      <c r="J125" s="39">
        <v>44530</v>
      </c>
      <c r="K125" s="24">
        <v>30</v>
      </c>
      <c r="L125" s="24">
        <v>49315</v>
      </c>
      <c r="M125" s="24">
        <v>120000000</v>
      </c>
      <c r="N125" s="39">
        <v>46095</v>
      </c>
    </row>
    <row r="126" spans="1:14" s="5" customFormat="1" outlineLevel="2">
      <c r="A126" s="39" t="s">
        <v>78</v>
      </c>
      <c r="B126" s="40" t="s">
        <v>175</v>
      </c>
      <c r="C126" s="41" t="s">
        <v>91</v>
      </c>
      <c r="D126" s="40" t="s">
        <v>92</v>
      </c>
      <c r="E126" s="24">
        <v>30400000</v>
      </c>
      <c r="F126" s="39">
        <v>44301</v>
      </c>
      <c r="G126" s="24">
        <v>30400000</v>
      </c>
      <c r="H126" s="23">
        <v>5.0000000000000001E-3</v>
      </c>
      <c r="I126" s="39">
        <v>44501</v>
      </c>
      <c r="J126" s="39">
        <v>44530</v>
      </c>
      <c r="K126" s="24">
        <v>30</v>
      </c>
      <c r="L126" s="24">
        <v>12493</v>
      </c>
      <c r="M126" s="24">
        <v>30400000</v>
      </c>
      <c r="N126" s="39">
        <v>46126</v>
      </c>
    </row>
    <row r="127" spans="1:14" s="5" customFormat="1" outlineLevel="2">
      <c r="A127" s="39" t="s">
        <v>78</v>
      </c>
      <c r="B127" s="40" t="s">
        <v>176</v>
      </c>
      <c r="C127" s="41" t="s">
        <v>337</v>
      </c>
      <c r="D127" s="40" t="s">
        <v>336</v>
      </c>
      <c r="E127" s="24">
        <v>20000000</v>
      </c>
      <c r="F127" s="39">
        <v>44315</v>
      </c>
      <c r="G127" s="24">
        <v>17966102</v>
      </c>
      <c r="H127" s="23">
        <v>5.0000000000000001E-3</v>
      </c>
      <c r="I127" s="39">
        <v>44501</v>
      </c>
      <c r="J127" s="39">
        <v>44514</v>
      </c>
      <c r="K127" s="24">
        <v>14</v>
      </c>
      <c r="L127" s="24">
        <v>3446</v>
      </c>
      <c r="M127" s="24">
        <v>17627119</v>
      </c>
      <c r="N127" s="39">
        <v>46140</v>
      </c>
    </row>
    <row r="128" spans="1:14" s="5" customFormat="1" outlineLevel="2">
      <c r="A128" s="39" t="s">
        <v>78</v>
      </c>
      <c r="B128" s="40" t="s">
        <v>176</v>
      </c>
      <c r="C128" s="41" t="s">
        <v>337</v>
      </c>
      <c r="D128" s="40"/>
      <c r="E128" s="24"/>
      <c r="F128" s="39"/>
      <c r="G128" s="24">
        <v>17627119</v>
      </c>
      <c r="H128" s="23">
        <v>5.0000000000000001E-3</v>
      </c>
      <c r="I128" s="39">
        <v>44515</v>
      </c>
      <c r="J128" s="39">
        <v>44530</v>
      </c>
      <c r="K128" s="24">
        <v>16</v>
      </c>
      <c r="L128" s="24">
        <v>3863</v>
      </c>
      <c r="M128" s="24"/>
      <c r="N128" s="39">
        <v>46140</v>
      </c>
    </row>
    <row r="129" spans="1:14" s="5" customFormat="1" outlineLevel="2">
      <c r="A129" s="39" t="s">
        <v>78</v>
      </c>
      <c r="B129" s="40" t="s">
        <v>177</v>
      </c>
      <c r="C129" s="41" t="s">
        <v>85</v>
      </c>
      <c r="D129" s="40" t="s">
        <v>86</v>
      </c>
      <c r="E129" s="24">
        <v>50000000</v>
      </c>
      <c r="F129" s="39">
        <v>44315</v>
      </c>
      <c r="G129" s="24">
        <v>50000000</v>
      </c>
      <c r="H129" s="23">
        <v>5.0000000000000001E-3</v>
      </c>
      <c r="I129" s="39">
        <v>44501</v>
      </c>
      <c r="J129" s="39">
        <v>44530</v>
      </c>
      <c r="K129" s="24">
        <v>30</v>
      </c>
      <c r="L129" s="24">
        <v>20548</v>
      </c>
      <c r="M129" s="24">
        <v>50000000</v>
      </c>
      <c r="N129" s="39">
        <v>46140</v>
      </c>
    </row>
    <row r="130" spans="1:14" s="5" customFormat="1" outlineLevel="2">
      <c r="A130" s="39" t="s">
        <v>78</v>
      </c>
      <c r="B130" s="40" t="s">
        <v>178</v>
      </c>
      <c r="C130" s="41" t="s">
        <v>351</v>
      </c>
      <c r="D130" s="40" t="s">
        <v>350</v>
      </c>
      <c r="E130" s="24">
        <v>8600000</v>
      </c>
      <c r="F130" s="39">
        <v>44312</v>
      </c>
      <c r="G130" s="24">
        <v>8600000</v>
      </c>
      <c r="H130" s="23">
        <v>5.0000000000000001E-3</v>
      </c>
      <c r="I130" s="39">
        <v>44501</v>
      </c>
      <c r="J130" s="39">
        <v>44530</v>
      </c>
      <c r="K130" s="24">
        <v>30</v>
      </c>
      <c r="L130" s="24">
        <v>3534</v>
      </c>
      <c r="M130" s="24">
        <v>8600000</v>
      </c>
      <c r="N130" s="39">
        <v>46137</v>
      </c>
    </row>
    <row r="131" spans="1:14" s="5" customFormat="1" outlineLevel="2">
      <c r="A131" s="39" t="s">
        <v>78</v>
      </c>
      <c r="B131" s="40" t="s">
        <v>179</v>
      </c>
      <c r="C131" s="41" t="s">
        <v>93</v>
      </c>
      <c r="D131" s="40" t="s">
        <v>94</v>
      </c>
      <c r="E131" s="24">
        <v>6174000</v>
      </c>
      <c r="F131" s="39">
        <v>44326</v>
      </c>
      <c r="G131" s="24">
        <v>6174000</v>
      </c>
      <c r="H131" s="23">
        <v>5.0000000000000001E-3</v>
      </c>
      <c r="I131" s="39">
        <v>44501</v>
      </c>
      <c r="J131" s="39">
        <v>44530</v>
      </c>
      <c r="K131" s="24">
        <v>30</v>
      </c>
      <c r="L131" s="24">
        <v>2537</v>
      </c>
      <c r="M131" s="24">
        <v>6174000</v>
      </c>
      <c r="N131" s="39">
        <v>46151</v>
      </c>
    </row>
    <row r="132" spans="1:14" s="5" customFormat="1" outlineLevel="2">
      <c r="A132" s="39" t="s">
        <v>78</v>
      </c>
      <c r="B132" s="40" t="s">
        <v>180</v>
      </c>
      <c r="C132" s="41" t="s">
        <v>91</v>
      </c>
      <c r="D132" s="40" t="s">
        <v>92</v>
      </c>
      <c r="E132" s="24">
        <v>50700000</v>
      </c>
      <c r="F132" s="39">
        <v>44333</v>
      </c>
      <c r="G132" s="24">
        <v>50700000</v>
      </c>
      <c r="H132" s="23">
        <v>5.0000000000000001E-3</v>
      </c>
      <c r="I132" s="39">
        <v>44501</v>
      </c>
      <c r="J132" s="39">
        <v>44530</v>
      </c>
      <c r="K132" s="24">
        <v>30</v>
      </c>
      <c r="L132" s="24">
        <v>20836</v>
      </c>
      <c r="M132" s="24">
        <v>50700000</v>
      </c>
      <c r="N132" s="39">
        <v>46158</v>
      </c>
    </row>
    <row r="133" spans="1:14" s="5" customFormat="1" outlineLevel="2">
      <c r="A133" s="39" t="s">
        <v>78</v>
      </c>
      <c r="B133" s="40" t="s">
        <v>181</v>
      </c>
      <c r="C133" s="41" t="s">
        <v>91</v>
      </c>
      <c r="D133" s="40" t="s">
        <v>92</v>
      </c>
      <c r="E133" s="24">
        <v>1700000</v>
      </c>
      <c r="F133" s="39">
        <v>44333</v>
      </c>
      <c r="G133" s="24">
        <v>1700000</v>
      </c>
      <c r="H133" s="23">
        <v>5.0000000000000001E-3</v>
      </c>
      <c r="I133" s="39">
        <v>44501</v>
      </c>
      <c r="J133" s="39">
        <v>44530</v>
      </c>
      <c r="K133" s="24">
        <v>30</v>
      </c>
      <c r="L133" s="24">
        <v>699</v>
      </c>
      <c r="M133" s="24">
        <v>1700000</v>
      </c>
      <c r="N133" s="39">
        <v>46158</v>
      </c>
    </row>
    <row r="134" spans="1:14" s="5" customFormat="1" outlineLevel="2">
      <c r="A134" s="39" t="s">
        <v>78</v>
      </c>
      <c r="B134" s="40" t="s">
        <v>182</v>
      </c>
      <c r="C134" s="41" t="s">
        <v>351</v>
      </c>
      <c r="D134" s="40" t="s">
        <v>350</v>
      </c>
      <c r="E134" s="24">
        <v>6000000</v>
      </c>
      <c r="F134" s="39">
        <v>44335</v>
      </c>
      <c r="G134" s="24">
        <v>6000000</v>
      </c>
      <c r="H134" s="23">
        <v>5.0000000000000001E-3</v>
      </c>
      <c r="I134" s="39">
        <v>44501</v>
      </c>
      <c r="J134" s="39">
        <v>44530</v>
      </c>
      <c r="K134" s="24">
        <v>30</v>
      </c>
      <c r="L134" s="24">
        <v>2466</v>
      </c>
      <c r="M134" s="24">
        <v>6000000</v>
      </c>
      <c r="N134" s="39">
        <v>46160</v>
      </c>
    </row>
    <row r="135" spans="1:14" s="5" customFormat="1" outlineLevel="2">
      <c r="A135" s="39" t="s">
        <v>78</v>
      </c>
      <c r="B135" s="40" t="s">
        <v>183</v>
      </c>
      <c r="C135" s="41" t="s">
        <v>89</v>
      </c>
      <c r="D135" s="40" t="s">
        <v>90</v>
      </c>
      <c r="E135" s="24">
        <v>30200000</v>
      </c>
      <c r="F135" s="39">
        <v>44323</v>
      </c>
      <c r="G135" s="24">
        <v>30200000</v>
      </c>
      <c r="H135" s="23">
        <v>5.0000000000000001E-3</v>
      </c>
      <c r="I135" s="39">
        <v>44501</v>
      </c>
      <c r="J135" s="39">
        <v>44530</v>
      </c>
      <c r="K135" s="24">
        <v>30</v>
      </c>
      <c r="L135" s="24">
        <v>12411</v>
      </c>
      <c r="M135" s="24">
        <v>30200000</v>
      </c>
      <c r="N135" s="39">
        <v>46148</v>
      </c>
    </row>
    <row r="136" spans="1:14" s="5" customFormat="1" outlineLevel="2">
      <c r="A136" s="39" t="s">
        <v>78</v>
      </c>
      <c r="B136" s="40" t="s">
        <v>63</v>
      </c>
      <c r="C136" s="41" t="s">
        <v>83</v>
      </c>
      <c r="D136" s="40" t="s">
        <v>84</v>
      </c>
      <c r="E136" s="24">
        <v>95370000</v>
      </c>
      <c r="F136" s="39">
        <v>44006</v>
      </c>
      <c r="G136" s="24">
        <v>95370000</v>
      </c>
      <c r="H136" s="23">
        <v>5.0000000000000001E-3</v>
      </c>
      <c r="I136" s="39">
        <v>44501</v>
      </c>
      <c r="J136" s="39">
        <v>44530</v>
      </c>
      <c r="K136" s="24">
        <v>30</v>
      </c>
      <c r="L136" s="24">
        <v>39193</v>
      </c>
      <c r="M136" s="24">
        <v>95370000</v>
      </c>
      <c r="N136" s="39">
        <v>45831</v>
      </c>
    </row>
    <row r="137" spans="1:14" s="5" customFormat="1" outlineLevel="2">
      <c r="A137" s="39" t="s">
        <v>78</v>
      </c>
      <c r="B137" s="40" t="s">
        <v>184</v>
      </c>
      <c r="C137" s="41" t="s">
        <v>337</v>
      </c>
      <c r="D137" s="40" t="s">
        <v>336</v>
      </c>
      <c r="E137" s="24">
        <v>15000000</v>
      </c>
      <c r="F137" s="39">
        <v>44347</v>
      </c>
      <c r="G137" s="24">
        <v>13706895</v>
      </c>
      <c r="H137" s="23">
        <v>5.0000000000000001E-3</v>
      </c>
      <c r="I137" s="39">
        <v>44501</v>
      </c>
      <c r="J137" s="39">
        <v>44514</v>
      </c>
      <c r="K137" s="24">
        <v>14</v>
      </c>
      <c r="L137" s="24">
        <v>2629</v>
      </c>
      <c r="M137" s="24">
        <v>13448274</v>
      </c>
      <c r="N137" s="39">
        <v>46172</v>
      </c>
    </row>
    <row r="138" spans="1:14" s="5" customFormat="1" outlineLevel="2">
      <c r="A138" s="39" t="s">
        <v>78</v>
      </c>
      <c r="B138" s="40" t="s">
        <v>184</v>
      </c>
      <c r="C138" s="41" t="s">
        <v>337</v>
      </c>
      <c r="D138" s="40"/>
      <c r="E138" s="24"/>
      <c r="F138" s="39"/>
      <c r="G138" s="24">
        <v>13448274</v>
      </c>
      <c r="H138" s="23">
        <v>5.0000000000000001E-3</v>
      </c>
      <c r="I138" s="39">
        <v>44515</v>
      </c>
      <c r="J138" s="39">
        <v>44530</v>
      </c>
      <c r="K138" s="24">
        <v>16</v>
      </c>
      <c r="L138" s="24">
        <v>2948</v>
      </c>
      <c r="M138" s="24"/>
      <c r="N138" s="39">
        <v>46172</v>
      </c>
    </row>
    <row r="139" spans="1:14" s="5" customFormat="1" outlineLevel="2">
      <c r="A139" s="39" t="s">
        <v>78</v>
      </c>
      <c r="B139" s="40" t="s">
        <v>185</v>
      </c>
      <c r="C139" s="41" t="s">
        <v>83</v>
      </c>
      <c r="D139" s="40" t="s">
        <v>84</v>
      </c>
      <c r="E139" s="24">
        <v>388000000</v>
      </c>
      <c r="F139" s="39">
        <v>44344</v>
      </c>
      <c r="G139" s="24">
        <v>388000000</v>
      </c>
      <c r="H139" s="23">
        <v>3.0000000000000001E-3</v>
      </c>
      <c r="I139" s="39">
        <v>44501</v>
      </c>
      <c r="J139" s="39">
        <v>44530</v>
      </c>
      <c r="K139" s="24">
        <v>30</v>
      </c>
      <c r="L139" s="24">
        <v>95671</v>
      </c>
      <c r="M139" s="24">
        <v>388000000</v>
      </c>
      <c r="N139" s="39">
        <v>46169</v>
      </c>
    </row>
    <row r="140" spans="1:14" s="5" customFormat="1" outlineLevel="2">
      <c r="A140" s="39" t="s">
        <v>78</v>
      </c>
      <c r="B140" s="40" t="s">
        <v>186</v>
      </c>
      <c r="C140" s="41" t="s">
        <v>85</v>
      </c>
      <c r="D140" s="40" t="s">
        <v>86</v>
      </c>
      <c r="E140" s="24">
        <v>50000000</v>
      </c>
      <c r="F140" s="39">
        <v>44330</v>
      </c>
      <c r="G140" s="24">
        <v>50000000</v>
      </c>
      <c r="H140" s="23">
        <v>5.0000000000000001E-3</v>
      </c>
      <c r="I140" s="39">
        <v>44501</v>
      </c>
      <c r="J140" s="39">
        <v>44530</v>
      </c>
      <c r="K140" s="24">
        <v>30</v>
      </c>
      <c r="L140" s="24">
        <v>20548</v>
      </c>
      <c r="M140" s="24">
        <v>50000000</v>
      </c>
      <c r="N140" s="39">
        <v>46155</v>
      </c>
    </row>
    <row r="141" spans="1:14" s="5" customFormat="1" outlineLevel="2">
      <c r="A141" s="39" t="s">
        <v>78</v>
      </c>
      <c r="B141" s="40" t="s">
        <v>189</v>
      </c>
      <c r="C141" s="41" t="s">
        <v>85</v>
      </c>
      <c r="D141" s="40" t="s">
        <v>86</v>
      </c>
      <c r="E141" s="24">
        <v>50000000</v>
      </c>
      <c r="F141" s="39">
        <v>44344</v>
      </c>
      <c r="G141" s="24">
        <v>50000000</v>
      </c>
      <c r="H141" s="23">
        <v>5.0000000000000001E-3</v>
      </c>
      <c r="I141" s="39">
        <v>44501</v>
      </c>
      <c r="J141" s="39">
        <v>44530</v>
      </c>
      <c r="K141" s="24">
        <v>30</v>
      </c>
      <c r="L141" s="24">
        <v>20548</v>
      </c>
      <c r="M141" s="24">
        <v>50000000</v>
      </c>
      <c r="N141" s="39">
        <v>46169</v>
      </c>
    </row>
    <row r="142" spans="1:14" s="5" customFormat="1" outlineLevel="2">
      <c r="A142" s="39" t="s">
        <v>78</v>
      </c>
      <c r="B142" s="40" t="s">
        <v>190</v>
      </c>
      <c r="C142" s="41" t="s">
        <v>93</v>
      </c>
      <c r="D142" s="40" t="s">
        <v>94</v>
      </c>
      <c r="E142" s="24">
        <v>1351689</v>
      </c>
      <c r="F142" s="39">
        <v>44358</v>
      </c>
      <c r="G142" s="24">
        <v>1351689</v>
      </c>
      <c r="H142" s="23">
        <v>5.0000000000000001E-3</v>
      </c>
      <c r="I142" s="39">
        <v>44501</v>
      </c>
      <c r="J142" s="39">
        <v>44530</v>
      </c>
      <c r="K142" s="24">
        <v>30</v>
      </c>
      <c r="L142" s="24">
        <v>555</v>
      </c>
      <c r="M142" s="24">
        <v>1351689</v>
      </c>
      <c r="N142" s="39">
        <v>46183</v>
      </c>
    </row>
    <row r="143" spans="1:14" s="5" customFormat="1" outlineLevel="2">
      <c r="A143" s="39" t="s">
        <v>78</v>
      </c>
      <c r="B143" s="40" t="s">
        <v>191</v>
      </c>
      <c r="C143" s="41" t="s">
        <v>93</v>
      </c>
      <c r="D143" s="40" t="s">
        <v>94</v>
      </c>
      <c r="E143" s="24">
        <v>20000000</v>
      </c>
      <c r="F143" s="39">
        <v>44370</v>
      </c>
      <c r="G143" s="24">
        <v>20000000</v>
      </c>
      <c r="H143" s="23">
        <v>5.0000000000000001E-3</v>
      </c>
      <c r="I143" s="39">
        <v>44501</v>
      </c>
      <c r="J143" s="39">
        <v>44530</v>
      </c>
      <c r="K143" s="24">
        <v>30</v>
      </c>
      <c r="L143" s="24">
        <v>8219</v>
      </c>
      <c r="M143" s="24">
        <v>20000000</v>
      </c>
      <c r="N143" s="39">
        <v>46195</v>
      </c>
    </row>
    <row r="144" spans="1:14" s="5" customFormat="1" outlineLevel="2">
      <c r="A144" s="39" t="s">
        <v>78</v>
      </c>
      <c r="B144" s="40" t="s">
        <v>192</v>
      </c>
      <c r="C144" s="41" t="s">
        <v>93</v>
      </c>
      <c r="D144" s="40" t="s">
        <v>94</v>
      </c>
      <c r="E144" s="24">
        <v>8000000</v>
      </c>
      <c r="F144" s="39">
        <v>44370</v>
      </c>
      <c r="G144" s="24">
        <v>8000000</v>
      </c>
      <c r="H144" s="23">
        <v>5.0000000000000001E-3</v>
      </c>
      <c r="I144" s="39">
        <v>44501</v>
      </c>
      <c r="J144" s="39">
        <v>44530</v>
      </c>
      <c r="K144" s="24">
        <v>30</v>
      </c>
      <c r="L144" s="24">
        <v>3288</v>
      </c>
      <c r="M144" s="24">
        <v>8000000</v>
      </c>
      <c r="N144" s="39">
        <v>46195</v>
      </c>
    </row>
    <row r="145" spans="1:14" s="5" customFormat="1" outlineLevel="2">
      <c r="A145" s="39" t="s">
        <v>78</v>
      </c>
      <c r="B145" s="40" t="s">
        <v>193</v>
      </c>
      <c r="C145" s="41" t="s">
        <v>337</v>
      </c>
      <c r="D145" s="40" t="s">
        <v>336</v>
      </c>
      <c r="E145" s="24">
        <v>5000000</v>
      </c>
      <c r="F145" s="39">
        <v>44368</v>
      </c>
      <c r="G145" s="24">
        <v>4649120</v>
      </c>
      <c r="H145" s="23">
        <v>5.0000000000000001E-3</v>
      </c>
      <c r="I145" s="39">
        <v>44501</v>
      </c>
      <c r="J145" s="39">
        <v>44514</v>
      </c>
      <c r="K145" s="24">
        <v>14</v>
      </c>
      <c r="L145" s="24">
        <v>892</v>
      </c>
      <c r="M145" s="24">
        <v>4561400</v>
      </c>
      <c r="N145" s="39">
        <v>46193</v>
      </c>
    </row>
    <row r="146" spans="1:14" s="5" customFormat="1" outlineLevel="2">
      <c r="A146" s="39" t="s">
        <v>78</v>
      </c>
      <c r="B146" s="40" t="s">
        <v>193</v>
      </c>
      <c r="C146" s="41" t="s">
        <v>337</v>
      </c>
      <c r="D146" s="40"/>
      <c r="E146" s="24"/>
      <c r="F146" s="39"/>
      <c r="G146" s="24">
        <v>4561400</v>
      </c>
      <c r="H146" s="23">
        <v>5.0000000000000001E-3</v>
      </c>
      <c r="I146" s="39">
        <v>44515</v>
      </c>
      <c r="J146" s="39">
        <v>44530</v>
      </c>
      <c r="K146" s="24">
        <v>16</v>
      </c>
      <c r="L146" s="24">
        <v>1000</v>
      </c>
      <c r="M146" s="24"/>
      <c r="N146" s="39">
        <v>46193</v>
      </c>
    </row>
    <row r="147" spans="1:14" s="5" customFormat="1" outlineLevel="2">
      <c r="A147" s="39" t="s">
        <v>78</v>
      </c>
      <c r="B147" s="40" t="s">
        <v>194</v>
      </c>
      <c r="C147" s="41" t="s">
        <v>337</v>
      </c>
      <c r="D147" s="40" t="s">
        <v>336</v>
      </c>
      <c r="E147" s="24">
        <v>38000000</v>
      </c>
      <c r="F147" s="39">
        <v>44377</v>
      </c>
      <c r="G147" s="24">
        <v>35333332</v>
      </c>
      <c r="H147" s="23">
        <v>5.0000000000000001E-3</v>
      </c>
      <c r="I147" s="39">
        <v>44501</v>
      </c>
      <c r="J147" s="39">
        <v>44514</v>
      </c>
      <c r="K147" s="24">
        <v>14</v>
      </c>
      <c r="L147" s="24">
        <v>6776</v>
      </c>
      <c r="M147" s="24">
        <v>34666665</v>
      </c>
      <c r="N147" s="39">
        <v>46202</v>
      </c>
    </row>
    <row r="148" spans="1:14" s="5" customFormat="1" outlineLevel="2">
      <c r="A148" s="39" t="s">
        <v>78</v>
      </c>
      <c r="B148" s="40" t="s">
        <v>194</v>
      </c>
      <c r="C148" s="41" t="s">
        <v>337</v>
      </c>
      <c r="D148" s="40"/>
      <c r="E148" s="24"/>
      <c r="F148" s="39"/>
      <c r="G148" s="24">
        <v>34666665</v>
      </c>
      <c r="H148" s="23">
        <v>5.0000000000000001E-3</v>
      </c>
      <c r="I148" s="39">
        <v>44515</v>
      </c>
      <c r="J148" s="39">
        <v>44530</v>
      </c>
      <c r="K148" s="24">
        <v>16</v>
      </c>
      <c r="L148" s="24">
        <v>7598</v>
      </c>
      <c r="M148" s="24"/>
      <c r="N148" s="39">
        <v>46202</v>
      </c>
    </row>
    <row r="149" spans="1:14" s="5" customFormat="1" outlineLevel="2">
      <c r="A149" s="39" t="s">
        <v>78</v>
      </c>
      <c r="B149" s="40" t="s">
        <v>195</v>
      </c>
      <c r="C149" s="41" t="s">
        <v>85</v>
      </c>
      <c r="D149" s="40" t="s">
        <v>86</v>
      </c>
      <c r="E149" s="24">
        <v>50000000</v>
      </c>
      <c r="F149" s="39">
        <v>44349</v>
      </c>
      <c r="G149" s="24">
        <v>50000000</v>
      </c>
      <c r="H149" s="23">
        <v>5.0000000000000001E-3</v>
      </c>
      <c r="I149" s="39">
        <v>44501</v>
      </c>
      <c r="J149" s="39">
        <v>44530</v>
      </c>
      <c r="K149" s="24">
        <v>30</v>
      </c>
      <c r="L149" s="24">
        <v>20548</v>
      </c>
      <c r="M149" s="24">
        <v>50000000</v>
      </c>
      <c r="N149" s="39">
        <v>46174</v>
      </c>
    </row>
    <row r="150" spans="1:14" s="5" customFormat="1" outlineLevel="2">
      <c r="A150" s="39" t="s">
        <v>78</v>
      </c>
      <c r="B150" s="40" t="s">
        <v>64</v>
      </c>
      <c r="C150" s="41" t="s">
        <v>83</v>
      </c>
      <c r="D150" s="40" t="s">
        <v>84</v>
      </c>
      <c r="E150" s="24">
        <v>73910000</v>
      </c>
      <c r="F150" s="39">
        <v>44032</v>
      </c>
      <c r="G150" s="24">
        <v>73910000</v>
      </c>
      <c r="H150" s="23">
        <v>5.0000000000000001E-3</v>
      </c>
      <c r="I150" s="39">
        <v>44501</v>
      </c>
      <c r="J150" s="39">
        <v>44530</v>
      </c>
      <c r="K150" s="24">
        <v>30</v>
      </c>
      <c r="L150" s="24">
        <v>30374</v>
      </c>
      <c r="M150" s="24">
        <v>73910000</v>
      </c>
      <c r="N150" s="39">
        <v>45857</v>
      </c>
    </row>
    <row r="151" spans="1:14" s="5" customFormat="1" outlineLevel="2">
      <c r="A151" s="39" t="s">
        <v>78</v>
      </c>
      <c r="B151" s="40" t="s">
        <v>196</v>
      </c>
      <c r="C151" s="41" t="s">
        <v>91</v>
      </c>
      <c r="D151" s="40" t="s">
        <v>92</v>
      </c>
      <c r="E151" s="24">
        <v>23000000</v>
      </c>
      <c r="F151" s="39">
        <v>44365</v>
      </c>
      <c r="G151" s="24">
        <v>23000000</v>
      </c>
      <c r="H151" s="23">
        <v>5.0000000000000001E-3</v>
      </c>
      <c r="I151" s="39">
        <v>44501</v>
      </c>
      <c r="J151" s="39">
        <v>44530</v>
      </c>
      <c r="K151" s="24">
        <v>30</v>
      </c>
      <c r="L151" s="24">
        <v>9452</v>
      </c>
      <c r="M151" s="24">
        <v>23000000</v>
      </c>
      <c r="N151" s="39">
        <v>46190</v>
      </c>
    </row>
    <row r="152" spans="1:14" s="5" customFormat="1" outlineLevel="2">
      <c r="A152" s="39" t="s">
        <v>78</v>
      </c>
      <c r="B152" s="40" t="s">
        <v>197</v>
      </c>
      <c r="C152" s="41" t="s">
        <v>93</v>
      </c>
      <c r="D152" s="40" t="s">
        <v>94</v>
      </c>
      <c r="E152" s="24">
        <v>20000000</v>
      </c>
      <c r="F152" s="39">
        <v>44378</v>
      </c>
      <c r="G152" s="24">
        <v>20000000</v>
      </c>
      <c r="H152" s="23">
        <v>5.0000000000000001E-3</v>
      </c>
      <c r="I152" s="39">
        <v>44501</v>
      </c>
      <c r="J152" s="39">
        <v>44530</v>
      </c>
      <c r="K152" s="24">
        <v>30</v>
      </c>
      <c r="L152" s="24">
        <v>8219</v>
      </c>
      <c r="M152" s="24">
        <v>20000000</v>
      </c>
      <c r="N152" s="39">
        <v>46203</v>
      </c>
    </row>
    <row r="153" spans="1:14" s="5" customFormat="1" outlineLevel="2">
      <c r="A153" s="39" t="s">
        <v>78</v>
      </c>
      <c r="B153" s="40" t="s">
        <v>198</v>
      </c>
      <c r="C153" s="41" t="s">
        <v>91</v>
      </c>
      <c r="D153" s="40" t="s">
        <v>92</v>
      </c>
      <c r="E153" s="24">
        <v>81100000</v>
      </c>
      <c r="F153" s="39">
        <v>44392</v>
      </c>
      <c r="G153" s="24">
        <v>81100000</v>
      </c>
      <c r="H153" s="23">
        <v>5.0000000000000001E-3</v>
      </c>
      <c r="I153" s="39">
        <v>44501</v>
      </c>
      <c r="J153" s="39">
        <v>44530</v>
      </c>
      <c r="K153" s="24">
        <v>30</v>
      </c>
      <c r="L153" s="24">
        <v>33329</v>
      </c>
      <c r="M153" s="24">
        <v>81100000</v>
      </c>
      <c r="N153" s="39">
        <v>46217</v>
      </c>
    </row>
    <row r="154" spans="1:14" s="5" customFormat="1" outlineLevel="2">
      <c r="A154" s="39" t="s">
        <v>78</v>
      </c>
      <c r="B154" s="40" t="s">
        <v>199</v>
      </c>
      <c r="C154" s="41" t="s">
        <v>91</v>
      </c>
      <c r="D154" s="40" t="s">
        <v>92</v>
      </c>
      <c r="E154" s="24">
        <v>34200000</v>
      </c>
      <c r="F154" s="39">
        <v>44392</v>
      </c>
      <c r="G154" s="24">
        <v>34200000</v>
      </c>
      <c r="H154" s="23">
        <v>5.0000000000000001E-3</v>
      </c>
      <c r="I154" s="39">
        <v>44501</v>
      </c>
      <c r="J154" s="39">
        <v>44530</v>
      </c>
      <c r="K154" s="24">
        <v>30</v>
      </c>
      <c r="L154" s="24">
        <v>14055</v>
      </c>
      <c r="M154" s="24">
        <v>34200000</v>
      </c>
      <c r="N154" s="39">
        <v>46217</v>
      </c>
    </row>
    <row r="155" spans="1:14" s="5" customFormat="1" outlineLevel="2">
      <c r="A155" s="39" t="s">
        <v>78</v>
      </c>
      <c r="B155" s="40" t="s">
        <v>200</v>
      </c>
      <c r="C155" s="41" t="s">
        <v>93</v>
      </c>
      <c r="D155" s="40" t="s">
        <v>94</v>
      </c>
      <c r="E155" s="24">
        <v>656620</v>
      </c>
      <c r="F155" s="39">
        <v>44418</v>
      </c>
      <c r="G155" s="24">
        <v>656620</v>
      </c>
      <c r="H155" s="23">
        <v>5.0000000000000001E-3</v>
      </c>
      <c r="I155" s="39">
        <v>44501</v>
      </c>
      <c r="J155" s="39">
        <v>44530</v>
      </c>
      <c r="K155" s="24">
        <v>30</v>
      </c>
      <c r="L155" s="24">
        <v>270</v>
      </c>
      <c r="M155" s="24">
        <v>656620</v>
      </c>
      <c r="N155" s="39">
        <v>46243</v>
      </c>
    </row>
    <row r="156" spans="1:14" s="5" customFormat="1" outlineLevel="2">
      <c r="A156" s="39" t="s">
        <v>78</v>
      </c>
      <c r="B156" s="40" t="s">
        <v>201</v>
      </c>
      <c r="C156" s="41" t="s">
        <v>93</v>
      </c>
      <c r="D156" s="40" t="s">
        <v>94</v>
      </c>
      <c r="E156" s="24">
        <v>1901460</v>
      </c>
      <c r="F156" s="39">
        <v>44433</v>
      </c>
      <c r="G156" s="24">
        <v>1901460</v>
      </c>
      <c r="H156" s="23">
        <v>5.0000000000000001E-3</v>
      </c>
      <c r="I156" s="39">
        <v>44501</v>
      </c>
      <c r="J156" s="39">
        <v>44530</v>
      </c>
      <c r="K156" s="24">
        <v>30</v>
      </c>
      <c r="L156" s="24">
        <v>781</v>
      </c>
      <c r="M156" s="24">
        <v>1901460</v>
      </c>
      <c r="N156" s="39">
        <v>46258</v>
      </c>
    </row>
    <row r="157" spans="1:14" s="5" customFormat="1" outlineLevel="2">
      <c r="A157" s="39" t="s">
        <v>78</v>
      </c>
      <c r="B157" s="40" t="s">
        <v>202</v>
      </c>
      <c r="C157" s="41" t="s">
        <v>93</v>
      </c>
      <c r="D157" s="40" t="s">
        <v>94</v>
      </c>
      <c r="E157" s="24">
        <v>217052</v>
      </c>
      <c r="F157" s="39">
        <v>44435</v>
      </c>
      <c r="G157" s="24">
        <v>217052</v>
      </c>
      <c r="H157" s="23">
        <v>5.0000000000000001E-3</v>
      </c>
      <c r="I157" s="39">
        <v>44501</v>
      </c>
      <c r="J157" s="39">
        <v>44530</v>
      </c>
      <c r="K157" s="24">
        <v>30</v>
      </c>
      <c r="L157" s="24">
        <v>89</v>
      </c>
      <c r="M157" s="24">
        <v>217052</v>
      </c>
      <c r="N157" s="39">
        <v>46260</v>
      </c>
    </row>
    <row r="158" spans="1:14" s="5" customFormat="1" outlineLevel="2">
      <c r="A158" s="39" t="s">
        <v>78</v>
      </c>
      <c r="B158" s="40" t="s">
        <v>203</v>
      </c>
      <c r="C158" s="41" t="s">
        <v>93</v>
      </c>
      <c r="D158" s="40" t="s">
        <v>94</v>
      </c>
      <c r="E158" s="24">
        <v>270720</v>
      </c>
      <c r="F158" s="39">
        <v>44435</v>
      </c>
      <c r="G158" s="24">
        <v>270720</v>
      </c>
      <c r="H158" s="23">
        <v>5.0000000000000001E-3</v>
      </c>
      <c r="I158" s="39">
        <v>44501</v>
      </c>
      <c r="J158" s="39">
        <v>44530</v>
      </c>
      <c r="K158" s="24">
        <v>30</v>
      </c>
      <c r="L158" s="24">
        <v>111</v>
      </c>
      <c r="M158" s="24">
        <v>270720</v>
      </c>
      <c r="N158" s="39">
        <v>46260</v>
      </c>
    </row>
    <row r="159" spans="1:14" s="5" customFormat="1" outlineLevel="2">
      <c r="A159" s="39" t="s">
        <v>78</v>
      </c>
      <c r="B159" s="40" t="s">
        <v>204</v>
      </c>
      <c r="C159" s="41" t="s">
        <v>93</v>
      </c>
      <c r="D159" s="40" t="s">
        <v>94</v>
      </c>
      <c r="E159" s="24">
        <v>6174000</v>
      </c>
      <c r="F159" s="39">
        <v>44428</v>
      </c>
      <c r="G159" s="24">
        <v>6174000</v>
      </c>
      <c r="H159" s="23">
        <v>5.0000000000000001E-3</v>
      </c>
      <c r="I159" s="39">
        <v>44501</v>
      </c>
      <c r="J159" s="39">
        <v>44530</v>
      </c>
      <c r="K159" s="24">
        <v>30</v>
      </c>
      <c r="L159" s="24">
        <v>2537</v>
      </c>
      <c r="M159" s="24">
        <v>6174000</v>
      </c>
      <c r="N159" s="39">
        <v>46253</v>
      </c>
    </row>
    <row r="160" spans="1:14" s="5" customFormat="1" outlineLevel="2">
      <c r="A160" s="39" t="s">
        <v>78</v>
      </c>
      <c r="B160" s="40" t="s">
        <v>205</v>
      </c>
      <c r="C160" s="41" t="s">
        <v>89</v>
      </c>
      <c r="D160" s="40" t="s">
        <v>90</v>
      </c>
      <c r="E160" s="24">
        <v>90000000</v>
      </c>
      <c r="F160" s="39">
        <v>44424</v>
      </c>
      <c r="G160" s="24">
        <v>90000000</v>
      </c>
      <c r="H160" s="23">
        <v>5.0000000000000001E-3</v>
      </c>
      <c r="I160" s="39">
        <v>44501</v>
      </c>
      <c r="J160" s="39">
        <v>44530</v>
      </c>
      <c r="K160" s="24">
        <v>30</v>
      </c>
      <c r="L160" s="24">
        <v>36986</v>
      </c>
      <c r="M160" s="24">
        <v>90000000</v>
      </c>
      <c r="N160" s="39">
        <v>46249</v>
      </c>
    </row>
    <row r="161" spans="1:14" s="5" customFormat="1" outlineLevel="2">
      <c r="A161" s="39" t="s">
        <v>78</v>
      </c>
      <c r="B161" s="40" t="s">
        <v>65</v>
      </c>
      <c r="C161" s="41" t="s">
        <v>83</v>
      </c>
      <c r="D161" s="40" t="s">
        <v>84</v>
      </c>
      <c r="E161" s="24">
        <v>291200000</v>
      </c>
      <c r="F161" s="39">
        <v>44032</v>
      </c>
      <c r="G161" s="24">
        <v>291200000</v>
      </c>
      <c r="H161" s="23">
        <v>3.0000000000000001E-3</v>
      </c>
      <c r="I161" s="39">
        <v>44501</v>
      </c>
      <c r="J161" s="39">
        <v>44530</v>
      </c>
      <c r="K161" s="24">
        <v>30</v>
      </c>
      <c r="L161" s="24">
        <v>71803</v>
      </c>
      <c r="M161" s="24">
        <v>291200000</v>
      </c>
      <c r="N161" s="39">
        <v>45857</v>
      </c>
    </row>
    <row r="162" spans="1:14" s="5" customFormat="1" outlineLevel="2">
      <c r="A162" s="39" t="s">
        <v>78</v>
      </c>
      <c r="B162" s="40" t="s">
        <v>206</v>
      </c>
      <c r="C162" s="41" t="s">
        <v>91</v>
      </c>
      <c r="D162" s="40" t="s">
        <v>92</v>
      </c>
      <c r="E162" s="24">
        <v>55900000</v>
      </c>
      <c r="F162" s="39">
        <v>44428</v>
      </c>
      <c r="G162" s="24">
        <v>55900000</v>
      </c>
      <c r="H162" s="23">
        <v>5.0000000000000001E-3</v>
      </c>
      <c r="I162" s="39">
        <v>44501</v>
      </c>
      <c r="J162" s="39">
        <v>44530</v>
      </c>
      <c r="K162" s="24">
        <v>30</v>
      </c>
      <c r="L162" s="24">
        <v>22973</v>
      </c>
      <c r="M162" s="24">
        <v>55900000</v>
      </c>
      <c r="N162" s="39">
        <v>46253</v>
      </c>
    </row>
    <row r="163" spans="1:14" s="5" customFormat="1" outlineLevel="2">
      <c r="A163" s="39" t="s">
        <v>78</v>
      </c>
      <c r="B163" s="40" t="s">
        <v>207</v>
      </c>
      <c r="C163" s="41" t="s">
        <v>97</v>
      </c>
      <c r="D163" s="40" t="s">
        <v>98</v>
      </c>
      <c r="E163" s="24">
        <v>16000000</v>
      </c>
      <c r="F163" s="39">
        <v>44413</v>
      </c>
      <c r="G163" s="24">
        <v>16000000</v>
      </c>
      <c r="H163" s="23">
        <v>5.0000000000000001E-3</v>
      </c>
      <c r="I163" s="39">
        <v>44501</v>
      </c>
      <c r="J163" s="39">
        <v>44530</v>
      </c>
      <c r="K163" s="24">
        <v>30</v>
      </c>
      <c r="L163" s="24">
        <v>6575</v>
      </c>
      <c r="M163" s="24">
        <v>16000000</v>
      </c>
      <c r="N163" s="39">
        <v>46238</v>
      </c>
    </row>
    <row r="164" spans="1:14" s="5" customFormat="1" outlineLevel="2">
      <c r="A164" s="39" t="s">
        <v>78</v>
      </c>
      <c r="B164" s="40" t="s">
        <v>208</v>
      </c>
      <c r="C164" s="41" t="s">
        <v>85</v>
      </c>
      <c r="D164" s="40" t="s">
        <v>86</v>
      </c>
      <c r="E164" s="24">
        <v>35280000</v>
      </c>
      <c r="F164" s="39">
        <v>44411</v>
      </c>
      <c r="G164" s="24">
        <v>35280000</v>
      </c>
      <c r="H164" s="23">
        <v>5.0000000000000001E-3</v>
      </c>
      <c r="I164" s="39">
        <v>44501</v>
      </c>
      <c r="J164" s="39">
        <v>44530</v>
      </c>
      <c r="K164" s="24">
        <v>30</v>
      </c>
      <c r="L164" s="24">
        <v>14499</v>
      </c>
      <c r="M164" s="24">
        <v>35280000</v>
      </c>
      <c r="N164" s="39">
        <v>46236</v>
      </c>
    </row>
    <row r="165" spans="1:14" s="5" customFormat="1" outlineLevel="2">
      <c r="A165" s="39" t="s">
        <v>78</v>
      </c>
      <c r="B165" s="40" t="s">
        <v>209</v>
      </c>
      <c r="C165" s="41" t="s">
        <v>337</v>
      </c>
      <c r="D165" s="40" t="s">
        <v>336</v>
      </c>
      <c r="E165" s="24">
        <v>18000000</v>
      </c>
      <c r="F165" s="39">
        <v>44410</v>
      </c>
      <c r="G165" s="24">
        <v>17035713</v>
      </c>
      <c r="H165" s="23">
        <v>5.0000000000000001E-3</v>
      </c>
      <c r="I165" s="39">
        <v>44501</v>
      </c>
      <c r="J165" s="39">
        <v>44514</v>
      </c>
      <c r="K165" s="24">
        <v>14</v>
      </c>
      <c r="L165" s="24">
        <v>3267</v>
      </c>
      <c r="M165" s="24">
        <v>16714284</v>
      </c>
      <c r="N165" s="39">
        <v>46235</v>
      </c>
    </row>
    <row r="166" spans="1:14" s="5" customFormat="1" outlineLevel="2">
      <c r="A166" s="39" t="s">
        <v>78</v>
      </c>
      <c r="B166" s="40" t="s">
        <v>209</v>
      </c>
      <c r="C166" s="41" t="s">
        <v>337</v>
      </c>
      <c r="D166" s="40"/>
      <c r="E166" s="24"/>
      <c r="F166" s="39"/>
      <c r="G166" s="24">
        <v>16714284</v>
      </c>
      <c r="H166" s="23">
        <v>5.0000000000000001E-3</v>
      </c>
      <c r="I166" s="39">
        <v>44515</v>
      </c>
      <c r="J166" s="39">
        <v>44530</v>
      </c>
      <c r="K166" s="24">
        <v>16</v>
      </c>
      <c r="L166" s="24">
        <v>3663</v>
      </c>
      <c r="M166" s="24"/>
      <c r="N166" s="39">
        <v>46235</v>
      </c>
    </row>
    <row r="167" spans="1:14" s="5" customFormat="1" outlineLevel="2">
      <c r="A167" s="39" t="s">
        <v>78</v>
      </c>
      <c r="B167" s="40" t="s">
        <v>210</v>
      </c>
      <c r="C167" s="41" t="s">
        <v>337</v>
      </c>
      <c r="D167" s="40" t="s">
        <v>336</v>
      </c>
      <c r="E167" s="24">
        <v>20000000</v>
      </c>
      <c r="F167" s="39">
        <v>44439</v>
      </c>
      <c r="G167" s="24">
        <v>19272726</v>
      </c>
      <c r="H167" s="23">
        <v>5.0000000000000001E-3</v>
      </c>
      <c r="I167" s="39">
        <v>44501</v>
      </c>
      <c r="J167" s="39">
        <v>44514</v>
      </c>
      <c r="K167" s="24">
        <v>14</v>
      </c>
      <c r="L167" s="24">
        <v>3696</v>
      </c>
      <c r="M167" s="24">
        <v>18909089</v>
      </c>
      <c r="N167" s="39">
        <v>46264</v>
      </c>
    </row>
    <row r="168" spans="1:14" s="5" customFormat="1" outlineLevel="2">
      <c r="A168" s="39" t="s">
        <v>78</v>
      </c>
      <c r="B168" s="40" t="s">
        <v>210</v>
      </c>
      <c r="C168" s="41" t="s">
        <v>337</v>
      </c>
      <c r="D168" s="40"/>
      <c r="E168" s="24"/>
      <c r="F168" s="39"/>
      <c r="G168" s="24">
        <v>18909089</v>
      </c>
      <c r="H168" s="23">
        <v>5.0000000000000001E-3</v>
      </c>
      <c r="I168" s="39">
        <v>44515</v>
      </c>
      <c r="J168" s="39">
        <v>44530</v>
      </c>
      <c r="K168" s="24">
        <v>16</v>
      </c>
      <c r="L168" s="24">
        <v>4144</v>
      </c>
      <c r="M168" s="24"/>
      <c r="N168" s="39">
        <v>46264</v>
      </c>
    </row>
    <row r="169" spans="1:14" s="5" customFormat="1" outlineLevel="2">
      <c r="A169" s="39" t="s">
        <v>78</v>
      </c>
      <c r="B169" s="40" t="s">
        <v>211</v>
      </c>
      <c r="C169" s="41" t="s">
        <v>93</v>
      </c>
      <c r="D169" s="40" t="s">
        <v>94</v>
      </c>
      <c r="E169" s="24">
        <v>116395</v>
      </c>
      <c r="F169" s="39">
        <v>44449</v>
      </c>
      <c r="G169" s="24">
        <v>116395</v>
      </c>
      <c r="H169" s="23">
        <v>5.0000000000000001E-3</v>
      </c>
      <c r="I169" s="39">
        <v>44501</v>
      </c>
      <c r="J169" s="39">
        <v>44530</v>
      </c>
      <c r="K169" s="24">
        <v>30</v>
      </c>
      <c r="L169" s="24">
        <v>48</v>
      </c>
      <c r="M169" s="24">
        <v>116395</v>
      </c>
      <c r="N169" s="39">
        <v>46274</v>
      </c>
    </row>
    <row r="170" spans="1:14" s="5" customFormat="1" outlineLevel="2">
      <c r="A170" s="39" t="s">
        <v>78</v>
      </c>
      <c r="B170" s="40" t="s">
        <v>212</v>
      </c>
      <c r="C170" s="41" t="s">
        <v>93</v>
      </c>
      <c r="D170" s="40" t="s">
        <v>94</v>
      </c>
      <c r="E170" s="24">
        <v>541441</v>
      </c>
      <c r="F170" s="39">
        <v>44456</v>
      </c>
      <c r="G170" s="24">
        <v>541441</v>
      </c>
      <c r="H170" s="23">
        <v>5.0000000000000001E-3</v>
      </c>
      <c r="I170" s="39">
        <v>44501</v>
      </c>
      <c r="J170" s="39">
        <v>44530</v>
      </c>
      <c r="K170" s="24">
        <v>30</v>
      </c>
      <c r="L170" s="24">
        <v>223</v>
      </c>
      <c r="M170" s="24">
        <v>541441</v>
      </c>
      <c r="N170" s="39">
        <v>46281</v>
      </c>
    </row>
    <row r="171" spans="1:14" s="5" customFormat="1" outlineLevel="2">
      <c r="A171" s="39" t="s">
        <v>78</v>
      </c>
      <c r="B171" s="40" t="s">
        <v>213</v>
      </c>
      <c r="C171" s="41" t="s">
        <v>93</v>
      </c>
      <c r="D171" s="40" t="s">
        <v>94</v>
      </c>
      <c r="E171" s="24">
        <v>271956</v>
      </c>
      <c r="F171" s="39">
        <v>44463</v>
      </c>
      <c r="G171" s="24">
        <v>271956</v>
      </c>
      <c r="H171" s="23">
        <v>5.0000000000000001E-3</v>
      </c>
      <c r="I171" s="39">
        <v>44501</v>
      </c>
      <c r="J171" s="39">
        <v>44530</v>
      </c>
      <c r="K171" s="24">
        <v>30</v>
      </c>
      <c r="L171" s="24">
        <v>112</v>
      </c>
      <c r="M171" s="24">
        <v>271956</v>
      </c>
      <c r="N171" s="39">
        <v>46288</v>
      </c>
    </row>
    <row r="172" spans="1:14" s="5" customFormat="1" outlineLevel="2">
      <c r="A172" s="39" t="s">
        <v>78</v>
      </c>
      <c r="B172" s="40" t="s">
        <v>214</v>
      </c>
      <c r="C172" s="41" t="s">
        <v>83</v>
      </c>
      <c r="D172" s="40" t="s">
        <v>84</v>
      </c>
      <c r="E172" s="24">
        <v>82000000</v>
      </c>
      <c r="F172" s="39">
        <v>44463</v>
      </c>
      <c r="G172" s="24">
        <v>82000000</v>
      </c>
      <c r="H172" s="23">
        <v>5.0000000000000001E-3</v>
      </c>
      <c r="I172" s="39">
        <v>44501</v>
      </c>
      <c r="J172" s="39">
        <v>44530</v>
      </c>
      <c r="K172" s="24">
        <v>30</v>
      </c>
      <c r="L172" s="24">
        <v>33699</v>
      </c>
      <c r="M172" s="24">
        <v>82000000</v>
      </c>
      <c r="N172" s="39">
        <v>46288</v>
      </c>
    </row>
    <row r="173" spans="1:14" s="5" customFormat="1" outlineLevel="2">
      <c r="A173" s="39" t="s">
        <v>78</v>
      </c>
      <c r="B173" s="40" t="s">
        <v>215</v>
      </c>
      <c r="C173" s="41" t="s">
        <v>85</v>
      </c>
      <c r="D173" s="40" t="s">
        <v>86</v>
      </c>
      <c r="E173" s="24">
        <v>177410000</v>
      </c>
      <c r="F173" s="39">
        <v>44463</v>
      </c>
      <c r="G173" s="24">
        <v>177410000</v>
      </c>
      <c r="H173" s="23">
        <v>5.0000000000000001E-3</v>
      </c>
      <c r="I173" s="39">
        <v>44501</v>
      </c>
      <c r="J173" s="39">
        <v>44530</v>
      </c>
      <c r="K173" s="24">
        <v>30</v>
      </c>
      <c r="L173" s="24">
        <v>72908</v>
      </c>
      <c r="M173" s="24">
        <v>177410000</v>
      </c>
      <c r="N173" s="39">
        <v>46288</v>
      </c>
    </row>
    <row r="174" spans="1:14" s="5" customFormat="1" outlineLevel="2">
      <c r="A174" s="39" t="s">
        <v>78</v>
      </c>
      <c r="B174" s="40" t="s">
        <v>68</v>
      </c>
      <c r="C174" s="41" t="s">
        <v>81</v>
      </c>
      <c r="D174" s="40" t="s">
        <v>82</v>
      </c>
      <c r="E174" s="24">
        <v>10000000</v>
      </c>
      <c r="F174" s="39">
        <v>44025</v>
      </c>
      <c r="G174" s="24">
        <v>7457620</v>
      </c>
      <c r="H174" s="23">
        <v>5.0000000000000001E-3</v>
      </c>
      <c r="I174" s="39">
        <v>44501</v>
      </c>
      <c r="J174" s="39">
        <v>44514</v>
      </c>
      <c r="K174" s="24">
        <v>14</v>
      </c>
      <c r="L174" s="24">
        <v>1430</v>
      </c>
      <c r="M174" s="24">
        <v>7288128</v>
      </c>
      <c r="N174" s="39">
        <v>45850</v>
      </c>
    </row>
    <row r="175" spans="1:14" s="5" customFormat="1" outlineLevel="2">
      <c r="A175" s="39" t="s">
        <v>78</v>
      </c>
      <c r="B175" s="40" t="s">
        <v>68</v>
      </c>
      <c r="C175" s="41" t="s">
        <v>81</v>
      </c>
      <c r="D175" s="40"/>
      <c r="E175" s="24"/>
      <c r="F175" s="39"/>
      <c r="G175" s="24">
        <v>7288128</v>
      </c>
      <c r="H175" s="23">
        <v>5.0000000000000001E-3</v>
      </c>
      <c r="I175" s="39">
        <v>44515</v>
      </c>
      <c r="J175" s="39">
        <v>44530</v>
      </c>
      <c r="K175" s="24">
        <v>16</v>
      </c>
      <c r="L175" s="24">
        <v>1597</v>
      </c>
      <c r="M175" s="24"/>
      <c r="N175" s="39">
        <v>45850</v>
      </c>
    </row>
    <row r="176" spans="1:14" s="5" customFormat="1" outlineLevel="2">
      <c r="A176" s="39" t="s">
        <v>78</v>
      </c>
      <c r="B176" s="40" t="s">
        <v>216</v>
      </c>
      <c r="C176" s="41" t="s">
        <v>91</v>
      </c>
      <c r="D176" s="40" t="s">
        <v>92</v>
      </c>
      <c r="E176" s="24">
        <v>20300000</v>
      </c>
      <c r="F176" s="39">
        <v>44477</v>
      </c>
      <c r="G176" s="24">
        <v>20300000</v>
      </c>
      <c r="H176" s="23">
        <v>5.0000000000000001E-3</v>
      </c>
      <c r="I176" s="39">
        <v>44501</v>
      </c>
      <c r="J176" s="39">
        <v>44530</v>
      </c>
      <c r="K176" s="24">
        <v>30</v>
      </c>
      <c r="L176" s="24">
        <v>8342</v>
      </c>
      <c r="M176" s="24">
        <v>20300000</v>
      </c>
      <c r="N176" s="39">
        <v>46302</v>
      </c>
    </row>
    <row r="177" spans="1:14" s="5" customFormat="1" outlineLevel="2">
      <c r="A177" s="39" t="s">
        <v>78</v>
      </c>
      <c r="B177" s="40" t="s">
        <v>217</v>
      </c>
      <c r="C177" s="41" t="s">
        <v>91</v>
      </c>
      <c r="D177" s="40" t="s">
        <v>92</v>
      </c>
      <c r="E177" s="24">
        <v>40800000</v>
      </c>
      <c r="F177" s="39">
        <v>44477</v>
      </c>
      <c r="G177" s="24">
        <v>40800000</v>
      </c>
      <c r="H177" s="23">
        <v>5.0000000000000001E-3</v>
      </c>
      <c r="I177" s="39">
        <v>44501</v>
      </c>
      <c r="J177" s="39">
        <v>44530</v>
      </c>
      <c r="K177" s="24">
        <v>30</v>
      </c>
      <c r="L177" s="24">
        <v>16767</v>
      </c>
      <c r="M177" s="24">
        <v>40800000</v>
      </c>
      <c r="N177" s="39">
        <v>46302</v>
      </c>
    </row>
    <row r="178" spans="1:14" s="5" customFormat="1" outlineLevel="2">
      <c r="A178" s="39" t="s">
        <v>78</v>
      </c>
      <c r="B178" s="40" t="s">
        <v>218</v>
      </c>
      <c r="C178" s="41" t="s">
        <v>93</v>
      </c>
      <c r="D178" s="40" t="s">
        <v>94</v>
      </c>
      <c r="E178" s="24">
        <v>6174000</v>
      </c>
      <c r="F178" s="39">
        <v>44477</v>
      </c>
      <c r="G178" s="24">
        <v>6174000</v>
      </c>
      <c r="H178" s="23">
        <v>5.0000000000000001E-3</v>
      </c>
      <c r="I178" s="39">
        <v>44501</v>
      </c>
      <c r="J178" s="39">
        <v>44530</v>
      </c>
      <c r="K178" s="24">
        <v>30</v>
      </c>
      <c r="L178" s="24">
        <v>2537</v>
      </c>
      <c r="M178" s="24">
        <v>6174000</v>
      </c>
      <c r="N178" s="39">
        <v>46302</v>
      </c>
    </row>
    <row r="179" spans="1:14" s="5" customFormat="1" outlineLevel="2">
      <c r="A179" s="39" t="s">
        <v>78</v>
      </c>
      <c r="B179" s="40" t="s">
        <v>221</v>
      </c>
      <c r="C179" s="41" t="s">
        <v>93</v>
      </c>
      <c r="D179" s="40" t="s">
        <v>94</v>
      </c>
      <c r="E179" s="24">
        <v>8325880</v>
      </c>
      <c r="F179" s="39">
        <v>44477</v>
      </c>
      <c r="G179" s="24">
        <v>8325880</v>
      </c>
      <c r="H179" s="23">
        <v>5.0000000000000001E-3</v>
      </c>
      <c r="I179" s="39">
        <v>44501</v>
      </c>
      <c r="J179" s="39">
        <v>44530</v>
      </c>
      <c r="K179" s="24">
        <v>30</v>
      </c>
      <c r="L179" s="24">
        <v>3422</v>
      </c>
      <c r="M179" s="24">
        <v>8325880</v>
      </c>
      <c r="N179" s="39">
        <v>46302</v>
      </c>
    </row>
    <row r="180" spans="1:14" s="5" customFormat="1" outlineLevel="2">
      <c r="A180" s="39" t="s">
        <v>78</v>
      </c>
      <c r="B180" s="40" t="s">
        <v>222</v>
      </c>
      <c r="C180" s="41" t="s">
        <v>93</v>
      </c>
      <c r="D180" s="40" t="s">
        <v>94</v>
      </c>
      <c r="E180" s="24">
        <v>635047</v>
      </c>
      <c r="F180" s="39">
        <v>44519</v>
      </c>
      <c r="G180" s="24">
        <v>635047</v>
      </c>
      <c r="H180" s="23">
        <v>5.0000000000000001E-3</v>
      </c>
      <c r="I180" s="39">
        <v>44519</v>
      </c>
      <c r="J180" s="39">
        <v>44530</v>
      </c>
      <c r="K180" s="24">
        <v>12</v>
      </c>
      <c r="L180" s="24">
        <v>104</v>
      </c>
      <c r="M180" s="24">
        <v>635047</v>
      </c>
      <c r="N180" s="39">
        <v>46344</v>
      </c>
    </row>
    <row r="181" spans="1:14" s="5" customFormat="1" outlineLevel="2">
      <c r="A181" s="39" t="s">
        <v>78</v>
      </c>
      <c r="B181" s="40" t="s">
        <v>223</v>
      </c>
      <c r="C181" s="41" t="s">
        <v>93</v>
      </c>
      <c r="D181" s="40" t="s">
        <v>94</v>
      </c>
      <c r="E181" s="24">
        <v>350992</v>
      </c>
      <c r="F181" s="39">
        <v>44526</v>
      </c>
      <c r="G181" s="24">
        <v>350992</v>
      </c>
      <c r="H181" s="23">
        <v>5.0000000000000001E-3</v>
      </c>
      <c r="I181" s="39">
        <v>44526</v>
      </c>
      <c r="J181" s="39">
        <v>44530</v>
      </c>
      <c r="K181" s="24">
        <v>5</v>
      </c>
      <c r="L181" s="24">
        <v>24</v>
      </c>
      <c r="M181" s="24">
        <v>350992</v>
      </c>
      <c r="N181" s="39">
        <v>46351</v>
      </c>
    </row>
    <row r="182" spans="1:14" s="5" customFormat="1" outlineLevel="1">
      <c r="A182" s="42" t="s">
        <v>107</v>
      </c>
      <c r="B182" s="43"/>
      <c r="C182" s="44"/>
      <c r="D182" s="43"/>
      <c r="E182" s="45">
        <v>4418514972</v>
      </c>
      <c r="F182" s="46"/>
      <c r="G182" s="45"/>
      <c r="H182" s="47"/>
      <c r="I182" s="46"/>
      <c r="J182" s="46"/>
      <c r="K182" s="45"/>
      <c r="L182" s="45">
        <v>1681250</v>
      </c>
      <c r="M182" s="45">
        <v>4360424938</v>
      </c>
      <c r="N182" s="46"/>
    </row>
    <row r="183" spans="1:14" s="5" customFormat="1" outlineLevel="2">
      <c r="A183" s="39" t="s">
        <v>108</v>
      </c>
      <c r="B183" s="40" t="s">
        <v>16</v>
      </c>
      <c r="C183" s="41" t="s">
        <v>109</v>
      </c>
      <c r="D183" s="40" t="s">
        <v>110</v>
      </c>
      <c r="E183" s="24">
        <v>81465386</v>
      </c>
      <c r="F183" s="39">
        <v>43900</v>
      </c>
      <c r="G183" s="24">
        <v>81465386</v>
      </c>
      <c r="H183" s="23">
        <v>5.0000000000000001E-3</v>
      </c>
      <c r="I183" s="39">
        <v>44501</v>
      </c>
      <c r="J183" s="39">
        <v>44530</v>
      </c>
      <c r="K183" s="24">
        <v>30</v>
      </c>
      <c r="L183" s="24">
        <v>33479</v>
      </c>
      <c r="M183" s="24">
        <v>81465386</v>
      </c>
      <c r="N183" s="39">
        <v>45725</v>
      </c>
    </row>
    <row r="184" spans="1:14" s="5" customFormat="1" outlineLevel="2">
      <c r="A184" s="39" t="s">
        <v>108</v>
      </c>
      <c r="B184" s="40" t="s">
        <v>19</v>
      </c>
      <c r="C184" s="41" t="s">
        <v>111</v>
      </c>
      <c r="D184" s="40" t="s">
        <v>112</v>
      </c>
      <c r="E184" s="24">
        <v>8860000</v>
      </c>
      <c r="F184" s="39">
        <v>43997</v>
      </c>
      <c r="G184" s="24">
        <v>8860000</v>
      </c>
      <c r="H184" s="23">
        <v>5.0000000000000001E-3</v>
      </c>
      <c r="I184" s="39">
        <v>44501</v>
      </c>
      <c r="J184" s="39">
        <v>44530</v>
      </c>
      <c r="K184" s="24">
        <v>30</v>
      </c>
      <c r="L184" s="24">
        <v>3641</v>
      </c>
      <c r="M184" s="24">
        <v>8860000</v>
      </c>
      <c r="N184" s="39">
        <v>45822</v>
      </c>
    </row>
    <row r="185" spans="1:14" s="5" customFormat="1" outlineLevel="2">
      <c r="A185" s="39" t="s">
        <v>108</v>
      </c>
      <c r="B185" s="40" t="s">
        <v>22</v>
      </c>
      <c r="C185" s="41" t="s">
        <v>113</v>
      </c>
      <c r="D185" s="40" t="s">
        <v>114</v>
      </c>
      <c r="E185" s="24">
        <v>20390000</v>
      </c>
      <c r="F185" s="39">
        <v>43997</v>
      </c>
      <c r="G185" s="24">
        <v>16411472</v>
      </c>
      <c r="H185" s="23">
        <v>5.0000000000000001E-3</v>
      </c>
      <c r="I185" s="39">
        <v>44501</v>
      </c>
      <c r="J185" s="39">
        <v>44514</v>
      </c>
      <c r="K185" s="24">
        <v>14</v>
      </c>
      <c r="L185" s="24">
        <v>3147</v>
      </c>
      <c r="M185" s="24">
        <v>16162814</v>
      </c>
      <c r="N185" s="39">
        <v>45822</v>
      </c>
    </row>
    <row r="186" spans="1:14" s="5" customFormat="1" outlineLevel="2">
      <c r="A186" s="39" t="s">
        <v>108</v>
      </c>
      <c r="B186" s="40" t="s">
        <v>22</v>
      </c>
      <c r="C186" s="41" t="s">
        <v>113</v>
      </c>
      <c r="D186" s="40"/>
      <c r="E186" s="24"/>
      <c r="F186" s="39"/>
      <c r="G186" s="24">
        <v>16162814</v>
      </c>
      <c r="H186" s="23">
        <v>5.0000000000000001E-3</v>
      </c>
      <c r="I186" s="39">
        <v>44515</v>
      </c>
      <c r="J186" s="39">
        <v>44530</v>
      </c>
      <c r="K186" s="24">
        <v>16</v>
      </c>
      <c r="L186" s="24">
        <v>3543</v>
      </c>
      <c r="M186" s="24"/>
      <c r="N186" s="39">
        <v>45822</v>
      </c>
    </row>
    <row r="187" spans="1:14" s="5" customFormat="1" outlineLevel="2">
      <c r="A187" s="39" t="s">
        <v>108</v>
      </c>
      <c r="B187" s="40" t="s">
        <v>25</v>
      </c>
      <c r="C187" s="41" t="s">
        <v>113</v>
      </c>
      <c r="D187" s="40" t="s">
        <v>114</v>
      </c>
      <c r="E187" s="24">
        <v>69600000</v>
      </c>
      <c r="F187" s="39">
        <v>43997</v>
      </c>
      <c r="G187" s="24">
        <v>60320000</v>
      </c>
      <c r="H187" s="23">
        <v>5.0000000000000001E-3</v>
      </c>
      <c r="I187" s="39">
        <v>44501</v>
      </c>
      <c r="J187" s="39">
        <v>44514</v>
      </c>
      <c r="K187" s="24">
        <v>14</v>
      </c>
      <c r="L187" s="24">
        <v>11568</v>
      </c>
      <c r="M187" s="24">
        <v>59740000</v>
      </c>
      <c r="N187" s="39">
        <v>45822</v>
      </c>
    </row>
    <row r="188" spans="1:14" s="5" customFormat="1" outlineLevel="2">
      <c r="A188" s="39" t="s">
        <v>108</v>
      </c>
      <c r="B188" s="40" t="s">
        <v>25</v>
      </c>
      <c r="C188" s="41" t="s">
        <v>113</v>
      </c>
      <c r="D188" s="40"/>
      <c r="E188" s="24"/>
      <c r="F188" s="39"/>
      <c r="G188" s="24">
        <v>59740000</v>
      </c>
      <c r="H188" s="23">
        <v>5.0000000000000001E-3</v>
      </c>
      <c r="I188" s="39">
        <v>44515</v>
      </c>
      <c r="J188" s="39">
        <v>44530</v>
      </c>
      <c r="K188" s="24">
        <v>16</v>
      </c>
      <c r="L188" s="24">
        <v>13094</v>
      </c>
      <c r="M188" s="24"/>
      <c r="N188" s="39">
        <v>45822</v>
      </c>
    </row>
    <row r="189" spans="1:14" s="5" customFormat="1" outlineLevel="2">
      <c r="A189" s="39" t="s">
        <v>108</v>
      </c>
      <c r="B189" s="40" t="s">
        <v>26</v>
      </c>
      <c r="C189" s="41" t="s">
        <v>109</v>
      </c>
      <c r="D189" s="40" t="s">
        <v>110</v>
      </c>
      <c r="E189" s="24">
        <v>16630000</v>
      </c>
      <c r="F189" s="39">
        <v>44011</v>
      </c>
      <c r="G189" s="24">
        <v>16630000</v>
      </c>
      <c r="H189" s="23">
        <v>5.0000000000000001E-3</v>
      </c>
      <c r="I189" s="39">
        <v>44501</v>
      </c>
      <c r="J189" s="39">
        <v>44530</v>
      </c>
      <c r="K189" s="24">
        <v>30</v>
      </c>
      <c r="L189" s="24">
        <v>6834</v>
      </c>
      <c r="M189" s="24">
        <v>16630000</v>
      </c>
      <c r="N189" s="39">
        <v>45836</v>
      </c>
    </row>
    <row r="190" spans="1:14" s="5" customFormat="1" outlineLevel="2">
      <c r="A190" s="39" t="s">
        <v>108</v>
      </c>
      <c r="B190" s="40" t="s">
        <v>29</v>
      </c>
      <c r="C190" s="41" t="s">
        <v>111</v>
      </c>
      <c r="D190" s="40" t="s">
        <v>112</v>
      </c>
      <c r="E190" s="24">
        <v>4650000</v>
      </c>
      <c r="F190" s="39">
        <v>44027</v>
      </c>
      <c r="G190" s="24">
        <v>4650000</v>
      </c>
      <c r="H190" s="23">
        <v>5.0000000000000001E-3</v>
      </c>
      <c r="I190" s="39">
        <v>44501</v>
      </c>
      <c r="J190" s="39">
        <v>44530</v>
      </c>
      <c r="K190" s="24">
        <v>30</v>
      </c>
      <c r="L190" s="24">
        <v>1911</v>
      </c>
      <c r="M190" s="24">
        <v>4650000</v>
      </c>
      <c r="N190" s="39">
        <v>45852</v>
      </c>
    </row>
    <row r="191" spans="1:14" s="5" customFormat="1" outlineLevel="2">
      <c r="A191" s="39" t="s">
        <v>108</v>
      </c>
      <c r="B191" s="40" t="s">
        <v>32</v>
      </c>
      <c r="C191" s="41" t="s">
        <v>113</v>
      </c>
      <c r="D191" s="40" t="s">
        <v>114</v>
      </c>
      <c r="E191" s="24">
        <v>10860000</v>
      </c>
      <c r="F191" s="39">
        <v>44027</v>
      </c>
      <c r="G191" s="24">
        <v>8848890</v>
      </c>
      <c r="H191" s="23">
        <v>5.0000000000000001E-3</v>
      </c>
      <c r="I191" s="39">
        <v>44501</v>
      </c>
      <c r="J191" s="39">
        <v>44514</v>
      </c>
      <c r="K191" s="24">
        <v>14</v>
      </c>
      <c r="L191" s="24">
        <v>1697</v>
      </c>
      <c r="M191" s="24">
        <v>8714816</v>
      </c>
      <c r="N191" s="39">
        <v>45852</v>
      </c>
    </row>
    <row r="192" spans="1:14" s="5" customFormat="1" outlineLevel="2">
      <c r="A192" s="39" t="s">
        <v>108</v>
      </c>
      <c r="B192" s="40" t="s">
        <v>32</v>
      </c>
      <c r="C192" s="41" t="s">
        <v>113</v>
      </c>
      <c r="D192" s="40"/>
      <c r="E192" s="24"/>
      <c r="F192" s="39"/>
      <c r="G192" s="24">
        <v>8714816</v>
      </c>
      <c r="H192" s="23">
        <v>5.0000000000000001E-3</v>
      </c>
      <c r="I192" s="39">
        <v>44515</v>
      </c>
      <c r="J192" s="39">
        <v>44530</v>
      </c>
      <c r="K192" s="24">
        <v>16</v>
      </c>
      <c r="L192" s="24">
        <v>1910</v>
      </c>
      <c r="M192" s="24"/>
      <c r="N192" s="39">
        <v>45852</v>
      </c>
    </row>
    <row r="193" spans="1:14" s="5" customFormat="1" outlineLevel="2">
      <c r="A193" s="39" t="s">
        <v>108</v>
      </c>
      <c r="B193" s="40" t="s">
        <v>33</v>
      </c>
      <c r="C193" s="41" t="s">
        <v>113</v>
      </c>
      <c r="D193" s="40" t="s">
        <v>114</v>
      </c>
      <c r="E193" s="24">
        <v>11600000</v>
      </c>
      <c r="F193" s="39">
        <v>44027</v>
      </c>
      <c r="G193" s="24">
        <v>10137830</v>
      </c>
      <c r="H193" s="23">
        <v>5.0000000000000001E-3</v>
      </c>
      <c r="I193" s="39">
        <v>44501</v>
      </c>
      <c r="J193" s="39">
        <v>44514</v>
      </c>
      <c r="K193" s="24">
        <v>14</v>
      </c>
      <c r="L193" s="24">
        <v>1944</v>
      </c>
      <c r="M193" s="24">
        <v>10040352</v>
      </c>
      <c r="N193" s="39">
        <v>45852</v>
      </c>
    </row>
    <row r="194" spans="1:14" s="5" customFormat="1" outlineLevel="2">
      <c r="A194" s="39" t="s">
        <v>108</v>
      </c>
      <c r="B194" s="40" t="s">
        <v>33</v>
      </c>
      <c r="C194" s="41" t="s">
        <v>113</v>
      </c>
      <c r="D194" s="40"/>
      <c r="E194" s="24"/>
      <c r="F194" s="39"/>
      <c r="G194" s="24">
        <v>10040352</v>
      </c>
      <c r="H194" s="23">
        <v>5.0000000000000001E-3</v>
      </c>
      <c r="I194" s="39">
        <v>44515</v>
      </c>
      <c r="J194" s="39">
        <v>44530</v>
      </c>
      <c r="K194" s="24">
        <v>16</v>
      </c>
      <c r="L194" s="24">
        <v>2201</v>
      </c>
      <c r="M194" s="24"/>
      <c r="N194" s="39">
        <v>45852</v>
      </c>
    </row>
    <row r="195" spans="1:14" s="5" customFormat="1" outlineLevel="2">
      <c r="A195" s="39" t="s">
        <v>108</v>
      </c>
      <c r="B195" s="40" t="s">
        <v>34</v>
      </c>
      <c r="C195" s="41" t="s">
        <v>23</v>
      </c>
      <c r="D195" s="40" t="s">
        <v>24</v>
      </c>
      <c r="E195" s="24">
        <v>18700000</v>
      </c>
      <c r="F195" s="39">
        <v>44032</v>
      </c>
      <c r="G195" s="24">
        <v>18700000</v>
      </c>
      <c r="H195" s="23">
        <v>5.0000000000000001E-3</v>
      </c>
      <c r="I195" s="39">
        <v>44501</v>
      </c>
      <c r="J195" s="39">
        <v>44530</v>
      </c>
      <c r="K195" s="24">
        <v>30</v>
      </c>
      <c r="L195" s="24">
        <v>7685</v>
      </c>
      <c r="M195" s="24">
        <v>18700000</v>
      </c>
      <c r="N195" s="39">
        <v>45857</v>
      </c>
    </row>
    <row r="196" spans="1:14" s="5" customFormat="1" outlineLevel="2">
      <c r="A196" s="39" t="s">
        <v>108</v>
      </c>
      <c r="B196" s="40" t="s">
        <v>35</v>
      </c>
      <c r="C196" s="41" t="s">
        <v>111</v>
      </c>
      <c r="D196" s="40" t="s">
        <v>112</v>
      </c>
      <c r="E196" s="24">
        <v>2950000</v>
      </c>
      <c r="F196" s="39">
        <v>44060</v>
      </c>
      <c r="G196" s="24">
        <v>2950000</v>
      </c>
      <c r="H196" s="23">
        <v>5.0000000000000001E-3</v>
      </c>
      <c r="I196" s="39">
        <v>44501</v>
      </c>
      <c r="J196" s="39">
        <v>44530</v>
      </c>
      <c r="K196" s="24">
        <v>30</v>
      </c>
      <c r="L196" s="24">
        <v>1212</v>
      </c>
      <c r="M196" s="24">
        <v>2950000</v>
      </c>
      <c r="N196" s="39">
        <v>45885</v>
      </c>
    </row>
    <row r="197" spans="1:14" s="5" customFormat="1" outlineLevel="2">
      <c r="A197" s="39" t="s">
        <v>108</v>
      </c>
      <c r="B197" s="40" t="s">
        <v>36</v>
      </c>
      <c r="C197" s="41" t="s">
        <v>109</v>
      </c>
      <c r="D197" s="40" t="s">
        <v>110</v>
      </c>
      <c r="E197" s="24">
        <v>15120000</v>
      </c>
      <c r="F197" s="39">
        <v>44091</v>
      </c>
      <c r="G197" s="24">
        <v>15120000</v>
      </c>
      <c r="H197" s="23">
        <v>5.0000000000000001E-3</v>
      </c>
      <c r="I197" s="39">
        <v>44501</v>
      </c>
      <c r="J197" s="39">
        <v>44530</v>
      </c>
      <c r="K197" s="24">
        <v>30</v>
      </c>
      <c r="L197" s="24">
        <v>6214</v>
      </c>
      <c r="M197" s="24">
        <v>15120000</v>
      </c>
      <c r="N197" s="39">
        <v>45916</v>
      </c>
    </row>
    <row r="198" spans="1:14" s="5" customFormat="1" outlineLevel="2">
      <c r="A198" s="39" t="s">
        <v>108</v>
      </c>
      <c r="B198" s="40" t="s">
        <v>39</v>
      </c>
      <c r="C198" s="41" t="s">
        <v>111</v>
      </c>
      <c r="D198" s="40" t="s">
        <v>112</v>
      </c>
      <c r="E198" s="24">
        <v>6200000</v>
      </c>
      <c r="F198" s="39">
        <v>43929</v>
      </c>
      <c r="G198" s="24">
        <v>6200000</v>
      </c>
      <c r="H198" s="23">
        <v>5.0000000000000001E-3</v>
      </c>
      <c r="I198" s="39">
        <v>44501</v>
      </c>
      <c r="J198" s="39">
        <v>44530</v>
      </c>
      <c r="K198" s="24">
        <v>30</v>
      </c>
      <c r="L198" s="24">
        <v>2548</v>
      </c>
      <c r="M198" s="24">
        <v>6200000</v>
      </c>
      <c r="N198" s="39">
        <v>45754</v>
      </c>
    </row>
    <row r="199" spans="1:14" s="5" customFormat="1" outlineLevel="2">
      <c r="A199" s="39" t="s">
        <v>108</v>
      </c>
      <c r="B199" s="40" t="s">
        <v>40</v>
      </c>
      <c r="C199" s="41" t="s">
        <v>27</v>
      </c>
      <c r="D199" s="40" t="s">
        <v>28</v>
      </c>
      <c r="E199" s="24">
        <v>10000000</v>
      </c>
      <c r="F199" s="39">
        <v>44111</v>
      </c>
      <c r="G199" s="24">
        <v>7833342</v>
      </c>
      <c r="H199" s="23">
        <v>5.0000000000000001E-3</v>
      </c>
      <c r="I199" s="39">
        <v>44501</v>
      </c>
      <c r="J199" s="39">
        <v>44514</v>
      </c>
      <c r="K199" s="24">
        <v>14</v>
      </c>
      <c r="L199" s="24">
        <v>1502</v>
      </c>
      <c r="M199" s="24">
        <v>7666676</v>
      </c>
      <c r="N199" s="39">
        <v>45936</v>
      </c>
    </row>
    <row r="200" spans="1:14" s="5" customFormat="1" outlineLevel="2">
      <c r="A200" s="39" t="s">
        <v>108</v>
      </c>
      <c r="B200" s="40" t="s">
        <v>40</v>
      </c>
      <c r="C200" s="41" t="s">
        <v>27</v>
      </c>
      <c r="D200" s="40"/>
      <c r="E200" s="24"/>
      <c r="F200" s="39"/>
      <c r="G200" s="24">
        <v>7666676</v>
      </c>
      <c r="H200" s="23">
        <v>5.0000000000000001E-3</v>
      </c>
      <c r="I200" s="39">
        <v>44515</v>
      </c>
      <c r="J200" s="39">
        <v>44530</v>
      </c>
      <c r="K200" s="24">
        <v>16</v>
      </c>
      <c r="L200" s="24">
        <v>1680</v>
      </c>
      <c r="M200" s="24"/>
      <c r="N200" s="39">
        <v>45936</v>
      </c>
    </row>
    <row r="201" spans="1:14" s="5" customFormat="1" outlineLevel="2">
      <c r="A201" s="39" t="s">
        <v>108</v>
      </c>
      <c r="B201" s="40" t="s">
        <v>41</v>
      </c>
      <c r="C201" s="41" t="s">
        <v>27</v>
      </c>
      <c r="D201" s="40" t="s">
        <v>28</v>
      </c>
      <c r="E201" s="24">
        <v>24450000</v>
      </c>
      <c r="F201" s="39">
        <v>44120</v>
      </c>
      <c r="G201" s="24">
        <v>19477128</v>
      </c>
      <c r="H201" s="23">
        <v>5.0000000000000001E-3</v>
      </c>
      <c r="I201" s="39">
        <v>44501</v>
      </c>
      <c r="J201" s="39">
        <v>44514</v>
      </c>
      <c r="K201" s="24">
        <v>14</v>
      </c>
      <c r="L201" s="24">
        <v>3735</v>
      </c>
      <c r="M201" s="24">
        <v>19062722</v>
      </c>
      <c r="N201" s="39">
        <v>45945</v>
      </c>
    </row>
    <row r="202" spans="1:14" s="5" customFormat="1" outlineLevel="2">
      <c r="A202" s="39" t="s">
        <v>108</v>
      </c>
      <c r="B202" s="40" t="s">
        <v>41</v>
      </c>
      <c r="C202" s="41" t="s">
        <v>27</v>
      </c>
      <c r="D202" s="40"/>
      <c r="E202" s="24"/>
      <c r="F202" s="39"/>
      <c r="G202" s="24">
        <v>19062722</v>
      </c>
      <c r="H202" s="23">
        <v>5.0000000000000001E-3</v>
      </c>
      <c r="I202" s="39">
        <v>44515</v>
      </c>
      <c r="J202" s="39">
        <v>44530</v>
      </c>
      <c r="K202" s="24">
        <v>16</v>
      </c>
      <c r="L202" s="24">
        <v>4178</v>
      </c>
      <c r="M202" s="24"/>
      <c r="N202" s="39">
        <v>45945</v>
      </c>
    </row>
    <row r="203" spans="1:14" s="5" customFormat="1" outlineLevel="2">
      <c r="A203" s="39" t="s">
        <v>108</v>
      </c>
      <c r="B203" s="40" t="s">
        <v>42</v>
      </c>
      <c r="C203" s="41" t="s">
        <v>23</v>
      </c>
      <c r="D203" s="40" t="s">
        <v>24</v>
      </c>
      <c r="E203" s="24">
        <v>26100000</v>
      </c>
      <c r="F203" s="39">
        <v>44124</v>
      </c>
      <c r="G203" s="24">
        <v>26100000</v>
      </c>
      <c r="H203" s="23">
        <v>5.0000000000000001E-3</v>
      </c>
      <c r="I203" s="39">
        <v>44501</v>
      </c>
      <c r="J203" s="39">
        <v>44530</v>
      </c>
      <c r="K203" s="24">
        <v>30</v>
      </c>
      <c r="L203" s="24">
        <v>10726</v>
      </c>
      <c r="M203" s="24">
        <v>26100000</v>
      </c>
      <c r="N203" s="39">
        <v>45949</v>
      </c>
    </row>
    <row r="204" spans="1:14" s="5" customFormat="1" outlineLevel="2">
      <c r="A204" s="39" t="s">
        <v>108</v>
      </c>
      <c r="B204" s="40" t="s">
        <v>43</v>
      </c>
      <c r="C204" s="41" t="s">
        <v>27</v>
      </c>
      <c r="D204" s="40" t="s">
        <v>28</v>
      </c>
      <c r="E204" s="24">
        <v>25800000</v>
      </c>
      <c r="F204" s="39">
        <v>44137</v>
      </c>
      <c r="G204" s="24">
        <v>20552544</v>
      </c>
      <c r="H204" s="23">
        <v>5.0000000000000001E-3</v>
      </c>
      <c r="I204" s="39">
        <v>44501</v>
      </c>
      <c r="J204" s="39">
        <v>44514</v>
      </c>
      <c r="K204" s="24">
        <v>14</v>
      </c>
      <c r="L204" s="24">
        <v>3942</v>
      </c>
      <c r="M204" s="24">
        <v>20115256</v>
      </c>
      <c r="N204" s="39">
        <v>45962</v>
      </c>
    </row>
    <row r="205" spans="1:14" s="5" customFormat="1" outlineLevel="2">
      <c r="A205" s="39" t="s">
        <v>108</v>
      </c>
      <c r="B205" s="40" t="s">
        <v>43</v>
      </c>
      <c r="C205" s="41" t="s">
        <v>27</v>
      </c>
      <c r="D205" s="40"/>
      <c r="E205" s="24"/>
      <c r="F205" s="39"/>
      <c r="G205" s="24">
        <v>20115256</v>
      </c>
      <c r="H205" s="23">
        <v>5.0000000000000001E-3</v>
      </c>
      <c r="I205" s="39">
        <v>44515</v>
      </c>
      <c r="J205" s="39">
        <v>44530</v>
      </c>
      <c r="K205" s="24">
        <v>16</v>
      </c>
      <c r="L205" s="24">
        <v>4409</v>
      </c>
      <c r="M205" s="24"/>
      <c r="N205" s="39">
        <v>45962</v>
      </c>
    </row>
    <row r="206" spans="1:14" s="5" customFormat="1" outlineLevel="2">
      <c r="A206" s="39" t="s">
        <v>108</v>
      </c>
      <c r="B206" s="40" t="s">
        <v>44</v>
      </c>
      <c r="C206" s="41" t="s">
        <v>115</v>
      </c>
      <c r="D206" s="40" t="s">
        <v>116</v>
      </c>
      <c r="E206" s="24">
        <v>1200000</v>
      </c>
      <c r="F206" s="39">
        <v>44138</v>
      </c>
      <c r="G206" s="24">
        <v>1200000</v>
      </c>
      <c r="H206" s="23">
        <v>5.0000000000000001E-3</v>
      </c>
      <c r="I206" s="39">
        <v>44501</v>
      </c>
      <c r="J206" s="39">
        <v>44530</v>
      </c>
      <c r="K206" s="24">
        <v>30</v>
      </c>
      <c r="L206" s="24">
        <v>493</v>
      </c>
      <c r="M206" s="24">
        <v>1200000</v>
      </c>
      <c r="N206" s="39">
        <v>45963</v>
      </c>
    </row>
    <row r="207" spans="1:14" s="5" customFormat="1" outlineLevel="2">
      <c r="A207" s="39" t="s">
        <v>108</v>
      </c>
      <c r="B207" s="40" t="s">
        <v>47</v>
      </c>
      <c r="C207" s="41" t="s">
        <v>115</v>
      </c>
      <c r="D207" s="40" t="s">
        <v>116</v>
      </c>
      <c r="E207" s="24">
        <v>2350000</v>
      </c>
      <c r="F207" s="39">
        <v>44138</v>
      </c>
      <c r="G207" s="24">
        <v>2350000</v>
      </c>
      <c r="H207" s="23">
        <v>5.0000000000000001E-3</v>
      </c>
      <c r="I207" s="39">
        <v>44501</v>
      </c>
      <c r="J207" s="39">
        <v>44530</v>
      </c>
      <c r="K207" s="24">
        <v>30</v>
      </c>
      <c r="L207" s="24">
        <v>966</v>
      </c>
      <c r="M207" s="24">
        <v>2350000</v>
      </c>
      <c r="N207" s="39">
        <v>45963</v>
      </c>
    </row>
    <row r="208" spans="1:14" s="5" customFormat="1" outlineLevel="2">
      <c r="A208" s="39" t="s">
        <v>108</v>
      </c>
      <c r="B208" s="40" t="s">
        <v>50</v>
      </c>
      <c r="C208" s="41" t="s">
        <v>113</v>
      </c>
      <c r="D208" s="40" t="s">
        <v>114</v>
      </c>
      <c r="E208" s="24">
        <v>23200000</v>
      </c>
      <c r="F208" s="39">
        <v>44151</v>
      </c>
      <c r="G208" s="24">
        <v>20980871</v>
      </c>
      <c r="H208" s="23">
        <v>5.0000000000000001E-3</v>
      </c>
      <c r="I208" s="39">
        <v>44501</v>
      </c>
      <c r="J208" s="39">
        <v>44514</v>
      </c>
      <c r="K208" s="24">
        <v>14</v>
      </c>
      <c r="L208" s="24">
        <v>4024</v>
      </c>
      <c r="M208" s="24">
        <v>20779132</v>
      </c>
      <c r="N208" s="39">
        <v>45976</v>
      </c>
    </row>
    <row r="209" spans="1:14" s="5" customFormat="1" outlineLevel="2">
      <c r="A209" s="39" t="s">
        <v>108</v>
      </c>
      <c r="B209" s="40" t="s">
        <v>50</v>
      </c>
      <c r="C209" s="41" t="s">
        <v>113</v>
      </c>
      <c r="D209" s="40"/>
      <c r="E209" s="24"/>
      <c r="F209" s="39"/>
      <c r="G209" s="24">
        <v>20779132</v>
      </c>
      <c r="H209" s="23">
        <v>5.0000000000000001E-3</v>
      </c>
      <c r="I209" s="39">
        <v>44515</v>
      </c>
      <c r="J209" s="39">
        <v>44530</v>
      </c>
      <c r="K209" s="24">
        <v>16</v>
      </c>
      <c r="L209" s="24">
        <v>4554</v>
      </c>
      <c r="M209" s="24"/>
      <c r="N209" s="39">
        <v>45976</v>
      </c>
    </row>
    <row r="210" spans="1:14" s="5" customFormat="1" outlineLevel="2">
      <c r="A210" s="39" t="s">
        <v>108</v>
      </c>
      <c r="B210" s="40" t="s">
        <v>51</v>
      </c>
      <c r="C210" s="41" t="s">
        <v>111</v>
      </c>
      <c r="D210" s="40" t="s">
        <v>112</v>
      </c>
      <c r="E210" s="24">
        <v>5910000</v>
      </c>
      <c r="F210" s="39">
        <v>44151</v>
      </c>
      <c r="G210" s="24">
        <v>5910000</v>
      </c>
      <c r="H210" s="23">
        <v>5.0000000000000001E-3</v>
      </c>
      <c r="I210" s="39">
        <v>44501</v>
      </c>
      <c r="J210" s="39">
        <v>44530</v>
      </c>
      <c r="K210" s="24">
        <v>30</v>
      </c>
      <c r="L210" s="24">
        <v>2429</v>
      </c>
      <c r="M210" s="24">
        <v>5910000</v>
      </c>
      <c r="N210" s="39">
        <v>45976</v>
      </c>
    </row>
    <row r="211" spans="1:14" s="5" customFormat="1" outlineLevel="2">
      <c r="A211" s="39" t="s">
        <v>108</v>
      </c>
      <c r="B211" s="40" t="s">
        <v>52</v>
      </c>
      <c r="C211" s="41" t="s">
        <v>117</v>
      </c>
      <c r="D211" s="40" t="s">
        <v>118</v>
      </c>
      <c r="E211" s="24">
        <v>26000000</v>
      </c>
      <c r="F211" s="39">
        <v>44162</v>
      </c>
      <c r="G211" s="24">
        <v>23469032</v>
      </c>
      <c r="H211" s="23">
        <v>5.0000000000000001E-3</v>
      </c>
      <c r="I211" s="39">
        <v>44501</v>
      </c>
      <c r="J211" s="39">
        <v>44514</v>
      </c>
      <c r="K211" s="24">
        <v>14</v>
      </c>
      <c r="L211" s="24">
        <v>4501</v>
      </c>
      <c r="M211" s="24">
        <v>23238944</v>
      </c>
      <c r="N211" s="39">
        <v>45987</v>
      </c>
    </row>
    <row r="212" spans="1:14" s="5" customFormat="1" outlineLevel="2">
      <c r="A212" s="39" t="s">
        <v>108</v>
      </c>
      <c r="B212" s="40" t="s">
        <v>52</v>
      </c>
      <c r="C212" s="41" t="s">
        <v>117</v>
      </c>
      <c r="D212" s="40"/>
      <c r="E212" s="24"/>
      <c r="F212" s="39"/>
      <c r="G212" s="24">
        <v>23238944</v>
      </c>
      <c r="H212" s="23">
        <v>5.0000000000000001E-3</v>
      </c>
      <c r="I212" s="39">
        <v>44515</v>
      </c>
      <c r="J212" s="39">
        <v>44530</v>
      </c>
      <c r="K212" s="24">
        <v>16</v>
      </c>
      <c r="L212" s="24">
        <v>5093</v>
      </c>
      <c r="M212" s="24"/>
      <c r="N212" s="39">
        <v>45987</v>
      </c>
    </row>
    <row r="213" spans="1:14" s="5" customFormat="1" outlineLevel="2">
      <c r="A213" s="39" t="s">
        <v>108</v>
      </c>
      <c r="B213" s="40" t="s">
        <v>53</v>
      </c>
      <c r="C213" s="41" t="s">
        <v>27</v>
      </c>
      <c r="D213" s="40" t="s">
        <v>28</v>
      </c>
      <c r="E213" s="24">
        <v>9280000</v>
      </c>
      <c r="F213" s="39">
        <v>44167</v>
      </c>
      <c r="G213" s="24">
        <v>7520000</v>
      </c>
      <c r="H213" s="23">
        <v>5.0000000000000001E-3</v>
      </c>
      <c r="I213" s="39">
        <v>44501</v>
      </c>
      <c r="J213" s="39">
        <v>44514</v>
      </c>
      <c r="K213" s="24">
        <v>14</v>
      </c>
      <c r="L213" s="24">
        <v>1442</v>
      </c>
      <c r="M213" s="24">
        <v>7360000</v>
      </c>
      <c r="N213" s="39">
        <v>45992</v>
      </c>
    </row>
    <row r="214" spans="1:14" s="5" customFormat="1" outlineLevel="2">
      <c r="A214" s="39" t="s">
        <v>108</v>
      </c>
      <c r="B214" s="40" t="s">
        <v>53</v>
      </c>
      <c r="C214" s="41" t="s">
        <v>27</v>
      </c>
      <c r="D214" s="40"/>
      <c r="E214" s="24"/>
      <c r="F214" s="39"/>
      <c r="G214" s="24">
        <v>7360000</v>
      </c>
      <c r="H214" s="23">
        <v>5.0000000000000001E-3</v>
      </c>
      <c r="I214" s="39">
        <v>44515</v>
      </c>
      <c r="J214" s="39">
        <v>44530</v>
      </c>
      <c r="K214" s="24">
        <v>16</v>
      </c>
      <c r="L214" s="24">
        <v>1613</v>
      </c>
      <c r="M214" s="24"/>
      <c r="N214" s="39">
        <v>45992</v>
      </c>
    </row>
    <row r="215" spans="1:14" s="5" customFormat="1" outlineLevel="2">
      <c r="A215" s="39" t="s">
        <v>108</v>
      </c>
      <c r="B215" s="40" t="s">
        <v>54</v>
      </c>
      <c r="C215" s="41" t="s">
        <v>111</v>
      </c>
      <c r="D215" s="40" t="s">
        <v>112</v>
      </c>
      <c r="E215" s="24">
        <v>23630000</v>
      </c>
      <c r="F215" s="39">
        <v>43936</v>
      </c>
      <c r="G215" s="24">
        <v>23630000</v>
      </c>
      <c r="H215" s="23">
        <v>5.0000000000000001E-3</v>
      </c>
      <c r="I215" s="39">
        <v>44501</v>
      </c>
      <c r="J215" s="39">
        <v>44530</v>
      </c>
      <c r="K215" s="24">
        <v>30</v>
      </c>
      <c r="L215" s="24">
        <v>9711</v>
      </c>
      <c r="M215" s="24">
        <v>23630000</v>
      </c>
      <c r="N215" s="39">
        <v>45761</v>
      </c>
    </row>
    <row r="216" spans="1:14" s="5" customFormat="1" outlineLevel="2">
      <c r="A216" s="39" t="s">
        <v>108</v>
      </c>
      <c r="B216" s="40" t="s">
        <v>57</v>
      </c>
      <c r="C216" s="41" t="s">
        <v>27</v>
      </c>
      <c r="D216" s="40" t="s">
        <v>28</v>
      </c>
      <c r="E216" s="24">
        <v>10470000</v>
      </c>
      <c r="F216" s="39">
        <v>44181</v>
      </c>
      <c r="G216" s="24">
        <v>8633160</v>
      </c>
      <c r="H216" s="23">
        <v>5.0000000000000001E-3</v>
      </c>
      <c r="I216" s="39">
        <v>44501</v>
      </c>
      <c r="J216" s="39">
        <v>44514</v>
      </c>
      <c r="K216" s="24">
        <v>14</v>
      </c>
      <c r="L216" s="24">
        <v>1656</v>
      </c>
      <c r="M216" s="24">
        <v>8449476</v>
      </c>
      <c r="N216" s="39">
        <v>46006</v>
      </c>
    </row>
    <row r="217" spans="1:14" s="5" customFormat="1" outlineLevel="2">
      <c r="A217" s="39" t="s">
        <v>108</v>
      </c>
      <c r="B217" s="40" t="s">
        <v>57</v>
      </c>
      <c r="C217" s="41" t="s">
        <v>27</v>
      </c>
      <c r="D217" s="40"/>
      <c r="E217" s="24"/>
      <c r="F217" s="39"/>
      <c r="G217" s="24">
        <v>8449476</v>
      </c>
      <c r="H217" s="23">
        <v>5.0000000000000001E-3</v>
      </c>
      <c r="I217" s="39">
        <v>44515</v>
      </c>
      <c r="J217" s="39">
        <v>44530</v>
      </c>
      <c r="K217" s="24">
        <v>16</v>
      </c>
      <c r="L217" s="24">
        <v>1852</v>
      </c>
      <c r="M217" s="24"/>
      <c r="N217" s="39">
        <v>46006</v>
      </c>
    </row>
    <row r="218" spans="1:14" s="5" customFormat="1" outlineLevel="2">
      <c r="A218" s="39" t="s">
        <v>108</v>
      </c>
      <c r="B218" s="40" t="s">
        <v>58</v>
      </c>
      <c r="C218" s="41" t="s">
        <v>111</v>
      </c>
      <c r="D218" s="40" t="s">
        <v>112</v>
      </c>
      <c r="E218" s="24">
        <v>2950000</v>
      </c>
      <c r="F218" s="39">
        <v>44180</v>
      </c>
      <c r="G218" s="24">
        <v>2950000</v>
      </c>
      <c r="H218" s="23">
        <v>5.0000000000000001E-3</v>
      </c>
      <c r="I218" s="39">
        <v>44501</v>
      </c>
      <c r="J218" s="39">
        <v>44530</v>
      </c>
      <c r="K218" s="24">
        <v>30</v>
      </c>
      <c r="L218" s="24">
        <v>1212</v>
      </c>
      <c r="M218" s="24">
        <v>2950000</v>
      </c>
      <c r="N218" s="39">
        <v>46005</v>
      </c>
    </row>
    <row r="219" spans="1:14" s="5" customFormat="1" outlineLevel="2">
      <c r="A219" s="39" t="s">
        <v>108</v>
      </c>
      <c r="B219" s="40" t="s">
        <v>99</v>
      </c>
      <c r="C219" s="41" t="s">
        <v>115</v>
      </c>
      <c r="D219" s="40" t="s">
        <v>116</v>
      </c>
      <c r="E219" s="24">
        <v>24400000</v>
      </c>
      <c r="F219" s="39">
        <v>44193</v>
      </c>
      <c r="G219" s="24">
        <v>24400000</v>
      </c>
      <c r="H219" s="23">
        <v>5.0000000000000001E-3</v>
      </c>
      <c r="I219" s="39">
        <v>44501</v>
      </c>
      <c r="J219" s="39">
        <v>44530</v>
      </c>
      <c r="K219" s="24">
        <v>30</v>
      </c>
      <c r="L219" s="24">
        <v>10027</v>
      </c>
      <c r="M219" s="24">
        <v>24400000</v>
      </c>
      <c r="N219" s="39">
        <v>46018</v>
      </c>
    </row>
    <row r="220" spans="1:14" s="5" customFormat="1" outlineLevel="2">
      <c r="A220" s="39" t="s">
        <v>108</v>
      </c>
      <c r="B220" s="40" t="s">
        <v>100</v>
      </c>
      <c r="C220" s="41" t="s">
        <v>115</v>
      </c>
      <c r="D220" s="40" t="s">
        <v>116</v>
      </c>
      <c r="E220" s="24">
        <v>5500000</v>
      </c>
      <c r="F220" s="39">
        <v>44193</v>
      </c>
      <c r="G220" s="24">
        <v>5500000</v>
      </c>
      <c r="H220" s="23">
        <v>5.0000000000000001E-3</v>
      </c>
      <c r="I220" s="39">
        <v>44501</v>
      </c>
      <c r="J220" s="39">
        <v>44530</v>
      </c>
      <c r="K220" s="24">
        <v>30</v>
      </c>
      <c r="L220" s="24">
        <v>2260</v>
      </c>
      <c r="M220" s="24">
        <v>5500000</v>
      </c>
      <c r="N220" s="39">
        <v>46018</v>
      </c>
    </row>
    <row r="221" spans="1:14" s="5" customFormat="1" outlineLevel="2">
      <c r="A221" s="39" t="s">
        <v>108</v>
      </c>
      <c r="B221" s="40" t="s">
        <v>101</v>
      </c>
      <c r="C221" s="41" t="s">
        <v>115</v>
      </c>
      <c r="D221" s="40" t="s">
        <v>116</v>
      </c>
      <c r="E221" s="24">
        <v>28050000</v>
      </c>
      <c r="F221" s="39">
        <v>44193</v>
      </c>
      <c r="G221" s="24">
        <v>28050000</v>
      </c>
      <c r="H221" s="23">
        <v>5.0000000000000001E-3</v>
      </c>
      <c r="I221" s="39">
        <v>44501</v>
      </c>
      <c r="J221" s="39">
        <v>44530</v>
      </c>
      <c r="K221" s="24">
        <v>30</v>
      </c>
      <c r="L221" s="24">
        <v>11527</v>
      </c>
      <c r="M221" s="24">
        <v>28050000</v>
      </c>
      <c r="N221" s="39">
        <v>46018</v>
      </c>
    </row>
    <row r="222" spans="1:14" s="5" customFormat="1" outlineLevel="2">
      <c r="A222" s="39" t="s">
        <v>108</v>
      </c>
      <c r="B222" s="40" t="s">
        <v>102</v>
      </c>
      <c r="C222" s="41" t="s">
        <v>115</v>
      </c>
      <c r="D222" s="40" t="s">
        <v>116</v>
      </c>
      <c r="E222" s="24">
        <v>5000000</v>
      </c>
      <c r="F222" s="39">
        <v>44193</v>
      </c>
      <c r="G222" s="24">
        <v>5000000</v>
      </c>
      <c r="H222" s="23">
        <v>5.0000000000000001E-3</v>
      </c>
      <c r="I222" s="39">
        <v>44501</v>
      </c>
      <c r="J222" s="39">
        <v>44530</v>
      </c>
      <c r="K222" s="24">
        <v>30</v>
      </c>
      <c r="L222" s="24">
        <v>2055</v>
      </c>
      <c r="M222" s="24">
        <v>5000000</v>
      </c>
      <c r="N222" s="39">
        <v>46018</v>
      </c>
    </row>
    <row r="223" spans="1:14" s="5" customFormat="1" outlineLevel="2">
      <c r="A223" s="39" t="s">
        <v>108</v>
      </c>
      <c r="B223" s="40" t="s">
        <v>103</v>
      </c>
      <c r="C223" s="41" t="s">
        <v>111</v>
      </c>
      <c r="D223" s="40" t="s">
        <v>112</v>
      </c>
      <c r="E223" s="24">
        <v>4920000</v>
      </c>
      <c r="F223" s="39">
        <v>44211</v>
      </c>
      <c r="G223" s="24">
        <v>4920000</v>
      </c>
      <c r="H223" s="23">
        <v>5.0000000000000001E-3</v>
      </c>
      <c r="I223" s="39">
        <v>44501</v>
      </c>
      <c r="J223" s="39">
        <v>44530</v>
      </c>
      <c r="K223" s="24">
        <v>30</v>
      </c>
      <c r="L223" s="24">
        <v>2022</v>
      </c>
      <c r="M223" s="24">
        <v>4920000</v>
      </c>
      <c r="N223" s="39">
        <v>46036</v>
      </c>
    </row>
    <row r="224" spans="1:14" s="5" customFormat="1" outlineLevel="2">
      <c r="A224" s="39" t="s">
        <v>108</v>
      </c>
      <c r="B224" s="40" t="s">
        <v>104</v>
      </c>
      <c r="C224" s="41" t="s">
        <v>115</v>
      </c>
      <c r="D224" s="40" t="s">
        <v>116</v>
      </c>
      <c r="E224" s="24">
        <v>7300000</v>
      </c>
      <c r="F224" s="39">
        <v>44224</v>
      </c>
      <c r="G224" s="24">
        <v>7300000</v>
      </c>
      <c r="H224" s="23">
        <v>5.0000000000000001E-3</v>
      </c>
      <c r="I224" s="39">
        <v>44501</v>
      </c>
      <c r="J224" s="39">
        <v>44530</v>
      </c>
      <c r="K224" s="24">
        <v>30</v>
      </c>
      <c r="L224" s="24">
        <v>3000</v>
      </c>
      <c r="M224" s="24">
        <v>7300000</v>
      </c>
      <c r="N224" s="39">
        <v>46049</v>
      </c>
    </row>
    <row r="225" spans="1:14" s="5" customFormat="1" outlineLevel="2">
      <c r="A225" s="39" t="s">
        <v>108</v>
      </c>
      <c r="B225" s="40" t="s">
        <v>105</v>
      </c>
      <c r="C225" s="41" t="s">
        <v>115</v>
      </c>
      <c r="D225" s="40" t="s">
        <v>116</v>
      </c>
      <c r="E225" s="24">
        <v>15000000</v>
      </c>
      <c r="F225" s="39">
        <v>44224</v>
      </c>
      <c r="G225" s="24">
        <v>15000000</v>
      </c>
      <c r="H225" s="23">
        <v>5.0000000000000001E-3</v>
      </c>
      <c r="I225" s="39">
        <v>44501</v>
      </c>
      <c r="J225" s="39">
        <v>44530</v>
      </c>
      <c r="K225" s="24">
        <v>30</v>
      </c>
      <c r="L225" s="24">
        <v>6164</v>
      </c>
      <c r="M225" s="24">
        <v>15000000</v>
      </c>
      <c r="N225" s="39">
        <v>46049</v>
      </c>
    </row>
    <row r="226" spans="1:14" s="5" customFormat="1" outlineLevel="2">
      <c r="A226" s="39" t="s">
        <v>108</v>
      </c>
      <c r="B226" s="40" t="s">
        <v>106</v>
      </c>
      <c r="C226" s="41" t="s">
        <v>113</v>
      </c>
      <c r="D226" s="40" t="s">
        <v>114</v>
      </c>
      <c r="E226" s="24">
        <v>23200000</v>
      </c>
      <c r="F226" s="39">
        <v>44229</v>
      </c>
      <c r="G226" s="24">
        <v>21352219</v>
      </c>
      <c r="H226" s="23">
        <v>5.0000000000000001E-3</v>
      </c>
      <c r="I226" s="39">
        <v>44501</v>
      </c>
      <c r="J226" s="39">
        <v>44514</v>
      </c>
      <c r="K226" s="24">
        <v>14</v>
      </c>
      <c r="L226" s="24">
        <v>4095</v>
      </c>
      <c r="M226" s="24">
        <v>21146910</v>
      </c>
      <c r="N226" s="39">
        <v>46054</v>
      </c>
    </row>
    <row r="227" spans="1:14" s="5" customFormat="1" outlineLevel="2">
      <c r="A227" s="39" t="s">
        <v>108</v>
      </c>
      <c r="B227" s="40" t="s">
        <v>106</v>
      </c>
      <c r="C227" s="41" t="s">
        <v>113</v>
      </c>
      <c r="D227" s="40"/>
      <c r="E227" s="24"/>
      <c r="F227" s="39"/>
      <c r="G227" s="24">
        <v>21146910</v>
      </c>
      <c r="H227" s="23">
        <v>5.0000000000000001E-3</v>
      </c>
      <c r="I227" s="39">
        <v>44515</v>
      </c>
      <c r="J227" s="39">
        <v>44530</v>
      </c>
      <c r="K227" s="24">
        <v>16</v>
      </c>
      <c r="L227" s="24">
        <v>4635</v>
      </c>
      <c r="M227" s="24"/>
      <c r="N227" s="39">
        <v>46054</v>
      </c>
    </row>
    <row r="228" spans="1:14" s="5" customFormat="1" outlineLevel="2">
      <c r="A228" s="39" t="s">
        <v>108</v>
      </c>
      <c r="B228" s="40" t="s">
        <v>59</v>
      </c>
      <c r="C228" s="41" t="s">
        <v>117</v>
      </c>
      <c r="D228" s="40" t="s">
        <v>118</v>
      </c>
      <c r="E228" s="24">
        <v>24000000</v>
      </c>
      <c r="F228" s="39">
        <v>43937</v>
      </c>
      <c r="G228" s="24">
        <v>20400000</v>
      </c>
      <c r="H228" s="23">
        <v>5.0000000000000001E-3</v>
      </c>
      <c r="I228" s="39">
        <v>44501</v>
      </c>
      <c r="J228" s="39">
        <v>44514</v>
      </c>
      <c r="K228" s="24">
        <v>14</v>
      </c>
      <c r="L228" s="24">
        <v>3912</v>
      </c>
      <c r="M228" s="24">
        <v>20200000</v>
      </c>
      <c r="N228" s="39">
        <v>45762</v>
      </c>
    </row>
    <row r="229" spans="1:14" s="5" customFormat="1" outlineLevel="2">
      <c r="A229" s="39" t="s">
        <v>108</v>
      </c>
      <c r="B229" s="40" t="s">
        <v>59</v>
      </c>
      <c r="C229" s="41" t="s">
        <v>117</v>
      </c>
      <c r="D229" s="40"/>
      <c r="E229" s="24"/>
      <c r="F229" s="39"/>
      <c r="G229" s="24">
        <v>20200000</v>
      </c>
      <c r="H229" s="23">
        <v>5.0000000000000001E-3</v>
      </c>
      <c r="I229" s="39">
        <v>44515</v>
      </c>
      <c r="J229" s="39">
        <v>44530</v>
      </c>
      <c r="K229" s="24">
        <v>16</v>
      </c>
      <c r="L229" s="24">
        <v>4427</v>
      </c>
      <c r="M229" s="24"/>
      <c r="N229" s="39">
        <v>45762</v>
      </c>
    </row>
    <row r="230" spans="1:14" s="5" customFormat="1" outlineLevel="2">
      <c r="A230" s="39" t="s">
        <v>108</v>
      </c>
      <c r="B230" s="40" t="s">
        <v>136</v>
      </c>
      <c r="C230" s="41" t="s">
        <v>111</v>
      </c>
      <c r="D230" s="40" t="s">
        <v>112</v>
      </c>
      <c r="E230" s="24">
        <v>3410000</v>
      </c>
      <c r="F230" s="39">
        <v>44270</v>
      </c>
      <c r="G230" s="24">
        <v>3410000</v>
      </c>
      <c r="H230" s="23">
        <v>5.0000000000000001E-3</v>
      </c>
      <c r="I230" s="39">
        <v>44501</v>
      </c>
      <c r="J230" s="39">
        <v>44530</v>
      </c>
      <c r="K230" s="24">
        <v>30</v>
      </c>
      <c r="L230" s="24">
        <v>1401</v>
      </c>
      <c r="M230" s="24">
        <v>3410000</v>
      </c>
      <c r="N230" s="39">
        <v>46095</v>
      </c>
    </row>
    <row r="231" spans="1:14" s="5" customFormat="1" outlineLevel="2">
      <c r="A231" s="39" t="s">
        <v>108</v>
      </c>
      <c r="B231" s="40" t="s">
        <v>137</v>
      </c>
      <c r="C231" s="41" t="s">
        <v>117</v>
      </c>
      <c r="D231" s="40" t="s">
        <v>118</v>
      </c>
      <c r="E231" s="24">
        <v>10000000</v>
      </c>
      <c r="F231" s="39">
        <v>44277</v>
      </c>
      <c r="G231" s="24">
        <v>9357799</v>
      </c>
      <c r="H231" s="23">
        <v>5.0000000000000001E-3</v>
      </c>
      <c r="I231" s="39">
        <v>44501</v>
      </c>
      <c r="J231" s="39">
        <v>44514</v>
      </c>
      <c r="K231" s="24">
        <v>14</v>
      </c>
      <c r="L231" s="24">
        <v>1795</v>
      </c>
      <c r="M231" s="24">
        <v>9266056</v>
      </c>
      <c r="N231" s="39">
        <v>46102</v>
      </c>
    </row>
    <row r="232" spans="1:14" s="5" customFormat="1" outlineLevel="2">
      <c r="A232" s="39" t="s">
        <v>108</v>
      </c>
      <c r="B232" s="40" t="s">
        <v>137</v>
      </c>
      <c r="C232" s="41" t="s">
        <v>117</v>
      </c>
      <c r="D232" s="40"/>
      <c r="E232" s="24"/>
      <c r="F232" s="39"/>
      <c r="G232" s="24">
        <v>9266056</v>
      </c>
      <c r="H232" s="23">
        <v>5.0000000000000001E-3</v>
      </c>
      <c r="I232" s="39">
        <v>44515</v>
      </c>
      <c r="J232" s="39">
        <v>44530</v>
      </c>
      <c r="K232" s="24">
        <v>16</v>
      </c>
      <c r="L232" s="24">
        <v>2031</v>
      </c>
      <c r="M232" s="24"/>
      <c r="N232" s="39">
        <v>46102</v>
      </c>
    </row>
    <row r="233" spans="1:14" s="5" customFormat="1" outlineLevel="2">
      <c r="A233" s="39" t="s">
        <v>108</v>
      </c>
      <c r="B233" s="40" t="s">
        <v>138</v>
      </c>
      <c r="C233" s="41" t="s">
        <v>123</v>
      </c>
      <c r="D233" s="40" t="s">
        <v>124</v>
      </c>
      <c r="E233" s="24">
        <v>51000000</v>
      </c>
      <c r="F233" s="39">
        <v>44294</v>
      </c>
      <c r="G233" s="24">
        <v>51000000</v>
      </c>
      <c r="H233" s="23">
        <v>5.0000000000000001E-3</v>
      </c>
      <c r="I233" s="39">
        <v>44501</v>
      </c>
      <c r="J233" s="39">
        <v>44530</v>
      </c>
      <c r="K233" s="24">
        <v>30</v>
      </c>
      <c r="L233" s="24">
        <v>20959</v>
      </c>
      <c r="M233" s="24">
        <v>51000000</v>
      </c>
      <c r="N233" s="39">
        <v>46119</v>
      </c>
    </row>
    <row r="234" spans="1:14" s="5" customFormat="1" outlineLevel="2">
      <c r="A234" s="39" t="s">
        <v>108</v>
      </c>
      <c r="B234" s="40" t="s">
        <v>139</v>
      </c>
      <c r="C234" s="41" t="s">
        <v>115</v>
      </c>
      <c r="D234" s="40" t="s">
        <v>116</v>
      </c>
      <c r="E234" s="24">
        <v>12000000</v>
      </c>
      <c r="F234" s="39">
        <v>44321</v>
      </c>
      <c r="G234" s="24">
        <v>12000000</v>
      </c>
      <c r="H234" s="23">
        <v>5.0000000000000001E-3</v>
      </c>
      <c r="I234" s="39">
        <v>44501</v>
      </c>
      <c r="J234" s="39">
        <v>44530</v>
      </c>
      <c r="K234" s="24">
        <v>30</v>
      </c>
      <c r="L234" s="24">
        <v>4932</v>
      </c>
      <c r="M234" s="24">
        <v>12000000</v>
      </c>
      <c r="N234" s="39">
        <v>46146</v>
      </c>
    </row>
    <row r="235" spans="1:14" s="5" customFormat="1" outlineLevel="2">
      <c r="A235" s="39" t="s">
        <v>108</v>
      </c>
      <c r="B235" s="40" t="s">
        <v>140</v>
      </c>
      <c r="C235" s="41" t="s">
        <v>115</v>
      </c>
      <c r="D235" s="40" t="s">
        <v>116</v>
      </c>
      <c r="E235" s="24">
        <v>21000000</v>
      </c>
      <c r="F235" s="39">
        <v>44330</v>
      </c>
      <c r="G235" s="24">
        <v>21000000</v>
      </c>
      <c r="H235" s="23">
        <v>5.0000000000000001E-3</v>
      </c>
      <c r="I235" s="39">
        <v>44501</v>
      </c>
      <c r="J235" s="39">
        <v>44530</v>
      </c>
      <c r="K235" s="24">
        <v>30</v>
      </c>
      <c r="L235" s="24">
        <v>8630</v>
      </c>
      <c r="M235" s="24">
        <v>21000000</v>
      </c>
      <c r="N235" s="39">
        <v>46155</v>
      </c>
    </row>
    <row r="236" spans="1:14" s="5" customFormat="1" outlineLevel="2">
      <c r="A236" s="39" t="s">
        <v>108</v>
      </c>
      <c r="B236" s="40" t="s">
        <v>169</v>
      </c>
      <c r="C236" s="41" t="s">
        <v>79</v>
      </c>
      <c r="D236" s="40" t="s">
        <v>80</v>
      </c>
      <c r="E236" s="24">
        <v>39150000</v>
      </c>
      <c r="F236" s="39">
        <v>44336</v>
      </c>
      <c r="G236" s="24">
        <v>39150000</v>
      </c>
      <c r="H236" s="23">
        <v>5.0000000000000001E-3</v>
      </c>
      <c r="I236" s="39">
        <v>44501</v>
      </c>
      <c r="J236" s="39">
        <v>44530</v>
      </c>
      <c r="K236" s="24">
        <v>30</v>
      </c>
      <c r="L236" s="24">
        <v>16089</v>
      </c>
      <c r="M236" s="24">
        <v>39150000</v>
      </c>
      <c r="N236" s="39">
        <v>46161</v>
      </c>
    </row>
    <row r="237" spans="1:14" s="5" customFormat="1" outlineLevel="2">
      <c r="A237" s="39" t="s">
        <v>108</v>
      </c>
      <c r="B237" s="40" t="s">
        <v>170</v>
      </c>
      <c r="C237" s="41" t="s">
        <v>123</v>
      </c>
      <c r="D237" s="40" t="s">
        <v>124</v>
      </c>
      <c r="E237" s="24">
        <v>92500000</v>
      </c>
      <c r="F237" s="39">
        <v>44341</v>
      </c>
      <c r="G237" s="24">
        <v>92500000</v>
      </c>
      <c r="H237" s="23">
        <v>5.0000000000000001E-3</v>
      </c>
      <c r="I237" s="39">
        <v>44501</v>
      </c>
      <c r="J237" s="39">
        <v>44530</v>
      </c>
      <c r="K237" s="24">
        <v>30</v>
      </c>
      <c r="L237" s="24">
        <v>38014</v>
      </c>
      <c r="M237" s="24">
        <v>92500000</v>
      </c>
      <c r="N237" s="39">
        <v>46166</v>
      </c>
    </row>
    <row r="238" spans="1:14" s="5" customFormat="1" outlineLevel="2">
      <c r="A238" s="39" t="s">
        <v>108</v>
      </c>
      <c r="B238" s="40" t="s">
        <v>171</v>
      </c>
      <c r="C238" s="41" t="s">
        <v>123</v>
      </c>
      <c r="D238" s="40" t="s">
        <v>124</v>
      </c>
      <c r="E238" s="24">
        <v>33500000</v>
      </c>
      <c r="F238" s="39">
        <v>44354</v>
      </c>
      <c r="G238" s="24">
        <v>33500000</v>
      </c>
      <c r="H238" s="23">
        <v>5.0000000000000001E-3</v>
      </c>
      <c r="I238" s="39">
        <v>44501</v>
      </c>
      <c r="J238" s="39">
        <v>44530</v>
      </c>
      <c r="K238" s="24">
        <v>30</v>
      </c>
      <c r="L238" s="24">
        <v>13767</v>
      </c>
      <c r="M238" s="24">
        <v>33500000</v>
      </c>
      <c r="N238" s="39">
        <v>46179</v>
      </c>
    </row>
    <row r="239" spans="1:14" s="5" customFormat="1" outlineLevel="2">
      <c r="A239" s="39" t="s">
        <v>108</v>
      </c>
      <c r="B239" s="40" t="s">
        <v>172</v>
      </c>
      <c r="C239" s="41" t="s">
        <v>111</v>
      </c>
      <c r="D239" s="40" t="s">
        <v>112</v>
      </c>
      <c r="E239" s="24">
        <v>810000</v>
      </c>
      <c r="F239" s="39">
        <v>44362</v>
      </c>
      <c r="G239" s="24">
        <v>810000</v>
      </c>
      <c r="H239" s="23">
        <v>5.0000000000000001E-3</v>
      </c>
      <c r="I239" s="39">
        <v>44501</v>
      </c>
      <c r="J239" s="39">
        <v>44530</v>
      </c>
      <c r="K239" s="24">
        <v>30</v>
      </c>
      <c r="L239" s="24">
        <v>333</v>
      </c>
      <c r="M239" s="24">
        <v>810000</v>
      </c>
      <c r="N239" s="39">
        <v>46187</v>
      </c>
    </row>
    <row r="240" spans="1:14" s="5" customFormat="1" outlineLevel="2">
      <c r="A240" s="39" t="s">
        <v>108</v>
      </c>
      <c r="B240" s="40" t="s">
        <v>173</v>
      </c>
      <c r="C240" s="41" t="s">
        <v>111</v>
      </c>
      <c r="D240" s="40" t="s">
        <v>112</v>
      </c>
      <c r="E240" s="24">
        <v>3800000</v>
      </c>
      <c r="F240" s="39">
        <v>44362</v>
      </c>
      <c r="G240" s="24">
        <v>3800000</v>
      </c>
      <c r="H240" s="23">
        <v>5.0000000000000001E-3</v>
      </c>
      <c r="I240" s="39">
        <v>44501</v>
      </c>
      <c r="J240" s="39">
        <v>44530</v>
      </c>
      <c r="K240" s="24">
        <v>30</v>
      </c>
      <c r="L240" s="24">
        <v>1562</v>
      </c>
      <c r="M240" s="24">
        <v>3800000</v>
      </c>
      <c r="N240" s="39">
        <v>46187</v>
      </c>
    </row>
    <row r="241" spans="1:14" s="5" customFormat="1" outlineLevel="2">
      <c r="A241" s="39" t="s">
        <v>108</v>
      </c>
      <c r="B241" s="40" t="s">
        <v>62</v>
      </c>
      <c r="C241" s="41" t="s">
        <v>113</v>
      </c>
      <c r="D241" s="40" t="s">
        <v>114</v>
      </c>
      <c r="E241" s="24">
        <v>28240000</v>
      </c>
      <c r="F241" s="39">
        <v>43951</v>
      </c>
      <c r="G241" s="24">
        <v>22188580</v>
      </c>
      <c r="H241" s="23">
        <v>5.0000000000000001E-3</v>
      </c>
      <c r="I241" s="39">
        <v>44501</v>
      </c>
      <c r="J241" s="39">
        <v>44514</v>
      </c>
      <c r="K241" s="24">
        <v>14</v>
      </c>
      <c r="L241" s="24">
        <v>4255</v>
      </c>
      <c r="M241" s="24">
        <v>21852390</v>
      </c>
      <c r="N241" s="39">
        <v>45776</v>
      </c>
    </row>
    <row r="242" spans="1:14" s="5" customFormat="1" outlineLevel="2">
      <c r="A242" s="39" t="s">
        <v>108</v>
      </c>
      <c r="B242" s="40" t="s">
        <v>62</v>
      </c>
      <c r="C242" s="41" t="s">
        <v>113</v>
      </c>
      <c r="D242" s="40"/>
      <c r="E242" s="24"/>
      <c r="F242" s="39"/>
      <c r="G242" s="24">
        <v>21852390</v>
      </c>
      <c r="H242" s="23">
        <v>5.0000000000000001E-3</v>
      </c>
      <c r="I242" s="39">
        <v>44515</v>
      </c>
      <c r="J242" s="39">
        <v>44530</v>
      </c>
      <c r="K242" s="24">
        <v>16</v>
      </c>
      <c r="L242" s="24">
        <v>4790</v>
      </c>
      <c r="M242" s="24"/>
      <c r="N242" s="39">
        <v>45776</v>
      </c>
    </row>
    <row r="243" spans="1:14" s="5" customFormat="1" outlineLevel="2">
      <c r="A243" s="39" t="s">
        <v>108</v>
      </c>
      <c r="B243" s="40" t="s">
        <v>174</v>
      </c>
      <c r="C243" s="41" t="s">
        <v>117</v>
      </c>
      <c r="D243" s="40" t="s">
        <v>118</v>
      </c>
      <c r="E243" s="24">
        <v>10000000</v>
      </c>
      <c r="F243" s="39">
        <v>44372</v>
      </c>
      <c r="G243" s="24">
        <v>9622644</v>
      </c>
      <c r="H243" s="23">
        <v>5.0000000000000001E-3</v>
      </c>
      <c r="I243" s="39">
        <v>44501</v>
      </c>
      <c r="J243" s="39">
        <v>44514</v>
      </c>
      <c r="K243" s="24">
        <v>14</v>
      </c>
      <c r="L243" s="24">
        <v>1845</v>
      </c>
      <c r="M243" s="24">
        <v>9528305</v>
      </c>
      <c r="N243" s="39">
        <v>46197</v>
      </c>
    </row>
    <row r="244" spans="1:14" s="5" customFormat="1" outlineLevel="2">
      <c r="A244" s="39" t="s">
        <v>108</v>
      </c>
      <c r="B244" s="40" t="s">
        <v>174</v>
      </c>
      <c r="C244" s="41" t="s">
        <v>117</v>
      </c>
      <c r="D244" s="40"/>
      <c r="E244" s="24"/>
      <c r="F244" s="39"/>
      <c r="G244" s="24">
        <v>9528305</v>
      </c>
      <c r="H244" s="23">
        <v>5.0000000000000001E-3</v>
      </c>
      <c r="I244" s="39">
        <v>44515</v>
      </c>
      <c r="J244" s="39">
        <v>44530</v>
      </c>
      <c r="K244" s="24">
        <v>16</v>
      </c>
      <c r="L244" s="24">
        <v>2088</v>
      </c>
      <c r="M244" s="24"/>
      <c r="N244" s="39">
        <v>46197</v>
      </c>
    </row>
    <row r="245" spans="1:14" s="5" customFormat="1" outlineLevel="2">
      <c r="A245" s="39" t="s">
        <v>108</v>
      </c>
      <c r="B245" s="40" t="s">
        <v>175</v>
      </c>
      <c r="C245" s="41" t="s">
        <v>123</v>
      </c>
      <c r="D245" s="40" t="s">
        <v>124</v>
      </c>
      <c r="E245" s="24">
        <v>41700000</v>
      </c>
      <c r="F245" s="39">
        <v>44379</v>
      </c>
      <c r="G245" s="24">
        <v>41700000</v>
      </c>
      <c r="H245" s="23">
        <v>5.0000000000000001E-3</v>
      </c>
      <c r="I245" s="39">
        <v>44501</v>
      </c>
      <c r="J245" s="39">
        <v>44530</v>
      </c>
      <c r="K245" s="24">
        <v>30</v>
      </c>
      <c r="L245" s="24">
        <v>17137</v>
      </c>
      <c r="M245" s="24">
        <v>41700000</v>
      </c>
      <c r="N245" s="39">
        <v>46204</v>
      </c>
    </row>
    <row r="246" spans="1:14" s="5" customFormat="1" outlineLevel="2">
      <c r="A246" s="39" t="s">
        <v>108</v>
      </c>
      <c r="B246" s="40" t="s">
        <v>176</v>
      </c>
      <c r="C246" s="41" t="s">
        <v>113</v>
      </c>
      <c r="D246" s="40" t="s">
        <v>114</v>
      </c>
      <c r="E246" s="24">
        <v>23200000</v>
      </c>
      <c r="F246" s="39">
        <v>44392</v>
      </c>
      <c r="G246" s="24">
        <v>22549534</v>
      </c>
      <c r="H246" s="23">
        <v>5.0000000000000001E-3</v>
      </c>
      <c r="I246" s="39">
        <v>44501</v>
      </c>
      <c r="J246" s="39">
        <v>44514</v>
      </c>
      <c r="K246" s="24">
        <v>14</v>
      </c>
      <c r="L246" s="24">
        <v>4325</v>
      </c>
      <c r="M246" s="24">
        <v>22332712</v>
      </c>
      <c r="N246" s="39">
        <v>46217</v>
      </c>
    </row>
    <row r="247" spans="1:14" s="5" customFormat="1" outlineLevel="2">
      <c r="A247" s="39" t="s">
        <v>108</v>
      </c>
      <c r="B247" s="40" t="s">
        <v>176</v>
      </c>
      <c r="C247" s="41" t="s">
        <v>113</v>
      </c>
      <c r="D247" s="40"/>
      <c r="E247" s="24"/>
      <c r="F247" s="39"/>
      <c r="G247" s="24">
        <v>22332712</v>
      </c>
      <c r="H247" s="23">
        <v>5.0000000000000001E-3</v>
      </c>
      <c r="I247" s="39">
        <v>44515</v>
      </c>
      <c r="J247" s="39">
        <v>44530</v>
      </c>
      <c r="K247" s="24">
        <v>16</v>
      </c>
      <c r="L247" s="24">
        <v>4895</v>
      </c>
      <c r="M247" s="24"/>
      <c r="N247" s="39">
        <v>46217</v>
      </c>
    </row>
    <row r="248" spans="1:14" s="5" customFormat="1" outlineLevel="2">
      <c r="A248" s="39" t="s">
        <v>108</v>
      </c>
      <c r="B248" s="40" t="s">
        <v>177</v>
      </c>
      <c r="C248" s="41" t="s">
        <v>406</v>
      </c>
      <c r="D248" s="40" t="s">
        <v>405</v>
      </c>
      <c r="E248" s="24">
        <v>920000</v>
      </c>
      <c r="F248" s="39">
        <v>44420</v>
      </c>
      <c r="G248" s="24">
        <v>920000</v>
      </c>
      <c r="H248" s="23">
        <v>5.0000000000000001E-3</v>
      </c>
      <c r="I248" s="39">
        <v>44501</v>
      </c>
      <c r="J248" s="39">
        <v>44530</v>
      </c>
      <c r="K248" s="24">
        <v>30</v>
      </c>
      <c r="L248" s="24">
        <v>378</v>
      </c>
      <c r="M248" s="24">
        <v>920000</v>
      </c>
      <c r="N248" s="39">
        <v>45515</v>
      </c>
    </row>
    <row r="249" spans="1:14" s="5" customFormat="1" outlineLevel="2">
      <c r="A249" s="39" t="s">
        <v>108</v>
      </c>
      <c r="B249" s="40" t="s">
        <v>178</v>
      </c>
      <c r="C249" s="41" t="s">
        <v>406</v>
      </c>
      <c r="D249" s="40" t="s">
        <v>405</v>
      </c>
      <c r="E249" s="24">
        <v>4360000</v>
      </c>
      <c r="F249" s="39">
        <v>44420</v>
      </c>
      <c r="G249" s="24">
        <v>4360000</v>
      </c>
      <c r="H249" s="23">
        <v>5.0000000000000001E-3</v>
      </c>
      <c r="I249" s="39">
        <v>44501</v>
      </c>
      <c r="J249" s="39">
        <v>44530</v>
      </c>
      <c r="K249" s="24">
        <v>30</v>
      </c>
      <c r="L249" s="24">
        <v>1792</v>
      </c>
      <c r="M249" s="24">
        <v>4360000</v>
      </c>
      <c r="N249" s="39">
        <v>45515</v>
      </c>
    </row>
    <row r="250" spans="1:14" s="5" customFormat="1" outlineLevel="2">
      <c r="A250" s="39" t="s">
        <v>108</v>
      </c>
      <c r="B250" s="40" t="s">
        <v>179</v>
      </c>
      <c r="C250" s="41" t="s">
        <v>406</v>
      </c>
      <c r="D250" s="40" t="s">
        <v>405</v>
      </c>
      <c r="E250" s="24">
        <v>1740000</v>
      </c>
      <c r="F250" s="39">
        <v>44420</v>
      </c>
      <c r="G250" s="24">
        <v>1740000</v>
      </c>
      <c r="H250" s="23">
        <v>5.0000000000000001E-3</v>
      </c>
      <c r="I250" s="39">
        <v>44501</v>
      </c>
      <c r="J250" s="39">
        <v>44530</v>
      </c>
      <c r="K250" s="24">
        <v>30</v>
      </c>
      <c r="L250" s="24">
        <v>715</v>
      </c>
      <c r="M250" s="24">
        <v>1740000</v>
      </c>
      <c r="N250" s="39">
        <v>45515</v>
      </c>
    </row>
    <row r="251" spans="1:14" s="5" customFormat="1" outlineLevel="2">
      <c r="A251" s="39" t="s">
        <v>108</v>
      </c>
      <c r="B251" s="40" t="s">
        <v>180</v>
      </c>
      <c r="C251" s="41" t="s">
        <v>406</v>
      </c>
      <c r="D251" s="40" t="s">
        <v>405</v>
      </c>
      <c r="E251" s="24">
        <v>25280000</v>
      </c>
      <c r="F251" s="39">
        <v>44420</v>
      </c>
      <c r="G251" s="24">
        <v>25280000</v>
      </c>
      <c r="H251" s="23">
        <v>5.0000000000000001E-3</v>
      </c>
      <c r="I251" s="39">
        <v>44501</v>
      </c>
      <c r="J251" s="39">
        <v>44530</v>
      </c>
      <c r="K251" s="24">
        <v>30</v>
      </c>
      <c r="L251" s="24">
        <v>10389</v>
      </c>
      <c r="M251" s="24">
        <v>25280000</v>
      </c>
      <c r="N251" s="39">
        <v>45515</v>
      </c>
    </row>
    <row r="252" spans="1:14" s="5" customFormat="1" outlineLevel="2">
      <c r="A252" s="39" t="s">
        <v>108</v>
      </c>
      <c r="B252" s="40" t="s">
        <v>181</v>
      </c>
      <c r="C252" s="41" t="s">
        <v>406</v>
      </c>
      <c r="D252" s="40" t="s">
        <v>405</v>
      </c>
      <c r="E252" s="24">
        <v>6500000</v>
      </c>
      <c r="F252" s="39">
        <v>44420</v>
      </c>
      <c r="G252" s="24">
        <v>6500000</v>
      </c>
      <c r="H252" s="23">
        <v>5.0000000000000001E-3</v>
      </c>
      <c r="I252" s="39">
        <v>44501</v>
      </c>
      <c r="J252" s="39">
        <v>44530</v>
      </c>
      <c r="K252" s="24">
        <v>30</v>
      </c>
      <c r="L252" s="24">
        <v>2671</v>
      </c>
      <c r="M252" s="24">
        <v>6500000</v>
      </c>
      <c r="N252" s="39">
        <v>45515</v>
      </c>
    </row>
    <row r="253" spans="1:14" s="5" customFormat="1" outlineLevel="2">
      <c r="A253" s="39" t="s">
        <v>108</v>
      </c>
      <c r="B253" s="40" t="s">
        <v>182</v>
      </c>
      <c r="C253" s="41" t="s">
        <v>406</v>
      </c>
      <c r="D253" s="40" t="s">
        <v>405</v>
      </c>
      <c r="E253" s="24">
        <v>4790000</v>
      </c>
      <c r="F253" s="39">
        <v>44420</v>
      </c>
      <c r="G253" s="24">
        <v>4790000</v>
      </c>
      <c r="H253" s="23">
        <v>5.0000000000000001E-3</v>
      </c>
      <c r="I253" s="39">
        <v>44501</v>
      </c>
      <c r="J253" s="39">
        <v>44530</v>
      </c>
      <c r="K253" s="24">
        <v>30</v>
      </c>
      <c r="L253" s="24">
        <v>1968</v>
      </c>
      <c r="M253" s="24">
        <v>4790000</v>
      </c>
      <c r="N253" s="39">
        <v>45515</v>
      </c>
    </row>
    <row r="254" spans="1:14" s="5" customFormat="1" outlineLevel="2">
      <c r="A254" s="39" t="s">
        <v>108</v>
      </c>
      <c r="B254" s="40" t="s">
        <v>183</v>
      </c>
      <c r="C254" s="41" t="s">
        <v>115</v>
      </c>
      <c r="D254" s="40" t="s">
        <v>116</v>
      </c>
      <c r="E254" s="24">
        <v>4240000</v>
      </c>
      <c r="F254" s="39">
        <v>44427</v>
      </c>
      <c r="G254" s="24">
        <v>4240000</v>
      </c>
      <c r="H254" s="23">
        <v>5.0000000000000001E-3</v>
      </c>
      <c r="I254" s="39">
        <v>44501</v>
      </c>
      <c r="J254" s="39">
        <v>44530</v>
      </c>
      <c r="K254" s="24">
        <v>30</v>
      </c>
      <c r="L254" s="24">
        <v>1742</v>
      </c>
      <c r="M254" s="24">
        <v>4240000</v>
      </c>
      <c r="N254" s="39">
        <v>46252</v>
      </c>
    </row>
    <row r="255" spans="1:14" s="5" customFormat="1" outlineLevel="2">
      <c r="A255" s="39" t="s">
        <v>108</v>
      </c>
      <c r="B255" s="40" t="s">
        <v>63</v>
      </c>
      <c r="C255" s="41" t="s">
        <v>111</v>
      </c>
      <c r="D255" s="40" t="s">
        <v>112</v>
      </c>
      <c r="E255" s="24">
        <v>8000000</v>
      </c>
      <c r="F255" s="39">
        <v>43957</v>
      </c>
      <c r="G255" s="24">
        <v>5600006</v>
      </c>
      <c r="H255" s="23">
        <v>5.0000000000000001E-3</v>
      </c>
      <c r="I255" s="39">
        <v>44501</v>
      </c>
      <c r="J255" s="39">
        <v>44514</v>
      </c>
      <c r="K255" s="24">
        <v>14</v>
      </c>
      <c r="L255" s="24">
        <v>1074</v>
      </c>
      <c r="M255" s="24">
        <v>5466673</v>
      </c>
      <c r="N255" s="39">
        <v>45782</v>
      </c>
    </row>
    <row r="256" spans="1:14" s="5" customFormat="1" outlineLevel="2">
      <c r="A256" s="39" t="s">
        <v>108</v>
      </c>
      <c r="B256" s="40" t="s">
        <v>63</v>
      </c>
      <c r="C256" s="41" t="s">
        <v>111</v>
      </c>
      <c r="D256" s="40"/>
      <c r="E256" s="24"/>
      <c r="F256" s="39"/>
      <c r="G256" s="24">
        <v>5466673</v>
      </c>
      <c r="H256" s="23">
        <v>5.0000000000000001E-3</v>
      </c>
      <c r="I256" s="39">
        <v>44515</v>
      </c>
      <c r="J256" s="39">
        <v>44530</v>
      </c>
      <c r="K256" s="24">
        <v>16</v>
      </c>
      <c r="L256" s="24">
        <v>1198</v>
      </c>
      <c r="M256" s="24"/>
      <c r="N256" s="39">
        <v>45782</v>
      </c>
    </row>
    <row r="257" spans="1:14" s="5" customFormat="1" outlineLevel="2">
      <c r="A257" s="39" t="s">
        <v>108</v>
      </c>
      <c r="B257" s="40" t="s">
        <v>184</v>
      </c>
      <c r="C257" s="41" t="s">
        <v>123</v>
      </c>
      <c r="D257" s="40" t="s">
        <v>124</v>
      </c>
      <c r="E257" s="24">
        <v>19800000</v>
      </c>
      <c r="F257" s="39">
        <v>44410</v>
      </c>
      <c r="G257" s="24">
        <v>19800000</v>
      </c>
      <c r="H257" s="23">
        <v>5.0000000000000001E-3</v>
      </c>
      <c r="I257" s="39">
        <v>44501</v>
      </c>
      <c r="J257" s="39">
        <v>44530</v>
      </c>
      <c r="K257" s="24">
        <v>30</v>
      </c>
      <c r="L257" s="24">
        <v>8137</v>
      </c>
      <c r="M257" s="24">
        <v>19800000</v>
      </c>
      <c r="N257" s="39">
        <v>46235</v>
      </c>
    </row>
    <row r="258" spans="1:14" s="5" customFormat="1" outlineLevel="2">
      <c r="A258" s="39" t="s">
        <v>108</v>
      </c>
      <c r="B258" s="40" t="s">
        <v>185</v>
      </c>
      <c r="C258" s="41" t="s">
        <v>406</v>
      </c>
      <c r="D258" s="40" t="s">
        <v>405</v>
      </c>
      <c r="E258" s="24">
        <v>12710000</v>
      </c>
      <c r="F258" s="39">
        <v>44442</v>
      </c>
      <c r="G258" s="24">
        <v>12710000</v>
      </c>
      <c r="H258" s="23">
        <v>5.0000000000000001E-3</v>
      </c>
      <c r="I258" s="39">
        <v>44501</v>
      </c>
      <c r="J258" s="39">
        <v>44530</v>
      </c>
      <c r="K258" s="24">
        <v>30</v>
      </c>
      <c r="L258" s="24">
        <v>5223</v>
      </c>
      <c r="M258" s="24">
        <v>12710000</v>
      </c>
      <c r="N258" s="39">
        <v>45537</v>
      </c>
    </row>
    <row r="259" spans="1:14" s="5" customFormat="1" outlineLevel="2">
      <c r="A259" s="39" t="s">
        <v>108</v>
      </c>
      <c r="B259" s="40" t="s">
        <v>186</v>
      </c>
      <c r="C259" s="41" t="s">
        <v>406</v>
      </c>
      <c r="D259" s="40" t="s">
        <v>405</v>
      </c>
      <c r="E259" s="24">
        <v>1600000</v>
      </c>
      <c r="F259" s="39">
        <v>44442</v>
      </c>
      <c r="G259" s="24">
        <v>1600000</v>
      </c>
      <c r="H259" s="23">
        <v>5.0000000000000001E-3</v>
      </c>
      <c r="I259" s="39">
        <v>44501</v>
      </c>
      <c r="J259" s="39">
        <v>44530</v>
      </c>
      <c r="K259" s="24">
        <v>30</v>
      </c>
      <c r="L259" s="24">
        <v>658</v>
      </c>
      <c r="M259" s="24">
        <v>1600000</v>
      </c>
      <c r="N259" s="39">
        <v>45537</v>
      </c>
    </row>
    <row r="260" spans="1:14" s="5" customFormat="1" outlineLevel="2">
      <c r="A260" s="39" t="s">
        <v>108</v>
      </c>
      <c r="B260" s="40" t="s">
        <v>189</v>
      </c>
      <c r="C260" s="41" t="s">
        <v>363</v>
      </c>
      <c r="D260" s="40" t="s">
        <v>362</v>
      </c>
      <c r="E260" s="24">
        <v>5790000</v>
      </c>
      <c r="F260" s="39">
        <v>44468</v>
      </c>
      <c r="G260" s="24">
        <v>5790000</v>
      </c>
      <c r="H260" s="23">
        <v>5.0000000000000001E-3</v>
      </c>
      <c r="I260" s="39">
        <v>44501</v>
      </c>
      <c r="J260" s="39">
        <v>44530</v>
      </c>
      <c r="K260" s="24">
        <v>30</v>
      </c>
      <c r="L260" s="24">
        <v>2379</v>
      </c>
      <c r="M260" s="24">
        <v>5790000</v>
      </c>
      <c r="N260" s="39">
        <v>45563</v>
      </c>
    </row>
    <row r="261" spans="1:14" s="5" customFormat="1" outlineLevel="2">
      <c r="A261" s="39" t="s">
        <v>108</v>
      </c>
      <c r="B261" s="40" t="s">
        <v>190</v>
      </c>
      <c r="C261" s="41" t="s">
        <v>123</v>
      </c>
      <c r="D261" s="40" t="s">
        <v>124</v>
      </c>
      <c r="E261" s="24">
        <v>11500000</v>
      </c>
      <c r="F261" s="39">
        <v>44441</v>
      </c>
      <c r="G261" s="24">
        <v>11500000</v>
      </c>
      <c r="H261" s="23">
        <v>5.0000000000000001E-3</v>
      </c>
      <c r="I261" s="39">
        <v>44501</v>
      </c>
      <c r="J261" s="39">
        <v>44530</v>
      </c>
      <c r="K261" s="24">
        <v>30</v>
      </c>
      <c r="L261" s="24">
        <v>4726</v>
      </c>
      <c r="M261" s="24">
        <v>11500000</v>
      </c>
      <c r="N261" s="39">
        <v>46266</v>
      </c>
    </row>
    <row r="262" spans="1:14" s="5" customFormat="1" outlineLevel="2">
      <c r="A262" s="39" t="s">
        <v>108</v>
      </c>
      <c r="B262" s="40" t="s">
        <v>191</v>
      </c>
      <c r="C262" s="41" t="s">
        <v>422</v>
      </c>
      <c r="D262" s="40" t="s">
        <v>421</v>
      </c>
      <c r="E262" s="24">
        <v>100000000</v>
      </c>
      <c r="F262" s="39">
        <v>44468</v>
      </c>
      <c r="G262" s="24">
        <v>100000000</v>
      </c>
      <c r="H262" s="23">
        <v>5.0000000000000001E-3</v>
      </c>
      <c r="I262" s="39">
        <v>44501</v>
      </c>
      <c r="J262" s="39">
        <v>44530</v>
      </c>
      <c r="K262" s="24">
        <v>30</v>
      </c>
      <c r="L262" s="24">
        <v>41096</v>
      </c>
      <c r="M262" s="24">
        <v>100000000</v>
      </c>
      <c r="N262" s="39">
        <v>45563</v>
      </c>
    </row>
    <row r="263" spans="1:14" s="5" customFormat="1" outlineLevel="2">
      <c r="A263" s="39" t="s">
        <v>108</v>
      </c>
      <c r="B263" s="40" t="s">
        <v>192</v>
      </c>
      <c r="C263" s="41" t="s">
        <v>422</v>
      </c>
      <c r="D263" s="40" t="s">
        <v>421</v>
      </c>
      <c r="E263" s="24">
        <v>85600000</v>
      </c>
      <c r="F263" s="39">
        <v>44468</v>
      </c>
      <c r="G263" s="24">
        <v>85600000</v>
      </c>
      <c r="H263" s="23">
        <v>5.0000000000000001E-3</v>
      </c>
      <c r="I263" s="39">
        <v>44501</v>
      </c>
      <c r="J263" s="39">
        <v>44530</v>
      </c>
      <c r="K263" s="24">
        <v>30</v>
      </c>
      <c r="L263" s="24">
        <v>35178</v>
      </c>
      <c r="M263" s="24">
        <v>85600000</v>
      </c>
      <c r="N263" s="39">
        <v>45563</v>
      </c>
    </row>
    <row r="264" spans="1:14" s="5" customFormat="1" outlineLevel="2">
      <c r="A264" s="39" t="s">
        <v>108</v>
      </c>
      <c r="B264" s="40" t="s">
        <v>193</v>
      </c>
      <c r="C264" s="41" t="s">
        <v>113</v>
      </c>
      <c r="D264" s="40" t="s">
        <v>114</v>
      </c>
      <c r="E264" s="24">
        <v>23200000</v>
      </c>
      <c r="F264" s="39">
        <v>44468</v>
      </c>
      <c r="G264" s="24">
        <v>22979048</v>
      </c>
      <c r="H264" s="23">
        <v>5.0000000000000001E-3</v>
      </c>
      <c r="I264" s="39">
        <v>44501</v>
      </c>
      <c r="J264" s="39">
        <v>44514</v>
      </c>
      <c r="K264" s="24">
        <v>14</v>
      </c>
      <c r="L264" s="24">
        <v>4407</v>
      </c>
      <c r="M264" s="24">
        <v>22758096</v>
      </c>
      <c r="N264" s="39">
        <v>46293</v>
      </c>
    </row>
    <row r="265" spans="1:14" s="5" customFormat="1" outlineLevel="2">
      <c r="A265" s="39" t="s">
        <v>108</v>
      </c>
      <c r="B265" s="40" t="s">
        <v>193</v>
      </c>
      <c r="C265" s="41" t="s">
        <v>113</v>
      </c>
      <c r="D265" s="40"/>
      <c r="E265" s="24"/>
      <c r="F265" s="39"/>
      <c r="G265" s="24">
        <v>22758096</v>
      </c>
      <c r="H265" s="23">
        <v>5.0000000000000001E-3</v>
      </c>
      <c r="I265" s="39">
        <v>44515</v>
      </c>
      <c r="J265" s="39">
        <v>44530</v>
      </c>
      <c r="K265" s="24">
        <v>16</v>
      </c>
      <c r="L265" s="24">
        <v>4988</v>
      </c>
      <c r="M265" s="24"/>
      <c r="N265" s="39">
        <v>46293</v>
      </c>
    </row>
    <row r="266" spans="1:14" s="5" customFormat="1" outlineLevel="2">
      <c r="A266" s="39" t="s">
        <v>108</v>
      </c>
      <c r="B266" s="40" t="s">
        <v>194</v>
      </c>
      <c r="C266" s="41" t="s">
        <v>146</v>
      </c>
      <c r="D266" s="40" t="s">
        <v>147</v>
      </c>
      <c r="E266" s="24">
        <v>4900000</v>
      </c>
      <c r="F266" s="39">
        <v>44498</v>
      </c>
      <c r="G266" s="24">
        <v>4900000</v>
      </c>
      <c r="H266" s="23">
        <v>5.0000000000000001E-3</v>
      </c>
      <c r="I266" s="39">
        <v>44501</v>
      </c>
      <c r="J266" s="39">
        <v>44530</v>
      </c>
      <c r="K266" s="24">
        <v>30</v>
      </c>
      <c r="L266" s="24">
        <v>2014</v>
      </c>
      <c r="M266" s="24">
        <v>4900000</v>
      </c>
      <c r="N266" s="39">
        <v>45593</v>
      </c>
    </row>
    <row r="267" spans="1:14" s="5" customFormat="1" outlineLevel="2">
      <c r="A267" s="39" t="s">
        <v>108</v>
      </c>
      <c r="B267" s="40" t="s">
        <v>195</v>
      </c>
      <c r="C267" s="41" t="s">
        <v>146</v>
      </c>
      <c r="D267" s="40" t="s">
        <v>147</v>
      </c>
      <c r="E267" s="24">
        <v>107000000</v>
      </c>
      <c r="F267" s="39">
        <v>44498</v>
      </c>
      <c r="G267" s="24">
        <v>107000000</v>
      </c>
      <c r="H267" s="23">
        <v>5.0000000000000001E-3</v>
      </c>
      <c r="I267" s="39">
        <v>44501</v>
      </c>
      <c r="J267" s="39">
        <v>44530</v>
      </c>
      <c r="K267" s="24">
        <v>30</v>
      </c>
      <c r="L267" s="24">
        <v>43973</v>
      </c>
      <c r="M267" s="24">
        <v>107000000</v>
      </c>
      <c r="N267" s="39">
        <v>45593</v>
      </c>
    </row>
    <row r="268" spans="1:14" s="5" customFormat="1" outlineLevel="2">
      <c r="A268" s="39" t="s">
        <v>108</v>
      </c>
      <c r="B268" s="40" t="s">
        <v>64</v>
      </c>
      <c r="C268" s="41" t="s">
        <v>111</v>
      </c>
      <c r="D268" s="40" t="s">
        <v>112</v>
      </c>
      <c r="E268" s="24">
        <v>5910000</v>
      </c>
      <c r="F268" s="39">
        <v>43966</v>
      </c>
      <c r="G268" s="24">
        <v>5910000</v>
      </c>
      <c r="H268" s="23">
        <v>5.0000000000000001E-3</v>
      </c>
      <c r="I268" s="39">
        <v>44501</v>
      </c>
      <c r="J268" s="39">
        <v>44530</v>
      </c>
      <c r="K268" s="24">
        <v>30</v>
      </c>
      <c r="L268" s="24">
        <v>2429</v>
      </c>
      <c r="M268" s="24">
        <v>5910000</v>
      </c>
      <c r="N268" s="39">
        <v>45791</v>
      </c>
    </row>
    <row r="269" spans="1:14" s="5" customFormat="1" outlineLevel="2">
      <c r="A269" s="39" t="s">
        <v>108</v>
      </c>
      <c r="B269" s="40" t="s">
        <v>196</v>
      </c>
      <c r="C269" s="41" t="s">
        <v>134</v>
      </c>
      <c r="D269" s="40" t="s">
        <v>135</v>
      </c>
      <c r="E269" s="24">
        <v>12900000</v>
      </c>
      <c r="F269" s="39">
        <v>44498</v>
      </c>
      <c r="G269" s="24">
        <v>12900000</v>
      </c>
      <c r="H269" s="23">
        <v>5.0000000000000001E-3</v>
      </c>
      <c r="I269" s="39">
        <v>44501</v>
      </c>
      <c r="J269" s="39">
        <v>44514</v>
      </c>
      <c r="K269" s="24">
        <v>14</v>
      </c>
      <c r="L269" s="24">
        <v>2474</v>
      </c>
      <c r="M269" s="24">
        <v>12792500</v>
      </c>
      <c r="N269" s="39">
        <v>45593</v>
      </c>
    </row>
    <row r="270" spans="1:14" s="5" customFormat="1" outlineLevel="2">
      <c r="A270" s="39" t="s">
        <v>108</v>
      </c>
      <c r="B270" s="40" t="s">
        <v>196</v>
      </c>
      <c r="C270" s="41" t="s">
        <v>134</v>
      </c>
      <c r="D270" s="40"/>
      <c r="E270" s="24"/>
      <c r="F270" s="39"/>
      <c r="G270" s="24">
        <v>12792500</v>
      </c>
      <c r="H270" s="23">
        <v>5.0000000000000001E-3</v>
      </c>
      <c r="I270" s="39">
        <v>44515</v>
      </c>
      <c r="J270" s="39">
        <v>44530</v>
      </c>
      <c r="K270" s="24">
        <v>16</v>
      </c>
      <c r="L270" s="24">
        <v>2804</v>
      </c>
      <c r="M270" s="24"/>
      <c r="N270" s="39">
        <v>45593</v>
      </c>
    </row>
    <row r="271" spans="1:14" s="5" customFormat="1" outlineLevel="2">
      <c r="A271" s="39" t="s">
        <v>108</v>
      </c>
      <c r="B271" s="40" t="s">
        <v>197</v>
      </c>
      <c r="C271" s="41" t="s">
        <v>146</v>
      </c>
      <c r="D271" s="40" t="s">
        <v>147</v>
      </c>
      <c r="E271" s="24">
        <v>21000000</v>
      </c>
      <c r="F271" s="39">
        <v>44529</v>
      </c>
      <c r="G271" s="24">
        <v>21000000</v>
      </c>
      <c r="H271" s="23">
        <v>5.0000000000000001E-3</v>
      </c>
      <c r="I271" s="39">
        <v>44529</v>
      </c>
      <c r="J271" s="39">
        <v>44530</v>
      </c>
      <c r="K271" s="24">
        <v>2</v>
      </c>
      <c r="L271" s="24">
        <v>575</v>
      </c>
      <c r="M271" s="24">
        <v>21000000</v>
      </c>
      <c r="N271" s="39">
        <v>45624</v>
      </c>
    </row>
    <row r="272" spans="1:14" s="5" customFormat="1" outlineLevel="2">
      <c r="A272" s="39" t="s">
        <v>108</v>
      </c>
      <c r="B272" s="40" t="s">
        <v>198</v>
      </c>
      <c r="C272" s="41" t="s">
        <v>113</v>
      </c>
      <c r="D272" s="40" t="s">
        <v>114</v>
      </c>
      <c r="E272" s="24">
        <v>23200000</v>
      </c>
      <c r="F272" s="39">
        <v>44529</v>
      </c>
      <c r="G272" s="24">
        <v>23200000</v>
      </c>
      <c r="H272" s="23">
        <v>5.0000000000000001E-3</v>
      </c>
      <c r="I272" s="39">
        <v>44529</v>
      </c>
      <c r="J272" s="39">
        <v>44530</v>
      </c>
      <c r="K272" s="24">
        <v>2</v>
      </c>
      <c r="L272" s="24">
        <v>636</v>
      </c>
      <c r="M272" s="24">
        <v>23200000</v>
      </c>
      <c r="N272" s="39">
        <v>46354</v>
      </c>
    </row>
    <row r="273" spans="1:14" s="5" customFormat="1" outlineLevel="2">
      <c r="A273" s="39" t="s">
        <v>108</v>
      </c>
      <c r="B273" s="40" t="s">
        <v>65</v>
      </c>
      <c r="C273" s="41" t="s">
        <v>113</v>
      </c>
      <c r="D273" s="40" t="s">
        <v>114</v>
      </c>
      <c r="E273" s="24">
        <v>20510000</v>
      </c>
      <c r="F273" s="39">
        <v>43966</v>
      </c>
      <c r="G273" s="24">
        <v>16309164</v>
      </c>
      <c r="H273" s="23">
        <v>5.0000000000000001E-3</v>
      </c>
      <c r="I273" s="39">
        <v>44501</v>
      </c>
      <c r="J273" s="39">
        <v>44514</v>
      </c>
      <c r="K273" s="24">
        <v>14</v>
      </c>
      <c r="L273" s="24">
        <v>3128</v>
      </c>
      <c r="M273" s="24">
        <v>16062056</v>
      </c>
      <c r="N273" s="39">
        <v>45791</v>
      </c>
    </row>
    <row r="274" spans="1:14" s="5" customFormat="1" outlineLevel="2">
      <c r="A274" s="39" t="s">
        <v>108</v>
      </c>
      <c r="B274" s="40" t="s">
        <v>65</v>
      </c>
      <c r="C274" s="41" t="s">
        <v>113</v>
      </c>
      <c r="D274" s="40"/>
      <c r="E274" s="24"/>
      <c r="F274" s="39"/>
      <c r="G274" s="24">
        <v>16062056</v>
      </c>
      <c r="H274" s="23">
        <v>5.0000000000000001E-3</v>
      </c>
      <c r="I274" s="39">
        <v>44515</v>
      </c>
      <c r="J274" s="39">
        <v>44530</v>
      </c>
      <c r="K274" s="24">
        <v>16</v>
      </c>
      <c r="L274" s="24">
        <v>3520</v>
      </c>
      <c r="M274" s="24"/>
      <c r="N274" s="39">
        <v>45791</v>
      </c>
    </row>
    <row r="275" spans="1:14" s="5" customFormat="1" outlineLevel="2">
      <c r="A275" s="39" t="s">
        <v>108</v>
      </c>
      <c r="B275" s="40" t="s">
        <v>68</v>
      </c>
      <c r="C275" s="41" t="s">
        <v>109</v>
      </c>
      <c r="D275" s="40" t="s">
        <v>110</v>
      </c>
      <c r="E275" s="24">
        <v>33960000</v>
      </c>
      <c r="F275" s="39">
        <v>43978</v>
      </c>
      <c r="G275" s="24">
        <v>33960000</v>
      </c>
      <c r="H275" s="23">
        <v>5.0000000000000001E-3</v>
      </c>
      <c r="I275" s="39">
        <v>44501</v>
      </c>
      <c r="J275" s="39">
        <v>44530</v>
      </c>
      <c r="K275" s="24">
        <v>30</v>
      </c>
      <c r="L275" s="24">
        <v>13956</v>
      </c>
      <c r="M275" s="24">
        <v>33960000</v>
      </c>
      <c r="N275" s="39">
        <v>45803</v>
      </c>
    </row>
    <row r="276" spans="1:14" s="5" customFormat="1" outlineLevel="1">
      <c r="A276" s="42" t="s">
        <v>119</v>
      </c>
      <c r="B276" s="43"/>
      <c r="C276" s="44"/>
      <c r="D276" s="43"/>
      <c r="E276" s="45">
        <v>1511455386</v>
      </c>
      <c r="F276" s="46"/>
      <c r="G276" s="45"/>
      <c r="H276" s="47"/>
      <c r="I276" s="46"/>
      <c r="J276" s="46"/>
      <c r="K276" s="45"/>
      <c r="L276" s="45">
        <v>579546</v>
      </c>
      <c r="M276" s="45">
        <v>1449291272</v>
      </c>
      <c r="N276" s="46"/>
    </row>
    <row r="277" spans="1:14" s="5" customFormat="1" outlineLevel="2">
      <c r="A277" s="39" t="s">
        <v>120</v>
      </c>
      <c r="B277" s="40" t="s">
        <v>16</v>
      </c>
      <c r="C277" s="41" t="s">
        <v>121</v>
      </c>
      <c r="D277" s="40" t="s">
        <v>122</v>
      </c>
      <c r="E277" s="24">
        <v>69000000</v>
      </c>
      <c r="F277" s="39">
        <v>43822</v>
      </c>
      <c r="G277" s="24">
        <v>69000000</v>
      </c>
      <c r="H277" s="23">
        <v>5.0000000000000001E-3</v>
      </c>
      <c r="I277" s="39">
        <v>44501</v>
      </c>
      <c r="J277" s="39">
        <v>44530</v>
      </c>
      <c r="K277" s="24">
        <v>30</v>
      </c>
      <c r="L277" s="24">
        <v>28356</v>
      </c>
      <c r="M277" s="24">
        <v>69000000</v>
      </c>
      <c r="N277" s="39">
        <v>45648</v>
      </c>
    </row>
    <row r="278" spans="1:14" s="5" customFormat="1" outlineLevel="2">
      <c r="A278" s="39" t="s">
        <v>120</v>
      </c>
      <c r="B278" s="40" t="s">
        <v>19</v>
      </c>
      <c r="C278" s="41" t="s">
        <v>37</v>
      </c>
      <c r="D278" s="40" t="s">
        <v>38</v>
      </c>
      <c r="E278" s="24">
        <v>247700000</v>
      </c>
      <c r="F278" s="39">
        <v>43985</v>
      </c>
      <c r="G278" s="24">
        <v>247700000</v>
      </c>
      <c r="H278" s="23">
        <v>5.0000000000000001E-3</v>
      </c>
      <c r="I278" s="39">
        <v>44501</v>
      </c>
      <c r="J278" s="39">
        <v>44530</v>
      </c>
      <c r="K278" s="24">
        <v>30</v>
      </c>
      <c r="L278" s="24">
        <v>101795</v>
      </c>
      <c r="M278" s="24">
        <v>247700000</v>
      </c>
      <c r="N278" s="39">
        <v>45810</v>
      </c>
    </row>
    <row r="279" spans="1:14" s="5" customFormat="1" outlineLevel="2">
      <c r="A279" s="39" t="s">
        <v>120</v>
      </c>
      <c r="B279" s="40" t="s">
        <v>22</v>
      </c>
      <c r="C279" s="41" t="s">
        <v>123</v>
      </c>
      <c r="D279" s="40" t="s">
        <v>124</v>
      </c>
      <c r="E279" s="24">
        <v>18612000</v>
      </c>
      <c r="F279" s="39">
        <v>43997</v>
      </c>
      <c r="G279" s="24">
        <v>3722400</v>
      </c>
      <c r="H279" s="23">
        <v>5.0000000000000001E-3</v>
      </c>
      <c r="I279" s="39">
        <v>44501</v>
      </c>
      <c r="J279" s="39">
        <v>44530</v>
      </c>
      <c r="K279" s="24">
        <v>30</v>
      </c>
      <c r="L279" s="24">
        <v>1530</v>
      </c>
      <c r="M279" s="24">
        <v>3722400</v>
      </c>
      <c r="N279" s="39">
        <v>45822</v>
      </c>
    </row>
    <row r="280" spans="1:14" s="5" customFormat="1" outlineLevel="2">
      <c r="A280" s="39" t="s">
        <v>120</v>
      </c>
      <c r="B280" s="40" t="s">
        <v>25</v>
      </c>
      <c r="C280" s="41" t="s">
        <v>20</v>
      </c>
      <c r="D280" s="40" t="s">
        <v>21</v>
      </c>
      <c r="E280" s="24">
        <v>624000000</v>
      </c>
      <c r="F280" s="39">
        <v>44014</v>
      </c>
      <c r="G280" s="24">
        <v>624000000</v>
      </c>
      <c r="H280" s="23">
        <v>5.0000000000000001E-3</v>
      </c>
      <c r="I280" s="39">
        <v>44501</v>
      </c>
      <c r="J280" s="39">
        <v>44530</v>
      </c>
      <c r="K280" s="24">
        <v>30</v>
      </c>
      <c r="L280" s="24">
        <v>256438</v>
      </c>
      <c r="M280" s="24">
        <v>624000000</v>
      </c>
      <c r="N280" s="39">
        <v>45839</v>
      </c>
    </row>
    <row r="281" spans="1:14" s="5" customFormat="1" outlineLevel="2">
      <c r="A281" s="39" t="s">
        <v>120</v>
      </c>
      <c r="B281" s="40" t="s">
        <v>26</v>
      </c>
      <c r="C281" s="41" t="s">
        <v>20</v>
      </c>
      <c r="D281" s="40" t="s">
        <v>21</v>
      </c>
      <c r="E281" s="24">
        <v>82000000</v>
      </c>
      <c r="F281" s="39">
        <v>44042</v>
      </c>
      <c r="G281" s="24">
        <v>82000000</v>
      </c>
      <c r="H281" s="23">
        <v>5.0000000000000001E-3</v>
      </c>
      <c r="I281" s="39">
        <v>44501</v>
      </c>
      <c r="J281" s="39">
        <v>44530</v>
      </c>
      <c r="K281" s="24">
        <v>30</v>
      </c>
      <c r="L281" s="24">
        <v>33699</v>
      </c>
      <c r="M281" s="24">
        <v>82000000</v>
      </c>
      <c r="N281" s="39">
        <v>45867</v>
      </c>
    </row>
    <row r="282" spans="1:14" s="5" customFormat="1" outlineLevel="2">
      <c r="A282" s="39" t="s">
        <v>120</v>
      </c>
      <c r="B282" s="40" t="s">
        <v>29</v>
      </c>
      <c r="C282" s="41" t="s">
        <v>20</v>
      </c>
      <c r="D282" s="40" t="s">
        <v>21</v>
      </c>
      <c r="E282" s="24">
        <v>406400000</v>
      </c>
      <c r="F282" s="39">
        <v>44042</v>
      </c>
      <c r="G282" s="24">
        <v>406400000</v>
      </c>
      <c r="H282" s="23">
        <v>3.0000000000000001E-3</v>
      </c>
      <c r="I282" s="39">
        <v>44501</v>
      </c>
      <c r="J282" s="39">
        <v>44530</v>
      </c>
      <c r="K282" s="24">
        <v>30</v>
      </c>
      <c r="L282" s="24">
        <v>100208</v>
      </c>
      <c r="M282" s="24">
        <v>406400000</v>
      </c>
      <c r="N282" s="39">
        <v>45867</v>
      </c>
    </row>
    <row r="283" spans="1:14" s="5" customFormat="1" outlineLevel="2">
      <c r="A283" s="39" t="s">
        <v>120</v>
      </c>
      <c r="B283" s="40" t="s">
        <v>32</v>
      </c>
      <c r="C283" s="41" t="s">
        <v>20</v>
      </c>
      <c r="D283" s="40" t="s">
        <v>21</v>
      </c>
      <c r="E283" s="24">
        <v>51600000</v>
      </c>
      <c r="F283" s="39">
        <v>44042</v>
      </c>
      <c r="G283" s="24">
        <v>51600000</v>
      </c>
      <c r="H283" s="23">
        <v>3.0000000000000001E-3</v>
      </c>
      <c r="I283" s="39">
        <v>44501</v>
      </c>
      <c r="J283" s="39">
        <v>44530</v>
      </c>
      <c r="K283" s="24">
        <v>30</v>
      </c>
      <c r="L283" s="24">
        <v>12723</v>
      </c>
      <c r="M283" s="24">
        <v>51600000</v>
      </c>
      <c r="N283" s="39">
        <v>45867</v>
      </c>
    </row>
    <row r="284" spans="1:14" s="5" customFormat="1" outlineLevel="2">
      <c r="A284" s="39" t="s">
        <v>120</v>
      </c>
      <c r="B284" s="40" t="s">
        <v>33</v>
      </c>
      <c r="C284" s="41" t="s">
        <v>125</v>
      </c>
      <c r="D284" s="40" t="s">
        <v>126</v>
      </c>
      <c r="E284" s="24">
        <v>1850000</v>
      </c>
      <c r="F284" s="39">
        <v>44018</v>
      </c>
      <c r="G284" s="24">
        <v>1850000</v>
      </c>
      <c r="H284" s="23">
        <v>5.0000000000000001E-3</v>
      </c>
      <c r="I284" s="39">
        <v>44501</v>
      </c>
      <c r="J284" s="39">
        <v>44530</v>
      </c>
      <c r="K284" s="24">
        <v>30</v>
      </c>
      <c r="L284" s="24">
        <v>760</v>
      </c>
      <c r="M284" s="24">
        <v>1850000</v>
      </c>
      <c r="N284" s="39">
        <v>45843</v>
      </c>
    </row>
    <row r="285" spans="1:14" s="5" customFormat="1" outlineLevel="2">
      <c r="A285" s="39" t="s">
        <v>120</v>
      </c>
      <c r="B285" s="40" t="s">
        <v>34</v>
      </c>
      <c r="C285" s="41" t="s">
        <v>125</v>
      </c>
      <c r="D285" s="40" t="s">
        <v>126</v>
      </c>
      <c r="E285" s="24">
        <v>5400000</v>
      </c>
      <c r="F285" s="39">
        <v>44019</v>
      </c>
      <c r="G285" s="24">
        <v>5400000</v>
      </c>
      <c r="H285" s="23">
        <v>5.0000000000000001E-3</v>
      </c>
      <c r="I285" s="39">
        <v>44501</v>
      </c>
      <c r="J285" s="39">
        <v>44530</v>
      </c>
      <c r="K285" s="24">
        <v>30</v>
      </c>
      <c r="L285" s="24">
        <v>2219</v>
      </c>
      <c r="M285" s="24">
        <v>5400000</v>
      </c>
      <c r="N285" s="39">
        <v>45844</v>
      </c>
    </row>
    <row r="286" spans="1:14" s="5" customFormat="1" outlineLevel="2">
      <c r="A286" s="39" t="s">
        <v>120</v>
      </c>
      <c r="B286" s="40" t="s">
        <v>35</v>
      </c>
      <c r="C286" s="41" t="s">
        <v>125</v>
      </c>
      <c r="D286" s="40" t="s">
        <v>126</v>
      </c>
      <c r="E286" s="24">
        <v>2300000</v>
      </c>
      <c r="F286" s="39">
        <v>44027</v>
      </c>
      <c r="G286" s="24">
        <v>2300000</v>
      </c>
      <c r="H286" s="23">
        <v>5.0000000000000001E-3</v>
      </c>
      <c r="I286" s="39">
        <v>44501</v>
      </c>
      <c r="J286" s="39">
        <v>44530</v>
      </c>
      <c r="K286" s="24">
        <v>30</v>
      </c>
      <c r="L286" s="24">
        <v>945</v>
      </c>
      <c r="M286" s="24">
        <v>2300000</v>
      </c>
      <c r="N286" s="39">
        <v>45852</v>
      </c>
    </row>
    <row r="287" spans="1:14" s="5" customFormat="1" outlineLevel="2">
      <c r="A287" s="39" t="s">
        <v>120</v>
      </c>
      <c r="B287" s="40" t="s">
        <v>36</v>
      </c>
      <c r="C287" s="41" t="s">
        <v>125</v>
      </c>
      <c r="D287" s="40" t="s">
        <v>126</v>
      </c>
      <c r="E287" s="24">
        <v>16280000</v>
      </c>
      <c r="F287" s="39">
        <v>44041</v>
      </c>
      <c r="G287" s="24">
        <v>16280000</v>
      </c>
      <c r="H287" s="23">
        <v>5.0000000000000001E-3</v>
      </c>
      <c r="I287" s="39">
        <v>44501</v>
      </c>
      <c r="J287" s="39">
        <v>44530</v>
      </c>
      <c r="K287" s="24">
        <v>30</v>
      </c>
      <c r="L287" s="24">
        <v>6690</v>
      </c>
      <c r="M287" s="24">
        <v>16280000</v>
      </c>
      <c r="N287" s="39">
        <v>45866</v>
      </c>
    </row>
    <row r="288" spans="1:14" s="5" customFormat="1" outlineLevel="2">
      <c r="A288" s="39" t="s">
        <v>120</v>
      </c>
      <c r="B288" s="40" t="s">
        <v>39</v>
      </c>
      <c r="C288" s="41" t="s">
        <v>17</v>
      </c>
      <c r="D288" s="40" t="s">
        <v>18</v>
      </c>
      <c r="E288" s="24">
        <v>162300000</v>
      </c>
      <c r="F288" s="39">
        <v>43829</v>
      </c>
      <c r="G288" s="24">
        <v>108200000</v>
      </c>
      <c r="H288" s="23">
        <v>5.0000000000000001E-3</v>
      </c>
      <c r="I288" s="39">
        <v>44501</v>
      </c>
      <c r="J288" s="39">
        <v>44530</v>
      </c>
      <c r="K288" s="24">
        <v>30</v>
      </c>
      <c r="L288" s="24">
        <v>44466</v>
      </c>
      <c r="M288" s="24">
        <v>108200000</v>
      </c>
      <c r="N288" s="39">
        <v>45655</v>
      </c>
    </row>
    <row r="289" spans="1:14" s="5" customFormat="1" outlineLevel="2">
      <c r="A289" s="39" t="s">
        <v>120</v>
      </c>
      <c r="B289" s="40" t="s">
        <v>40</v>
      </c>
      <c r="C289" s="41" t="s">
        <v>71</v>
      </c>
      <c r="D289" s="40" t="s">
        <v>72</v>
      </c>
      <c r="E289" s="24">
        <v>30000000</v>
      </c>
      <c r="F289" s="39">
        <v>44020</v>
      </c>
      <c r="G289" s="24">
        <v>30000000</v>
      </c>
      <c r="H289" s="23">
        <v>5.0000000000000001E-3</v>
      </c>
      <c r="I289" s="39">
        <v>44501</v>
      </c>
      <c r="J289" s="39">
        <v>44530</v>
      </c>
      <c r="K289" s="24">
        <v>30</v>
      </c>
      <c r="L289" s="24">
        <v>12329</v>
      </c>
      <c r="M289" s="24">
        <v>30000000</v>
      </c>
      <c r="N289" s="39">
        <v>45845</v>
      </c>
    </row>
    <row r="290" spans="1:14" s="5" customFormat="1" outlineLevel="2">
      <c r="A290" s="39" t="s">
        <v>120</v>
      </c>
      <c r="B290" s="40" t="s">
        <v>41</v>
      </c>
      <c r="C290" s="41" t="s">
        <v>27</v>
      </c>
      <c r="D290" s="40" t="s">
        <v>28</v>
      </c>
      <c r="E290" s="24">
        <v>35100000</v>
      </c>
      <c r="F290" s="39">
        <v>44013</v>
      </c>
      <c r="G290" s="24">
        <v>32175000</v>
      </c>
      <c r="H290" s="23">
        <v>5.0000000000000001E-3</v>
      </c>
      <c r="I290" s="39">
        <v>44501</v>
      </c>
      <c r="J290" s="39">
        <v>44514</v>
      </c>
      <c r="K290" s="24">
        <v>14</v>
      </c>
      <c r="L290" s="24">
        <v>6171</v>
      </c>
      <c r="M290" s="24">
        <v>31443750</v>
      </c>
      <c r="N290" s="39">
        <v>45838</v>
      </c>
    </row>
    <row r="291" spans="1:14" s="5" customFormat="1" outlineLevel="2">
      <c r="A291" s="39" t="s">
        <v>120</v>
      </c>
      <c r="B291" s="40" t="s">
        <v>41</v>
      </c>
      <c r="C291" s="41" t="s">
        <v>27</v>
      </c>
      <c r="D291" s="40"/>
      <c r="E291" s="24"/>
      <c r="F291" s="39"/>
      <c r="G291" s="24">
        <v>31443750</v>
      </c>
      <c r="H291" s="23">
        <v>5.0000000000000001E-3</v>
      </c>
      <c r="I291" s="39">
        <v>44515</v>
      </c>
      <c r="J291" s="39">
        <v>44530</v>
      </c>
      <c r="K291" s="24">
        <v>16</v>
      </c>
      <c r="L291" s="24">
        <v>6892</v>
      </c>
      <c r="M291" s="24"/>
      <c r="N291" s="39">
        <v>45838</v>
      </c>
    </row>
    <row r="292" spans="1:14" s="5" customFormat="1" outlineLevel="2">
      <c r="A292" s="39" t="s">
        <v>120</v>
      </c>
      <c r="B292" s="40" t="s">
        <v>42</v>
      </c>
      <c r="C292" s="41" t="s">
        <v>27</v>
      </c>
      <c r="D292" s="40" t="s">
        <v>28</v>
      </c>
      <c r="E292" s="24">
        <v>14900000</v>
      </c>
      <c r="F292" s="39">
        <v>44021</v>
      </c>
      <c r="G292" s="24">
        <v>13658336</v>
      </c>
      <c r="H292" s="23">
        <v>5.0000000000000001E-3</v>
      </c>
      <c r="I292" s="39">
        <v>44501</v>
      </c>
      <c r="J292" s="39">
        <v>44514</v>
      </c>
      <c r="K292" s="24">
        <v>14</v>
      </c>
      <c r="L292" s="24">
        <v>2619</v>
      </c>
      <c r="M292" s="24">
        <v>13347920</v>
      </c>
      <c r="N292" s="39">
        <v>45846</v>
      </c>
    </row>
    <row r="293" spans="1:14" s="5" customFormat="1" outlineLevel="2">
      <c r="A293" s="39" t="s">
        <v>120</v>
      </c>
      <c r="B293" s="40" t="s">
        <v>42</v>
      </c>
      <c r="C293" s="41" t="s">
        <v>27</v>
      </c>
      <c r="D293" s="40"/>
      <c r="E293" s="24"/>
      <c r="F293" s="39"/>
      <c r="G293" s="24">
        <v>13347920</v>
      </c>
      <c r="H293" s="23">
        <v>5.0000000000000001E-3</v>
      </c>
      <c r="I293" s="39">
        <v>44515</v>
      </c>
      <c r="J293" s="39">
        <v>44530</v>
      </c>
      <c r="K293" s="24">
        <v>16</v>
      </c>
      <c r="L293" s="24">
        <v>2926</v>
      </c>
      <c r="M293" s="24"/>
      <c r="N293" s="39">
        <v>45846</v>
      </c>
    </row>
    <row r="294" spans="1:14" s="5" customFormat="1" outlineLevel="2">
      <c r="A294" s="39" t="s">
        <v>120</v>
      </c>
      <c r="B294" s="40" t="s">
        <v>43</v>
      </c>
      <c r="C294" s="41" t="s">
        <v>71</v>
      </c>
      <c r="D294" s="40" t="s">
        <v>72</v>
      </c>
      <c r="E294" s="24">
        <v>30000000</v>
      </c>
      <c r="F294" s="39">
        <v>44050</v>
      </c>
      <c r="G294" s="24">
        <v>30000000</v>
      </c>
      <c r="H294" s="23">
        <v>5.0000000000000001E-3</v>
      </c>
      <c r="I294" s="39">
        <v>44501</v>
      </c>
      <c r="J294" s="39">
        <v>44530</v>
      </c>
      <c r="K294" s="24">
        <v>30</v>
      </c>
      <c r="L294" s="24">
        <v>12329</v>
      </c>
      <c r="M294" s="24">
        <v>30000000</v>
      </c>
      <c r="N294" s="39">
        <v>45875</v>
      </c>
    </row>
    <row r="295" spans="1:14" s="5" customFormat="1" outlineLevel="2">
      <c r="A295" s="39" t="s">
        <v>120</v>
      </c>
      <c r="B295" s="40" t="s">
        <v>44</v>
      </c>
      <c r="C295" s="41" t="s">
        <v>83</v>
      </c>
      <c r="D295" s="40" t="s">
        <v>84</v>
      </c>
      <c r="E295" s="24">
        <v>72450000</v>
      </c>
      <c r="F295" s="39">
        <v>44064</v>
      </c>
      <c r="G295" s="24">
        <v>72450000</v>
      </c>
      <c r="H295" s="23">
        <v>5.0000000000000001E-3</v>
      </c>
      <c r="I295" s="39">
        <v>44501</v>
      </c>
      <c r="J295" s="39">
        <v>44530</v>
      </c>
      <c r="K295" s="24">
        <v>30</v>
      </c>
      <c r="L295" s="24">
        <v>29774</v>
      </c>
      <c r="M295" s="24">
        <v>72450000</v>
      </c>
      <c r="N295" s="39">
        <v>45889</v>
      </c>
    </row>
    <row r="296" spans="1:14" s="5" customFormat="1" outlineLevel="2">
      <c r="A296" s="39" t="s">
        <v>120</v>
      </c>
      <c r="B296" s="40" t="s">
        <v>47</v>
      </c>
      <c r="C296" s="41" t="s">
        <v>97</v>
      </c>
      <c r="D296" s="40" t="s">
        <v>98</v>
      </c>
      <c r="E296" s="24">
        <v>77500000</v>
      </c>
      <c r="F296" s="39">
        <v>44060</v>
      </c>
      <c r="G296" s="24">
        <v>77500000</v>
      </c>
      <c r="H296" s="23">
        <v>5.0000000000000001E-3</v>
      </c>
      <c r="I296" s="39">
        <v>44501</v>
      </c>
      <c r="J296" s="39">
        <v>44530</v>
      </c>
      <c r="K296" s="24">
        <v>30</v>
      </c>
      <c r="L296" s="24">
        <v>31849</v>
      </c>
      <c r="M296" s="24">
        <v>77500000</v>
      </c>
      <c r="N296" s="39">
        <v>45885</v>
      </c>
    </row>
    <row r="297" spans="1:14" s="5" customFormat="1" outlineLevel="2">
      <c r="A297" s="39" t="s">
        <v>120</v>
      </c>
      <c r="B297" s="40" t="s">
        <v>50</v>
      </c>
      <c r="C297" s="41" t="s">
        <v>83</v>
      </c>
      <c r="D297" s="40" t="s">
        <v>84</v>
      </c>
      <c r="E297" s="24">
        <v>160000000</v>
      </c>
      <c r="F297" s="39">
        <v>44098</v>
      </c>
      <c r="G297" s="24">
        <v>160000000</v>
      </c>
      <c r="H297" s="23">
        <v>5.0000000000000001E-3</v>
      </c>
      <c r="I297" s="39">
        <v>44501</v>
      </c>
      <c r="J297" s="39">
        <v>44530</v>
      </c>
      <c r="K297" s="24">
        <v>30</v>
      </c>
      <c r="L297" s="24">
        <v>65753</v>
      </c>
      <c r="M297" s="24">
        <v>160000000</v>
      </c>
      <c r="N297" s="39">
        <v>45923</v>
      </c>
    </row>
    <row r="298" spans="1:14" s="5" customFormat="1" outlineLevel="2">
      <c r="A298" s="39" t="s">
        <v>120</v>
      </c>
      <c r="B298" s="40" t="s">
        <v>51</v>
      </c>
      <c r="C298" s="41" t="s">
        <v>128</v>
      </c>
      <c r="D298" s="40" t="s">
        <v>129</v>
      </c>
      <c r="E298" s="24">
        <v>73100000</v>
      </c>
      <c r="F298" s="39">
        <v>44095</v>
      </c>
      <c r="G298" s="24">
        <v>73100000</v>
      </c>
      <c r="H298" s="23">
        <v>5.0000000000000001E-3</v>
      </c>
      <c r="I298" s="39">
        <v>44501</v>
      </c>
      <c r="J298" s="39">
        <v>44530</v>
      </c>
      <c r="K298" s="24">
        <v>30</v>
      </c>
      <c r="L298" s="24">
        <v>30041</v>
      </c>
      <c r="M298" s="24">
        <v>73100000</v>
      </c>
      <c r="N298" s="39">
        <v>45920</v>
      </c>
    </row>
    <row r="299" spans="1:14" s="5" customFormat="1" outlineLevel="2">
      <c r="A299" s="39" t="s">
        <v>120</v>
      </c>
      <c r="B299" s="40" t="s">
        <v>52</v>
      </c>
      <c r="C299" s="41" t="s">
        <v>125</v>
      </c>
      <c r="D299" s="40" t="s">
        <v>126</v>
      </c>
      <c r="E299" s="24">
        <v>3000000</v>
      </c>
      <c r="F299" s="39">
        <v>44132</v>
      </c>
      <c r="G299" s="24">
        <v>3000000</v>
      </c>
      <c r="H299" s="23">
        <v>5.0000000000000001E-3</v>
      </c>
      <c r="I299" s="39">
        <v>44501</v>
      </c>
      <c r="J299" s="39">
        <v>44530</v>
      </c>
      <c r="K299" s="24">
        <v>30</v>
      </c>
      <c r="L299" s="24">
        <v>1233</v>
      </c>
      <c r="M299" s="24">
        <v>3000000</v>
      </c>
      <c r="N299" s="39">
        <v>45957</v>
      </c>
    </row>
    <row r="300" spans="1:14" s="5" customFormat="1" outlineLevel="2">
      <c r="A300" s="39" t="s">
        <v>120</v>
      </c>
      <c r="B300" s="40" t="s">
        <v>53</v>
      </c>
      <c r="C300" s="41" t="s">
        <v>97</v>
      </c>
      <c r="D300" s="40" t="s">
        <v>98</v>
      </c>
      <c r="E300" s="24">
        <v>141000000</v>
      </c>
      <c r="F300" s="39">
        <v>44119</v>
      </c>
      <c r="G300" s="24">
        <v>141000000</v>
      </c>
      <c r="H300" s="23">
        <v>5.0000000000000001E-3</v>
      </c>
      <c r="I300" s="39">
        <v>44501</v>
      </c>
      <c r="J300" s="39">
        <v>44530</v>
      </c>
      <c r="K300" s="24">
        <v>30</v>
      </c>
      <c r="L300" s="24">
        <v>57945</v>
      </c>
      <c r="M300" s="24">
        <v>141000000</v>
      </c>
      <c r="N300" s="39">
        <v>45944</v>
      </c>
    </row>
    <row r="301" spans="1:14" s="5" customFormat="1" outlineLevel="2">
      <c r="A301" s="39" t="s">
        <v>120</v>
      </c>
      <c r="B301" s="40" t="s">
        <v>54</v>
      </c>
      <c r="C301" s="41" t="s">
        <v>20</v>
      </c>
      <c r="D301" s="40" t="s">
        <v>21</v>
      </c>
      <c r="E301" s="24">
        <v>60000000</v>
      </c>
      <c r="F301" s="39">
        <v>43922</v>
      </c>
      <c r="G301" s="24">
        <v>60000000</v>
      </c>
      <c r="H301" s="23">
        <v>3.0000000000000001E-3</v>
      </c>
      <c r="I301" s="39">
        <v>44501</v>
      </c>
      <c r="J301" s="39">
        <v>44530</v>
      </c>
      <c r="K301" s="24">
        <v>30</v>
      </c>
      <c r="L301" s="24">
        <v>14795</v>
      </c>
      <c r="M301" s="24">
        <v>60000000</v>
      </c>
      <c r="N301" s="39">
        <v>45747</v>
      </c>
    </row>
    <row r="302" spans="1:14" s="5" customFormat="1" outlineLevel="2">
      <c r="A302" s="39" t="s">
        <v>120</v>
      </c>
      <c r="B302" s="40" t="s">
        <v>57</v>
      </c>
      <c r="C302" s="41" t="s">
        <v>125</v>
      </c>
      <c r="D302" s="40" t="s">
        <v>126</v>
      </c>
      <c r="E302" s="24">
        <v>2500000</v>
      </c>
      <c r="F302" s="39">
        <v>44146</v>
      </c>
      <c r="G302" s="24">
        <v>2500000</v>
      </c>
      <c r="H302" s="23">
        <v>5.0000000000000001E-3</v>
      </c>
      <c r="I302" s="39">
        <v>44501</v>
      </c>
      <c r="J302" s="39">
        <v>44530</v>
      </c>
      <c r="K302" s="24">
        <v>30</v>
      </c>
      <c r="L302" s="24">
        <v>1027</v>
      </c>
      <c r="M302" s="24">
        <v>2500000</v>
      </c>
      <c r="N302" s="39">
        <v>45971</v>
      </c>
    </row>
    <row r="303" spans="1:14" s="5" customFormat="1" outlineLevel="2">
      <c r="A303" s="39" t="s">
        <v>120</v>
      </c>
      <c r="B303" s="40" t="s">
        <v>58</v>
      </c>
      <c r="C303" s="41" t="s">
        <v>71</v>
      </c>
      <c r="D303" s="40" t="s">
        <v>72</v>
      </c>
      <c r="E303" s="24">
        <v>11610900</v>
      </c>
      <c r="F303" s="39">
        <v>44137</v>
      </c>
      <c r="G303" s="24">
        <v>11610900</v>
      </c>
      <c r="H303" s="23">
        <v>5.0000000000000001E-3</v>
      </c>
      <c r="I303" s="39">
        <v>44501</v>
      </c>
      <c r="J303" s="39">
        <v>44530</v>
      </c>
      <c r="K303" s="24">
        <v>30</v>
      </c>
      <c r="L303" s="24">
        <v>4772</v>
      </c>
      <c r="M303" s="24">
        <v>11610900</v>
      </c>
      <c r="N303" s="39">
        <v>45962</v>
      </c>
    </row>
    <row r="304" spans="1:14" s="5" customFormat="1" outlineLevel="2">
      <c r="A304" s="39" t="s">
        <v>120</v>
      </c>
      <c r="B304" s="40" t="s">
        <v>99</v>
      </c>
      <c r="C304" s="41" t="s">
        <v>130</v>
      </c>
      <c r="D304" s="40" t="s">
        <v>131</v>
      </c>
      <c r="E304" s="24">
        <v>12000000</v>
      </c>
      <c r="F304" s="39">
        <v>44145</v>
      </c>
      <c r="G304" s="24">
        <v>7000000</v>
      </c>
      <c r="H304" s="23">
        <v>5.0000000000000001E-3</v>
      </c>
      <c r="I304" s="39">
        <v>44501</v>
      </c>
      <c r="J304" s="39">
        <v>44530</v>
      </c>
      <c r="K304" s="24">
        <v>30</v>
      </c>
      <c r="L304" s="24">
        <v>2877</v>
      </c>
      <c r="M304" s="24">
        <v>7000000</v>
      </c>
      <c r="N304" s="39">
        <v>45970</v>
      </c>
    </row>
    <row r="305" spans="1:14" s="5" customFormat="1" outlineLevel="2">
      <c r="A305" s="39" t="s">
        <v>120</v>
      </c>
      <c r="B305" s="40" t="s">
        <v>100</v>
      </c>
      <c r="C305" s="41" t="s">
        <v>132</v>
      </c>
      <c r="D305" s="40" t="s">
        <v>133</v>
      </c>
      <c r="E305" s="24">
        <v>23000000</v>
      </c>
      <c r="F305" s="39">
        <v>44137</v>
      </c>
      <c r="G305" s="24">
        <v>18400004</v>
      </c>
      <c r="H305" s="23">
        <v>5.0000000000000001E-3</v>
      </c>
      <c r="I305" s="39">
        <v>44501</v>
      </c>
      <c r="J305" s="39">
        <v>44514</v>
      </c>
      <c r="K305" s="24">
        <v>14</v>
      </c>
      <c r="L305" s="24">
        <v>3529</v>
      </c>
      <c r="M305" s="24">
        <v>18016671</v>
      </c>
      <c r="N305" s="39">
        <v>45962</v>
      </c>
    </row>
    <row r="306" spans="1:14" s="5" customFormat="1" outlineLevel="2">
      <c r="A306" s="39" t="s">
        <v>120</v>
      </c>
      <c r="B306" s="40" t="s">
        <v>100</v>
      </c>
      <c r="C306" s="41" t="s">
        <v>132</v>
      </c>
      <c r="D306" s="40"/>
      <c r="E306" s="24"/>
      <c r="F306" s="39"/>
      <c r="G306" s="24">
        <v>18016671</v>
      </c>
      <c r="H306" s="23">
        <v>5.0000000000000001E-3</v>
      </c>
      <c r="I306" s="39">
        <v>44515</v>
      </c>
      <c r="J306" s="39">
        <v>44530</v>
      </c>
      <c r="K306" s="24">
        <v>16</v>
      </c>
      <c r="L306" s="24">
        <v>3949</v>
      </c>
      <c r="M306" s="24"/>
      <c r="N306" s="39">
        <v>45962</v>
      </c>
    </row>
    <row r="307" spans="1:14" s="5" customFormat="1" outlineLevel="2">
      <c r="A307" s="39" t="s">
        <v>120</v>
      </c>
      <c r="B307" s="40" t="s">
        <v>101</v>
      </c>
      <c r="C307" s="41" t="s">
        <v>132</v>
      </c>
      <c r="D307" s="40" t="s">
        <v>133</v>
      </c>
      <c r="E307" s="24">
        <v>17000000</v>
      </c>
      <c r="F307" s="39">
        <v>44145</v>
      </c>
      <c r="G307" s="24">
        <v>13600004</v>
      </c>
      <c r="H307" s="23">
        <v>5.0000000000000001E-3</v>
      </c>
      <c r="I307" s="39">
        <v>44501</v>
      </c>
      <c r="J307" s="39">
        <v>44514</v>
      </c>
      <c r="K307" s="24">
        <v>14</v>
      </c>
      <c r="L307" s="24">
        <v>2608</v>
      </c>
      <c r="M307" s="24">
        <v>13316671</v>
      </c>
      <c r="N307" s="39">
        <v>45970</v>
      </c>
    </row>
    <row r="308" spans="1:14" s="5" customFormat="1" outlineLevel="2">
      <c r="A308" s="39" t="s">
        <v>120</v>
      </c>
      <c r="B308" s="40" t="s">
        <v>101</v>
      </c>
      <c r="C308" s="41" t="s">
        <v>132</v>
      </c>
      <c r="D308" s="40"/>
      <c r="E308" s="24"/>
      <c r="F308" s="39"/>
      <c r="G308" s="24">
        <v>13316671</v>
      </c>
      <c r="H308" s="23">
        <v>5.0000000000000001E-3</v>
      </c>
      <c r="I308" s="39">
        <v>44515</v>
      </c>
      <c r="J308" s="39">
        <v>44530</v>
      </c>
      <c r="K308" s="24">
        <v>16</v>
      </c>
      <c r="L308" s="24">
        <v>2919</v>
      </c>
      <c r="M308" s="24"/>
      <c r="N308" s="39">
        <v>45970</v>
      </c>
    </row>
    <row r="309" spans="1:14" s="5" customFormat="1" outlineLevel="2">
      <c r="A309" s="39" t="s">
        <v>120</v>
      </c>
      <c r="B309" s="40" t="s">
        <v>102</v>
      </c>
      <c r="C309" s="41" t="s">
        <v>17</v>
      </c>
      <c r="D309" s="40" t="s">
        <v>18</v>
      </c>
      <c r="E309" s="24">
        <v>4591000</v>
      </c>
      <c r="F309" s="39">
        <v>44160</v>
      </c>
      <c r="G309" s="24">
        <v>3749313</v>
      </c>
      <c r="H309" s="23">
        <v>5.0000000000000001E-3</v>
      </c>
      <c r="I309" s="39">
        <v>44501</v>
      </c>
      <c r="J309" s="39">
        <v>44514</v>
      </c>
      <c r="K309" s="24">
        <v>14</v>
      </c>
      <c r="L309" s="24">
        <v>719</v>
      </c>
      <c r="M309" s="24">
        <v>3672796</v>
      </c>
      <c r="N309" s="39">
        <v>45985</v>
      </c>
    </row>
    <row r="310" spans="1:14" s="5" customFormat="1" outlineLevel="2">
      <c r="A310" s="39" t="s">
        <v>120</v>
      </c>
      <c r="B310" s="40" t="s">
        <v>102</v>
      </c>
      <c r="C310" s="41" t="s">
        <v>17</v>
      </c>
      <c r="D310" s="40"/>
      <c r="E310" s="24"/>
      <c r="F310" s="39"/>
      <c r="G310" s="24">
        <v>3672796</v>
      </c>
      <c r="H310" s="23">
        <v>5.0000000000000001E-3</v>
      </c>
      <c r="I310" s="39">
        <v>44515</v>
      </c>
      <c r="J310" s="39">
        <v>44530</v>
      </c>
      <c r="K310" s="24">
        <v>16</v>
      </c>
      <c r="L310" s="24">
        <v>805</v>
      </c>
      <c r="M310" s="24"/>
      <c r="N310" s="39">
        <v>45985</v>
      </c>
    </row>
    <row r="311" spans="1:14" s="5" customFormat="1" outlineLevel="2">
      <c r="A311" s="39" t="s">
        <v>120</v>
      </c>
      <c r="B311" s="40" t="s">
        <v>103</v>
      </c>
      <c r="C311" s="41" t="s">
        <v>83</v>
      </c>
      <c r="D311" s="40" t="s">
        <v>84</v>
      </c>
      <c r="E311" s="24">
        <v>238000000</v>
      </c>
      <c r="F311" s="39">
        <v>44189</v>
      </c>
      <c r="G311" s="24">
        <v>238000000</v>
      </c>
      <c r="H311" s="23">
        <v>5.0000000000000001E-3</v>
      </c>
      <c r="I311" s="39">
        <v>44501</v>
      </c>
      <c r="J311" s="39">
        <v>44530</v>
      </c>
      <c r="K311" s="24">
        <v>30</v>
      </c>
      <c r="L311" s="24">
        <v>97808</v>
      </c>
      <c r="M311" s="24">
        <v>238000000</v>
      </c>
      <c r="N311" s="39">
        <v>46014</v>
      </c>
    </row>
    <row r="312" spans="1:14" s="5" customFormat="1" outlineLevel="2">
      <c r="A312" s="39" t="s">
        <v>120</v>
      </c>
      <c r="B312" s="40" t="s">
        <v>104</v>
      </c>
      <c r="C312" s="41" t="s">
        <v>97</v>
      </c>
      <c r="D312" s="40" t="s">
        <v>98</v>
      </c>
      <c r="E312" s="24">
        <v>17000000</v>
      </c>
      <c r="F312" s="39">
        <v>44180</v>
      </c>
      <c r="G312" s="24">
        <v>17000000</v>
      </c>
      <c r="H312" s="23">
        <v>5.0000000000000001E-3</v>
      </c>
      <c r="I312" s="39">
        <v>44501</v>
      </c>
      <c r="J312" s="39">
        <v>44530</v>
      </c>
      <c r="K312" s="24">
        <v>30</v>
      </c>
      <c r="L312" s="24">
        <v>6986</v>
      </c>
      <c r="M312" s="24">
        <v>17000000</v>
      </c>
      <c r="N312" s="39">
        <v>46005</v>
      </c>
    </row>
    <row r="313" spans="1:14" s="5" customFormat="1" outlineLevel="2">
      <c r="A313" s="39" t="s">
        <v>120</v>
      </c>
      <c r="B313" s="40" t="s">
        <v>105</v>
      </c>
      <c r="C313" s="41" t="s">
        <v>134</v>
      </c>
      <c r="D313" s="40" t="s">
        <v>135</v>
      </c>
      <c r="E313" s="24">
        <v>8000000</v>
      </c>
      <c r="F313" s="39">
        <v>44169</v>
      </c>
      <c r="G313" s="24">
        <v>8000000</v>
      </c>
      <c r="H313" s="23">
        <v>5.0000000000000001E-3</v>
      </c>
      <c r="I313" s="39">
        <v>44501</v>
      </c>
      <c r="J313" s="39">
        <v>44530</v>
      </c>
      <c r="K313" s="24">
        <v>30</v>
      </c>
      <c r="L313" s="24">
        <v>3288</v>
      </c>
      <c r="M313" s="24">
        <v>8000000</v>
      </c>
      <c r="N313" s="39">
        <v>45994</v>
      </c>
    </row>
    <row r="314" spans="1:14" s="5" customFormat="1" outlineLevel="2">
      <c r="A314" s="39" t="s">
        <v>120</v>
      </c>
      <c r="B314" s="40" t="s">
        <v>106</v>
      </c>
      <c r="C314" s="41" t="s">
        <v>134</v>
      </c>
      <c r="D314" s="40" t="s">
        <v>135</v>
      </c>
      <c r="E314" s="24">
        <v>15000000</v>
      </c>
      <c r="F314" s="39">
        <v>44169</v>
      </c>
      <c r="G314" s="24">
        <v>15000000</v>
      </c>
      <c r="H314" s="23">
        <v>5.0000000000000001E-3</v>
      </c>
      <c r="I314" s="39">
        <v>44501</v>
      </c>
      <c r="J314" s="39">
        <v>44530</v>
      </c>
      <c r="K314" s="24">
        <v>30</v>
      </c>
      <c r="L314" s="24">
        <v>6164</v>
      </c>
      <c r="M314" s="24">
        <v>15000000</v>
      </c>
      <c r="N314" s="39">
        <v>45994</v>
      </c>
    </row>
    <row r="315" spans="1:14" s="5" customFormat="1" outlineLevel="2">
      <c r="A315" s="39" t="s">
        <v>120</v>
      </c>
      <c r="B315" s="40" t="s">
        <v>59</v>
      </c>
      <c r="C315" s="41" t="s">
        <v>20</v>
      </c>
      <c r="D315" s="40" t="s">
        <v>21</v>
      </c>
      <c r="E315" s="24">
        <v>144000000</v>
      </c>
      <c r="F315" s="39">
        <v>43922</v>
      </c>
      <c r="G315" s="24">
        <v>144000000</v>
      </c>
      <c r="H315" s="23">
        <v>5.0000000000000001E-3</v>
      </c>
      <c r="I315" s="39">
        <v>44501</v>
      </c>
      <c r="J315" s="39">
        <v>44530</v>
      </c>
      <c r="K315" s="24">
        <v>30</v>
      </c>
      <c r="L315" s="24">
        <v>59178</v>
      </c>
      <c r="M315" s="24">
        <v>144000000</v>
      </c>
      <c r="N315" s="39">
        <v>45747</v>
      </c>
    </row>
    <row r="316" spans="1:14" s="5" customFormat="1" outlineLevel="2">
      <c r="A316" s="39" t="s">
        <v>120</v>
      </c>
      <c r="B316" s="40" t="s">
        <v>136</v>
      </c>
      <c r="C316" s="41" t="s">
        <v>125</v>
      </c>
      <c r="D316" s="40" t="s">
        <v>126</v>
      </c>
      <c r="E316" s="24">
        <v>7000000</v>
      </c>
      <c r="F316" s="39">
        <v>44202</v>
      </c>
      <c r="G316" s="24">
        <v>7000000</v>
      </c>
      <c r="H316" s="23">
        <v>5.0000000000000001E-3</v>
      </c>
      <c r="I316" s="39">
        <v>44501</v>
      </c>
      <c r="J316" s="39">
        <v>44530</v>
      </c>
      <c r="K316" s="24">
        <v>30</v>
      </c>
      <c r="L316" s="24">
        <v>2877</v>
      </c>
      <c r="M316" s="24">
        <v>7000000</v>
      </c>
      <c r="N316" s="39">
        <v>46027</v>
      </c>
    </row>
    <row r="317" spans="1:14" s="5" customFormat="1" outlineLevel="2">
      <c r="A317" s="39" t="s">
        <v>120</v>
      </c>
      <c r="B317" s="40" t="s">
        <v>137</v>
      </c>
      <c r="C317" s="41" t="s">
        <v>125</v>
      </c>
      <c r="D317" s="40" t="s">
        <v>126</v>
      </c>
      <c r="E317" s="24">
        <v>26000000</v>
      </c>
      <c r="F317" s="39">
        <v>44218</v>
      </c>
      <c r="G317" s="24">
        <v>26000000</v>
      </c>
      <c r="H317" s="23">
        <v>5.0000000000000001E-3</v>
      </c>
      <c r="I317" s="39">
        <v>44501</v>
      </c>
      <c r="J317" s="39">
        <v>44530</v>
      </c>
      <c r="K317" s="24">
        <v>30</v>
      </c>
      <c r="L317" s="24">
        <v>10685</v>
      </c>
      <c r="M317" s="24">
        <v>26000000</v>
      </c>
      <c r="N317" s="39">
        <v>46043</v>
      </c>
    </row>
    <row r="318" spans="1:14" s="5" customFormat="1" outlineLevel="2">
      <c r="A318" s="39" t="s">
        <v>120</v>
      </c>
      <c r="B318" s="40" t="s">
        <v>138</v>
      </c>
      <c r="C318" s="41" t="s">
        <v>134</v>
      </c>
      <c r="D318" s="40" t="s">
        <v>135</v>
      </c>
      <c r="E318" s="24">
        <v>15000000</v>
      </c>
      <c r="F318" s="39">
        <v>44200</v>
      </c>
      <c r="G318" s="24">
        <v>15000000</v>
      </c>
      <c r="H318" s="23">
        <v>5.0000000000000001E-3</v>
      </c>
      <c r="I318" s="39">
        <v>44501</v>
      </c>
      <c r="J318" s="39">
        <v>44530</v>
      </c>
      <c r="K318" s="24">
        <v>30</v>
      </c>
      <c r="L318" s="24">
        <v>6164</v>
      </c>
      <c r="M318" s="24">
        <v>15000000</v>
      </c>
      <c r="N318" s="39">
        <v>46025</v>
      </c>
    </row>
    <row r="319" spans="1:14" s="5" customFormat="1" outlineLevel="2">
      <c r="A319" s="39" t="s">
        <v>120</v>
      </c>
      <c r="B319" s="40" t="s">
        <v>139</v>
      </c>
      <c r="C319" s="41" t="s">
        <v>134</v>
      </c>
      <c r="D319" s="40" t="s">
        <v>135</v>
      </c>
      <c r="E319" s="24">
        <v>6000000</v>
      </c>
      <c r="F319" s="39">
        <v>44203</v>
      </c>
      <c r="G319" s="24">
        <v>6000000</v>
      </c>
      <c r="H319" s="23">
        <v>5.0000000000000001E-3</v>
      </c>
      <c r="I319" s="39">
        <v>44501</v>
      </c>
      <c r="J319" s="39">
        <v>44530</v>
      </c>
      <c r="K319" s="24">
        <v>30</v>
      </c>
      <c r="L319" s="24">
        <v>2466</v>
      </c>
      <c r="M319" s="24">
        <v>6000000</v>
      </c>
      <c r="N319" s="39">
        <v>46028</v>
      </c>
    </row>
    <row r="320" spans="1:14" s="5" customFormat="1" outlineLevel="2">
      <c r="A320" s="39" t="s">
        <v>120</v>
      </c>
      <c r="B320" s="40" t="s">
        <v>140</v>
      </c>
      <c r="C320" s="41" t="s">
        <v>134</v>
      </c>
      <c r="D320" s="40" t="s">
        <v>135</v>
      </c>
      <c r="E320" s="24">
        <v>9000000</v>
      </c>
      <c r="F320" s="39">
        <v>44216</v>
      </c>
      <c r="G320" s="24">
        <v>9000000</v>
      </c>
      <c r="H320" s="23">
        <v>5.0000000000000001E-3</v>
      </c>
      <c r="I320" s="39">
        <v>44501</v>
      </c>
      <c r="J320" s="39">
        <v>44530</v>
      </c>
      <c r="K320" s="24">
        <v>30</v>
      </c>
      <c r="L320" s="24">
        <v>3699</v>
      </c>
      <c r="M320" s="24">
        <v>9000000</v>
      </c>
      <c r="N320" s="39">
        <v>46041</v>
      </c>
    </row>
    <row r="321" spans="1:14" s="5" customFormat="1" outlineLevel="2">
      <c r="A321" s="39" t="s">
        <v>120</v>
      </c>
      <c r="B321" s="40" t="s">
        <v>169</v>
      </c>
      <c r="C321" s="41" t="s">
        <v>20</v>
      </c>
      <c r="D321" s="40" t="s">
        <v>21</v>
      </c>
      <c r="E321" s="24">
        <v>150000000</v>
      </c>
      <c r="F321" s="39">
        <v>44231</v>
      </c>
      <c r="G321" s="24">
        <v>150000000</v>
      </c>
      <c r="H321" s="23">
        <v>3.0000000000000001E-3</v>
      </c>
      <c r="I321" s="39">
        <v>44501</v>
      </c>
      <c r="J321" s="39">
        <v>44530</v>
      </c>
      <c r="K321" s="24">
        <v>30</v>
      </c>
      <c r="L321" s="24">
        <v>36986</v>
      </c>
      <c r="M321" s="24">
        <v>150000000</v>
      </c>
      <c r="N321" s="39">
        <v>46056</v>
      </c>
    </row>
    <row r="322" spans="1:14" s="5" customFormat="1" outlineLevel="2">
      <c r="A322" s="39" t="s">
        <v>120</v>
      </c>
      <c r="B322" s="40" t="s">
        <v>170</v>
      </c>
      <c r="C322" s="41" t="s">
        <v>134</v>
      </c>
      <c r="D322" s="40" t="s">
        <v>135</v>
      </c>
      <c r="E322" s="24">
        <v>2000000</v>
      </c>
      <c r="F322" s="39">
        <v>44228</v>
      </c>
      <c r="G322" s="24">
        <v>2000000</v>
      </c>
      <c r="H322" s="23">
        <v>5.0000000000000001E-3</v>
      </c>
      <c r="I322" s="39">
        <v>44501</v>
      </c>
      <c r="J322" s="39">
        <v>44530</v>
      </c>
      <c r="K322" s="24">
        <v>30</v>
      </c>
      <c r="L322" s="24">
        <v>822</v>
      </c>
      <c r="M322" s="24">
        <v>2000000</v>
      </c>
      <c r="N322" s="39">
        <v>46053</v>
      </c>
    </row>
    <row r="323" spans="1:14" s="5" customFormat="1" outlineLevel="2">
      <c r="A323" s="39" t="s">
        <v>120</v>
      </c>
      <c r="B323" s="40" t="s">
        <v>171</v>
      </c>
      <c r="C323" s="41" t="s">
        <v>134</v>
      </c>
      <c r="D323" s="40" t="s">
        <v>135</v>
      </c>
      <c r="E323" s="24">
        <v>13000000</v>
      </c>
      <c r="F323" s="39">
        <v>44231</v>
      </c>
      <c r="G323" s="24">
        <v>13000000</v>
      </c>
      <c r="H323" s="23">
        <v>5.0000000000000001E-3</v>
      </c>
      <c r="I323" s="39">
        <v>44501</v>
      </c>
      <c r="J323" s="39">
        <v>44530</v>
      </c>
      <c r="K323" s="24">
        <v>30</v>
      </c>
      <c r="L323" s="24">
        <v>5342</v>
      </c>
      <c r="M323" s="24">
        <v>13000000</v>
      </c>
      <c r="N323" s="39">
        <v>46056</v>
      </c>
    </row>
    <row r="324" spans="1:14" s="5" customFormat="1" outlineLevel="2">
      <c r="A324" s="39" t="s">
        <v>120</v>
      </c>
      <c r="B324" s="40" t="s">
        <v>172</v>
      </c>
      <c r="C324" s="41" t="s">
        <v>134</v>
      </c>
      <c r="D324" s="40" t="s">
        <v>135</v>
      </c>
      <c r="E324" s="24">
        <v>8000000</v>
      </c>
      <c r="F324" s="39">
        <v>44235</v>
      </c>
      <c r="G324" s="24">
        <v>8000000</v>
      </c>
      <c r="H324" s="23">
        <v>5.0000000000000001E-3</v>
      </c>
      <c r="I324" s="39">
        <v>44501</v>
      </c>
      <c r="J324" s="39">
        <v>44530</v>
      </c>
      <c r="K324" s="24">
        <v>30</v>
      </c>
      <c r="L324" s="24">
        <v>3288</v>
      </c>
      <c r="M324" s="24">
        <v>8000000</v>
      </c>
      <c r="N324" s="39">
        <v>46060</v>
      </c>
    </row>
    <row r="325" spans="1:14" s="5" customFormat="1" outlineLevel="2">
      <c r="A325" s="39" t="s">
        <v>120</v>
      </c>
      <c r="B325" s="40" t="s">
        <v>173</v>
      </c>
      <c r="C325" s="41" t="s">
        <v>134</v>
      </c>
      <c r="D325" s="40" t="s">
        <v>135</v>
      </c>
      <c r="E325" s="24">
        <v>6000000</v>
      </c>
      <c r="F325" s="39">
        <v>44231</v>
      </c>
      <c r="G325" s="24">
        <v>6000000</v>
      </c>
      <c r="H325" s="23">
        <v>5.0000000000000001E-3</v>
      </c>
      <c r="I325" s="39">
        <v>44501</v>
      </c>
      <c r="J325" s="39">
        <v>44530</v>
      </c>
      <c r="K325" s="24">
        <v>30</v>
      </c>
      <c r="L325" s="24">
        <v>2466</v>
      </c>
      <c r="M325" s="24">
        <v>6000000</v>
      </c>
      <c r="N325" s="39">
        <v>46056</v>
      </c>
    </row>
    <row r="326" spans="1:14" s="5" customFormat="1" outlineLevel="2">
      <c r="A326" s="39" t="s">
        <v>120</v>
      </c>
      <c r="B326" s="40" t="s">
        <v>62</v>
      </c>
      <c r="C326" s="41" t="s">
        <v>125</v>
      </c>
      <c r="D326" s="40" t="s">
        <v>126</v>
      </c>
      <c r="E326" s="24">
        <v>34480000</v>
      </c>
      <c r="F326" s="39">
        <v>43980</v>
      </c>
      <c r="G326" s="24">
        <v>34480000</v>
      </c>
      <c r="H326" s="23">
        <v>5.0000000000000001E-3</v>
      </c>
      <c r="I326" s="39">
        <v>44501</v>
      </c>
      <c r="J326" s="39">
        <v>44530</v>
      </c>
      <c r="K326" s="24">
        <v>30</v>
      </c>
      <c r="L326" s="24">
        <v>14170</v>
      </c>
      <c r="M326" s="24">
        <v>34480000</v>
      </c>
      <c r="N326" s="39">
        <v>45805</v>
      </c>
    </row>
    <row r="327" spans="1:14" s="5" customFormat="1" outlineLevel="2">
      <c r="A327" s="39" t="s">
        <v>120</v>
      </c>
      <c r="B327" s="40" t="s">
        <v>174</v>
      </c>
      <c r="C327" s="41" t="s">
        <v>246</v>
      </c>
      <c r="D327" s="40" t="s">
        <v>247</v>
      </c>
      <c r="E327" s="24">
        <v>11000000</v>
      </c>
      <c r="F327" s="39">
        <v>44235</v>
      </c>
      <c r="G327" s="24">
        <v>11000000</v>
      </c>
      <c r="H327" s="23">
        <v>5.0000000000000001E-3</v>
      </c>
      <c r="I327" s="39">
        <v>44501</v>
      </c>
      <c r="J327" s="39">
        <v>44530</v>
      </c>
      <c r="K327" s="24">
        <v>30</v>
      </c>
      <c r="L327" s="24">
        <v>4521</v>
      </c>
      <c r="M327" s="24">
        <v>11000000</v>
      </c>
      <c r="N327" s="39">
        <v>46060</v>
      </c>
    </row>
    <row r="328" spans="1:14" s="5" customFormat="1" outlineLevel="2">
      <c r="A328" s="39" t="s">
        <v>120</v>
      </c>
      <c r="B328" s="40" t="s">
        <v>175</v>
      </c>
      <c r="C328" s="41" t="s">
        <v>246</v>
      </c>
      <c r="D328" s="40" t="s">
        <v>247</v>
      </c>
      <c r="E328" s="24">
        <v>67000000</v>
      </c>
      <c r="F328" s="39">
        <v>44251</v>
      </c>
      <c r="G328" s="24">
        <v>67000000</v>
      </c>
      <c r="H328" s="23">
        <v>5.0000000000000001E-3</v>
      </c>
      <c r="I328" s="39">
        <v>44501</v>
      </c>
      <c r="J328" s="39">
        <v>44530</v>
      </c>
      <c r="K328" s="24">
        <v>30</v>
      </c>
      <c r="L328" s="24">
        <v>27534</v>
      </c>
      <c r="M328" s="24">
        <v>67000000</v>
      </c>
      <c r="N328" s="39">
        <v>46076</v>
      </c>
    </row>
    <row r="329" spans="1:14" s="5" customFormat="1" outlineLevel="2">
      <c r="A329" s="39" t="s">
        <v>120</v>
      </c>
      <c r="B329" s="40" t="s">
        <v>176</v>
      </c>
      <c r="C329" s="41" t="s">
        <v>306</v>
      </c>
      <c r="D329" s="40" t="s">
        <v>305</v>
      </c>
      <c r="E329" s="24">
        <v>320000000</v>
      </c>
      <c r="F329" s="39">
        <v>44228</v>
      </c>
      <c r="G329" s="24">
        <v>320000000</v>
      </c>
      <c r="H329" s="23">
        <v>5.0000000000000001E-3</v>
      </c>
      <c r="I329" s="39">
        <v>44501</v>
      </c>
      <c r="J329" s="39">
        <v>44530</v>
      </c>
      <c r="K329" s="24">
        <v>30</v>
      </c>
      <c r="L329" s="24">
        <v>131507</v>
      </c>
      <c r="M329" s="24">
        <v>320000000</v>
      </c>
      <c r="N329" s="39">
        <v>46053</v>
      </c>
    </row>
    <row r="330" spans="1:14" s="5" customFormat="1" outlineLevel="2">
      <c r="A330" s="39" t="s">
        <v>120</v>
      </c>
      <c r="B330" s="40" t="s">
        <v>177</v>
      </c>
      <c r="C330" s="41" t="s">
        <v>306</v>
      </c>
      <c r="D330" s="40" t="s">
        <v>305</v>
      </c>
      <c r="E330" s="24">
        <v>17000000</v>
      </c>
      <c r="F330" s="39">
        <v>44246</v>
      </c>
      <c r="G330" s="24">
        <v>17000000</v>
      </c>
      <c r="H330" s="23">
        <v>5.0000000000000001E-3</v>
      </c>
      <c r="I330" s="39">
        <v>44501</v>
      </c>
      <c r="J330" s="39">
        <v>44530</v>
      </c>
      <c r="K330" s="24">
        <v>30</v>
      </c>
      <c r="L330" s="24">
        <v>6986</v>
      </c>
      <c r="M330" s="24">
        <v>17000000</v>
      </c>
      <c r="N330" s="39">
        <v>46071</v>
      </c>
    </row>
    <row r="331" spans="1:14" s="5" customFormat="1" outlineLevel="2">
      <c r="A331" s="39" t="s">
        <v>120</v>
      </c>
      <c r="B331" s="40" t="s">
        <v>178</v>
      </c>
      <c r="C331" s="41" t="s">
        <v>71</v>
      </c>
      <c r="D331" s="40" t="s">
        <v>72</v>
      </c>
      <c r="E331" s="24">
        <v>19980000</v>
      </c>
      <c r="F331" s="39">
        <v>44252</v>
      </c>
      <c r="G331" s="24">
        <v>19980000</v>
      </c>
      <c r="H331" s="23">
        <v>5.0000000000000001E-3</v>
      </c>
      <c r="I331" s="39">
        <v>44501</v>
      </c>
      <c r="J331" s="39">
        <v>44530</v>
      </c>
      <c r="K331" s="24">
        <v>30</v>
      </c>
      <c r="L331" s="24">
        <v>8211</v>
      </c>
      <c r="M331" s="24">
        <v>19980000</v>
      </c>
      <c r="N331" s="39">
        <v>46077</v>
      </c>
    </row>
    <row r="332" spans="1:14" s="5" customFormat="1" outlineLevel="2">
      <c r="A332" s="39" t="s">
        <v>120</v>
      </c>
      <c r="B332" s="40" t="s">
        <v>179</v>
      </c>
      <c r="C332" s="41" t="s">
        <v>219</v>
      </c>
      <c r="D332" s="40" t="s">
        <v>220</v>
      </c>
      <c r="E332" s="24">
        <v>9000000</v>
      </c>
      <c r="F332" s="39">
        <v>44253</v>
      </c>
      <c r="G332" s="24">
        <v>9000000</v>
      </c>
      <c r="H332" s="23">
        <v>5.0000000000000001E-3</v>
      </c>
      <c r="I332" s="39">
        <v>44501</v>
      </c>
      <c r="J332" s="39">
        <v>44530</v>
      </c>
      <c r="K332" s="24">
        <v>30</v>
      </c>
      <c r="L332" s="24">
        <v>3699</v>
      </c>
      <c r="M332" s="24">
        <v>9000000</v>
      </c>
      <c r="N332" s="39">
        <v>46078</v>
      </c>
    </row>
    <row r="333" spans="1:14" s="5" customFormat="1" outlineLevel="2">
      <c r="A333" s="39" t="s">
        <v>120</v>
      </c>
      <c r="B333" s="40" t="s">
        <v>180</v>
      </c>
      <c r="C333" s="41" t="s">
        <v>219</v>
      </c>
      <c r="D333" s="40" t="s">
        <v>220</v>
      </c>
      <c r="E333" s="24">
        <v>17000000</v>
      </c>
      <c r="F333" s="39">
        <v>44253</v>
      </c>
      <c r="G333" s="24">
        <v>17000000</v>
      </c>
      <c r="H333" s="23">
        <v>5.0000000000000001E-3</v>
      </c>
      <c r="I333" s="39">
        <v>44501</v>
      </c>
      <c r="J333" s="39">
        <v>44530</v>
      </c>
      <c r="K333" s="24">
        <v>30</v>
      </c>
      <c r="L333" s="24">
        <v>6986</v>
      </c>
      <c r="M333" s="24">
        <v>17000000</v>
      </c>
      <c r="N333" s="39">
        <v>46078</v>
      </c>
    </row>
    <row r="334" spans="1:14" s="5" customFormat="1" outlineLevel="2">
      <c r="A334" s="39" t="s">
        <v>120</v>
      </c>
      <c r="B334" s="40" t="s">
        <v>181</v>
      </c>
      <c r="C334" s="41" t="s">
        <v>37</v>
      </c>
      <c r="D334" s="40" t="s">
        <v>38</v>
      </c>
      <c r="E334" s="24">
        <v>90862000</v>
      </c>
      <c r="F334" s="39">
        <v>44285</v>
      </c>
      <c r="G334" s="24">
        <v>90862000</v>
      </c>
      <c r="H334" s="23">
        <v>5.0000000000000001E-3</v>
      </c>
      <c r="I334" s="39">
        <v>44501</v>
      </c>
      <c r="J334" s="39">
        <v>44530</v>
      </c>
      <c r="K334" s="24">
        <v>30</v>
      </c>
      <c r="L334" s="24">
        <v>37341</v>
      </c>
      <c r="M334" s="24">
        <v>90862000</v>
      </c>
      <c r="N334" s="39">
        <v>46110</v>
      </c>
    </row>
    <row r="335" spans="1:14" s="5" customFormat="1" outlineLevel="2">
      <c r="A335" s="39" t="s">
        <v>120</v>
      </c>
      <c r="B335" s="40" t="s">
        <v>182</v>
      </c>
      <c r="C335" s="41" t="s">
        <v>37</v>
      </c>
      <c r="D335" s="40" t="s">
        <v>38</v>
      </c>
      <c r="E335" s="24">
        <v>49390000</v>
      </c>
      <c r="F335" s="39">
        <v>44285</v>
      </c>
      <c r="G335" s="24">
        <v>49390000</v>
      </c>
      <c r="H335" s="23">
        <v>5.0000000000000001E-3</v>
      </c>
      <c r="I335" s="39">
        <v>44501</v>
      </c>
      <c r="J335" s="39">
        <v>44530</v>
      </c>
      <c r="K335" s="24">
        <v>30</v>
      </c>
      <c r="L335" s="24">
        <v>20297</v>
      </c>
      <c r="M335" s="24">
        <v>49390000</v>
      </c>
      <c r="N335" s="39">
        <v>46110</v>
      </c>
    </row>
    <row r="336" spans="1:14" s="5" customFormat="1" outlineLevel="2">
      <c r="A336" s="39" t="s">
        <v>120</v>
      </c>
      <c r="B336" s="40" t="s">
        <v>183</v>
      </c>
      <c r="C336" s="41" t="s">
        <v>134</v>
      </c>
      <c r="D336" s="40" t="s">
        <v>135</v>
      </c>
      <c r="E336" s="24">
        <v>9000000</v>
      </c>
      <c r="F336" s="39">
        <v>44285</v>
      </c>
      <c r="G336" s="24">
        <v>9000000</v>
      </c>
      <c r="H336" s="23">
        <v>5.0000000000000001E-3</v>
      </c>
      <c r="I336" s="39">
        <v>44501</v>
      </c>
      <c r="J336" s="39">
        <v>44530</v>
      </c>
      <c r="K336" s="24">
        <v>30</v>
      </c>
      <c r="L336" s="24">
        <v>3699</v>
      </c>
      <c r="M336" s="24">
        <v>9000000</v>
      </c>
      <c r="N336" s="39">
        <v>46110</v>
      </c>
    </row>
    <row r="337" spans="1:14" s="5" customFormat="1" outlineLevel="2">
      <c r="A337" s="39" t="s">
        <v>120</v>
      </c>
      <c r="B337" s="40" t="s">
        <v>63</v>
      </c>
      <c r="C337" s="41" t="s">
        <v>66</v>
      </c>
      <c r="D337" s="40" t="s">
        <v>67</v>
      </c>
      <c r="E337" s="24">
        <v>56000000</v>
      </c>
      <c r="F337" s="39">
        <v>43966</v>
      </c>
      <c r="G337" s="24">
        <v>56000000</v>
      </c>
      <c r="H337" s="23">
        <v>5.0000000000000001E-3</v>
      </c>
      <c r="I337" s="39">
        <v>44501</v>
      </c>
      <c r="J337" s="39">
        <v>44530</v>
      </c>
      <c r="K337" s="24">
        <v>30</v>
      </c>
      <c r="L337" s="24">
        <v>23014</v>
      </c>
      <c r="M337" s="24">
        <v>56000000</v>
      </c>
      <c r="N337" s="39">
        <v>45791</v>
      </c>
    </row>
    <row r="338" spans="1:14" s="5" customFormat="1" outlineLevel="2">
      <c r="A338" s="39" t="s">
        <v>120</v>
      </c>
      <c r="B338" s="40" t="s">
        <v>184</v>
      </c>
      <c r="C338" s="41" t="s">
        <v>125</v>
      </c>
      <c r="D338" s="40" t="s">
        <v>126</v>
      </c>
      <c r="E338" s="24">
        <v>28000000</v>
      </c>
      <c r="F338" s="39">
        <v>44264</v>
      </c>
      <c r="G338" s="24">
        <v>28000000</v>
      </c>
      <c r="H338" s="23">
        <v>5.0000000000000001E-3</v>
      </c>
      <c r="I338" s="39">
        <v>44501</v>
      </c>
      <c r="J338" s="39">
        <v>44530</v>
      </c>
      <c r="K338" s="24">
        <v>30</v>
      </c>
      <c r="L338" s="24">
        <v>11507</v>
      </c>
      <c r="M338" s="24">
        <v>28000000</v>
      </c>
      <c r="N338" s="39">
        <v>46089</v>
      </c>
    </row>
    <row r="339" spans="1:14" s="5" customFormat="1" outlineLevel="2">
      <c r="A339" s="39" t="s">
        <v>120</v>
      </c>
      <c r="B339" s="40" t="s">
        <v>185</v>
      </c>
      <c r="C339" s="41" t="s">
        <v>125</v>
      </c>
      <c r="D339" s="40" t="s">
        <v>126</v>
      </c>
      <c r="E339" s="24">
        <v>26000000</v>
      </c>
      <c r="F339" s="39">
        <v>44264</v>
      </c>
      <c r="G339" s="24">
        <v>26000000</v>
      </c>
      <c r="H339" s="23">
        <v>5.0000000000000001E-3</v>
      </c>
      <c r="I339" s="39">
        <v>44501</v>
      </c>
      <c r="J339" s="39">
        <v>44530</v>
      </c>
      <c r="K339" s="24">
        <v>30</v>
      </c>
      <c r="L339" s="24">
        <v>10685</v>
      </c>
      <c r="M339" s="24">
        <v>26000000</v>
      </c>
      <c r="N339" s="39">
        <v>46089</v>
      </c>
    </row>
    <row r="340" spans="1:14" s="5" customFormat="1" outlineLevel="2">
      <c r="A340" s="39" t="s">
        <v>120</v>
      </c>
      <c r="B340" s="40" t="s">
        <v>186</v>
      </c>
      <c r="C340" s="41" t="s">
        <v>30</v>
      </c>
      <c r="D340" s="40" t="s">
        <v>31</v>
      </c>
      <c r="E340" s="24">
        <v>60000000</v>
      </c>
      <c r="F340" s="39">
        <v>44272</v>
      </c>
      <c r="G340" s="24">
        <v>60000000</v>
      </c>
      <c r="H340" s="23">
        <v>5.0000000000000001E-3</v>
      </c>
      <c r="I340" s="39">
        <v>44501</v>
      </c>
      <c r="J340" s="39">
        <v>44530</v>
      </c>
      <c r="K340" s="24">
        <v>30</v>
      </c>
      <c r="L340" s="24">
        <v>24658</v>
      </c>
      <c r="M340" s="24">
        <v>60000000</v>
      </c>
      <c r="N340" s="39">
        <v>46097</v>
      </c>
    </row>
    <row r="341" spans="1:14" s="5" customFormat="1" outlineLevel="2">
      <c r="A341" s="39" t="s">
        <v>120</v>
      </c>
      <c r="B341" s="40" t="s">
        <v>189</v>
      </c>
      <c r="C341" s="41" t="s">
        <v>324</v>
      </c>
      <c r="D341" s="40" t="s">
        <v>323</v>
      </c>
      <c r="E341" s="24">
        <v>37000000</v>
      </c>
      <c r="F341" s="39">
        <v>44270</v>
      </c>
      <c r="G341" s="24">
        <v>34841662</v>
      </c>
      <c r="H341" s="23">
        <v>5.0000000000000001E-3</v>
      </c>
      <c r="I341" s="39">
        <v>44501</v>
      </c>
      <c r="J341" s="39">
        <v>44514</v>
      </c>
      <c r="K341" s="24">
        <v>14</v>
      </c>
      <c r="L341" s="24">
        <v>6682</v>
      </c>
      <c r="M341" s="24">
        <v>34533328</v>
      </c>
      <c r="N341" s="39">
        <v>46095</v>
      </c>
    </row>
    <row r="342" spans="1:14" s="5" customFormat="1" outlineLevel="2">
      <c r="A342" s="39" t="s">
        <v>120</v>
      </c>
      <c r="B342" s="40" t="s">
        <v>189</v>
      </c>
      <c r="C342" s="41" t="s">
        <v>324</v>
      </c>
      <c r="D342" s="40"/>
      <c r="E342" s="24"/>
      <c r="F342" s="39"/>
      <c r="G342" s="24">
        <v>34533328</v>
      </c>
      <c r="H342" s="23">
        <v>5.0000000000000001E-3</v>
      </c>
      <c r="I342" s="39">
        <v>44515</v>
      </c>
      <c r="J342" s="39">
        <v>44530</v>
      </c>
      <c r="K342" s="24">
        <v>16</v>
      </c>
      <c r="L342" s="24">
        <v>7569</v>
      </c>
      <c r="M342" s="24"/>
      <c r="N342" s="39">
        <v>46095</v>
      </c>
    </row>
    <row r="343" spans="1:14" s="5" customFormat="1" outlineLevel="2">
      <c r="A343" s="39" t="s">
        <v>120</v>
      </c>
      <c r="B343" s="40" t="s">
        <v>190</v>
      </c>
      <c r="C343" s="41" t="s">
        <v>324</v>
      </c>
      <c r="D343" s="40" t="s">
        <v>323</v>
      </c>
      <c r="E343" s="24">
        <v>23000000</v>
      </c>
      <c r="F343" s="39">
        <v>44270</v>
      </c>
      <c r="G343" s="24">
        <v>21083330</v>
      </c>
      <c r="H343" s="23">
        <v>5.0000000000000001E-3</v>
      </c>
      <c r="I343" s="39">
        <v>44501</v>
      </c>
      <c r="J343" s="39">
        <v>44514</v>
      </c>
      <c r="K343" s="24">
        <v>14</v>
      </c>
      <c r="L343" s="24">
        <v>4043</v>
      </c>
      <c r="M343" s="24">
        <v>20809520</v>
      </c>
      <c r="N343" s="39">
        <v>46095</v>
      </c>
    </row>
    <row r="344" spans="1:14" s="5" customFormat="1" outlineLevel="2">
      <c r="A344" s="39" t="s">
        <v>120</v>
      </c>
      <c r="B344" s="40" t="s">
        <v>190</v>
      </c>
      <c r="C344" s="41" t="s">
        <v>324</v>
      </c>
      <c r="D344" s="40"/>
      <c r="E344" s="24"/>
      <c r="F344" s="39"/>
      <c r="G344" s="24">
        <v>20809520</v>
      </c>
      <c r="H344" s="23">
        <v>5.0000000000000001E-3</v>
      </c>
      <c r="I344" s="39">
        <v>44515</v>
      </c>
      <c r="J344" s="39">
        <v>44530</v>
      </c>
      <c r="K344" s="24">
        <v>16</v>
      </c>
      <c r="L344" s="24">
        <v>4561</v>
      </c>
      <c r="M344" s="24"/>
      <c r="N344" s="39">
        <v>46095</v>
      </c>
    </row>
    <row r="345" spans="1:14" s="5" customFormat="1" outlineLevel="2">
      <c r="A345" s="39" t="s">
        <v>120</v>
      </c>
      <c r="B345" s="40" t="s">
        <v>191</v>
      </c>
      <c r="C345" s="41" t="s">
        <v>324</v>
      </c>
      <c r="D345" s="40" t="s">
        <v>323</v>
      </c>
      <c r="E345" s="24">
        <v>30000000</v>
      </c>
      <c r="F345" s="39">
        <v>44270</v>
      </c>
      <c r="G345" s="24">
        <v>27499999</v>
      </c>
      <c r="H345" s="23">
        <v>5.0000000000000001E-3</v>
      </c>
      <c r="I345" s="39">
        <v>44501</v>
      </c>
      <c r="J345" s="39">
        <v>44514</v>
      </c>
      <c r="K345" s="24">
        <v>14</v>
      </c>
      <c r="L345" s="24">
        <v>5274</v>
      </c>
      <c r="M345" s="24">
        <v>27142856</v>
      </c>
      <c r="N345" s="39">
        <v>46095</v>
      </c>
    </row>
    <row r="346" spans="1:14" s="5" customFormat="1" outlineLevel="2">
      <c r="A346" s="39" t="s">
        <v>120</v>
      </c>
      <c r="B346" s="40" t="s">
        <v>191</v>
      </c>
      <c r="C346" s="41" t="s">
        <v>324</v>
      </c>
      <c r="D346" s="40"/>
      <c r="E346" s="24"/>
      <c r="F346" s="39"/>
      <c r="G346" s="24">
        <v>27142856</v>
      </c>
      <c r="H346" s="23">
        <v>5.0000000000000001E-3</v>
      </c>
      <c r="I346" s="39">
        <v>44515</v>
      </c>
      <c r="J346" s="39">
        <v>44530</v>
      </c>
      <c r="K346" s="24">
        <v>16</v>
      </c>
      <c r="L346" s="24">
        <v>5949</v>
      </c>
      <c r="M346" s="24"/>
      <c r="N346" s="39">
        <v>46095</v>
      </c>
    </row>
    <row r="347" spans="1:14" s="5" customFormat="1" outlineLevel="2">
      <c r="A347" s="39" t="s">
        <v>120</v>
      </c>
      <c r="B347" s="40" t="s">
        <v>192</v>
      </c>
      <c r="C347" s="41" t="s">
        <v>341</v>
      </c>
      <c r="D347" s="40" t="s">
        <v>340</v>
      </c>
      <c r="E347" s="24">
        <v>33600000</v>
      </c>
      <c r="F347" s="39">
        <v>44314</v>
      </c>
      <c r="G347" s="24">
        <v>33600000</v>
      </c>
      <c r="H347" s="23">
        <v>5.0000000000000001E-3</v>
      </c>
      <c r="I347" s="39">
        <v>44501</v>
      </c>
      <c r="J347" s="39">
        <v>44530</v>
      </c>
      <c r="K347" s="24">
        <v>30</v>
      </c>
      <c r="L347" s="24">
        <v>13808</v>
      </c>
      <c r="M347" s="24">
        <v>33600000</v>
      </c>
      <c r="N347" s="39">
        <v>46139</v>
      </c>
    </row>
    <row r="348" spans="1:14" s="5" customFormat="1" outlineLevel="2">
      <c r="A348" s="39" t="s">
        <v>120</v>
      </c>
      <c r="B348" s="40" t="s">
        <v>193</v>
      </c>
      <c r="C348" s="41" t="s">
        <v>219</v>
      </c>
      <c r="D348" s="40" t="s">
        <v>220</v>
      </c>
      <c r="E348" s="24">
        <v>22000000</v>
      </c>
      <c r="F348" s="39">
        <v>44314</v>
      </c>
      <c r="G348" s="24">
        <v>22000000</v>
      </c>
      <c r="H348" s="23">
        <v>5.0000000000000001E-3</v>
      </c>
      <c r="I348" s="39">
        <v>44501</v>
      </c>
      <c r="J348" s="39">
        <v>44530</v>
      </c>
      <c r="K348" s="24">
        <v>30</v>
      </c>
      <c r="L348" s="24">
        <v>9041</v>
      </c>
      <c r="M348" s="24">
        <v>22000000</v>
      </c>
      <c r="N348" s="39">
        <v>46139</v>
      </c>
    </row>
    <row r="349" spans="1:14" s="5" customFormat="1" outlineLevel="2">
      <c r="A349" s="39" t="s">
        <v>120</v>
      </c>
      <c r="B349" s="40" t="s">
        <v>194</v>
      </c>
      <c r="C349" s="41" t="s">
        <v>345</v>
      </c>
      <c r="D349" s="40" t="s">
        <v>344</v>
      </c>
      <c r="E349" s="24">
        <v>16000000</v>
      </c>
      <c r="F349" s="39">
        <v>44315</v>
      </c>
      <c r="G349" s="24">
        <v>16000000</v>
      </c>
      <c r="H349" s="23">
        <v>3.0000000000000001E-3</v>
      </c>
      <c r="I349" s="39">
        <v>44501</v>
      </c>
      <c r="J349" s="39">
        <v>44530</v>
      </c>
      <c r="K349" s="24">
        <v>30</v>
      </c>
      <c r="L349" s="24">
        <v>3945</v>
      </c>
      <c r="M349" s="24">
        <v>16000000</v>
      </c>
      <c r="N349" s="39">
        <v>46140</v>
      </c>
    </row>
    <row r="350" spans="1:14" s="5" customFormat="1" outlineLevel="2">
      <c r="A350" s="39" t="s">
        <v>120</v>
      </c>
      <c r="B350" s="40" t="s">
        <v>195</v>
      </c>
      <c r="C350" s="41" t="s">
        <v>363</v>
      </c>
      <c r="D350" s="40" t="s">
        <v>362</v>
      </c>
      <c r="E350" s="24">
        <v>3800000</v>
      </c>
      <c r="F350" s="39">
        <v>44309</v>
      </c>
      <c r="G350" s="24">
        <v>3800000</v>
      </c>
      <c r="H350" s="23">
        <v>5.0000000000000001E-3</v>
      </c>
      <c r="I350" s="39">
        <v>44501</v>
      </c>
      <c r="J350" s="39">
        <v>44530</v>
      </c>
      <c r="K350" s="24">
        <v>30</v>
      </c>
      <c r="L350" s="24">
        <v>1562</v>
      </c>
      <c r="M350" s="24">
        <v>3800000</v>
      </c>
      <c r="N350" s="39">
        <v>46134</v>
      </c>
    </row>
    <row r="351" spans="1:14" s="5" customFormat="1" outlineLevel="2">
      <c r="A351" s="39" t="s">
        <v>120</v>
      </c>
      <c r="B351" s="40" t="s">
        <v>64</v>
      </c>
      <c r="C351" s="41" t="s">
        <v>20</v>
      </c>
      <c r="D351" s="40" t="s">
        <v>21</v>
      </c>
      <c r="E351" s="24">
        <v>150000000</v>
      </c>
      <c r="F351" s="39">
        <v>43958</v>
      </c>
      <c r="G351" s="24">
        <v>150000000</v>
      </c>
      <c r="H351" s="23">
        <v>5.0000000000000001E-3</v>
      </c>
      <c r="I351" s="39">
        <v>44501</v>
      </c>
      <c r="J351" s="39">
        <v>44530</v>
      </c>
      <c r="K351" s="24">
        <v>30</v>
      </c>
      <c r="L351" s="24">
        <v>61644</v>
      </c>
      <c r="M351" s="24">
        <v>150000000</v>
      </c>
      <c r="N351" s="39">
        <v>45783</v>
      </c>
    </row>
    <row r="352" spans="1:14" s="5" customFormat="1" outlineLevel="2">
      <c r="A352" s="39" t="s">
        <v>120</v>
      </c>
      <c r="B352" s="40" t="s">
        <v>196</v>
      </c>
      <c r="C352" s="41" t="s">
        <v>17</v>
      </c>
      <c r="D352" s="40" t="s">
        <v>18</v>
      </c>
      <c r="E352" s="24">
        <v>2245530</v>
      </c>
      <c r="F352" s="39">
        <v>44334</v>
      </c>
      <c r="G352" s="24">
        <v>2037610</v>
      </c>
      <c r="H352" s="23">
        <v>5.0000000000000001E-3</v>
      </c>
      <c r="I352" s="39">
        <v>44501</v>
      </c>
      <c r="J352" s="39">
        <v>44514</v>
      </c>
      <c r="K352" s="24">
        <v>14</v>
      </c>
      <c r="L352" s="24">
        <v>391</v>
      </c>
      <c r="M352" s="24">
        <v>1996026</v>
      </c>
      <c r="N352" s="39">
        <v>46159</v>
      </c>
    </row>
    <row r="353" spans="1:14" s="5" customFormat="1" outlineLevel="2">
      <c r="A353" s="39" t="s">
        <v>120</v>
      </c>
      <c r="B353" s="40" t="s">
        <v>196</v>
      </c>
      <c r="C353" s="41" t="s">
        <v>17</v>
      </c>
      <c r="D353" s="40"/>
      <c r="E353" s="24"/>
      <c r="F353" s="39"/>
      <c r="G353" s="24">
        <v>1996026</v>
      </c>
      <c r="H353" s="23">
        <v>5.0000000000000001E-3</v>
      </c>
      <c r="I353" s="39">
        <v>44515</v>
      </c>
      <c r="J353" s="39">
        <v>44530</v>
      </c>
      <c r="K353" s="24">
        <v>16</v>
      </c>
      <c r="L353" s="24">
        <v>437</v>
      </c>
      <c r="M353" s="24"/>
      <c r="N353" s="39">
        <v>46159</v>
      </c>
    </row>
    <row r="354" spans="1:14" s="5" customFormat="1" outlineLevel="2">
      <c r="A354" s="39" t="s">
        <v>120</v>
      </c>
      <c r="B354" s="40" t="s">
        <v>197</v>
      </c>
      <c r="C354" s="41" t="s">
        <v>134</v>
      </c>
      <c r="D354" s="40" t="s">
        <v>135</v>
      </c>
      <c r="E354" s="24">
        <v>1000000</v>
      </c>
      <c r="F354" s="39">
        <v>44376</v>
      </c>
      <c r="G354" s="24">
        <v>1000000</v>
      </c>
      <c r="H354" s="23">
        <v>5.0000000000000001E-3</v>
      </c>
      <c r="I354" s="39">
        <v>44501</v>
      </c>
      <c r="J354" s="39">
        <v>44530</v>
      </c>
      <c r="K354" s="24">
        <v>30</v>
      </c>
      <c r="L354" s="24">
        <v>411</v>
      </c>
      <c r="M354" s="24">
        <v>1000000</v>
      </c>
      <c r="N354" s="39">
        <v>46201</v>
      </c>
    </row>
    <row r="355" spans="1:14" s="5" customFormat="1" outlineLevel="2">
      <c r="A355" s="39" t="s">
        <v>120</v>
      </c>
      <c r="B355" s="40" t="s">
        <v>198</v>
      </c>
      <c r="C355" s="41" t="s">
        <v>134</v>
      </c>
      <c r="D355" s="40" t="s">
        <v>135</v>
      </c>
      <c r="E355" s="24">
        <v>3000000</v>
      </c>
      <c r="F355" s="39">
        <v>44376</v>
      </c>
      <c r="G355" s="24">
        <v>3000000</v>
      </c>
      <c r="H355" s="23">
        <v>5.0000000000000001E-3</v>
      </c>
      <c r="I355" s="39">
        <v>44501</v>
      </c>
      <c r="J355" s="39">
        <v>44530</v>
      </c>
      <c r="K355" s="24">
        <v>30</v>
      </c>
      <c r="L355" s="24">
        <v>1233</v>
      </c>
      <c r="M355" s="24">
        <v>3000000</v>
      </c>
      <c r="N355" s="39">
        <v>46201</v>
      </c>
    </row>
    <row r="356" spans="1:14" s="5" customFormat="1" outlineLevel="2">
      <c r="A356" s="39" t="s">
        <v>120</v>
      </c>
      <c r="B356" s="40" t="s">
        <v>199</v>
      </c>
      <c r="C356" s="41" t="s">
        <v>219</v>
      </c>
      <c r="D356" s="40" t="s">
        <v>220</v>
      </c>
      <c r="E356" s="24">
        <v>28000000</v>
      </c>
      <c r="F356" s="39">
        <v>44375</v>
      </c>
      <c r="G356" s="24">
        <v>28000000</v>
      </c>
      <c r="H356" s="23">
        <v>5.0000000000000001E-3</v>
      </c>
      <c r="I356" s="39">
        <v>44501</v>
      </c>
      <c r="J356" s="39">
        <v>44530</v>
      </c>
      <c r="K356" s="24">
        <v>30</v>
      </c>
      <c r="L356" s="24">
        <v>11507</v>
      </c>
      <c r="M356" s="24">
        <v>28000000</v>
      </c>
      <c r="N356" s="39">
        <v>46200</v>
      </c>
    </row>
    <row r="357" spans="1:14" s="5" customFormat="1" outlineLevel="2">
      <c r="A357" s="39" t="s">
        <v>120</v>
      </c>
      <c r="B357" s="40" t="s">
        <v>200</v>
      </c>
      <c r="C357" s="41" t="s">
        <v>20</v>
      </c>
      <c r="D357" s="40" t="s">
        <v>21</v>
      </c>
      <c r="E357" s="24">
        <v>79200000</v>
      </c>
      <c r="F357" s="39">
        <v>44405</v>
      </c>
      <c r="G357" s="24">
        <v>79200000</v>
      </c>
      <c r="H357" s="23">
        <v>3.0000000000000001E-3</v>
      </c>
      <c r="I357" s="39">
        <v>44501</v>
      </c>
      <c r="J357" s="39">
        <v>44530</v>
      </c>
      <c r="K357" s="24">
        <v>30</v>
      </c>
      <c r="L357" s="24">
        <v>19529</v>
      </c>
      <c r="M357" s="24">
        <v>79200000</v>
      </c>
      <c r="N357" s="39">
        <v>46230</v>
      </c>
    </row>
    <row r="358" spans="1:14" s="5" customFormat="1" outlineLevel="2">
      <c r="A358" s="39" t="s">
        <v>120</v>
      </c>
      <c r="B358" s="40" t="s">
        <v>201</v>
      </c>
      <c r="C358" s="41" t="s">
        <v>125</v>
      </c>
      <c r="D358" s="40" t="s">
        <v>126</v>
      </c>
      <c r="E358" s="24">
        <v>6000000</v>
      </c>
      <c r="F358" s="39">
        <v>44386</v>
      </c>
      <c r="G358" s="24">
        <v>6000000</v>
      </c>
      <c r="H358" s="23">
        <v>5.0000000000000001E-3</v>
      </c>
      <c r="I358" s="39">
        <v>44501</v>
      </c>
      <c r="J358" s="39">
        <v>44530</v>
      </c>
      <c r="K358" s="24">
        <v>30</v>
      </c>
      <c r="L358" s="24">
        <v>2466</v>
      </c>
      <c r="M358" s="24">
        <v>6000000</v>
      </c>
      <c r="N358" s="39">
        <v>46211</v>
      </c>
    </row>
    <row r="359" spans="1:14" s="5" customFormat="1" outlineLevel="2">
      <c r="A359" s="39" t="s">
        <v>120</v>
      </c>
      <c r="B359" s="40" t="s">
        <v>202</v>
      </c>
      <c r="C359" s="41" t="s">
        <v>404</v>
      </c>
      <c r="D359" s="40" t="s">
        <v>403</v>
      </c>
      <c r="E359" s="24">
        <v>63360000</v>
      </c>
      <c r="F359" s="39">
        <v>44438</v>
      </c>
      <c r="G359" s="24">
        <v>63360000</v>
      </c>
      <c r="H359" s="23">
        <v>5.0000000000000001E-3</v>
      </c>
      <c r="I359" s="39">
        <v>44501</v>
      </c>
      <c r="J359" s="39">
        <v>44530</v>
      </c>
      <c r="K359" s="24">
        <v>30</v>
      </c>
      <c r="L359" s="24">
        <v>26038</v>
      </c>
      <c r="M359" s="24">
        <v>63360000</v>
      </c>
      <c r="N359" s="39">
        <v>45533</v>
      </c>
    </row>
    <row r="360" spans="1:14" s="5" customFormat="1" outlineLevel="2">
      <c r="A360" s="39" t="s">
        <v>120</v>
      </c>
      <c r="B360" s="40" t="s">
        <v>203</v>
      </c>
      <c r="C360" s="41" t="s">
        <v>37</v>
      </c>
      <c r="D360" s="40" t="s">
        <v>38</v>
      </c>
      <c r="E360" s="24">
        <v>6249000</v>
      </c>
      <c r="F360" s="39">
        <v>44454</v>
      </c>
      <c r="G360" s="24">
        <v>6249000</v>
      </c>
      <c r="H360" s="23">
        <v>5.0000000000000001E-3</v>
      </c>
      <c r="I360" s="39">
        <v>44501</v>
      </c>
      <c r="J360" s="39">
        <v>44530</v>
      </c>
      <c r="K360" s="24">
        <v>30</v>
      </c>
      <c r="L360" s="24">
        <v>2568</v>
      </c>
      <c r="M360" s="24">
        <v>6249000</v>
      </c>
      <c r="N360" s="39">
        <v>46279</v>
      </c>
    </row>
    <row r="361" spans="1:14" s="5" customFormat="1" outlineLevel="2">
      <c r="A361" s="39" t="s">
        <v>120</v>
      </c>
      <c r="B361" s="40" t="s">
        <v>204</v>
      </c>
      <c r="C361" s="41" t="s">
        <v>37</v>
      </c>
      <c r="D361" s="40" t="s">
        <v>38</v>
      </c>
      <c r="E361" s="24">
        <v>193961000</v>
      </c>
      <c r="F361" s="39">
        <v>44454</v>
      </c>
      <c r="G361" s="24">
        <v>193961000</v>
      </c>
      <c r="H361" s="23">
        <v>5.0000000000000001E-3</v>
      </c>
      <c r="I361" s="39">
        <v>44501</v>
      </c>
      <c r="J361" s="39">
        <v>44530</v>
      </c>
      <c r="K361" s="24">
        <v>30</v>
      </c>
      <c r="L361" s="24">
        <v>79710</v>
      </c>
      <c r="M361" s="24">
        <v>193961000</v>
      </c>
      <c r="N361" s="39">
        <v>46279</v>
      </c>
    </row>
    <row r="362" spans="1:14" s="5" customFormat="1" outlineLevel="2">
      <c r="A362" s="39" t="s">
        <v>120</v>
      </c>
      <c r="B362" s="40" t="s">
        <v>205</v>
      </c>
      <c r="C362" s="41" t="s">
        <v>97</v>
      </c>
      <c r="D362" s="40" t="s">
        <v>98</v>
      </c>
      <c r="E362" s="24">
        <v>188800000</v>
      </c>
      <c r="F362" s="39">
        <v>44454</v>
      </c>
      <c r="G362" s="24">
        <v>188800000</v>
      </c>
      <c r="H362" s="23">
        <v>5.0000000000000001E-3</v>
      </c>
      <c r="I362" s="39">
        <v>44501</v>
      </c>
      <c r="J362" s="39">
        <v>44530</v>
      </c>
      <c r="K362" s="24">
        <v>30</v>
      </c>
      <c r="L362" s="24">
        <v>77589</v>
      </c>
      <c r="M362" s="24">
        <v>188800000</v>
      </c>
      <c r="N362" s="39">
        <v>46279</v>
      </c>
    </row>
    <row r="363" spans="1:14" s="5" customFormat="1" outlineLevel="2">
      <c r="A363" s="39" t="s">
        <v>120</v>
      </c>
      <c r="B363" s="40" t="s">
        <v>65</v>
      </c>
      <c r="C363" s="41" t="s">
        <v>125</v>
      </c>
      <c r="D363" s="40" t="s">
        <v>126</v>
      </c>
      <c r="E363" s="24">
        <v>5000000</v>
      </c>
      <c r="F363" s="39">
        <v>43998</v>
      </c>
      <c r="G363" s="24">
        <v>5000000</v>
      </c>
      <c r="H363" s="23">
        <v>5.0000000000000001E-3</v>
      </c>
      <c r="I363" s="39">
        <v>44501</v>
      </c>
      <c r="J363" s="39">
        <v>44530</v>
      </c>
      <c r="K363" s="24">
        <v>30</v>
      </c>
      <c r="L363" s="24">
        <v>2055</v>
      </c>
      <c r="M363" s="24">
        <v>5000000</v>
      </c>
      <c r="N363" s="39">
        <v>45823</v>
      </c>
    </row>
    <row r="364" spans="1:14" s="5" customFormat="1" outlineLevel="2">
      <c r="A364" s="39" t="s">
        <v>120</v>
      </c>
      <c r="B364" s="40" t="s">
        <v>206</v>
      </c>
      <c r="C364" s="41" t="s">
        <v>71</v>
      </c>
      <c r="D364" s="40" t="s">
        <v>72</v>
      </c>
      <c r="E364" s="24">
        <v>29880000</v>
      </c>
      <c r="F364" s="39">
        <v>44448</v>
      </c>
      <c r="G364" s="24">
        <v>29880000</v>
      </c>
      <c r="H364" s="23">
        <v>5.0000000000000001E-3</v>
      </c>
      <c r="I364" s="39">
        <v>44501</v>
      </c>
      <c r="J364" s="39">
        <v>44530</v>
      </c>
      <c r="K364" s="24">
        <v>30</v>
      </c>
      <c r="L364" s="24">
        <v>12279</v>
      </c>
      <c r="M364" s="24">
        <v>29880000</v>
      </c>
      <c r="N364" s="39">
        <v>46273</v>
      </c>
    </row>
    <row r="365" spans="1:14" s="5" customFormat="1" outlineLevel="2">
      <c r="A365" s="39" t="s">
        <v>120</v>
      </c>
      <c r="B365" s="40" t="s">
        <v>207</v>
      </c>
      <c r="C365" s="41" t="s">
        <v>219</v>
      </c>
      <c r="D365" s="40" t="s">
        <v>220</v>
      </c>
      <c r="E365" s="24">
        <v>29000000</v>
      </c>
      <c r="F365" s="39">
        <v>44468</v>
      </c>
      <c r="G365" s="24">
        <v>29000000</v>
      </c>
      <c r="H365" s="23">
        <v>5.0000000000000001E-3</v>
      </c>
      <c r="I365" s="39">
        <v>44501</v>
      </c>
      <c r="J365" s="39">
        <v>44530</v>
      </c>
      <c r="K365" s="24">
        <v>30</v>
      </c>
      <c r="L365" s="24">
        <v>11918</v>
      </c>
      <c r="M365" s="24">
        <v>29000000</v>
      </c>
      <c r="N365" s="39">
        <v>46293</v>
      </c>
    </row>
    <row r="366" spans="1:14" s="5" customFormat="1" outlineLevel="2">
      <c r="A366" s="39" t="s">
        <v>120</v>
      </c>
      <c r="B366" s="40" t="s">
        <v>208</v>
      </c>
      <c r="C366" s="41" t="s">
        <v>125</v>
      </c>
      <c r="D366" s="40" t="s">
        <v>126</v>
      </c>
      <c r="E366" s="24">
        <v>14000000</v>
      </c>
      <c r="F366" s="39">
        <v>44483</v>
      </c>
      <c r="G366" s="24">
        <v>14000000</v>
      </c>
      <c r="H366" s="23">
        <v>5.0000000000000001E-3</v>
      </c>
      <c r="I366" s="39">
        <v>44501</v>
      </c>
      <c r="J366" s="39">
        <v>44530</v>
      </c>
      <c r="K366" s="24">
        <v>30</v>
      </c>
      <c r="L366" s="24">
        <v>5753</v>
      </c>
      <c r="M366" s="24">
        <v>14000000</v>
      </c>
      <c r="N366" s="39">
        <v>46308</v>
      </c>
    </row>
    <row r="367" spans="1:14" s="5" customFormat="1" outlineLevel="2">
      <c r="A367" s="39" t="s">
        <v>120</v>
      </c>
      <c r="B367" s="40" t="s">
        <v>209</v>
      </c>
      <c r="C367" s="41" t="s">
        <v>97</v>
      </c>
      <c r="D367" s="40" t="s">
        <v>98</v>
      </c>
      <c r="E367" s="24">
        <v>75700000</v>
      </c>
      <c r="F367" s="39">
        <v>44497</v>
      </c>
      <c r="G367" s="24">
        <v>75700000</v>
      </c>
      <c r="H367" s="23">
        <v>5.0000000000000001E-3</v>
      </c>
      <c r="I367" s="39">
        <v>44501</v>
      </c>
      <c r="J367" s="39">
        <v>44530</v>
      </c>
      <c r="K367" s="24">
        <v>30</v>
      </c>
      <c r="L367" s="24">
        <v>31110</v>
      </c>
      <c r="M367" s="24">
        <v>75700000</v>
      </c>
      <c r="N367" s="39">
        <v>46322</v>
      </c>
    </row>
    <row r="368" spans="1:14" s="5" customFormat="1" outlineLevel="2">
      <c r="A368" s="39" t="s">
        <v>120</v>
      </c>
      <c r="B368" s="40" t="s">
        <v>210</v>
      </c>
      <c r="C368" s="41" t="s">
        <v>341</v>
      </c>
      <c r="D368" s="40" t="s">
        <v>340</v>
      </c>
      <c r="E368" s="24">
        <v>45000000</v>
      </c>
      <c r="F368" s="39">
        <v>44473</v>
      </c>
      <c r="G368" s="24">
        <v>45000000</v>
      </c>
      <c r="H368" s="23">
        <v>5.0000000000000001E-3</v>
      </c>
      <c r="I368" s="39">
        <v>44501</v>
      </c>
      <c r="J368" s="39">
        <v>44530</v>
      </c>
      <c r="K368" s="24">
        <v>30</v>
      </c>
      <c r="L368" s="24">
        <v>18493</v>
      </c>
      <c r="M368" s="24">
        <v>45000000</v>
      </c>
      <c r="N368" s="39">
        <v>46298</v>
      </c>
    </row>
    <row r="369" spans="1:14" s="5" customFormat="1" outlineLevel="2">
      <c r="A369" s="39" t="s">
        <v>120</v>
      </c>
      <c r="B369" s="40" t="s">
        <v>211</v>
      </c>
      <c r="C369" s="41" t="s">
        <v>404</v>
      </c>
      <c r="D369" s="40" t="s">
        <v>403</v>
      </c>
      <c r="E369" s="24">
        <v>7990000</v>
      </c>
      <c r="F369" s="39">
        <v>44470</v>
      </c>
      <c r="G369" s="24">
        <v>7990000</v>
      </c>
      <c r="H369" s="23">
        <v>5.0000000000000001E-3</v>
      </c>
      <c r="I369" s="39">
        <v>44501</v>
      </c>
      <c r="J369" s="39">
        <v>44530</v>
      </c>
      <c r="K369" s="24">
        <v>30</v>
      </c>
      <c r="L369" s="24">
        <v>3284</v>
      </c>
      <c r="M369" s="24">
        <v>7990000</v>
      </c>
      <c r="N369" s="39">
        <v>45565</v>
      </c>
    </row>
    <row r="370" spans="1:14" s="5" customFormat="1" outlineLevel="2">
      <c r="A370" s="39" t="s">
        <v>120</v>
      </c>
      <c r="B370" s="40" t="s">
        <v>212</v>
      </c>
      <c r="C370" s="41" t="s">
        <v>404</v>
      </c>
      <c r="D370" s="40" t="s">
        <v>403</v>
      </c>
      <c r="E370" s="24">
        <v>1460000</v>
      </c>
      <c r="F370" s="39">
        <v>44481</v>
      </c>
      <c r="G370" s="24">
        <v>1460000</v>
      </c>
      <c r="H370" s="23">
        <v>5.0000000000000001E-3</v>
      </c>
      <c r="I370" s="39">
        <v>44501</v>
      </c>
      <c r="J370" s="39">
        <v>44530</v>
      </c>
      <c r="K370" s="24">
        <v>30</v>
      </c>
      <c r="L370" s="24">
        <v>600</v>
      </c>
      <c r="M370" s="24">
        <v>1460000</v>
      </c>
      <c r="N370" s="39">
        <v>45576</v>
      </c>
    </row>
    <row r="371" spans="1:14" s="5" customFormat="1" outlineLevel="2">
      <c r="A371" s="39" t="s">
        <v>120</v>
      </c>
      <c r="B371" s="40" t="s">
        <v>213</v>
      </c>
      <c r="C371" s="41" t="s">
        <v>404</v>
      </c>
      <c r="D371" s="40" t="s">
        <v>403</v>
      </c>
      <c r="E371" s="24">
        <v>33360000</v>
      </c>
      <c r="F371" s="39">
        <v>44497</v>
      </c>
      <c r="G371" s="24">
        <v>33360000</v>
      </c>
      <c r="H371" s="23">
        <v>5.0000000000000001E-3</v>
      </c>
      <c r="I371" s="39">
        <v>44501</v>
      </c>
      <c r="J371" s="39">
        <v>44530</v>
      </c>
      <c r="K371" s="24">
        <v>30</v>
      </c>
      <c r="L371" s="24">
        <v>13710</v>
      </c>
      <c r="M371" s="24">
        <v>33360000</v>
      </c>
      <c r="N371" s="39">
        <v>45592</v>
      </c>
    </row>
    <row r="372" spans="1:14" s="5" customFormat="1" outlineLevel="2">
      <c r="A372" s="39" t="s">
        <v>120</v>
      </c>
      <c r="B372" s="40" t="s">
        <v>214</v>
      </c>
      <c r="C372" s="41" t="s">
        <v>404</v>
      </c>
      <c r="D372" s="40" t="s">
        <v>403</v>
      </c>
      <c r="E372" s="24">
        <v>28600000</v>
      </c>
      <c r="F372" s="39">
        <v>44497</v>
      </c>
      <c r="G372" s="24">
        <v>28600000</v>
      </c>
      <c r="H372" s="23">
        <v>5.0000000000000001E-3</v>
      </c>
      <c r="I372" s="39">
        <v>44501</v>
      </c>
      <c r="J372" s="39">
        <v>44530</v>
      </c>
      <c r="K372" s="24">
        <v>30</v>
      </c>
      <c r="L372" s="24">
        <v>11753</v>
      </c>
      <c r="M372" s="24">
        <v>28600000</v>
      </c>
      <c r="N372" s="39">
        <v>45592</v>
      </c>
    </row>
    <row r="373" spans="1:14" s="5" customFormat="1" outlineLevel="2">
      <c r="A373" s="39" t="s">
        <v>120</v>
      </c>
      <c r="B373" s="40" t="s">
        <v>215</v>
      </c>
      <c r="C373" s="41" t="s">
        <v>128</v>
      </c>
      <c r="D373" s="40" t="s">
        <v>129</v>
      </c>
      <c r="E373" s="24">
        <v>9300000</v>
      </c>
      <c r="F373" s="39">
        <v>44515</v>
      </c>
      <c r="G373" s="24">
        <v>9300000</v>
      </c>
      <c r="H373" s="23">
        <v>5.0000000000000001E-3</v>
      </c>
      <c r="I373" s="39">
        <v>44515</v>
      </c>
      <c r="J373" s="39">
        <v>44530</v>
      </c>
      <c r="K373" s="24">
        <v>16</v>
      </c>
      <c r="L373" s="24">
        <v>2038</v>
      </c>
      <c r="M373" s="24">
        <v>9300000</v>
      </c>
      <c r="N373" s="39">
        <v>46340</v>
      </c>
    </row>
    <row r="374" spans="1:14" s="5" customFormat="1" outlineLevel="2">
      <c r="A374" s="39" t="s">
        <v>120</v>
      </c>
      <c r="B374" s="40" t="s">
        <v>68</v>
      </c>
      <c r="C374" s="41" t="s">
        <v>125</v>
      </c>
      <c r="D374" s="40" t="s">
        <v>126</v>
      </c>
      <c r="E374" s="24">
        <v>17292000</v>
      </c>
      <c r="F374" s="39">
        <v>44002</v>
      </c>
      <c r="G374" s="24">
        <v>17292000</v>
      </c>
      <c r="H374" s="23">
        <v>5.0000000000000001E-3</v>
      </c>
      <c r="I374" s="39">
        <v>44501</v>
      </c>
      <c r="J374" s="39">
        <v>44530</v>
      </c>
      <c r="K374" s="24">
        <v>30</v>
      </c>
      <c r="L374" s="24">
        <v>7106</v>
      </c>
      <c r="M374" s="24">
        <v>17292000</v>
      </c>
      <c r="N374" s="39">
        <v>45827</v>
      </c>
    </row>
    <row r="375" spans="1:14" s="5" customFormat="1" outlineLevel="2">
      <c r="A375" s="39" t="s">
        <v>120</v>
      </c>
      <c r="B375" s="40" t="s">
        <v>216</v>
      </c>
      <c r="C375" s="41" t="s">
        <v>37</v>
      </c>
      <c r="D375" s="40" t="s">
        <v>38</v>
      </c>
      <c r="E375" s="24">
        <v>114234000</v>
      </c>
      <c r="F375" s="39">
        <v>44523</v>
      </c>
      <c r="G375" s="24">
        <v>114234000</v>
      </c>
      <c r="H375" s="23">
        <v>5.0000000000000001E-3</v>
      </c>
      <c r="I375" s="39">
        <v>44523</v>
      </c>
      <c r="J375" s="39">
        <v>44530</v>
      </c>
      <c r="K375" s="24">
        <v>8</v>
      </c>
      <c r="L375" s="24">
        <v>12519</v>
      </c>
      <c r="M375" s="24">
        <v>114234000</v>
      </c>
      <c r="N375" s="39">
        <v>46348</v>
      </c>
    </row>
    <row r="376" spans="1:14" s="5" customFormat="1" outlineLevel="2">
      <c r="A376" s="39" t="s">
        <v>120</v>
      </c>
      <c r="B376" s="40" t="s">
        <v>217</v>
      </c>
      <c r="C376" s="41" t="s">
        <v>134</v>
      </c>
      <c r="D376" s="40" t="s">
        <v>135</v>
      </c>
      <c r="E376" s="24">
        <v>16500000</v>
      </c>
      <c r="F376" s="39">
        <v>44530</v>
      </c>
      <c r="G376" s="24">
        <v>16500000</v>
      </c>
      <c r="H376" s="23">
        <v>5.0000000000000001E-3</v>
      </c>
      <c r="I376" s="39">
        <v>44530</v>
      </c>
      <c r="J376" s="39">
        <v>44530</v>
      </c>
      <c r="K376" s="24">
        <v>1</v>
      </c>
      <c r="L376" s="24">
        <v>226</v>
      </c>
      <c r="M376" s="24">
        <v>16500000</v>
      </c>
      <c r="N376" s="39">
        <v>46355</v>
      </c>
    </row>
    <row r="377" spans="1:14" s="5" customFormat="1" outlineLevel="2">
      <c r="A377" s="39" t="s">
        <v>120</v>
      </c>
      <c r="B377" s="40" t="s">
        <v>218</v>
      </c>
      <c r="C377" s="41" t="s">
        <v>404</v>
      </c>
      <c r="D377" s="40" t="s">
        <v>403</v>
      </c>
      <c r="E377" s="24">
        <v>7990000</v>
      </c>
      <c r="F377" s="39">
        <v>44502</v>
      </c>
      <c r="G377" s="24">
        <v>7990000</v>
      </c>
      <c r="H377" s="23">
        <v>5.0000000000000001E-3</v>
      </c>
      <c r="I377" s="39">
        <v>44502</v>
      </c>
      <c r="J377" s="39">
        <v>44530</v>
      </c>
      <c r="K377" s="24">
        <v>29</v>
      </c>
      <c r="L377" s="24">
        <v>3174</v>
      </c>
      <c r="M377" s="24">
        <v>7990000</v>
      </c>
      <c r="N377" s="39">
        <v>45597</v>
      </c>
    </row>
    <row r="378" spans="1:14" s="5" customFormat="1" outlineLevel="2">
      <c r="A378" s="39" t="s">
        <v>120</v>
      </c>
      <c r="B378" s="40" t="s">
        <v>221</v>
      </c>
      <c r="C378" s="41" t="s">
        <v>404</v>
      </c>
      <c r="D378" s="40" t="s">
        <v>403</v>
      </c>
      <c r="E378" s="24">
        <v>7330000</v>
      </c>
      <c r="F378" s="39">
        <v>44509</v>
      </c>
      <c r="G378" s="24">
        <v>7330000</v>
      </c>
      <c r="H378" s="23">
        <v>5.0000000000000001E-3</v>
      </c>
      <c r="I378" s="39">
        <v>44509</v>
      </c>
      <c r="J378" s="39">
        <v>44530</v>
      </c>
      <c r="K378" s="24">
        <v>22</v>
      </c>
      <c r="L378" s="24">
        <v>2209</v>
      </c>
      <c r="M378" s="24">
        <v>7330000</v>
      </c>
      <c r="N378" s="39">
        <v>45604</v>
      </c>
    </row>
    <row r="379" spans="1:14" s="5" customFormat="1" outlineLevel="2">
      <c r="A379" s="39" t="s">
        <v>120</v>
      </c>
      <c r="B379" s="40" t="s">
        <v>222</v>
      </c>
      <c r="C379" s="41" t="s">
        <v>404</v>
      </c>
      <c r="D379" s="40" t="s">
        <v>403</v>
      </c>
      <c r="E379" s="24">
        <v>920000</v>
      </c>
      <c r="F379" s="39">
        <v>44509</v>
      </c>
      <c r="G379" s="24">
        <v>920000</v>
      </c>
      <c r="H379" s="23">
        <v>5.0000000000000001E-3</v>
      </c>
      <c r="I379" s="39">
        <v>44509</v>
      </c>
      <c r="J379" s="39">
        <v>44530</v>
      </c>
      <c r="K379" s="24">
        <v>22</v>
      </c>
      <c r="L379" s="24">
        <v>277</v>
      </c>
      <c r="M379" s="24">
        <v>920000</v>
      </c>
      <c r="N379" s="39">
        <v>45604</v>
      </c>
    </row>
    <row r="380" spans="1:14" s="5" customFormat="1" outlineLevel="2">
      <c r="A380" s="39" t="s">
        <v>120</v>
      </c>
      <c r="B380" s="40" t="s">
        <v>223</v>
      </c>
      <c r="C380" s="41" t="s">
        <v>404</v>
      </c>
      <c r="D380" s="40" t="s">
        <v>403</v>
      </c>
      <c r="E380" s="24">
        <v>29470000</v>
      </c>
      <c r="F380" s="39">
        <v>44509</v>
      </c>
      <c r="G380" s="24">
        <v>29470000</v>
      </c>
      <c r="H380" s="23">
        <v>5.0000000000000001E-3</v>
      </c>
      <c r="I380" s="39">
        <v>44509</v>
      </c>
      <c r="J380" s="39">
        <v>44530</v>
      </c>
      <c r="K380" s="24">
        <v>22</v>
      </c>
      <c r="L380" s="24">
        <v>8881</v>
      </c>
      <c r="M380" s="24">
        <v>29470000</v>
      </c>
      <c r="N380" s="39">
        <v>45604</v>
      </c>
    </row>
    <row r="381" spans="1:14" s="5" customFormat="1" outlineLevel="1">
      <c r="A381" s="42" t="s">
        <v>141</v>
      </c>
      <c r="B381" s="43"/>
      <c r="C381" s="44"/>
      <c r="D381" s="43"/>
      <c r="E381" s="45">
        <v>5294147430</v>
      </c>
      <c r="F381" s="46"/>
      <c r="G381" s="45"/>
      <c r="H381" s="47"/>
      <c r="I381" s="46"/>
      <c r="J381" s="46"/>
      <c r="K381" s="45"/>
      <c r="L381" s="45">
        <v>1964066</v>
      </c>
      <c r="M381" s="45">
        <v>5197600838</v>
      </c>
      <c r="N381" s="46"/>
    </row>
    <row r="382" spans="1:14" s="5" customFormat="1" outlineLevel="2">
      <c r="A382" s="39" t="s">
        <v>142</v>
      </c>
      <c r="B382" s="40" t="s">
        <v>16</v>
      </c>
      <c r="C382" s="41" t="s">
        <v>143</v>
      </c>
      <c r="D382" s="40" t="s">
        <v>144</v>
      </c>
      <c r="E382" s="24">
        <v>38000000</v>
      </c>
      <c r="F382" s="39">
        <v>43762</v>
      </c>
      <c r="G382" s="24">
        <v>38000000</v>
      </c>
      <c r="H382" s="23">
        <v>5.0000000000000001E-3</v>
      </c>
      <c r="I382" s="39">
        <v>44501</v>
      </c>
      <c r="J382" s="39">
        <v>44530</v>
      </c>
      <c r="K382" s="24">
        <v>30</v>
      </c>
      <c r="L382" s="24">
        <v>15616</v>
      </c>
      <c r="M382" s="24">
        <v>38000000</v>
      </c>
      <c r="N382" s="39">
        <v>45588</v>
      </c>
    </row>
    <row r="383" spans="1:14" s="5" customFormat="1" outlineLevel="2">
      <c r="A383" s="39" t="s">
        <v>142</v>
      </c>
      <c r="B383" s="40" t="s">
        <v>19</v>
      </c>
      <c r="C383" s="41" t="s">
        <v>60</v>
      </c>
      <c r="D383" s="40" t="s">
        <v>61</v>
      </c>
      <c r="E383" s="24">
        <v>110000000</v>
      </c>
      <c r="F383" s="39">
        <v>43913</v>
      </c>
      <c r="G383" s="24">
        <v>110000000</v>
      </c>
      <c r="H383" s="23">
        <v>5.0000000000000001E-3</v>
      </c>
      <c r="I383" s="39">
        <v>44501</v>
      </c>
      <c r="J383" s="39">
        <v>44530</v>
      </c>
      <c r="K383" s="24">
        <v>30</v>
      </c>
      <c r="L383" s="24">
        <v>45205</v>
      </c>
      <c r="M383" s="24">
        <v>110000000</v>
      </c>
      <c r="N383" s="39">
        <v>45738</v>
      </c>
    </row>
    <row r="384" spans="1:14" s="5" customFormat="1" outlineLevel="2">
      <c r="A384" s="39" t="s">
        <v>142</v>
      </c>
      <c r="B384" s="40" t="s">
        <v>145</v>
      </c>
      <c r="C384" s="41" t="s">
        <v>146</v>
      </c>
      <c r="D384" s="40" t="s">
        <v>147</v>
      </c>
      <c r="E384" s="24">
        <v>5000000</v>
      </c>
      <c r="F384" s="39">
        <v>44204</v>
      </c>
      <c r="G384" s="24">
        <v>5000000</v>
      </c>
      <c r="H384" s="23">
        <v>5.0000000000000001E-3</v>
      </c>
      <c r="I384" s="39">
        <v>44501</v>
      </c>
      <c r="J384" s="39">
        <v>44530</v>
      </c>
      <c r="K384" s="24">
        <v>30</v>
      </c>
      <c r="L384" s="24">
        <v>2055</v>
      </c>
      <c r="M384" s="24">
        <v>5000000</v>
      </c>
      <c r="N384" s="39">
        <v>46029</v>
      </c>
    </row>
    <row r="385" spans="1:14" s="5" customFormat="1" outlineLevel="2">
      <c r="A385" s="39" t="s">
        <v>142</v>
      </c>
      <c r="B385" s="40" t="s">
        <v>148</v>
      </c>
      <c r="C385" s="41" t="s">
        <v>149</v>
      </c>
      <c r="D385" s="40" t="s">
        <v>150</v>
      </c>
      <c r="E385" s="24">
        <v>3528000</v>
      </c>
      <c r="F385" s="39">
        <v>44207</v>
      </c>
      <c r="G385" s="24">
        <v>3528000</v>
      </c>
      <c r="H385" s="23">
        <v>5.0000000000000001E-3</v>
      </c>
      <c r="I385" s="39">
        <v>44501</v>
      </c>
      <c r="J385" s="39">
        <v>44530</v>
      </c>
      <c r="K385" s="24">
        <v>30</v>
      </c>
      <c r="L385" s="24">
        <v>1450</v>
      </c>
      <c r="M385" s="24">
        <v>3528000</v>
      </c>
      <c r="N385" s="39">
        <v>46032</v>
      </c>
    </row>
    <row r="386" spans="1:14" s="5" customFormat="1" outlineLevel="2">
      <c r="A386" s="39" t="s">
        <v>142</v>
      </c>
      <c r="B386" s="40" t="s">
        <v>151</v>
      </c>
      <c r="C386" s="41" t="s">
        <v>149</v>
      </c>
      <c r="D386" s="40" t="s">
        <v>150</v>
      </c>
      <c r="E386" s="24">
        <v>2520000</v>
      </c>
      <c r="F386" s="39">
        <v>44207</v>
      </c>
      <c r="G386" s="24">
        <v>2520000</v>
      </c>
      <c r="H386" s="23">
        <v>5.0000000000000001E-3</v>
      </c>
      <c r="I386" s="39">
        <v>44501</v>
      </c>
      <c r="J386" s="39">
        <v>44530</v>
      </c>
      <c r="K386" s="24">
        <v>30</v>
      </c>
      <c r="L386" s="24">
        <v>1036</v>
      </c>
      <c r="M386" s="24">
        <v>2520000</v>
      </c>
      <c r="N386" s="39">
        <v>46032</v>
      </c>
    </row>
    <row r="387" spans="1:14" s="5" customFormat="1" outlineLevel="2">
      <c r="A387" s="39" t="s">
        <v>142</v>
      </c>
      <c r="B387" s="40" t="s">
        <v>152</v>
      </c>
      <c r="C387" s="41" t="s">
        <v>149</v>
      </c>
      <c r="D387" s="40" t="s">
        <v>150</v>
      </c>
      <c r="E387" s="24">
        <v>4368000</v>
      </c>
      <c r="F387" s="39">
        <v>44210</v>
      </c>
      <c r="G387" s="24">
        <v>4368000</v>
      </c>
      <c r="H387" s="23">
        <v>5.0000000000000001E-3</v>
      </c>
      <c r="I387" s="39">
        <v>44501</v>
      </c>
      <c r="J387" s="39">
        <v>44530</v>
      </c>
      <c r="K387" s="24">
        <v>30</v>
      </c>
      <c r="L387" s="24">
        <v>1795</v>
      </c>
      <c r="M387" s="24">
        <v>4368000</v>
      </c>
      <c r="N387" s="39">
        <v>46035</v>
      </c>
    </row>
    <row r="388" spans="1:14" s="5" customFormat="1" outlineLevel="2">
      <c r="A388" s="39" t="s">
        <v>142</v>
      </c>
      <c r="B388" s="40" t="s">
        <v>153</v>
      </c>
      <c r="C388" s="41" t="s">
        <v>149</v>
      </c>
      <c r="D388" s="40" t="s">
        <v>150</v>
      </c>
      <c r="E388" s="24">
        <v>95583736</v>
      </c>
      <c r="F388" s="39">
        <v>44225</v>
      </c>
      <c r="G388" s="24">
        <v>95583736</v>
      </c>
      <c r="H388" s="23">
        <v>5.0000000000000001E-3</v>
      </c>
      <c r="I388" s="39">
        <v>44501</v>
      </c>
      <c r="J388" s="39">
        <v>44530</v>
      </c>
      <c r="K388" s="24">
        <v>30</v>
      </c>
      <c r="L388" s="24">
        <v>39281</v>
      </c>
      <c r="M388" s="24">
        <v>95583736</v>
      </c>
      <c r="N388" s="39">
        <v>46050</v>
      </c>
    </row>
    <row r="389" spans="1:14" s="5" customFormat="1" outlineLevel="2">
      <c r="A389" s="39" t="s">
        <v>142</v>
      </c>
      <c r="B389" s="40" t="s">
        <v>154</v>
      </c>
      <c r="C389" s="41" t="s">
        <v>155</v>
      </c>
      <c r="D389" s="40" t="s">
        <v>156</v>
      </c>
      <c r="E389" s="24">
        <v>200000000</v>
      </c>
      <c r="F389" s="39">
        <v>44211</v>
      </c>
      <c r="G389" s="24">
        <v>200000000</v>
      </c>
      <c r="H389" s="23">
        <v>5.0000000000000001E-3</v>
      </c>
      <c r="I389" s="39">
        <v>44501</v>
      </c>
      <c r="J389" s="39">
        <v>44530</v>
      </c>
      <c r="K389" s="24">
        <v>30</v>
      </c>
      <c r="L389" s="24">
        <v>82192</v>
      </c>
      <c r="M389" s="24">
        <v>200000000</v>
      </c>
      <c r="N389" s="39">
        <v>46036</v>
      </c>
    </row>
    <row r="390" spans="1:14" s="5" customFormat="1" outlineLevel="2">
      <c r="A390" s="39" t="s">
        <v>142</v>
      </c>
      <c r="B390" s="40" t="s">
        <v>157</v>
      </c>
      <c r="C390" s="41" t="s">
        <v>125</v>
      </c>
      <c r="D390" s="40" t="s">
        <v>126</v>
      </c>
      <c r="E390" s="24">
        <v>3000000</v>
      </c>
      <c r="F390" s="39">
        <v>44216</v>
      </c>
      <c r="G390" s="24">
        <v>3000000</v>
      </c>
      <c r="H390" s="23">
        <v>5.0000000000000001E-3</v>
      </c>
      <c r="I390" s="39">
        <v>44501</v>
      </c>
      <c r="J390" s="39">
        <v>44530</v>
      </c>
      <c r="K390" s="24">
        <v>30</v>
      </c>
      <c r="L390" s="24">
        <v>1233</v>
      </c>
      <c r="M390" s="24">
        <v>3000000</v>
      </c>
      <c r="N390" s="39">
        <v>46041</v>
      </c>
    </row>
    <row r="391" spans="1:14" s="5" customFormat="1" outlineLevel="2">
      <c r="A391" s="39" t="s">
        <v>142</v>
      </c>
      <c r="B391" s="40" t="s">
        <v>158</v>
      </c>
      <c r="C391" s="41" t="s">
        <v>125</v>
      </c>
      <c r="D391" s="40" t="s">
        <v>126</v>
      </c>
      <c r="E391" s="24">
        <v>10000000</v>
      </c>
      <c r="F391" s="39">
        <v>44216</v>
      </c>
      <c r="G391" s="24">
        <v>10000000</v>
      </c>
      <c r="H391" s="23">
        <v>5.0000000000000001E-3</v>
      </c>
      <c r="I391" s="39">
        <v>44501</v>
      </c>
      <c r="J391" s="39">
        <v>44530</v>
      </c>
      <c r="K391" s="24">
        <v>30</v>
      </c>
      <c r="L391" s="24">
        <v>4110</v>
      </c>
      <c r="M391" s="24">
        <v>10000000</v>
      </c>
      <c r="N391" s="39">
        <v>46041</v>
      </c>
    </row>
    <row r="392" spans="1:14" s="5" customFormat="1" outlineLevel="2">
      <c r="A392" s="39" t="s">
        <v>142</v>
      </c>
      <c r="B392" s="40" t="s">
        <v>159</v>
      </c>
      <c r="C392" s="41" t="s">
        <v>87</v>
      </c>
      <c r="D392" s="40" t="s">
        <v>88</v>
      </c>
      <c r="E392" s="24">
        <v>14776161</v>
      </c>
      <c r="F392" s="39">
        <v>44221</v>
      </c>
      <c r="G392" s="24">
        <v>14776161</v>
      </c>
      <c r="H392" s="23">
        <v>5.0000000000000001E-3</v>
      </c>
      <c r="I392" s="39">
        <v>44501</v>
      </c>
      <c r="J392" s="39">
        <v>44530</v>
      </c>
      <c r="K392" s="24">
        <v>30</v>
      </c>
      <c r="L392" s="24">
        <v>6072</v>
      </c>
      <c r="M392" s="24">
        <v>14776161</v>
      </c>
      <c r="N392" s="39">
        <v>46046</v>
      </c>
    </row>
    <row r="393" spans="1:14" s="5" customFormat="1" outlineLevel="2">
      <c r="A393" s="39" t="s">
        <v>142</v>
      </c>
      <c r="B393" s="40" t="s">
        <v>320</v>
      </c>
      <c r="C393" s="41" t="s">
        <v>143</v>
      </c>
      <c r="D393" s="40" t="s">
        <v>144</v>
      </c>
      <c r="E393" s="24">
        <v>4100000</v>
      </c>
      <c r="F393" s="39">
        <v>44228</v>
      </c>
      <c r="G393" s="24">
        <v>4100000</v>
      </c>
      <c r="H393" s="23">
        <v>5.0000000000000001E-3</v>
      </c>
      <c r="I393" s="39">
        <v>44501</v>
      </c>
      <c r="J393" s="39">
        <v>44530</v>
      </c>
      <c r="K393" s="24">
        <v>30</v>
      </c>
      <c r="L393" s="24">
        <v>1685</v>
      </c>
      <c r="M393" s="24">
        <v>4100000</v>
      </c>
      <c r="N393" s="39">
        <v>46053</v>
      </c>
    </row>
    <row r="394" spans="1:14" s="5" customFormat="1" outlineLevel="2">
      <c r="A394" s="39" t="s">
        <v>142</v>
      </c>
      <c r="B394" s="40" t="s">
        <v>22</v>
      </c>
      <c r="C394" s="41" t="s">
        <v>149</v>
      </c>
      <c r="D394" s="40" t="s">
        <v>150</v>
      </c>
      <c r="E394" s="24">
        <v>95655336</v>
      </c>
      <c r="F394" s="39">
        <v>43951</v>
      </c>
      <c r="G394" s="24">
        <v>95655336</v>
      </c>
      <c r="H394" s="23">
        <v>5.0000000000000001E-3</v>
      </c>
      <c r="I394" s="39">
        <v>44501</v>
      </c>
      <c r="J394" s="39">
        <v>44530</v>
      </c>
      <c r="K394" s="24">
        <v>30</v>
      </c>
      <c r="L394" s="24">
        <v>39310</v>
      </c>
      <c r="M394" s="24">
        <v>95655336</v>
      </c>
      <c r="N394" s="39">
        <v>45776</v>
      </c>
    </row>
    <row r="395" spans="1:14" s="5" customFormat="1" outlineLevel="2">
      <c r="A395" s="39" t="s">
        <v>142</v>
      </c>
      <c r="B395" s="40" t="s">
        <v>319</v>
      </c>
      <c r="C395" s="41" t="s">
        <v>149</v>
      </c>
      <c r="D395" s="40" t="s">
        <v>150</v>
      </c>
      <c r="E395" s="24">
        <v>13843200</v>
      </c>
      <c r="F395" s="39">
        <v>44232</v>
      </c>
      <c r="G395" s="24">
        <v>13843200</v>
      </c>
      <c r="H395" s="23">
        <v>5.0000000000000001E-3</v>
      </c>
      <c r="I395" s="39">
        <v>44501</v>
      </c>
      <c r="J395" s="39">
        <v>44530</v>
      </c>
      <c r="K395" s="24">
        <v>30</v>
      </c>
      <c r="L395" s="24">
        <v>5689</v>
      </c>
      <c r="M395" s="24">
        <v>13843200</v>
      </c>
      <c r="N395" s="39">
        <v>46057</v>
      </c>
    </row>
    <row r="396" spans="1:14" s="5" customFormat="1" outlineLevel="2">
      <c r="A396" s="39" t="s">
        <v>142</v>
      </c>
      <c r="B396" s="40" t="s">
        <v>318</v>
      </c>
      <c r="C396" s="41" t="s">
        <v>149</v>
      </c>
      <c r="D396" s="40" t="s">
        <v>150</v>
      </c>
      <c r="E396" s="24">
        <v>7056000</v>
      </c>
      <c r="F396" s="39">
        <v>44235</v>
      </c>
      <c r="G396" s="24">
        <v>7056000</v>
      </c>
      <c r="H396" s="23">
        <v>5.0000000000000001E-3</v>
      </c>
      <c r="I396" s="39">
        <v>44501</v>
      </c>
      <c r="J396" s="39">
        <v>44530</v>
      </c>
      <c r="K396" s="24">
        <v>30</v>
      </c>
      <c r="L396" s="24">
        <v>2900</v>
      </c>
      <c r="M396" s="24">
        <v>7056000</v>
      </c>
      <c r="N396" s="39">
        <v>46060</v>
      </c>
    </row>
    <row r="397" spans="1:14" s="5" customFormat="1" outlineLevel="2">
      <c r="A397" s="39" t="s">
        <v>142</v>
      </c>
      <c r="B397" s="40" t="s">
        <v>317</v>
      </c>
      <c r="C397" s="41" t="s">
        <v>149</v>
      </c>
      <c r="D397" s="40" t="s">
        <v>150</v>
      </c>
      <c r="E397" s="24">
        <v>2184000</v>
      </c>
      <c r="F397" s="39">
        <v>44235</v>
      </c>
      <c r="G397" s="24">
        <v>2184000</v>
      </c>
      <c r="H397" s="23">
        <v>5.0000000000000001E-3</v>
      </c>
      <c r="I397" s="39">
        <v>44501</v>
      </c>
      <c r="J397" s="39">
        <v>44530</v>
      </c>
      <c r="K397" s="24">
        <v>30</v>
      </c>
      <c r="L397" s="24">
        <v>898</v>
      </c>
      <c r="M397" s="24">
        <v>2184000</v>
      </c>
      <c r="N397" s="39">
        <v>46060</v>
      </c>
    </row>
    <row r="398" spans="1:14" s="5" customFormat="1" outlineLevel="2">
      <c r="A398" s="39" t="s">
        <v>142</v>
      </c>
      <c r="B398" s="40" t="s">
        <v>316</v>
      </c>
      <c r="C398" s="41" t="s">
        <v>149</v>
      </c>
      <c r="D398" s="40" t="s">
        <v>150</v>
      </c>
      <c r="E398" s="24">
        <v>5040000</v>
      </c>
      <c r="F398" s="39">
        <v>44235</v>
      </c>
      <c r="G398" s="24">
        <v>5040000</v>
      </c>
      <c r="H398" s="23">
        <v>5.0000000000000001E-3</v>
      </c>
      <c r="I398" s="39">
        <v>44501</v>
      </c>
      <c r="J398" s="39">
        <v>44530</v>
      </c>
      <c r="K398" s="24">
        <v>30</v>
      </c>
      <c r="L398" s="24">
        <v>2071</v>
      </c>
      <c r="M398" s="24">
        <v>5040000</v>
      </c>
      <c r="N398" s="39">
        <v>46060</v>
      </c>
    </row>
    <row r="399" spans="1:14" s="5" customFormat="1" outlineLevel="2">
      <c r="A399" s="39" t="s">
        <v>142</v>
      </c>
      <c r="B399" s="40" t="s">
        <v>315</v>
      </c>
      <c r="C399" s="41" t="s">
        <v>149</v>
      </c>
      <c r="D399" s="40" t="s">
        <v>150</v>
      </c>
      <c r="E399" s="24">
        <v>8316000</v>
      </c>
      <c r="F399" s="39">
        <v>44244</v>
      </c>
      <c r="G399" s="24">
        <v>8316000</v>
      </c>
      <c r="H399" s="23">
        <v>5.0000000000000001E-3</v>
      </c>
      <c r="I399" s="39">
        <v>44501</v>
      </c>
      <c r="J399" s="39">
        <v>44530</v>
      </c>
      <c r="K399" s="24">
        <v>30</v>
      </c>
      <c r="L399" s="24">
        <v>3418</v>
      </c>
      <c r="M399" s="24">
        <v>8316000</v>
      </c>
      <c r="N399" s="39">
        <v>46069</v>
      </c>
    </row>
    <row r="400" spans="1:14" s="5" customFormat="1" outlineLevel="2">
      <c r="A400" s="39" t="s">
        <v>142</v>
      </c>
      <c r="B400" s="40" t="s">
        <v>314</v>
      </c>
      <c r="C400" s="41" t="s">
        <v>149</v>
      </c>
      <c r="D400" s="40" t="s">
        <v>150</v>
      </c>
      <c r="E400" s="24">
        <v>8547840</v>
      </c>
      <c r="F400" s="39">
        <v>44244</v>
      </c>
      <c r="G400" s="24">
        <v>8547840</v>
      </c>
      <c r="H400" s="23">
        <v>5.0000000000000001E-3</v>
      </c>
      <c r="I400" s="39">
        <v>44501</v>
      </c>
      <c r="J400" s="39">
        <v>44530</v>
      </c>
      <c r="K400" s="24">
        <v>30</v>
      </c>
      <c r="L400" s="24">
        <v>3513</v>
      </c>
      <c r="M400" s="24">
        <v>8547840</v>
      </c>
      <c r="N400" s="39">
        <v>46069</v>
      </c>
    </row>
    <row r="401" spans="1:14" s="5" customFormat="1" outlineLevel="2">
      <c r="A401" s="39" t="s">
        <v>142</v>
      </c>
      <c r="B401" s="40" t="s">
        <v>313</v>
      </c>
      <c r="C401" s="41" t="s">
        <v>149</v>
      </c>
      <c r="D401" s="40" t="s">
        <v>150</v>
      </c>
      <c r="E401" s="24">
        <v>6384000</v>
      </c>
      <c r="F401" s="39">
        <v>44244</v>
      </c>
      <c r="G401" s="24">
        <v>6384000</v>
      </c>
      <c r="H401" s="23">
        <v>5.0000000000000001E-3</v>
      </c>
      <c r="I401" s="39">
        <v>44501</v>
      </c>
      <c r="J401" s="39">
        <v>44530</v>
      </c>
      <c r="K401" s="24">
        <v>30</v>
      </c>
      <c r="L401" s="24">
        <v>2624</v>
      </c>
      <c r="M401" s="24">
        <v>6384000</v>
      </c>
      <c r="N401" s="39">
        <v>46069</v>
      </c>
    </row>
    <row r="402" spans="1:14" s="5" customFormat="1" outlineLevel="2">
      <c r="A402" s="39" t="s">
        <v>142</v>
      </c>
      <c r="B402" s="40" t="s">
        <v>312</v>
      </c>
      <c r="C402" s="41" t="s">
        <v>149</v>
      </c>
      <c r="D402" s="40" t="s">
        <v>150</v>
      </c>
      <c r="E402" s="24">
        <v>226800</v>
      </c>
      <c r="F402" s="39">
        <v>44244</v>
      </c>
      <c r="G402" s="24">
        <v>226800</v>
      </c>
      <c r="H402" s="23">
        <v>5.0000000000000001E-3</v>
      </c>
      <c r="I402" s="39">
        <v>44501</v>
      </c>
      <c r="J402" s="39">
        <v>44530</v>
      </c>
      <c r="K402" s="24">
        <v>30</v>
      </c>
      <c r="L402" s="24">
        <v>93</v>
      </c>
      <c r="M402" s="24">
        <v>226800</v>
      </c>
      <c r="N402" s="39">
        <v>46069</v>
      </c>
    </row>
    <row r="403" spans="1:14" s="5" customFormat="1" outlineLevel="2">
      <c r="A403" s="39" t="s">
        <v>142</v>
      </c>
      <c r="B403" s="40" t="s">
        <v>311</v>
      </c>
      <c r="C403" s="41" t="s">
        <v>155</v>
      </c>
      <c r="D403" s="40" t="s">
        <v>156</v>
      </c>
      <c r="E403" s="24">
        <v>100000000</v>
      </c>
      <c r="F403" s="39">
        <v>44236</v>
      </c>
      <c r="G403" s="24">
        <v>100000000</v>
      </c>
      <c r="H403" s="23">
        <v>5.0000000000000001E-3</v>
      </c>
      <c r="I403" s="39">
        <v>44501</v>
      </c>
      <c r="J403" s="39">
        <v>44530</v>
      </c>
      <c r="K403" s="24">
        <v>30</v>
      </c>
      <c r="L403" s="24">
        <v>41096</v>
      </c>
      <c r="M403" s="24">
        <v>100000000</v>
      </c>
      <c r="N403" s="39">
        <v>46061</v>
      </c>
    </row>
    <row r="404" spans="1:14" s="5" customFormat="1" outlineLevel="2">
      <c r="A404" s="39" t="s">
        <v>142</v>
      </c>
      <c r="B404" s="40" t="s">
        <v>310</v>
      </c>
      <c r="C404" s="41" t="s">
        <v>155</v>
      </c>
      <c r="D404" s="40" t="s">
        <v>156</v>
      </c>
      <c r="E404" s="24">
        <v>200000000</v>
      </c>
      <c r="F404" s="39">
        <v>44244</v>
      </c>
      <c r="G404" s="24">
        <v>200000000</v>
      </c>
      <c r="H404" s="23">
        <v>5.0000000000000001E-3</v>
      </c>
      <c r="I404" s="39">
        <v>44501</v>
      </c>
      <c r="J404" s="39">
        <v>44530</v>
      </c>
      <c r="K404" s="24">
        <v>30</v>
      </c>
      <c r="L404" s="24">
        <v>82192</v>
      </c>
      <c r="M404" s="24">
        <v>200000000</v>
      </c>
      <c r="N404" s="39">
        <v>46069</v>
      </c>
    </row>
    <row r="405" spans="1:14" s="5" customFormat="1" outlineLevel="2">
      <c r="A405" s="39" t="s">
        <v>142</v>
      </c>
      <c r="B405" s="40" t="s">
        <v>25</v>
      </c>
      <c r="C405" s="41" t="s">
        <v>143</v>
      </c>
      <c r="D405" s="40" t="s">
        <v>144</v>
      </c>
      <c r="E405" s="24">
        <v>38000000</v>
      </c>
      <c r="F405" s="39">
        <v>43962</v>
      </c>
      <c r="G405" s="24">
        <v>38000000</v>
      </c>
      <c r="H405" s="23">
        <v>5.0000000000000001E-3</v>
      </c>
      <c r="I405" s="39">
        <v>44501</v>
      </c>
      <c r="J405" s="39">
        <v>44530</v>
      </c>
      <c r="K405" s="24">
        <v>30</v>
      </c>
      <c r="L405" s="24">
        <v>15616</v>
      </c>
      <c r="M405" s="24">
        <v>38000000</v>
      </c>
      <c r="N405" s="39">
        <v>45787</v>
      </c>
    </row>
    <row r="406" spans="1:14" s="5" customFormat="1" outlineLevel="2">
      <c r="A406" s="39" t="s">
        <v>142</v>
      </c>
      <c r="B406" s="40" t="s">
        <v>309</v>
      </c>
      <c r="C406" s="41" t="s">
        <v>219</v>
      </c>
      <c r="D406" s="40" t="s">
        <v>220</v>
      </c>
      <c r="E406" s="24">
        <v>20000000</v>
      </c>
      <c r="F406" s="39">
        <v>44251</v>
      </c>
      <c r="G406" s="24">
        <v>20000000</v>
      </c>
      <c r="H406" s="23">
        <v>5.0000000000000001E-3</v>
      </c>
      <c r="I406" s="39">
        <v>44501</v>
      </c>
      <c r="J406" s="39">
        <v>44530</v>
      </c>
      <c r="K406" s="24">
        <v>30</v>
      </c>
      <c r="L406" s="24">
        <v>8219</v>
      </c>
      <c r="M406" s="24">
        <v>20000000</v>
      </c>
      <c r="N406" s="39">
        <v>46076</v>
      </c>
    </row>
    <row r="407" spans="1:14" s="5" customFormat="1" outlineLevel="2">
      <c r="A407" s="39" t="s">
        <v>142</v>
      </c>
      <c r="B407" s="40" t="s">
        <v>308</v>
      </c>
      <c r="C407" s="41" t="s">
        <v>125</v>
      </c>
      <c r="D407" s="40" t="s">
        <v>126</v>
      </c>
      <c r="E407" s="24">
        <v>5000000</v>
      </c>
      <c r="F407" s="39">
        <v>44251</v>
      </c>
      <c r="G407" s="24">
        <v>5000000</v>
      </c>
      <c r="H407" s="23">
        <v>5.0000000000000001E-3</v>
      </c>
      <c r="I407" s="39">
        <v>44501</v>
      </c>
      <c r="J407" s="39">
        <v>44530</v>
      </c>
      <c r="K407" s="24">
        <v>30</v>
      </c>
      <c r="L407" s="24">
        <v>2055</v>
      </c>
      <c r="M407" s="24">
        <v>5000000</v>
      </c>
      <c r="N407" s="39">
        <v>46076</v>
      </c>
    </row>
    <row r="408" spans="1:14" s="5" customFormat="1" outlineLevel="2">
      <c r="A408" s="39" t="s">
        <v>142</v>
      </c>
      <c r="B408" s="40" t="s">
        <v>307</v>
      </c>
      <c r="C408" s="41" t="s">
        <v>89</v>
      </c>
      <c r="D408" s="40" t="s">
        <v>90</v>
      </c>
      <c r="E408" s="24">
        <v>80000000</v>
      </c>
      <c r="F408" s="39">
        <v>44253</v>
      </c>
      <c r="G408" s="24">
        <v>80000000</v>
      </c>
      <c r="H408" s="23">
        <v>5.0000000000000001E-3</v>
      </c>
      <c r="I408" s="39">
        <v>44501</v>
      </c>
      <c r="J408" s="39">
        <v>44530</v>
      </c>
      <c r="K408" s="24">
        <v>30</v>
      </c>
      <c r="L408" s="24">
        <v>32877</v>
      </c>
      <c r="M408" s="24">
        <v>80000000</v>
      </c>
      <c r="N408" s="39">
        <v>46078</v>
      </c>
    </row>
    <row r="409" spans="1:14" s="5" customFormat="1" outlineLevel="2">
      <c r="A409" s="39" t="s">
        <v>142</v>
      </c>
      <c r="B409" s="40" t="s">
        <v>335</v>
      </c>
      <c r="C409" s="41" t="s">
        <v>143</v>
      </c>
      <c r="D409" s="40" t="s">
        <v>144</v>
      </c>
      <c r="E409" s="24">
        <v>1350000</v>
      </c>
      <c r="F409" s="39">
        <v>44257</v>
      </c>
      <c r="G409" s="24">
        <v>1350000</v>
      </c>
      <c r="H409" s="23">
        <v>5.0000000000000001E-3</v>
      </c>
      <c r="I409" s="39">
        <v>44501</v>
      </c>
      <c r="J409" s="39">
        <v>44530</v>
      </c>
      <c r="K409" s="24">
        <v>30</v>
      </c>
      <c r="L409" s="24">
        <v>555</v>
      </c>
      <c r="M409" s="24">
        <v>1350000</v>
      </c>
      <c r="N409" s="39">
        <v>46082</v>
      </c>
    </row>
    <row r="410" spans="1:14" s="5" customFormat="1" outlineLevel="2">
      <c r="A410" s="39" t="s">
        <v>142</v>
      </c>
      <c r="B410" s="40" t="s">
        <v>334</v>
      </c>
      <c r="C410" s="41" t="s">
        <v>143</v>
      </c>
      <c r="D410" s="40" t="s">
        <v>144</v>
      </c>
      <c r="E410" s="24">
        <v>3000000</v>
      </c>
      <c r="F410" s="39">
        <v>44286</v>
      </c>
      <c r="G410" s="24">
        <v>3000000</v>
      </c>
      <c r="H410" s="23">
        <v>5.0000000000000001E-3</v>
      </c>
      <c r="I410" s="39">
        <v>44501</v>
      </c>
      <c r="J410" s="39">
        <v>44530</v>
      </c>
      <c r="K410" s="24">
        <v>30</v>
      </c>
      <c r="L410" s="24">
        <v>1233</v>
      </c>
      <c r="M410" s="24">
        <v>3000000</v>
      </c>
      <c r="N410" s="39">
        <v>46111</v>
      </c>
    </row>
    <row r="411" spans="1:14" s="5" customFormat="1" outlineLevel="2">
      <c r="A411" s="39" t="s">
        <v>142</v>
      </c>
      <c r="B411" s="40" t="s">
        <v>333</v>
      </c>
      <c r="C411" s="41" t="s">
        <v>143</v>
      </c>
      <c r="D411" s="40" t="s">
        <v>144</v>
      </c>
      <c r="E411" s="24">
        <v>12800000</v>
      </c>
      <c r="F411" s="39">
        <v>44286</v>
      </c>
      <c r="G411" s="24">
        <v>12800000</v>
      </c>
      <c r="H411" s="23">
        <v>5.0000000000000001E-3</v>
      </c>
      <c r="I411" s="39">
        <v>44501</v>
      </c>
      <c r="J411" s="39">
        <v>44530</v>
      </c>
      <c r="K411" s="24">
        <v>30</v>
      </c>
      <c r="L411" s="24">
        <v>5260</v>
      </c>
      <c r="M411" s="24">
        <v>12800000</v>
      </c>
      <c r="N411" s="39">
        <v>46111</v>
      </c>
    </row>
    <row r="412" spans="1:14" s="5" customFormat="1" outlineLevel="2">
      <c r="A412" s="39" t="s">
        <v>142</v>
      </c>
      <c r="B412" s="40" t="s">
        <v>332</v>
      </c>
      <c r="C412" s="41" t="s">
        <v>125</v>
      </c>
      <c r="D412" s="40" t="s">
        <v>126</v>
      </c>
      <c r="E412" s="24">
        <v>29000000</v>
      </c>
      <c r="F412" s="39">
        <v>44257</v>
      </c>
      <c r="G412" s="24">
        <v>29000000</v>
      </c>
      <c r="H412" s="23">
        <v>5.0000000000000001E-3</v>
      </c>
      <c r="I412" s="39">
        <v>44501</v>
      </c>
      <c r="J412" s="39">
        <v>44530</v>
      </c>
      <c r="K412" s="24">
        <v>30</v>
      </c>
      <c r="L412" s="24">
        <v>11918</v>
      </c>
      <c r="M412" s="24">
        <v>29000000</v>
      </c>
      <c r="N412" s="39">
        <v>46082</v>
      </c>
    </row>
    <row r="413" spans="1:14" s="5" customFormat="1" outlineLevel="2">
      <c r="A413" s="39" t="s">
        <v>142</v>
      </c>
      <c r="B413" s="40" t="s">
        <v>331</v>
      </c>
      <c r="C413" s="41" t="s">
        <v>125</v>
      </c>
      <c r="D413" s="40" t="s">
        <v>126</v>
      </c>
      <c r="E413" s="24">
        <v>5000000</v>
      </c>
      <c r="F413" s="39">
        <v>44279</v>
      </c>
      <c r="G413" s="24">
        <v>5000000</v>
      </c>
      <c r="H413" s="23">
        <v>5.0000000000000001E-3</v>
      </c>
      <c r="I413" s="39">
        <v>44501</v>
      </c>
      <c r="J413" s="39">
        <v>44530</v>
      </c>
      <c r="K413" s="24">
        <v>30</v>
      </c>
      <c r="L413" s="24">
        <v>2055</v>
      </c>
      <c r="M413" s="24">
        <v>5000000</v>
      </c>
      <c r="N413" s="39">
        <v>46104</v>
      </c>
    </row>
    <row r="414" spans="1:14" s="5" customFormat="1" outlineLevel="2">
      <c r="A414" s="39" t="s">
        <v>142</v>
      </c>
      <c r="B414" s="40" t="s">
        <v>330</v>
      </c>
      <c r="C414" s="41" t="s">
        <v>125</v>
      </c>
      <c r="D414" s="40" t="s">
        <v>126</v>
      </c>
      <c r="E414" s="24">
        <v>5000000</v>
      </c>
      <c r="F414" s="39">
        <v>44286</v>
      </c>
      <c r="G414" s="24">
        <v>5000000</v>
      </c>
      <c r="H414" s="23">
        <v>5.0000000000000001E-3</v>
      </c>
      <c r="I414" s="39">
        <v>44501</v>
      </c>
      <c r="J414" s="39">
        <v>44530</v>
      </c>
      <c r="K414" s="24">
        <v>30</v>
      </c>
      <c r="L414" s="24">
        <v>2055</v>
      </c>
      <c r="M414" s="24">
        <v>5000000</v>
      </c>
      <c r="N414" s="39">
        <v>46111</v>
      </c>
    </row>
    <row r="415" spans="1:14" s="5" customFormat="1" outlineLevel="2">
      <c r="A415" s="39" t="s">
        <v>142</v>
      </c>
      <c r="B415" s="40" t="s">
        <v>329</v>
      </c>
      <c r="C415" s="41" t="s">
        <v>149</v>
      </c>
      <c r="D415" s="40" t="s">
        <v>150</v>
      </c>
      <c r="E415" s="24">
        <v>1176000</v>
      </c>
      <c r="F415" s="39">
        <v>44270</v>
      </c>
      <c r="G415" s="24">
        <v>1176000</v>
      </c>
      <c r="H415" s="23">
        <v>5.0000000000000001E-3</v>
      </c>
      <c r="I415" s="39">
        <v>44501</v>
      </c>
      <c r="J415" s="39">
        <v>44530</v>
      </c>
      <c r="K415" s="24">
        <v>30</v>
      </c>
      <c r="L415" s="24">
        <v>483</v>
      </c>
      <c r="M415" s="24">
        <v>1176000</v>
      </c>
      <c r="N415" s="39">
        <v>46095</v>
      </c>
    </row>
    <row r="416" spans="1:14" s="5" customFormat="1" outlineLevel="2">
      <c r="A416" s="39" t="s">
        <v>142</v>
      </c>
      <c r="B416" s="40" t="s">
        <v>26</v>
      </c>
      <c r="C416" s="41" t="s">
        <v>143</v>
      </c>
      <c r="D416" s="40" t="s">
        <v>144</v>
      </c>
      <c r="E416" s="24">
        <v>10500000</v>
      </c>
      <c r="F416" s="39">
        <v>43962</v>
      </c>
      <c r="G416" s="24">
        <v>10500000</v>
      </c>
      <c r="H416" s="23">
        <v>5.0000000000000001E-3</v>
      </c>
      <c r="I416" s="39">
        <v>44501</v>
      </c>
      <c r="J416" s="39">
        <v>44530</v>
      </c>
      <c r="K416" s="24">
        <v>30</v>
      </c>
      <c r="L416" s="24">
        <v>4315</v>
      </c>
      <c r="M416" s="24">
        <v>10500000</v>
      </c>
      <c r="N416" s="39">
        <v>45787</v>
      </c>
    </row>
    <row r="417" spans="1:14" s="5" customFormat="1" outlineLevel="2">
      <c r="A417" s="39" t="s">
        <v>142</v>
      </c>
      <c r="B417" s="40" t="s">
        <v>328</v>
      </c>
      <c r="C417" s="41" t="s">
        <v>149</v>
      </c>
      <c r="D417" s="40" t="s">
        <v>150</v>
      </c>
      <c r="E417" s="24">
        <v>840000</v>
      </c>
      <c r="F417" s="39">
        <v>44270</v>
      </c>
      <c r="G417" s="24">
        <v>840000</v>
      </c>
      <c r="H417" s="23">
        <v>5.0000000000000001E-3</v>
      </c>
      <c r="I417" s="39">
        <v>44501</v>
      </c>
      <c r="J417" s="39">
        <v>44530</v>
      </c>
      <c r="K417" s="24">
        <v>30</v>
      </c>
      <c r="L417" s="24">
        <v>345</v>
      </c>
      <c r="M417" s="24">
        <v>840000</v>
      </c>
      <c r="N417" s="39">
        <v>46095</v>
      </c>
    </row>
    <row r="418" spans="1:14" s="5" customFormat="1" outlineLevel="2">
      <c r="A418" s="39" t="s">
        <v>142</v>
      </c>
      <c r="B418" s="40" t="s">
        <v>327</v>
      </c>
      <c r="C418" s="41" t="s">
        <v>187</v>
      </c>
      <c r="D418" s="40" t="s">
        <v>188</v>
      </c>
      <c r="E418" s="24">
        <v>190400000</v>
      </c>
      <c r="F418" s="39">
        <v>44273</v>
      </c>
      <c r="G418" s="24">
        <v>190400000</v>
      </c>
      <c r="H418" s="23">
        <v>5.0000000000000001E-3</v>
      </c>
      <c r="I418" s="39">
        <v>44501</v>
      </c>
      <c r="J418" s="39">
        <v>44530</v>
      </c>
      <c r="K418" s="24">
        <v>30</v>
      </c>
      <c r="L418" s="24">
        <v>78247</v>
      </c>
      <c r="M418" s="24">
        <v>190400000</v>
      </c>
      <c r="N418" s="39">
        <v>46098</v>
      </c>
    </row>
    <row r="419" spans="1:14" s="5" customFormat="1" outlineLevel="2">
      <c r="A419" s="39" t="s">
        <v>142</v>
      </c>
      <c r="B419" s="40" t="s">
        <v>326</v>
      </c>
      <c r="C419" s="41" t="s">
        <v>121</v>
      </c>
      <c r="D419" s="40" t="s">
        <v>122</v>
      </c>
      <c r="E419" s="24">
        <v>54000000</v>
      </c>
      <c r="F419" s="39">
        <v>44278</v>
      </c>
      <c r="G419" s="24">
        <v>54000000</v>
      </c>
      <c r="H419" s="23">
        <v>5.0000000000000001E-3</v>
      </c>
      <c r="I419" s="39">
        <v>44501</v>
      </c>
      <c r="J419" s="39">
        <v>44530</v>
      </c>
      <c r="K419" s="24">
        <v>30</v>
      </c>
      <c r="L419" s="24">
        <v>22192</v>
      </c>
      <c r="M419" s="24">
        <v>54000000</v>
      </c>
      <c r="N419" s="39">
        <v>46103</v>
      </c>
    </row>
    <row r="420" spans="1:14" s="5" customFormat="1" outlineLevel="2">
      <c r="A420" s="39" t="s">
        <v>142</v>
      </c>
      <c r="B420" s="40" t="s">
        <v>325</v>
      </c>
      <c r="C420" s="41" t="s">
        <v>165</v>
      </c>
      <c r="D420" s="40" t="s">
        <v>166</v>
      </c>
      <c r="E420" s="24">
        <v>24800000</v>
      </c>
      <c r="F420" s="39">
        <v>44284</v>
      </c>
      <c r="G420" s="24">
        <v>24800000</v>
      </c>
      <c r="H420" s="23">
        <v>5.0000000000000001E-3</v>
      </c>
      <c r="I420" s="39">
        <v>44501</v>
      </c>
      <c r="J420" s="39">
        <v>44530</v>
      </c>
      <c r="K420" s="24">
        <v>30</v>
      </c>
      <c r="L420" s="24">
        <v>10192</v>
      </c>
      <c r="M420" s="24">
        <v>24800000</v>
      </c>
      <c r="N420" s="39">
        <v>45379</v>
      </c>
    </row>
    <row r="421" spans="1:14" s="5" customFormat="1" outlineLevel="2">
      <c r="A421" s="39" t="s">
        <v>142</v>
      </c>
      <c r="B421" s="40" t="s">
        <v>361</v>
      </c>
      <c r="C421" s="41" t="s">
        <v>85</v>
      </c>
      <c r="D421" s="40" t="s">
        <v>86</v>
      </c>
      <c r="E421" s="24">
        <v>2500000</v>
      </c>
      <c r="F421" s="39">
        <v>44287</v>
      </c>
      <c r="G421" s="24">
        <v>2500000</v>
      </c>
      <c r="H421" s="23">
        <v>5.0000000000000001E-3</v>
      </c>
      <c r="I421" s="39">
        <v>44501</v>
      </c>
      <c r="J421" s="39">
        <v>44530</v>
      </c>
      <c r="K421" s="24">
        <v>30</v>
      </c>
      <c r="L421" s="24">
        <v>1027</v>
      </c>
      <c r="M421" s="24">
        <v>2500000</v>
      </c>
      <c r="N421" s="39">
        <v>46112</v>
      </c>
    </row>
    <row r="422" spans="1:14" s="5" customFormat="1" outlineLevel="2">
      <c r="A422" s="39" t="s">
        <v>142</v>
      </c>
      <c r="B422" s="40" t="s">
        <v>360</v>
      </c>
      <c r="C422" s="41" t="s">
        <v>85</v>
      </c>
      <c r="D422" s="40" t="s">
        <v>86</v>
      </c>
      <c r="E422" s="24">
        <v>7500000</v>
      </c>
      <c r="F422" s="39">
        <v>44287</v>
      </c>
      <c r="G422" s="24">
        <v>7500000</v>
      </c>
      <c r="H422" s="23">
        <v>5.0000000000000001E-3</v>
      </c>
      <c r="I422" s="39">
        <v>44501</v>
      </c>
      <c r="J422" s="39">
        <v>44530</v>
      </c>
      <c r="K422" s="24">
        <v>30</v>
      </c>
      <c r="L422" s="24">
        <v>3082</v>
      </c>
      <c r="M422" s="24">
        <v>7500000</v>
      </c>
      <c r="N422" s="39">
        <v>46112</v>
      </c>
    </row>
    <row r="423" spans="1:14" s="5" customFormat="1" outlineLevel="2">
      <c r="A423" s="39" t="s">
        <v>142</v>
      </c>
      <c r="B423" s="40" t="s">
        <v>359</v>
      </c>
      <c r="C423" s="41" t="s">
        <v>85</v>
      </c>
      <c r="D423" s="40" t="s">
        <v>86</v>
      </c>
      <c r="E423" s="24">
        <v>4975000</v>
      </c>
      <c r="F423" s="39">
        <v>44306</v>
      </c>
      <c r="G423" s="24">
        <v>4975000</v>
      </c>
      <c r="H423" s="23">
        <v>5.0000000000000001E-3</v>
      </c>
      <c r="I423" s="39">
        <v>44501</v>
      </c>
      <c r="J423" s="39">
        <v>44530</v>
      </c>
      <c r="K423" s="24">
        <v>30</v>
      </c>
      <c r="L423" s="24">
        <v>2045</v>
      </c>
      <c r="M423" s="24">
        <v>4975000</v>
      </c>
      <c r="N423" s="39">
        <v>46131</v>
      </c>
    </row>
    <row r="424" spans="1:14" s="5" customFormat="1" outlineLevel="2">
      <c r="A424" s="39" t="s">
        <v>142</v>
      </c>
      <c r="B424" s="40" t="s">
        <v>358</v>
      </c>
      <c r="C424" s="41" t="s">
        <v>85</v>
      </c>
      <c r="D424" s="40" t="s">
        <v>86</v>
      </c>
      <c r="E424" s="24">
        <v>14925000</v>
      </c>
      <c r="F424" s="39">
        <v>44306</v>
      </c>
      <c r="G424" s="24">
        <v>14925000</v>
      </c>
      <c r="H424" s="23">
        <v>5.0000000000000001E-3</v>
      </c>
      <c r="I424" s="39">
        <v>44501</v>
      </c>
      <c r="J424" s="39">
        <v>44530</v>
      </c>
      <c r="K424" s="24">
        <v>30</v>
      </c>
      <c r="L424" s="24">
        <v>6134</v>
      </c>
      <c r="M424" s="24">
        <v>14925000</v>
      </c>
      <c r="N424" s="39">
        <v>46131</v>
      </c>
    </row>
    <row r="425" spans="1:14" s="5" customFormat="1" outlineLevel="2">
      <c r="A425" s="39" t="s">
        <v>142</v>
      </c>
      <c r="B425" s="40" t="s">
        <v>357</v>
      </c>
      <c r="C425" s="41" t="s">
        <v>149</v>
      </c>
      <c r="D425" s="40" t="s">
        <v>150</v>
      </c>
      <c r="E425" s="24">
        <v>1663200</v>
      </c>
      <c r="F425" s="39">
        <v>44294</v>
      </c>
      <c r="G425" s="24">
        <v>1663200</v>
      </c>
      <c r="H425" s="23">
        <v>5.0000000000000001E-3</v>
      </c>
      <c r="I425" s="39">
        <v>44501</v>
      </c>
      <c r="J425" s="39">
        <v>44530</v>
      </c>
      <c r="K425" s="24">
        <v>30</v>
      </c>
      <c r="L425" s="24">
        <v>684</v>
      </c>
      <c r="M425" s="24">
        <v>1663200</v>
      </c>
      <c r="N425" s="39">
        <v>46119</v>
      </c>
    </row>
    <row r="426" spans="1:14" s="5" customFormat="1" outlineLevel="2">
      <c r="A426" s="39" t="s">
        <v>142</v>
      </c>
      <c r="B426" s="40" t="s">
        <v>356</v>
      </c>
      <c r="C426" s="41" t="s">
        <v>149</v>
      </c>
      <c r="D426" s="40" t="s">
        <v>150</v>
      </c>
      <c r="E426" s="24">
        <v>3528000</v>
      </c>
      <c r="F426" s="39">
        <v>44300</v>
      </c>
      <c r="G426" s="24">
        <v>3528000</v>
      </c>
      <c r="H426" s="23">
        <v>5.0000000000000001E-3</v>
      </c>
      <c r="I426" s="39">
        <v>44501</v>
      </c>
      <c r="J426" s="39">
        <v>44530</v>
      </c>
      <c r="K426" s="24">
        <v>30</v>
      </c>
      <c r="L426" s="24">
        <v>1450</v>
      </c>
      <c r="M426" s="24">
        <v>3528000</v>
      </c>
      <c r="N426" s="39">
        <v>46125</v>
      </c>
    </row>
    <row r="427" spans="1:14" s="5" customFormat="1" outlineLevel="2">
      <c r="A427" s="39" t="s">
        <v>142</v>
      </c>
      <c r="B427" s="40" t="s">
        <v>29</v>
      </c>
      <c r="C427" s="41" t="s">
        <v>123</v>
      </c>
      <c r="D427" s="40" t="s">
        <v>124</v>
      </c>
      <c r="E427" s="24">
        <v>160000000</v>
      </c>
      <c r="F427" s="39">
        <v>43970</v>
      </c>
      <c r="G427" s="24">
        <v>160000000</v>
      </c>
      <c r="H427" s="23">
        <v>5.0000000000000001E-3</v>
      </c>
      <c r="I427" s="39">
        <v>44501</v>
      </c>
      <c r="J427" s="39">
        <v>44530</v>
      </c>
      <c r="K427" s="24">
        <v>30</v>
      </c>
      <c r="L427" s="24">
        <v>65753</v>
      </c>
      <c r="M427" s="24">
        <v>160000000</v>
      </c>
      <c r="N427" s="39">
        <v>45795</v>
      </c>
    </row>
    <row r="428" spans="1:14" s="5" customFormat="1" outlineLevel="2">
      <c r="A428" s="39" t="s">
        <v>142</v>
      </c>
      <c r="B428" s="40" t="s">
        <v>355</v>
      </c>
      <c r="C428" s="41" t="s">
        <v>149</v>
      </c>
      <c r="D428" s="40" t="s">
        <v>150</v>
      </c>
      <c r="E428" s="24">
        <v>12213027</v>
      </c>
      <c r="F428" s="39">
        <v>44307</v>
      </c>
      <c r="G428" s="24">
        <v>12213027</v>
      </c>
      <c r="H428" s="23">
        <v>5.0000000000000001E-3</v>
      </c>
      <c r="I428" s="39">
        <v>44501</v>
      </c>
      <c r="J428" s="39">
        <v>44530</v>
      </c>
      <c r="K428" s="24">
        <v>30</v>
      </c>
      <c r="L428" s="24">
        <v>5019</v>
      </c>
      <c r="M428" s="24">
        <v>12213027</v>
      </c>
      <c r="N428" s="39">
        <v>46132</v>
      </c>
    </row>
    <row r="429" spans="1:14" s="5" customFormat="1" outlineLevel="2">
      <c r="A429" s="39" t="s">
        <v>142</v>
      </c>
      <c r="B429" s="40" t="s">
        <v>354</v>
      </c>
      <c r="C429" s="41" t="s">
        <v>149</v>
      </c>
      <c r="D429" s="40" t="s">
        <v>150</v>
      </c>
      <c r="E429" s="24">
        <v>11337919</v>
      </c>
      <c r="F429" s="39">
        <v>44314</v>
      </c>
      <c r="G429" s="24">
        <v>11337919</v>
      </c>
      <c r="H429" s="23">
        <v>5.0000000000000001E-3</v>
      </c>
      <c r="I429" s="39">
        <v>44501</v>
      </c>
      <c r="J429" s="39">
        <v>44530</v>
      </c>
      <c r="K429" s="24">
        <v>30</v>
      </c>
      <c r="L429" s="24">
        <v>4659</v>
      </c>
      <c r="M429" s="24">
        <v>11337919</v>
      </c>
      <c r="N429" s="39">
        <v>46139</v>
      </c>
    </row>
    <row r="430" spans="1:14" s="5" customFormat="1" outlineLevel="2">
      <c r="A430" s="39" t="s">
        <v>142</v>
      </c>
      <c r="B430" s="40" t="s">
        <v>353</v>
      </c>
      <c r="C430" s="41" t="s">
        <v>219</v>
      </c>
      <c r="D430" s="40" t="s">
        <v>220</v>
      </c>
      <c r="E430" s="24">
        <v>20000000</v>
      </c>
      <c r="F430" s="39">
        <v>44308</v>
      </c>
      <c r="G430" s="24">
        <v>20000000</v>
      </c>
      <c r="H430" s="23">
        <v>5.0000000000000001E-3</v>
      </c>
      <c r="I430" s="39">
        <v>44501</v>
      </c>
      <c r="J430" s="39">
        <v>44530</v>
      </c>
      <c r="K430" s="24">
        <v>30</v>
      </c>
      <c r="L430" s="24">
        <v>8219</v>
      </c>
      <c r="M430" s="24">
        <v>20000000</v>
      </c>
      <c r="N430" s="39">
        <v>46133</v>
      </c>
    </row>
    <row r="431" spans="1:14" s="5" customFormat="1" outlineLevel="2">
      <c r="A431" s="39" t="s">
        <v>142</v>
      </c>
      <c r="B431" s="40" t="s">
        <v>352</v>
      </c>
      <c r="C431" s="41" t="s">
        <v>351</v>
      </c>
      <c r="D431" s="40" t="s">
        <v>350</v>
      </c>
      <c r="E431" s="24">
        <v>9800000</v>
      </c>
      <c r="F431" s="39">
        <v>44313</v>
      </c>
      <c r="G431" s="24">
        <v>9800000</v>
      </c>
      <c r="H431" s="23">
        <v>5.0000000000000001E-3</v>
      </c>
      <c r="I431" s="39">
        <v>44501</v>
      </c>
      <c r="J431" s="39">
        <v>44530</v>
      </c>
      <c r="K431" s="24">
        <v>30</v>
      </c>
      <c r="L431" s="24">
        <v>4027</v>
      </c>
      <c r="M431" s="24">
        <v>9800000</v>
      </c>
      <c r="N431" s="39">
        <v>46138</v>
      </c>
    </row>
    <row r="432" spans="1:14" s="5" customFormat="1" outlineLevel="2">
      <c r="A432" s="39" t="s">
        <v>142</v>
      </c>
      <c r="B432" s="40" t="s">
        <v>349</v>
      </c>
      <c r="C432" s="41" t="s">
        <v>345</v>
      </c>
      <c r="D432" s="40" t="s">
        <v>344</v>
      </c>
      <c r="E432" s="24">
        <v>37000000</v>
      </c>
      <c r="F432" s="39">
        <v>44314</v>
      </c>
      <c r="G432" s="24">
        <v>37000000</v>
      </c>
      <c r="H432" s="23">
        <v>5.0000000000000001E-3</v>
      </c>
      <c r="I432" s="39">
        <v>44501</v>
      </c>
      <c r="J432" s="39">
        <v>44530</v>
      </c>
      <c r="K432" s="24">
        <v>30</v>
      </c>
      <c r="L432" s="24">
        <v>15205</v>
      </c>
      <c r="M432" s="24">
        <v>37000000</v>
      </c>
      <c r="N432" s="39">
        <v>46139</v>
      </c>
    </row>
    <row r="433" spans="1:14" s="5" customFormat="1" outlineLevel="2">
      <c r="A433" s="39" t="s">
        <v>142</v>
      </c>
      <c r="B433" s="40" t="s">
        <v>348</v>
      </c>
      <c r="C433" s="41" t="s">
        <v>163</v>
      </c>
      <c r="D433" s="40" t="s">
        <v>164</v>
      </c>
      <c r="E433" s="24">
        <v>70000000</v>
      </c>
      <c r="F433" s="39">
        <v>44315</v>
      </c>
      <c r="G433" s="24">
        <v>66181816</v>
      </c>
      <c r="H433" s="23">
        <v>5.0000000000000001E-3</v>
      </c>
      <c r="I433" s="39">
        <v>44501</v>
      </c>
      <c r="J433" s="39">
        <v>44514</v>
      </c>
      <c r="K433" s="24">
        <v>14</v>
      </c>
      <c r="L433" s="24">
        <v>12692</v>
      </c>
      <c r="M433" s="24">
        <v>65545452</v>
      </c>
      <c r="N433" s="39">
        <v>46140</v>
      </c>
    </row>
    <row r="434" spans="1:14" s="5" customFormat="1" outlineLevel="2">
      <c r="A434" s="39" t="s">
        <v>142</v>
      </c>
      <c r="B434" s="40" t="s">
        <v>348</v>
      </c>
      <c r="C434" s="41" t="s">
        <v>163</v>
      </c>
      <c r="D434" s="40"/>
      <c r="E434" s="24"/>
      <c r="F434" s="39"/>
      <c r="G434" s="24">
        <v>65545452</v>
      </c>
      <c r="H434" s="23">
        <v>5.0000000000000001E-3</v>
      </c>
      <c r="I434" s="39">
        <v>44515</v>
      </c>
      <c r="J434" s="39">
        <v>44530</v>
      </c>
      <c r="K434" s="24">
        <v>16</v>
      </c>
      <c r="L434" s="24">
        <v>14366</v>
      </c>
      <c r="M434" s="24"/>
      <c r="N434" s="39">
        <v>46140</v>
      </c>
    </row>
    <row r="435" spans="1:14" s="5" customFormat="1" outlineLevel="2">
      <c r="A435" s="39" t="s">
        <v>142</v>
      </c>
      <c r="B435" s="40" t="s">
        <v>347</v>
      </c>
      <c r="C435" s="41" t="s">
        <v>163</v>
      </c>
      <c r="D435" s="40" t="s">
        <v>164</v>
      </c>
      <c r="E435" s="24">
        <v>10000000</v>
      </c>
      <c r="F435" s="39">
        <v>44315</v>
      </c>
      <c r="G435" s="24">
        <v>9285712</v>
      </c>
      <c r="H435" s="23">
        <v>5.0000000000000001E-3</v>
      </c>
      <c r="I435" s="39">
        <v>44501</v>
      </c>
      <c r="J435" s="39">
        <v>44514</v>
      </c>
      <c r="K435" s="24">
        <v>14</v>
      </c>
      <c r="L435" s="24">
        <v>1781</v>
      </c>
      <c r="M435" s="24">
        <v>9166664</v>
      </c>
      <c r="N435" s="39">
        <v>46140</v>
      </c>
    </row>
    <row r="436" spans="1:14" s="5" customFormat="1" outlineLevel="2">
      <c r="A436" s="39" t="s">
        <v>142</v>
      </c>
      <c r="B436" s="40" t="s">
        <v>347</v>
      </c>
      <c r="C436" s="41" t="s">
        <v>163</v>
      </c>
      <c r="D436" s="40"/>
      <c r="E436" s="24"/>
      <c r="F436" s="39"/>
      <c r="G436" s="24">
        <v>9166664</v>
      </c>
      <c r="H436" s="23">
        <v>5.0000000000000001E-3</v>
      </c>
      <c r="I436" s="39">
        <v>44515</v>
      </c>
      <c r="J436" s="39">
        <v>44530</v>
      </c>
      <c r="K436" s="24">
        <v>16</v>
      </c>
      <c r="L436" s="24">
        <v>2009</v>
      </c>
      <c r="M436" s="24"/>
      <c r="N436" s="39">
        <v>46140</v>
      </c>
    </row>
    <row r="437" spans="1:14" s="5" customFormat="1" outlineLevel="2">
      <c r="A437" s="39" t="s">
        <v>142</v>
      </c>
      <c r="B437" s="40" t="s">
        <v>346</v>
      </c>
      <c r="C437" s="41" t="s">
        <v>163</v>
      </c>
      <c r="D437" s="40" t="s">
        <v>164</v>
      </c>
      <c r="E437" s="24">
        <v>40000000</v>
      </c>
      <c r="F437" s="39">
        <v>44315</v>
      </c>
      <c r="G437" s="24">
        <v>37142860</v>
      </c>
      <c r="H437" s="23">
        <v>5.0000000000000001E-3</v>
      </c>
      <c r="I437" s="39">
        <v>44501</v>
      </c>
      <c r="J437" s="39">
        <v>44514</v>
      </c>
      <c r="K437" s="24">
        <v>14</v>
      </c>
      <c r="L437" s="24">
        <v>7123</v>
      </c>
      <c r="M437" s="24">
        <v>36666670</v>
      </c>
      <c r="N437" s="39">
        <v>46140</v>
      </c>
    </row>
    <row r="438" spans="1:14" s="5" customFormat="1" outlineLevel="2">
      <c r="A438" s="39" t="s">
        <v>142</v>
      </c>
      <c r="B438" s="40" t="s">
        <v>346</v>
      </c>
      <c r="C438" s="41" t="s">
        <v>163</v>
      </c>
      <c r="D438" s="40"/>
      <c r="E438" s="24"/>
      <c r="F438" s="39"/>
      <c r="G438" s="24">
        <v>36666670</v>
      </c>
      <c r="H438" s="23">
        <v>5.0000000000000001E-3</v>
      </c>
      <c r="I438" s="39">
        <v>44515</v>
      </c>
      <c r="J438" s="39">
        <v>44530</v>
      </c>
      <c r="K438" s="24">
        <v>16</v>
      </c>
      <c r="L438" s="24">
        <v>8037</v>
      </c>
      <c r="M438" s="24"/>
      <c r="N438" s="39">
        <v>46140</v>
      </c>
    </row>
    <row r="439" spans="1:14" s="5" customFormat="1" outlineLevel="2">
      <c r="A439" s="39" t="s">
        <v>142</v>
      </c>
      <c r="B439" s="40" t="s">
        <v>373</v>
      </c>
      <c r="C439" s="41" t="s">
        <v>149</v>
      </c>
      <c r="D439" s="40" t="s">
        <v>150</v>
      </c>
      <c r="E439" s="24">
        <v>10752000</v>
      </c>
      <c r="F439" s="39">
        <v>44320</v>
      </c>
      <c r="G439" s="24">
        <v>10752000</v>
      </c>
      <c r="H439" s="23">
        <v>5.0000000000000001E-3</v>
      </c>
      <c r="I439" s="39">
        <v>44501</v>
      </c>
      <c r="J439" s="39">
        <v>44530</v>
      </c>
      <c r="K439" s="24">
        <v>30</v>
      </c>
      <c r="L439" s="24">
        <v>4419</v>
      </c>
      <c r="M439" s="24">
        <v>10752000</v>
      </c>
      <c r="N439" s="39">
        <v>46145</v>
      </c>
    </row>
    <row r="440" spans="1:14" s="5" customFormat="1" outlineLevel="2">
      <c r="A440" s="39" t="s">
        <v>142</v>
      </c>
      <c r="B440" s="40" t="s">
        <v>372</v>
      </c>
      <c r="C440" s="41" t="s">
        <v>149</v>
      </c>
      <c r="D440" s="40" t="s">
        <v>150</v>
      </c>
      <c r="E440" s="24">
        <v>4200000</v>
      </c>
      <c r="F440" s="39">
        <v>44320</v>
      </c>
      <c r="G440" s="24">
        <v>4200000</v>
      </c>
      <c r="H440" s="23">
        <v>5.0000000000000001E-3</v>
      </c>
      <c r="I440" s="39">
        <v>44501</v>
      </c>
      <c r="J440" s="39">
        <v>44530</v>
      </c>
      <c r="K440" s="24">
        <v>30</v>
      </c>
      <c r="L440" s="24">
        <v>1726</v>
      </c>
      <c r="M440" s="24">
        <v>4200000</v>
      </c>
      <c r="N440" s="39">
        <v>46145</v>
      </c>
    </row>
    <row r="441" spans="1:14" s="5" customFormat="1" outlineLevel="2">
      <c r="A441" s="39" t="s">
        <v>142</v>
      </c>
      <c r="B441" s="40" t="s">
        <v>32</v>
      </c>
      <c r="C441" s="41" t="s">
        <v>149</v>
      </c>
      <c r="D441" s="40" t="s">
        <v>150</v>
      </c>
      <c r="E441" s="24">
        <v>13104000</v>
      </c>
      <c r="F441" s="39">
        <v>43979</v>
      </c>
      <c r="G441" s="24">
        <v>13104000</v>
      </c>
      <c r="H441" s="23">
        <v>5.0000000000000001E-3</v>
      </c>
      <c r="I441" s="39">
        <v>44501</v>
      </c>
      <c r="J441" s="39">
        <v>44530</v>
      </c>
      <c r="K441" s="24">
        <v>30</v>
      </c>
      <c r="L441" s="24">
        <v>5385</v>
      </c>
      <c r="M441" s="24">
        <v>13104000</v>
      </c>
      <c r="N441" s="39">
        <v>45804</v>
      </c>
    </row>
    <row r="442" spans="1:14" s="5" customFormat="1" outlineLevel="2">
      <c r="A442" s="39" t="s">
        <v>142</v>
      </c>
      <c r="B442" s="40" t="s">
        <v>371</v>
      </c>
      <c r="C442" s="41" t="s">
        <v>149</v>
      </c>
      <c r="D442" s="40" t="s">
        <v>150</v>
      </c>
      <c r="E442" s="24">
        <v>4200000</v>
      </c>
      <c r="F442" s="39">
        <v>44320</v>
      </c>
      <c r="G442" s="24">
        <v>4200000</v>
      </c>
      <c r="H442" s="23">
        <v>5.0000000000000001E-3</v>
      </c>
      <c r="I442" s="39">
        <v>44501</v>
      </c>
      <c r="J442" s="39">
        <v>44530</v>
      </c>
      <c r="K442" s="24">
        <v>30</v>
      </c>
      <c r="L442" s="24">
        <v>1726</v>
      </c>
      <c r="M442" s="24">
        <v>4200000</v>
      </c>
      <c r="N442" s="39">
        <v>46145</v>
      </c>
    </row>
    <row r="443" spans="1:14" s="5" customFormat="1" outlineLevel="2">
      <c r="A443" s="39" t="s">
        <v>142</v>
      </c>
      <c r="B443" s="40" t="s">
        <v>370</v>
      </c>
      <c r="C443" s="41" t="s">
        <v>351</v>
      </c>
      <c r="D443" s="40" t="s">
        <v>350</v>
      </c>
      <c r="E443" s="24">
        <v>5100000</v>
      </c>
      <c r="F443" s="39">
        <v>44330</v>
      </c>
      <c r="G443" s="24">
        <v>5100000</v>
      </c>
      <c r="H443" s="23">
        <v>5.0000000000000001E-3</v>
      </c>
      <c r="I443" s="39">
        <v>44501</v>
      </c>
      <c r="J443" s="39">
        <v>44530</v>
      </c>
      <c r="K443" s="24">
        <v>30</v>
      </c>
      <c r="L443" s="24">
        <v>2096</v>
      </c>
      <c r="M443" s="24">
        <v>5100000</v>
      </c>
      <c r="N443" s="39">
        <v>46155</v>
      </c>
    </row>
    <row r="444" spans="1:14" s="5" customFormat="1" outlineLevel="2">
      <c r="A444" s="39" t="s">
        <v>142</v>
      </c>
      <c r="B444" s="40" t="s">
        <v>369</v>
      </c>
      <c r="C444" s="41" t="s">
        <v>149</v>
      </c>
      <c r="D444" s="40" t="s">
        <v>150</v>
      </c>
      <c r="E444" s="24">
        <v>100000000</v>
      </c>
      <c r="F444" s="39">
        <v>44335</v>
      </c>
      <c r="G444" s="24">
        <v>100000000</v>
      </c>
      <c r="H444" s="23">
        <v>5.0000000000000001E-3</v>
      </c>
      <c r="I444" s="39">
        <v>44501</v>
      </c>
      <c r="J444" s="39">
        <v>44530</v>
      </c>
      <c r="K444" s="24">
        <v>30</v>
      </c>
      <c r="L444" s="24">
        <v>41096</v>
      </c>
      <c r="M444" s="24">
        <v>100000000</v>
      </c>
      <c r="N444" s="39">
        <v>46160</v>
      </c>
    </row>
    <row r="445" spans="1:14" s="5" customFormat="1" outlineLevel="2">
      <c r="A445" s="39" t="s">
        <v>142</v>
      </c>
      <c r="B445" s="40" t="s">
        <v>368</v>
      </c>
      <c r="C445" s="41" t="s">
        <v>87</v>
      </c>
      <c r="D445" s="40" t="s">
        <v>88</v>
      </c>
      <c r="E445" s="24">
        <v>9464321</v>
      </c>
      <c r="F445" s="39">
        <v>44337</v>
      </c>
      <c r="G445" s="24">
        <v>9464321</v>
      </c>
      <c r="H445" s="23">
        <v>5.0000000000000001E-3</v>
      </c>
      <c r="I445" s="39">
        <v>44501</v>
      </c>
      <c r="J445" s="39">
        <v>44530</v>
      </c>
      <c r="K445" s="24">
        <v>30</v>
      </c>
      <c r="L445" s="24">
        <v>3889</v>
      </c>
      <c r="M445" s="24">
        <v>9464321</v>
      </c>
      <c r="N445" s="39">
        <v>46162</v>
      </c>
    </row>
    <row r="446" spans="1:14" s="5" customFormat="1" outlineLevel="2">
      <c r="A446" s="39" t="s">
        <v>142</v>
      </c>
      <c r="B446" s="40" t="s">
        <v>388</v>
      </c>
      <c r="C446" s="41" t="s">
        <v>149</v>
      </c>
      <c r="D446" s="40" t="s">
        <v>150</v>
      </c>
      <c r="E446" s="24">
        <v>3360000</v>
      </c>
      <c r="F446" s="39">
        <v>44350</v>
      </c>
      <c r="G446" s="24">
        <v>3360000</v>
      </c>
      <c r="H446" s="23">
        <v>5.0000000000000001E-3</v>
      </c>
      <c r="I446" s="39">
        <v>44501</v>
      </c>
      <c r="J446" s="39">
        <v>44530</v>
      </c>
      <c r="K446" s="24">
        <v>30</v>
      </c>
      <c r="L446" s="24">
        <v>1381</v>
      </c>
      <c r="M446" s="24">
        <v>3360000</v>
      </c>
      <c r="N446" s="39">
        <v>46175</v>
      </c>
    </row>
    <row r="447" spans="1:14" s="5" customFormat="1" outlineLevel="2">
      <c r="A447" s="39" t="s">
        <v>142</v>
      </c>
      <c r="B447" s="40" t="s">
        <v>387</v>
      </c>
      <c r="C447" s="41" t="s">
        <v>149</v>
      </c>
      <c r="D447" s="40" t="s">
        <v>150</v>
      </c>
      <c r="E447" s="24">
        <v>3360000</v>
      </c>
      <c r="F447" s="39">
        <v>44350</v>
      </c>
      <c r="G447" s="24">
        <v>3360000</v>
      </c>
      <c r="H447" s="23">
        <v>5.0000000000000001E-3</v>
      </c>
      <c r="I447" s="39">
        <v>44501</v>
      </c>
      <c r="J447" s="39">
        <v>44530</v>
      </c>
      <c r="K447" s="24">
        <v>30</v>
      </c>
      <c r="L447" s="24">
        <v>1381</v>
      </c>
      <c r="M447" s="24">
        <v>3360000</v>
      </c>
      <c r="N447" s="39">
        <v>46175</v>
      </c>
    </row>
    <row r="448" spans="1:14" s="5" customFormat="1" outlineLevel="2">
      <c r="A448" s="39" t="s">
        <v>142</v>
      </c>
      <c r="B448" s="40" t="s">
        <v>386</v>
      </c>
      <c r="C448" s="41" t="s">
        <v>149</v>
      </c>
      <c r="D448" s="40" t="s">
        <v>150</v>
      </c>
      <c r="E448" s="24">
        <v>3326400</v>
      </c>
      <c r="F448" s="39">
        <v>44351</v>
      </c>
      <c r="G448" s="24">
        <v>3326400</v>
      </c>
      <c r="H448" s="23">
        <v>5.0000000000000001E-3</v>
      </c>
      <c r="I448" s="39">
        <v>44501</v>
      </c>
      <c r="J448" s="39">
        <v>44530</v>
      </c>
      <c r="K448" s="24">
        <v>30</v>
      </c>
      <c r="L448" s="24">
        <v>1367</v>
      </c>
      <c r="M448" s="24">
        <v>3326400</v>
      </c>
      <c r="N448" s="39">
        <v>46176</v>
      </c>
    </row>
    <row r="449" spans="1:14" s="5" customFormat="1" outlineLevel="2">
      <c r="A449" s="39" t="s">
        <v>142</v>
      </c>
      <c r="B449" s="40" t="s">
        <v>385</v>
      </c>
      <c r="C449" s="41" t="s">
        <v>149</v>
      </c>
      <c r="D449" s="40" t="s">
        <v>150</v>
      </c>
      <c r="E449" s="24">
        <v>150000000</v>
      </c>
      <c r="F449" s="39">
        <v>44354</v>
      </c>
      <c r="G449" s="24">
        <v>150000000</v>
      </c>
      <c r="H449" s="23">
        <v>5.0000000000000001E-3</v>
      </c>
      <c r="I449" s="39">
        <v>44501</v>
      </c>
      <c r="J449" s="39">
        <v>44530</v>
      </c>
      <c r="K449" s="24">
        <v>30</v>
      </c>
      <c r="L449" s="24">
        <v>61644</v>
      </c>
      <c r="M449" s="24">
        <v>150000000</v>
      </c>
      <c r="N449" s="39">
        <v>46179</v>
      </c>
    </row>
    <row r="450" spans="1:14" s="5" customFormat="1" outlineLevel="2">
      <c r="A450" s="39" t="s">
        <v>142</v>
      </c>
      <c r="B450" s="40" t="s">
        <v>384</v>
      </c>
      <c r="C450" s="41" t="s">
        <v>149</v>
      </c>
      <c r="D450" s="40" t="s">
        <v>150</v>
      </c>
      <c r="E450" s="24">
        <v>1663200</v>
      </c>
      <c r="F450" s="39">
        <v>44356</v>
      </c>
      <c r="G450" s="24">
        <v>1663200</v>
      </c>
      <c r="H450" s="23">
        <v>5.0000000000000001E-3</v>
      </c>
      <c r="I450" s="39">
        <v>44501</v>
      </c>
      <c r="J450" s="39">
        <v>44530</v>
      </c>
      <c r="K450" s="24">
        <v>30</v>
      </c>
      <c r="L450" s="24">
        <v>684</v>
      </c>
      <c r="M450" s="24">
        <v>1663200</v>
      </c>
      <c r="N450" s="39">
        <v>46181</v>
      </c>
    </row>
    <row r="451" spans="1:14" s="5" customFormat="1" outlineLevel="2">
      <c r="A451" s="39" t="s">
        <v>142</v>
      </c>
      <c r="B451" s="40" t="s">
        <v>383</v>
      </c>
      <c r="C451" s="41" t="s">
        <v>149</v>
      </c>
      <c r="D451" s="40" t="s">
        <v>150</v>
      </c>
      <c r="E451" s="24">
        <v>312002</v>
      </c>
      <c r="F451" s="39">
        <v>44358</v>
      </c>
      <c r="G451" s="24">
        <v>312002</v>
      </c>
      <c r="H451" s="23">
        <v>5.0000000000000001E-3</v>
      </c>
      <c r="I451" s="39">
        <v>44501</v>
      </c>
      <c r="J451" s="39">
        <v>44530</v>
      </c>
      <c r="K451" s="24">
        <v>30</v>
      </c>
      <c r="L451" s="24">
        <v>128</v>
      </c>
      <c r="M451" s="24">
        <v>312002</v>
      </c>
      <c r="N451" s="39">
        <v>46183</v>
      </c>
    </row>
    <row r="452" spans="1:14" s="5" customFormat="1" outlineLevel="2">
      <c r="A452" s="39" t="s">
        <v>142</v>
      </c>
      <c r="B452" s="40" t="s">
        <v>33</v>
      </c>
      <c r="C452" s="41" t="s">
        <v>89</v>
      </c>
      <c r="D452" s="40" t="s">
        <v>90</v>
      </c>
      <c r="E452" s="24">
        <v>6550000</v>
      </c>
      <c r="F452" s="39">
        <v>43993</v>
      </c>
      <c r="G452" s="24">
        <v>6550000</v>
      </c>
      <c r="H452" s="23">
        <v>5.0000000000000001E-3</v>
      </c>
      <c r="I452" s="39">
        <v>44501</v>
      </c>
      <c r="J452" s="39">
        <v>44530</v>
      </c>
      <c r="K452" s="24">
        <v>30</v>
      </c>
      <c r="L452" s="24">
        <v>2692</v>
      </c>
      <c r="M452" s="24">
        <v>6550000</v>
      </c>
      <c r="N452" s="39">
        <v>45818</v>
      </c>
    </row>
    <row r="453" spans="1:14" s="5" customFormat="1" outlineLevel="2">
      <c r="A453" s="39" t="s">
        <v>142</v>
      </c>
      <c r="B453" s="40" t="s">
        <v>382</v>
      </c>
      <c r="C453" s="41" t="s">
        <v>149</v>
      </c>
      <c r="D453" s="40" t="s">
        <v>150</v>
      </c>
      <c r="E453" s="24">
        <v>478800</v>
      </c>
      <c r="F453" s="39">
        <v>44358</v>
      </c>
      <c r="G453" s="24">
        <v>478800</v>
      </c>
      <c r="H453" s="23">
        <v>5.0000000000000001E-3</v>
      </c>
      <c r="I453" s="39">
        <v>44501</v>
      </c>
      <c r="J453" s="39">
        <v>44530</v>
      </c>
      <c r="K453" s="24">
        <v>30</v>
      </c>
      <c r="L453" s="24">
        <v>197</v>
      </c>
      <c r="M453" s="24">
        <v>478800</v>
      </c>
      <c r="N453" s="39">
        <v>46183</v>
      </c>
    </row>
    <row r="454" spans="1:14" s="5" customFormat="1" outlineLevel="2">
      <c r="A454" s="39" t="s">
        <v>142</v>
      </c>
      <c r="B454" s="40" t="s">
        <v>381</v>
      </c>
      <c r="C454" s="41" t="s">
        <v>149</v>
      </c>
      <c r="D454" s="40" t="s">
        <v>150</v>
      </c>
      <c r="E454" s="24">
        <v>70000000</v>
      </c>
      <c r="F454" s="39">
        <v>44362</v>
      </c>
      <c r="G454" s="24">
        <v>70000000</v>
      </c>
      <c r="H454" s="23">
        <v>5.0000000000000001E-3</v>
      </c>
      <c r="I454" s="39">
        <v>44501</v>
      </c>
      <c r="J454" s="39">
        <v>44530</v>
      </c>
      <c r="K454" s="24">
        <v>30</v>
      </c>
      <c r="L454" s="24">
        <v>28767</v>
      </c>
      <c r="M454" s="24">
        <v>70000000</v>
      </c>
      <c r="N454" s="39">
        <v>46187</v>
      </c>
    </row>
    <row r="455" spans="1:14" s="5" customFormat="1" outlineLevel="2">
      <c r="A455" s="39" t="s">
        <v>142</v>
      </c>
      <c r="B455" s="40" t="s">
        <v>380</v>
      </c>
      <c r="C455" s="41" t="s">
        <v>149</v>
      </c>
      <c r="D455" s="40" t="s">
        <v>150</v>
      </c>
      <c r="E455" s="24">
        <v>806400</v>
      </c>
      <c r="F455" s="39">
        <v>44376</v>
      </c>
      <c r="G455" s="24">
        <v>806400</v>
      </c>
      <c r="H455" s="23">
        <v>5.0000000000000001E-3</v>
      </c>
      <c r="I455" s="39">
        <v>44501</v>
      </c>
      <c r="J455" s="39">
        <v>44530</v>
      </c>
      <c r="K455" s="24">
        <v>30</v>
      </c>
      <c r="L455" s="24">
        <v>331</v>
      </c>
      <c r="M455" s="24">
        <v>806400</v>
      </c>
      <c r="N455" s="39">
        <v>46201</v>
      </c>
    </row>
    <row r="456" spans="1:14" s="5" customFormat="1" outlineLevel="2">
      <c r="A456" s="39" t="s">
        <v>142</v>
      </c>
      <c r="B456" s="40" t="s">
        <v>379</v>
      </c>
      <c r="C456" s="41" t="s">
        <v>89</v>
      </c>
      <c r="D456" s="40" t="s">
        <v>90</v>
      </c>
      <c r="E456" s="24">
        <v>34000000</v>
      </c>
      <c r="F456" s="39">
        <v>44369</v>
      </c>
      <c r="G456" s="24">
        <v>34000000</v>
      </c>
      <c r="H456" s="23">
        <v>5.0000000000000001E-3</v>
      </c>
      <c r="I456" s="39">
        <v>44501</v>
      </c>
      <c r="J456" s="39">
        <v>44530</v>
      </c>
      <c r="K456" s="24">
        <v>30</v>
      </c>
      <c r="L456" s="24">
        <v>13973</v>
      </c>
      <c r="M456" s="24">
        <v>34000000</v>
      </c>
      <c r="N456" s="39">
        <v>46194</v>
      </c>
    </row>
    <row r="457" spans="1:14" s="5" customFormat="1" outlineLevel="2">
      <c r="A457" s="39" t="s">
        <v>142</v>
      </c>
      <c r="B457" s="40" t="s">
        <v>378</v>
      </c>
      <c r="C457" s="41" t="s">
        <v>89</v>
      </c>
      <c r="D457" s="40" t="s">
        <v>90</v>
      </c>
      <c r="E457" s="24">
        <v>34000000</v>
      </c>
      <c r="F457" s="39">
        <v>44369</v>
      </c>
      <c r="G457" s="24">
        <v>34000000</v>
      </c>
      <c r="H457" s="23">
        <v>5.0000000000000001E-3</v>
      </c>
      <c r="I457" s="39">
        <v>44501</v>
      </c>
      <c r="J457" s="39">
        <v>44530</v>
      </c>
      <c r="K457" s="24">
        <v>30</v>
      </c>
      <c r="L457" s="24">
        <v>13973</v>
      </c>
      <c r="M457" s="24">
        <v>34000000</v>
      </c>
      <c r="N457" s="39">
        <v>46194</v>
      </c>
    </row>
    <row r="458" spans="1:14" s="5" customFormat="1" outlineLevel="2">
      <c r="A458" s="39" t="s">
        <v>142</v>
      </c>
      <c r="B458" s="40" t="s">
        <v>377</v>
      </c>
      <c r="C458" s="41" t="s">
        <v>219</v>
      </c>
      <c r="D458" s="40" t="s">
        <v>220</v>
      </c>
      <c r="E458" s="24">
        <v>35000000</v>
      </c>
      <c r="F458" s="39">
        <v>44371</v>
      </c>
      <c r="G458" s="24">
        <v>35000000</v>
      </c>
      <c r="H458" s="23">
        <v>5.0000000000000001E-3</v>
      </c>
      <c r="I458" s="39">
        <v>44501</v>
      </c>
      <c r="J458" s="39">
        <v>44530</v>
      </c>
      <c r="K458" s="24">
        <v>30</v>
      </c>
      <c r="L458" s="24">
        <v>14384</v>
      </c>
      <c r="M458" s="24">
        <v>35000000</v>
      </c>
      <c r="N458" s="39">
        <v>46196</v>
      </c>
    </row>
    <row r="459" spans="1:14" s="5" customFormat="1" outlineLevel="2">
      <c r="A459" s="39" t="s">
        <v>142</v>
      </c>
      <c r="B459" s="40" t="s">
        <v>376</v>
      </c>
      <c r="C459" s="41" t="s">
        <v>87</v>
      </c>
      <c r="D459" s="40" t="s">
        <v>88</v>
      </c>
      <c r="E459" s="24">
        <v>13481921</v>
      </c>
      <c r="F459" s="39">
        <v>44372</v>
      </c>
      <c r="G459" s="24">
        <v>13481921</v>
      </c>
      <c r="H459" s="23">
        <v>5.0000000000000001E-3</v>
      </c>
      <c r="I459" s="39">
        <v>44501</v>
      </c>
      <c r="J459" s="39">
        <v>44530</v>
      </c>
      <c r="K459" s="24">
        <v>30</v>
      </c>
      <c r="L459" s="24">
        <v>5541</v>
      </c>
      <c r="M459" s="24">
        <v>13481921</v>
      </c>
      <c r="N459" s="39">
        <v>46197</v>
      </c>
    </row>
    <row r="460" spans="1:14" s="5" customFormat="1" outlineLevel="2">
      <c r="A460" s="39" t="s">
        <v>142</v>
      </c>
      <c r="B460" s="40" t="s">
        <v>375</v>
      </c>
      <c r="C460" s="41" t="s">
        <v>87</v>
      </c>
      <c r="D460" s="40" t="s">
        <v>88</v>
      </c>
      <c r="E460" s="24">
        <v>21053378</v>
      </c>
      <c r="F460" s="39">
        <v>44372</v>
      </c>
      <c r="G460" s="24">
        <v>21053378</v>
      </c>
      <c r="H460" s="23">
        <v>5.0000000000000001E-3</v>
      </c>
      <c r="I460" s="39">
        <v>44501</v>
      </c>
      <c r="J460" s="39">
        <v>44530</v>
      </c>
      <c r="K460" s="24">
        <v>30</v>
      </c>
      <c r="L460" s="24">
        <v>8652</v>
      </c>
      <c r="M460" s="24">
        <v>21053378</v>
      </c>
      <c r="N460" s="39">
        <v>46197</v>
      </c>
    </row>
    <row r="461" spans="1:14" s="5" customFormat="1" outlineLevel="2">
      <c r="A461" s="39" t="s">
        <v>142</v>
      </c>
      <c r="B461" s="40" t="s">
        <v>396</v>
      </c>
      <c r="C461" s="41" t="s">
        <v>187</v>
      </c>
      <c r="D461" s="40" t="s">
        <v>188</v>
      </c>
      <c r="E461" s="24">
        <v>66500000</v>
      </c>
      <c r="F461" s="39">
        <v>44379</v>
      </c>
      <c r="G461" s="24">
        <v>66500000</v>
      </c>
      <c r="H461" s="23">
        <v>5.0000000000000001E-3</v>
      </c>
      <c r="I461" s="39">
        <v>44501</v>
      </c>
      <c r="J461" s="39">
        <v>44530</v>
      </c>
      <c r="K461" s="24">
        <v>30</v>
      </c>
      <c r="L461" s="24">
        <v>27329</v>
      </c>
      <c r="M461" s="24">
        <v>66500000</v>
      </c>
      <c r="N461" s="39">
        <v>46204</v>
      </c>
    </row>
    <row r="462" spans="1:14" s="5" customFormat="1" outlineLevel="2">
      <c r="A462" s="39" t="s">
        <v>142</v>
      </c>
      <c r="B462" s="40" t="s">
        <v>395</v>
      </c>
      <c r="C462" s="41" t="s">
        <v>149</v>
      </c>
      <c r="D462" s="40" t="s">
        <v>150</v>
      </c>
      <c r="E462" s="24">
        <v>840000</v>
      </c>
      <c r="F462" s="39">
        <v>44379</v>
      </c>
      <c r="G462" s="24">
        <v>840000</v>
      </c>
      <c r="H462" s="23">
        <v>5.0000000000000001E-3</v>
      </c>
      <c r="I462" s="39">
        <v>44501</v>
      </c>
      <c r="J462" s="39">
        <v>44530</v>
      </c>
      <c r="K462" s="24">
        <v>30</v>
      </c>
      <c r="L462" s="24">
        <v>345</v>
      </c>
      <c r="M462" s="24">
        <v>840000</v>
      </c>
      <c r="N462" s="39">
        <v>46204</v>
      </c>
    </row>
    <row r="463" spans="1:14" s="5" customFormat="1" outlineLevel="2">
      <c r="A463" s="39" t="s">
        <v>142</v>
      </c>
      <c r="B463" s="40" t="s">
        <v>34</v>
      </c>
      <c r="C463" s="41" t="s">
        <v>89</v>
      </c>
      <c r="D463" s="40" t="s">
        <v>90</v>
      </c>
      <c r="E463" s="24">
        <v>19710000</v>
      </c>
      <c r="F463" s="39">
        <v>43993</v>
      </c>
      <c r="G463" s="24">
        <v>19710000</v>
      </c>
      <c r="H463" s="23">
        <v>5.0000000000000001E-3</v>
      </c>
      <c r="I463" s="39">
        <v>44501</v>
      </c>
      <c r="J463" s="39">
        <v>44530</v>
      </c>
      <c r="K463" s="24">
        <v>30</v>
      </c>
      <c r="L463" s="24">
        <v>8100</v>
      </c>
      <c r="M463" s="24">
        <v>19710000</v>
      </c>
      <c r="N463" s="39">
        <v>45818</v>
      </c>
    </row>
    <row r="464" spans="1:14" s="5" customFormat="1" outlineLevel="2">
      <c r="A464" s="39" t="s">
        <v>142</v>
      </c>
      <c r="B464" s="40" t="s">
        <v>394</v>
      </c>
      <c r="C464" s="41" t="s">
        <v>149</v>
      </c>
      <c r="D464" s="40" t="s">
        <v>150</v>
      </c>
      <c r="E464" s="24">
        <v>840000</v>
      </c>
      <c r="F464" s="39">
        <v>44379</v>
      </c>
      <c r="G464" s="24">
        <v>840000</v>
      </c>
      <c r="H464" s="23">
        <v>5.0000000000000001E-3</v>
      </c>
      <c r="I464" s="39">
        <v>44501</v>
      </c>
      <c r="J464" s="39">
        <v>44530</v>
      </c>
      <c r="K464" s="24">
        <v>30</v>
      </c>
      <c r="L464" s="24">
        <v>345</v>
      </c>
      <c r="M464" s="24">
        <v>840000</v>
      </c>
      <c r="N464" s="39">
        <v>46204</v>
      </c>
    </row>
    <row r="465" spans="1:14" s="5" customFormat="1" outlineLevel="2">
      <c r="A465" s="39" t="s">
        <v>142</v>
      </c>
      <c r="B465" s="40" t="s">
        <v>393</v>
      </c>
      <c r="C465" s="41" t="s">
        <v>149</v>
      </c>
      <c r="D465" s="40" t="s">
        <v>150</v>
      </c>
      <c r="E465" s="24">
        <v>1646400</v>
      </c>
      <c r="F465" s="39">
        <v>44384</v>
      </c>
      <c r="G465" s="24">
        <v>1646400</v>
      </c>
      <c r="H465" s="23">
        <v>5.0000000000000001E-3</v>
      </c>
      <c r="I465" s="39">
        <v>44501</v>
      </c>
      <c r="J465" s="39">
        <v>44530</v>
      </c>
      <c r="K465" s="24">
        <v>30</v>
      </c>
      <c r="L465" s="24">
        <v>677</v>
      </c>
      <c r="M465" s="24">
        <v>1646400</v>
      </c>
      <c r="N465" s="39">
        <v>46209</v>
      </c>
    </row>
    <row r="466" spans="1:14" s="5" customFormat="1" outlineLevel="2">
      <c r="A466" s="39" t="s">
        <v>142</v>
      </c>
      <c r="B466" s="40" t="s">
        <v>392</v>
      </c>
      <c r="C466" s="41" t="s">
        <v>149</v>
      </c>
      <c r="D466" s="40" t="s">
        <v>150</v>
      </c>
      <c r="E466" s="24">
        <v>1092000</v>
      </c>
      <c r="F466" s="39">
        <v>44407</v>
      </c>
      <c r="G466" s="24">
        <v>1092000</v>
      </c>
      <c r="H466" s="23">
        <v>5.0000000000000001E-3</v>
      </c>
      <c r="I466" s="39">
        <v>44501</v>
      </c>
      <c r="J466" s="39">
        <v>44530</v>
      </c>
      <c r="K466" s="24">
        <v>30</v>
      </c>
      <c r="L466" s="24">
        <v>449</v>
      </c>
      <c r="M466" s="24">
        <v>1092000</v>
      </c>
      <c r="N466" s="39">
        <v>46232</v>
      </c>
    </row>
    <row r="467" spans="1:14" s="5" customFormat="1" outlineLevel="2">
      <c r="A467" s="39" t="s">
        <v>142</v>
      </c>
      <c r="B467" s="40" t="s">
        <v>391</v>
      </c>
      <c r="C467" s="41" t="s">
        <v>149</v>
      </c>
      <c r="D467" s="40" t="s">
        <v>150</v>
      </c>
      <c r="E467" s="24">
        <v>430080</v>
      </c>
      <c r="F467" s="39">
        <v>44407</v>
      </c>
      <c r="G467" s="24">
        <v>430080</v>
      </c>
      <c r="H467" s="23">
        <v>5.0000000000000001E-3</v>
      </c>
      <c r="I467" s="39">
        <v>44501</v>
      </c>
      <c r="J467" s="39">
        <v>44530</v>
      </c>
      <c r="K467" s="24">
        <v>30</v>
      </c>
      <c r="L467" s="24">
        <v>177</v>
      </c>
      <c r="M467" s="24">
        <v>430080</v>
      </c>
      <c r="N467" s="39">
        <v>46232</v>
      </c>
    </row>
    <row r="468" spans="1:14" s="5" customFormat="1" outlineLevel="2">
      <c r="A468" s="39" t="s">
        <v>142</v>
      </c>
      <c r="B468" s="40" t="s">
        <v>390</v>
      </c>
      <c r="C468" s="41" t="s">
        <v>125</v>
      </c>
      <c r="D468" s="40" t="s">
        <v>126</v>
      </c>
      <c r="E468" s="24">
        <v>7000000</v>
      </c>
      <c r="F468" s="39">
        <v>44389</v>
      </c>
      <c r="G468" s="24">
        <v>7000000</v>
      </c>
      <c r="H468" s="23">
        <v>5.0000000000000001E-3</v>
      </c>
      <c r="I468" s="39">
        <v>44501</v>
      </c>
      <c r="J468" s="39">
        <v>44530</v>
      </c>
      <c r="K468" s="24">
        <v>30</v>
      </c>
      <c r="L468" s="24">
        <v>2877</v>
      </c>
      <c r="M468" s="24">
        <v>7000000</v>
      </c>
      <c r="N468" s="39">
        <v>46214</v>
      </c>
    </row>
    <row r="469" spans="1:14" s="5" customFormat="1" outlineLevel="2">
      <c r="A469" s="39" t="s">
        <v>142</v>
      </c>
      <c r="B469" s="40" t="s">
        <v>389</v>
      </c>
      <c r="C469" s="41" t="s">
        <v>87</v>
      </c>
      <c r="D469" s="40" t="s">
        <v>88</v>
      </c>
      <c r="E469" s="24">
        <v>13481921</v>
      </c>
      <c r="F469" s="39">
        <v>44403</v>
      </c>
      <c r="G469" s="24">
        <v>13481921</v>
      </c>
      <c r="H469" s="23">
        <v>5.0000000000000001E-3</v>
      </c>
      <c r="I469" s="39">
        <v>44501</v>
      </c>
      <c r="J469" s="39">
        <v>44530</v>
      </c>
      <c r="K469" s="24">
        <v>30</v>
      </c>
      <c r="L469" s="24">
        <v>5541</v>
      </c>
      <c r="M469" s="24">
        <v>13481921</v>
      </c>
      <c r="N469" s="39">
        <v>46228</v>
      </c>
    </row>
    <row r="470" spans="1:14" s="5" customFormat="1" outlineLevel="2">
      <c r="A470" s="39" t="s">
        <v>142</v>
      </c>
      <c r="B470" s="40" t="s">
        <v>402</v>
      </c>
      <c r="C470" s="41" t="s">
        <v>149</v>
      </c>
      <c r="D470" s="40" t="s">
        <v>150</v>
      </c>
      <c r="E470" s="24">
        <v>40666</v>
      </c>
      <c r="F470" s="39">
        <v>44417</v>
      </c>
      <c r="G470" s="24">
        <v>40666</v>
      </c>
      <c r="H470" s="23">
        <v>5.0000000000000001E-3</v>
      </c>
      <c r="I470" s="39">
        <v>44501</v>
      </c>
      <c r="J470" s="39">
        <v>44530</v>
      </c>
      <c r="K470" s="24">
        <v>30</v>
      </c>
      <c r="L470" s="24">
        <v>17</v>
      </c>
      <c r="M470" s="24">
        <v>40666</v>
      </c>
      <c r="N470" s="39">
        <v>46242</v>
      </c>
    </row>
    <row r="471" spans="1:14" s="5" customFormat="1" outlineLevel="2">
      <c r="A471" s="39" t="s">
        <v>142</v>
      </c>
      <c r="B471" s="40" t="s">
        <v>401</v>
      </c>
      <c r="C471" s="41" t="s">
        <v>149</v>
      </c>
      <c r="D471" s="40" t="s">
        <v>150</v>
      </c>
      <c r="E471" s="24">
        <v>160704</v>
      </c>
      <c r="F471" s="39">
        <v>44435</v>
      </c>
      <c r="G471" s="24">
        <v>160704</v>
      </c>
      <c r="H471" s="23">
        <v>5.0000000000000001E-3</v>
      </c>
      <c r="I471" s="39">
        <v>44501</v>
      </c>
      <c r="J471" s="39">
        <v>44530</v>
      </c>
      <c r="K471" s="24">
        <v>30</v>
      </c>
      <c r="L471" s="24">
        <v>66</v>
      </c>
      <c r="M471" s="24">
        <v>160704</v>
      </c>
      <c r="N471" s="39">
        <v>46260</v>
      </c>
    </row>
    <row r="472" spans="1:14" s="5" customFormat="1" outlineLevel="2">
      <c r="A472" s="39" t="s">
        <v>142</v>
      </c>
      <c r="B472" s="40" t="s">
        <v>400</v>
      </c>
      <c r="C472" s="41" t="s">
        <v>149</v>
      </c>
      <c r="D472" s="40" t="s">
        <v>150</v>
      </c>
      <c r="E472" s="24">
        <v>1302000</v>
      </c>
      <c r="F472" s="39">
        <v>44438</v>
      </c>
      <c r="G472" s="24">
        <v>1302000</v>
      </c>
      <c r="H472" s="23">
        <v>5.0000000000000001E-3</v>
      </c>
      <c r="I472" s="39">
        <v>44501</v>
      </c>
      <c r="J472" s="39">
        <v>44530</v>
      </c>
      <c r="K472" s="24">
        <v>30</v>
      </c>
      <c r="L472" s="24">
        <v>535</v>
      </c>
      <c r="M472" s="24">
        <v>1302000</v>
      </c>
      <c r="N472" s="39">
        <v>46263</v>
      </c>
    </row>
    <row r="473" spans="1:14" s="5" customFormat="1" outlineLevel="2">
      <c r="A473" s="39" t="s">
        <v>142</v>
      </c>
      <c r="B473" s="40" t="s">
        <v>399</v>
      </c>
      <c r="C473" s="41" t="s">
        <v>219</v>
      </c>
      <c r="D473" s="40" t="s">
        <v>220</v>
      </c>
      <c r="E473" s="24">
        <v>40000000</v>
      </c>
      <c r="F473" s="39">
        <v>44432</v>
      </c>
      <c r="G473" s="24">
        <v>40000000</v>
      </c>
      <c r="H473" s="23">
        <v>5.0000000000000001E-3</v>
      </c>
      <c r="I473" s="39">
        <v>44501</v>
      </c>
      <c r="J473" s="39">
        <v>44530</v>
      </c>
      <c r="K473" s="24">
        <v>30</v>
      </c>
      <c r="L473" s="24">
        <v>16438</v>
      </c>
      <c r="M473" s="24">
        <v>40000000</v>
      </c>
      <c r="N473" s="39">
        <v>46257</v>
      </c>
    </row>
    <row r="474" spans="1:14" s="5" customFormat="1" outlineLevel="2">
      <c r="A474" s="39" t="s">
        <v>142</v>
      </c>
      <c r="B474" s="40" t="s">
        <v>35</v>
      </c>
      <c r="C474" s="41" t="s">
        <v>89</v>
      </c>
      <c r="D474" s="40" t="s">
        <v>90</v>
      </c>
      <c r="E474" s="24">
        <v>16860000</v>
      </c>
      <c r="F474" s="39">
        <v>43993</v>
      </c>
      <c r="G474" s="24">
        <v>16860000</v>
      </c>
      <c r="H474" s="23">
        <v>5.0000000000000001E-3</v>
      </c>
      <c r="I474" s="39">
        <v>44501</v>
      </c>
      <c r="J474" s="39">
        <v>44530</v>
      </c>
      <c r="K474" s="24">
        <v>30</v>
      </c>
      <c r="L474" s="24">
        <v>6929</v>
      </c>
      <c r="M474" s="24">
        <v>16860000</v>
      </c>
      <c r="N474" s="39">
        <v>45818</v>
      </c>
    </row>
    <row r="475" spans="1:14" s="5" customFormat="1" outlineLevel="2">
      <c r="A475" s="39" t="s">
        <v>142</v>
      </c>
      <c r="B475" s="40" t="s">
        <v>420</v>
      </c>
      <c r="C475" s="41" t="s">
        <v>149</v>
      </c>
      <c r="D475" s="40" t="s">
        <v>150</v>
      </c>
      <c r="E475" s="24">
        <v>78606</v>
      </c>
      <c r="F475" s="39">
        <v>44450</v>
      </c>
      <c r="G475" s="24">
        <v>78606</v>
      </c>
      <c r="H475" s="23">
        <v>5.0000000000000001E-3</v>
      </c>
      <c r="I475" s="39">
        <v>44501</v>
      </c>
      <c r="J475" s="39">
        <v>44530</v>
      </c>
      <c r="K475" s="24">
        <v>30</v>
      </c>
      <c r="L475" s="24">
        <v>32</v>
      </c>
      <c r="M475" s="24">
        <v>78606</v>
      </c>
      <c r="N475" s="39">
        <v>46275</v>
      </c>
    </row>
    <row r="476" spans="1:14" s="5" customFormat="1" outlineLevel="2">
      <c r="A476" s="39" t="s">
        <v>142</v>
      </c>
      <c r="B476" s="40" t="s">
        <v>419</v>
      </c>
      <c r="C476" s="41" t="s">
        <v>149</v>
      </c>
      <c r="D476" s="40" t="s">
        <v>150</v>
      </c>
      <c r="E476" s="24">
        <v>160332</v>
      </c>
      <c r="F476" s="39">
        <v>44454</v>
      </c>
      <c r="G476" s="24">
        <v>160332</v>
      </c>
      <c r="H476" s="23">
        <v>5.0000000000000001E-3</v>
      </c>
      <c r="I476" s="39">
        <v>44501</v>
      </c>
      <c r="J476" s="39">
        <v>44530</v>
      </c>
      <c r="K476" s="24">
        <v>30</v>
      </c>
      <c r="L476" s="24">
        <v>66</v>
      </c>
      <c r="M476" s="24">
        <v>160332</v>
      </c>
      <c r="N476" s="39">
        <v>46279</v>
      </c>
    </row>
    <row r="477" spans="1:14" s="5" customFormat="1" outlineLevel="2">
      <c r="A477" s="39" t="s">
        <v>142</v>
      </c>
      <c r="B477" s="40" t="s">
        <v>418</v>
      </c>
      <c r="C477" s="41" t="s">
        <v>149</v>
      </c>
      <c r="D477" s="40" t="s">
        <v>150</v>
      </c>
      <c r="E477" s="24">
        <v>2016000</v>
      </c>
      <c r="F477" s="39">
        <v>44463</v>
      </c>
      <c r="G477" s="24">
        <v>2016000</v>
      </c>
      <c r="H477" s="23">
        <v>5.0000000000000001E-3</v>
      </c>
      <c r="I477" s="39">
        <v>44501</v>
      </c>
      <c r="J477" s="39">
        <v>44530</v>
      </c>
      <c r="K477" s="24">
        <v>30</v>
      </c>
      <c r="L477" s="24">
        <v>828</v>
      </c>
      <c r="M477" s="24">
        <v>2016000</v>
      </c>
      <c r="N477" s="39">
        <v>46288</v>
      </c>
    </row>
    <row r="478" spans="1:14" s="5" customFormat="1" outlineLevel="2">
      <c r="A478" s="39" t="s">
        <v>142</v>
      </c>
      <c r="B478" s="40" t="s">
        <v>417</v>
      </c>
      <c r="C478" s="41" t="s">
        <v>219</v>
      </c>
      <c r="D478" s="40" t="s">
        <v>220</v>
      </c>
      <c r="E478" s="24">
        <v>40000000</v>
      </c>
      <c r="F478" s="39">
        <v>44462</v>
      </c>
      <c r="G478" s="24">
        <v>40000000</v>
      </c>
      <c r="H478" s="23">
        <v>5.0000000000000001E-3</v>
      </c>
      <c r="I478" s="39">
        <v>44501</v>
      </c>
      <c r="J478" s="39">
        <v>44530</v>
      </c>
      <c r="K478" s="24">
        <v>30</v>
      </c>
      <c r="L478" s="24">
        <v>16438</v>
      </c>
      <c r="M478" s="24">
        <v>40000000</v>
      </c>
      <c r="N478" s="39">
        <v>46287</v>
      </c>
    </row>
    <row r="479" spans="1:14" s="5" customFormat="1" outlineLevel="2">
      <c r="A479" s="39" t="s">
        <v>142</v>
      </c>
      <c r="B479" s="40" t="s">
        <v>416</v>
      </c>
      <c r="C479" s="41" t="s">
        <v>87</v>
      </c>
      <c r="D479" s="40" t="s">
        <v>88</v>
      </c>
      <c r="E479" s="24">
        <v>22231681</v>
      </c>
      <c r="F479" s="39">
        <v>44466</v>
      </c>
      <c r="G479" s="24">
        <v>22231681</v>
      </c>
      <c r="H479" s="23">
        <v>5.0000000000000001E-3</v>
      </c>
      <c r="I479" s="39">
        <v>44501</v>
      </c>
      <c r="J479" s="39">
        <v>44530</v>
      </c>
      <c r="K479" s="24">
        <v>30</v>
      </c>
      <c r="L479" s="24">
        <v>9136</v>
      </c>
      <c r="M479" s="24">
        <v>22231681</v>
      </c>
      <c r="N479" s="39">
        <v>46291</v>
      </c>
    </row>
    <row r="480" spans="1:14" s="5" customFormat="1" outlineLevel="2">
      <c r="A480" s="39" t="s">
        <v>142</v>
      </c>
      <c r="B480" s="40" t="s">
        <v>415</v>
      </c>
      <c r="C480" s="41" t="s">
        <v>165</v>
      </c>
      <c r="D480" s="40" t="s">
        <v>166</v>
      </c>
      <c r="E480" s="24">
        <v>8010000</v>
      </c>
      <c r="F480" s="39">
        <v>44468</v>
      </c>
      <c r="G480" s="24">
        <v>8010000</v>
      </c>
      <c r="H480" s="23">
        <v>5.0000000000000001E-3</v>
      </c>
      <c r="I480" s="39">
        <v>44501</v>
      </c>
      <c r="J480" s="39">
        <v>44530</v>
      </c>
      <c r="K480" s="24">
        <v>30</v>
      </c>
      <c r="L480" s="24">
        <v>3292</v>
      </c>
      <c r="M480" s="24">
        <v>8010000</v>
      </c>
      <c r="N480" s="39">
        <v>45563</v>
      </c>
    </row>
    <row r="481" spans="1:14" s="5" customFormat="1" outlineLevel="2">
      <c r="A481" s="39" t="s">
        <v>142</v>
      </c>
      <c r="B481" s="40" t="s">
        <v>440</v>
      </c>
      <c r="C481" s="41" t="s">
        <v>149</v>
      </c>
      <c r="D481" s="40" t="s">
        <v>150</v>
      </c>
      <c r="E481" s="24">
        <v>3988404</v>
      </c>
      <c r="F481" s="39">
        <v>44477</v>
      </c>
      <c r="G481" s="24">
        <v>3988404</v>
      </c>
      <c r="H481" s="23">
        <v>5.0000000000000001E-3</v>
      </c>
      <c r="I481" s="39">
        <v>44501</v>
      </c>
      <c r="J481" s="39">
        <v>44530</v>
      </c>
      <c r="K481" s="24">
        <v>30</v>
      </c>
      <c r="L481" s="24">
        <v>1639</v>
      </c>
      <c r="M481" s="24">
        <v>3988404</v>
      </c>
      <c r="N481" s="39">
        <v>46302</v>
      </c>
    </row>
    <row r="482" spans="1:14" s="5" customFormat="1" outlineLevel="2">
      <c r="A482" s="39" t="s">
        <v>142</v>
      </c>
      <c r="B482" s="40" t="s">
        <v>439</v>
      </c>
      <c r="C482" s="41" t="s">
        <v>149</v>
      </c>
      <c r="D482" s="40" t="s">
        <v>150</v>
      </c>
      <c r="E482" s="24">
        <v>94885</v>
      </c>
      <c r="F482" s="39">
        <v>44498</v>
      </c>
      <c r="G482" s="24">
        <v>94885</v>
      </c>
      <c r="H482" s="23">
        <v>5.0000000000000001E-3</v>
      </c>
      <c r="I482" s="39">
        <v>44501</v>
      </c>
      <c r="J482" s="39">
        <v>44530</v>
      </c>
      <c r="K482" s="24">
        <v>30</v>
      </c>
      <c r="L482" s="24">
        <v>39</v>
      </c>
      <c r="M482" s="24">
        <v>94885</v>
      </c>
      <c r="N482" s="39">
        <v>46323</v>
      </c>
    </row>
    <row r="483" spans="1:14" s="5" customFormat="1" outlineLevel="2">
      <c r="A483" s="39" t="s">
        <v>142</v>
      </c>
      <c r="B483" s="40" t="s">
        <v>438</v>
      </c>
      <c r="C483" s="41" t="s">
        <v>149</v>
      </c>
      <c r="D483" s="40" t="s">
        <v>150</v>
      </c>
      <c r="E483" s="24">
        <v>255360</v>
      </c>
      <c r="F483" s="39">
        <v>44498</v>
      </c>
      <c r="G483" s="24">
        <v>255360</v>
      </c>
      <c r="H483" s="23">
        <v>5.0000000000000001E-3</v>
      </c>
      <c r="I483" s="39">
        <v>44501</v>
      </c>
      <c r="J483" s="39">
        <v>44530</v>
      </c>
      <c r="K483" s="24">
        <v>30</v>
      </c>
      <c r="L483" s="24">
        <v>105</v>
      </c>
      <c r="M483" s="24">
        <v>255360</v>
      </c>
      <c r="N483" s="39">
        <v>46323</v>
      </c>
    </row>
    <row r="484" spans="1:14" s="5" customFormat="1" outlineLevel="2">
      <c r="A484" s="39" t="s">
        <v>142</v>
      </c>
      <c r="B484" s="40" t="s">
        <v>437</v>
      </c>
      <c r="C484" s="41" t="s">
        <v>87</v>
      </c>
      <c r="D484" s="40" t="s">
        <v>88</v>
      </c>
      <c r="E484" s="24">
        <v>13481920</v>
      </c>
      <c r="F484" s="39">
        <v>44494</v>
      </c>
      <c r="G484" s="24">
        <v>13481920</v>
      </c>
      <c r="H484" s="23">
        <v>5.0000000000000001E-3</v>
      </c>
      <c r="I484" s="39">
        <v>44501</v>
      </c>
      <c r="J484" s="39">
        <v>44530</v>
      </c>
      <c r="K484" s="24">
        <v>30</v>
      </c>
      <c r="L484" s="24">
        <v>5541</v>
      </c>
      <c r="M484" s="24">
        <v>13481920</v>
      </c>
      <c r="N484" s="39">
        <v>46319</v>
      </c>
    </row>
    <row r="485" spans="1:14" s="5" customFormat="1" outlineLevel="2">
      <c r="A485" s="39" t="s">
        <v>142</v>
      </c>
      <c r="B485" s="40" t="s">
        <v>36</v>
      </c>
      <c r="C485" s="41" t="s">
        <v>161</v>
      </c>
      <c r="D485" s="40" t="s">
        <v>162</v>
      </c>
      <c r="E485" s="24">
        <v>240000000</v>
      </c>
      <c r="F485" s="39">
        <v>44000</v>
      </c>
      <c r="G485" s="24">
        <v>240000000</v>
      </c>
      <c r="H485" s="23">
        <v>5.0000000000000001E-3</v>
      </c>
      <c r="I485" s="39">
        <v>44501</v>
      </c>
      <c r="J485" s="39">
        <v>44530</v>
      </c>
      <c r="K485" s="24">
        <v>30</v>
      </c>
      <c r="L485" s="24">
        <v>98630</v>
      </c>
      <c r="M485" s="24">
        <v>240000000</v>
      </c>
      <c r="N485" s="39">
        <v>45825</v>
      </c>
    </row>
    <row r="486" spans="1:14" s="5" customFormat="1" outlineLevel="2">
      <c r="A486" s="39" t="s">
        <v>142</v>
      </c>
      <c r="B486" s="40" t="s">
        <v>436</v>
      </c>
      <c r="C486" s="41" t="s">
        <v>294</v>
      </c>
      <c r="D486" s="40" t="s">
        <v>295</v>
      </c>
      <c r="E486" s="24">
        <v>1000000000</v>
      </c>
      <c r="F486" s="39">
        <v>44495</v>
      </c>
      <c r="G486" s="24">
        <v>1000000000</v>
      </c>
      <c r="H486" s="23">
        <v>3.0000000000000001E-3</v>
      </c>
      <c r="I486" s="39">
        <v>44501</v>
      </c>
      <c r="J486" s="39">
        <v>44530</v>
      </c>
      <c r="K486" s="24">
        <v>30</v>
      </c>
      <c r="L486" s="24">
        <v>246575</v>
      </c>
      <c r="M486" s="24">
        <v>1000000000</v>
      </c>
      <c r="N486" s="39">
        <v>45590</v>
      </c>
    </row>
    <row r="487" spans="1:14" s="5" customFormat="1" outlineLevel="2">
      <c r="A487" s="39" t="s">
        <v>142</v>
      </c>
      <c r="B487" s="40" t="s">
        <v>435</v>
      </c>
      <c r="C487" s="41" t="s">
        <v>414</v>
      </c>
      <c r="D487" s="40" t="s">
        <v>413</v>
      </c>
      <c r="E487" s="24">
        <v>105700000</v>
      </c>
      <c r="F487" s="39">
        <v>44495</v>
      </c>
      <c r="G487" s="24">
        <v>105700000</v>
      </c>
      <c r="H487" s="23">
        <v>5.0000000000000001E-3</v>
      </c>
      <c r="I487" s="39">
        <v>44501</v>
      </c>
      <c r="J487" s="39">
        <v>44530</v>
      </c>
      <c r="K487" s="24">
        <v>30</v>
      </c>
      <c r="L487" s="24">
        <v>43438</v>
      </c>
      <c r="M487" s="24">
        <v>105700000</v>
      </c>
      <c r="N487" s="39">
        <v>45590</v>
      </c>
    </row>
    <row r="488" spans="1:14" s="5" customFormat="1" outlineLevel="2">
      <c r="A488" s="39" t="s">
        <v>142</v>
      </c>
      <c r="B488" s="40" t="s">
        <v>434</v>
      </c>
      <c r="C488" s="41" t="s">
        <v>97</v>
      </c>
      <c r="D488" s="40" t="s">
        <v>98</v>
      </c>
      <c r="E488" s="24">
        <v>102800000</v>
      </c>
      <c r="F488" s="39">
        <v>44497</v>
      </c>
      <c r="G488" s="24">
        <v>102800000</v>
      </c>
      <c r="H488" s="23">
        <v>5.0000000000000001E-3</v>
      </c>
      <c r="I488" s="39">
        <v>44501</v>
      </c>
      <c r="J488" s="39">
        <v>44530</v>
      </c>
      <c r="K488" s="24">
        <v>30</v>
      </c>
      <c r="L488" s="24">
        <v>42247</v>
      </c>
      <c r="M488" s="24">
        <v>102800000</v>
      </c>
      <c r="N488" s="39">
        <v>46322</v>
      </c>
    </row>
    <row r="489" spans="1:14" s="5" customFormat="1" outlineLevel="2">
      <c r="A489" s="39" t="s">
        <v>142</v>
      </c>
      <c r="B489" s="40" t="s">
        <v>433</v>
      </c>
      <c r="C489" s="41" t="s">
        <v>432</v>
      </c>
      <c r="D489" s="40" t="s">
        <v>431</v>
      </c>
      <c r="E489" s="24">
        <v>110000000</v>
      </c>
      <c r="F489" s="39">
        <v>44497</v>
      </c>
      <c r="G489" s="24">
        <v>110000000</v>
      </c>
      <c r="H489" s="23">
        <v>5.0000000000000001E-3</v>
      </c>
      <c r="I489" s="39">
        <v>44501</v>
      </c>
      <c r="J489" s="39">
        <v>44530</v>
      </c>
      <c r="K489" s="24">
        <v>30</v>
      </c>
      <c r="L489" s="24">
        <v>45205</v>
      </c>
      <c r="M489" s="24">
        <v>110000000</v>
      </c>
      <c r="N489" s="39">
        <v>45592</v>
      </c>
    </row>
    <row r="490" spans="1:14" s="5" customFormat="1" outlineLevel="2">
      <c r="A490" s="39" t="s">
        <v>142</v>
      </c>
      <c r="B490" s="40" t="s">
        <v>458</v>
      </c>
      <c r="C490" s="41" t="s">
        <v>89</v>
      </c>
      <c r="D490" s="40" t="s">
        <v>90</v>
      </c>
      <c r="E490" s="24">
        <v>1000000</v>
      </c>
      <c r="F490" s="39">
        <v>44505</v>
      </c>
      <c r="G490" s="24">
        <v>1000000</v>
      </c>
      <c r="H490" s="23">
        <v>5.0000000000000001E-3</v>
      </c>
      <c r="I490" s="39">
        <v>44505</v>
      </c>
      <c r="J490" s="39">
        <v>44530</v>
      </c>
      <c r="K490" s="24">
        <v>26</v>
      </c>
      <c r="L490" s="24">
        <v>356</v>
      </c>
      <c r="M490" s="24">
        <v>1000000</v>
      </c>
      <c r="N490" s="39">
        <v>45600</v>
      </c>
    </row>
    <row r="491" spans="1:14" s="5" customFormat="1" outlineLevel="2">
      <c r="A491" s="39" t="s">
        <v>142</v>
      </c>
      <c r="B491" s="40" t="s">
        <v>457</v>
      </c>
      <c r="C491" s="41" t="s">
        <v>149</v>
      </c>
      <c r="D491" s="40" t="s">
        <v>150</v>
      </c>
      <c r="E491" s="24">
        <v>410270</v>
      </c>
      <c r="F491" s="39">
        <v>44511</v>
      </c>
      <c r="G491" s="24">
        <v>410270</v>
      </c>
      <c r="H491" s="23">
        <v>5.0000000000000001E-3</v>
      </c>
      <c r="I491" s="39">
        <v>44511</v>
      </c>
      <c r="J491" s="39">
        <v>44530</v>
      </c>
      <c r="K491" s="24">
        <v>20</v>
      </c>
      <c r="L491" s="24">
        <v>112</v>
      </c>
      <c r="M491" s="24">
        <v>410270</v>
      </c>
      <c r="N491" s="39">
        <v>46336</v>
      </c>
    </row>
    <row r="492" spans="1:14" s="5" customFormat="1" outlineLevel="2">
      <c r="A492" s="39" t="s">
        <v>142</v>
      </c>
      <c r="B492" s="40" t="s">
        <v>456</v>
      </c>
      <c r="C492" s="41" t="s">
        <v>149</v>
      </c>
      <c r="D492" s="40" t="s">
        <v>150</v>
      </c>
      <c r="E492" s="24">
        <v>840000</v>
      </c>
      <c r="F492" s="39">
        <v>44516</v>
      </c>
      <c r="G492" s="24">
        <v>840000</v>
      </c>
      <c r="H492" s="23">
        <v>5.0000000000000001E-3</v>
      </c>
      <c r="I492" s="39">
        <v>44516</v>
      </c>
      <c r="J492" s="39">
        <v>44530</v>
      </c>
      <c r="K492" s="24">
        <v>15</v>
      </c>
      <c r="L492" s="24">
        <v>173</v>
      </c>
      <c r="M492" s="24">
        <v>840000</v>
      </c>
      <c r="N492" s="39">
        <v>46341</v>
      </c>
    </row>
    <row r="493" spans="1:14" s="5" customFormat="1" outlineLevel="2">
      <c r="A493" s="39" t="s">
        <v>142</v>
      </c>
      <c r="B493" s="40" t="s">
        <v>455</v>
      </c>
      <c r="C493" s="41" t="s">
        <v>149</v>
      </c>
      <c r="D493" s="40" t="s">
        <v>150</v>
      </c>
      <c r="E493" s="24">
        <v>1290240</v>
      </c>
      <c r="F493" s="39">
        <v>44529</v>
      </c>
      <c r="G493" s="24">
        <v>1290240</v>
      </c>
      <c r="H493" s="23">
        <v>5.0000000000000001E-3</v>
      </c>
      <c r="I493" s="39">
        <v>44529</v>
      </c>
      <c r="J493" s="39">
        <v>44530</v>
      </c>
      <c r="K493" s="24">
        <v>2</v>
      </c>
      <c r="L493" s="24">
        <v>35</v>
      </c>
      <c r="M493" s="24">
        <v>1290240</v>
      </c>
      <c r="N493" s="39">
        <v>46354</v>
      </c>
    </row>
    <row r="494" spans="1:14" s="5" customFormat="1" outlineLevel="2">
      <c r="A494" s="39" t="s">
        <v>142</v>
      </c>
      <c r="B494" s="40" t="s">
        <v>454</v>
      </c>
      <c r="C494" s="41" t="s">
        <v>163</v>
      </c>
      <c r="D494" s="40" t="s">
        <v>164</v>
      </c>
      <c r="E494" s="24">
        <v>6000000</v>
      </c>
      <c r="F494" s="39">
        <v>44512</v>
      </c>
      <c r="G494" s="24">
        <v>6000000</v>
      </c>
      <c r="H494" s="23">
        <v>5.0000000000000001E-3</v>
      </c>
      <c r="I494" s="39">
        <v>44512</v>
      </c>
      <c r="J494" s="39">
        <v>44530</v>
      </c>
      <c r="K494" s="24">
        <v>19</v>
      </c>
      <c r="L494" s="24">
        <v>1562</v>
      </c>
      <c r="M494" s="24">
        <v>6000000</v>
      </c>
      <c r="N494" s="39">
        <v>46337</v>
      </c>
    </row>
    <row r="495" spans="1:14" s="5" customFormat="1" outlineLevel="2">
      <c r="A495" s="39" t="s">
        <v>142</v>
      </c>
      <c r="B495" s="40" t="s">
        <v>453</v>
      </c>
      <c r="C495" s="41" t="s">
        <v>452</v>
      </c>
      <c r="D495" s="40" t="s">
        <v>451</v>
      </c>
      <c r="E495" s="24">
        <v>60000000</v>
      </c>
      <c r="F495" s="39">
        <v>44515</v>
      </c>
      <c r="G495" s="24">
        <v>60000000</v>
      </c>
      <c r="H495" s="23">
        <v>5.0000000000000001E-3</v>
      </c>
      <c r="I495" s="39">
        <v>44515</v>
      </c>
      <c r="J495" s="39">
        <v>44530</v>
      </c>
      <c r="K495" s="24">
        <v>16</v>
      </c>
      <c r="L495" s="24">
        <v>13151</v>
      </c>
      <c r="M495" s="24">
        <v>60000000</v>
      </c>
      <c r="N495" s="39">
        <v>45610</v>
      </c>
    </row>
    <row r="496" spans="1:14" s="5" customFormat="1" outlineLevel="2">
      <c r="A496" s="39" t="s">
        <v>142</v>
      </c>
      <c r="B496" s="40" t="s">
        <v>39</v>
      </c>
      <c r="C496" s="41" t="s">
        <v>143</v>
      </c>
      <c r="D496" s="40" t="s">
        <v>144</v>
      </c>
      <c r="E496" s="24">
        <v>57000000</v>
      </c>
      <c r="F496" s="39">
        <v>43822</v>
      </c>
      <c r="G496" s="24">
        <v>57000000</v>
      </c>
      <c r="H496" s="23">
        <v>5.0000000000000001E-3</v>
      </c>
      <c r="I496" s="39">
        <v>44501</v>
      </c>
      <c r="J496" s="39">
        <v>44530</v>
      </c>
      <c r="K496" s="24">
        <v>30</v>
      </c>
      <c r="L496" s="24">
        <v>23425</v>
      </c>
      <c r="M496" s="24">
        <v>57000000</v>
      </c>
      <c r="N496" s="39">
        <v>45648</v>
      </c>
    </row>
    <row r="497" spans="1:14" s="5" customFormat="1" outlineLevel="2">
      <c r="A497" s="39" t="s">
        <v>142</v>
      </c>
      <c r="B497" s="40" t="s">
        <v>40</v>
      </c>
      <c r="C497" s="41" t="s">
        <v>123</v>
      </c>
      <c r="D497" s="40" t="s">
        <v>124</v>
      </c>
      <c r="E497" s="24">
        <v>55000000</v>
      </c>
      <c r="F497" s="39">
        <v>44001</v>
      </c>
      <c r="G497" s="24">
        <v>55000000</v>
      </c>
      <c r="H497" s="23">
        <v>5.0000000000000001E-3</v>
      </c>
      <c r="I497" s="39">
        <v>44501</v>
      </c>
      <c r="J497" s="39">
        <v>44530</v>
      </c>
      <c r="K497" s="24">
        <v>30</v>
      </c>
      <c r="L497" s="24">
        <v>22603</v>
      </c>
      <c r="M497" s="24">
        <v>55000000</v>
      </c>
      <c r="N497" s="39">
        <v>45826</v>
      </c>
    </row>
    <row r="498" spans="1:14" s="5" customFormat="1" outlineLevel="2">
      <c r="A498" s="39" t="s">
        <v>142</v>
      </c>
      <c r="B498" s="40" t="s">
        <v>41</v>
      </c>
      <c r="C498" s="41" t="s">
        <v>87</v>
      </c>
      <c r="D498" s="40" t="s">
        <v>88</v>
      </c>
      <c r="E498" s="24">
        <v>8907064</v>
      </c>
      <c r="F498" s="39">
        <v>44006</v>
      </c>
      <c r="G498" s="24">
        <v>8907064</v>
      </c>
      <c r="H498" s="23">
        <v>5.0000000000000001E-3</v>
      </c>
      <c r="I498" s="39">
        <v>44501</v>
      </c>
      <c r="J498" s="39">
        <v>44530</v>
      </c>
      <c r="K498" s="24">
        <v>30</v>
      </c>
      <c r="L498" s="24">
        <v>3660</v>
      </c>
      <c r="M498" s="24">
        <v>8907064</v>
      </c>
      <c r="N498" s="39">
        <v>45831</v>
      </c>
    </row>
    <row r="499" spans="1:14" s="5" customFormat="1" outlineLevel="2">
      <c r="A499" s="39" t="s">
        <v>142</v>
      </c>
      <c r="B499" s="40" t="s">
        <v>42</v>
      </c>
      <c r="C499" s="41" t="s">
        <v>149</v>
      </c>
      <c r="D499" s="40" t="s">
        <v>150</v>
      </c>
      <c r="E499" s="24">
        <v>7560000</v>
      </c>
      <c r="F499" s="39">
        <v>44018</v>
      </c>
      <c r="G499" s="24">
        <v>7560000</v>
      </c>
      <c r="H499" s="23">
        <v>5.0000000000000001E-3</v>
      </c>
      <c r="I499" s="39">
        <v>44501</v>
      </c>
      <c r="J499" s="39">
        <v>44530</v>
      </c>
      <c r="K499" s="24">
        <v>30</v>
      </c>
      <c r="L499" s="24">
        <v>3107</v>
      </c>
      <c r="M499" s="24">
        <v>7560000</v>
      </c>
      <c r="N499" s="39">
        <v>45843</v>
      </c>
    </row>
    <row r="500" spans="1:14" s="5" customFormat="1" outlineLevel="2">
      <c r="A500" s="39" t="s">
        <v>142</v>
      </c>
      <c r="B500" s="40" t="s">
        <v>43</v>
      </c>
      <c r="C500" s="41" t="s">
        <v>143</v>
      </c>
      <c r="D500" s="40" t="s">
        <v>144</v>
      </c>
      <c r="E500" s="24">
        <v>38000000</v>
      </c>
      <c r="F500" s="39">
        <v>44022</v>
      </c>
      <c r="G500" s="24">
        <v>38000000</v>
      </c>
      <c r="H500" s="23">
        <v>5.0000000000000001E-3</v>
      </c>
      <c r="I500" s="39">
        <v>44501</v>
      </c>
      <c r="J500" s="39">
        <v>44530</v>
      </c>
      <c r="K500" s="24">
        <v>30</v>
      </c>
      <c r="L500" s="24">
        <v>15616</v>
      </c>
      <c r="M500" s="24">
        <v>38000000</v>
      </c>
      <c r="N500" s="39">
        <v>45847</v>
      </c>
    </row>
    <row r="501" spans="1:14" s="5" customFormat="1" outlineLevel="2">
      <c r="A501" s="39" t="s">
        <v>142</v>
      </c>
      <c r="B501" s="40" t="s">
        <v>44</v>
      </c>
      <c r="C501" s="41" t="s">
        <v>143</v>
      </c>
      <c r="D501" s="40" t="s">
        <v>144</v>
      </c>
      <c r="E501" s="24">
        <v>10500000</v>
      </c>
      <c r="F501" s="39">
        <v>44022</v>
      </c>
      <c r="G501" s="24">
        <v>10500000</v>
      </c>
      <c r="H501" s="23">
        <v>5.0000000000000001E-3</v>
      </c>
      <c r="I501" s="39">
        <v>44501</v>
      </c>
      <c r="J501" s="39">
        <v>44530</v>
      </c>
      <c r="K501" s="24">
        <v>30</v>
      </c>
      <c r="L501" s="24">
        <v>4315</v>
      </c>
      <c r="M501" s="24">
        <v>10500000</v>
      </c>
      <c r="N501" s="39">
        <v>45847</v>
      </c>
    </row>
    <row r="502" spans="1:14" s="5" customFormat="1" outlineLevel="2">
      <c r="A502" s="39" t="s">
        <v>142</v>
      </c>
      <c r="B502" s="40" t="s">
        <v>47</v>
      </c>
      <c r="C502" s="41" t="s">
        <v>163</v>
      </c>
      <c r="D502" s="40" t="s">
        <v>164</v>
      </c>
      <c r="E502" s="24">
        <v>72000000</v>
      </c>
      <c r="F502" s="39">
        <v>44025</v>
      </c>
      <c r="G502" s="24">
        <v>62924370</v>
      </c>
      <c r="H502" s="23">
        <v>5.0000000000000001E-3</v>
      </c>
      <c r="I502" s="39">
        <v>44501</v>
      </c>
      <c r="J502" s="39">
        <v>44514</v>
      </c>
      <c r="K502" s="24">
        <v>14</v>
      </c>
      <c r="L502" s="24">
        <v>12068</v>
      </c>
      <c r="M502" s="24">
        <v>62319328</v>
      </c>
      <c r="N502" s="39">
        <v>45850</v>
      </c>
    </row>
    <row r="503" spans="1:14" s="5" customFormat="1" outlineLevel="2">
      <c r="A503" s="39" t="s">
        <v>142</v>
      </c>
      <c r="B503" s="40" t="s">
        <v>47</v>
      </c>
      <c r="C503" s="41" t="s">
        <v>163</v>
      </c>
      <c r="D503" s="40"/>
      <c r="E503" s="24"/>
      <c r="F503" s="39"/>
      <c r="G503" s="24">
        <v>62319328</v>
      </c>
      <c r="H503" s="23">
        <v>5.0000000000000001E-3</v>
      </c>
      <c r="I503" s="39">
        <v>44515</v>
      </c>
      <c r="J503" s="39">
        <v>44530</v>
      </c>
      <c r="K503" s="24">
        <v>16</v>
      </c>
      <c r="L503" s="24">
        <v>13659</v>
      </c>
      <c r="M503" s="24"/>
      <c r="N503" s="39">
        <v>45850</v>
      </c>
    </row>
    <row r="504" spans="1:14" s="5" customFormat="1" outlineLevel="2">
      <c r="A504" s="39" t="s">
        <v>142</v>
      </c>
      <c r="B504" s="40" t="s">
        <v>50</v>
      </c>
      <c r="C504" s="41" t="s">
        <v>97</v>
      </c>
      <c r="D504" s="40" t="s">
        <v>98</v>
      </c>
      <c r="E504" s="24">
        <v>87500000</v>
      </c>
      <c r="F504" s="39">
        <v>44027</v>
      </c>
      <c r="G504" s="24">
        <v>87500000</v>
      </c>
      <c r="H504" s="23">
        <v>5.0000000000000001E-3</v>
      </c>
      <c r="I504" s="39">
        <v>44501</v>
      </c>
      <c r="J504" s="39">
        <v>44530</v>
      </c>
      <c r="K504" s="24">
        <v>30</v>
      </c>
      <c r="L504" s="24">
        <v>35959</v>
      </c>
      <c r="M504" s="24">
        <v>87500000</v>
      </c>
      <c r="N504" s="39">
        <v>45852</v>
      </c>
    </row>
    <row r="505" spans="1:14" s="5" customFormat="1" outlineLevel="2">
      <c r="A505" s="39" t="s">
        <v>142</v>
      </c>
      <c r="B505" s="40" t="s">
        <v>51</v>
      </c>
      <c r="C505" s="41" t="s">
        <v>165</v>
      </c>
      <c r="D505" s="40" t="s">
        <v>166</v>
      </c>
      <c r="E505" s="24">
        <v>84000000</v>
      </c>
      <c r="F505" s="39">
        <v>44027</v>
      </c>
      <c r="G505" s="24">
        <v>73500000</v>
      </c>
      <c r="H505" s="23">
        <v>5.0000000000000001E-3</v>
      </c>
      <c r="I505" s="39">
        <v>44501</v>
      </c>
      <c r="J505" s="39">
        <v>44514</v>
      </c>
      <c r="K505" s="24">
        <v>14</v>
      </c>
      <c r="L505" s="24">
        <v>14096</v>
      </c>
      <c r="M505" s="24">
        <v>70000000</v>
      </c>
      <c r="N505" s="39">
        <v>45121</v>
      </c>
    </row>
    <row r="506" spans="1:14" s="5" customFormat="1" outlineLevel="2">
      <c r="A506" s="39" t="s">
        <v>142</v>
      </c>
      <c r="B506" s="40" t="s">
        <v>51</v>
      </c>
      <c r="C506" s="41" t="s">
        <v>165</v>
      </c>
      <c r="D506" s="40"/>
      <c r="E506" s="24"/>
      <c r="F506" s="39"/>
      <c r="G506" s="24">
        <v>70000000</v>
      </c>
      <c r="H506" s="23">
        <v>5.0000000000000001E-3</v>
      </c>
      <c r="I506" s="39">
        <v>44515</v>
      </c>
      <c r="J506" s="39">
        <v>44530</v>
      </c>
      <c r="K506" s="24">
        <v>16</v>
      </c>
      <c r="L506" s="24">
        <v>15342</v>
      </c>
      <c r="M506" s="24"/>
      <c r="N506" s="39">
        <v>45121</v>
      </c>
    </row>
    <row r="507" spans="1:14" s="5" customFormat="1" outlineLevel="2">
      <c r="A507" s="39" t="s">
        <v>142</v>
      </c>
      <c r="B507" s="40" t="s">
        <v>52</v>
      </c>
      <c r="C507" s="41" t="s">
        <v>30</v>
      </c>
      <c r="D507" s="40" t="s">
        <v>31</v>
      </c>
      <c r="E507" s="24">
        <v>12230000</v>
      </c>
      <c r="F507" s="39">
        <v>44034</v>
      </c>
      <c r="G507" s="24">
        <v>12230000</v>
      </c>
      <c r="H507" s="23">
        <v>5.0000000000000001E-3</v>
      </c>
      <c r="I507" s="39">
        <v>44501</v>
      </c>
      <c r="J507" s="39">
        <v>44530</v>
      </c>
      <c r="K507" s="24">
        <v>30</v>
      </c>
      <c r="L507" s="24">
        <v>5026</v>
      </c>
      <c r="M507" s="24">
        <v>12230000</v>
      </c>
      <c r="N507" s="39">
        <v>45859</v>
      </c>
    </row>
    <row r="508" spans="1:14" s="5" customFormat="1" outlineLevel="2">
      <c r="A508" s="39" t="s">
        <v>142</v>
      </c>
      <c r="B508" s="40" t="s">
        <v>53</v>
      </c>
      <c r="C508" s="41" t="s">
        <v>123</v>
      </c>
      <c r="D508" s="40" t="s">
        <v>124</v>
      </c>
      <c r="E508" s="24">
        <v>40000000</v>
      </c>
      <c r="F508" s="39">
        <v>44040</v>
      </c>
      <c r="G508" s="24">
        <v>40000000</v>
      </c>
      <c r="H508" s="23">
        <v>5.0000000000000001E-3</v>
      </c>
      <c r="I508" s="39">
        <v>44501</v>
      </c>
      <c r="J508" s="39">
        <v>44530</v>
      </c>
      <c r="K508" s="24">
        <v>30</v>
      </c>
      <c r="L508" s="24">
        <v>16438</v>
      </c>
      <c r="M508" s="24">
        <v>40000000</v>
      </c>
      <c r="N508" s="39">
        <v>45865</v>
      </c>
    </row>
    <row r="509" spans="1:14" s="5" customFormat="1" outlineLevel="2">
      <c r="A509" s="39" t="s">
        <v>142</v>
      </c>
      <c r="B509" s="40" t="s">
        <v>54</v>
      </c>
      <c r="C509" s="41" t="s">
        <v>121</v>
      </c>
      <c r="D509" s="40" t="s">
        <v>122</v>
      </c>
      <c r="E509" s="24">
        <v>171000000</v>
      </c>
      <c r="F509" s="39">
        <v>43822</v>
      </c>
      <c r="G509" s="24">
        <v>171000000</v>
      </c>
      <c r="H509" s="23">
        <v>5.0000000000000001E-3</v>
      </c>
      <c r="I509" s="39">
        <v>44501</v>
      </c>
      <c r="J509" s="39">
        <v>44530</v>
      </c>
      <c r="K509" s="24">
        <v>30</v>
      </c>
      <c r="L509" s="24">
        <v>70274</v>
      </c>
      <c r="M509" s="24">
        <v>171000000</v>
      </c>
      <c r="N509" s="39">
        <v>45648</v>
      </c>
    </row>
    <row r="510" spans="1:14" s="5" customFormat="1" outlineLevel="2">
      <c r="A510" s="39" t="s">
        <v>142</v>
      </c>
      <c r="B510" s="40" t="s">
        <v>57</v>
      </c>
      <c r="C510" s="41" t="s">
        <v>167</v>
      </c>
      <c r="D510" s="40" t="s">
        <v>168</v>
      </c>
      <c r="E510" s="24">
        <v>18000000</v>
      </c>
      <c r="F510" s="39">
        <v>44043</v>
      </c>
      <c r="G510" s="24">
        <v>16875000</v>
      </c>
      <c r="H510" s="23">
        <v>5.0000000000000001E-3</v>
      </c>
      <c r="I510" s="39">
        <v>44501</v>
      </c>
      <c r="J510" s="39">
        <v>44514</v>
      </c>
      <c r="K510" s="24">
        <v>14</v>
      </c>
      <c r="L510" s="24">
        <v>3236</v>
      </c>
      <c r="M510" s="24">
        <v>16500000</v>
      </c>
      <c r="N510" s="39">
        <v>45868</v>
      </c>
    </row>
    <row r="511" spans="1:14" s="5" customFormat="1" outlineLevel="2">
      <c r="A511" s="39" t="s">
        <v>142</v>
      </c>
      <c r="B511" s="40" t="s">
        <v>57</v>
      </c>
      <c r="C511" s="41" t="s">
        <v>167</v>
      </c>
      <c r="D511" s="40"/>
      <c r="E511" s="24"/>
      <c r="F511" s="39"/>
      <c r="G511" s="24">
        <v>16500000</v>
      </c>
      <c r="H511" s="23">
        <v>5.0000000000000001E-3</v>
      </c>
      <c r="I511" s="39">
        <v>44515</v>
      </c>
      <c r="J511" s="39">
        <v>44530</v>
      </c>
      <c r="K511" s="24">
        <v>16</v>
      </c>
      <c r="L511" s="24">
        <v>3616</v>
      </c>
      <c r="M511" s="24"/>
      <c r="N511" s="39">
        <v>45868</v>
      </c>
    </row>
    <row r="512" spans="1:14" s="5" customFormat="1" outlineLevel="2">
      <c r="A512" s="39" t="s">
        <v>142</v>
      </c>
      <c r="B512" s="40" t="s">
        <v>58</v>
      </c>
      <c r="C512" s="41" t="s">
        <v>167</v>
      </c>
      <c r="D512" s="40" t="s">
        <v>168</v>
      </c>
      <c r="E512" s="24">
        <v>21000000</v>
      </c>
      <c r="F512" s="39">
        <v>44043</v>
      </c>
      <c r="G512" s="24">
        <v>19687500</v>
      </c>
      <c r="H512" s="23">
        <v>5.0000000000000001E-3</v>
      </c>
      <c r="I512" s="39">
        <v>44501</v>
      </c>
      <c r="J512" s="39">
        <v>44514</v>
      </c>
      <c r="K512" s="24">
        <v>14</v>
      </c>
      <c r="L512" s="24">
        <v>3776</v>
      </c>
      <c r="M512" s="24">
        <v>19250000</v>
      </c>
      <c r="N512" s="39">
        <v>45868</v>
      </c>
    </row>
    <row r="513" spans="1:14" s="5" customFormat="1" outlineLevel="2">
      <c r="A513" s="39" t="s">
        <v>142</v>
      </c>
      <c r="B513" s="40" t="s">
        <v>58</v>
      </c>
      <c r="C513" s="41" t="s">
        <v>167</v>
      </c>
      <c r="D513" s="40"/>
      <c r="E513" s="24"/>
      <c r="F513" s="39"/>
      <c r="G513" s="24">
        <v>19250000</v>
      </c>
      <c r="H513" s="23">
        <v>5.0000000000000001E-3</v>
      </c>
      <c r="I513" s="39">
        <v>44515</v>
      </c>
      <c r="J513" s="39">
        <v>44530</v>
      </c>
      <c r="K513" s="24">
        <v>16</v>
      </c>
      <c r="L513" s="24">
        <v>4219</v>
      </c>
      <c r="M513" s="24"/>
      <c r="N513" s="39">
        <v>45868</v>
      </c>
    </row>
    <row r="514" spans="1:14" s="5" customFormat="1" outlineLevel="2">
      <c r="A514" s="39" t="s">
        <v>142</v>
      </c>
      <c r="B514" s="40" t="s">
        <v>99</v>
      </c>
      <c r="C514" s="41" t="s">
        <v>167</v>
      </c>
      <c r="D514" s="40" t="s">
        <v>168</v>
      </c>
      <c r="E514" s="24">
        <v>13600000</v>
      </c>
      <c r="F514" s="39">
        <v>44043</v>
      </c>
      <c r="G514" s="24">
        <v>12750001</v>
      </c>
      <c r="H514" s="23">
        <v>5.0000000000000001E-3</v>
      </c>
      <c r="I514" s="39">
        <v>44501</v>
      </c>
      <c r="J514" s="39">
        <v>44514</v>
      </c>
      <c r="K514" s="24">
        <v>14</v>
      </c>
      <c r="L514" s="24">
        <v>2445</v>
      </c>
      <c r="M514" s="24">
        <v>12466668</v>
      </c>
      <c r="N514" s="39">
        <v>45868</v>
      </c>
    </row>
    <row r="515" spans="1:14" s="5" customFormat="1" outlineLevel="2">
      <c r="A515" s="39" t="s">
        <v>142</v>
      </c>
      <c r="B515" s="40" t="s">
        <v>99</v>
      </c>
      <c r="C515" s="41" t="s">
        <v>167</v>
      </c>
      <c r="D515" s="40"/>
      <c r="E515" s="24"/>
      <c r="F515" s="39"/>
      <c r="G515" s="24">
        <v>12466668</v>
      </c>
      <c r="H515" s="23">
        <v>5.0000000000000001E-3</v>
      </c>
      <c r="I515" s="39">
        <v>44515</v>
      </c>
      <c r="J515" s="39">
        <v>44530</v>
      </c>
      <c r="K515" s="24">
        <v>16</v>
      </c>
      <c r="L515" s="24">
        <v>2732</v>
      </c>
      <c r="M515" s="24"/>
      <c r="N515" s="39">
        <v>45868</v>
      </c>
    </row>
    <row r="516" spans="1:14" s="5" customFormat="1" outlineLevel="2">
      <c r="A516" s="39" t="s">
        <v>142</v>
      </c>
      <c r="B516" s="40" t="s">
        <v>100</v>
      </c>
      <c r="C516" s="41" t="s">
        <v>143</v>
      </c>
      <c r="D516" s="40" t="s">
        <v>144</v>
      </c>
      <c r="E516" s="24">
        <v>28000000</v>
      </c>
      <c r="F516" s="39">
        <v>44046</v>
      </c>
      <c r="G516" s="24">
        <v>28000000</v>
      </c>
      <c r="H516" s="23">
        <v>5.0000000000000001E-3</v>
      </c>
      <c r="I516" s="39">
        <v>44501</v>
      </c>
      <c r="J516" s="39">
        <v>44530</v>
      </c>
      <c r="K516" s="24">
        <v>30</v>
      </c>
      <c r="L516" s="24">
        <v>11507</v>
      </c>
      <c r="M516" s="24">
        <v>28000000</v>
      </c>
      <c r="N516" s="39">
        <v>45871</v>
      </c>
    </row>
    <row r="517" spans="1:14" s="5" customFormat="1" outlineLevel="2">
      <c r="A517" s="39" t="s">
        <v>142</v>
      </c>
      <c r="B517" s="40" t="s">
        <v>101</v>
      </c>
      <c r="C517" s="41" t="s">
        <v>143</v>
      </c>
      <c r="D517" s="40" t="s">
        <v>144</v>
      </c>
      <c r="E517" s="24">
        <v>2700000</v>
      </c>
      <c r="F517" s="39">
        <v>44056</v>
      </c>
      <c r="G517" s="24">
        <v>2700000</v>
      </c>
      <c r="H517" s="23">
        <v>5.0000000000000001E-3</v>
      </c>
      <c r="I517" s="39">
        <v>44501</v>
      </c>
      <c r="J517" s="39">
        <v>44530</v>
      </c>
      <c r="K517" s="24">
        <v>30</v>
      </c>
      <c r="L517" s="24">
        <v>1110</v>
      </c>
      <c r="M517" s="24">
        <v>2700000</v>
      </c>
      <c r="N517" s="39">
        <v>45881</v>
      </c>
    </row>
    <row r="518" spans="1:14" s="5" customFormat="1" outlineLevel="2">
      <c r="A518" s="39" t="s">
        <v>142</v>
      </c>
      <c r="B518" s="40" t="s">
        <v>102</v>
      </c>
      <c r="C518" s="41" t="s">
        <v>143</v>
      </c>
      <c r="D518" s="40" t="s">
        <v>144</v>
      </c>
      <c r="E518" s="24">
        <v>29500000</v>
      </c>
      <c r="F518" s="39">
        <v>44074</v>
      </c>
      <c r="G518" s="24">
        <v>29500000</v>
      </c>
      <c r="H518" s="23">
        <v>5.0000000000000001E-3</v>
      </c>
      <c r="I518" s="39">
        <v>44501</v>
      </c>
      <c r="J518" s="39">
        <v>44530</v>
      </c>
      <c r="K518" s="24">
        <v>30</v>
      </c>
      <c r="L518" s="24">
        <v>12123</v>
      </c>
      <c r="M518" s="24">
        <v>29500000</v>
      </c>
      <c r="N518" s="39">
        <v>45899</v>
      </c>
    </row>
    <row r="519" spans="1:14" s="5" customFormat="1" outlineLevel="2">
      <c r="A519" s="39" t="s">
        <v>142</v>
      </c>
      <c r="B519" s="40" t="s">
        <v>103</v>
      </c>
      <c r="C519" s="41" t="s">
        <v>79</v>
      </c>
      <c r="D519" s="40" t="s">
        <v>80</v>
      </c>
      <c r="E519" s="24">
        <v>120000000</v>
      </c>
      <c r="F519" s="39">
        <v>44046</v>
      </c>
      <c r="G519" s="24">
        <v>120000000</v>
      </c>
      <c r="H519" s="23">
        <v>5.0000000000000001E-3</v>
      </c>
      <c r="I519" s="39">
        <v>44501</v>
      </c>
      <c r="J519" s="39">
        <v>44530</v>
      </c>
      <c r="K519" s="24">
        <v>30</v>
      </c>
      <c r="L519" s="24">
        <v>49315</v>
      </c>
      <c r="M519" s="24">
        <v>120000000</v>
      </c>
      <c r="N519" s="39">
        <v>45871</v>
      </c>
    </row>
    <row r="520" spans="1:14" s="5" customFormat="1" outlineLevel="2">
      <c r="A520" s="39" t="s">
        <v>142</v>
      </c>
      <c r="B520" s="40" t="s">
        <v>104</v>
      </c>
      <c r="C520" s="41" t="s">
        <v>149</v>
      </c>
      <c r="D520" s="40" t="s">
        <v>150</v>
      </c>
      <c r="E520" s="24">
        <v>8736000</v>
      </c>
      <c r="F520" s="39">
        <v>44047</v>
      </c>
      <c r="G520" s="24">
        <v>8736000</v>
      </c>
      <c r="H520" s="23">
        <v>5.0000000000000001E-3</v>
      </c>
      <c r="I520" s="39">
        <v>44501</v>
      </c>
      <c r="J520" s="39">
        <v>44530</v>
      </c>
      <c r="K520" s="24">
        <v>30</v>
      </c>
      <c r="L520" s="24">
        <v>3590</v>
      </c>
      <c r="M520" s="24">
        <v>8736000</v>
      </c>
      <c r="N520" s="39">
        <v>45872</v>
      </c>
    </row>
    <row r="521" spans="1:14" s="5" customFormat="1" outlineLevel="2">
      <c r="A521" s="39" t="s">
        <v>142</v>
      </c>
      <c r="B521" s="40" t="s">
        <v>105</v>
      </c>
      <c r="C521" s="41" t="s">
        <v>149</v>
      </c>
      <c r="D521" s="40" t="s">
        <v>150</v>
      </c>
      <c r="E521" s="24">
        <v>8988000</v>
      </c>
      <c r="F521" s="39">
        <v>44067</v>
      </c>
      <c r="G521" s="24">
        <v>8988000</v>
      </c>
      <c r="H521" s="23">
        <v>5.0000000000000001E-3</v>
      </c>
      <c r="I521" s="39">
        <v>44501</v>
      </c>
      <c r="J521" s="39">
        <v>44530</v>
      </c>
      <c r="K521" s="24">
        <v>30</v>
      </c>
      <c r="L521" s="24">
        <v>3694</v>
      </c>
      <c r="M521" s="24">
        <v>8988000</v>
      </c>
      <c r="N521" s="39">
        <v>45892</v>
      </c>
    </row>
    <row r="522" spans="1:14" s="5" customFormat="1" outlineLevel="2">
      <c r="A522" s="39" t="s">
        <v>142</v>
      </c>
      <c r="B522" s="40" t="s">
        <v>106</v>
      </c>
      <c r="C522" s="41" t="s">
        <v>149</v>
      </c>
      <c r="D522" s="40" t="s">
        <v>150</v>
      </c>
      <c r="E522" s="24">
        <v>34608000</v>
      </c>
      <c r="F522" s="39">
        <v>44070</v>
      </c>
      <c r="G522" s="24">
        <v>34608000</v>
      </c>
      <c r="H522" s="23">
        <v>5.0000000000000001E-3</v>
      </c>
      <c r="I522" s="39">
        <v>44501</v>
      </c>
      <c r="J522" s="39">
        <v>44530</v>
      </c>
      <c r="K522" s="24">
        <v>30</v>
      </c>
      <c r="L522" s="24">
        <v>14222</v>
      </c>
      <c r="M522" s="24">
        <v>34608000</v>
      </c>
      <c r="N522" s="39">
        <v>45895</v>
      </c>
    </row>
    <row r="523" spans="1:14" s="5" customFormat="1" outlineLevel="2">
      <c r="A523" s="39" t="s">
        <v>142</v>
      </c>
      <c r="B523" s="40" t="s">
        <v>59</v>
      </c>
      <c r="C523" s="41" t="s">
        <v>143</v>
      </c>
      <c r="D523" s="40" t="s">
        <v>144</v>
      </c>
      <c r="E523" s="24">
        <v>38000000</v>
      </c>
      <c r="F523" s="39">
        <v>43850</v>
      </c>
      <c r="G523" s="24">
        <v>38000000</v>
      </c>
      <c r="H523" s="23">
        <v>5.0000000000000001E-3</v>
      </c>
      <c r="I523" s="39">
        <v>44501</v>
      </c>
      <c r="J523" s="39">
        <v>44530</v>
      </c>
      <c r="K523" s="24">
        <v>30</v>
      </c>
      <c r="L523" s="24">
        <v>15616</v>
      </c>
      <c r="M523" s="24">
        <v>38000000</v>
      </c>
      <c r="N523" s="39">
        <v>45676</v>
      </c>
    </row>
    <row r="524" spans="1:14" s="5" customFormat="1" outlineLevel="2">
      <c r="A524" s="39" t="s">
        <v>142</v>
      </c>
      <c r="B524" s="40" t="s">
        <v>136</v>
      </c>
      <c r="C524" s="41" t="s">
        <v>146</v>
      </c>
      <c r="D524" s="40" t="s">
        <v>147</v>
      </c>
      <c r="E524" s="24">
        <v>13000000</v>
      </c>
      <c r="F524" s="39">
        <v>44047</v>
      </c>
      <c r="G524" s="24">
        <v>13000000</v>
      </c>
      <c r="H524" s="23">
        <v>5.0000000000000001E-3</v>
      </c>
      <c r="I524" s="39">
        <v>44501</v>
      </c>
      <c r="J524" s="39">
        <v>44530</v>
      </c>
      <c r="K524" s="24">
        <v>30</v>
      </c>
      <c r="L524" s="24">
        <v>5342</v>
      </c>
      <c r="M524" s="24">
        <v>13000000</v>
      </c>
      <c r="N524" s="39">
        <v>45872</v>
      </c>
    </row>
    <row r="525" spans="1:14" s="5" customFormat="1" outlineLevel="2">
      <c r="A525" s="39" t="s">
        <v>142</v>
      </c>
      <c r="B525" s="40" t="s">
        <v>137</v>
      </c>
      <c r="C525" s="41" t="s">
        <v>146</v>
      </c>
      <c r="D525" s="40" t="s">
        <v>147</v>
      </c>
      <c r="E525" s="24">
        <v>5000000</v>
      </c>
      <c r="F525" s="39">
        <v>44053</v>
      </c>
      <c r="G525" s="24">
        <v>5000000</v>
      </c>
      <c r="H525" s="23">
        <v>5.0000000000000001E-3</v>
      </c>
      <c r="I525" s="39">
        <v>44501</v>
      </c>
      <c r="J525" s="39">
        <v>44530</v>
      </c>
      <c r="K525" s="24">
        <v>30</v>
      </c>
      <c r="L525" s="24">
        <v>2055</v>
      </c>
      <c r="M525" s="24">
        <v>5000000</v>
      </c>
      <c r="N525" s="39">
        <v>45878</v>
      </c>
    </row>
    <row r="526" spans="1:14" s="5" customFormat="1" outlineLevel="2">
      <c r="A526" s="39" t="s">
        <v>142</v>
      </c>
      <c r="B526" s="40" t="s">
        <v>138</v>
      </c>
      <c r="C526" s="41" t="s">
        <v>163</v>
      </c>
      <c r="D526" s="40" t="s">
        <v>164</v>
      </c>
      <c r="E526" s="24">
        <v>5300000</v>
      </c>
      <c r="F526" s="39">
        <v>44050</v>
      </c>
      <c r="G526" s="24">
        <v>4671190</v>
      </c>
      <c r="H526" s="23">
        <v>5.0000000000000001E-3</v>
      </c>
      <c r="I526" s="39">
        <v>44501</v>
      </c>
      <c r="J526" s="39">
        <v>44514</v>
      </c>
      <c r="K526" s="24">
        <v>14</v>
      </c>
      <c r="L526" s="24">
        <v>896</v>
      </c>
      <c r="M526" s="24">
        <v>4626275</v>
      </c>
      <c r="N526" s="39">
        <v>45875</v>
      </c>
    </row>
    <row r="527" spans="1:14" s="5" customFormat="1" outlineLevel="2">
      <c r="A527" s="39" t="s">
        <v>142</v>
      </c>
      <c r="B527" s="40" t="s">
        <v>138</v>
      </c>
      <c r="C527" s="41" t="s">
        <v>163</v>
      </c>
      <c r="D527" s="40"/>
      <c r="E527" s="24"/>
      <c r="F527" s="39"/>
      <c r="G527" s="24">
        <v>4626275</v>
      </c>
      <c r="H527" s="23">
        <v>5.0000000000000001E-3</v>
      </c>
      <c r="I527" s="39">
        <v>44515</v>
      </c>
      <c r="J527" s="39">
        <v>44530</v>
      </c>
      <c r="K527" s="24">
        <v>16</v>
      </c>
      <c r="L527" s="24">
        <v>1014</v>
      </c>
      <c r="M527" s="24"/>
      <c r="N527" s="39">
        <v>45875</v>
      </c>
    </row>
    <row r="528" spans="1:14" s="5" customFormat="1" outlineLevel="2">
      <c r="A528" s="39" t="s">
        <v>142</v>
      </c>
      <c r="B528" s="40" t="s">
        <v>139</v>
      </c>
      <c r="C528" s="41" t="s">
        <v>117</v>
      </c>
      <c r="D528" s="40" t="s">
        <v>118</v>
      </c>
      <c r="E528" s="24">
        <v>40000000</v>
      </c>
      <c r="F528" s="39">
        <v>44060</v>
      </c>
      <c r="G528" s="24">
        <v>40000000</v>
      </c>
      <c r="H528" s="23">
        <v>5.0000000000000001E-3</v>
      </c>
      <c r="I528" s="39">
        <v>44501</v>
      </c>
      <c r="J528" s="39">
        <v>44530</v>
      </c>
      <c r="K528" s="24">
        <v>30</v>
      </c>
      <c r="L528" s="24">
        <v>16438</v>
      </c>
      <c r="M528" s="24">
        <v>40000000</v>
      </c>
      <c r="N528" s="39">
        <v>45885</v>
      </c>
    </row>
    <row r="529" spans="1:14" s="5" customFormat="1" outlineLevel="2">
      <c r="A529" s="39" t="s">
        <v>142</v>
      </c>
      <c r="B529" s="40" t="s">
        <v>140</v>
      </c>
      <c r="C529" s="41" t="s">
        <v>45</v>
      </c>
      <c r="D529" s="40" t="s">
        <v>46</v>
      </c>
      <c r="E529" s="24">
        <v>10000000</v>
      </c>
      <c r="F529" s="39">
        <v>44067</v>
      </c>
      <c r="G529" s="24">
        <v>10000000</v>
      </c>
      <c r="H529" s="23">
        <v>5.0000000000000001E-3</v>
      </c>
      <c r="I529" s="39">
        <v>44501</v>
      </c>
      <c r="J529" s="39">
        <v>44530</v>
      </c>
      <c r="K529" s="24">
        <v>30</v>
      </c>
      <c r="L529" s="24">
        <v>4110</v>
      </c>
      <c r="M529" s="24">
        <v>10000000</v>
      </c>
      <c r="N529" s="39">
        <v>45892</v>
      </c>
    </row>
    <row r="530" spans="1:14" s="5" customFormat="1" outlineLevel="2">
      <c r="A530" s="39" t="s">
        <v>142</v>
      </c>
      <c r="B530" s="40" t="s">
        <v>169</v>
      </c>
      <c r="C530" s="41" t="s">
        <v>79</v>
      </c>
      <c r="D530" s="40" t="s">
        <v>80</v>
      </c>
      <c r="E530" s="24">
        <v>125000000</v>
      </c>
      <c r="F530" s="39">
        <v>44075</v>
      </c>
      <c r="G530" s="24">
        <v>125000000</v>
      </c>
      <c r="H530" s="23">
        <v>5.0000000000000001E-3</v>
      </c>
      <c r="I530" s="39">
        <v>44501</v>
      </c>
      <c r="J530" s="39">
        <v>44530</v>
      </c>
      <c r="K530" s="24">
        <v>30</v>
      </c>
      <c r="L530" s="24">
        <v>51370</v>
      </c>
      <c r="M530" s="24">
        <v>125000000</v>
      </c>
      <c r="N530" s="39">
        <v>45900</v>
      </c>
    </row>
    <row r="531" spans="1:14" s="5" customFormat="1" outlineLevel="2">
      <c r="A531" s="39" t="s">
        <v>142</v>
      </c>
      <c r="B531" s="40" t="s">
        <v>170</v>
      </c>
      <c r="C531" s="41" t="s">
        <v>79</v>
      </c>
      <c r="D531" s="40" t="s">
        <v>80</v>
      </c>
      <c r="E531" s="24">
        <v>105000000</v>
      </c>
      <c r="F531" s="39">
        <v>44104</v>
      </c>
      <c r="G531" s="24">
        <v>105000000</v>
      </c>
      <c r="H531" s="23">
        <v>5.0000000000000001E-3</v>
      </c>
      <c r="I531" s="39">
        <v>44501</v>
      </c>
      <c r="J531" s="39">
        <v>44530</v>
      </c>
      <c r="K531" s="24">
        <v>30</v>
      </c>
      <c r="L531" s="24">
        <v>43151</v>
      </c>
      <c r="M531" s="24">
        <v>105000000</v>
      </c>
      <c r="N531" s="39">
        <v>45929</v>
      </c>
    </row>
    <row r="532" spans="1:14" s="5" customFormat="1" outlineLevel="2">
      <c r="A532" s="39" t="s">
        <v>142</v>
      </c>
      <c r="B532" s="40" t="s">
        <v>171</v>
      </c>
      <c r="C532" s="41" t="s">
        <v>146</v>
      </c>
      <c r="D532" s="40" t="s">
        <v>147</v>
      </c>
      <c r="E532" s="24">
        <v>13000000</v>
      </c>
      <c r="F532" s="39">
        <v>44077</v>
      </c>
      <c r="G532" s="24">
        <v>13000000</v>
      </c>
      <c r="H532" s="23">
        <v>5.0000000000000001E-3</v>
      </c>
      <c r="I532" s="39">
        <v>44501</v>
      </c>
      <c r="J532" s="39">
        <v>44530</v>
      </c>
      <c r="K532" s="24">
        <v>30</v>
      </c>
      <c r="L532" s="24">
        <v>5342</v>
      </c>
      <c r="M532" s="24">
        <v>13000000</v>
      </c>
      <c r="N532" s="39">
        <v>45902</v>
      </c>
    </row>
    <row r="533" spans="1:14" s="5" customFormat="1" outlineLevel="2">
      <c r="A533" s="39" t="s">
        <v>142</v>
      </c>
      <c r="B533" s="40" t="s">
        <v>172</v>
      </c>
      <c r="C533" s="41" t="s">
        <v>146</v>
      </c>
      <c r="D533" s="40" t="s">
        <v>147</v>
      </c>
      <c r="E533" s="24">
        <v>5800000</v>
      </c>
      <c r="F533" s="39">
        <v>44083</v>
      </c>
      <c r="G533" s="24">
        <v>5800000</v>
      </c>
      <c r="H533" s="23">
        <v>5.0000000000000001E-3</v>
      </c>
      <c r="I533" s="39">
        <v>44501</v>
      </c>
      <c r="J533" s="39">
        <v>44530</v>
      </c>
      <c r="K533" s="24">
        <v>30</v>
      </c>
      <c r="L533" s="24">
        <v>2384</v>
      </c>
      <c r="M533" s="24">
        <v>5800000</v>
      </c>
      <c r="N533" s="39">
        <v>45908</v>
      </c>
    </row>
    <row r="534" spans="1:14" s="5" customFormat="1" outlineLevel="2">
      <c r="A534" s="39" t="s">
        <v>142</v>
      </c>
      <c r="B534" s="40" t="s">
        <v>173</v>
      </c>
      <c r="C534" s="41" t="s">
        <v>149</v>
      </c>
      <c r="D534" s="40" t="s">
        <v>150</v>
      </c>
      <c r="E534" s="24">
        <v>4989600</v>
      </c>
      <c r="F534" s="39">
        <v>44088</v>
      </c>
      <c r="G534" s="24">
        <v>4989600</v>
      </c>
      <c r="H534" s="23">
        <v>5.0000000000000001E-3</v>
      </c>
      <c r="I534" s="39">
        <v>44501</v>
      </c>
      <c r="J534" s="39">
        <v>44530</v>
      </c>
      <c r="K534" s="24">
        <v>30</v>
      </c>
      <c r="L534" s="24">
        <v>2051</v>
      </c>
      <c r="M534" s="24">
        <v>4989600</v>
      </c>
      <c r="N534" s="39">
        <v>45913</v>
      </c>
    </row>
    <row r="535" spans="1:14" s="5" customFormat="1" outlineLevel="2">
      <c r="A535" s="39" t="s">
        <v>142</v>
      </c>
      <c r="B535" s="40" t="s">
        <v>62</v>
      </c>
      <c r="C535" s="41" t="s">
        <v>143</v>
      </c>
      <c r="D535" s="40" t="s">
        <v>144</v>
      </c>
      <c r="E535" s="24">
        <v>10000000</v>
      </c>
      <c r="F535" s="39">
        <v>43850</v>
      </c>
      <c r="G535" s="24">
        <v>10000000</v>
      </c>
      <c r="H535" s="23">
        <v>5.0000000000000001E-3</v>
      </c>
      <c r="I535" s="39">
        <v>44501</v>
      </c>
      <c r="J535" s="39">
        <v>44530</v>
      </c>
      <c r="K535" s="24">
        <v>30</v>
      </c>
      <c r="L535" s="24">
        <v>4110</v>
      </c>
      <c r="M535" s="24">
        <v>10000000</v>
      </c>
      <c r="N535" s="39">
        <v>45676</v>
      </c>
    </row>
    <row r="536" spans="1:14" s="5" customFormat="1" outlineLevel="2">
      <c r="A536" s="39" t="s">
        <v>142</v>
      </c>
      <c r="B536" s="40" t="s">
        <v>174</v>
      </c>
      <c r="C536" s="41" t="s">
        <v>66</v>
      </c>
      <c r="D536" s="40" t="s">
        <v>67</v>
      </c>
      <c r="E536" s="24">
        <v>96000000</v>
      </c>
      <c r="F536" s="39">
        <v>44089</v>
      </c>
      <c r="G536" s="24">
        <v>96000000</v>
      </c>
      <c r="H536" s="23">
        <v>5.0000000000000001E-3</v>
      </c>
      <c r="I536" s="39">
        <v>44501</v>
      </c>
      <c r="J536" s="39">
        <v>44530</v>
      </c>
      <c r="K536" s="24">
        <v>30</v>
      </c>
      <c r="L536" s="24">
        <v>39452</v>
      </c>
      <c r="M536" s="24">
        <v>96000000</v>
      </c>
      <c r="N536" s="39">
        <v>45914</v>
      </c>
    </row>
    <row r="537" spans="1:14" s="5" customFormat="1" outlineLevel="2">
      <c r="A537" s="39" t="s">
        <v>142</v>
      </c>
      <c r="B537" s="40" t="s">
        <v>175</v>
      </c>
      <c r="C537" s="41" t="s">
        <v>66</v>
      </c>
      <c r="D537" s="40" t="s">
        <v>67</v>
      </c>
      <c r="E537" s="24">
        <v>16000000</v>
      </c>
      <c r="F537" s="39">
        <v>44089</v>
      </c>
      <c r="G537" s="24">
        <v>16000000</v>
      </c>
      <c r="H537" s="23">
        <v>5.0000000000000001E-3</v>
      </c>
      <c r="I537" s="39">
        <v>44501</v>
      </c>
      <c r="J537" s="39">
        <v>44530</v>
      </c>
      <c r="K537" s="24">
        <v>30</v>
      </c>
      <c r="L537" s="24">
        <v>6575</v>
      </c>
      <c r="M537" s="24">
        <v>16000000</v>
      </c>
      <c r="N537" s="39">
        <v>45914</v>
      </c>
    </row>
    <row r="538" spans="1:14" s="5" customFormat="1" outlineLevel="2">
      <c r="A538" s="39" t="s">
        <v>142</v>
      </c>
      <c r="B538" s="40" t="s">
        <v>176</v>
      </c>
      <c r="C538" s="41" t="s">
        <v>143</v>
      </c>
      <c r="D538" s="40" t="s">
        <v>144</v>
      </c>
      <c r="E538" s="24">
        <v>21600000</v>
      </c>
      <c r="F538" s="39">
        <v>44095</v>
      </c>
      <c r="G538" s="24">
        <v>21600000</v>
      </c>
      <c r="H538" s="23">
        <v>5.0000000000000001E-3</v>
      </c>
      <c r="I538" s="39">
        <v>44501</v>
      </c>
      <c r="J538" s="39">
        <v>44530</v>
      </c>
      <c r="K538" s="24">
        <v>30</v>
      </c>
      <c r="L538" s="24">
        <v>8877</v>
      </c>
      <c r="M538" s="24">
        <v>21600000</v>
      </c>
      <c r="N538" s="39">
        <v>45920</v>
      </c>
    </row>
    <row r="539" spans="1:14" s="5" customFormat="1" outlineLevel="2">
      <c r="A539" s="39" t="s">
        <v>142</v>
      </c>
      <c r="B539" s="40" t="s">
        <v>177</v>
      </c>
      <c r="C539" s="41" t="s">
        <v>123</v>
      </c>
      <c r="D539" s="40" t="s">
        <v>124</v>
      </c>
      <c r="E539" s="24">
        <v>40000000</v>
      </c>
      <c r="F539" s="39">
        <v>44100</v>
      </c>
      <c r="G539" s="24">
        <v>40000000</v>
      </c>
      <c r="H539" s="23">
        <v>5.0000000000000001E-3</v>
      </c>
      <c r="I539" s="39">
        <v>44501</v>
      </c>
      <c r="J539" s="39">
        <v>44530</v>
      </c>
      <c r="K539" s="24">
        <v>30</v>
      </c>
      <c r="L539" s="24">
        <v>16438</v>
      </c>
      <c r="M539" s="24">
        <v>40000000</v>
      </c>
      <c r="N539" s="39">
        <v>45925</v>
      </c>
    </row>
    <row r="540" spans="1:14" s="5" customFormat="1" outlineLevel="2">
      <c r="A540" s="39" t="s">
        <v>142</v>
      </c>
      <c r="B540" s="40" t="s">
        <v>178</v>
      </c>
      <c r="C540" s="41" t="s">
        <v>125</v>
      </c>
      <c r="D540" s="40" t="s">
        <v>126</v>
      </c>
      <c r="E540" s="24">
        <v>2000000</v>
      </c>
      <c r="F540" s="39">
        <v>44103</v>
      </c>
      <c r="G540" s="24">
        <v>2000000</v>
      </c>
      <c r="H540" s="23">
        <v>5.0000000000000001E-3</v>
      </c>
      <c r="I540" s="39">
        <v>44501</v>
      </c>
      <c r="J540" s="39">
        <v>44530</v>
      </c>
      <c r="K540" s="24">
        <v>30</v>
      </c>
      <c r="L540" s="24">
        <v>822</v>
      </c>
      <c r="M540" s="24">
        <v>2000000</v>
      </c>
      <c r="N540" s="39">
        <v>45928</v>
      </c>
    </row>
    <row r="541" spans="1:14" s="5" customFormat="1" outlineLevel="2">
      <c r="A541" s="39" t="s">
        <v>142</v>
      </c>
      <c r="B541" s="40" t="s">
        <v>179</v>
      </c>
      <c r="C541" s="41" t="s">
        <v>146</v>
      </c>
      <c r="D541" s="40" t="s">
        <v>147</v>
      </c>
      <c r="E541" s="24">
        <v>13200000</v>
      </c>
      <c r="F541" s="39">
        <v>44109</v>
      </c>
      <c r="G541" s="24">
        <v>13200000</v>
      </c>
      <c r="H541" s="23">
        <v>5.0000000000000001E-3</v>
      </c>
      <c r="I541" s="39">
        <v>44501</v>
      </c>
      <c r="J541" s="39">
        <v>44530</v>
      </c>
      <c r="K541" s="24">
        <v>30</v>
      </c>
      <c r="L541" s="24">
        <v>5425</v>
      </c>
      <c r="M541" s="24">
        <v>13200000</v>
      </c>
      <c r="N541" s="39">
        <v>45934</v>
      </c>
    </row>
    <row r="542" spans="1:14" s="5" customFormat="1" outlineLevel="2">
      <c r="A542" s="39" t="s">
        <v>142</v>
      </c>
      <c r="B542" s="40" t="s">
        <v>180</v>
      </c>
      <c r="C542" s="41" t="s">
        <v>146</v>
      </c>
      <c r="D542" s="40" t="s">
        <v>147</v>
      </c>
      <c r="E542" s="24">
        <v>3000000</v>
      </c>
      <c r="F542" s="39">
        <v>44116</v>
      </c>
      <c r="G542" s="24">
        <v>3000000</v>
      </c>
      <c r="H542" s="23">
        <v>5.0000000000000001E-3</v>
      </c>
      <c r="I542" s="39">
        <v>44501</v>
      </c>
      <c r="J542" s="39">
        <v>44530</v>
      </c>
      <c r="K542" s="24">
        <v>30</v>
      </c>
      <c r="L542" s="24">
        <v>1233</v>
      </c>
      <c r="M542" s="24">
        <v>3000000</v>
      </c>
      <c r="N542" s="39">
        <v>45941</v>
      </c>
    </row>
    <row r="543" spans="1:14" s="5" customFormat="1" outlineLevel="2">
      <c r="A543" s="39" t="s">
        <v>142</v>
      </c>
      <c r="B543" s="40" t="s">
        <v>181</v>
      </c>
      <c r="C543" s="41" t="s">
        <v>149</v>
      </c>
      <c r="D543" s="40" t="s">
        <v>150</v>
      </c>
      <c r="E543" s="24">
        <v>8736000</v>
      </c>
      <c r="F543" s="39">
        <v>44109</v>
      </c>
      <c r="G543" s="24">
        <v>8736000</v>
      </c>
      <c r="H543" s="23">
        <v>5.0000000000000001E-3</v>
      </c>
      <c r="I543" s="39">
        <v>44501</v>
      </c>
      <c r="J543" s="39">
        <v>44530</v>
      </c>
      <c r="K543" s="24">
        <v>30</v>
      </c>
      <c r="L543" s="24">
        <v>3590</v>
      </c>
      <c r="M543" s="24">
        <v>8736000</v>
      </c>
      <c r="N543" s="39">
        <v>45934</v>
      </c>
    </row>
    <row r="544" spans="1:14" s="5" customFormat="1" outlineLevel="2">
      <c r="A544" s="39" t="s">
        <v>142</v>
      </c>
      <c r="B544" s="40" t="s">
        <v>182</v>
      </c>
      <c r="C544" s="41" t="s">
        <v>149</v>
      </c>
      <c r="D544" s="40" t="s">
        <v>150</v>
      </c>
      <c r="E544" s="24">
        <v>4273920</v>
      </c>
      <c r="F544" s="39">
        <v>44111</v>
      </c>
      <c r="G544" s="24">
        <v>4273920</v>
      </c>
      <c r="H544" s="23">
        <v>5.0000000000000001E-3</v>
      </c>
      <c r="I544" s="39">
        <v>44501</v>
      </c>
      <c r="J544" s="39">
        <v>44530</v>
      </c>
      <c r="K544" s="24">
        <v>30</v>
      </c>
      <c r="L544" s="24">
        <v>1756</v>
      </c>
      <c r="M544" s="24">
        <v>4273920</v>
      </c>
      <c r="N544" s="39">
        <v>45936</v>
      </c>
    </row>
    <row r="545" spans="1:14" s="5" customFormat="1" outlineLevel="2">
      <c r="A545" s="39" t="s">
        <v>142</v>
      </c>
      <c r="B545" s="40" t="s">
        <v>183</v>
      </c>
      <c r="C545" s="41" t="s">
        <v>149</v>
      </c>
      <c r="D545" s="40" t="s">
        <v>150</v>
      </c>
      <c r="E545" s="24">
        <v>4368000</v>
      </c>
      <c r="F545" s="39">
        <v>44132</v>
      </c>
      <c r="G545" s="24">
        <v>4368000</v>
      </c>
      <c r="H545" s="23">
        <v>5.0000000000000001E-3</v>
      </c>
      <c r="I545" s="39">
        <v>44501</v>
      </c>
      <c r="J545" s="39">
        <v>44530</v>
      </c>
      <c r="K545" s="24">
        <v>30</v>
      </c>
      <c r="L545" s="24">
        <v>1795</v>
      </c>
      <c r="M545" s="24">
        <v>4368000</v>
      </c>
      <c r="N545" s="39">
        <v>45957</v>
      </c>
    </row>
    <row r="546" spans="1:14" s="5" customFormat="1" outlineLevel="2">
      <c r="A546" s="39" t="s">
        <v>142</v>
      </c>
      <c r="B546" s="40" t="s">
        <v>63</v>
      </c>
      <c r="C546" s="41" t="s">
        <v>149</v>
      </c>
      <c r="D546" s="40" t="s">
        <v>150</v>
      </c>
      <c r="E546" s="24">
        <v>96176976</v>
      </c>
      <c r="F546" s="39">
        <v>43861</v>
      </c>
      <c r="G546" s="24">
        <v>96176976</v>
      </c>
      <c r="H546" s="23">
        <v>5.0000000000000001E-3</v>
      </c>
      <c r="I546" s="39">
        <v>44501</v>
      </c>
      <c r="J546" s="39">
        <v>44530</v>
      </c>
      <c r="K546" s="24">
        <v>30</v>
      </c>
      <c r="L546" s="24">
        <v>39525</v>
      </c>
      <c r="M546" s="24">
        <v>96176976</v>
      </c>
      <c r="N546" s="39">
        <v>45687</v>
      </c>
    </row>
    <row r="547" spans="1:14" s="5" customFormat="1" outlineLevel="2">
      <c r="A547" s="39" t="s">
        <v>142</v>
      </c>
      <c r="B547" s="40" t="s">
        <v>184</v>
      </c>
      <c r="C547" s="41" t="s">
        <v>149</v>
      </c>
      <c r="D547" s="40" t="s">
        <v>150</v>
      </c>
      <c r="E547" s="24">
        <v>8064000</v>
      </c>
      <c r="F547" s="39">
        <v>44133</v>
      </c>
      <c r="G547" s="24">
        <v>8064000</v>
      </c>
      <c r="H547" s="23">
        <v>5.0000000000000001E-3</v>
      </c>
      <c r="I547" s="39">
        <v>44501</v>
      </c>
      <c r="J547" s="39">
        <v>44530</v>
      </c>
      <c r="K547" s="24">
        <v>30</v>
      </c>
      <c r="L547" s="24">
        <v>3314</v>
      </c>
      <c r="M547" s="24">
        <v>8064000</v>
      </c>
      <c r="N547" s="39">
        <v>45958</v>
      </c>
    </row>
    <row r="548" spans="1:14" s="5" customFormat="1" outlineLevel="2">
      <c r="A548" s="39" t="s">
        <v>142</v>
      </c>
      <c r="B548" s="40" t="s">
        <v>185</v>
      </c>
      <c r="C548" s="41" t="s">
        <v>149</v>
      </c>
      <c r="D548" s="40" t="s">
        <v>150</v>
      </c>
      <c r="E548" s="24">
        <v>113400</v>
      </c>
      <c r="F548" s="39">
        <v>44133</v>
      </c>
      <c r="G548" s="24">
        <v>113400</v>
      </c>
      <c r="H548" s="23">
        <v>5.0000000000000001E-3</v>
      </c>
      <c r="I548" s="39">
        <v>44501</v>
      </c>
      <c r="J548" s="39">
        <v>44530</v>
      </c>
      <c r="K548" s="24">
        <v>30</v>
      </c>
      <c r="L548" s="24">
        <v>47</v>
      </c>
      <c r="M548" s="24">
        <v>113400</v>
      </c>
      <c r="N548" s="39">
        <v>45958</v>
      </c>
    </row>
    <row r="549" spans="1:14" s="5" customFormat="1" outlineLevel="2">
      <c r="A549" s="39" t="s">
        <v>142</v>
      </c>
      <c r="B549" s="40" t="s">
        <v>186</v>
      </c>
      <c r="C549" s="41" t="s">
        <v>187</v>
      </c>
      <c r="D549" s="40" t="s">
        <v>188</v>
      </c>
      <c r="E549" s="24">
        <v>93700000</v>
      </c>
      <c r="F549" s="39">
        <v>44109</v>
      </c>
      <c r="G549" s="24">
        <v>93700000</v>
      </c>
      <c r="H549" s="23">
        <v>5.0000000000000001E-3</v>
      </c>
      <c r="I549" s="39">
        <v>44501</v>
      </c>
      <c r="J549" s="39">
        <v>44530</v>
      </c>
      <c r="K549" s="24">
        <v>30</v>
      </c>
      <c r="L549" s="24">
        <v>38507</v>
      </c>
      <c r="M549" s="24">
        <v>93700000</v>
      </c>
      <c r="N549" s="39">
        <v>45934</v>
      </c>
    </row>
    <row r="550" spans="1:14" s="5" customFormat="1" outlineLevel="2">
      <c r="A550" s="39" t="s">
        <v>142</v>
      </c>
      <c r="B550" s="40" t="s">
        <v>189</v>
      </c>
      <c r="C550" s="41" t="s">
        <v>187</v>
      </c>
      <c r="D550" s="40" t="s">
        <v>188</v>
      </c>
      <c r="E550" s="24">
        <v>21400000</v>
      </c>
      <c r="F550" s="39">
        <v>44109</v>
      </c>
      <c r="G550" s="24">
        <v>21400000</v>
      </c>
      <c r="H550" s="23">
        <v>5.0000000000000001E-3</v>
      </c>
      <c r="I550" s="39">
        <v>44501</v>
      </c>
      <c r="J550" s="39">
        <v>44530</v>
      </c>
      <c r="K550" s="24">
        <v>30</v>
      </c>
      <c r="L550" s="24">
        <v>8795</v>
      </c>
      <c r="M550" s="24">
        <v>21400000</v>
      </c>
      <c r="N550" s="39">
        <v>45934</v>
      </c>
    </row>
    <row r="551" spans="1:14" s="5" customFormat="1" outlineLevel="2">
      <c r="A551" s="39" t="s">
        <v>142</v>
      </c>
      <c r="B551" s="40" t="s">
        <v>190</v>
      </c>
      <c r="C551" s="41" t="s">
        <v>143</v>
      </c>
      <c r="D551" s="40" t="s">
        <v>144</v>
      </c>
      <c r="E551" s="24">
        <v>7150000</v>
      </c>
      <c r="F551" s="39">
        <v>44119</v>
      </c>
      <c r="G551" s="24">
        <v>7150000</v>
      </c>
      <c r="H551" s="23">
        <v>5.0000000000000001E-3</v>
      </c>
      <c r="I551" s="39">
        <v>44501</v>
      </c>
      <c r="J551" s="39">
        <v>44530</v>
      </c>
      <c r="K551" s="24">
        <v>30</v>
      </c>
      <c r="L551" s="24">
        <v>2938</v>
      </c>
      <c r="M551" s="24">
        <v>7150000</v>
      </c>
      <c r="N551" s="39">
        <v>45944</v>
      </c>
    </row>
    <row r="552" spans="1:14" s="5" customFormat="1" outlineLevel="2">
      <c r="A552" s="39" t="s">
        <v>142</v>
      </c>
      <c r="B552" s="40" t="s">
        <v>191</v>
      </c>
      <c r="C552" s="41" t="s">
        <v>143</v>
      </c>
      <c r="D552" s="40" t="s">
        <v>144</v>
      </c>
      <c r="E552" s="24">
        <v>14400000</v>
      </c>
      <c r="F552" s="39">
        <v>44124</v>
      </c>
      <c r="G552" s="24">
        <v>14400000</v>
      </c>
      <c r="H552" s="23">
        <v>5.0000000000000001E-3</v>
      </c>
      <c r="I552" s="39">
        <v>44501</v>
      </c>
      <c r="J552" s="39">
        <v>44530</v>
      </c>
      <c r="K552" s="24">
        <v>30</v>
      </c>
      <c r="L552" s="24">
        <v>5918</v>
      </c>
      <c r="M552" s="24">
        <v>14400000</v>
      </c>
      <c r="N552" s="39">
        <v>45949</v>
      </c>
    </row>
    <row r="553" spans="1:14" s="5" customFormat="1" outlineLevel="2">
      <c r="A553" s="39" t="s">
        <v>142</v>
      </c>
      <c r="B553" s="40" t="s">
        <v>192</v>
      </c>
      <c r="C553" s="41" t="s">
        <v>125</v>
      </c>
      <c r="D553" s="40" t="s">
        <v>126</v>
      </c>
      <c r="E553" s="24">
        <v>24000000</v>
      </c>
      <c r="F553" s="39">
        <v>44120</v>
      </c>
      <c r="G553" s="24">
        <v>24000000</v>
      </c>
      <c r="H553" s="23">
        <v>5.0000000000000001E-3</v>
      </c>
      <c r="I553" s="39">
        <v>44501</v>
      </c>
      <c r="J553" s="39">
        <v>44530</v>
      </c>
      <c r="K553" s="24">
        <v>30</v>
      </c>
      <c r="L553" s="24">
        <v>9863</v>
      </c>
      <c r="M553" s="24">
        <v>24000000</v>
      </c>
      <c r="N553" s="39">
        <v>45945</v>
      </c>
    </row>
    <row r="554" spans="1:14" s="5" customFormat="1" outlineLevel="2">
      <c r="A554" s="39" t="s">
        <v>142</v>
      </c>
      <c r="B554" s="40" t="s">
        <v>193</v>
      </c>
      <c r="C554" s="41" t="s">
        <v>125</v>
      </c>
      <c r="D554" s="40" t="s">
        <v>126</v>
      </c>
      <c r="E554" s="24">
        <v>24000000</v>
      </c>
      <c r="F554" s="39">
        <v>44127</v>
      </c>
      <c r="G554" s="24">
        <v>24000000</v>
      </c>
      <c r="H554" s="23">
        <v>5.0000000000000001E-3</v>
      </c>
      <c r="I554" s="39">
        <v>44501</v>
      </c>
      <c r="J554" s="39">
        <v>44530</v>
      </c>
      <c r="K554" s="24">
        <v>30</v>
      </c>
      <c r="L554" s="24">
        <v>9863</v>
      </c>
      <c r="M554" s="24">
        <v>24000000</v>
      </c>
      <c r="N554" s="39">
        <v>45952</v>
      </c>
    </row>
    <row r="555" spans="1:14" s="5" customFormat="1" outlineLevel="2">
      <c r="A555" s="39" t="s">
        <v>142</v>
      </c>
      <c r="B555" s="40" t="s">
        <v>194</v>
      </c>
      <c r="C555" s="41" t="s">
        <v>123</v>
      </c>
      <c r="D555" s="40" t="s">
        <v>124</v>
      </c>
      <c r="E555" s="24">
        <v>5000000</v>
      </c>
      <c r="F555" s="39">
        <v>44134</v>
      </c>
      <c r="G555" s="24">
        <v>5000000</v>
      </c>
      <c r="H555" s="23">
        <v>5.0000000000000001E-3</v>
      </c>
      <c r="I555" s="39">
        <v>44501</v>
      </c>
      <c r="J555" s="39">
        <v>44530</v>
      </c>
      <c r="K555" s="24">
        <v>30</v>
      </c>
      <c r="L555" s="24">
        <v>2055</v>
      </c>
      <c r="M555" s="24">
        <v>5000000</v>
      </c>
      <c r="N555" s="39">
        <v>45959</v>
      </c>
    </row>
    <row r="556" spans="1:14" s="5" customFormat="1" outlineLevel="2">
      <c r="A556" s="39" t="s">
        <v>142</v>
      </c>
      <c r="B556" s="40" t="s">
        <v>195</v>
      </c>
      <c r="C556" s="41" t="s">
        <v>146</v>
      </c>
      <c r="D556" s="40" t="s">
        <v>147</v>
      </c>
      <c r="E556" s="24">
        <v>16000000</v>
      </c>
      <c r="F556" s="39">
        <v>44139</v>
      </c>
      <c r="G556" s="24">
        <v>16000000</v>
      </c>
      <c r="H556" s="23">
        <v>5.0000000000000001E-3</v>
      </c>
      <c r="I556" s="39">
        <v>44501</v>
      </c>
      <c r="J556" s="39">
        <v>44530</v>
      </c>
      <c r="K556" s="24">
        <v>30</v>
      </c>
      <c r="L556" s="24">
        <v>6575</v>
      </c>
      <c r="M556" s="24">
        <v>16000000</v>
      </c>
      <c r="N556" s="39">
        <v>45964</v>
      </c>
    </row>
    <row r="557" spans="1:14" s="5" customFormat="1" outlineLevel="2">
      <c r="A557" s="39" t="s">
        <v>142</v>
      </c>
      <c r="B557" s="40" t="s">
        <v>64</v>
      </c>
      <c r="C557" s="41" t="s">
        <v>143</v>
      </c>
      <c r="D557" s="40" t="s">
        <v>144</v>
      </c>
      <c r="E557" s="24">
        <v>1800000</v>
      </c>
      <c r="F557" s="39">
        <v>43876</v>
      </c>
      <c r="G557" s="24">
        <v>1800000</v>
      </c>
      <c r="H557" s="23">
        <v>5.0000000000000001E-3</v>
      </c>
      <c r="I557" s="39">
        <v>44501</v>
      </c>
      <c r="J557" s="39">
        <v>44530</v>
      </c>
      <c r="K557" s="24">
        <v>30</v>
      </c>
      <c r="L557" s="24">
        <v>740</v>
      </c>
      <c r="M557" s="24">
        <v>1800000</v>
      </c>
      <c r="N557" s="39">
        <v>45702</v>
      </c>
    </row>
    <row r="558" spans="1:14" s="5" customFormat="1" outlineLevel="2">
      <c r="A558" s="39" t="s">
        <v>142</v>
      </c>
      <c r="B558" s="40" t="s">
        <v>196</v>
      </c>
      <c r="C558" s="41" t="s">
        <v>146</v>
      </c>
      <c r="D558" s="40" t="s">
        <v>147</v>
      </c>
      <c r="E558" s="24">
        <v>6000000</v>
      </c>
      <c r="F558" s="39">
        <v>44145</v>
      </c>
      <c r="G558" s="24">
        <v>6000000</v>
      </c>
      <c r="H558" s="23">
        <v>5.0000000000000001E-3</v>
      </c>
      <c r="I558" s="39">
        <v>44501</v>
      </c>
      <c r="J558" s="39">
        <v>44530</v>
      </c>
      <c r="K558" s="24">
        <v>30</v>
      </c>
      <c r="L558" s="24">
        <v>2466</v>
      </c>
      <c r="M558" s="24">
        <v>6000000</v>
      </c>
      <c r="N558" s="39">
        <v>45970</v>
      </c>
    </row>
    <row r="559" spans="1:14" s="5" customFormat="1" outlineLevel="2">
      <c r="A559" s="39" t="s">
        <v>142</v>
      </c>
      <c r="B559" s="40" t="s">
        <v>197</v>
      </c>
      <c r="C559" s="41" t="s">
        <v>143</v>
      </c>
      <c r="D559" s="40" t="s">
        <v>144</v>
      </c>
      <c r="E559" s="24">
        <v>19000000</v>
      </c>
      <c r="F559" s="39">
        <v>44140</v>
      </c>
      <c r="G559" s="24">
        <v>19000000</v>
      </c>
      <c r="H559" s="23">
        <v>5.0000000000000001E-3</v>
      </c>
      <c r="I559" s="39">
        <v>44501</v>
      </c>
      <c r="J559" s="39">
        <v>44530</v>
      </c>
      <c r="K559" s="24">
        <v>30</v>
      </c>
      <c r="L559" s="24">
        <v>7808</v>
      </c>
      <c r="M559" s="24">
        <v>19000000</v>
      </c>
      <c r="N559" s="39">
        <v>45965</v>
      </c>
    </row>
    <row r="560" spans="1:14" s="5" customFormat="1" outlineLevel="2">
      <c r="A560" s="39" t="s">
        <v>142</v>
      </c>
      <c r="B560" s="40" t="s">
        <v>198</v>
      </c>
      <c r="C560" s="41" t="s">
        <v>143</v>
      </c>
      <c r="D560" s="40" t="s">
        <v>144</v>
      </c>
      <c r="E560" s="24">
        <v>1800000</v>
      </c>
      <c r="F560" s="39">
        <v>44165</v>
      </c>
      <c r="G560" s="24">
        <v>1800000</v>
      </c>
      <c r="H560" s="23">
        <v>5.0000000000000001E-3</v>
      </c>
      <c r="I560" s="39">
        <v>44501</v>
      </c>
      <c r="J560" s="39">
        <v>44530</v>
      </c>
      <c r="K560" s="24">
        <v>30</v>
      </c>
      <c r="L560" s="24">
        <v>740</v>
      </c>
      <c r="M560" s="24">
        <v>1800000</v>
      </c>
      <c r="N560" s="39">
        <v>45990</v>
      </c>
    </row>
    <row r="561" spans="1:14" s="5" customFormat="1" outlineLevel="2">
      <c r="A561" s="39" t="s">
        <v>142</v>
      </c>
      <c r="B561" s="40" t="s">
        <v>199</v>
      </c>
      <c r="C561" s="41" t="s">
        <v>143</v>
      </c>
      <c r="D561" s="40" t="s">
        <v>144</v>
      </c>
      <c r="E561" s="24">
        <v>5500000</v>
      </c>
      <c r="F561" s="39">
        <v>44165</v>
      </c>
      <c r="G561" s="24">
        <v>5500000</v>
      </c>
      <c r="H561" s="23">
        <v>5.0000000000000001E-3</v>
      </c>
      <c r="I561" s="39">
        <v>44501</v>
      </c>
      <c r="J561" s="39">
        <v>44530</v>
      </c>
      <c r="K561" s="24">
        <v>30</v>
      </c>
      <c r="L561" s="24">
        <v>2260</v>
      </c>
      <c r="M561" s="24">
        <v>5500000</v>
      </c>
      <c r="N561" s="39">
        <v>45990</v>
      </c>
    </row>
    <row r="562" spans="1:14" s="5" customFormat="1" outlineLevel="2">
      <c r="A562" s="39" t="s">
        <v>142</v>
      </c>
      <c r="B562" s="40" t="s">
        <v>200</v>
      </c>
      <c r="C562" s="41" t="s">
        <v>143</v>
      </c>
      <c r="D562" s="40" t="s">
        <v>144</v>
      </c>
      <c r="E562" s="24">
        <v>8600000</v>
      </c>
      <c r="F562" s="39">
        <v>44165</v>
      </c>
      <c r="G562" s="24">
        <v>8600000</v>
      </c>
      <c r="H562" s="23">
        <v>5.0000000000000001E-3</v>
      </c>
      <c r="I562" s="39">
        <v>44501</v>
      </c>
      <c r="J562" s="39">
        <v>44530</v>
      </c>
      <c r="K562" s="24">
        <v>30</v>
      </c>
      <c r="L562" s="24">
        <v>3534</v>
      </c>
      <c r="M562" s="24">
        <v>8600000</v>
      </c>
      <c r="N562" s="39">
        <v>45990</v>
      </c>
    </row>
    <row r="563" spans="1:14" s="5" customFormat="1" outlineLevel="2">
      <c r="A563" s="39" t="s">
        <v>142</v>
      </c>
      <c r="B563" s="40" t="s">
        <v>201</v>
      </c>
      <c r="C563" s="41" t="s">
        <v>161</v>
      </c>
      <c r="D563" s="40" t="s">
        <v>162</v>
      </c>
      <c r="E563" s="24">
        <v>150000000</v>
      </c>
      <c r="F563" s="39">
        <v>44144</v>
      </c>
      <c r="G563" s="24">
        <v>150000000</v>
      </c>
      <c r="H563" s="23">
        <v>5.0000000000000001E-3</v>
      </c>
      <c r="I563" s="39">
        <v>44501</v>
      </c>
      <c r="J563" s="39">
        <v>44530</v>
      </c>
      <c r="K563" s="24">
        <v>30</v>
      </c>
      <c r="L563" s="24">
        <v>61644</v>
      </c>
      <c r="M563" s="24">
        <v>150000000</v>
      </c>
      <c r="N563" s="39">
        <v>45969</v>
      </c>
    </row>
    <row r="564" spans="1:14" s="5" customFormat="1" outlineLevel="2">
      <c r="A564" s="39" t="s">
        <v>142</v>
      </c>
      <c r="B564" s="40" t="s">
        <v>202</v>
      </c>
      <c r="C564" s="41" t="s">
        <v>125</v>
      </c>
      <c r="D564" s="40" t="s">
        <v>126</v>
      </c>
      <c r="E564" s="24">
        <v>2500000</v>
      </c>
      <c r="F564" s="39">
        <v>44147</v>
      </c>
      <c r="G564" s="24">
        <v>2500000</v>
      </c>
      <c r="H564" s="23">
        <v>5.0000000000000001E-3</v>
      </c>
      <c r="I564" s="39">
        <v>44501</v>
      </c>
      <c r="J564" s="39">
        <v>44530</v>
      </c>
      <c r="K564" s="24">
        <v>30</v>
      </c>
      <c r="L564" s="24">
        <v>1027</v>
      </c>
      <c r="M564" s="24">
        <v>2500000</v>
      </c>
      <c r="N564" s="39">
        <v>45972</v>
      </c>
    </row>
    <row r="565" spans="1:14" s="5" customFormat="1" outlineLevel="2">
      <c r="A565" s="39" t="s">
        <v>142</v>
      </c>
      <c r="B565" s="40" t="s">
        <v>203</v>
      </c>
      <c r="C565" s="41" t="s">
        <v>125</v>
      </c>
      <c r="D565" s="40" t="s">
        <v>126</v>
      </c>
      <c r="E565" s="24">
        <v>18000000</v>
      </c>
      <c r="F565" s="39">
        <v>44158</v>
      </c>
      <c r="G565" s="24">
        <v>18000000</v>
      </c>
      <c r="H565" s="23">
        <v>5.0000000000000001E-3</v>
      </c>
      <c r="I565" s="39">
        <v>44501</v>
      </c>
      <c r="J565" s="39">
        <v>44530</v>
      </c>
      <c r="K565" s="24">
        <v>30</v>
      </c>
      <c r="L565" s="24">
        <v>7397</v>
      </c>
      <c r="M565" s="24">
        <v>18000000</v>
      </c>
      <c r="N565" s="39">
        <v>45983</v>
      </c>
    </row>
    <row r="566" spans="1:14" s="5" customFormat="1" outlineLevel="2">
      <c r="A566" s="39" t="s">
        <v>142</v>
      </c>
      <c r="B566" s="40" t="s">
        <v>204</v>
      </c>
      <c r="C566" s="41" t="s">
        <v>149</v>
      </c>
      <c r="D566" s="40" t="s">
        <v>150</v>
      </c>
      <c r="E566" s="24">
        <v>1764000</v>
      </c>
      <c r="F566" s="39">
        <v>44147</v>
      </c>
      <c r="G566" s="24">
        <v>1764000</v>
      </c>
      <c r="H566" s="23">
        <v>5.0000000000000001E-3</v>
      </c>
      <c r="I566" s="39">
        <v>44501</v>
      </c>
      <c r="J566" s="39">
        <v>44530</v>
      </c>
      <c r="K566" s="24">
        <v>30</v>
      </c>
      <c r="L566" s="24">
        <v>725</v>
      </c>
      <c r="M566" s="24">
        <v>1764000</v>
      </c>
      <c r="N566" s="39">
        <v>45972</v>
      </c>
    </row>
    <row r="567" spans="1:14" s="5" customFormat="1" outlineLevel="2">
      <c r="A567" s="39" t="s">
        <v>142</v>
      </c>
      <c r="B567" s="40" t="s">
        <v>205</v>
      </c>
      <c r="C567" s="41" t="s">
        <v>163</v>
      </c>
      <c r="D567" s="40" t="s">
        <v>164</v>
      </c>
      <c r="E567" s="24">
        <v>15000000</v>
      </c>
      <c r="F567" s="39">
        <v>44153</v>
      </c>
      <c r="G567" s="24">
        <v>13565215</v>
      </c>
      <c r="H567" s="23">
        <v>5.0000000000000001E-3</v>
      </c>
      <c r="I567" s="39">
        <v>44501</v>
      </c>
      <c r="J567" s="39">
        <v>44514</v>
      </c>
      <c r="K567" s="24">
        <v>14</v>
      </c>
      <c r="L567" s="24">
        <v>2602</v>
      </c>
      <c r="M567" s="24">
        <v>13434780</v>
      </c>
      <c r="N567" s="39">
        <v>45978</v>
      </c>
    </row>
    <row r="568" spans="1:14" s="5" customFormat="1" outlineLevel="2">
      <c r="A568" s="39" t="s">
        <v>142</v>
      </c>
      <c r="B568" s="40" t="s">
        <v>205</v>
      </c>
      <c r="C568" s="41" t="s">
        <v>163</v>
      </c>
      <c r="D568" s="40"/>
      <c r="E568" s="24"/>
      <c r="F568" s="39"/>
      <c r="G568" s="24">
        <v>13434780</v>
      </c>
      <c r="H568" s="23">
        <v>5.0000000000000001E-3</v>
      </c>
      <c r="I568" s="39">
        <v>44515</v>
      </c>
      <c r="J568" s="39">
        <v>44530</v>
      </c>
      <c r="K568" s="24">
        <v>16</v>
      </c>
      <c r="L568" s="24">
        <v>2945</v>
      </c>
      <c r="M568" s="24"/>
      <c r="N568" s="39">
        <v>45978</v>
      </c>
    </row>
    <row r="569" spans="1:14" s="5" customFormat="1" outlineLevel="2">
      <c r="A569" s="39" t="s">
        <v>142</v>
      </c>
      <c r="B569" s="40" t="s">
        <v>65</v>
      </c>
      <c r="C569" s="41" t="s">
        <v>117</v>
      </c>
      <c r="D569" s="40" t="s">
        <v>118</v>
      </c>
      <c r="E569" s="24">
        <v>30000000</v>
      </c>
      <c r="F569" s="39">
        <v>43906</v>
      </c>
      <c r="G569" s="24">
        <v>30000000</v>
      </c>
      <c r="H569" s="23">
        <v>5.0000000000000001E-3</v>
      </c>
      <c r="I569" s="39">
        <v>44501</v>
      </c>
      <c r="J569" s="39">
        <v>44530</v>
      </c>
      <c r="K569" s="24">
        <v>30</v>
      </c>
      <c r="L569" s="24">
        <v>12329</v>
      </c>
      <c r="M569" s="24">
        <v>30000000</v>
      </c>
      <c r="N569" s="39">
        <v>45731</v>
      </c>
    </row>
    <row r="570" spans="1:14" s="5" customFormat="1" outlineLevel="2">
      <c r="A570" s="39" t="s">
        <v>142</v>
      </c>
      <c r="B570" s="40" t="s">
        <v>206</v>
      </c>
      <c r="C570" s="41" t="s">
        <v>87</v>
      </c>
      <c r="D570" s="40" t="s">
        <v>88</v>
      </c>
      <c r="E570" s="24">
        <v>13481921</v>
      </c>
      <c r="F570" s="39">
        <v>44158</v>
      </c>
      <c r="G570" s="24">
        <v>13481921</v>
      </c>
      <c r="H570" s="23">
        <v>5.0000000000000001E-3</v>
      </c>
      <c r="I570" s="39">
        <v>44501</v>
      </c>
      <c r="J570" s="39">
        <v>44530</v>
      </c>
      <c r="K570" s="24">
        <v>30</v>
      </c>
      <c r="L570" s="24">
        <v>5541</v>
      </c>
      <c r="M570" s="24">
        <v>13481921</v>
      </c>
      <c r="N570" s="39">
        <v>45983</v>
      </c>
    </row>
    <row r="571" spans="1:14" s="5" customFormat="1" outlineLevel="2">
      <c r="A571" s="39" t="s">
        <v>142</v>
      </c>
      <c r="B571" s="40" t="s">
        <v>207</v>
      </c>
      <c r="C571" s="41" t="s">
        <v>85</v>
      </c>
      <c r="D571" s="40" t="s">
        <v>86</v>
      </c>
      <c r="E571" s="24">
        <v>2682500</v>
      </c>
      <c r="F571" s="39">
        <v>44165</v>
      </c>
      <c r="G571" s="24">
        <v>2682500</v>
      </c>
      <c r="H571" s="23">
        <v>5.0000000000000001E-3</v>
      </c>
      <c r="I571" s="39">
        <v>44501</v>
      </c>
      <c r="J571" s="39">
        <v>44530</v>
      </c>
      <c r="K571" s="24">
        <v>30</v>
      </c>
      <c r="L571" s="24">
        <v>1102</v>
      </c>
      <c r="M571" s="24">
        <v>2682500</v>
      </c>
      <c r="N571" s="39">
        <v>45990</v>
      </c>
    </row>
    <row r="572" spans="1:14" s="5" customFormat="1" outlineLevel="2">
      <c r="A572" s="39" t="s">
        <v>142</v>
      </c>
      <c r="B572" s="40" t="s">
        <v>208</v>
      </c>
      <c r="C572" s="41" t="s">
        <v>85</v>
      </c>
      <c r="D572" s="40" t="s">
        <v>86</v>
      </c>
      <c r="E572" s="24">
        <v>8047500</v>
      </c>
      <c r="F572" s="39">
        <v>44165</v>
      </c>
      <c r="G572" s="24">
        <v>8047500</v>
      </c>
      <c r="H572" s="23">
        <v>5.0000000000000001E-3</v>
      </c>
      <c r="I572" s="39">
        <v>44501</v>
      </c>
      <c r="J572" s="39">
        <v>44530</v>
      </c>
      <c r="K572" s="24">
        <v>30</v>
      </c>
      <c r="L572" s="24">
        <v>3307</v>
      </c>
      <c r="M572" s="24">
        <v>8047500</v>
      </c>
      <c r="N572" s="39">
        <v>45990</v>
      </c>
    </row>
    <row r="573" spans="1:14" s="5" customFormat="1" outlineLevel="2">
      <c r="A573" s="39" t="s">
        <v>142</v>
      </c>
      <c r="B573" s="40" t="s">
        <v>209</v>
      </c>
      <c r="C573" s="41" t="s">
        <v>146</v>
      </c>
      <c r="D573" s="40" t="s">
        <v>147</v>
      </c>
      <c r="E573" s="24">
        <v>15600000</v>
      </c>
      <c r="F573" s="39">
        <v>44168</v>
      </c>
      <c r="G573" s="24">
        <v>15600000</v>
      </c>
      <c r="H573" s="23">
        <v>5.0000000000000001E-3</v>
      </c>
      <c r="I573" s="39">
        <v>44501</v>
      </c>
      <c r="J573" s="39">
        <v>44530</v>
      </c>
      <c r="K573" s="24">
        <v>30</v>
      </c>
      <c r="L573" s="24">
        <v>6411</v>
      </c>
      <c r="M573" s="24">
        <v>15600000</v>
      </c>
      <c r="N573" s="39">
        <v>45993</v>
      </c>
    </row>
    <row r="574" spans="1:14" s="5" customFormat="1" outlineLevel="2">
      <c r="A574" s="39" t="s">
        <v>142</v>
      </c>
      <c r="B574" s="40" t="s">
        <v>210</v>
      </c>
      <c r="C574" s="41" t="s">
        <v>146</v>
      </c>
      <c r="D574" s="40" t="s">
        <v>147</v>
      </c>
      <c r="E574" s="24">
        <v>4400000</v>
      </c>
      <c r="F574" s="39">
        <v>44173</v>
      </c>
      <c r="G574" s="24">
        <v>4400000</v>
      </c>
      <c r="H574" s="23">
        <v>5.0000000000000001E-3</v>
      </c>
      <c r="I574" s="39">
        <v>44501</v>
      </c>
      <c r="J574" s="39">
        <v>44530</v>
      </c>
      <c r="K574" s="24">
        <v>30</v>
      </c>
      <c r="L574" s="24">
        <v>1808</v>
      </c>
      <c r="M574" s="24">
        <v>4400000</v>
      </c>
      <c r="N574" s="39">
        <v>45998</v>
      </c>
    </row>
    <row r="575" spans="1:14" s="5" customFormat="1" outlineLevel="2">
      <c r="A575" s="39" t="s">
        <v>142</v>
      </c>
      <c r="B575" s="40" t="s">
        <v>211</v>
      </c>
      <c r="C575" s="41" t="s">
        <v>187</v>
      </c>
      <c r="D575" s="40" t="s">
        <v>188</v>
      </c>
      <c r="E575" s="24">
        <v>88900000</v>
      </c>
      <c r="F575" s="39">
        <v>44169</v>
      </c>
      <c r="G575" s="24">
        <v>88900000</v>
      </c>
      <c r="H575" s="23">
        <v>5.0000000000000001E-3</v>
      </c>
      <c r="I575" s="39">
        <v>44501</v>
      </c>
      <c r="J575" s="39">
        <v>44530</v>
      </c>
      <c r="K575" s="24">
        <v>30</v>
      </c>
      <c r="L575" s="24">
        <v>36534</v>
      </c>
      <c r="M575" s="24">
        <v>88900000</v>
      </c>
      <c r="N575" s="39">
        <v>45994</v>
      </c>
    </row>
    <row r="576" spans="1:14" s="5" customFormat="1" outlineLevel="2">
      <c r="A576" s="39" t="s">
        <v>142</v>
      </c>
      <c r="B576" s="40" t="s">
        <v>212</v>
      </c>
      <c r="C576" s="41" t="s">
        <v>163</v>
      </c>
      <c r="D576" s="40" t="s">
        <v>164</v>
      </c>
      <c r="E576" s="24">
        <v>7300000</v>
      </c>
      <c r="F576" s="39">
        <v>44173</v>
      </c>
      <c r="G576" s="24">
        <v>6659650</v>
      </c>
      <c r="H576" s="23">
        <v>5.0000000000000001E-3</v>
      </c>
      <c r="I576" s="39">
        <v>44501</v>
      </c>
      <c r="J576" s="39">
        <v>44514</v>
      </c>
      <c r="K576" s="24">
        <v>14</v>
      </c>
      <c r="L576" s="24">
        <v>1277</v>
      </c>
      <c r="M576" s="24">
        <v>6595615</v>
      </c>
      <c r="N576" s="39">
        <v>45998</v>
      </c>
    </row>
    <row r="577" spans="1:14" s="5" customFormat="1" outlineLevel="2">
      <c r="A577" s="39" t="s">
        <v>142</v>
      </c>
      <c r="B577" s="40" t="s">
        <v>212</v>
      </c>
      <c r="C577" s="41" t="s">
        <v>163</v>
      </c>
      <c r="D577" s="40"/>
      <c r="E577" s="24"/>
      <c r="F577" s="39"/>
      <c r="G577" s="24">
        <v>6595615</v>
      </c>
      <c r="H577" s="23">
        <v>5.0000000000000001E-3</v>
      </c>
      <c r="I577" s="39">
        <v>44515</v>
      </c>
      <c r="J577" s="39">
        <v>44530</v>
      </c>
      <c r="K577" s="24">
        <v>16</v>
      </c>
      <c r="L577" s="24">
        <v>1446</v>
      </c>
      <c r="M577" s="24"/>
      <c r="N577" s="39">
        <v>45998</v>
      </c>
    </row>
    <row r="578" spans="1:14" s="5" customFormat="1" outlineLevel="2">
      <c r="A578" s="39" t="s">
        <v>142</v>
      </c>
      <c r="B578" s="40" t="s">
        <v>213</v>
      </c>
      <c r="C578" s="41" t="s">
        <v>149</v>
      </c>
      <c r="D578" s="40" t="s">
        <v>150</v>
      </c>
      <c r="E578" s="24">
        <v>2184000</v>
      </c>
      <c r="F578" s="39">
        <v>44174</v>
      </c>
      <c r="G578" s="24">
        <v>2184000</v>
      </c>
      <c r="H578" s="23">
        <v>5.0000000000000001E-3</v>
      </c>
      <c r="I578" s="39">
        <v>44501</v>
      </c>
      <c r="J578" s="39">
        <v>44530</v>
      </c>
      <c r="K578" s="24">
        <v>30</v>
      </c>
      <c r="L578" s="24">
        <v>898</v>
      </c>
      <c r="M578" s="24">
        <v>2184000</v>
      </c>
      <c r="N578" s="39">
        <v>45999</v>
      </c>
    </row>
    <row r="579" spans="1:14" s="5" customFormat="1" outlineLevel="2">
      <c r="A579" s="39" t="s">
        <v>142</v>
      </c>
      <c r="B579" s="40" t="s">
        <v>214</v>
      </c>
      <c r="C579" s="41" t="s">
        <v>149</v>
      </c>
      <c r="D579" s="40" t="s">
        <v>150</v>
      </c>
      <c r="E579" s="24">
        <v>20764000</v>
      </c>
      <c r="F579" s="39">
        <v>44176</v>
      </c>
      <c r="G579" s="24">
        <v>20764000</v>
      </c>
      <c r="H579" s="23">
        <v>5.0000000000000001E-3</v>
      </c>
      <c r="I579" s="39">
        <v>44501</v>
      </c>
      <c r="J579" s="39">
        <v>44530</v>
      </c>
      <c r="K579" s="24">
        <v>30</v>
      </c>
      <c r="L579" s="24">
        <v>8533</v>
      </c>
      <c r="M579" s="24">
        <v>20764000</v>
      </c>
      <c r="N579" s="39">
        <v>46001</v>
      </c>
    </row>
    <row r="580" spans="1:14" s="5" customFormat="1" outlineLevel="2">
      <c r="A580" s="39" t="s">
        <v>142</v>
      </c>
      <c r="B580" s="40" t="s">
        <v>215</v>
      </c>
      <c r="C580" s="41" t="s">
        <v>149</v>
      </c>
      <c r="D580" s="40" t="s">
        <v>150</v>
      </c>
      <c r="E580" s="24">
        <v>2423030</v>
      </c>
      <c r="F580" s="39">
        <v>44190</v>
      </c>
      <c r="G580" s="24">
        <v>2423030</v>
      </c>
      <c r="H580" s="23">
        <v>5.0000000000000001E-3</v>
      </c>
      <c r="I580" s="39">
        <v>44501</v>
      </c>
      <c r="J580" s="39">
        <v>44530</v>
      </c>
      <c r="K580" s="24">
        <v>30</v>
      </c>
      <c r="L580" s="24">
        <v>996</v>
      </c>
      <c r="M580" s="24">
        <v>2423030</v>
      </c>
      <c r="N580" s="39">
        <v>46015</v>
      </c>
    </row>
    <row r="581" spans="1:14" s="5" customFormat="1" outlineLevel="2">
      <c r="A581" s="39" t="s">
        <v>142</v>
      </c>
      <c r="B581" s="40" t="s">
        <v>68</v>
      </c>
      <c r="C581" s="41" t="s">
        <v>117</v>
      </c>
      <c r="D581" s="40" t="s">
        <v>118</v>
      </c>
      <c r="E581" s="24">
        <v>50000000</v>
      </c>
      <c r="F581" s="39">
        <v>43908</v>
      </c>
      <c r="G581" s="24">
        <v>50000000</v>
      </c>
      <c r="H581" s="23">
        <v>5.0000000000000001E-3</v>
      </c>
      <c r="I581" s="39">
        <v>44501</v>
      </c>
      <c r="J581" s="39">
        <v>44530</v>
      </c>
      <c r="K581" s="24">
        <v>30</v>
      </c>
      <c r="L581" s="24">
        <v>20548</v>
      </c>
      <c r="M581" s="24">
        <v>50000000</v>
      </c>
      <c r="N581" s="39">
        <v>45733</v>
      </c>
    </row>
    <row r="582" spans="1:14" s="5" customFormat="1" outlineLevel="2">
      <c r="A582" s="39" t="s">
        <v>142</v>
      </c>
      <c r="B582" s="40" t="s">
        <v>216</v>
      </c>
      <c r="C582" s="41" t="s">
        <v>149</v>
      </c>
      <c r="D582" s="40" t="s">
        <v>150</v>
      </c>
      <c r="E582" s="24">
        <v>5653738</v>
      </c>
      <c r="F582" s="39">
        <v>44196</v>
      </c>
      <c r="G582" s="24">
        <v>5653738</v>
      </c>
      <c r="H582" s="23">
        <v>5.0000000000000001E-3</v>
      </c>
      <c r="I582" s="39">
        <v>44501</v>
      </c>
      <c r="J582" s="39">
        <v>44530</v>
      </c>
      <c r="K582" s="24">
        <v>30</v>
      </c>
      <c r="L582" s="24">
        <v>2323</v>
      </c>
      <c r="M582" s="24">
        <v>5653738</v>
      </c>
      <c r="N582" s="39">
        <v>46021</v>
      </c>
    </row>
    <row r="583" spans="1:14" s="5" customFormat="1" outlineLevel="2">
      <c r="A583" s="39" t="s">
        <v>142</v>
      </c>
      <c r="B583" s="40" t="s">
        <v>217</v>
      </c>
      <c r="C583" s="41" t="s">
        <v>155</v>
      </c>
      <c r="D583" s="40" t="s">
        <v>156</v>
      </c>
      <c r="E583" s="24">
        <v>200000000</v>
      </c>
      <c r="F583" s="39">
        <v>44190</v>
      </c>
      <c r="G583" s="24">
        <v>200000000</v>
      </c>
      <c r="H583" s="23">
        <v>5.0000000000000001E-3</v>
      </c>
      <c r="I583" s="39">
        <v>44501</v>
      </c>
      <c r="J583" s="39">
        <v>44530</v>
      </c>
      <c r="K583" s="24">
        <v>30</v>
      </c>
      <c r="L583" s="24">
        <v>82192</v>
      </c>
      <c r="M583" s="24">
        <v>200000000</v>
      </c>
      <c r="N583" s="39">
        <v>46015</v>
      </c>
    </row>
    <row r="584" spans="1:14" s="5" customFormat="1" outlineLevel="2">
      <c r="A584" s="39" t="s">
        <v>142</v>
      </c>
      <c r="B584" s="40" t="s">
        <v>218</v>
      </c>
      <c r="C584" s="41" t="s">
        <v>219</v>
      </c>
      <c r="D584" s="40" t="s">
        <v>220</v>
      </c>
      <c r="E584" s="24">
        <v>14160000</v>
      </c>
      <c r="F584" s="39">
        <v>44190</v>
      </c>
      <c r="G584" s="24">
        <v>14160000</v>
      </c>
      <c r="H584" s="23">
        <v>5.0000000000000001E-3</v>
      </c>
      <c r="I584" s="39">
        <v>44501</v>
      </c>
      <c r="J584" s="39">
        <v>44530</v>
      </c>
      <c r="K584" s="24">
        <v>30</v>
      </c>
      <c r="L584" s="24">
        <v>5819</v>
      </c>
      <c r="M584" s="24">
        <v>14160000</v>
      </c>
      <c r="N584" s="39">
        <v>46015</v>
      </c>
    </row>
    <row r="585" spans="1:14" s="5" customFormat="1" outlineLevel="2">
      <c r="A585" s="39" t="s">
        <v>142</v>
      </c>
      <c r="B585" s="40" t="s">
        <v>221</v>
      </c>
      <c r="C585" s="41" t="s">
        <v>87</v>
      </c>
      <c r="D585" s="40" t="s">
        <v>88</v>
      </c>
      <c r="E585" s="24">
        <v>13481921</v>
      </c>
      <c r="F585" s="39">
        <v>44190</v>
      </c>
      <c r="G585" s="24">
        <v>13481921</v>
      </c>
      <c r="H585" s="23">
        <v>5.0000000000000001E-3</v>
      </c>
      <c r="I585" s="39">
        <v>44501</v>
      </c>
      <c r="J585" s="39">
        <v>44530</v>
      </c>
      <c r="K585" s="24">
        <v>30</v>
      </c>
      <c r="L585" s="24">
        <v>5541</v>
      </c>
      <c r="M585" s="24">
        <v>13481921</v>
      </c>
      <c r="N585" s="39">
        <v>46015</v>
      </c>
    </row>
    <row r="586" spans="1:14" s="5" customFormat="1" outlineLevel="2">
      <c r="A586" s="39" t="s">
        <v>142</v>
      </c>
      <c r="B586" s="40" t="s">
        <v>222</v>
      </c>
      <c r="C586" s="41" t="s">
        <v>143</v>
      </c>
      <c r="D586" s="40" t="s">
        <v>144</v>
      </c>
      <c r="E586" s="24">
        <v>1800000</v>
      </c>
      <c r="F586" s="39">
        <v>44190</v>
      </c>
      <c r="G586" s="24">
        <v>1800000</v>
      </c>
      <c r="H586" s="23">
        <v>5.0000000000000001E-3</v>
      </c>
      <c r="I586" s="39">
        <v>44501</v>
      </c>
      <c r="J586" s="39">
        <v>44530</v>
      </c>
      <c r="K586" s="24">
        <v>30</v>
      </c>
      <c r="L586" s="24">
        <v>740</v>
      </c>
      <c r="M586" s="24">
        <v>1800000</v>
      </c>
      <c r="N586" s="39">
        <v>46015</v>
      </c>
    </row>
    <row r="587" spans="1:14" s="5" customFormat="1" outlineLevel="2">
      <c r="A587" s="39" t="s">
        <v>142</v>
      </c>
      <c r="B587" s="40" t="s">
        <v>223</v>
      </c>
      <c r="C587" s="41" t="s">
        <v>143</v>
      </c>
      <c r="D587" s="40" t="s">
        <v>144</v>
      </c>
      <c r="E587" s="24">
        <v>8300000</v>
      </c>
      <c r="F587" s="39">
        <v>44196</v>
      </c>
      <c r="G587" s="24">
        <v>8300000</v>
      </c>
      <c r="H587" s="23">
        <v>5.0000000000000001E-3</v>
      </c>
      <c r="I587" s="39">
        <v>44501</v>
      </c>
      <c r="J587" s="39">
        <v>44530</v>
      </c>
      <c r="K587" s="24">
        <v>30</v>
      </c>
      <c r="L587" s="24">
        <v>3411</v>
      </c>
      <c r="M587" s="24">
        <v>8300000</v>
      </c>
      <c r="N587" s="39">
        <v>46021</v>
      </c>
    </row>
    <row r="588" spans="1:14" s="5" customFormat="1" outlineLevel="2">
      <c r="A588" s="39" t="s">
        <v>142</v>
      </c>
      <c r="B588" s="40" t="s">
        <v>224</v>
      </c>
      <c r="C588" s="41" t="s">
        <v>165</v>
      </c>
      <c r="D588" s="40" t="s">
        <v>166</v>
      </c>
      <c r="E588" s="24">
        <v>39740000</v>
      </c>
      <c r="F588" s="39">
        <v>44195</v>
      </c>
      <c r="G588" s="24">
        <v>39740000</v>
      </c>
      <c r="H588" s="23">
        <v>5.0000000000000001E-3</v>
      </c>
      <c r="I588" s="39">
        <v>44501</v>
      </c>
      <c r="J588" s="39">
        <v>44530</v>
      </c>
      <c r="K588" s="24">
        <v>30</v>
      </c>
      <c r="L588" s="24">
        <v>16332</v>
      </c>
      <c r="M588" s="24">
        <v>39740000</v>
      </c>
      <c r="N588" s="39">
        <v>45289</v>
      </c>
    </row>
    <row r="589" spans="1:14" s="5" customFormat="1" outlineLevel="2">
      <c r="A589" s="39" t="s">
        <v>142</v>
      </c>
      <c r="B589" s="40" t="s">
        <v>225</v>
      </c>
      <c r="C589" s="41" t="s">
        <v>85</v>
      </c>
      <c r="D589" s="40" t="s">
        <v>86</v>
      </c>
      <c r="E589" s="24">
        <v>4842500</v>
      </c>
      <c r="F589" s="39">
        <v>44202</v>
      </c>
      <c r="G589" s="24">
        <v>4842500</v>
      </c>
      <c r="H589" s="23">
        <v>5.0000000000000001E-3</v>
      </c>
      <c r="I589" s="39">
        <v>44501</v>
      </c>
      <c r="J589" s="39">
        <v>44530</v>
      </c>
      <c r="K589" s="24">
        <v>30</v>
      </c>
      <c r="L589" s="24">
        <v>1990</v>
      </c>
      <c r="M589" s="24">
        <v>4842500</v>
      </c>
      <c r="N589" s="39">
        <v>46027</v>
      </c>
    </row>
    <row r="590" spans="1:14" s="5" customFormat="1" outlineLevel="2">
      <c r="A590" s="39" t="s">
        <v>142</v>
      </c>
      <c r="B590" s="40" t="s">
        <v>226</v>
      </c>
      <c r="C590" s="41" t="s">
        <v>85</v>
      </c>
      <c r="D590" s="40" t="s">
        <v>86</v>
      </c>
      <c r="E590" s="24">
        <v>14527500</v>
      </c>
      <c r="F590" s="39">
        <v>44202</v>
      </c>
      <c r="G590" s="24">
        <v>14527500</v>
      </c>
      <c r="H590" s="23">
        <v>5.0000000000000001E-3</v>
      </c>
      <c r="I590" s="39">
        <v>44501</v>
      </c>
      <c r="J590" s="39">
        <v>44530</v>
      </c>
      <c r="K590" s="24">
        <v>30</v>
      </c>
      <c r="L590" s="24">
        <v>5970</v>
      </c>
      <c r="M590" s="24">
        <v>14527500</v>
      </c>
      <c r="N590" s="39">
        <v>46027</v>
      </c>
    </row>
    <row r="591" spans="1:14" s="5" customFormat="1" outlineLevel="2">
      <c r="A591" s="39" t="s">
        <v>142</v>
      </c>
      <c r="B591" s="40" t="s">
        <v>227</v>
      </c>
      <c r="C591" s="41" t="s">
        <v>143</v>
      </c>
      <c r="D591" s="40" t="s">
        <v>144</v>
      </c>
      <c r="E591" s="24">
        <v>4600000</v>
      </c>
      <c r="F591" s="39">
        <v>44204</v>
      </c>
      <c r="G591" s="24">
        <v>4600000</v>
      </c>
      <c r="H591" s="23">
        <v>5.0000000000000001E-3</v>
      </c>
      <c r="I591" s="39">
        <v>44501</v>
      </c>
      <c r="J591" s="39">
        <v>44530</v>
      </c>
      <c r="K591" s="24">
        <v>30</v>
      </c>
      <c r="L591" s="24">
        <v>1890</v>
      </c>
      <c r="M591" s="24">
        <v>4600000</v>
      </c>
      <c r="N591" s="39">
        <v>46029</v>
      </c>
    </row>
    <row r="592" spans="1:14" s="5" customFormat="1" outlineLevel="1">
      <c r="A592" s="42" t="s">
        <v>228</v>
      </c>
      <c r="B592" s="43"/>
      <c r="C592" s="44"/>
      <c r="D592" s="43"/>
      <c r="E592" s="45">
        <v>6842864680</v>
      </c>
      <c r="F592" s="46"/>
      <c r="G592" s="45"/>
      <c r="H592" s="47"/>
      <c r="I592" s="46"/>
      <c r="J592" s="46"/>
      <c r="K592" s="45"/>
      <c r="L592" s="45">
        <v>2619561</v>
      </c>
      <c r="M592" s="45">
        <v>6803236132</v>
      </c>
      <c r="N592" s="46"/>
    </row>
    <row r="593" spans="1:14" s="5" customFormat="1" outlineLevel="2">
      <c r="A593" s="39" t="s">
        <v>229</v>
      </c>
      <c r="B593" s="40" t="s">
        <v>16</v>
      </c>
      <c r="C593" s="41" t="s">
        <v>117</v>
      </c>
      <c r="D593" s="40" t="s">
        <v>118</v>
      </c>
      <c r="E593" s="24">
        <v>1210000</v>
      </c>
      <c r="F593" s="39">
        <v>44061</v>
      </c>
      <c r="G593" s="24">
        <v>1210000</v>
      </c>
      <c r="H593" s="23">
        <v>5.0000000000000001E-3</v>
      </c>
      <c r="I593" s="39">
        <v>44501</v>
      </c>
      <c r="J593" s="39">
        <v>44530</v>
      </c>
      <c r="K593" s="24">
        <v>30</v>
      </c>
      <c r="L593" s="24">
        <v>497</v>
      </c>
      <c r="M593" s="24">
        <v>1210000</v>
      </c>
      <c r="N593" s="39">
        <v>45886</v>
      </c>
    </row>
    <row r="594" spans="1:14" s="5" customFormat="1" outlineLevel="2">
      <c r="A594" s="39" t="s">
        <v>229</v>
      </c>
      <c r="B594" s="40" t="s">
        <v>39</v>
      </c>
      <c r="C594" s="41" t="s">
        <v>117</v>
      </c>
      <c r="D594" s="40" t="s">
        <v>118</v>
      </c>
      <c r="E594" s="24">
        <v>27550000</v>
      </c>
      <c r="F594" s="39">
        <v>44393</v>
      </c>
      <c r="G594" s="24">
        <v>27550000</v>
      </c>
      <c r="H594" s="23">
        <v>5.0000000000000001E-3</v>
      </c>
      <c r="I594" s="39">
        <v>44501</v>
      </c>
      <c r="J594" s="39">
        <v>44530</v>
      </c>
      <c r="K594" s="24">
        <v>30</v>
      </c>
      <c r="L594" s="24">
        <v>11322</v>
      </c>
      <c r="M594" s="24">
        <v>27550000</v>
      </c>
      <c r="N594" s="39">
        <v>46218</v>
      </c>
    </row>
    <row r="595" spans="1:14" s="5" customFormat="1" outlineLevel="2">
      <c r="A595" s="39" t="s">
        <v>229</v>
      </c>
      <c r="B595" s="40" t="s">
        <v>54</v>
      </c>
      <c r="C595" s="41" t="s">
        <v>219</v>
      </c>
      <c r="D595" s="40" t="s">
        <v>220</v>
      </c>
      <c r="E595" s="24">
        <v>35340000</v>
      </c>
      <c r="F595" s="39">
        <v>44442</v>
      </c>
      <c r="G595" s="24">
        <v>34162000</v>
      </c>
      <c r="H595" s="23">
        <v>5.0000000000000001E-3</v>
      </c>
      <c r="I595" s="39">
        <v>44501</v>
      </c>
      <c r="J595" s="39">
        <v>44514</v>
      </c>
      <c r="K595" s="24">
        <v>14</v>
      </c>
      <c r="L595" s="24">
        <v>6552</v>
      </c>
      <c r="M595" s="24">
        <v>33573000</v>
      </c>
      <c r="N595" s="39">
        <v>45537</v>
      </c>
    </row>
    <row r="596" spans="1:14" s="5" customFormat="1" outlineLevel="2">
      <c r="A596" s="39" t="s">
        <v>229</v>
      </c>
      <c r="B596" s="40" t="s">
        <v>54</v>
      </c>
      <c r="C596" s="41" t="s">
        <v>219</v>
      </c>
      <c r="D596" s="40"/>
      <c r="E596" s="24"/>
      <c r="F596" s="39"/>
      <c r="G596" s="24">
        <v>33573000</v>
      </c>
      <c r="H596" s="23">
        <v>5.0000000000000001E-3</v>
      </c>
      <c r="I596" s="39">
        <v>44515</v>
      </c>
      <c r="J596" s="39">
        <v>44530</v>
      </c>
      <c r="K596" s="24">
        <v>16</v>
      </c>
      <c r="L596" s="24">
        <v>7358</v>
      </c>
      <c r="M596" s="24"/>
      <c r="N596" s="39">
        <v>45537</v>
      </c>
    </row>
    <row r="597" spans="1:14" s="5" customFormat="1" outlineLevel="2">
      <c r="A597" s="39" t="s">
        <v>229</v>
      </c>
      <c r="B597" s="40" t="s">
        <v>59</v>
      </c>
      <c r="C597" s="41" t="s">
        <v>117</v>
      </c>
      <c r="D597" s="40" t="s">
        <v>118</v>
      </c>
      <c r="E597" s="24">
        <v>21240000</v>
      </c>
      <c r="F597" s="39">
        <v>44448</v>
      </c>
      <c r="G597" s="24">
        <v>21240000</v>
      </c>
      <c r="H597" s="23">
        <v>5.0000000000000001E-3</v>
      </c>
      <c r="I597" s="39">
        <v>44501</v>
      </c>
      <c r="J597" s="39">
        <v>44530</v>
      </c>
      <c r="K597" s="24">
        <v>30</v>
      </c>
      <c r="L597" s="24">
        <v>8729</v>
      </c>
      <c r="M597" s="24">
        <v>21240000</v>
      </c>
      <c r="N597" s="39">
        <v>46273</v>
      </c>
    </row>
    <row r="598" spans="1:14" s="5" customFormat="1" outlineLevel="2">
      <c r="A598" s="39" t="s">
        <v>229</v>
      </c>
      <c r="B598" s="40" t="s">
        <v>62</v>
      </c>
      <c r="C598" s="41" t="s">
        <v>414</v>
      </c>
      <c r="D598" s="40" t="s">
        <v>413</v>
      </c>
      <c r="E598" s="24">
        <v>88000000</v>
      </c>
      <c r="F598" s="39">
        <v>44463</v>
      </c>
      <c r="G598" s="24">
        <v>88000000</v>
      </c>
      <c r="H598" s="23">
        <v>5.0000000000000001E-3</v>
      </c>
      <c r="I598" s="39">
        <v>44501</v>
      </c>
      <c r="J598" s="39">
        <v>44530</v>
      </c>
      <c r="K598" s="24">
        <v>30</v>
      </c>
      <c r="L598" s="24">
        <v>36164</v>
      </c>
      <c r="M598" s="24">
        <v>88000000</v>
      </c>
      <c r="N598" s="39">
        <v>45558</v>
      </c>
    </row>
    <row r="599" spans="1:14" s="5" customFormat="1" outlineLevel="2">
      <c r="A599" s="39" t="s">
        <v>229</v>
      </c>
      <c r="B599" s="40" t="s">
        <v>63</v>
      </c>
      <c r="C599" s="41" t="s">
        <v>414</v>
      </c>
      <c r="D599" s="40" t="s">
        <v>413</v>
      </c>
      <c r="E599" s="24">
        <v>6700000</v>
      </c>
      <c r="F599" s="39">
        <v>44463</v>
      </c>
      <c r="G599" s="24">
        <v>6700000</v>
      </c>
      <c r="H599" s="23">
        <v>5.0000000000000001E-3</v>
      </c>
      <c r="I599" s="39">
        <v>44501</v>
      </c>
      <c r="J599" s="39">
        <v>44530</v>
      </c>
      <c r="K599" s="24">
        <v>30</v>
      </c>
      <c r="L599" s="24">
        <v>2753</v>
      </c>
      <c r="M599" s="24">
        <v>6700000</v>
      </c>
      <c r="N599" s="39">
        <v>45558</v>
      </c>
    </row>
    <row r="600" spans="1:14" s="5" customFormat="1" outlineLevel="2">
      <c r="A600" s="39" t="s">
        <v>229</v>
      </c>
      <c r="B600" s="40" t="s">
        <v>64</v>
      </c>
      <c r="C600" s="41" t="s">
        <v>430</v>
      </c>
      <c r="D600" s="40" t="s">
        <v>220</v>
      </c>
      <c r="E600" s="24">
        <v>17951000</v>
      </c>
      <c r="F600" s="39">
        <v>44497</v>
      </c>
      <c r="G600" s="24">
        <v>17951000</v>
      </c>
      <c r="H600" s="23">
        <v>5.0000000000000001E-3</v>
      </c>
      <c r="I600" s="39">
        <v>44501</v>
      </c>
      <c r="J600" s="39">
        <v>44514</v>
      </c>
      <c r="K600" s="24">
        <v>14</v>
      </c>
      <c r="L600" s="24">
        <v>3443</v>
      </c>
      <c r="M600" s="24">
        <v>17641500</v>
      </c>
      <c r="N600" s="39">
        <v>45592</v>
      </c>
    </row>
    <row r="601" spans="1:14" s="5" customFormat="1" outlineLevel="2">
      <c r="A601" s="39" t="s">
        <v>229</v>
      </c>
      <c r="B601" s="40" t="s">
        <v>64</v>
      </c>
      <c r="C601" s="41" t="s">
        <v>430</v>
      </c>
      <c r="D601" s="40"/>
      <c r="E601" s="24"/>
      <c r="F601" s="39"/>
      <c r="G601" s="24">
        <v>17641500</v>
      </c>
      <c r="H601" s="23">
        <v>5.0000000000000001E-3</v>
      </c>
      <c r="I601" s="39">
        <v>44515</v>
      </c>
      <c r="J601" s="39">
        <v>44530</v>
      </c>
      <c r="K601" s="24">
        <v>16</v>
      </c>
      <c r="L601" s="24">
        <v>3867</v>
      </c>
      <c r="M601" s="24"/>
      <c r="N601" s="39">
        <v>45592</v>
      </c>
    </row>
    <row r="602" spans="1:14" s="5" customFormat="1" outlineLevel="1">
      <c r="A602" s="42" t="s">
        <v>230</v>
      </c>
      <c r="B602" s="43"/>
      <c r="C602" s="44"/>
      <c r="D602" s="43"/>
      <c r="E602" s="45">
        <v>197991000</v>
      </c>
      <c r="F602" s="46"/>
      <c r="G602" s="45"/>
      <c r="H602" s="47"/>
      <c r="I602" s="46"/>
      <c r="J602" s="46"/>
      <c r="K602" s="45"/>
      <c r="L602" s="45">
        <v>80685</v>
      </c>
      <c r="M602" s="45">
        <v>195914500</v>
      </c>
      <c r="N602" s="46"/>
    </row>
    <row r="603" spans="1:14" s="5" customFormat="1" outlineLevel="2">
      <c r="A603" s="39" t="s">
        <v>231</v>
      </c>
      <c r="B603" s="40" t="s">
        <v>16</v>
      </c>
      <c r="C603" s="41" t="s">
        <v>17</v>
      </c>
      <c r="D603" s="40" t="s">
        <v>18</v>
      </c>
      <c r="E603" s="24">
        <v>150000000</v>
      </c>
      <c r="F603" s="39">
        <v>43829</v>
      </c>
      <c r="G603" s="24">
        <v>95000000</v>
      </c>
      <c r="H603" s="23">
        <v>5.0000000000000001E-3</v>
      </c>
      <c r="I603" s="39">
        <v>44501</v>
      </c>
      <c r="J603" s="39">
        <v>44514</v>
      </c>
      <c r="K603" s="24">
        <v>14</v>
      </c>
      <c r="L603" s="24">
        <v>18219</v>
      </c>
      <c r="M603" s="24">
        <v>92500000</v>
      </c>
      <c r="N603" s="39">
        <v>45655</v>
      </c>
    </row>
    <row r="604" spans="1:14" s="5" customFormat="1" outlineLevel="2">
      <c r="A604" s="39" t="s">
        <v>231</v>
      </c>
      <c r="B604" s="40" t="s">
        <v>16</v>
      </c>
      <c r="C604" s="41" t="s">
        <v>17</v>
      </c>
      <c r="D604" s="40"/>
      <c r="E604" s="24"/>
      <c r="F604" s="39"/>
      <c r="G604" s="24">
        <v>92500000</v>
      </c>
      <c r="H604" s="23">
        <v>5.0000000000000001E-3</v>
      </c>
      <c r="I604" s="39">
        <v>44515</v>
      </c>
      <c r="J604" s="39">
        <v>44530</v>
      </c>
      <c r="K604" s="24">
        <v>16</v>
      </c>
      <c r="L604" s="24">
        <v>20274</v>
      </c>
      <c r="M604" s="24"/>
      <c r="N604" s="39">
        <v>45655</v>
      </c>
    </row>
    <row r="605" spans="1:14" s="5" customFormat="1" outlineLevel="2">
      <c r="A605" s="39" t="s">
        <v>231</v>
      </c>
      <c r="B605" s="40" t="s">
        <v>19</v>
      </c>
      <c r="C605" s="41" t="s">
        <v>17</v>
      </c>
      <c r="D605" s="40" t="s">
        <v>18</v>
      </c>
      <c r="E605" s="24">
        <v>9460000</v>
      </c>
      <c r="F605" s="39">
        <v>43990</v>
      </c>
      <c r="G605" s="24">
        <v>6536000</v>
      </c>
      <c r="H605" s="23">
        <v>5.0000000000000001E-3</v>
      </c>
      <c r="I605" s="39">
        <v>44501</v>
      </c>
      <c r="J605" s="39">
        <v>44514</v>
      </c>
      <c r="K605" s="24">
        <v>14</v>
      </c>
      <c r="L605" s="24">
        <v>1253</v>
      </c>
      <c r="M605" s="24">
        <v>6364000</v>
      </c>
      <c r="N605" s="39">
        <v>45815</v>
      </c>
    </row>
    <row r="606" spans="1:14" s="5" customFormat="1" outlineLevel="2">
      <c r="A606" s="39" t="s">
        <v>231</v>
      </c>
      <c r="B606" s="40" t="s">
        <v>19</v>
      </c>
      <c r="C606" s="41" t="s">
        <v>17</v>
      </c>
      <c r="D606" s="40"/>
      <c r="E606" s="24"/>
      <c r="F606" s="39"/>
      <c r="G606" s="24">
        <v>6364000</v>
      </c>
      <c r="H606" s="23">
        <v>5.0000000000000001E-3</v>
      </c>
      <c r="I606" s="39">
        <v>44515</v>
      </c>
      <c r="J606" s="39">
        <v>44530</v>
      </c>
      <c r="K606" s="24">
        <v>16</v>
      </c>
      <c r="L606" s="24">
        <v>1395</v>
      </c>
      <c r="M606" s="24"/>
      <c r="N606" s="39">
        <v>45815</v>
      </c>
    </row>
    <row r="607" spans="1:14" s="5" customFormat="1" outlineLevel="2">
      <c r="A607" s="39" t="s">
        <v>231</v>
      </c>
      <c r="B607" s="40" t="s">
        <v>22</v>
      </c>
      <c r="C607" s="41" t="s">
        <v>45</v>
      </c>
      <c r="D607" s="40" t="s">
        <v>46</v>
      </c>
      <c r="E607" s="24">
        <v>5000000</v>
      </c>
      <c r="F607" s="39">
        <v>44046</v>
      </c>
      <c r="G607" s="24">
        <v>5000000</v>
      </c>
      <c r="H607" s="23">
        <v>5.0000000000000001E-3</v>
      </c>
      <c r="I607" s="39">
        <v>44501</v>
      </c>
      <c r="J607" s="39">
        <v>44530</v>
      </c>
      <c r="K607" s="24">
        <v>30</v>
      </c>
      <c r="L607" s="24">
        <v>2055</v>
      </c>
      <c r="M607" s="24">
        <v>5000000</v>
      </c>
      <c r="N607" s="39">
        <v>45871</v>
      </c>
    </row>
    <row r="608" spans="1:14" s="5" customFormat="1" outlineLevel="2">
      <c r="A608" s="39" t="s">
        <v>231</v>
      </c>
      <c r="B608" s="40" t="s">
        <v>25</v>
      </c>
      <c r="C608" s="41" t="s">
        <v>143</v>
      </c>
      <c r="D608" s="40" t="s">
        <v>144</v>
      </c>
      <c r="E608" s="24">
        <v>20000000</v>
      </c>
      <c r="F608" s="39">
        <v>44155</v>
      </c>
      <c r="G608" s="24">
        <v>20000000</v>
      </c>
      <c r="H608" s="23">
        <v>5.0000000000000001E-3</v>
      </c>
      <c r="I608" s="39">
        <v>44501</v>
      </c>
      <c r="J608" s="39">
        <v>44530</v>
      </c>
      <c r="K608" s="24">
        <v>30</v>
      </c>
      <c r="L608" s="24">
        <v>8219</v>
      </c>
      <c r="M608" s="24">
        <v>20000000</v>
      </c>
      <c r="N608" s="39">
        <v>45980</v>
      </c>
    </row>
    <row r="609" spans="1:14" s="5" customFormat="1" outlineLevel="2">
      <c r="A609" s="39" t="s">
        <v>231</v>
      </c>
      <c r="B609" s="40" t="s">
        <v>26</v>
      </c>
      <c r="C609" s="41" t="s">
        <v>232</v>
      </c>
      <c r="D609" s="40" t="s">
        <v>233</v>
      </c>
      <c r="E609" s="24">
        <v>125000000</v>
      </c>
      <c r="F609" s="39">
        <v>44193</v>
      </c>
      <c r="G609" s="24">
        <v>125000000</v>
      </c>
      <c r="H609" s="23">
        <v>5.0000000000000001E-3</v>
      </c>
      <c r="I609" s="39">
        <v>44501</v>
      </c>
      <c r="J609" s="39">
        <v>44530</v>
      </c>
      <c r="K609" s="24">
        <v>30</v>
      </c>
      <c r="L609" s="24">
        <v>51370</v>
      </c>
      <c r="M609" s="24">
        <v>125000000</v>
      </c>
      <c r="N609" s="39">
        <v>46018</v>
      </c>
    </row>
    <row r="610" spans="1:14" s="5" customFormat="1" outlineLevel="2">
      <c r="A610" s="39" t="s">
        <v>231</v>
      </c>
      <c r="B610" s="40" t="s">
        <v>29</v>
      </c>
      <c r="C610" s="41" t="s">
        <v>143</v>
      </c>
      <c r="D610" s="40" t="s">
        <v>144</v>
      </c>
      <c r="E610" s="24">
        <v>20000000</v>
      </c>
      <c r="F610" s="39">
        <v>44194</v>
      </c>
      <c r="G610" s="24">
        <v>20000000</v>
      </c>
      <c r="H610" s="23">
        <v>5.0000000000000001E-3</v>
      </c>
      <c r="I610" s="39">
        <v>44501</v>
      </c>
      <c r="J610" s="39">
        <v>44530</v>
      </c>
      <c r="K610" s="24">
        <v>30</v>
      </c>
      <c r="L610" s="24">
        <v>8219</v>
      </c>
      <c r="M610" s="24">
        <v>20000000</v>
      </c>
      <c r="N610" s="39">
        <v>46019</v>
      </c>
    </row>
    <row r="611" spans="1:14" s="5" customFormat="1" outlineLevel="2">
      <c r="A611" s="39" t="s">
        <v>231</v>
      </c>
      <c r="B611" s="40" t="s">
        <v>32</v>
      </c>
      <c r="C611" s="41" t="s">
        <v>30</v>
      </c>
      <c r="D611" s="40" t="s">
        <v>31</v>
      </c>
      <c r="E611" s="24">
        <v>120000000</v>
      </c>
      <c r="F611" s="39">
        <v>44214</v>
      </c>
      <c r="G611" s="24">
        <v>120000000</v>
      </c>
      <c r="H611" s="23">
        <v>5.0000000000000001E-3</v>
      </c>
      <c r="I611" s="39">
        <v>44501</v>
      </c>
      <c r="J611" s="39">
        <v>44530</v>
      </c>
      <c r="K611" s="24">
        <v>30</v>
      </c>
      <c r="L611" s="24">
        <v>49315</v>
      </c>
      <c r="M611" s="24">
        <v>120000000</v>
      </c>
      <c r="N611" s="39">
        <v>46039</v>
      </c>
    </row>
    <row r="612" spans="1:14" s="5" customFormat="1" outlineLevel="2">
      <c r="A612" s="39" t="s">
        <v>231</v>
      </c>
      <c r="B612" s="40" t="s">
        <v>33</v>
      </c>
      <c r="C612" s="41" t="s">
        <v>143</v>
      </c>
      <c r="D612" s="40" t="s">
        <v>144</v>
      </c>
      <c r="E612" s="24">
        <v>20000000</v>
      </c>
      <c r="F612" s="39">
        <v>44225</v>
      </c>
      <c r="G612" s="24">
        <v>20000000</v>
      </c>
      <c r="H612" s="23">
        <v>5.0000000000000001E-3</v>
      </c>
      <c r="I612" s="39">
        <v>44501</v>
      </c>
      <c r="J612" s="39">
        <v>44530</v>
      </c>
      <c r="K612" s="24">
        <v>30</v>
      </c>
      <c r="L612" s="24">
        <v>8219</v>
      </c>
      <c r="M612" s="24">
        <v>20000000</v>
      </c>
      <c r="N612" s="39">
        <v>46050</v>
      </c>
    </row>
    <row r="613" spans="1:14" s="5" customFormat="1" outlineLevel="2">
      <c r="A613" s="39" t="s">
        <v>231</v>
      </c>
      <c r="B613" s="40" t="s">
        <v>34</v>
      </c>
      <c r="C613" s="41" t="s">
        <v>280</v>
      </c>
      <c r="D613" s="40" t="s">
        <v>281</v>
      </c>
      <c r="E613" s="24">
        <v>250000000</v>
      </c>
      <c r="F613" s="39">
        <v>44228</v>
      </c>
      <c r="G613" s="24">
        <v>250000000</v>
      </c>
      <c r="H613" s="23">
        <v>3.0000000000000001E-3</v>
      </c>
      <c r="I613" s="39">
        <v>44501</v>
      </c>
      <c r="J613" s="39">
        <v>44530</v>
      </c>
      <c r="K613" s="24">
        <v>30</v>
      </c>
      <c r="L613" s="24">
        <v>61644</v>
      </c>
      <c r="M613" s="24">
        <v>250000000</v>
      </c>
      <c r="N613" s="39">
        <v>46053</v>
      </c>
    </row>
    <row r="614" spans="1:14" s="5" customFormat="1" outlineLevel="2">
      <c r="A614" s="39" t="s">
        <v>231</v>
      </c>
      <c r="B614" s="40" t="s">
        <v>35</v>
      </c>
      <c r="C614" s="41" t="s">
        <v>143</v>
      </c>
      <c r="D614" s="40" t="s">
        <v>144</v>
      </c>
      <c r="E614" s="24">
        <v>20000000</v>
      </c>
      <c r="F614" s="39">
        <v>44253</v>
      </c>
      <c r="G614" s="24">
        <v>20000000</v>
      </c>
      <c r="H614" s="23">
        <v>5.0000000000000001E-3</v>
      </c>
      <c r="I614" s="39">
        <v>44501</v>
      </c>
      <c r="J614" s="39">
        <v>44530</v>
      </c>
      <c r="K614" s="24">
        <v>30</v>
      </c>
      <c r="L614" s="24">
        <v>8219</v>
      </c>
      <c r="M614" s="24">
        <v>20000000</v>
      </c>
      <c r="N614" s="39">
        <v>46078</v>
      </c>
    </row>
    <row r="615" spans="1:14" s="5" customFormat="1" outlineLevel="2">
      <c r="A615" s="39" t="s">
        <v>231</v>
      </c>
      <c r="B615" s="40" t="s">
        <v>36</v>
      </c>
      <c r="C615" s="41" t="s">
        <v>280</v>
      </c>
      <c r="D615" s="40" t="s">
        <v>281</v>
      </c>
      <c r="E615" s="24">
        <v>160000000</v>
      </c>
      <c r="F615" s="39">
        <v>44286</v>
      </c>
      <c r="G615" s="24">
        <v>160000000</v>
      </c>
      <c r="H615" s="23">
        <v>3.0000000000000001E-3</v>
      </c>
      <c r="I615" s="39">
        <v>44501</v>
      </c>
      <c r="J615" s="39">
        <v>44530</v>
      </c>
      <c r="K615" s="24">
        <v>30</v>
      </c>
      <c r="L615" s="24">
        <v>39452</v>
      </c>
      <c r="M615" s="24">
        <v>160000000</v>
      </c>
      <c r="N615" s="39">
        <v>46111</v>
      </c>
    </row>
    <row r="616" spans="1:14" s="5" customFormat="1" outlineLevel="2">
      <c r="A616" s="39" t="s">
        <v>231</v>
      </c>
      <c r="B616" s="40" t="s">
        <v>39</v>
      </c>
      <c r="C616" s="41" t="s">
        <v>17</v>
      </c>
      <c r="D616" s="40" t="s">
        <v>18</v>
      </c>
      <c r="E616" s="24">
        <v>32900000</v>
      </c>
      <c r="F616" s="39">
        <v>43829</v>
      </c>
      <c r="G616" s="24">
        <v>20836674</v>
      </c>
      <c r="H616" s="23">
        <v>5.0000000000000001E-3</v>
      </c>
      <c r="I616" s="39">
        <v>44501</v>
      </c>
      <c r="J616" s="39">
        <v>44514</v>
      </c>
      <c r="K616" s="24">
        <v>14</v>
      </c>
      <c r="L616" s="24">
        <v>3996</v>
      </c>
      <c r="M616" s="24">
        <v>20288341</v>
      </c>
      <c r="N616" s="39">
        <v>45655</v>
      </c>
    </row>
    <row r="617" spans="1:14" s="5" customFormat="1" outlineLevel="2">
      <c r="A617" s="39" t="s">
        <v>231</v>
      </c>
      <c r="B617" s="40" t="s">
        <v>39</v>
      </c>
      <c r="C617" s="41" t="s">
        <v>17</v>
      </c>
      <c r="D617" s="40"/>
      <c r="E617" s="24"/>
      <c r="F617" s="39"/>
      <c r="G617" s="24">
        <v>20288341</v>
      </c>
      <c r="H617" s="23">
        <v>5.0000000000000001E-3</v>
      </c>
      <c r="I617" s="39">
        <v>44515</v>
      </c>
      <c r="J617" s="39">
        <v>44530</v>
      </c>
      <c r="K617" s="24">
        <v>16</v>
      </c>
      <c r="L617" s="24">
        <v>4447</v>
      </c>
      <c r="M617" s="24"/>
      <c r="N617" s="39">
        <v>45655</v>
      </c>
    </row>
    <row r="618" spans="1:14" s="5" customFormat="1" outlineLevel="2">
      <c r="A618" s="39" t="s">
        <v>231</v>
      </c>
      <c r="B618" s="40" t="s">
        <v>40</v>
      </c>
      <c r="C618" s="41" t="s">
        <v>246</v>
      </c>
      <c r="D618" s="40" t="s">
        <v>247</v>
      </c>
      <c r="E618" s="24">
        <v>3400000</v>
      </c>
      <c r="F618" s="39">
        <v>44294</v>
      </c>
      <c r="G618" s="24">
        <v>3400000</v>
      </c>
      <c r="H618" s="23">
        <v>5.0000000000000001E-3</v>
      </c>
      <c r="I618" s="39">
        <v>44501</v>
      </c>
      <c r="J618" s="39">
        <v>44530</v>
      </c>
      <c r="K618" s="24">
        <v>30</v>
      </c>
      <c r="L618" s="24">
        <v>1397</v>
      </c>
      <c r="M618" s="24">
        <v>3400000</v>
      </c>
      <c r="N618" s="39">
        <v>46119</v>
      </c>
    </row>
    <row r="619" spans="1:14" s="5" customFormat="1" outlineLevel="2">
      <c r="A619" s="39" t="s">
        <v>231</v>
      </c>
      <c r="B619" s="40" t="s">
        <v>41</v>
      </c>
      <c r="C619" s="41" t="s">
        <v>280</v>
      </c>
      <c r="D619" s="40" t="s">
        <v>281</v>
      </c>
      <c r="E619" s="24">
        <v>500000000</v>
      </c>
      <c r="F619" s="39">
        <v>44376</v>
      </c>
      <c r="G619" s="24">
        <v>500000000</v>
      </c>
      <c r="H619" s="23">
        <v>3.0000000000000001E-3</v>
      </c>
      <c r="I619" s="39">
        <v>44501</v>
      </c>
      <c r="J619" s="39">
        <v>44530</v>
      </c>
      <c r="K619" s="24">
        <v>30</v>
      </c>
      <c r="L619" s="24">
        <v>123288</v>
      </c>
      <c r="M619" s="24">
        <v>500000000</v>
      </c>
      <c r="N619" s="39">
        <v>46201</v>
      </c>
    </row>
    <row r="620" spans="1:14" s="5" customFormat="1" outlineLevel="2">
      <c r="A620" s="39" t="s">
        <v>231</v>
      </c>
      <c r="B620" s="40" t="s">
        <v>42</v>
      </c>
      <c r="C620" s="41" t="s">
        <v>89</v>
      </c>
      <c r="D620" s="40" t="s">
        <v>90</v>
      </c>
      <c r="E620" s="24">
        <v>40000000</v>
      </c>
      <c r="F620" s="39">
        <v>44424</v>
      </c>
      <c r="G620" s="24">
        <v>40000000</v>
      </c>
      <c r="H620" s="23">
        <v>5.0000000000000001E-3</v>
      </c>
      <c r="I620" s="39">
        <v>44501</v>
      </c>
      <c r="J620" s="39">
        <v>44530</v>
      </c>
      <c r="K620" s="24">
        <v>30</v>
      </c>
      <c r="L620" s="24">
        <v>16438</v>
      </c>
      <c r="M620" s="24">
        <v>40000000</v>
      </c>
      <c r="N620" s="39">
        <v>46249</v>
      </c>
    </row>
    <row r="621" spans="1:14" s="5" customFormat="1" outlineLevel="2">
      <c r="A621" s="39" t="s">
        <v>231</v>
      </c>
      <c r="B621" s="40" t="s">
        <v>43</v>
      </c>
      <c r="C621" s="41" t="s">
        <v>429</v>
      </c>
      <c r="D621" s="40" t="s">
        <v>428</v>
      </c>
      <c r="E621" s="24">
        <v>24800000</v>
      </c>
      <c r="F621" s="39">
        <v>44484</v>
      </c>
      <c r="G621" s="24">
        <v>24800000</v>
      </c>
      <c r="H621" s="23">
        <v>5.0000000000000001E-3</v>
      </c>
      <c r="I621" s="39">
        <v>44501</v>
      </c>
      <c r="J621" s="39">
        <v>44530</v>
      </c>
      <c r="K621" s="24">
        <v>30</v>
      </c>
      <c r="L621" s="24">
        <v>10192</v>
      </c>
      <c r="M621" s="24">
        <v>24800000</v>
      </c>
      <c r="N621" s="39">
        <v>45579</v>
      </c>
    </row>
    <row r="622" spans="1:14" s="5" customFormat="1" outlineLevel="2">
      <c r="A622" s="39" t="s">
        <v>231</v>
      </c>
      <c r="B622" s="40" t="s">
        <v>44</v>
      </c>
      <c r="C622" s="41" t="s">
        <v>30</v>
      </c>
      <c r="D622" s="40" t="s">
        <v>31</v>
      </c>
      <c r="E622" s="24">
        <v>50000000</v>
      </c>
      <c r="F622" s="77">
        <v>44295</v>
      </c>
      <c r="G622" s="24">
        <v>50000000</v>
      </c>
      <c r="H622" s="23">
        <v>5.0000000000000001E-3</v>
      </c>
      <c r="I622" s="77">
        <v>44295</v>
      </c>
      <c r="J622" s="39">
        <v>44530</v>
      </c>
      <c r="K622" s="78">
        <v>236</v>
      </c>
      <c r="L622" s="78">
        <v>161644</v>
      </c>
      <c r="M622" s="24">
        <v>50000000</v>
      </c>
      <c r="N622" s="39">
        <v>46120</v>
      </c>
    </row>
    <row r="623" spans="1:14" s="5" customFormat="1" outlineLevel="2">
      <c r="A623" s="39" t="s">
        <v>231</v>
      </c>
      <c r="B623" s="40" t="s">
        <v>47</v>
      </c>
      <c r="C623" s="41" t="s">
        <v>363</v>
      </c>
      <c r="D623" s="40" t="s">
        <v>362</v>
      </c>
      <c r="E623" s="24">
        <v>1670000</v>
      </c>
      <c r="F623" s="39">
        <v>44502</v>
      </c>
      <c r="G623" s="24">
        <v>1670000</v>
      </c>
      <c r="H623" s="23">
        <v>3.0000000000000001E-3</v>
      </c>
      <c r="I623" s="39">
        <v>44502</v>
      </c>
      <c r="J623" s="39">
        <v>44530</v>
      </c>
      <c r="K623" s="24">
        <v>29</v>
      </c>
      <c r="L623" s="24">
        <v>398</v>
      </c>
      <c r="M623" s="24">
        <v>1670000</v>
      </c>
      <c r="N623" s="39">
        <v>45597</v>
      </c>
    </row>
    <row r="624" spans="1:14" s="5" customFormat="1" outlineLevel="2">
      <c r="A624" s="39" t="s">
        <v>231</v>
      </c>
      <c r="B624" s="40" t="s">
        <v>54</v>
      </c>
      <c r="C624" s="41" t="s">
        <v>17</v>
      </c>
      <c r="D624" s="40" t="s">
        <v>18</v>
      </c>
      <c r="E624" s="24">
        <v>2790000</v>
      </c>
      <c r="F624" s="39">
        <v>43921</v>
      </c>
      <c r="G624" s="24">
        <v>1860007</v>
      </c>
      <c r="H624" s="23">
        <v>5.0000000000000001E-3</v>
      </c>
      <c r="I624" s="39">
        <v>44501</v>
      </c>
      <c r="J624" s="39">
        <v>44514</v>
      </c>
      <c r="K624" s="24">
        <v>14</v>
      </c>
      <c r="L624" s="24">
        <v>357</v>
      </c>
      <c r="M624" s="24">
        <v>1811060</v>
      </c>
      <c r="N624" s="39">
        <v>45746</v>
      </c>
    </row>
    <row r="625" spans="1:14" s="5" customFormat="1" outlineLevel="2">
      <c r="A625" s="39" t="s">
        <v>231</v>
      </c>
      <c r="B625" s="40" t="s">
        <v>54</v>
      </c>
      <c r="C625" s="41" t="s">
        <v>17</v>
      </c>
      <c r="D625" s="40"/>
      <c r="E625" s="24"/>
      <c r="F625" s="39"/>
      <c r="G625" s="24">
        <v>1811060</v>
      </c>
      <c r="H625" s="23">
        <v>5.0000000000000001E-3</v>
      </c>
      <c r="I625" s="39">
        <v>44515</v>
      </c>
      <c r="J625" s="39">
        <v>44530</v>
      </c>
      <c r="K625" s="24">
        <v>16</v>
      </c>
      <c r="L625" s="24">
        <v>397</v>
      </c>
      <c r="M625" s="24"/>
      <c r="N625" s="39">
        <v>45746</v>
      </c>
    </row>
    <row r="626" spans="1:14" s="5" customFormat="1" outlineLevel="2">
      <c r="A626" s="39" t="s">
        <v>231</v>
      </c>
      <c r="B626" s="40" t="s">
        <v>59</v>
      </c>
      <c r="C626" s="41" t="s">
        <v>55</v>
      </c>
      <c r="D626" s="40" t="s">
        <v>56</v>
      </c>
      <c r="E626" s="24">
        <v>12000000</v>
      </c>
      <c r="F626" s="39">
        <v>43948</v>
      </c>
      <c r="G626" s="24">
        <v>8400000</v>
      </c>
      <c r="H626" s="23">
        <v>5.0000000000000001E-3</v>
      </c>
      <c r="I626" s="39">
        <v>44501</v>
      </c>
      <c r="J626" s="39">
        <v>44514</v>
      </c>
      <c r="K626" s="24">
        <v>14</v>
      </c>
      <c r="L626" s="24">
        <v>1611</v>
      </c>
      <c r="M626" s="24">
        <v>8200000</v>
      </c>
      <c r="N626" s="39">
        <v>45773</v>
      </c>
    </row>
    <row r="627" spans="1:14" s="5" customFormat="1" outlineLevel="2">
      <c r="A627" s="39" t="s">
        <v>231</v>
      </c>
      <c r="B627" s="40" t="s">
        <v>59</v>
      </c>
      <c r="C627" s="41" t="s">
        <v>55</v>
      </c>
      <c r="D627" s="40"/>
      <c r="E627" s="24"/>
      <c r="F627" s="39"/>
      <c r="G627" s="24">
        <v>8200000</v>
      </c>
      <c r="H627" s="23">
        <v>5.0000000000000001E-3</v>
      </c>
      <c r="I627" s="39">
        <v>44515</v>
      </c>
      <c r="J627" s="39">
        <v>44530</v>
      </c>
      <c r="K627" s="24">
        <v>16</v>
      </c>
      <c r="L627" s="24">
        <v>1797</v>
      </c>
      <c r="M627" s="24"/>
      <c r="N627" s="39">
        <v>45773</v>
      </c>
    </row>
    <row r="628" spans="1:14" s="5" customFormat="1" outlineLevel="2">
      <c r="A628" s="39" t="s">
        <v>231</v>
      </c>
      <c r="B628" s="40" t="s">
        <v>62</v>
      </c>
      <c r="C628" s="41" t="s">
        <v>30</v>
      </c>
      <c r="D628" s="40" t="s">
        <v>31</v>
      </c>
      <c r="E628" s="24">
        <v>71750000</v>
      </c>
      <c r="F628" s="39">
        <v>43955</v>
      </c>
      <c r="G628" s="24">
        <v>71750000</v>
      </c>
      <c r="H628" s="23">
        <v>5.0000000000000001E-3</v>
      </c>
      <c r="I628" s="39">
        <v>44501</v>
      </c>
      <c r="J628" s="39">
        <v>44530</v>
      </c>
      <c r="K628" s="24">
        <v>30</v>
      </c>
      <c r="L628" s="24">
        <v>29486</v>
      </c>
      <c r="M628" s="24">
        <v>71750000</v>
      </c>
      <c r="N628" s="39">
        <v>45780</v>
      </c>
    </row>
    <row r="629" spans="1:14" s="5" customFormat="1" outlineLevel="2">
      <c r="A629" s="39" t="s">
        <v>231</v>
      </c>
      <c r="B629" s="40" t="s">
        <v>63</v>
      </c>
      <c r="C629" s="41" t="s">
        <v>55</v>
      </c>
      <c r="D629" s="40" t="s">
        <v>56</v>
      </c>
      <c r="E629" s="24">
        <v>10000000</v>
      </c>
      <c r="F629" s="39">
        <v>43963</v>
      </c>
      <c r="G629" s="24">
        <v>7000011</v>
      </c>
      <c r="H629" s="23">
        <v>5.0000000000000001E-3</v>
      </c>
      <c r="I629" s="39">
        <v>44501</v>
      </c>
      <c r="J629" s="39">
        <v>44514</v>
      </c>
      <c r="K629" s="24">
        <v>14</v>
      </c>
      <c r="L629" s="24">
        <v>1342</v>
      </c>
      <c r="M629" s="24">
        <v>6833345</v>
      </c>
      <c r="N629" s="39">
        <v>45788</v>
      </c>
    </row>
    <row r="630" spans="1:14" s="5" customFormat="1" outlineLevel="2">
      <c r="A630" s="39" t="s">
        <v>231</v>
      </c>
      <c r="B630" s="40" t="s">
        <v>63</v>
      </c>
      <c r="C630" s="41" t="s">
        <v>55</v>
      </c>
      <c r="D630" s="40"/>
      <c r="E630" s="24"/>
      <c r="F630" s="39"/>
      <c r="G630" s="24">
        <v>6833345</v>
      </c>
      <c r="H630" s="23">
        <v>5.0000000000000001E-3</v>
      </c>
      <c r="I630" s="39">
        <v>44515</v>
      </c>
      <c r="J630" s="39">
        <v>44530</v>
      </c>
      <c r="K630" s="24">
        <v>16</v>
      </c>
      <c r="L630" s="24">
        <v>1498</v>
      </c>
      <c r="M630" s="24"/>
      <c r="N630" s="39">
        <v>45788</v>
      </c>
    </row>
    <row r="631" spans="1:14" s="5" customFormat="1" outlineLevel="2">
      <c r="A631" s="39" t="s">
        <v>231</v>
      </c>
      <c r="B631" s="40" t="s">
        <v>64</v>
      </c>
      <c r="C631" s="41" t="s">
        <v>55</v>
      </c>
      <c r="D631" s="40" t="s">
        <v>56</v>
      </c>
      <c r="E631" s="24">
        <v>4000000</v>
      </c>
      <c r="F631" s="39">
        <v>43970</v>
      </c>
      <c r="G631" s="24">
        <v>2847468</v>
      </c>
      <c r="H631" s="23">
        <v>5.0000000000000001E-3</v>
      </c>
      <c r="I631" s="39">
        <v>44501</v>
      </c>
      <c r="J631" s="39">
        <v>44514</v>
      </c>
      <c r="K631" s="24">
        <v>14</v>
      </c>
      <c r="L631" s="24">
        <v>546</v>
      </c>
      <c r="M631" s="24">
        <v>2779672</v>
      </c>
      <c r="N631" s="39">
        <v>45795</v>
      </c>
    </row>
    <row r="632" spans="1:14" s="5" customFormat="1" outlineLevel="2">
      <c r="A632" s="39" t="s">
        <v>231</v>
      </c>
      <c r="B632" s="40" t="s">
        <v>64</v>
      </c>
      <c r="C632" s="41" t="s">
        <v>55</v>
      </c>
      <c r="D632" s="40"/>
      <c r="E632" s="24"/>
      <c r="F632" s="39"/>
      <c r="G632" s="24">
        <v>2779672</v>
      </c>
      <c r="H632" s="23">
        <v>5.0000000000000001E-3</v>
      </c>
      <c r="I632" s="39">
        <v>44515</v>
      </c>
      <c r="J632" s="39">
        <v>44530</v>
      </c>
      <c r="K632" s="24">
        <v>16</v>
      </c>
      <c r="L632" s="24">
        <v>609</v>
      </c>
      <c r="M632" s="24"/>
      <c r="N632" s="39">
        <v>45795</v>
      </c>
    </row>
    <row r="633" spans="1:14" s="5" customFormat="1" outlineLevel="2">
      <c r="A633" s="39" t="s">
        <v>231</v>
      </c>
      <c r="B633" s="40" t="s">
        <v>65</v>
      </c>
      <c r="C633" s="41" t="s">
        <v>55</v>
      </c>
      <c r="D633" s="40" t="s">
        <v>56</v>
      </c>
      <c r="E633" s="24">
        <v>18000000</v>
      </c>
      <c r="F633" s="39">
        <v>43977</v>
      </c>
      <c r="G633" s="24">
        <v>12813572</v>
      </c>
      <c r="H633" s="23">
        <v>5.0000000000000001E-3</v>
      </c>
      <c r="I633" s="39">
        <v>44501</v>
      </c>
      <c r="J633" s="39">
        <v>44514</v>
      </c>
      <c r="K633" s="24">
        <v>14</v>
      </c>
      <c r="L633" s="24">
        <v>2457</v>
      </c>
      <c r="M633" s="24">
        <v>12508488</v>
      </c>
      <c r="N633" s="39">
        <v>45802</v>
      </c>
    </row>
    <row r="634" spans="1:14" s="5" customFormat="1" outlineLevel="2">
      <c r="A634" s="39" t="s">
        <v>231</v>
      </c>
      <c r="B634" s="40" t="s">
        <v>65</v>
      </c>
      <c r="C634" s="41" t="s">
        <v>55</v>
      </c>
      <c r="D634" s="40"/>
      <c r="E634" s="24"/>
      <c r="F634" s="39"/>
      <c r="G634" s="24">
        <v>12508488</v>
      </c>
      <c r="H634" s="23">
        <v>5.0000000000000001E-3</v>
      </c>
      <c r="I634" s="39">
        <v>44515</v>
      </c>
      <c r="J634" s="39">
        <v>44530</v>
      </c>
      <c r="K634" s="24">
        <v>16</v>
      </c>
      <c r="L634" s="24">
        <v>2742</v>
      </c>
      <c r="M634" s="24"/>
      <c r="N634" s="39">
        <v>45802</v>
      </c>
    </row>
    <row r="635" spans="1:14" s="5" customFormat="1" outlineLevel="2">
      <c r="A635" s="39" t="s">
        <v>231</v>
      </c>
      <c r="B635" s="40" t="s">
        <v>68</v>
      </c>
      <c r="C635" s="41" t="s">
        <v>55</v>
      </c>
      <c r="D635" s="40" t="s">
        <v>56</v>
      </c>
      <c r="E635" s="24">
        <v>6000000</v>
      </c>
      <c r="F635" s="39">
        <v>43984</v>
      </c>
      <c r="G635" s="24">
        <v>4271202</v>
      </c>
      <c r="H635" s="23">
        <v>5.0000000000000001E-3</v>
      </c>
      <c r="I635" s="39">
        <v>44501</v>
      </c>
      <c r="J635" s="39">
        <v>44514</v>
      </c>
      <c r="K635" s="24">
        <v>14</v>
      </c>
      <c r="L635" s="24">
        <v>819</v>
      </c>
      <c r="M635" s="24">
        <v>4169508</v>
      </c>
      <c r="N635" s="39">
        <v>45809</v>
      </c>
    </row>
    <row r="636" spans="1:14" s="5" customFormat="1" outlineLevel="2">
      <c r="A636" s="39" t="s">
        <v>231</v>
      </c>
      <c r="B636" s="40" t="s">
        <v>68</v>
      </c>
      <c r="C636" s="41" t="s">
        <v>55</v>
      </c>
      <c r="D636" s="40"/>
      <c r="E636" s="24"/>
      <c r="F636" s="39"/>
      <c r="G636" s="24">
        <v>4169508</v>
      </c>
      <c r="H636" s="23">
        <v>5.0000000000000001E-3</v>
      </c>
      <c r="I636" s="39">
        <v>44515</v>
      </c>
      <c r="J636" s="39">
        <v>44530</v>
      </c>
      <c r="K636" s="24">
        <v>16</v>
      </c>
      <c r="L636" s="24">
        <v>914</v>
      </c>
      <c r="M636" s="24"/>
      <c r="N636" s="39">
        <v>45809</v>
      </c>
    </row>
    <row r="637" spans="1:14" s="5" customFormat="1" outlineLevel="1">
      <c r="A637" s="42" t="s">
        <v>234</v>
      </c>
      <c r="B637" s="43"/>
      <c r="C637" s="44"/>
      <c r="D637" s="43"/>
      <c r="E637" s="45">
        <v>1676770000</v>
      </c>
      <c r="F637" s="46"/>
      <c r="G637" s="45"/>
      <c r="H637" s="47"/>
      <c r="I637" s="46"/>
      <c r="J637" s="46"/>
      <c r="K637" s="45"/>
      <c r="L637" s="45">
        <v>644228</v>
      </c>
      <c r="M637" s="45">
        <v>1587074414</v>
      </c>
      <c r="N637" s="46"/>
    </row>
    <row r="638" spans="1:14" s="5" customFormat="1" outlineLevel="2">
      <c r="A638" s="39" t="s">
        <v>235</v>
      </c>
      <c r="B638" s="40" t="s">
        <v>16</v>
      </c>
      <c r="C638" s="41" t="s">
        <v>17</v>
      </c>
      <c r="D638" s="40" t="s">
        <v>18</v>
      </c>
      <c r="E638" s="24">
        <v>50000000</v>
      </c>
      <c r="F638" s="39">
        <v>43829</v>
      </c>
      <c r="G638" s="24">
        <v>31666652</v>
      </c>
      <c r="H638" s="23">
        <v>5.0000000000000001E-3</v>
      </c>
      <c r="I638" s="39">
        <v>44501</v>
      </c>
      <c r="J638" s="39">
        <v>44530</v>
      </c>
      <c r="K638" s="24">
        <v>30</v>
      </c>
      <c r="L638" s="24">
        <v>13014</v>
      </c>
      <c r="M638" s="24">
        <v>31666652</v>
      </c>
      <c r="N638" s="39">
        <v>45655</v>
      </c>
    </row>
    <row r="639" spans="1:14" s="5" customFormat="1" outlineLevel="2">
      <c r="A639" s="39" t="s">
        <v>235</v>
      </c>
      <c r="B639" s="40" t="s">
        <v>19</v>
      </c>
      <c r="C639" s="41" t="s">
        <v>427</v>
      </c>
      <c r="D639" s="40" t="s">
        <v>426</v>
      </c>
      <c r="E639" s="24">
        <v>2060000</v>
      </c>
      <c r="F639" s="39">
        <v>44494</v>
      </c>
      <c r="G639" s="24">
        <v>2060000</v>
      </c>
      <c r="H639" s="23">
        <v>5.0000000000000001E-3</v>
      </c>
      <c r="I639" s="39">
        <v>44501</v>
      </c>
      <c r="J639" s="39">
        <v>44530</v>
      </c>
      <c r="K639" s="24">
        <v>30</v>
      </c>
      <c r="L639" s="24">
        <v>847</v>
      </c>
      <c r="M639" s="24">
        <v>2060000</v>
      </c>
      <c r="N639" s="39">
        <v>45589</v>
      </c>
    </row>
    <row r="640" spans="1:14" s="5" customFormat="1" outlineLevel="2">
      <c r="A640" s="39" t="s">
        <v>235</v>
      </c>
      <c r="B640" s="40" t="s">
        <v>22</v>
      </c>
      <c r="C640" s="41" t="s">
        <v>427</v>
      </c>
      <c r="D640" s="40" t="s">
        <v>426</v>
      </c>
      <c r="E640" s="24">
        <v>21980000</v>
      </c>
      <c r="F640" s="39">
        <v>44494</v>
      </c>
      <c r="G640" s="24">
        <v>21980000</v>
      </c>
      <c r="H640" s="23">
        <v>5.0000000000000001E-3</v>
      </c>
      <c r="I640" s="39">
        <v>44501</v>
      </c>
      <c r="J640" s="39">
        <v>44530</v>
      </c>
      <c r="K640" s="24">
        <v>30</v>
      </c>
      <c r="L640" s="24">
        <v>9033</v>
      </c>
      <c r="M640" s="24">
        <v>21980000</v>
      </c>
      <c r="N640" s="39">
        <v>45589</v>
      </c>
    </row>
    <row r="641" spans="1:14" s="5" customFormat="1" outlineLevel="2">
      <c r="A641" s="39" t="s">
        <v>235</v>
      </c>
      <c r="B641" s="40" t="s">
        <v>25</v>
      </c>
      <c r="C641" s="41" t="s">
        <v>427</v>
      </c>
      <c r="D641" s="40" t="s">
        <v>426</v>
      </c>
      <c r="E641" s="24">
        <v>62960000</v>
      </c>
      <c r="F641" s="39">
        <v>44494</v>
      </c>
      <c r="G641" s="24">
        <v>62960000</v>
      </c>
      <c r="H641" s="23">
        <v>5.0000000000000001E-3</v>
      </c>
      <c r="I641" s="39">
        <v>44501</v>
      </c>
      <c r="J641" s="39">
        <v>44530</v>
      </c>
      <c r="K641" s="24">
        <v>30</v>
      </c>
      <c r="L641" s="24">
        <v>25874</v>
      </c>
      <c r="M641" s="24">
        <v>62960000</v>
      </c>
      <c r="N641" s="39">
        <v>45589</v>
      </c>
    </row>
    <row r="642" spans="1:14" s="5" customFormat="1" outlineLevel="2">
      <c r="A642" s="39" t="s">
        <v>235</v>
      </c>
      <c r="B642" s="40" t="s">
        <v>26</v>
      </c>
      <c r="C642" s="41" t="s">
        <v>414</v>
      </c>
      <c r="D642" s="40" t="s">
        <v>413</v>
      </c>
      <c r="E642" s="24">
        <v>122700000</v>
      </c>
      <c r="F642" s="39">
        <v>44495</v>
      </c>
      <c r="G642" s="24">
        <v>122700000</v>
      </c>
      <c r="H642" s="23">
        <v>5.0000000000000001E-3</v>
      </c>
      <c r="I642" s="39">
        <v>44501</v>
      </c>
      <c r="J642" s="39">
        <v>44530</v>
      </c>
      <c r="K642" s="24">
        <v>30</v>
      </c>
      <c r="L642" s="24">
        <v>50425</v>
      </c>
      <c r="M642" s="24">
        <v>122700000</v>
      </c>
      <c r="N642" s="39">
        <v>45590</v>
      </c>
    </row>
    <row r="643" spans="1:14" s="5" customFormat="1" outlineLevel="2">
      <c r="A643" s="39" t="s">
        <v>235</v>
      </c>
      <c r="B643" s="40" t="s">
        <v>29</v>
      </c>
      <c r="C643" s="41" t="s">
        <v>425</v>
      </c>
      <c r="D643" s="40" t="s">
        <v>424</v>
      </c>
      <c r="E643" s="24">
        <v>10000000</v>
      </c>
      <c r="F643" s="39">
        <v>44515</v>
      </c>
      <c r="G643" s="24">
        <v>10000000</v>
      </c>
      <c r="H643" s="23">
        <v>5.0000000000000001E-3</v>
      </c>
      <c r="I643" s="39">
        <v>44515</v>
      </c>
      <c r="J643" s="39">
        <v>44530</v>
      </c>
      <c r="K643" s="24">
        <v>16</v>
      </c>
      <c r="L643" s="24">
        <v>2192</v>
      </c>
      <c r="M643" s="24">
        <v>10000000</v>
      </c>
      <c r="N643" s="39">
        <v>45610</v>
      </c>
    </row>
    <row r="644" spans="1:14" s="5" customFormat="1" outlineLevel="2">
      <c r="A644" s="39" t="s">
        <v>235</v>
      </c>
      <c r="B644" s="40" t="s">
        <v>39</v>
      </c>
      <c r="C644" s="41" t="s">
        <v>17</v>
      </c>
      <c r="D644" s="40" t="s">
        <v>18</v>
      </c>
      <c r="E644" s="24">
        <v>25200000</v>
      </c>
      <c r="F644" s="39">
        <v>43829</v>
      </c>
      <c r="G644" s="24">
        <v>15960000</v>
      </c>
      <c r="H644" s="23">
        <v>5.0000000000000001E-3</v>
      </c>
      <c r="I644" s="39">
        <v>44501</v>
      </c>
      <c r="J644" s="39">
        <v>44530</v>
      </c>
      <c r="K644" s="24">
        <v>30</v>
      </c>
      <c r="L644" s="24">
        <v>6559</v>
      </c>
      <c r="M644" s="24">
        <v>15960000</v>
      </c>
      <c r="N644" s="39">
        <v>45655</v>
      </c>
    </row>
    <row r="645" spans="1:14" s="5" customFormat="1" outlineLevel="2">
      <c r="A645" s="39" t="s">
        <v>235</v>
      </c>
      <c r="B645" s="40" t="s">
        <v>54</v>
      </c>
      <c r="C645" s="41" t="s">
        <v>17</v>
      </c>
      <c r="D645" s="40" t="s">
        <v>18</v>
      </c>
      <c r="E645" s="24">
        <v>11310000</v>
      </c>
      <c r="F645" s="39">
        <v>43920</v>
      </c>
      <c r="G645" s="24">
        <v>7540001</v>
      </c>
      <c r="H645" s="23">
        <v>5.0000000000000001E-3</v>
      </c>
      <c r="I645" s="39">
        <v>44501</v>
      </c>
      <c r="J645" s="39">
        <v>44530</v>
      </c>
      <c r="K645" s="24">
        <v>30</v>
      </c>
      <c r="L645" s="24">
        <v>3099</v>
      </c>
      <c r="M645" s="24">
        <v>7540001</v>
      </c>
      <c r="N645" s="39">
        <v>45745</v>
      </c>
    </row>
    <row r="646" spans="1:14" s="5" customFormat="1" outlineLevel="2">
      <c r="A646" s="39" t="s">
        <v>235</v>
      </c>
      <c r="B646" s="40" t="s">
        <v>59</v>
      </c>
      <c r="C646" s="41" t="s">
        <v>17</v>
      </c>
      <c r="D646" s="40" t="s">
        <v>18</v>
      </c>
      <c r="E646" s="24">
        <v>6050000</v>
      </c>
      <c r="F646" s="39">
        <v>43990</v>
      </c>
      <c r="G646" s="24">
        <v>4180000</v>
      </c>
      <c r="H646" s="23">
        <v>5.0000000000000001E-3</v>
      </c>
      <c r="I646" s="39">
        <v>44501</v>
      </c>
      <c r="J646" s="39">
        <v>44530</v>
      </c>
      <c r="K646" s="24">
        <v>30</v>
      </c>
      <c r="L646" s="24">
        <v>1718</v>
      </c>
      <c r="M646" s="24">
        <v>4180000</v>
      </c>
      <c r="N646" s="39">
        <v>45815</v>
      </c>
    </row>
    <row r="647" spans="1:14" s="5" customFormat="1" outlineLevel="2">
      <c r="A647" s="39" t="s">
        <v>235</v>
      </c>
      <c r="B647" s="40" t="s">
        <v>62</v>
      </c>
      <c r="C647" s="41" t="s">
        <v>17</v>
      </c>
      <c r="D647" s="40" t="s">
        <v>18</v>
      </c>
      <c r="E647" s="24">
        <v>7541000</v>
      </c>
      <c r="F647" s="39">
        <v>44074</v>
      </c>
      <c r="G647" s="24">
        <v>5510734</v>
      </c>
      <c r="H647" s="23">
        <v>5.0000000000000001E-3</v>
      </c>
      <c r="I647" s="39">
        <v>44501</v>
      </c>
      <c r="J647" s="39">
        <v>44530</v>
      </c>
      <c r="K647" s="24">
        <v>30</v>
      </c>
      <c r="L647" s="24">
        <v>2265</v>
      </c>
      <c r="M647" s="24">
        <v>5510734</v>
      </c>
      <c r="N647" s="39">
        <v>45899</v>
      </c>
    </row>
    <row r="648" spans="1:14" s="5" customFormat="1" outlineLevel="2">
      <c r="A648" s="39" t="s">
        <v>235</v>
      </c>
      <c r="B648" s="40" t="s">
        <v>63</v>
      </c>
      <c r="C648" s="41" t="s">
        <v>17</v>
      </c>
      <c r="D648" s="40" t="s">
        <v>18</v>
      </c>
      <c r="E648" s="24">
        <v>8986000</v>
      </c>
      <c r="F648" s="39">
        <v>44160</v>
      </c>
      <c r="G648" s="24">
        <v>6968732</v>
      </c>
      <c r="H648" s="23">
        <v>5.0000000000000001E-3</v>
      </c>
      <c r="I648" s="39">
        <v>44501</v>
      </c>
      <c r="J648" s="39">
        <v>44530</v>
      </c>
      <c r="K648" s="24">
        <v>30</v>
      </c>
      <c r="L648" s="24">
        <v>2864</v>
      </c>
      <c r="M648" s="24">
        <v>6968732</v>
      </c>
      <c r="N648" s="39">
        <v>45985</v>
      </c>
    </row>
    <row r="649" spans="1:14" s="5" customFormat="1" outlineLevel="2">
      <c r="A649" s="39" t="s">
        <v>235</v>
      </c>
      <c r="B649" s="40" t="s">
        <v>64</v>
      </c>
      <c r="C649" s="41" t="s">
        <v>17</v>
      </c>
      <c r="D649" s="40" t="s">
        <v>18</v>
      </c>
      <c r="E649" s="24">
        <v>2534784</v>
      </c>
      <c r="F649" s="39">
        <v>44334</v>
      </c>
      <c r="G649" s="24">
        <v>2240039</v>
      </c>
      <c r="H649" s="23">
        <v>5.0000000000000001E-3</v>
      </c>
      <c r="I649" s="39">
        <v>44501</v>
      </c>
      <c r="J649" s="39">
        <v>44530</v>
      </c>
      <c r="K649" s="24">
        <v>30</v>
      </c>
      <c r="L649" s="24">
        <v>921</v>
      </c>
      <c r="M649" s="24">
        <v>2240039</v>
      </c>
      <c r="N649" s="39">
        <v>46159</v>
      </c>
    </row>
    <row r="650" spans="1:14" s="5" customFormat="1" outlineLevel="2">
      <c r="A650" s="39" t="s">
        <v>235</v>
      </c>
      <c r="B650" s="40" t="s">
        <v>65</v>
      </c>
      <c r="C650" s="41" t="s">
        <v>410</v>
      </c>
      <c r="D650" s="40" t="s">
        <v>409</v>
      </c>
      <c r="E650" s="24">
        <v>1000000</v>
      </c>
      <c r="F650" s="39">
        <v>44484</v>
      </c>
      <c r="G650" s="24">
        <v>1000000</v>
      </c>
      <c r="H650" s="23">
        <v>5.0000000000000001E-3</v>
      </c>
      <c r="I650" s="39">
        <v>44501</v>
      </c>
      <c r="J650" s="39">
        <v>44530</v>
      </c>
      <c r="K650" s="24">
        <v>30</v>
      </c>
      <c r="L650" s="24">
        <v>411</v>
      </c>
      <c r="M650" s="24">
        <v>1000000</v>
      </c>
      <c r="N650" s="39">
        <v>45579</v>
      </c>
    </row>
    <row r="651" spans="1:14" s="5" customFormat="1" outlineLevel="2">
      <c r="A651" s="39" t="s">
        <v>235</v>
      </c>
      <c r="B651" s="40" t="s">
        <v>68</v>
      </c>
      <c r="C651" s="41" t="s">
        <v>425</v>
      </c>
      <c r="D651" s="40" t="s">
        <v>424</v>
      </c>
      <c r="E651" s="24">
        <v>365000000</v>
      </c>
      <c r="F651" s="39">
        <v>44484</v>
      </c>
      <c r="G651" s="24">
        <v>365000000</v>
      </c>
      <c r="H651" s="23">
        <v>5.0000000000000001E-3</v>
      </c>
      <c r="I651" s="39">
        <v>44501</v>
      </c>
      <c r="J651" s="39">
        <v>44530</v>
      </c>
      <c r="K651" s="24">
        <v>30</v>
      </c>
      <c r="L651" s="24">
        <v>150000</v>
      </c>
      <c r="M651" s="24">
        <v>365000000</v>
      </c>
      <c r="N651" s="39">
        <v>45579</v>
      </c>
    </row>
    <row r="652" spans="1:14" s="5" customFormat="1" outlineLevel="1">
      <c r="A652" s="42" t="s">
        <v>236</v>
      </c>
      <c r="B652" s="43"/>
      <c r="C652" s="44"/>
      <c r="D652" s="43"/>
      <c r="E652" s="45">
        <v>697321784</v>
      </c>
      <c r="F652" s="46"/>
      <c r="G652" s="45"/>
      <c r="H652" s="47"/>
      <c r="I652" s="46"/>
      <c r="J652" s="46"/>
      <c r="K652" s="45"/>
      <c r="L652" s="45">
        <v>269222</v>
      </c>
      <c r="M652" s="45">
        <v>659766158</v>
      </c>
      <c r="N652" s="46"/>
    </row>
    <row r="653" spans="1:14" s="5" customFormat="1" outlineLevel="2">
      <c r="A653" s="39" t="s">
        <v>237</v>
      </c>
      <c r="B653" s="40" t="s">
        <v>16</v>
      </c>
      <c r="C653" s="41" t="s">
        <v>45</v>
      </c>
      <c r="D653" s="40" t="s">
        <v>46</v>
      </c>
      <c r="E653" s="24">
        <v>4300000</v>
      </c>
      <c r="F653" s="39">
        <v>43966</v>
      </c>
      <c r="G653" s="24">
        <v>4300000</v>
      </c>
      <c r="H653" s="23">
        <v>5.0000000000000001E-3</v>
      </c>
      <c r="I653" s="39">
        <v>44501</v>
      </c>
      <c r="J653" s="39">
        <v>44530</v>
      </c>
      <c r="K653" s="24">
        <v>30</v>
      </c>
      <c r="L653" s="24">
        <v>1767</v>
      </c>
      <c r="M653" s="24">
        <v>4300000</v>
      </c>
      <c r="N653" s="39">
        <v>45791</v>
      </c>
    </row>
    <row r="654" spans="1:14" s="5" customFormat="1" outlineLevel="2">
      <c r="A654" s="39" t="s">
        <v>237</v>
      </c>
      <c r="B654" s="40" t="s">
        <v>39</v>
      </c>
      <c r="C654" s="41" t="s">
        <v>66</v>
      </c>
      <c r="D654" s="40" t="s">
        <v>67</v>
      </c>
      <c r="E654" s="24">
        <v>120000000</v>
      </c>
      <c r="F654" s="39">
        <v>44060</v>
      </c>
      <c r="G654" s="24">
        <v>120000000</v>
      </c>
      <c r="H654" s="23">
        <v>5.0000000000000001E-3</v>
      </c>
      <c r="I654" s="39">
        <v>44501</v>
      </c>
      <c r="J654" s="39">
        <v>44530</v>
      </c>
      <c r="K654" s="24">
        <v>30</v>
      </c>
      <c r="L654" s="24">
        <v>49315</v>
      </c>
      <c r="M654" s="24">
        <v>120000000</v>
      </c>
      <c r="N654" s="39">
        <v>45885</v>
      </c>
    </row>
    <row r="655" spans="1:14" s="5" customFormat="1" outlineLevel="1">
      <c r="A655" s="42" t="s">
        <v>238</v>
      </c>
      <c r="B655" s="43"/>
      <c r="C655" s="44"/>
      <c r="D655" s="43"/>
      <c r="E655" s="45">
        <v>124300000</v>
      </c>
      <c r="F655" s="46"/>
      <c r="G655" s="45"/>
      <c r="H655" s="47"/>
      <c r="I655" s="46"/>
      <c r="J655" s="46"/>
      <c r="K655" s="45"/>
      <c r="L655" s="45">
        <v>51082</v>
      </c>
      <c r="M655" s="45">
        <v>124300000</v>
      </c>
      <c r="N655" s="46"/>
    </row>
    <row r="656" spans="1:14" s="5" customFormat="1" outlineLevel="2">
      <c r="A656" s="39" t="s">
        <v>239</v>
      </c>
      <c r="B656" s="40" t="s">
        <v>16</v>
      </c>
      <c r="C656" s="41" t="s">
        <v>109</v>
      </c>
      <c r="D656" s="40" t="s">
        <v>110</v>
      </c>
      <c r="E656" s="24">
        <v>38650000</v>
      </c>
      <c r="F656" s="39">
        <v>43986</v>
      </c>
      <c r="G656" s="24">
        <v>38650000</v>
      </c>
      <c r="H656" s="23">
        <v>5.0000000000000001E-3</v>
      </c>
      <c r="I656" s="39">
        <v>44501</v>
      </c>
      <c r="J656" s="39">
        <v>44530</v>
      </c>
      <c r="K656" s="24">
        <v>30</v>
      </c>
      <c r="L656" s="24">
        <v>15884</v>
      </c>
      <c r="M656" s="24">
        <v>38650000</v>
      </c>
      <c r="N656" s="39">
        <v>45811</v>
      </c>
    </row>
    <row r="657" spans="1:14" s="5" customFormat="1" outlineLevel="2">
      <c r="A657" s="39" t="s">
        <v>239</v>
      </c>
      <c r="B657" s="40" t="s">
        <v>19</v>
      </c>
      <c r="C657" s="41" t="s">
        <v>125</v>
      </c>
      <c r="D657" s="40" t="s">
        <v>126</v>
      </c>
      <c r="E657" s="24">
        <v>23000000</v>
      </c>
      <c r="F657" s="39">
        <v>44155</v>
      </c>
      <c r="G657" s="24">
        <v>23000000</v>
      </c>
      <c r="H657" s="23">
        <v>5.0000000000000001E-3</v>
      </c>
      <c r="I657" s="39">
        <v>44501</v>
      </c>
      <c r="J657" s="39">
        <v>44530</v>
      </c>
      <c r="K657" s="24">
        <v>30</v>
      </c>
      <c r="L657" s="24">
        <v>9452</v>
      </c>
      <c r="M657" s="24">
        <v>23000000</v>
      </c>
      <c r="N657" s="39">
        <v>45980</v>
      </c>
    </row>
    <row r="658" spans="1:14" s="5" customFormat="1" outlineLevel="2">
      <c r="A658" s="39" t="s">
        <v>239</v>
      </c>
      <c r="B658" s="40" t="s">
        <v>22</v>
      </c>
      <c r="C658" s="41" t="s">
        <v>125</v>
      </c>
      <c r="D658" s="40" t="s">
        <v>126</v>
      </c>
      <c r="E658" s="24">
        <v>1000000</v>
      </c>
      <c r="F658" s="39">
        <v>44160</v>
      </c>
      <c r="G658" s="24">
        <v>1000000</v>
      </c>
      <c r="H658" s="23">
        <v>5.0000000000000001E-3</v>
      </c>
      <c r="I658" s="39">
        <v>44501</v>
      </c>
      <c r="J658" s="39">
        <v>44530</v>
      </c>
      <c r="K658" s="24">
        <v>30</v>
      </c>
      <c r="L658" s="24">
        <v>411</v>
      </c>
      <c r="M658" s="24">
        <v>1000000</v>
      </c>
      <c r="N658" s="39">
        <v>45985</v>
      </c>
    </row>
    <row r="659" spans="1:14" s="5" customFormat="1" outlineLevel="2">
      <c r="A659" s="39" t="s">
        <v>239</v>
      </c>
      <c r="B659" s="40" t="s">
        <v>25</v>
      </c>
      <c r="C659" s="41" t="s">
        <v>95</v>
      </c>
      <c r="D659" s="40" t="s">
        <v>96</v>
      </c>
      <c r="E659" s="24">
        <v>6030000</v>
      </c>
      <c r="F659" s="39">
        <v>44145</v>
      </c>
      <c r="G659" s="24">
        <v>6030000</v>
      </c>
      <c r="H659" s="23">
        <v>5.0000000000000001E-3</v>
      </c>
      <c r="I659" s="39">
        <v>44501</v>
      </c>
      <c r="J659" s="39">
        <v>44530</v>
      </c>
      <c r="K659" s="24">
        <v>30</v>
      </c>
      <c r="L659" s="24">
        <v>2478</v>
      </c>
      <c r="M659" s="24">
        <v>6030000</v>
      </c>
      <c r="N659" s="39">
        <v>45970</v>
      </c>
    </row>
    <row r="660" spans="1:14" s="5" customFormat="1" outlineLevel="2">
      <c r="A660" s="39" t="s">
        <v>239</v>
      </c>
      <c r="B660" s="40" t="s">
        <v>26</v>
      </c>
      <c r="C660" s="41" t="s">
        <v>240</v>
      </c>
      <c r="D660" s="40" t="s">
        <v>241</v>
      </c>
      <c r="E660" s="24">
        <v>16018839</v>
      </c>
      <c r="F660" s="39">
        <v>44188</v>
      </c>
      <c r="G660" s="24">
        <v>16018839</v>
      </c>
      <c r="H660" s="23">
        <v>5.0000000000000001E-3</v>
      </c>
      <c r="I660" s="39">
        <v>44501</v>
      </c>
      <c r="J660" s="39">
        <v>44530</v>
      </c>
      <c r="K660" s="24">
        <v>30</v>
      </c>
      <c r="L660" s="24">
        <v>6583</v>
      </c>
      <c r="M660" s="24">
        <v>16018839</v>
      </c>
      <c r="N660" s="39">
        <v>46013</v>
      </c>
    </row>
    <row r="661" spans="1:14" s="5" customFormat="1" outlineLevel="2">
      <c r="A661" s="39" t="s">
        <v>239</v>
      </c>
      <c r="B661" s="40" t="s">
        <v>29</v>
      </c>
      <c r="C661" s="41" t="s">
        <v>240</v>
      </c>
      <c r="D661" s="40" t="s">
        <v>241</v>
      </c>
      <c r="E661" s="24">
        <v>31481161</v>
      </c>
      <c r="F661" s="39">
        <v>44188</v>
      </c>
      <c r="G661" s="24">
        <v>31481161</v>
      </c>
      <c r="H661" s="23">
        <v>5.0000000000000001E-3</v>
      </c>
      <c r="I661" s="39">
        <v>44501</v>
      </c>
      <c r="J661" s="39">
        <v>44530</v>
      </c>
      <c r="K661" s="24">
        <v>30</v>
      </c>
      <c r="L661" s="24">
        <v>12937</v>
      </c>
      <c r="M661" s="24">
        <v>31481161</v>
      </c>
      <c r="N661" s="39">
        <v>46013</v>
      </c>
    </row>
    <row r="662" spans="1:14" s="5" customFormat="1" outlineLevel="2">
      <c r="A662" s="39" t="s">
        <v>239</v>
      </c>
      <c r="B662" s="40" t="s">
        <v>32</v>
      </c>
      <c r="C662" s="41" t="s">
        <v>242</v>
      </c>
      <c r="D662" s="40" t="s">
        <v>243</v>
      </c>
      <c r="E662" s="24">
        <v>10000000</v>
      </c>
      <c r="F662" s="39">
        <v>44172</v>
      </c>
      <c r="G662" s="24">
        <v>10000000</v>
      </c>
      <c r="H662" s="23">
        <v>5.0000000000000001E-3</v>
      </c>
      <c r="I662" s="39">
        <v>44501</v>
      </c>
      <c r="J662" s="39">
        <v>44530</v>
      </c>
      <c r="K662" s="24">
        <v>30</v>
      </c>
      <c r="L662" s="24">
        <v>4110</v>
      </c>
      <c r="M662" s="24">
        <v>10000000</v>
      </c>
      <c r="N662" s="39">
        <v>45997</v>
      </c>
    </row>
    <row r="663" spans="1:14" s="5" customFormat="1" outlineLevel="2">
      <c r="A663" s="39" t="s">
        <v>239</v>
      </c>
      <c r="B663" s="40" t="s">
        <v>33</v>
      </c>
      <c r="C663" s="41" t="s">
        <v>242</v>
      </c>
      <c r="D663" s="40" t="s">
        <v>243</v>
      </c>
      <c r="E663" s="24">
        <v>10000000</v>
      </c>
      <c r="F663" s="39">
        <v>44181</v>
      </c>
      <c r="G663" s="24">
        <v>10000000</v>
      </c>
      <c r="H663" s="23">
        <v>5.0000000000000001E-3</v>
      </c>
      <c r="I663" s="39">
        <v>44501</v>
      </c>
      <c r="J663" s="39">
        <v>44530</v>
      </c>
      <c r="K663" s="24">
        <v>30</v>
      </c>
      <c r="L663" s="24">
        <v>4110</v>
      </c>
      <c r="M663" s="24">
        <v>10000000</v>
      </c>
      <c r="N663" s="39">
        <v>46006</v>
      </c>
    </row>
    <row r="664" spans="1:14" s="5" customFormat="1" outlineLevel="2">
      <c r="A664" s="39" t="s">
        <v>239</v>
      </c>
      <c r="B664" s="40" t="s">
        <v>34</v>
      </c>
      <c r="C664" s="41" t="s">
        <v>244</v>
      </c>
      <c r="D664" s="40" t="s">
        <v>245</v>
      </c>
      <c r="E664" s="24">
        <v>210000000</v>
      </c>
      <c r="F664" s="39">
        <v>44172</v>
      </c>
      <c r="G664" s="24">
        <v>210000000</v>
      </c>
      <c r="H664" s="23">
        <v>5.0000000000000001E-3</v>
      </c>
      <c r="I664" s="39">
        <v>44501</v>
      </c>
      <c r="J664" s="39">
        <v>44530</v>
      </c>
      <c r="K664" s="24">
        <v>30</v>
      </c>
      <c r="L664" s="24">
        <v>86301</v>
      </c>
      <c r="M664" s="24">
        <v>210000000</v>
      </c>
      <c r="N664" s="39">
        <v>45997</v>
      </c>
    </row>
    <row r="665" spans="1:14" s="5" customFormat="1" outlineLevel="2">
      <c r="A665" s="39" t="s">
        <v>239</v>
      </c>
      <c r="B665" s="40" t="s">
        <v>35</v>
      </c>
      <c r="C665" s="41" t="s">
        <v>246</v>
      </c>
      <c r="D665" s="40" t="s">
        <v>247</v>
      </c>
      <c r="E665" s="24">
        <v>3000000</v>
      </c>
      <c r="F665" s="39">
        <v>44167</v>
      </c>
      <c r="G665" s="24">
        <v>3000000</v>
      </c>
      <c r="H665" s="23">
        <v>5.0000000000000001E-3</v>
      </c>
      <c r="I665" s="39">
        <v>44501</v>
      </c>
      <c r="J665" s="39">
        <v>44530</v>
      </c>
      <c r="K665" s="24">
        <v>30</v>
      </c>
      <c r="L665" s="24">
        <v>1233</v>
      </c>
      <c r="M665" s="24">
        <v>3000000</v>
      </c>
      <c r="N665" s="39">
        <v>45992</v>
      </c>
    </row>
    <row r="666" spans="1:14" s="5" customFormat="1" outlineLevel="2">
      <c r="A666" s="39" t="s">
        <v>239</v>
      </c>
      <c r="B666" s="40" t="s">
        <v>36</v>
      </c>
      <c r="C666" s="41" t="s">
        <v>95</v>
      </c>
      <c r="D666" s="40" t="s">
        <v>96</v>
      </c>
      <c r="E666" s="24">
        <v>5530000</v>
      </c>
      <c r="F666" s="39">
        <v>44168</v>
      </c>
      <c r="G666" s="24">
        <v>5530000</v>
      </c>
      <c r="H666" s="23">
        <v>5.0000000000000001E-3</v>
      </c>
      <c r="I666" s="39">
        <v>44501</v>
      </c>
      <c r="J666" s="39">
        <v>44530</v>
      </c>
      <c r="K666" s="24">
        <v>30</v>
      </c>
      <c r="L666" s="24">
        <v>2273</v>
      </c>
      <c r="M666" s="24">
        <v>5530000</v>
      </c>
      <c r="N666" s="39">
        <v>45993</v>
      </c>
    </row>
    <row r="667" spans="1:14" s="5" customFormat="1" outlineLevel="2">
      <c r="A667" s="39" t="s">
        <v>239</v>
      </c>
      <c r="B667" s="40" t="s">
        <v>39</v>
      </c>
      <c r="C667" s="41" t="s">
        <v>248</v>
      </c>
      <c r="D667" s="40" t="s">
        <v>249</v>
      </c>
      <c r="E667" s="24">
        <v>23530000</v>
      </c>
      <c r="F667" s="39">
        <v>44013</v>
      </c>
      <c r="G667" s="24">
        <v>23530000</v>
      </c>
      <c r="H667" s="23">
        <v>5.0000000000000001E-3</v>
      </c>
      <c r="I667" s="39">
        <v>44501</v>
      </c>
      <c r="J667" s="39">
        <v>44530</v>
      </c>
      <c r="K667" s="24">
        <v>30</v>
      </c>
      <c r="L667" s="24">
        <v>9670</v>
      </c>
      <c r="M667" s="24">
        <v>23530000</v>
      </c>
      <c r="N667" s="39">
        <v>45838</v>
      </c>
    </row>
    <row r="668" spans="1:14" s="5" customFormat="1" outlineLevel="2">
      <c r="A668" s="39" t="s">
        <v>239</v>
      </c>
      <c r="B668" s="40" t="s">
        <v>40</v>
      </c>
      <c r="C668" s="41" t="s">
        <v>242</v>
      </c>
      <c r="D668" s="40" t="s">
        <v>243</v>
      </c>
      <c r="E668" s="24">
        <v>10000000</v>
      </c>
      <c r="F668" s="39">
        <v>44208</v>
      </c>
      <c r="G668" s="24">
        <v>10000000</v>
      </c>
      <c r="H668" s="23">
        <v>5.0000000000000001E-3</v>
      </c>
      <c r="I668" s="39">
        <v>44501</v>
      </c>
      <c r="J668" s="39">
        <v>44530</v>
      </c>
      <c r="K668" s="24">
        <v>30</v>
      </c>
      <c r="L668" s="24">
        <v>4110</v>
      </c>
      <c r="M668" s="24">
        <v>10000000</v>
      </c>
      <c r="N668" s="39">
        <v>46033</v>
      </c>
    </row>
    <row r="669" spans="1:14" s="5" customFormat="1" outlineLevel="2">
      <c r="A669" s="39" t="s">
        <v>239</v>
      </c>
      <c r="B669" s="40" t="s">
        <v>41</v>
      </c>
      <c r="C669" s="41" t="s">
        <v>125</v>
      </c>
      <c r="D669" s="40" t="s">
        <v>126</v>
      </c>
      <c r="E669" s="24">
        <v>28000000</v>
      </c>
      <c r="F669" s="39">
        <v>44217</v>
      </c>
      <c r="G669" s="24">
        <v>28000000</v>
      </c>
      <c r="H669" s="23">
        <v>5.0000000000000001E-3</v>
      </c>
      <c r="I669" s="39">
        <v>44501</v>
      </c>
      <c r="J669" s="39">
        <v>44530</v>
      </c>
      <c r="K669" s="24">
        <v>30</v>
      </c>
      <c r="L669" s="24">
        <v>11507</v>
      </c>
      <c r="M669" s="24">
        <v>28000000</v>
      </c>
      <c r="N669" s="39">
        <v>46042</v>
      </c>
    </row>
    <row r="670" spans="1:14" s="5" customFormat="1" outlineLevel="2">
      <c r="A670" s="39" t="s">
        <v>239</v>
      </c>
      <c r="B670" s="40" t="s">
        <v>42</v>
      </c>
      <c r="C670" s="41" t="s">
        <v>250</v>
      </c>
      <c r="D670" s="40" t="s">
        <v>251</v>
      </c>
      <c r="E670" s="24">
        <v>22500000</v>
      </c>
      <c r="F670" s="39">
        <v>44215</v>
      </c>
      <c r="G670" s="24">
        <v>19125000</v>
      </c>
      <c r="H670" s="23">
        <v>5.0000000000000001E-3</v>
      </c>
      <c r="I670" s="39">
        <v>44501</v>
      </c>
      <c r="J670" s="39">
        <v>44514</v>
      </c>
      <c r="K670" s="24">
        <v>14</v>
      </c>
      <c r="L670" s="24">
        <v>3668</v>
      </c>
      <c r="M670" s="24">
        <v>18750000</v>
      </c>
      <c r="N670" s="39">
        <v>46040</v>
      </c>
    </row>
    <row r="671" spans="1:14" s="5" customFormat="1" outlineLevel="2">
      <c r="A671" s="39" t="s">
        <v>239</v>
      </c>
      <c r="B671" s="40" t="s">
        <v>42</v>
      </c>
      <c r="C671" s="41" t="s">
        <v>250</v>
      </c>
      <c r="D671" s="40"/>
      <c r="E671" s="24"/>
      <c r="F671" s="39"/>
      <c r="G671" s="24">
        <v>18750000</v>
      </c>
      <c r="H671" s="23">
        <v>5.0000000000000001E-3</v>
      </c>
      <c r="I671" s="39">
        <v>44515</v>
      </c>
      <c r="J671" s="39">
        <v>44530</v>
      </c>
      <c r="K671" s="24">
        <v>16</v>
      </c>
      <c r="L671" s="24">
        <v>4110</v>
      </c>
      <c r="M671" s="24"/>
      <c r="N671" s="39">
        <v>46040</v>
      </c>
    </row>
    <row r="672" spans="1:14" s="5" customFormat="1" outlineLevel="2">
      <c r="A672" s="39" t="s">
        <v>239</v>
      </c>
      <c r="B672" s="40" t="s">
        <v>43</v>
      </c>
      <c r="C672" s="41" t="s">
        <v>250</v>
      </c>
      <c r="D672" s="40" t="s">
        <v>251</v>
      </c>
      <c r="E672" s="24">
        <v>4950000</v>
      </c>
      <c r="F672" s="39">
        <v>44215</v>
      </c>
      <c r="G672" s="24">
        <v>4207500</v>
      </c>
      <c r="H672" s="23">
        <v>5.0000000000000001E-3</v>
      </c>
      <c r="I672" s="39">
        <v>44501</v>
      </c>
      <c r="J672" s="39">
        <v>44514</v>
      </c>
      <c r="K672" s="24">
        <v>14</v>
      </c>
      <c r="L672" s="24">
        <v>807</v>
      </c>
      <c r="M672" s="24">
        <v>4125000</v>
      </c>
      <c r="N672" s="39">
        <v>46040</v>
      </c>
    </row>
    <row r="673" spans="1:14" s="5" customFormat="1" outlineLevel="2">
      <c r="A673" s="39" t="s">
        <v>239</v>
      </c>
      <c r="B673" s="40" t="s">
        <v>43</v>
      </c>
      <c r="C673" s="41" t="s">
        <v>250</v>
      </c>
      <c r="D673" s="40"/>
      <c r="E673" s="24"/>
      <c r="F673" s="39"/>
      <c r="G673" s="24">
        <v>4125000</v>
      </c>
      <c r="H673" s="23">
        <v>5.0000000000000001E-3</v>
      </c>
      <c r="I673" s="39">
        <v>44515</v>
      </c>
      <c r="J673" s="39">
        <v>44530</v>
      </c>
      <c r="K673" s="24">
        <v>16</v>
      </c>
      <c r="L673" s="24">
        <v>904</v>
      </c>
      <c r="M673" s="24"/>
      <c r="N673" s="39">
        <v>46040</v>
      </c>
    </row>
    <row r="674" spans="1:14" s="5" customFormat="1" outlineLevel="2">
      <c r="A674" s="39" t="s">
        <v>239</v>
      </c>
      <c r="B674" s="40" t="s">
        <v>44</v>
      </c>
      <c r="C674" s="41" t="s">
        <v>242</v>
      </c>
      <c r="D674" s="40" t="s">
        <v>243</v>
      </c>
      <c r="E674" s="24">
        <v>10000000</v>
      </c>
      <c r="F674" s="39">
        <v>44244</v>
      </c>
      <c r="G674" s="24">
        <v>10000000</v>
      </c>
      <c r="H674" s="23">
        <v>5.0000000000000001E-3</v>
      </c>
      <c r="I674" s="39">
        <v>44501</v>
      </c>
      <c r="J674" s="39">
        <v>44530</v>
      </c>
      <c r="K674" s="24">
        <v>30</v>
      </c>
      <c r="L674" s="24">
        <v>4110</v>
      </c>
      <c r="M674" s="24">
        <v>10000000</v>
      </c>
      <c r="N674" s="39">
        <v>46069</v>
      </c>
    </row>
    <row r="675" spans="1:14" s="5" customFormat="1" outlineLevel="2">
      <c r="A675" s="39" t="s">
        <v>239</v>
      </c>
      <c r="B675" s="40" t="s">
        <v>47</v>
      </c>
      <c r="C675" s="41" t="s">
        <v>242</v>
      </c>
      <c r="D675" s="40" t="s">
        <v>243</v>
      </c>
      <c r="E675" s="24">
        <v>4000000</v>
      </c>
      <c r="F675" s="39">
        <v>44249</v>
      </c>
      <c r="G675" s="24">
        <v>4000000</v>
      </c>
      <c r="H675" s="23">
        <v>5.0000000000000001E-3</v>
      </c>
      <c r="I675" s="39">
        <v>44501</v>
      </c>
      <c r="J675" s="39">
        <v>44530</v>
      </c>
      <c r="K675" s="24">
        <v>30</v>
      </c>
      <c r="L675" s="24">
        <v>1644</v>
      </c>
      <c r="M675" s="24">
        <v>4000000</v>
      </c>
      <c r="N675" s="39">
        <v>46074</v>
      </c>
    </row>
    <row r="676" spans="1:14" s="5" customFormat="1" outlineLevel="2">
      <c r="A676" s="39" t="s">
        <v>239</v>
      </c>
      <c r="B676" s="40" t="s">
        <v>50</v>
      </c>
      <c r="C676" s="41" t="s">
        <v>306</v>
      </c>
      <c r="D676" s="40" t="s">
        <v>305</v>
      </c>
      <c r="E676" s="24">
        <v>23949000</v>
      </c>
      <c r="F676" s="39">
        <v>44251</v>
      </c>
      <c r="G676" s="24">
        <v>23949000</v>
      </c>
      <c r="H676" s="23">
        <v>5.0000000000000001E-3</v>
      </c>
      <c r="I676" s="39">
        <v>44501</v>
      </c>
      <c r="J676" s="39">
        <v>44530</v>
      </c>
      <c r="K676" s="24">
        <v>30</v>
      </c>
      <c r="L676" s="24">
        <v>9842</v>
      </c>
      <c r="M676" s="24">
        <v>23949000</v>
      </c>
      <c r="N676" s="39">
        <v>46076</v>
      </c>
    </row>
    <row r="677" spans="1:14" s="5" customFormat="1" outlineLevel="2">
      <c r="A677" s="39" t="s">
        <v>239</v>
      </c>
      <c r="B677" s="40" t="s">
        <v>51</v>
      </c>
      <c r="C677" s="41" t="s">
        <v>66</v>
      </c>
      <c r="D677" s="40" t="s">
        <v>67</v>
      </c>
      <c r="E677" s="24">
        <v>40000000</v>
      </c>
      <c r="F677" s="39">
        <v>44235</v>
      </c>
      <c r="G677" s="24">
        <v>40000000</v>
      </c>
      <c r="H677" s="23">
        <v>5.0000000000000001E-3</v>
      </c>
      <c r="I677" s="39">
        <v>44501</v>
      </c>
      <c r="J677" s="39">
        <v>44530</v>
      </c>
      <c r="K677" s="24">
        <v>30</v>
      </c>
      <c r="L677" s="24">
        <v>16438</v>
      </c>
      <c r="M677" s="24">
        <v>40000000</v>
      </c>
      <c r="N677" s="39">
        <v>46060</v>
      </c>
    </row>
    <row r="678" spans="1:14" s="5" customFormat="1" outlineLevel="2">
      <c r="A678" s="39" t="s">
        <v>239</v>
      </c>
      <c r="B678" s="40" t="s">
        <v>52</v>
      </c>
      <c r="C678" s="41" t="s">
        <v>244</v>
      </c>
      <c r="D678" s="40" t="s">
        <v>245</v>
      </c>
      <c r="E678" s="24">
        <v>64000000</v>
      </c>
      <c r="F678" s="39">
        <v>44228</v>
      </c>
      <c r="G678" s="24">
        <v>64000000</v>
      </c>
      <c r="H678" s="23">
        <v>5.0000000000000001E-3</v>
      </c>
      <c r="I678" s="39">
        <v>44501</v>
      </c>
      <c r="J678" s="39">
        <v>44530</v>
      </c>
      <c r="K678" s="24">
        <v>30</v>
      </c>
      <c r="L678" s="24">
        <v>26301</v>
      </c>
      <c r="M678" s="24">
        <v>64000000</v>
      </c>
      <c r="N678" s="39">
        <v>46053</v>
      </c>
    </row>
    <row r="679" spans="1:14" s="5" customFormat="1" outlineLevel="2">
      <c r="A679" s="39" t="s">
        <v>239</v>
      </c>
      <c r="B679" s="40" t="s">
        <v>53</v>
      </c>
      <c r="C679" s="41" t="s">
        <v>246</v>
      </c>
      <c r="D679" s="40" t="s">
        <v>247</v>
      </c>
      <c r="E679" s="24">
        <v>100000000</v>
      </c>
      <c r="F679" s="39">
        <v>44251</v>
      </c>
      <c r="G679" s="24">
        <v>100000000</v>
      </c>
      <c r="H679" s="23">
        <v>5.0000000000000001E-3</v>
      </c>
      <c r="I679" s="39">
        <v>44501</v>
      </c>
      <c r="J679" s="39">
        <v>44530</v>
      </c>
      <c r="K679" s="24">
        <v>30</v>
      </c>
      <c r="L679" s="24">
        <v>41096</v>
      </c>
      <c r="M679" s="24">
        <v>100000000</v>
      </c>
      <c r="N679" s="39">
        <v>46076</v>
      </c>
    </row>
    <row r="680" spans="1:14" s="5" customFormat="1" outlineLevel="2">
      <c r="A680" s="39" t="s">
        <v>239</v>
      </c>
      <c r="B680" s="40" t="s">
        <v>54</v>
      </c>
      <c r="C680" s="41" t="s">
        <v>248</v>
      </c>
      <c r="D680" s="40" t="s">
        <v>249</v>
      </c>
      <c r="E680" s="24">
        <v>47470000</v>
      </c>
      <c r="F680" s="39">
        <v>44013</v>
      </c>
      <c r="G680" s="24">
        <v>47470000</v>
      </c>
      <c r="H680" s="23">
        <v>5.0000000000000001E-3</v>
      </c>
      <c r="I680" s="39">
        <v>44501</v>
      </c>
      <c r="J680" s="39">
        <v>44530</v>
      </c>
      <c r="K680" s="24">
        <v>30</v>
      </c>
      <c r="L680" s="24">
        <v>19508</v>
      </c>
      <c r="M680" s="24">
        <v>47470000</v>
      </c>
      <c r="N680" s="39">
        <v>45838</v>
      </c>
    </row>
    <row r="681" spans="1:14" s="5" customFormat="1" outlineLevel="2">
      <c r="A681" s="39" t="s">
        <v>239</v>
      </c>
      <c r="B681" s="40" t="s">
        <v>57</v>
      </c>
      <c r="C681" s="41" t="s">
        <v>246</v>
      </c>
      <c r="D681" s="40" t="s">
        <v>247</v>
      </c>
      <c r="E681" s="24">
        <v>93000000</v>
      </c>
      <c r="F681" s="39">
        <v>44251</v>
      </c>
      <c r="G681" s="24">
        <v>93000000</v>
      </c>
      <c r="H681" s="23">
        <v>5.0000000000000001E-3</v>
      </c>
      <c r="I681" s="39">
        <v>44501</v>
      </c>
      <c r="J681" s="39">
        <v>44530</v>
      </c>
      <c r="K681" s="24">
        <v>30</v>
      </c>
      <c r="L681" s="24">
        <v>38219</v>
      </c>
      <c r="M681" s="24">
        <v>93000000</v>
      </c>
      <c r="N681" s="39">
        <v>46076</v>
      </c>
    </row>
    <row r="682" spans="1:14" s="5" customFormat="1" outlineLevel="2">
      <c r="A682" s="39" t="s">
        <v>239</v>
      </c>
      <c r="B682" s="40" t="s">
        <v>99</v>
      </c>
      <c r="C682" s="41" t="s">
        <v>95</v>
      </c>
      <c r="D682" s="40" t="s">
        <v>96</v>
      </c>
      <c r="E682" s="24">
        <v>4840000</v>
      </c>
      <c r="F682" s="39">
        <v>44235</v>
      </c>
      <c r="G682" s="24">
        <v>4840000</v>
      </c>
      <c r="H682" s="23">
        <v>5.0000000000000001E-3</v>
      </c>
      <c r="I682" s="39">
        <v>44501</v>
      </c>
      <c r="J682" s="39">
        <v>44530</v>
      </c>
      <c r="K682" s="24">
        <v>30</v>
      </c>
      <c r="L682" s="24">
        <v>1989</v>
      </c>
      <c r="M682" s="24">
        <v>4840000</v>
      </c>
      <c r="N682" s="39">
        <v>46060</v>
      </c>
    </row>
    <row r="683" spans="1:14" s="5" customFormat="1" outlineLevel="2">
      <c r="A683" s="39" t="s">
        <v>239</v>
      </c>
      <c r="B683" s="40" t="s">
        <v>100</v>
      </c>
      <c r="C683" s="41" t="s">
        <v>130</v>
      </c>
      <c r="D683" s="40" t="s">
        <v>131</v>
      </c>
      <c r="E683" s="24">
        <v>10000000</v>
      </c>
      <c r="F683" s="39">
        <v>44284</v>
      </c>
      <c r="G683" s="24">
        <v>5000000</v>
      </c>
      <c r="H683" s="23">
        <v>5.0000000000000001E-3</v>
      </c>
      <c r="I683" s="39">
        <v>44501</v>
      </c>
      <c r="J683" s="39">
        <v>44530</v>
      </c>
      <c r="K683" s="24">
        <v>30</v>
      </c>
      <c r="L683" s="24">
        <v>2055</v>
      </c>
      <c r="M683" s="24">
        <v>5000000</v>
      </c>
      <c r="N683" s="39">
        <v>46109</v>
      </c>
    </row>
    <row r="684" spans="1:14" s="5" customFormat="1" outlineLevel="2">
      <c r="A684" s="39" t="s">
        <v>239</v>
      </c>
      <c r="B684" s="40" t="s">
        <v>101</v>
      </c>
      <c r="C684" s="41" t="s">
        <v>244</v>
      </c>
      <c r="D684" s="40" t="s">
        <v>245</v>
      </c>
      <c r="E684" s="24">
        <v>70000000</v>
      </c>
      <c r="F684" s="39">
        <v>44260</v>
      </c>
      <c r="G684" s="24">
        <v>70000000</v>
      </c>
      <c r="H684" s="23">
        <v>5.0000000000000001E-3</v>
      </c>
      <c r="I684" s="39">
        <v>44501</v>
      </c>
      <c r="J684" s="39">
        <v>44530</v>
      </c>
      <c r="K684" s="24">
        <v>30</v>
      </c>
      <c r="L684" s="24">
        <v>28767</v>
      </c>
      <c r="M684" s="24">
        <v>70000000</v>
      </c>
      <c r="N684" s="39">
        <v>46085</v>
      </c>
    </row>
    <row r="685" spans="1:14" s="5" customFormat="1" outlineLevel="2">
      <c r="A685" s="39" t="s">
        <v>239</v>
      </c>
      <c r="B685" s="40" t="s">
        <v>102</v>
      </c>
      <c r="C685" s="41" t="s">
        <v>125</v>
      </c>
      <c r="D685" s="40" t="s">
        <v>126</v>
      </c>
      <c r="E685" s="24">
        <v>5000000</v>
      </c>
      <c r="F685" s="39">
        <v>44259</v>
      </c>
      <c r="G685" s="24">
        <v>5000000</v>
      </c>
      <c r="H685" s="23">
        <v>5.0000000000000001E-3</v>
      </c>
      <c r="I685" s="39">
        <v>44501</v>
      </c>
      <c r="J685" s="39">
        <v>44530</v>
      </c>
      <c r="K685" s="24">
        <v>30</v>
      </c>
      <c r="L685" s="24">
        <v>2055</v>
      </c>
      <c r="M685" s="24">
        <v>5000000</v>
      </c>
      <c r="N685" s="39">
        <v>46084</v>
      </c>
    </row>
    <row r="686" spans="1:14" s="5" customFormat="1" outlineLevel="2">
      <c r="A686" s="39" t="s">
        <v>239</v>
      </c>
      <c r="B686" s="40" t="s">
        <v>103</v>
      </c>
      <c r="C686" s="41" t="s">
        <v>66</v>
      </c>
      <c r="D686" s="40" t="s">
        <v>67</v>
      </c>
      <c r="E686" s="24">
        <v>49780000</v>
      </c>
      <c r="F686" s="39">
        <v>44306</v>
      </c>
      <c r="G686" s="24">
        <v>49780000</v>
      </c>
      <c r="H686" s="23">
        <v>5.0000000000000001E-3</v>
      </c>
      <c r="I686" s="39">
        <v>44501</v>
      </c>
      <c r="J686" s="39">
        <v>44530</v>
      </c>
      <c r="K686" s="24">
        <v>30</v>
      </c>
      <c r="L686" s="24">
        <v>20458</v>
      </c>
      <c r="M686" s="24">
        <v>49780000</v>
      </c>
      <c r="N686" s="39">
        <v>46131</v>
      </c>
    </row>
    <row r="687" spans="1:14" s="5" customFormat="1" outlineLevel="2">
      <c r="A687" s="39" t="s">
        <v>239</v>
      </c>
      <c r="B687" s="40" t="s">
        <v>104</v>
      </c>
      <c r="C687" s="41" t="s">
        <v>244</v>
      </c>
      <c r="D687" s="40" t="s">
        <v>245</v>
      </c>
      <c r="E687" s="24">
        <v>39000000</v>
      </c>
      <c r="F687" s="39">
        <v>44295</v>
      </c>
      <c r="G687" s="24">
        <v>39000000</v>
      </c>
      <c r="H687" s="23">
        <v>5.0000000000000001E-3</v>
      </c>
      <c r="I687" s="39">
        <v>44501</v>
      </c>
      <c r="J687" s="39">
        <v>44530</v>
      </c>
      <c r="K687" s="24">
        <v>30</v>
      </c>
      <c r="L687" s="24">
        <v>16027</v>
      </c>
      <c r="M687" s="24">
        <v>39000000</v>
      </c>
      <c r="N687" s="39">
        <v>46120</v>
      </c>
    </row>
    <row r="688" spans="1:14" s="5" customFormat="1" outlineLevel="2">
      <c r="A688" s="39" t="s">
        <v>239</v>
      </c>
      <c r="B688" s="40" t="s">
        <v>105</v>
      </c>
      <c r="C688" s="41" t="s">
        <v>95</v>
      </c>
      <c r="D688" s="40" t="s">
        <v>96</v>
      </c>
      <c r="E688" s="24">
        <v>2600000</v>
      </c>
      <c r="F688" s="39">
        <v>44314</v>
      </c>
      <c r="G688" s="24">
        <v>2600000</v>
      </c>
      <c r="H688" s="23">
        <v>5.0000000000000001E-3</v>
      </c>
      <c r="I688" s="39">
        <v>44501</v>
      </c>
      <c r="J688" s="39">
        <v>44530</v>
      </c>
      <c r="K688" s="24">
        <v>30</v>
      </c>
      <c r="L688" s="24">
        <v>1068</v>
      </c>
      <c r="M688" s="24">
        <v>2600000</v>
      </c>
      <c r="N688" s="39">
        <v>46139</v>
      </c>
    </row>
    <row r="689" spans="1:14" s="5" customFormat="1" outlineLevel="2">
      <c r="A689" s="39" t="s">
        <v>239</v>
      </c>
      <c r="B689" s="40" t="s">
        <v>106</v>
      </c>
      <c r="C689" s="41" t="s">
        <v>339</v>
      </c>
      <c r="D689" s="40" t="s">
        <v>338</v>
      </c>
      <c r="E689" s="24">
        <v>1000000</v>
      </c>
      <c r="F689" s="39">
        <v>44292</v>
      </c>
      <c r="G689" s="24">
        <v>1000000</v>
      </c>
      <c r="H689" s="23">
        <v>5.0000000000000001E-3</v>
      </c>
      <c r="I689" s="39">
        <v>44501</v>
      </c>
      <c r="J689" s="39">
        <v>44530</v>
      </c>
      <c r="K689" s="24">
        <v>30</v>
      </c>
      <c r="L689" s="24">
        <v>411</v>
      </c>
      <c r="M689" s="24">
        <v>1000000</v>
      </c>
      <c r="N689" s="39">
        <v>46117</v>
      </c>
    </row>
    <row r="690" spans="1:14" s="5" customFormat="1" outlineLevel="2">
      <c r="A690" s="39" t="s">
        <v>239</v>
      </c>
      <c r="B690" s="40" t="s">
        <v>59</v>
      </c>
      <c r="C690" s="41" t="s">
        <v>240</v>
      </c>
      <c r="D690" s="40" t="s">
        <v>241</v>
      </c>
      <c r="E690" s="24">
        <v>6665394</v>
      </c>
      <c r="F690" s="39">
        <v>44029</v>
      </c>
      <c r="G690" s="24">
        <v>6665394</v>
      </c>
      <c r="H690" s="23">
        <v>5.0000000000000001E-3</v>
      </c>
      <c r="I690" s="39">
        <v>44501</v>
      </c>
      <c r="J690" s="39">
        <v>44530</v>
      </c>
      <c r="K690" s="24">
        <v>30</v>
      </c>
      <c r="L690" s="24">
        <v>2739</v>
      </c>
      <c r="M690" s="24">
        <v>6665394</v>
      </c>
      <c r="N690" s="39">
        <v>45854</v>
      </c>
    </row>
    <row r="691" spans="1:14" s="5" customFormat="1" outlineLevel="2">
      <c r="A691" s="39" t="s">
        <v>239</v>
      </c>
      <c r="B691" s="40" t="s">
        <v>136</v>
      </c>
      <c r="C691" s="41" t="s">
        <v>345</v>
      </c>
      <c r="D691" s="40" t="s">
        <v>344</v>
      </c>
      <c r="E691" s="24">
        <v>10000000</v>
      </c>
      <c r="F691" s="39">
        <v>44315</v>
      </c>
      <c r="G691" s="24">
        <v>10000000</v>
      </c>
      <c r="H691" s="23">
        <v>3.0000000000000001E-3</v>
      </c>
      <c r="I691" s="39">
        <v>44501</v>
      </c>
      <c r="J691" s="39">
        <v>44530</v>
      </c>
      <c r="K691" s="24">
        <v>30</v>
      </c>
      <c r="L691" s="24">
        <v>2466</v>
      </c>
      <c r="M691" s="24">
        <v>10000000</v>
      </c>
      <c r="N691" s="39">
        <v>46140</v>
      </c>
    </row>
    <row r="692" spans="1:14" s="5" customFormat="1" outlineLevel="2">
      <c r="A692" s="39" t="s">
        <v>239</v>
      </c>
      <c r="B692" s="40" t="s">
        <v>137</v>
      </c>
      <c r="C692" s="41" t="s">
        <v>244</v>
      </c>
      <c r="D692" s="40" t="s">
        <v>245</v>
      </c>
      <c r="E692" s="24">
        <v>67000000</v>
      </c>
      <c r="F692" s="39">
        <v>44321</v>
      </c>
      <c r="G692" s="24">
        <v>67000000</v>
      </c>
      <c r="H692" s="23">
        <v>5.0000000000000001E-3</v>
      </c>
      <c r="I692" s="39">
        <v>44501</v>
      </c>
      <c r="J692" s="39">
        <v>44530</v>
      </c>
      <c r="K692" s="24">
        <v>30</v>
      </c>
      <c r="L692" s="24">
        <v>27534</v>
      </c>
      <c r="M692" s="24">
        <v>67000000</v>
      </c>
      <c r="N692" s="39">
        <v>46146</v>
      </c>
    </row>
    <row r="693" spans="1:14" s="5" customFormat="1" outlineLevel="2">
      <c r="A693" s="39" t="s">
        <v>239</v>
      </c>
      <c r="B693" s="40" t="s">
        <v>138</v>
      </c>
      <c r="C693" s="41" t="s">
        <v>232</v>
      </c>
      <c r="D693" s="40" t="s">
        <v>233</v>
      </c>
      <c r="E693" s="24">
        <v>287705120</v>
      </c>
      <c r="F693" s="39">
        <v>44327</v>
      </c>
      <c r="G693" s="24">
        <v>287705120</v>
      </c>
      <c r="H693" s="23">
        <v>5.0000000000000001E-3</v>
      </c>
      <c r="I693" s="39">
        <v>44501</v>
      </c>
      <c r="J693" s="39">
        <v>44530</v>
      </c>
      <c r="K693" s="24">
        <v>30</v>
      </c>
      <c r="L693" s="24">
        <v>118235</v>
      </c>
      <c r="M693" s="24">
        <v>287705120</v>
      </c>
      <c r="N693" s="39">
        <v>46152</v>
      </c>
    </row>
    <row r="694" spans="1:14" s="5" customFormat="1" outlineLevel="2">
      <c r="A694" s="39" t="s">
        <v>239</v>
      </c>
      <c r="B694" s="40" t="s">
        <v>139</v>
      </c>
      <c r="C694" s="41" t="s">
        <v>367</v>
      </c>
      <c r="D694" s="40" t="s">
        <v>366</v>
      </c>
      <c r="E694" s="24">
        <v>14000000</v>
      </c>
      <c r="F694" s="39">
        <v>44336</v>
      </c>
      <c r="G694" s="24">
        <v>14000000</v>
      </c>
      <c r="H694" s="23">
        <v>5.0000000000000001E-3</v>
      </c>
      <c r="I694" s="39">
        <v>44501</v>
      </c>
      <c r="J694" s="39">
        <v>44530</v>
      </c>
      <c r="K694" s="24">
        <v>30</v>
      </c>
      <c r="L694" s="24">
        <v>5753</v>
      </c>
      <c r="M694" s="24">
        <v>14000000</v>
      </c>
      <c r="N694" s="39">
        <v>46161</v>
      </c>
    </row>
    <row r="695" spans="1:14" s="5" customFormat="1" outlineLevel="2">
      <c r="A695" s="39" t="s">
        <v>239</v>
      </c>
      <c r="B695" s="40" t="s">
        <v>140</v>
      </c>
      <c r="C695" s="41" t="s">
        <v>244</v>
      </c>
      <c r="D695" s="40" t="s">
        <v>245</v>
      </c>
      <c r="E695" s="24">
        <v>64000000</v>
      </c>
      <c r="F695" s="39">
        <v>44354</v>
      </c>
      <c r="G695" s="24">
        <v>64000000</v>
      </c>
      <c r="H695" s="23">
        <v>5.0000000000000001E-3</v>
      </c>
      <c r="I695" s="39">
        <v>44501</v>
      </c>
      <c r="J695" s="39">
        <v>44530</v>
      </c>
      <c r="K695" s="24">
        <v>30</v>
      </c>
      <c r="L695" s="24">
        <v>26301</v>
      </c>
      <c r="M695" s="24">
        <v>64000000</v>
      </c>
      <c r="N695" s="39">
        <v>46179</v>
      </c>
    </row>
    <row r="696" spans="1:14" s="5" customFormat="1" outlineLevel="2">
      <c r="A696" s="39" t="s">
        <v>239</v>
      </c>
      <c r="B696" s="40" t="s">
        <v>169</v>
      </c>
      <c r="C696" s="41" t="s">
        <v>250</v>
      </c>
      <c r="D696" s="40" t="s">
        <v>251</v>
      </c>
      <c r="E696" s="24">
        <v>33500000</v>
      </c>
      <c r="F696" s="39">
        <v>44362</v>
      </c>
      <c r="G696" s="24">
        <v>31063636</v>
      </c>
      <c r="H696" s="23">
        <v>5.0000000000000001E-3</v>
      </c>
      <c r="I696" s="39">
        <v>44501</v>
      </c>
      <c r="J696" s="39">
        <v>44514</v>
      </c>
      <c r="K696" s="24">
        <v>14</v>
      </c>
      <c r="L696" s="24">
        <v>5957</v>
      </c>
      <c r="M696" s="24">
        <v>30454545</v>
      </c>
      <c r="N696" s="39">
        <v>46187</v>
      </c>
    </row>
    <row r="697" spans="1:14" s="5" customFormat="1" outlineLevel="2">
      <c r="A697" s="39" t="s">
        <v>239</v>
      </c>
      <c r="B697" s="40" t="s">
        <v>169</v>
      </c>
      <c r="C697" s="41" t="s">
        <v>250</v>
      </c>
      <c r="D697" s="40"/>
      <c r="E697" s="24"/>
      <c r="F697" s="39"/>
      <c r="G697" s="24">
        <v>30454545</v>
      </c>
      <c r="H697" s="23">
        <v>5.0000000000000001E-3</v>
      </c>
      <c r="I697" s="39">
        <v>44515</v>
      </c>
      <c r="J697" s="39">
        <v>44530</v>
      </c>
      <c r="K697" s="24">
        <v>16</v>
      </c>
      <c r="L697" s="24">
        <v>6675</v>
      </c>
      <c r="M697" s="24"/>
      <c r="N697" s="39">
        <v>46187</v>
      </c>
    </row>
    <row r="698" spans="1:14" s="5" customFormat="1" outlineLevel="2">
      <c r="A698" s="39" t="s">
        <v>239</v>
      </c>
      <c r="B698" s="40" t="s">
        <v>170</v>
      </c>
      <c r="C698" s="41" t="s">
        <v>250</v>
      </c>
      <c r="D698" s="40" t="s">
        <v>251</v>
      </c>
      <c r="E698" s="24">
        <v>7400000</v>
      </c>
      <c r="F698" s="39">
        <v>44362</v>
      </c>
      <c r="G698" s="24">
        <v>6861816</v>
      </c>
      <c r="H698" s="23">
        <v>5.0000000000000001E-3</v>
      </c>
      <c r="I698" s="39">
        <v>44501</v>
      </c>
      <c r="J698" s="39">
        <v>44514</v>
      </c>
      <c r="K698" s="24">
        <v>14</v>
      </c>
      <c r="L698" s="24">
        <v>1316</v>
      </c>
      <c r="M698" s="24">
        <v>6727270</v>
      </c>
      <c r="N698" s="39">
        <v>46187</v>
      </c>
    </row>
    <row r="699" spans="1:14" s="5" customFormat="1" outlineLevel="2">
      <c r="A699" s="39" t="s">
        <v>239</v>
      </c>
      <c r="B699" s="40" t="s">
        <v>170</v>
      </c>
      <c r="C699" s="41" t="s">
        <v>250</v>
      </c>
      <c r="D699" s="40"/>
      <c r="E699" s="24"/>
      <c r="F699" s="39"/>
      <c r="G699" s="24">
        <v>6727270</v>
      </c>
      <c r="H699" s="23">
        <v>5.0000000000000001E-3</v>
      </c>
      <c r="I699" s="39">
        <v>44515</v>
      </c>
      <c r="J699" s="39">
        <v>44530</v>
      </c>
      <c r="K699" s="24">
        <v>16</v>
      </c>
      <c r="L699" s="24">
        <v>1474</v>
      </c>
      <c r="M699" s="24"/>
      <c r="N699" s="39">
        <v>46187</v>
      </c>
    </row>
    <row r="700" spans="1:14" s="5" customFormat="1" outlineLevel="2">
      <c r="A700" s="39" t="s">
        <v>239</v>
      </c>
      <c r="B700" s="40" t="s">
        <v>171</v>
      </c>
      <c r="C700" s="41" t="s">
        <v>66</v>
      </c>
      <c r="D700" s="40" t="s">
        <v>67</v>
      </c>
      <c r="E700" s="24">
        <v>35910000</v>
      </c>
      <c r="F700" s="39">
        <v>44400</v>
      </c>
      <c r="G700" s="24">
        <v>35910000</v>
      </c>
      <c r="H700" s="23">
        <v>5.0000000000000001E-3</v>
      </c>
      <c r="I700" s="39">
        <v>44501</v>
      </c>
      <c r="J700" s="39">
        <v>44530</v>
      </c>
      <c r="K700" s="24">
        <v>30</v>
      </c>
      <c r="L700" s="24">
        <v>14758</v>
      </c>
      <c r="M700" s="24">
        <v>35910000</v>
      </c>
      <c r="N700" s="39">
        <v>46225</v>
      </c>
    </row>
    <row r="701" spans="1:14" s="5" customFormat="1" outlineLevel="2">
      <c r="A701" s="39" t="s">
        <v>239</v>
      </c>
      <c r="B701" s="40" t="s">
        <v>172</v>
      </c>
      <c r="C701" s="41" t="s">
        <v>367</v>
      </c>
      <c r="D701" s="40" t="s">
        <v>366</v>
      </c>
      <c r="E701" s="24">
        <v>6552000</v>
      </c>
      <c r="F701" s="39">
        <v>44386</v>
      </c>
      <c r="G701" s="24">
        <v>6552000</v>
      </c>
      <c r="H701" s="23">
        <v>5.0000000000000001E-3</v>
      </c>
      <c r="I701" s="39">
        <v>44501</v>
      </c>
      <c r="J701" s="39">
        <v>44530</v>
      </c>
      <c r="K701" s="24">
        <v>30</v>
      </c>
      <c r="L701" s="24">
        <v>2693</v>
      </c>
      <c r="M701" s="24">
        <v>6552000</v>
      </c>
      <c r="N701" s="39">
        <v>46211</v>
      </c>
    </row>
    <row r="702" spans="1:14" s="5" customFormat="1" outlineLevel="2">
      <c r="A702" s="39" t="s">
        <v>239</v>
      </c>
      <c r="B702" s="40" t="s">
        <v>173</v>
      </c>
      <c r="C702" s="41" t="s">
        <v>367</v>
      </c>
      <c r="D702" s="40" t="s">
        <v>366</v>
      </c>
      <c r="E702" s="24">
        <v>7062000</v>
      </c>
      <c r="F702" s="39">
        <v>44405</v>
      </c>
      <c r="G702" s="24">
        <v>7062000</v>
      </c>
      <c r="H702" s="23">
        <v>5.0000000000000001E-3</v>
      </c>
      <c r="I702" s="39">
        <v>44501</v>
      </c>
      <c r="J702" s="39">
        <v>44530</v>
      </c>
      <c r="K702" s="24">
        <v>30</v>
      </c>
      <c r="L702" s="24">
        <v>2902</v>
      </c>
      <c r="M702" s="24">
        <v>7062000</v>
      </c>
      <c r="N702" s="39">
        <v>46230</v>
      </c>
    </row>
    <row r="703" spans="1:14" s="5" customFormat="1" outlineLevel="2">
      <c r="A703" s="39" t="s">
        <v>239</v>
      </c>
      <c r="B703" s="40" t="s">
        <v>62</v>
      </c>
      <c r="C703" s="41" t="s">
        <v>240</v>
      </c>
      <c r="D703" s="40" t="s">
        <v>241</v>
      </c>
      <c r="E703" s="24">
        <v>12334606</v>
      </c>
      <c r="F703" s="39">
        <v>44029</v>
      </c>
      <c r="G703" s="24">
        <v>12334606</v>
      </c>
      <c r="H703" s="23">
        <v>5.0000000000000001E-3</v>
      </c>
      <c r="I703" s="39">
        <v>44501</v>
      </c>
      <c r="J703" s="39">
        <v>44530</v>
      </c>
      <c r="K703" s="24">
        <v>30</v>
      </c>
      <c r="L703" s="24">
        <v>5069</v>
      </c>
      <c r="M703" s="24">
        <v>12334606</v>
      </c>
      <c r="N703" s="39">
        <v>45854</v>
      </c>
    </row>
    <row r="704" spans="1:14" s="5" customFormat="1" outlineLevel="2">
      <c r="A704" s="39" t="s">
        <v>239</v>
      </c>
      <c r="B704" s="40" t="s">
        <v>174</v>
      </c>
      <c r="C704" s="41" t="s">
        <v>367</v>
      </c>
      <c r="D704" s="40" t="s">
        <v>366</v>
      </c>
      <c r="E704" s="24">
        <v>8000000</v>
      </c>
      <c r="F704" s="39">
        <v>44428</v>
      </c>
      <c r="G704" s="24">
        <v>8000000</v>
      </c>
      <c r="H704" s="23">
        <v>5.0000000000000001E-3</v>
      </c>
      <c r="I704" s="39">
        <v>44501</v>
      </c>
      <c r="J704" s="39">
        <v>44530</v>
      </c>
      <c r="K704" s="24">
        <v>30</v>
      </c>
      <c r="L704" s="24">
        <v>3288</v>
      </c>
      <c r="M704" s="24">
        <v>8000000</v>
      </c>
      <c r="N704" s="39">
        <v>46253</v>
      </c>
    </row>
    <row r="705" spans="1:14" s="5" customFormat="1" outlineLevel="2">
      <c r="A705" s="39" t="s">
        <v>239</v>
      </c>
      <c r="B705" s="40" t="s">
        <v>175</v>
      </c>
      <c r="C705" s="41" t="s">
        <v>244</v>
      </c>
      <c r="D705" s="40" t="s">
        <v>245</v>
      </c>
      <c r="E705" s="24">
        <v>100000000</v>
      </c>
      <c r="F705" s="39">
        <v>44468</v>
      </c>
      <c r="G705" s="24">
        <v>100000000</v>
      </c>
      <c r="H705" s="23">
        <v>5.0000000000000001E-3</v>
      </c>
      <c r="I705" s="39">
        <v>44501</v>
      </c>
      <c r="J705" s="39">
        <v>44530</v>
      </c>
      <c r="K705" s="24">
        <v>30</v>
      </c>
      <c r="L705" s="24">
        <v>41096</v>
      </c>
      <c r="M705" s="24">
        <v>100000000</v>
      </c>
      <c r="N705" s="39">
        <v>46293</v>
      </c>
    </row>
    <row r="706" spans="1:14" s="5" customFormat="1" outlineLevel="2">
      <c r="A706" s="39" t="s">
        <v>239</v>
      </c>
      <c r="B706" s="40" t="s">
        <v>176</v>
      </c>
      <c r="C706" s="41" t="s">
        <v>339</v>
      </c>
      <c r="D706" s="40" t="s">
        <v>338</v>
      </c>
      <c r="E706" s="24">
        <v>50000000</v>
      </c>
      <c r="F706" s="39">
        <v>44469</v>
      </c>
      <c r="G706" s="24">
        <v>50000000</v>
      </c>
      <c r="H706" s="23">
        <v>5.0000000000000001E-3</v>
      </c>
      <c r="I706" s="39">
        <v>44501</v>
      </c>
      <c r="J706" s="39">
        <v>44530</v>
      </c>
      <c r="K706" s="24">
        <v>30</v>
      </c>
      <c r="L706" s="24">
        <v>20548</v>
      </c>
      <c r="M706" s="24">
        <v>50000000</v>
      </c>
      <c r="N706" s="39">
        <v>46294</v>
      </c>
    </row>
    <row r="707" spans="1:14" s="5" customFormat="1" outlineLevel="2">
      <c r="A707" s="39" t="s">
        <v>239</v>
      </c>
      <c r="B707" s="40" t="s">
        <v>177</v>
      </c>
      <c r="C707" s="41" t="s">
        <v>412</v>
      </c>
      <c r="D707" s="40" t="s">
        <v>411</v>
      </c>
      <c r="E707" s="24">
        <v>7700000</v>
      </c>
      <c r="F707" s="39">
        <v>44453</v>
      </c>
      <c r="G707" s="24">
        <v>7700000</v>
      </c>
      <c r="H707" s="23">
        <v>5.0000000000000001E-3</v>
      </c>
      <c r="I707" s="39">
        <v>44501</v>
      </c>
      <c r="J707" s="39">
        <v>44530</v>
      </c>
      <c r="K707" s="24">
        <v>30</v>
      </c>
      <c r="L707" s="24">
        <v>3164</v>
      </c>
      <c r="M707" s="24">
        <v>7700000</v>
      </c>
      <c r="N707" s="39">
        <v>45548</v>
      </c>
    </row>
    <row r="708" spans="1:14" s="5" customFormat="1" outlineLevel="2">
      <c r="A708" s="39" t="s">
        <v>239</v>
      </c>
      <c r="B708" s="40" t="s">
        <v>178</v>
      </c>
      <c r="C708" s="41" t="s">
        <v>412</v>
      </c>
      <c r="D708" s="40" t="s">
        <v>411</v>
      </c>
      <c r="E708" s="24">
        <v>2800000</v>
      </c>
      <c r="F708" s="39">
        <v>44454</v>
      </c>
      <c r="G708" s="24">
        <v>2800000</v>
      </c>
      <c r="H708" s="23">
        <v>5.0000000000000001E-3</v>
      </c>
      <c r="I708" s="39">
        <v>44501</v>
      </c>
      <c r="J708" s="39">
        <v>44530</v>
      </c>
      <c r="K708" s="24">
        <v>30</v>
      </c>
      <c r="L708" s="24">
        <v>1151</v>
      </c>
      <c r="M708" s="24">
        <v>2800000</v>
      </c>
      <c r="N708" s="39">
        <v>45549</v>
      </c>
    </row>
    <row r="709" spans="1:14" s="5" customFormat="1" outlineLevel="2">
      <c r="A709" s="39" t="s">
        <v>239</v>
      </c>
      <c r="B709" s="40" t="s">
        <v>179</v>
      </c>
      <c r="C709" s="41" t="s">
        <v>412</v>
      </c>
      <c r="D709" s="40" t="s">
        <v>411</v>
      </c>
      <c r="E709" s="24">
        <v>1700000</v>
      </c>
      <c r="F709" s="39">
        <v>44453</v>
      </c>
      <c r="G709" s="24">
        <v>1700000</v>
      </c>
      <c r="H709" s="23">
        <v>5.0000000000000001E-3</v>
      </c>
      <c r="I709" s="39">
        <v>44501</v>
      </c>
      <c r="J709" s="39">
        <v>44530</v>
      </c>
      <c r="K709" s="24">
        <v>30</v>
      </c>
      <c r="L709" s="24">
        <v>699</v>
      </c>
      <c r="M709" s="24">
        <v>1700000</v>
      </c>
      <c r="N709" s="39">
        <v>45548</v>
      </c>
    </row>
    <row r="710" spans="1:14" s="5" customFormat="1" outlineLevel="2">
      <c r="A710" s="39" t="s">
        <v>239</v>
      </c>
      <c r="B710" s="40" t="s">
        <v>180</v>
      </c>
      <c r="C710" s="41" t="s">
        <v>412</v>
      </c>
      <c r="D710" s="40" t="s">
        <v>411</v>
      </c>
      <c r="E710" s="24">
        <v>400000</v>
      </c>
      <c r="F710" s="39">
        <v>44453</v>
      </c>
      <c r="G710" s="24">
        <v>400000</v>
      </c>
      <c r="H710" s="23">
        <v>5.0000000000000001E-3</v>
      </c>
      <c r="I710" s="39">
        <v>44501</v>
      </c>
      <c r="J710" s="39">
        <v>44530</v>
      </c>
      <c r="K710" s="24">
        <v>30</v>
      </c>
      <c r="L710" s="24">
        <v>164</v>
      </c>
      <c r="M710" s="24">
        <v>400000</v>
      </c>
      <c r="N710" s="39">
        <v>45548</v>
      </c>
    </row>
    <row r="711" spans="1:14" s="5" customFormat="1" outlineLevel="2">
      <c r="A711" s="39" t="s">
        <v>239</v>
      </c>
      <c r="B711" s="40" t="s">
        <v>181</v>
      </c>
      <c r="C711" s="41" t="s">
        <v>280</v>
      </c>
      <c r="D711" s="40" t="s">
        <v>281</v>
      </c>
      <c r="E711" s="24">
        <v>300000000</v>
      </c>
      <c r="F711" s="39">
        <v>44468</v>
      </c>
      <c r="G711" s="24">
        <v>300000000</v>
      </c>
      <c r="H711" s="23">
        <v>3.0000000000000001E-3</v>
      </c>
      <c r="I711" s="39">
        <v>44501</v>
      </c>
      <c r="J711" s="39">
        <v>44530</v>
      </c>
      <c r="K711" s="24">
        <v>30</v>
      </c>
      <c r="L711" s="24">
        <v>73973</v>
      </c>
      <c r="M711" s="24">
        <v>300000000</v>
      </c>
      <c r="N711" s="39">
        <v>45563</v>
      </c>
    </row>
    <row r="712" spans="1:14" s="5" customFormat="1" outlineLevel="2">
      <c r="A712" s="39" t="s">
        <v>239</v>
      </c>
      <c r="B712" s="40" t="s">
        <v>182</v>
      </c>
      <c r="C712" s="41" t="s">
        <v>240</v>
      </c>
      <c r="D712" s="40" t="s">
        <v>241</v>
      </c>
      <c r="E712" s="24">
        <v>57441016</v>
      </c>
      <c r="F712" s="39">
        <v>44489</v>
      </c>
      <c r="G712" s="24">
        <v>57441016</v>
      </c>
      <c r="H712" s="23">
        <v>5.0000000000000001E-3</v>
      </c>
      <c r="I712" s="39">
        <v>44501</v>
      </c>
      <c r="J712" s="39">
        <v>44530</v>
      </c>
      <c r="K712" s="24">
        <v>30</v>
      </c>
      <c r="L712" s="24">
        <v>23606</v>
      </c>
      <c r="M712" s="24">
        <v>57441016</v>
      </c>
      <c r="N712" s="39">
        <v>46314</v>
      </c>
    </row>
    <row r="713" spans="1:14" s="5" customFormat="1" outlineLevel="2">
      <c r="A713" s="39" t="s">
        <v>239</v>
      </c>
      <c r="B713" s="40" t="s">
        <v>183</v>
      </c>
      <c r="C713" s="41" t="s">
        <v>240</v>
      </c>
      <c r="D713" s="40" t="s">
        <v>241</v>
      </c>
      <c r="E713" s="24">
        <v>48558984</v>
      </c>
      <c r="F713" s="39">
        <v>44489</v>
      </c>
      <c r="G713" s="24">
        <v>48558984</v>
      </c>
      <c r="H713" s="23">
        <v>5.0000000000000001E-3</v>
      </c>
      <c r="I713" s="39">
        <v>44501</v>
      </c>
      <c r="J713" s="39">
        <v>44530</v>
      </c>
      <c r="K713" s="24">
        <v>30</v>
      </c>
      <c r="L713" s="24">
        <v>19956</v>
      </c>
      <c r="M713" s="24">
        <v>48558984</v>
      </c>
      <c r="N713" s="39">
        <v>46314</v>
      </c>
    </row>
    <row r="714" spans="1:14" s="5" customFormat="1" outlineLevel="2">
      <c r="A714" s="39" t="s">
        <v>239</v>
      </c>
      <c r="B714" s="40" t="s">
        <v>63</v>
      </c>
      <c r="C714" s="41" t="s">
        <v>252</v>
      </c>
      <c r="D714" s="40" t="s">
        <v>253</v>
      </c>
      <c r="E714" s="24">
        <v>131500000</v>
      </c>
      <c r="F714" s="39">
        <v>44089</v>
      </c>
      <c r="G714" s="24">
        <v>131500000</v>
      </c>
      <c r="H714" s="23">
        <v>5.0000000000000001E-3</v>
      </c>
      <c r="I714" s="39">
        <v>44501</v>
      </c>
      <c r="J714" s="39">
        <v>44530</v>
      </c>
      <c r="K714" s="24">
        <v>30</v>
      </c>
      <c r="L714" s="24">
        <v>54041</v>
      </c>
      <c r="M714" s="24">
        <v>131500000</v>
      </c>
      <c r="N714" s="39">
        <v>45914</v>
      </c>
    </row>
    <row r="715" spans="1:14" s="5" customFormat="1" outlineLevel="2">
      <c r="A715" s="39" t="s">
        <v>239</v>
      </c>
      <c r="B715" s="40" t="s">
        <v>184</v>
      </c>
      <c r="C715" s="41" t="s">
        <v>306</v>
      </c>
      <c r="D715" s="40" t="s">
        <v>305</v>
      </c>
      <c r="E715" s="24">
        <v>69161000</v>
      </c>
      <c r="F715" s="39">
        <v>44487</v>
      </c>
      <c r="G715" s="24">
        <v>69161000</v>
      </c>
      <c r="H715" s="23">
        <v>5.0000000000000001E-3</v>
      </c>
      <c r="I715" s="39">
        <v>44501</v>
      </c>
      <c r="J715" s="39">
        <v>44530</v>
      </c>
      <c r="K715" s="24">
        <v>30</v>
      </c>
      <c r="L715" s="24">
        <v>28422</v>
      </c>
      <c r="M715" s="24">
        <v>69161000</v>
      </c>
      <c r="N715" s="39">
        <v>46312</v>
      </c>
    </row>
    <row r="716" spans="1:14" s="5" customFormat="1" outlineLevel="2">
      <c r="A716" s="39" t="s">
        <v>239</v>
      </c>
      <c r="B716" s="40" t="s">
        <v>185</v>
      </c>
      <c r="C716" s="41" t="s">
        <v>367</v>
      </c>
      <c r="D716" s="40" t="s">
        <v>366</v>
      </c>
      <c r="E716" s="24">
        <v>12392000</v>
      </c>
      <c r="F716" s="39">
        <v>44477</v>
      </c>
      <c r="G716" s="24">
        <v>12392000</v>
      </c>
      <c r="H716" s="23">
        <v>5.0000000000000001E-3</v>
      </c>
      <c r="I716" s="39">
        <v>44501</v>
      </c>
      <c r="J716" s="39">
        <v>44530</v>
      </c>
      <c r="K716" s="24">
        <v>30</v>
      </c>
      <c r="L716" s="24">
        <v>5093</v>
      </c>
      <c r="M716" s="24">
        <v>12392000</v>
      </c>
      <c r="N716" s="39">
        <v>46302</v>
      </c>
    </row>
    <row r="717" spans="1:14" s="5" customFormat="1" outlineLevel="2">
      <c r="A717" s="39" t="s">
        <v>239</v>
      </c>
      <c r="B717" s="40" t="s">
        <v>186</v>
      </c>
      <c r="C717" s="41" t="s">
        <v>294</v>
      </c>
      <c r="D717" s="40" t="s">
        <v>295</v>
      </c>
      <c r="E717" s="24">
        <v>450000000</v>
      </c>
      <c r="F717" s="39">
        <v>44473</v>
      </c>
      <c r="G717" s="24">
        <v>450000000</v>
      </c>
      <c r="H717" s="23">
        <v>5.0000000000000001E-3</v>
      </c>
      <c r="I717" s="39">
        <v>44501</v>
      </c>
      <c r="J717" s="39">
        <v>44530</v>
      </c>
      <c r="K717" s="24">
        <v>30</v>
      </c>
      <c r="L717" s="24">
        <v>184932</v>
      </c>
      <c r="M717" s="24">
        <v>450000000</v>
      </c>
      <c r="N717" s="39">
        <v>45568</v>
      </c>
    </row>
    <row r="718" spans="1:14" s="5" customFormat="1" outlineLevel="2">
      <c r="A718" s="39" t="s">
        <v>239</v>
      </c>
      <c r="B718" s="40" t="s">
        <v>189</v>
      </c>
      <c r="C718" s="41" t="s">
        <v>412</v>
      </c>
      <c r="D718" s="40" t="s">
        <v>411</v>
      </c>
      <c r="E718" s="24">
        <v>25000000</v>
      </c>
      <c r="F718" s="39">
        <v>44484</v>
      </c>
      <c r="G718" s="24">
        <v>25000000</v>
      </c>
      <c r="H718" s="23">
        <v>5.0000000000000001E-3</v>
      </c>
      <c r="I718" s="39">
        <v>44501</v>
      </c>
      <c r="J718" s="39">
        <v>44530</v>
      </c>
      <c r="K718" s="24">
        <v>30</v>
      </c>
      <c r="L718" s="24">
        <v>10274</v>
      </c>
      <c r="M718" s="24">
        <v>25000000</v>
      </c>
      <c r="N718" s="39">
        <v>45579</v>
      </c>
    </row>
    <row r="719" spans="1:14" s="5" customFormat="1" outlineLevel="2">
      <c r="A719" s="39" t="s">
        <v>239</v>
      </c>
      <c r="B719" s="40" t="s">
        <v>190</v>
      </c>
      <c r="C719" s="41" t="s">
        <v>294</v>
      </c>
      <c r="D719" s="40" t="s">
        <v>295</v>
      </c>
      <c r="E719" s="24">
        <v>750000000</v>
      </c>
      <c r="F719" s="39">
        <v>44473</v>
      </c>
      <c r="G719" s="24">
        <v>750000000</v>
      </c>
      <c r="H719" s="23">
        <v>3.0000000000000001E-3</v>
      </c>
      <c r="I719" s="39">
        <v>44501</v>
      </c>
      <c r="J719" s="39">
        <v>44530</v>
      </c>
      <c r="K719" s="24">
        <v>30</v>
      </c>
      <c r="L719" s="24">
        <v>184932</v>
      </c>
      <c r="M719" s="24">
        <v>750000000</v>
      </c>
      <c r="N719" s="39">
        <v>45568</v>
      </c>
    </row>
    <row r="720" spans="1:14" s="5" customFormat="1" outlineLevel="2">
      <c r="A720" s="39" t="s">
        <v>239</v>
      </c>
      <c r="B720" s="40" t="s">
        <v>191</v>
      </c>
      <c r="C720" s="41" t="s">
        <v>244</v>
      </c>
      <c r="D720" s="40" t="s">
        <v>245</v>
      </c>
      <c r="E720" s="24">
        <v>100000000</v>
      </c>
      <c r="F720" s="39">
        <v>44504</v>
      </c>
      <c r="G720" s="24">
        <v>100000000</v>
      </c>
      <c r="H720" s="23">
        <v>5.0000000000000001E-3</v>
      </c>
      <c r="I720" s="39">
        <v>44504</v>
      </c>
      <c r="J720" s="39">
        <v>44530</v>
      </c>
      <c r="K720" s="24">
        <v>27</v>
      </c>
      <c r="L720" s="24">
        <v>36986</v>
      </c>
      <c r="M720" s="24">
        <v>100000000</v>
      </c>
      <c r="N720" s="39">
        <v>46329</v>
      </c>
    </row>
    <row r="721" spans="1:14" s="5" customFormat="1" outlineLevel="2">
      <c r="A721" s="39" t="s">
        <v>239</v>
      </c>
      <c r="B721" s="40" t="s">
        <v>192</v>
      </c>
      <c r="C721" s="41" t="s">
        <v>450</v>
      </c>
      <c r="D721" s="40" t="s">
        <v>449</v>
      </c>
      <c r="E721" s="24">
        <v>490980</v>
      </c>
      <c r="F721" s="39">
        <v>44519</v>
      </c>
      <c r="G721" s="24">
        <v>490980</v>
      </c>
      <c r="H721" s="23">
        <v>5.0000000000000001E-3</v>
      </c>
      <c r="I721" s="39">
        <v>44519</v>
      </c>
      <c r="J721" s="39">
        <v>44530</v>
      </c>
      <c r="K721" s="24">
        <v>12</v>
      </c>
      <c r="L721" s="24">
        <v>81</v>
      </c>
      <c r="M721" s="24">
        <v>490980</v>
      </c>
      <c r="N721" s="39">
        <v>45614</v>
      </c>
    </row>
    <row r="722" spans="1:14" s="5" customFormat="1" outlineLevel="2">
      <c r="A722" s="39" t="s">
        <v>239</v>
      </c>
      <c r="B722" s="40" t="s">
        <v>64</v>
      </c>
      <c r="C722" s="41" t="s">
        <v>109</v>
      </c>
      <c r="D722" s="40" t="s">
        <v>110</v>
      </c>
      <c r="E722" s="24">
        <v>10400000</v>
      </c>
      <c r="F722" s="39">
        <v>44096</v>
      </c>
      <c r="G722" s="24">
        <v>10400000</v>
      </c>
      <c r="H722" s="23">
        <v>5.0000000000000001E-3</v>
      </c>
      <c r="I722" s="39">
        <v>44501</v>
      </c>
      <c r="J722" s="39">
        <v>44530</v>
      </c>
      <c r="K722" s="24">
        <v>30</v>
      </c>
      <c r="L722" s="24">
        <v>4274</v>
      </c>
      <c r="M722" s="24">
        <v>10400000</v>
      </c>
      <c r="N722" s="39">
        <v>45921</v>
      </c>
    </row>
    <row r="723" spans="1:14" s="5" customFormat="1" outlineLevel="2">
      <c r="A723" s="39" t="s">
        <v>239</v>
      </c>
      <c r="B723" s="40" t="s">
        <v>65</v>
      </c>
      <c r="C723" s="41" t="s">
        <v>242</v>
      </c>
      <c r="D723" s="40" t="s">
        <v>243</v>
      </c>
      <c r="E723" s="24">
        <v>10000000</v>
      </c>
      <c r="F723" s="39">
        <v>44139</v>
      </c>
      <c r="G723" s="24">
        <v>10000000</v>
      </c>
      <c r="H723" s="23">
        <v>5.0000000000000001E-3</v>
      </c>
      <c r="I723" s="39">
        <v>44501</v>
      </c>
      <c r="J723" s="39">
        <v>44530</v>
      </c>
      <c r="K723" s="24">
        <v>30</v>
      </c>
      <c r="L723" s="24">
        <v>4110</v>
      </c>
      <c r="M723" s="24">
        <v>10000000</v>
      </c>
      <c r="N723" s="39">
        <v>45964</v>
      </c>
    </row>
    <row r="724" spans="1:14" s="5" customFormat="1" outlineLevel="2">
      <c r="A724" s="39" t="s">
        <v>239</v>
      </c>
      <c r="B724" s="40" t="s">
        <v>68</v>
      </c>
      <c r="C724" s="41" t="s">
        <v>242</v>
      </c>
      <c r="D724" s="40" t="s">
        <v>243</v>
      </c>
      <c r="E724" s="24">
        <v>10000000</v>
      </c>
      <c r="F724" s="39">
        <v>44152</v>
      </c>
      <c r="G724" s="24">
        <v>10000000</v>
      </c>
      <c r="H724" s="23">
        <v>5.0000000000000001E-3</v>
      </c>
      <c r="I724" s="39">
        <v>44501</v>
      </c>
      <c r="J724" s="39">
        <v>44530</v>
      </c>
      <c r="K724" s="24">
        <v>30</v>
      </c>
      <c r="L724" s="24">
        <v>4110</v>
      </c>
      <c r="M724" s="24">
        <v>10000000</v>
      </c>
      <c r="N724" s="39">
        <v>45977</v>
      </c>
    </row>
    <row r="725" spans="1:14" s="5" customFormat="1" outlineLevel="1">
      <c r="A725" s="42" t="s">
        <v>254</v>
      </c>
      <c r="B725" s="43"/>
      <c r="C725" s="44"/>
      <c r="D725" s="43"/>
      <c r="E725" s="45">
        <v>3706002100</v>
      </c>
      <c r="F725" s="46"/>
      <c r="G725" s="45"/>
      <c r="H725" s="47"/>
      <c r="I725" s="46"/>
      <c r="J725" s="46"/>
      <c r="K725" s="45"/>
      <c r="L725" s="45">
        <v>1339308</v>
      </c>
      <c r="M725" s="45">
        <v>3692708915</v>
      </c>
      <c r="N725" s="46"/>
    </row>
    <row r="726" spans="1:14" s="5" customFormat="1" outlineLevel="2">
      <c r="A726" s="39" t="s">
        <v>255</v>
      </c>
      <c r="B726" s="40" t="s">
        <v>16</v>
      </c>
      <c r="C726" s="41" t="s">
        <v>20</v>
      </c>
      <c r="D726" s="40" t="s">
        <v>21</v>
      </c>
      <c r="E726" s="24">
        <v>330000000</v>
      </c>
      <c r="F726" s="39">
        <v>43915</v>
      </c>
      <c r="G726" s="24">
        <v>330000000</v>
      </c>
      <c r="H726" s="23">
        <v>5.0000000000000001E-3</v>
      </c>
      <c r="I726" s="39">
        <v>44501</v>
      </c>
      <c r="J726" s="39">
        <v>44530</v>
      </c>
      <c r="K726" s="24">
        <v>30</v>
      </c>
      <c r="L726" s="24">
        <v>135616</v>
      </c>
      <c r="M726" s="24">
        <v>330000000</v>
      </c>
      <c r="N726" s="39">
        <v>45740</v>
      </c>
    </row>
    <row r="727" spans="1:14" s="5" customFormat="1" outlineLevel="2">
      <c r="A727" s="39" t="s">
        <v>255</v>
      </c>
      <c r="B727" s="40" t="s">
        <v>39</v>
      </c>
      <c r="C727" s="41" t="s">
        <v>20</v>
      </c>
      <c r="D727" s="40" t="s">
        <v>21</v>
      </c>
      <c r="E727" s="24">
        <v>93600000</v>
      </c>
      <c r="F727" s="39">
        <v>43955</v>
      </c>
      <c r="G727" s="24">
        <v>93600000</v>
      </c>
      <c r="H727" s="23">
        <v>5.0000000000000001E-3</v>
      </c>
      <c r="I727" s="39">
        <v>44501</v>
      </c>
      <c r="J727" s="39">
        <v>44530</v>
      </c>
      <c r="K727" s="24">
        <v>30</v>
      </c>
      <c r="L727" s="24">
        <v>38466</v>
      </c>
      <c r="M727" s="24">
        <v>93600000</v>
      </c>
      <c r="N727" s="39">
        <v>45780</v>
      </c>
    </row>
    <row r="728" spans="1:14" s="5" customFormat="1" outlineLevel="2">
      <c r="A728" s="39" t="s">
        <v>255</v>
      </c>
      <c r="B728" s="40" t="s">
        <v>54</v>
      </c>
      <c r="C728" s="41" t="s">
        <v>20</v>
      </c>
      <c r="D728" s="40" t="s">
        <v>21</v>
      </c>
      <c r="E728" s="24">
        <v>576400000</v>
      </c>
      <c r="F728" s="39">
        <v>44013</v>
      </c>
      <c r="G728" s="24">
        <v>576400000</v>
      </c>
      <c r="H728" s="23">
        <v>5.0000000000000001E-3</v>
      </c>
      <c r="I728" s="39">
        <v>44501</v>
      </c>
      <c r="J728" s="39">
        <v>44530</v>
      </c>
      <c r="K728" s="24">
        <v>30</v>
      </c>
      <c r="L728" s="24">
        <v>236877</v>
      </c>
      <c r="M728" s="24">
        <v>576400000</v>
      </c>
      <c r="N728" s="39">
        <v>45838</v>
      </c>
    </row>
    <row r="729" spans="1:14" s="5" customFormat="1" outlineLevel="1">
      <c r="A729" s="42" t="s">
        <v>256</v>
      </c>
      <c r="B729" s="43"/>
      <c r="C729" s="44"/>
      <c r="D729" s="43"/>
      <c r="E729" s="45">
        <v>1000000000</v>
      </c>
      <c r="F729" s="46"/>
      <c r="G729" s="45"/>
      <c r="H729" s="47"/>
      <c r="I729" s="46"/>
      <c r="J729" s="46"/>
      <c r="K729" s="45"/>
      <c r="L729" s="45">
        <v>410959</v>
      </c>
      <c r="M729" s="45">
        <v>1000000000</v>
      </c>
      <c r="N729" s="46"/>
    </row>
    <row r="730" spans="1:14" s="5" customFormat="1" outlineLevel="2">
      <c r="A730" s="39" t="s">
        <v>257</v>
      </c>
      <c r="B730" s="40" t="s">
        <v>16</v>
      </c>
      <c r="C730" s="41" t="s">
        <v>262</v>
      </c>
      <c r="D730" s="40" t="s">
        <v>259</v>
      </c>
      <c r="E730" s="24">
        <v>3400000</v>
      </c>
      <c r="F730" s="39">
        <v>43927</v>
      </c>
      <c r="G730" s="24">
        <v>3400000</v>
      </c>
      <c r="H730" s="23">
        <v>5.0000000000000001E-3</v>
      </c>
      <c r="I730" s="39">
        <v>44501</v>
      </c>
      <c r="J730" s="39">
        <v>44530</v>
      </c>
      <c r="K730" s="24">
        <v>30</v>
      </c>
      <c r="L730" s="24">
        <v>1397</v>
      </c>
      <c r="M730" s="24">
        <v>3400000</v>
      </c>
      <c r="N730" s="39">
        <v>45752</v>
      </c>
    </row>
    <row r="731" spans="1:14" s="5" customFormat="1" outlineLevel="2">
      <c r="A731" s="39" t="s">
        <v>257</v>
      </c>
      <c r="B731" s="40" t="s">
        <v>19</v>
      </c>
      <c r="C731" s="41" t="s">
        <v>260</v>
      </c>
      <c r="D731" s="40" t="s">
        <v>261</v>
      </c>
      <c r="E731" s="24">
        <v>620000</v>
      </c>
      <c r="F731" s="39">
        <v>44148</v>
      </c>
      <c r="G731" s="24">
        <v>460000</v>
      </c>
      <c r="H731" s="23">
        <v>5.0000000000000001E-3</v>
      </c>
      <c r="I731" s="39">
        <v>44501</v>
      </c>
      <c r="J731" s="39">
        <v>44514</v>
      </c>
      <c r="K731" s="24">
        <v>14</v>
      </c>
      <c r="L731" s="24">
        <v>88</v>
      </c>
      <c r="M731" s="24">
        <v>450000</v>
      </c>
      <c r="N731" s="39">
        <v>45973</v>
      </c>
    </row>
    <row r="732" spans="1:14" s="5" customFormat="1" outlineLevel="2">
      <c r="A732" s="39" t="s">
        <v>257</v>
      </c>
      <c r="B732" s="40" t="s">
        <v>19</v>
      </c>
      <c r="C732" s="41" t="s">
        <v>260</v>
      </c>
      <c r="D732" s="40"/>
      <c r="E732" s="24"/>
      <c r="F732" s="39"/>
      <c r="G732" s="24">
        <v>450000</v>
      </c>
      <c r="H732" s="23">
        <v>5.0000000000000001E-3</v>
      </c>
      <c r="I732" s="39">
        <v>44515</v>
      </c>
      <c r="J732" s="39">
        <v>44530</v>
      </c>
      <c r="K732" s="24">
        <v>16</v>
      </c>
      <c r="L732" s="24">
        <v>99</v>
      </c>
      <c r="M732" s="24"/>
      <c r="N732" s="39">
        <v>45973</v>
      </c>
    </row>
    <row r="733" spans="1:14" s="5" customFormat="1" outlineLevel="2">
      <c r="A733" s="39" t="s">
        <v>257</v>
      </c>
      <c r="B733" s="40" t="s">
        <v>22</v>
      </c>
      <c r="C733" s="41" t="s">
        <v>260</v>
      </c>
      <c r="D733" s="40" t="s">
        <v>261</v>
      </c>
      <c r="E733" s="24">
        <v>3910000</v>
      </c>
      <c r="F733" s="39">
        <v>44165</v>
      </c>
      <c r="G733" s="24">
        <v>3128000</v>
      </c>
      <c r="H733" s="23">
        <v>5.0000000000000001E-3</v>
      </c>
      <c r="I733" s="39">
        <v>44501</v>
      </c>
      <c r="J733" s="39">
        <v>44514</v>
      </c>
      <c r="K733" s="24">
        <v>14</v>
      </c>
      <c r="L733" s="24">
        <v>600</v>
      </c>
      <c r="M733" s="24">
        <v>3060000</v>
      </c>
      <c r="N733" s="39">
        <v>45990</v>
      </c>
    </row>
    <row r="734" spans="1:14" s="5" customFormat="1" outlineLevel="2">
      <c r="A734" s="39" t="s">
        <v>257</v>
      </c>
      <c r="B734" s="40" t="s">
        <v>22</v>
      </c>
      <c r="C734" s="41" t="s">
        <v>260</v>
      </c>
      <c r="D734" s="40"/>
      <c r="E734" s="24"/>
      <c r="F734" s="39"/>
      <c r="G734" s="24">
        <v>3060000</v>
      </c>
      <c r="H734" s="23">
        <v>5.0000000000000001E-3</v>
      </c>
      <c r="I734" s="39">
        <v>44515</v>
      </c>
      <c r="J734" s="39">
        <v>44530</v>
      </c>
      <c r="K734" s="24">
        <v>16</v>
      </c>
      <c r="L734" s="24">
        <v>671</v>
      </c>
      <c r="M734" s="24"/>
      <c r="N734" s="39">
        <v>45990</v>
      </c>
    </row>
    <row r="735" spans="1:14" s="5" customFormat="1" outlineLevel="2">
      <c r="A735" s="39" t="s">
        <v>257</v>
      </c>
      <c r="B735" s="40" t="s">
        <v>25</v>
      </c>
      <c r="C735" s="41" t="s">
        <v>260</v>
      </c>
      <c r="D735" s="40" t="s">
        <v>261</v>
      </c>
      <c r="E735" s="24">
        <v>4030000</v>
      </c>
      <c r="F735" s="39">
        <v>44165</v>
      </c>
      <c r="G735" s="24">
        <v>3220000</v>
      </c>
      <c r="H735" s="23">
        <v>5.0000000000000001E-3</v>
      </c>
      <c r="I735" s="39">
        <v>44501</v>
      </c>
      <c r="J735" s="39">
        <v>44514</v>
      </c>
      <c r="K735" s="24">
        <v>14</v>
      </c>
      <c r="L735" s="24">
        <v>618</v>
      </c>
      <c r="M735" s="24">
        <v>3150000</v>
      </c>
      <c r="N735" s="39">
        <v>45990</v>
      </c>
    </row>
    <row r="736" spans="1:14" s="5" customFormat="1" outlineLevel="2">
      <c r="A736" s="39" t="s">
        <v>257</v>
      </c>
      <c r="B736" s="40" t="s">
        <v>25</v>
      </c>
      <c r="C736" s="41" t="s">
        <v>260</v>
      </c>
      <c r="D736" s="40"/>
      <c r="E736" s="24"/>
      <c r="F736" s="39"/>
      <c r="G736" s="24">
        <v>3150000</v>
      </c>
      <c r="H736" s="23">
        <v>5.0000000000000001E-3</v>
      </c>
      <c r="I736" s="39">
        <v>44515</v>
      </c>
      <c r="J736" s="39">
        <v>44530</v>
      </c>
      <c r="K736" s="24">
        <v>16</v>
      </c>
      <c r="L736" s="24">
        <v>690</v>
      </c>
      <c r="M736" s="24"/>
      <c r="N736" s="39">
        <v>45990</v>
      </c>
    </row>
    <row r="737" spans="1:14" s="5" customFormat="1" outlineLevel="2">
      <c r="A737" s="39" t="s">
        <v>257</v>
      </c>
      <c r="B737" s="40" t="s">
        <v>26</v>
      </c>
      <c r="C737" s="41" t="s">
        <v>260</v>
      </c>
      <c r="D737" s="40" t="s">
        <v>261</v>
      </c>
      <c r="E737" s="24">
        <v>570000</v>
      </c>
      <c r="F737" s="39">
        <v>44155</v>
      </c>
      <c r="G737" s="24">
        <v>570000</v>
      </c>
      <c r="H737" s="23">
        <v>5.0000000000000001E-3</v>
      </c>
      <c r="I737" s="39">
        <v>44501</v>
      </c>
      <c r="J737" s="39">
        <v>44530</v>
      </c>
      <c r="K737" s="24">
        <v>30</v>
      </c>
      <c r="L737" s="24">
        <v>234</v>
      </c>
      <c r="M737" s="24">
        <v>570000</v>
      </c>
      <c r="N737" s="39">
        <v>45980</v>
      </c>
    </row>
    <row r="738" spans="1:14" s="5" customFormat="1" outlineLevel="2">
      <c r="A738" s="39" t="s">
        <v>257</v>
      </c>
      <c r="B738" s="40" t="s">
        <v>29</v>
      </c>
      <c r="C738" s="41" t="s">
        <v>260</v>
      </c>
      <c r="D738" s="40" t="s">
        <v>261</v>
      </c>
      <c r="E738" s="24">
        <v>6000000</v>
      </c>
      <c r="F738" s="39">
        <v>44155</v>
      </c>
      <c r="G738" s="24">
        <v>6000000</v>
      </c>
      <c r="H738" s="23">
        <v>5.0000000000000001E-3</v>
      </c>
      <c r="I738" s="39">
        <v>44501</v>
      </c>
      <c r="J738" s="39">
        <v>44530</v>
      </c>
      <c r="K738" s="24">
        <v>30</v>
      </c>
      <c r="L738" s="24">
        <v>2466</v>
      </c>
      <c r="M738" s="24">
        <v>6000000</v>
      </c>
      <c r="N738" s="39">
        <v>45980</v>
      </c>
    </row>
    <row r="739" spans="1:14" s="5" customFormat="1" outlineLevel="2">
      <c r="A739" s="39" t="s">
        <v>257</v>
      </c>
      <c r="B739" s="40" t="s">
        <v>32</v>
      </c>
      <c r="C739" s="41" t="s">
        <v>260</v>
      </c>
      <c r="D739" s="40" t="s">
        <v>261</v>
      </c>
      <c r="E739" s="24">
        <v>270000</v>
      </c>
      <c r="F739" s="39">
        <v>44181</v>
      </c>
      <c r="G739" s="24">
        <v>184000</v>
      </c>
      <c r="H739" s="23">
        <v>5.0000000000000001E-3</v>
      </c>
      <c r="I739" s="39">
        <v>44501</v>
      </c>
      <c r="J739" s="39">
        <v>44514</v>
      </c>
      <c r="K739" s="24">
        <v>14</v>
      </c>
      <c r="L739" s="24">
        <v>35</v>
      </c>
      <c r="M739" s="24">
        <v>180000</v>
      </c>
      <c r="N739" s="39">
        <v>46006</v>
      </c>
    </row>
    <row r="740" spans="1:14" s="5" customFormat="1" outlineLevel="2">
      <c r="A740" s="39" t="s">
        <v>257</v>
      </c>
      <c r="B740" s="40" t="s">
        <v>32</v>
      </c>
      <c r="C740" s="41" t="s">
        <v>260</v>
      </c>
      <c r="D740" s="40"/>
      <c r="E740" s="24"/>
      <c r="F740" s="39"/>
      <c r="G740" s="24">
        <v>180000</v>
      </c>
      <c r="H740" s="23">
        <v>5.0000000000000001E-3</v>
      </c>
      <c r="I740" s="39">
        <v>44515</v>
      </c>
      <c r="J740" s="39">
        <v>44530</v>
      </c>
      <c r="K740" s="24">
        <v>16</v>
      </c>
      <c r="L740" s="24">
        <v>39</v>
      </c>
      <c r="M740" s="24"/>
      <c r="N740" s="39">
        <v>46006</v>
      </c>
    </row>
    <row r="741" spans="1:14" s="5" customFormat="1" outlineLevel="2">
      <c r="A741" s="39" t="s">
        <v>257</v>
      </c>
      <c r="B741" s="40" t="s">
        <v>33</v>
      </c>
      <c r="C741" s="41" t="s">
        <v>260</v>
      </c>
      <c r="D741" s="40" t="s">
        <v>261</v>
      </c>
      <c r="E741" s="24">
        <v>2400000</v>
      </c>
      <c r="F741" s="39">
        <v>44181</v>
      </c>
      <c r="G741" s="24">
        <v>2400000</v>
      </c>
      <c r="H741" s="23">
        <v>5.0000000000000001E-3</v>
      </c>
      <c r="I741" s="39">
        <v>44501</v>
      </c>
      <c r="J741" s="39">
        <v>44530</v>
      </c>
      <c r="K741" s="24">
        <v>30</v>
      </c>
      <c r="L741" s="24">
        <v>986</v>
      </c>
      <c r="M741" s="24">
        <v>2400000</v>
      </c>
      <c r="N741" s="39">
        <v>46006</v>
      </c>
    </row>
    <row r="742" spans="1:14" s="5" customFormat="1" outlineLevel="2">
      <c r="A742" s="39" t="s">
        <v>257</v>
      </c>
      <c r="B742" s="40" t="s">
        <v>34</v>
      </c>
      <c r="C742" s="41" t="s">
        <v>260</v>
      </c>
      <c r="D742" s="40" t="s">
        <v>261</v>
      </c>
      <c r="E742" s="24">
        <v>11000000</v>
      </c>
      <c r="F742" s="39">
        <v>44181</v>
      </c>
      <c r="G742" s="24">
        <v>11000000</v>
      </c>
      <c r="H742" s="23">
        <v>5.0000000000000001E-3</v>
      </c>
      <c r="I742" s="39">
        <v>44501</v>
      </c>
      <c r="J742" s="39">
        <v>44530</v>
      </c>
      <c r="K742" s="24">
        <v>30</v>
      </c>
      <c r="L742" s="24">
        <v>4521</v>
      </c>
      <c r="M742" s="24">
        <v>11000000</v>
      </c>
      <c r="N742" s="39">
        <v>46006</v>
      </c>
    </row>
    <row r="743" spans="1:14" s="5" customFormat="1" outlineLevel="2">
      <c r="A743" s="39" t="s">
        <v>257</v>
      </c>
      <c r="B743" s="40" t="s">
        <v>35</v>
      </c>
      <c r="C743" s="41" t="s">
        <v>260</v>
      </c>
      <c r="D743" s="40" t="s">
        <v>261</v>
      </c>
      <c r="E743" s="24">
        <v>220000</v>
      </c>
      <c r="F743" s="39">
        <v>44215</v>
      </c>
      <c r="G743" s="24">
        <v>184000</v>
      </c>
      <c r="H743" s="23">
        <v>5.0000000000000001E-3</v>
      </c>
      <c r="I743" s="39">
        <v>44501</v>
      </c>
      <c r="J743" s="39">
        <v>44514</v>
      </c>
      <c r="K743" s="24">
        <v>14</v>
      </c>
      <c r="L743" s="24">
        <v>35</v>
      </c>
      <c r="M743" s="24">
        <v>180000</v>
      </c>
      <c r="N743" s="39">
        <v>46040</v>
      </c>
    </row>
    <row r="744" spans="1:14" s="5" customFormat="1" outlineLevel="2">
      <c r="A744" s="39" t="s">
        <v>257</v>
      </c>
      <c r="B744" s="40" t="s">
        <v>35</v>
      </c>
      <c r="C744" s="41" t="s">
        <v>260</v>
      </c>
      <c r="D744" s="40"/>
      <c r="E744" s="24"/>
      <c r="F744" s="39"/>
      <c r="G744" s="24">
        <v>180000</v>
      </c>
      <c r="H744" s="23">
        <v>5.0000000000000001E-3</v>
      </c>
      <c r="I744" s="39">
        <v>44515</v>
      </c>
      <c r="J744" s="39">
        <v>44530</v>
      </c>
      <c r="K744" s="24">
        <v>16</v>
      </c>
      <c r="L744" s="24">
        <v>39</v>
      </c>
      <c r="M744" s="24"/>
      <c r="N744" s="39">
        <v>46040</v>
      </c>
    </row>
    <row r="745" spans="1:14" s="5" customFormat="1" outlineLevel="2">
      <c r="A745" s="39" t="s">
        <v>257</v>
      </c>
      <c r="B745" s="40" t="s">
        <v>36</v>
      </c>
      <c r="C745" s="41" t="s">
        <v>260</v>
      </c>
      <c r="D745" s="40" t="s">
        <v>261</v>
      </c>
      <c r="E745" s="24">
        <v>1000000</v>
      </c>
      <c r="F745" s="39">
        <v>44215</v>
      </c>
      <c r="G745" s="24">
        <v>828000</v>
      </c>
      <c r="H745" s="23">
        <v>5.0000000000000001E-3</v>
      </c>
      <c r="I745" s="39">
        <v>44501</v>
      </c>
      <c r="J745" s="39">
        <v>44514</v>
      </c>
      <c r="K745" s="24">
        <v>14</v>
      </c>
      <c r="L745" s="24">
        <v>159</v>
      </c>
      <c r="M745" s="24">
        <v>810000</v>
      </c>
      <c r="N745" s="39">
        <v>46040</v>
      </c>
    </row>
    <row r="746" spans="1:14" s="5" customFormat="1" outlineLevel="2">
      <c r="A746" s="39" t="s">
        <v>257</v>
      </c>
      <c r="B746" s="40" t="s">
        <v>36</v>
      </c>
      <c r="C746" s="41" t="s">
        <v>260</v>
      </c>
      <c r="D746" s="40"/>
      <c r="E746" s="24"/>
      <c r="F746" s="39"/>
      <c r="G746" s="24">
        <v>810000</v>
      </c>
      <c r="H746" s="23">
        <v>5.0000000000000001E-3</v>
      </c>
      <c r="I746" s="39">
        <v>44515</v>
      </c>
      <c r="J746" s="39">
        <v>44530</v>
      </c>
      <c r="K746" s="24">
        <v>16</v>
      </c>
      <c r="L746" s="24">
        <v>178</v>
      </c>
      <c r="M746" s="24"/>
      <c r="N746" s="39">
        <v>46040</v>
      </c>
    </row>
    <row r="747" spans="1:14" s="5" customFormat="1" outlineLevel="2">
      <c r="A747" s="39" t="s">
        <v>257</v>
      </c>
      <c r="B747" s="40" t="s">
        <v>39</v>
      </c>
      <c r="C747" s="41" t="s">
        <v>262</v>
      </c>
      <c r="D747" s="40" t="s">
        <v>259</v>
      </c>
      <c r="E747" s="24">
        <v>70440000</v>
      </c>
      <c r="F747" s="39">
        <v>43951</v>
      </c>
      <c r="G747" s="24">
        <v>70440000</v>
      </c>
      <c r="H747" s="23">
        <v>5.0000000000000001E-3</v>
      </c>
      <c r="I747" s="39">
        <v>44501</v>
      </c>
      <c r="J747" s="39">
        <v>44530</v>
      </c>
      <c r="K747" s="24">
        <v>30</v>
      </c>
      <c r="L747" s="24">
        <v>28948</v>
      </c>
      <c r="M747" s="24">
        <v>70440000</v>
      </c>
      <c r="N747" s="39">
        <v>45776</v>
      </c>
    </row>
    <row r="748" spans="1:14" s="5" customFormat="1" outlineLevel="2">
      <c r="A748" s="39" t="s">
        <v>257</v>
      </c>
      <c r="B748" s="40" t="s">
        <v>40</v>
      </c>
      <c r="C748" s="41" t="s">
        <v>262</v>
      </c>
      <c r="D748" s="40" t="s">
        <v>259</v>
      </c>
      <c r="E748" s="24">
        <v>54250000</v>
      </c>
      <c r="F748" s="39">
        <v>44228</v>
      </c>
      <c r="G748" s="24">
        <v>54250000</v>
      </c>
      <c r="H748" s="23">
        <v>5.0000000000000001E-3</v>
      </c>
      <c r="I748" s="39">
        <v>44501</v>
      </c>
      <c r="J748" s="39">
        <v>44530</v>
      </c>
      <c r="K748" s="24">
        <v>30</v>
      </c>
      <c r="L748" s="24">
        <v>22295</v>
      </c>
      <c r="M748" s="24">
        <v>54250000</v>
      </c>
      <c r="N748" s="39">
        <v>46053</v>
      </c>
    </row>
    <row r="749" spans="1:14" s="5" customFormat="1" outlineLevel="2">
      <c r="A749" s="39" t="s">
        <v>257</v>
      </c>
      <c r="B749" s="40" t="s">
        <v>41</v>
      </c>
      <c r="C749" s="41" t="s">
        <v>304</v>
      </c>
      <c r="D749" s="40" t="s">
        <v>303</v>
      </c>
      <c r="E749" s="24">
        <v>40000000</v>
      </c>
      <c r="F749" s="39">
        <v>44229</v>
      </c>
      <c r="G749" s="24">
        <v>40000000</v>
      </c>
      <c r="H749" s="23">
        <v>5.0000000000000001E-3</v>
      </c>
      <c r="I749" s="39">
        <v>44501</v>
      </c>
      <c r="J749" s="39">
        <v>44530</v>
      </c>
      <c r="K749" s="24">
        <v>30</v>
      </c>
      <c r="L749" s="24">
        <v>16438</v>
      </c>
      <c r="M749" s="24">
        <v>40000000</v>
      </c>
      <c r="N749" s="39">
        <v>46054</v>
      </c>
    </row>
    <row r="750" spans="1:14" s="5" customFormat="1" outlineLevel="2">
      <c r="A750" s="39" t="s">
        <v>257</v>
      </c>
      <c r="B750" s="40" t="s">
        <v>42</v>
      </c>
      <c r="C750" s="41" t="s">
        <v>304</v>
      </c>
      <c r="D750" s="40" t="s">
        <v>303</v>
      </c>
      <c r="E750" s="24">
        <v>38000000</v>
      </c>
      <c r="F750" s="39">
        <v>44245</v>
      </c>
      <c r="G750" s="24">
        <v>38000000</v>
      </c>
      <c r="H750" s="23">
        <v>5.0000000000000001E-3</v>
      </c>
      <c r="I750" s="39">
        <v>44501</v>
      </c>
      <c r="J750" s="39">
        <v>44530</v>
      </c>
      <c r="K750" s="24">
        <v>30</v>
      </c>
      <c r="L750" s="24">
        <v>15616</v>
      </c>
      <c r="M750" s="24">
        <v>38000000</v>
      </c>
      <c r="N750" s="39">
        <v>46070</v>
      </c>
    </row>
    <row r="751" spans="1:14" s="5" customFormat="1" outlineLevel="2">
      <c r="A751" s="39" t="s">
        <v>257</v>
      </c>
      <c r="B751" s="40" t="s">
        <v>43</v>
      </c>
      <c r="C751" s="41" t="s">
        <v>89</v>
      </c>
      <c r="D751" s="40" t="s">
        <v>90</v>
      </c>
      <c r="E751" s="24">
        <v>66000000</v>
      </c>
      <c r="F751" s="39">
        <v>44270</v>
      </c>
      <c r="G751" s="24">
        <v>66000000</v>
      </c>
      <c r="H751" s="23">
        <v>5.0000000000000001E-3</v>
      </c>
      <c r="I751" s="39">
        <v>44501</v>
      </c>
      <c r="J751" s="39">
        <v>44530</v>
      </c>
      <c r="K751" s="24">
        <v>30</v>
      </c>
      <c r="L751" s="24">
        <v>27123</v>
      </c>
      <c r="M751" s="24">
        <v>66000000</v>
      </c>
      <c r="N751" s="39">
        <v>46095</v>
      </c>
    </row>
    <row r="752" spans="1:14" s="5" customFormat="1" outlineLevel="2">
      <c r="A752" s="39" t="s">
        <v>257</v>
      </c>
      <c r="B752" s="40" t="s">
        <v>44</v>
      </c>
      <c r="C752" s="41" t="s">
        <v>260</v>
      </c>
      <c r="D752" s="40" t="s">
        <v>261</v>
      </c>
      <c r="E752" s="24">
        <v>10800000</v>
      </c>
      <c r="F752" s="39">
        <v>44273</v>
      </c>
      <c r="G752" s="24">
        <v>10800000</v>
      </c>
      <c r="H752" s="23">
        <v>5.0000000000000001E-3</v>
      </c>
      <c r="I752" s="39">
        <v>44501</v>
      </c>
      <c r="J752" s="39">
        <v>44530</v>
      </c>
      <c r="K752" s="24">
        <v>30</v>
      </c>
      <c r="L752" s="24">
        <v>4438</v>
      </c>
      <c r="M752" s="24">
        <v>10800000</v>
      </c>
      <c r="N752" s="39">
        <v>46098</v>
      </c>
    </row>
    <row r="753" spans="1:14" s="5" customFormat="1" outlineLevel="2">
      <c r="A753" s="39" t="s">
        <v>257</v>
      </c>
      <c r="B753" s="40" t="s">
        <v>47</v>
      </c>
      <c r="C753" s="41" t="s">
        <v>260</v>
      </c>
      <c r="D753" s="40" t="s">
        <v>261</v>
      </c>
      <c r="E753" s="24">
        <v>1720000</v>
      </c>
      <c r="F753" s="39">
        <v>44285</v>
      </c>
      <c r="G753" s="24">
        <v>1720000</v>
      </c>
      <c r="H753" s="23">
        <v>5.0000000000000001E-3</v>
      </c>
      <c r="I753" s="39">
        <v>44501</v>
      </c>
      <c r="J753" s="39">
        <v>44530</v>
      </c>
      <c r="K753" s="24">
        <v>30</v>
      </c>
      <c r="L753" s="24">
        <v>707</v>
      </c>
      <c r="M753" s="24">
        <v>1720000</v>
      </c>
      <c r="N753" s="39">
        <v>46110</v>
      </c>
    </row>
    <row r="754" spans="1:14" s="5" customFormat="1" outlineLevel="2">
      <c r="A754" s="39" t="s">
        <v>257</v>
      </c>
      <c r="B754" s="40" t="s">
        <v>50</v>
      </c>
      <c r="C754" s="41" t="s">
        <v>324</v>
      </c>
      <c r="D754" s="40" t="s">
        <v>323</v>
      </c>
      <c r="E754" s="24">
        <v>28800000</v>
      </c>
      <c r="F754" s="39">
        <v>44271</v>
      </c>
      <c r="G754" s="24">
        <v>27120000</v>
      </c>
      <c r="H754" s="23">
        <v>5.0000000000000001E-3</v>
      </c>
      <c r="I754" s="39">
        <v>44501</v>
      </c>
      <c r="J754" s="39">
        <v>44514</v>
      </c>
      <c r="K754" s="24">
        <v>14</v>
      </c>
      <c r="L754" s="24">
        <v>5201</v>
      </c>
      <c r="M754" s="24">
        <v>26880000</v>
      </c>
      <c r="N754" s="39">
        <v>46096</v>
      </c>
    </row>
    <row r="755" spans="1:14" s="5" customFormat="1" outlineLevel="2">
      <c r="A755" s="39" t="s">
        <v>257</v>
      </c>
      <c r="B755" s="40" t="s">
        <v>50</v>
      </c>
      <c r="C755" s="41" t="s">
        <v>324</v>
      </c>
      <c r="D755" s="40"/>
      <c r="E755" s="24"/>
      <c r="F755" s="39"/>
      <c r="G755" s="24">
        <v>26880000</v>
      </c>
      <c r="H755" s="23">
        <v>5.0000000000000001E-3</v>
      </c>
      <c r="I755" s="39">
        <v>44515</v>
      </c>
      <c r="J755" s="39">
        <v>44530</v>
      </c>
      <c r="K755" s="24">
        <v>16</v>
      </c>
      <c r="L755" s="24">
        <v>5892</v>
      </c>
      <c r="M755" s="24"/>
      <c r="N755" s="39">
        <v>46096</v>
      </c>
    </row>
    <row r="756" spans="1:14" s="5" customFormat="1" outlineLevel="2">
      <c r="A756" s="39" t="s">
        <v>257</v>
      </c>
      <c r="B756" s="40" t="s">
        <v>51</v>
      </c>
      <c r="C756" s="41" t="s">
        <v>324</v>
      </c>
      <c r="D756" s="40" t="s">
        <v>323</v>
      </c>
      <c r="E756" s="24">
        <v>45270000</v>
      </c>
      <c r="F756" s="39">
        <v>44271</v>
      </c>
      <c r="G756" s="24">
        <v>42629250</v>
      </c>
      <c r="H756" s="23">
        <v>5.0000000000000001E-3</v>
      </c>
      <c r="I756" s="39">
        <v>44501</v>
      </c>
      <c r="J756" s="39">
        <v>44514</v>
      </c>
      <c r="K756" s="24">
        <v>14</v>
      </c>
      <c r="L756" s="24">
        <v>8175</v>
      </c>
      <c r="M756" s="24">
        <v>42252000</v>
      </c>
      <c r="N756" s="39">
        <v>46096</v>
      </c>
    </row>
    <row r="757" spans="1:14" s="5" customFormat="1" outlineLevel="2">
      <c r="A757" s="39" t="s">
        <v>257</v>
      </c>
      <c r="B757" s="40" t="s">
        <v>51</v>
      </c>
      <c r="C757" s="41" t="s">
        <v>324</v>
      </c>
      <c r="D757" s="40"/>
      <c r="E757" s="24"/>
      <c r="F757" s="39"/>
      <c r="G757" s="24">
        <v>42252000</v>
      </c>
      <c r="H757" s="23">
        <v>5.0000000000000001E-3</v>
      </c>
      <c r="I757" s="39">
        <v>44515</v>
      </c>
      <c r="J757" s="39">
        <v>44530</v>
      </c>
      <c r="K757" s="24">
        <v>16</v>
      </c>
      <c r="L757" s="24">
        <v>9261</v>
      </c>
      <c r="M757" s="24"/>
      <c r="N757" s="39">
        <v>46096</v>
      </c>
    </row>
    <row r="758" spans="1:14" s="5" customFormat="1" outlineLevel="2">
      <c r="A758" s="39" t="s">
        <v>257</v>
      </c>
      <c r="B758" s="40" t="s">
        <v>52</v>
      </c>
      <c r="C758" s="41" t="s">
        <v>324</v>
      </c>
      <c r="D758" s="40" t="s">
        <v>323</v>
      </c>
      <c r="E758" s="24">
        <v>32000000</v>
      </c>
      <c r="F758" s="39">
        <v>44271</v>
      </c>
      <c r="G758" s="24">
        <v>29333336</v>
      </c>
      <c r="H758" s="23">
        <v>5.0000000000000001E-3</v>
      </c>
      <c r="I758" s="39">
        <v>44501</v>
      </c>
      <c r="J758" s="39">
        <v>44514</v>
      </c>
      <c r="K758" s="24">
        <v>14</v>
      </c>
      <c r="L758" s="24">
        <v>5626</v>
      </c>
      <c r="M758" s="24">
        <v>28952384</v>
      </c>
      <c r="N758" s="39">
        <v>46096</v>
      </c>
    </row>
    <row r="759" spans="1:14" s="5" customFormat="1" outlineLevel="2">
      <c r="A759" s="39" t="s">
        <v>257</v>
      </c>
      <c r="B759" s="40" t="s">
        <v>52</v>
      </c>
      <c r="C759" s="41" t="s">
        <v>324</v>
      </c>
      <c r="D759" s="40"/>
      <c r="E759" s="24"/>
      <c r="F759" s="39"/>
      <c r="G759" s="24">
        <v>28952384</v>
      </c>
      <c r="H759" s="23">
        <v>5.0000000000000001E-3</v>
      </c>
      <c r="I759" s="39">
        <v>44515</v>
      </c>
      <c r="J759" s="39">
        <v>44530</v>
      </c>
      <c r="K759" s="24">
        <v>16</v>
      </c>
      <c r="L759" s="24">
        <v>6346</v>
      </c>
      <c r="M759" s="24"/>
      <c r="N759" s="39">
        <v>46096</v>
      </c>
    </row>
    <row r="760" spans="1:14" s="5" customFormat="1" outlineLevel="2">
      <c r="A760" s="39" t="s">
        <v>257</v>
      </c>
      <c r="B760" s="40" t="s">
        <v>53</v>
      </c>
      <c r="C760" s="41" t="s">
        <v>262</v>
      </c>
      <c r="D760" s="40" t="s">
        <v>259</v>
      </c>
      <c r="E760" s="24">
        <v>21700000</v>
      </c>
      <c r="F760" s="39">
        <v>44287</v>
      </c>
      <c r="G760" s="24">
        <v>21700000</v>
      </c>
      <c r="H760" s="23">
        <v>5.0000000000000001E-3</v>
      </c>
      <c r="I760" s="39">
        <v>44501</v>
      </c>
      <c r="J760" s="39">
        <v>44530</v>
      </c>
      <c r="K760" s="24">
        <v>30</v>
      </c>
      <c r="L760" s="24">
        <v>8918</v>
      </c>
      <c r="M760" s="24">
        <v>21700000</v>
      </c>
      <c r="N760" s="39">
        <v>46112</v>
      </c>
    </row>
    <row r="761" spans="1:14" s="5" customFormat="1" outlineLevel="2">
      <c r="A761" s="39" t="s">
        <v>257</v>
      </c>
      <c r="B761" s="40" t="s">
        <v>54</v>
      </c>
      <c r="C761" s="41" t="s">
        <v>248</v>
      </c>
      <c r="D761" s="40" t="s">
        <v>249</v>
      </c>
      <c r="E761" s="24">
        <v>182300000</v>
      </c>
      <c r="F761" s="39">
        <v>43959</v>
      </c>
      <c r="G761" s="24">
        <v>166980000</v>
      </c>
      <c r="H761" s="23">
        <v>5.0000000000000001E-3</v>
      </c>
      <c r="I761" s="39">
        <v>44501</v>
      </c>
      <c r="J761" s="39">
        <v>44514</v>
      </c>
      <c r="K761" s="24">
        <v>14</v>
      </c>
      <c r="L761" s="24">
        <v>32024</v>
      </c>
      <c r="M761" s="24">
        <v>164450000</v>
      </c>
      <c r="N761" s="39">
        <v>45784</v>
      </c>
    </row>
    <row r="762" spans="1:14" s="5" customFormat="1" outlineLevel="2">
      <c r="A762" s="39" t="s">
        <v>257</v>
      </c>
      <c r="B762" s="40" t="s">
        <v>54</v>
      </c>
      <c r="C762" s="41" t="s">
        <v>248</v>
      </c>
      <c r="D762" s="40"/>
      <c r="E762" s="24"/>
      <c r="F762" s="39"/>
      <c r="G762" s="24">
        <v>164450000</v>
      </c>
      <c r="H762" s="23">
        <v>5.0000000000000001E-3</v>
      </c>
      <c r="I762" s="39">
        <v>44515</v>
      </c>
      <c r="J762" s="39">
        <v>44530</v>
      </c>
      <c r="K762" s="24">
        <v>16</v>
      </c>
      <c r="L762" s="24">
        <v>36044</v>
      </c>
      <c r="M762" s="24"/>
      <c r="N762" s="39">
        <v>45784</v>
      </c>
    </row>
    <row r="763" spans="1:14" s="5" customFormat="1" outlineLevel="2">
      <c r="A763" s="39" t="s">
        <v>257</v>
      </c>
      <c r="B763" s="40" t="s">
        <v>57</v>
      </c>
      <c r="C763" s="41" t="s">
        <v>260</v>
      </c>
      <c r="D763" s="40" t="s">
        <v>261</v>
      </c>
      <c r="E763" s="24">
        <v>20900000</v>
      </c>
      <c r="F763" s="39">
        <v>44300</v>
      </c>
      <c r="G763" s="24">
        <v>17940000</v>
      </c>
      <c r="H763" s="23">
        <v>5.0000000000000001E-3</v>
      </c>
      <c r="I763" s="39">
        <v>44501</v>
      </c>
      <c r="J763" s="39">
        <v>44514</v>
      </c>
      <c r="K763" s="24">
        <v>14</v>
      </c>
      <c r="L763" s="24">
        <v>3441</v>
      </c>
      <c r="M763" s="24">
        <v>17550000</v>
      </c>
      <c r="N763" s="39">
        <v>46125</v>
      </c>
    </row>
    <row r="764" spans="1:14" s="5" customFormat="1" outlineLevel="2">
      <c r="A764" s="39" t="s">
        <v>257</v>
      </c>
      <c r="B764" s="40" t="s">
        <v>57</v>
      </c>
      <c r="C764" s="41" t="s">
        <v>260</v>
      </c>
      <c r="D764" s="40"/>
      <c r="E764" s="24"/>
      <c r="F764" s="39"/>
      <c r="G764" s="24">
        <v>17550000</v>
      </c>
      <c r="H764" s="23">
        <v>5.0000000000000001E-3</v>
      </c>
      <c r="I764" s="39">
        <v>44515</v>
      </c>
      <c r="J764" s="39">
        <v>44530</v>
      </c>
      <c r="K764" s="24">
        <v>16</v>
      </c>
      <c r="L764" s="24">
        <v>3847</v>
      </c>
      <c r="M764" s="24"/>
      <c r="N764" s="39">
        <v>46125</v>
      </c>
    </row>
    <row r="765" spans="1:14" s="5" customFormat="1" outlineLevel="2">
      <c r="A765" s="39" t="s">
        <v>257</v>
      </c>
      <c r="B765" s="40" t="s">
        <v>58</v>
      </c>
      <c r="C765" s="41" t="s">
        <v>262</v>
      </c>
      <c r="D765" s="40" t="s">
        <v>259</v>
      </c>
      <c r="E765" s="24">
        <v>21700000</v>
      </c>
      <c r="F765" s="39">
        <v>44319</v>
      </c>
      <c r="G765" s="24">
        <v>21700000</v>
      </c>
      <c r="H765" s="23">
        <v>5.0000000000000001E-3</v>
      </c>
      <c r="I765" s="39">
        <v>44501</v>
      </c>
      <c r="J765" s="39">
        <v>44530</v>
      </c>
      <c r="K765" s="24">
        <v>30</v>
      </c>
      <c r="L765" s="24">
        <v>8918</v>
      </c>
      <c r="M765" s="24">
        <v>21700000</v>
      </c>
      <c r="N765" s="39">
        <v>46144</v>
      </c>
    </row>
    <row r="766" spans="1:14" s="5" customFormat="1" outlineLevel="2">
      <c r="A766" s="39" t="s">
        <v>257</v>
      </c>
      <c r="B766" s="40" t="s">
        <v>99</v>
      </c>
      <c r="C766" s="41" t="s">
        <v>262</v>
      </c>
      <c r="D766" s="40" t="s">
        <v>259</v>
      </c>
      <c r="E766" s="24">
        <v>21700000</v>
      </c>
      <c r="F766" s="39">
        <v>44333</v>
      </c>
      <c r="G766" s="24">
        <v>21700000</v>
      </c>
      <c r="H766" s="23">
        <v>5.0000000000000001E-3</v>
      </c>
      <c r="I766" s="39">
        <v>44501</v>
      </c>
      <c r="J766" s="39">
        <v>44530</v>
      </c>
      <c r="K766" s="24">
        <v>30</v>
      </c>
      <c r="L766" s="24">
        <v>8918</v>
      </c>
      <c r="M766" s="24">
        <v>21700000</v>
      </c>
      <c r="N766" s="39">
        <v>46158</v>
      </c>
    </row>
    <row r="767" spans="1:14" s="5" customFormat="1" outlineLevel="2">
      <c r="A767" s="39" t="s">
        <v>257</v>
      </c>
      <c r="B767" s="40" t="s">
        <v>100</v>
      </c>
      <c r="C767" s="41" t="s">
        <v>260</v>
      </c>
      <c r="D767" s="40" t="s">
        <v>261</v>
      </c>
      <c r="E767" s="24">
        <v>12860000</v>
      </c>
      <c r="F767" s="39">
        <v>44326</v>
      </c>
      <c r="G767" s="24">
        <v>11362000</v>
      </c>
      <c r="H767" s="23">
        <v>5.0000000000000001E-3</v>
      </c>
      <c r="I767" s="39">
        <v>44501</v>
      </c>
      <c r="J767" s="39">
        <v>44514</v>
      </c>
      <c r="K767" s="24">
        <v>14</v>
      </c>
      <c r="L767" s="24">
        <v>2179</v>
      </c>
      <c r="M767" s="24">
        <v>11115000</v>
      </c>
      <c r="N767" s="39">
        <v>46151</v>
      </c>
    </row>
    <row r="768" spans="1:14" s="5" customFormat="1" outlineLevel="2">
      <c r="A768" s="39" t="s">
        <v>257</v>
      </c>
      <c r="B768" s="40" t="s">
        <v>100</v>
      </c>
      <c r="C768" s="41" t="s">
        <v>260</v>
      </c>
      <c r="D768" s="40"/>
      <c r="E768" s="24"/>
      <c r="F768" s="39"/>
      <c r="G768" s="24">
        <v>11115000</v>
      </c>
      <c r="H768" s="23">
        <v>5.0000000000000001E-3</v>
      </c>
      <c r="I768" s="39">
        <v>44515</v>
      </c>
      <c r="J768" s="39">
        <v>44530</v>
      </c>
      <c r="K768" s="24">
        <v>16</v>
      </c>
      <c r="L768" s="24">
        <v>2436</v>
      </c>
      <c r="M768" s="24"/>
      <c r="N768" s="39">
        <v>46151</v>
      </c>
    </row>
    <row r="769" spans="1:14" s="5" customFormat="1" outlineLevel="2">
      <c r="A769" s="39" t="s">
        <v>257</v>
      </c>
      <c r="B769" s="40" t="s">
        <v>101</v>
      </c>
      <c r="C769" s="41" t="s">
        <v>304</v>
      </c>
      <c r="D769" s="40" t="s">
        <v>303</v>
      </c>
      <c r="E769" s="24">
        <v>37500000</v>
      </c>
      <c r="F769" s="39">
        <v>44377</v>
      </c>
      <c r="G769" s="24">
        <v>37500000</v>
      </c>
      <c r="H769" s="23">
        <v>5.0000000000000001E-3</v>
      </c>
      <c r="I769" s="39">
        <v>44501</v>
      </c>
      <c r="J769" s="39">
        <v>44530</v>
      </c>
      <c r="K769" s="24">
        <v>30</v>
      </c>
      <c r="L769" s="24">
        <v>15411</v>
      </c>
      <c r="M769" s="24">
        <v>37500000</v>
      </c>
      <c r="N769" s="39">
        <v>46202</v>
      </c>
    </row>
    <row r="770" spans="1:14" s="5" customFormat="1" outlineLevel="2">
      <c r="A770" s="39" t="s">
        <v>257</v>
      </c>
      <c r="B770" s="40" t="s">
        <v>102</v>
      </c>
      <c r="C770" s="41" t="s">
        <v>260</v>
      </c>
      <c r="D770" s="40" t="s">
        <v>261</v>
      </c>
      <c r="E770" s="24">
        <v>3350000</v>
      </c>
      <c r="F770" s="39">
        <v>44355</v>
      </c>
      <c r="G770" s="24">
        <v>2990000</v>
      </c>
      <c r="H770" s="23">
        <v>5.0000000000000001E-3</v>
      </c>
      <c r="I770" s="39">
        <v>44501</v>
      </c>
      <c r="J770" s="39">
        <v>44514</v>
      </c>
      <c r="K770" s="24">
        <v>14</v>
      </c>
      <c r="L770" s="24">
        <v>573</v>
      </c>
      <c r="M770" s="24">
        <v>2925000</v>
      </c>
      <c r="N770" s="39">
        <v>46180</v>
      </c>
    </row>
    <row r="771" spans="1:14" s="5" customFormat="1" outlineLevel="2">
      <c r="A771" s="39" t="s">
        <v>257</v>
      </c>
      <c r="B771" s="40" t="s">
        <v>102</v>
      </c>
      <c r="C771" s="41" t="s">
        <v>260</v>
      </c>
      <c r="D771" s="40"/>
      <c r="E771" s="24"/>
      <c r="F771" s="39"/>
      <c r="G771" s="24">
        <v>2925000</v>
      </c>
      <c r="H771" s="23">
        <v>5.0000000000000001E-3</v>
      </c>
      <c r="I771" s="39">
        <v>44515</v>
      </c>
      <c r="J771" s="39">
        <v>44530</v>
      </c>
      <c r="K771" s="24">
        <v>16</v>
      </c>
      <c r="L771" s="24">
        <v>641</v>
      </c>
      <c r="M771" s="24"/>
      <c r="N771" s="39">
        <v>46180</v>
      </c>
    </row>
    <row r="772" spans="1:14" s="5" customFormat="1" outlineLevel="2">
      <c r="A772" s="39" t="s">
        <v>257</v>
      </c>
      <c r="B772" s="40" t="s">
        <v>103</v>
      </c>
      <c r="C772" s="41" t="s">
        <v>262</v>
      </c>
      <c r="D772" s="40" t="s">
        <v>259</v>
      </c>
      <c r="E772" s="24">
        <v>680000</v>
      </c>
      <c r="F772" s="39">
        <v>44364</v>
      </c>
      <c r="G772" s="24">
        <v>680000</v>
      </c>
      <c r="H772" s="23">
        <v>5.0000000000000001E-3</v>
      </c>
      <c r="I772" s="39">
        <v>44501</v>
      </c>
      <c r="J772" s="39">
        <v>44530</v>
      </c>
      <c r="K772" s="24">
        <v>30</v>
      </c>
      <c r="L772" s="24">
        <v>279</v>
      </c>
      <c r="M772" s="24">
        <v>680000</v>
      </c>
      <c r="N772" s="39">
        <v>46189</v>
      </c>
    </row>
    <row r="773" spans="1:14" s="5" customFormat="1" outlineLevel="2">
      <c r="A773" s="39" t="s">
        <v>257</v>
      </c>
      <c r="B773" s="40" t="s">
        <v>104</v>
      </c>
      <c r="C773" s="41" t="s">
        <v>262</v>
      </c>
      <c r="D773" s="40" t="s">
        <v>259</v>
      </c>
      <c r="E773" s="24">
        <v>18080000</v>
      </c>
      <c r="F773" s="39">
        <v>44364</v>
      </c>
      <c r="G773" s="24">
        <v>18080000</v>
      </c>
      <c r="H773" s="23">
        <v>5.0000000000000001E-3</v>
      </c>
      <c r="I773" s="39">
        <v>44501</v>
      </c>
      <c r="J773" s="39">
        <v>44530</v>
      </c>
      <c r="K773" s="24">
        <v>30</v>
      </c>
      <c r="L773" s="24">
        <v>7430</v>
      </c>
      <c r="M773" s="24">
        <v>18080000</v>
      </c>
      <c r="N773" s="39">
        <v>46189</v>
      </c>
    </row>
    <row r="774" spans="1:14" s="5" customFormat="1" outlineLevel="2">
      <c r="A774" s="39" t="s">
        <v>257</v>
      </c>
      <c r="B774" s="40" t="s">
        <v>105</v>
      </c>
      <c r="C774" s="41" t="s">
        <v>262</v>
      </c>
      <c r="D774" s="40" t="s">
        <v>259</v>
      </c>
      <c r="E774" s="24">
        <v>5790000</v>
      </c>
      <c r="F774" s="39">
        <v>44364</v>
      </c>
      <c r="G774" s="24">
        <v>5790000</v>
      </c>
      <c r="H774" s="23">
        <v>5.0000000000000001E-3</v>
      </c>
      <c r="I774" s="39">
        <v>44501</v>
      </c>
      <c r="J774" s="39">
        <v>44530</v>
      </c>
      <c r="K774" s="24">
        <v>30</v>
      </c>
      <c r="L774" s="24">
        <v>2379</v>
      </c>
      <c r="M774" s="24">
        <v>5790000</v>
      </c>
      <c r="N774" s="39">
        <v>46189</v>
      </c>
    </row>
    <row r="775" spans="1:14" s="5" customFormat="1" outlineLevel="2">
      <c r="A775" s="39" t="s">
        <v>257</v>
      </c>
      <c r="B775" s="40" t="s">
        <v>106</v>
      </c>
      <c r="C775" s="41" t="s">
        <v>248</v>
      </c>
      <c r="D775" s="40" t="s">
        <v>249</v>
      </c>
      <c r="E775" s="24">
        <v>120000000</v>
      </c>
      <c r="F775" s="39">
        <v>44399</v>
      </c>
      <c r="G775" s="24">
        <v>115668000</v>
      </c>
      <c r="H775" s="23">
        <v>5.0000000000000001E-3</v>
      </c>
      <c r="I775" s="39">
        <v>44501</v>
      </c>
      <c r="J775" s="39">
        <v>44514</v>
      </c>
      <c r="K775" s="24">
        <v>14</v>
      </c>
      <c r="L775" s="24">
        <v>22183</v>
      </c>
      <c r="M775" s="24">
        <v>114240000</v>
      </c>
      <c r="N775" s="39">
        <v>46224</v>
      </c>
    </row>
    <row r="776" spans="1:14" s="5" customFormat="1" outlineLevel="2">
      <c r="A776" s="39" t="s">
        <v>257</v>
      </c>
      <c r="B776" s="40" t="s">
        <v>106</v>
      </c>
      <c r="C776" s="41" t="s">
        <v>248</v>
      </c>
      <c r="D776" s="40"/>
      <c r="E776" s="24"/>
      <c r="F776" s="39"/>
      <c r="G776" s="24">
        <v>114240000</v>
      </c>
      <c r="H776" s="23">
        <v>5.0000000000000001E-3</v>
      </c>
      <c r="I776" s="39">
        <v>44515</v>
      </c>
      <c r="J776" s="39">
        <v>44530</v>
      </c>
      <c r="K776" s="24">
        <v>16</v>
      </c>
      <c r="L776" s="24">
        <v>25039</v>
      </c>
      <c r="M776" s="24"/>
      <c r="N776" s="39">
        <v>46224</v>
      </c>
    </row>
    <row r="777" spans="1:14" s="5" customFormat="1" outlineLevel="2">
      <c r="A777" s="39" t="s">
        <v>257</v>
      </c>
      <c r="B777" s="40" t="s">
        <v>59</v>
      </c>
      <c r="C777" s="41" t="s">
        <v>260</v>
      </c>
      <c r="D777" s="40" t="s">
        <v>261</v>
      </c>
      <c r="E777" s="24">
        <v>610000</v>
      </c>
      <c r="F777" s="39">
        <v>44085</v>
      </c>
      <c r="G777" s="24">
        <v>460000</v>
      </c>
      <c r="H777" s="23">
        <v>5.0000000000000001E-3</v>
      </c>
      <c r="I777" s="39">
        <v>44501</v>
      </c>
      <c r="J777" s="39">
        <v>44514</v>
      </c>
      <c r="K777" s="24">
        <v>14</v>
      </c>
      <c r="L777" s="24">
        <v>88</v>
      </c>
      <c r="M777" s="24">
        <v>450000</v>
      </c>
      <c r="N777" s="39">
        <v>45910</v>
      </c>
    </row>
    <row r="778" spans="1:14" s="5" customFormat="1" outlineLevel="2">
      <c r="A778" s="39" t="s">
        <v>257</v>
      </c>
      <c r="B778" s="40" t="s">
        <v>59</v>
      </c>
      <c r="C778" s="41" t="s">
        <v>260</v>
      </c>
      <c r="D778" s="40"/>
      <c r="E778" s="24"/>
      <c r="F778" s="39"/>
      <c r="G778" s="24">
        <v>450000</v>
      </c>
      <c r="H778" s="23">
        <v>5.0000000000000001E-3</v>
      </c>
      <c r="I778" s="39">
        <v>44515</v>
      </c>
      <c r="J778" s="39">
        <v>44530</v>
      </c>
      <c r="K778" s="24">
        <v>16</v>
      </c>
      <c r="L778" s="24">
        <v>99</v>
      </c>
      <c r="M778" s="24"/>
      <c r="N778" s="39">
        <v>45910</v>
      </c>
    </row>
    <row r="779" spans="1:14" s="5" customFormat="1" outlineLevel="2">
      <c r="A779" s="39" t="s">
        <v>257</v>
      </c>
      <c r="B779" s="40" t="s">
        <v>136</v>
      </c>
      <c r="C779" s="41" t="s">
        <v>262</v>
      </c>
      <c r="D779" s="40" t="s">
        <v>259</v>
      </c>
      <c r="E779" s="24">
        <v>39000000</v>
      </c>
      <c r="F779" s="39">
        <v>44425</v>
      </c>
      <c r="G779" s="24">
        <v>37700000</v>
      </c>
      <c r="H779" s="23">
        <v>5.0000000000000001E-3</v>
      </c>
      <c r="I779" s="39">
        <v>44501</v>
      </c>
      <c r="J779" s="39">
        <v>44514</v>
      </c>
      <c r="K779" s="24">
        <v>14</v>
      </c>
      <c r="L779" s="24">
        <v>7230</v>
      </c>
      <c r="M779" s="24">
        <v>37050000</v>
      </c>
      <c r="N779" s="39">
        <v>46250</v>
      </c>
    </row>
    <row r="780" spans="1:14" s="5" customFormat="1" outlineLevel="2">
      <c r="A780" s="39" t="s">
        <v>257</v>
      </c>
      <c r="B780" s="40" t="s">
        <v>136</v>
      </c>
      <c r="C780" s="41" t="s">
        <v>262</v>
      </c>
      <c r="D780" s="40"/>
      <c r="E780" s="24"/>
      <c r="F780" s="39"/>
      <c r="G780" s="24">
        <v>37050000</v>
      </c>
      <c r="H780" s="23">
        <v>5.0000000000000001E-3</v>
      </c>
      <c r="I780" s="39">
        <v>44515</v>
      </c>
      <c r="J780" s="39">
        <v>44530</v>
      </c>
      <c r="K780" s="24">
        <v>16</v>
      </c>
      <c r="L780" s="24">
        <v>8121</v>
      </c>
      <c r="M780" s="24"/>
      <c r="N780" s="39">
        <v>46250</v>
      </c>
    </row>
    <row r="781" spans="1:14" s="5" customFormat="1" outlineLevel="2">
      <c r="A781" s="39" t="s">
        <v>257</v>
      </c>
      <c r="B781" s="40" t="s">
        <v>137</v>
      </c>
      <c r="C781" s="41" t="s">
        <v>262</v>
      </c>
      <c r="D781" s="40" t="s">
        <v>259</v>
      </c>
      <c r="E781" s="24">
        <v>18080000</v>
      </c>
      <c r="F781" s="39">
        <v>44425</v>
      </c>
      <c r="G781" s="24">
        <v>18080000</v>
      </c>
      <c r="H781" s="23">
        <v>5.0000000000000001E-3</v>
      </c>
      <c r="I781" s="39">
        <v>44501</v>
      </c>
      <c r="J781" s="39">
        <v>44530</v>
      </c>
      <c r="K781" s="24">
        <v>30</v>
      </c>
      <c r="L781" s="24">
        <v>7430</v>
      </c>
      <c r="M781" s="24">
        <v>18080000</v>
      </c>
      <c r="N781" s="39">
        <v>46250</v>
      </c>
    </row>
    <row r="782" spans="1:14" s="5" customFormat="1" outlineLevel="2">
      <c r="A782" s="39" t="s">
        <v>257</v>
      </c>
      <c r="B782" s="40" t="s">
        <v>138</v>
      </c>
      <c r="C782" s="41" t="s">
        <v>398</v>
      </c>
      <c r="D782" s="40" t="s">
        <v>397</v>
      </c>
      <c r="E782" s="24">
        <v>2920000</v>
      </c>
      <c r="F782" s="39">
        <v>44439</v>
      </c>
      <c r="G782" s="24">
        <v>2871334</v>
      </c>
      <c r="H782" s="23">
        <v>5.0000000000000001E-3</v>
      </c>
      <c r="I782" s="39">
        <v>44501</v>
      </c>
      <c r="J782" s="39">
        <v>44514</v>
      </c>
      <c r="K782" s="24">
        <v>14</v>
      </c>
      <c r="L782" s="24">
        <v>551</v>
      </c>
      <c r="M782" s="24">
        <v>2847001</v>
      </c>
      <c r="N782" s="39">
        <v>46264</v>
      </c>
    </row>
    <row r="783" spans="1:14" s="5" customFormat="1" outlineLevel="2">
      <c r="A783" s="39" t="s">
        <v>257</v>
      </c>
      <c r="B783" s="40" t="s">
        <v>138</v>
      </c>
      <c r="C783" s="41" t="s">
        <v>398</v>
      </c>
      <c r="D783" s="40"/>
      <c r="E783" s="24"/>
      <c r="F783" s="39"/>
      <c r="G783" s="24">
        <v>2847001</v>
      </c>
      <c r="H783" s="23">
        <v>5.0000000000000001E-3</v>
      </c>
      <c r="I783" s="39">
        <v>44515</v>
      </c>
      <c r="J783" s="39">
        <v>44530</v>
      </c>
      <c r="K783" s="24">
        <v>16</v>
      </c>
      <c r="L783" s="24">
        <v>624</v>
      </c>
      <c r="M783" s="24"/>
      <c r="N783" s="39">
        <v>46264</v>
      </c>
    </row>
    <row r="784" spans="1:14" s="5" customFormat="1" outlineLevel="2">
      <c r="A784" s="39" t="s">
        <v>257</v>
      </c>
      <c r="B784" s="40" t="s">
        <v>139</v>
      </c>
      <c r="C784" s="41" t="s">
        <v>398</v>
      </c>
      <c r="D784" s="40" t="s">
        <v>397</v>
      </c>
      <c r="E784" s="24">
        <v>4770000</v>
      </c>
      <c r="F784" s="39">
        <v>44439</v>
      </c>
      <c r="G784" s="24">
        <v>4656428</v>
      </c>
      <c r="H784" s="23">
        <v>5.0000000000000001E-3</v>
      </c>
      <c r="I784" s="39">
        <v>44501</v>
      </c>
      <c r="J784" s="39">
        <v>44514</v>
      </c>
      <c r="K784" s="24">
        <v>14</v>
      </c>
      <c r="L784" s="24">
        <v>893</v>
      </c>
      <c r="M784" s="24">
        <v>4599642</v>
      </c>
      <c r="N784" s="39">
        <v>46264</v>
      </c>
    </row>
    <row r="785" spans="1:14" s="5" customFormat="1" outlineLevel="2">
      <c r="A785" s="39" t="s">
        <v>257</v>
      </c>
      <c r="B785" s="40" t="s">
        <v>139</v>
      </c>
      <c r="C785" s="41" t="s">
        <v>398</v>
      </c>
      <c r="D785" s="40"/>
      <c r="E785" s="24"/>
      <c r="F785" s="39"/>
      <c r="G785" s="24">
        <v>4599642</v>
      </c>
      <c r="H785" s="23">
        <v>5.0000000000000001E-3</v>
      </c>
      <c r="I785" s="39">
        <v>44515</v>
      </c>
      <c r="J785" s="39">
        <v>44530</v>
      </c>
      <c r="K785" s="24">
        <v>16</v>
      </c>
      <c r="L785" s="24">
        <v>1008</v>
      </c>
      <c r="M785" s="24"/>
      <c r="N785" s="39">
        <v>46264</v>
      </c>
    </row>
    <row r="786" spans="1:14" s="5" customFormat="1" outlineLevel="2">
      <c r="A786" s="39" t="s">
        <v>257</v>
      </c>
      <c r="B786" s="40" t="s">
        <v>140</v>
      </c>
      <c r="C786" s="41" t="s">
        <v>260</v>
      </c>
      <c r="D786" s="40" t="s">
        <v>261</v>
      </c>
      <c r="E786" s="24">
        <v>1930000</v>
      </c>
      <c r="F786" s="39">
        <v>44427</v>
      </c>
      <c r="G786" s="24">
        <v>1930000</v>
      </c>
      <c r="H786" s="23">
        <v>5.0000000000000001E-3</v>
      </c>
      <c r="I786" s="39">
        <v>44501</v>
      </c>
      <c r="J786" s="39">
        <v>44530</v>
      </c>
      <c r="K786" s="24">
        <v>30</v>
      </c>
      <c r="L786" s="24">
        <v>793</v>
      </c>
      <c r="M786" s="24">
        <v>1930000</v>
      </c>
      <c r="N786" s="39">
        <v>46252</v>
      </c>
    </row>
    <row r="787" spans="1:14" s="5" customFormat="1" outlineLevel="2">
      <c r="A787" s="39" t="s">
        <v>257</v>
      </c>
      <c r="B787" s="40" t="s">
        <v>169</v>
      </c>
      <c r="C787" s="41" t="s">
        <v>262</v>
      </c>
      <c r="D787" s="40" t="s">
        <v>259</v>
      </c>
      <c r="E787" s="24">
        <v>4800000</v>
      </c>
      <c r="F787" s="39">
        <v>44454</v>
      </c>
      <c r="G787" s="24">
        <v>4800000</v>
      </c>
      <c r="H787" s="23">
        <v>5.0000000000000001E-3</v>
      </c>
      <c r="I787" s="39">
        <v>44501</v>
      </c>
      <c r="J787" s="39">
        <v>44530</v>
      </c>
      <c r="K787" s="24">
        <v>30</v>
      </c>
      <c r="L787" s="24">
        <v>1973</v>
      </c>
      <c r="M787" s="24">
        <v>4800000</v>
      </c>
      <c r="N787" s="39">
        <v>46279</v>
      </c>
    </row>
    <row r="788" spans="1:14" s="5" customFormat="1" outlineLevel="2">
      <c r="A788" s="39" t="s">
        <v>257</v>
      </c>
      <c r="B788" s="40" t="s">
        <v>170</v>
      </c>
      <c r="C788" s="41" t="s">
        <v>262</v>
      </c>
      <c r="D788" s="40" t="s">
        <v>259</v>
      </c>
      <c r="E788" s="24">
        <v>1200000</v>
      </c>
      <c r="F788" s="39">
        <v>44454</v>
      </c>
      <c r="G788" s="24">
        <v>1155000</v>
      </c>
      <c r="H788" s="23">
        <v>5.0000000000000001E-3</v>
      </c>
      <c r="I788" s="39">
        <v>44501</v>
      </c>
      <c r="J788" s="39">
        <v>44514</v>
      </c>
      <c r="K788" s="24">
        <v>14</v>
      </c>
      <c r="L788" s="24">
        <v>222</v>
      </c>
      <c r="M788" s="24">
        <v>1122000</v>
      </c>
      <c r="N788" s="39">
        <v>45549</v>
      </c>
    </row>
    <row r="789" spans="1:14" s="5" customFormat="1" outlineLevel="2">
      <c r="A789" s="39" t="s">
        <v>257</v>
      </c>
      <c r="B789" s="40" t="s">
        <v>170</v>
      </c>
      <c r="C789" s="41" t="s">
        <v>262</v>
      </c>
      <c r="D789" s="40"/>
      <c r="E789" s="24"/>
      <c r="F789" s="39"/>
      <c r="G789" s="24">
        <v>1122000</v>
      </c>
      <c r="H789" s="23">
        <v>5.0000000000000001E-3</v>
      </c>
      <c r="I789" s="39">
        <v>44515</v>
      </c>
      <c r="J789" s="39">
        <v>44530</v>
      </c>
      <c r="K789" s="24">
        <v>16</v>
      </c>
      <c r="L789" s="24">
        <v>246</v>
      </c>
      <c r="M789" s="24"/>
      <c r="N789" s="39">
        <v>45549</v>
      </c>
    </row>
    <row r="790" spans="1:14" s="5" customFormat="1" outlineLevel="2">
      <c r="A790" s="39" t="s">
        <v>257</v>
      </c>
      <c r="B790" s="40" t="s">
        <v>171</v>
      </c>
      <c r="C790" s="41" t="s">
        <v>262</v>
      </c>
      <c r="D790" s="40" t="s">
        <v>259</v>
      </c>
      <c r="E790" s="24">
        <v>10700000</v>
      </c>
      <c r="F790" s="39">
        <v>44454</v>
      </c>
      <c r="G790" s="24">
        <v>10700000</v>
      </c>
      <c r="H790" s="23">
        <v>5.0000000000000001E-3</v>
      </c>
      <c r="I790" s="39">
        <v>44501</v>
      </c>
      <c r="J790" s="39">
        <v>44530</v>
      </c>
      <c r="K790" s="24">
        <v>30</v>
      </c>
      <c r="L790" s="24">
        <v>4397</v>
      </c>
      <c r="M790" s="24">
        <v>10700000</v>
      </c>
      <c r="N790" s="39">
        <v>46279</v>
      </c>
    </row>
    <row r="791" spans="1:14" s="5" customFormat="1" outlineLevel="2">
      <c r="A791" s="39" t="s">
        <v>257</v>
      </c>
      <c r="B791" s="40" t="s">
        <v>172</v>
      </c>
      <c r="C791" s="41" t="s">
        <v>262</v>
      </c>
      <c r="D791" s="40" t="s">
        <v>259</v>
      </c>
      <c r="E791" s="24">
        <v>14460000</v>
      </c>
      <c r="F791" s="39">
        <v>44456</v>
      </c>
      <c r="G791" s="24">
        <v>14460000</v>
      </c>
      <c r="H791" s="23">
        <v>5.0000000000000001E-3</v>
      </c>
      <c r="I791" s="39">
        <v>44501</v>
      </c>
      <c r="J791" s="39">
        <v>44530</v>
      </c>
      <c r="K791" s="24">
        <v>30</v>
      </c>
      <c r="L791" s="24">
        <v>5942</v>
      </c>
      <c r="M791" s="24">
        <v>14460000</v>
      </c>
      <c r="N791" s="39">
        <v>46281</v>
      </c>
    </row>
    <row r="792" spans="1:14" s="5" customFormat="1" outlineLevel="2">
      <c r="A792" s="39" t="s">
        <v>257</v>
      </c>
      <c r="B792" s="40" t="s">
        <v>173</v>
      </c>
      <c r="C792" s="41" t="s">
        <v>262</v>
      </c>
      <c r="D792" s="40" t="s">
        <v>259</v>
      </c>
      <c r="E792" s="24">
        <v>7200000</v>
      </c>
      <c r="F792" s="39">
        <v>44456</v>
      </c>
      <c r="G792" s="24">
        <v>7200000</v>
      </c>
      <c r="H792" s="23">
        <v>5.0000000000000001E-3</v>
      </c>
      <c r="I792" s="39">
        <v>44501</v>
      </c>
      <c r="J792" s="39">
        <v>44530</v>
      </c>
      <c r="K792" s="24">
        <v>30</v>
      </c>
      <c r="L792" s="24">
        <v>2959</v>
      </c>
      <c r="M792" s="24">
        <v>7200000</v>
      </c>
      <c r="N792" s="39">
        <v>46281</v>
      </c>
    </row>
    <row r="793" spans="1:14" s="5" customFormat="1" outlineLevel="2">
      <c r="A793" s="39" t="s">
        <v>257</v>
      </c>
      <c r="B793" s="40" t="s">
        <v>62</v>
      </c>
      <c r="C793" s="41" t="s">
        <v>262</v>
      </c>
      <c r="D793" s="40" t="s">
        <v>259</v>
      </c>
      <c r="E793" s="24">
        <v>18080000</v>
      </c>
      <c r="F793" s="39">
        <v>44102</v>
      </c>
      <c r="G793" s="24">
        <v>18080000</v>
      </c>
      <c r="H793" s="23">
        <v>5.0000000000000001E-3</v>
      </c>
      <c r="I793" s="39">
        <v>44501</v>
      </c>
      <c r="J793" s="39">
        <v>44530</v>
      </c>
      <c r="K793" s="24">
        <v>30</v>
      </c>
      <c r="L793" s="24">
        <v>7430</v>
      </c>
      <c r="M793" s="24">
        <v>18080000</v>
      </c>
      <c r="N793" s="39">
        <v>45927</v>
      </c>
    </row>
    <row r="794" spans="1:14" s="5" customFormat="1" outlineLevel="2">
      <c r="A794" s="39" t="s">
        <v>257</v>
      </c>
      <c r="B794" s="40" t="s">
        <v>174</v>
      </c>
      <c r="C794" s="41" t="s">
        <v>262</v>
      </c>
      <c r="D794" s="40" t="s">
        <v>259</v>
      </c>
      <c r="E794" s="24">
        <v>8680000</v>
      </c>
      <c r="F794" s="39">
        <v>44456</v>
      </c>
      <c r="G794" s="24">
        <v>8680000</v>
      </c>
      <c r="H794" s="23">
        <v>5.0000000000000001E-3</v>
      </c>
      <c r="I794" s="39">
        <v>44501</v>
      </c>
      <c r="J794" s="39">
        <v>44530</v>
      </c>
      <c r="K794" s="24">
        <v>30</v>
      </c>
      <c r="L794" s="24">
        <v>3567</v>
      </c>
      <c r="M794" s="24">
        <v>8680000</v>
      </c>
      <c r="N794" s="39">
        <v>46281</v>
      </c>
    </row>
    <row r="795" spans="1:14" s="5" customFormat="1" outlineLevel="2">
      <c r="A795" s="39" t="s">
        <v>257</v>
      </c>
      <c r="B795" s="40" t="s">
        <v>175</v>
      </c>
      <c r="C795" s="41" t="s">
        <v>398</v>
      </c>
      <c r="D795" s="40" t="s">
        <v>397</v>
      </c>
      <c r="E795" s="24">
        <v>153080000</v>
      </c>
      <c r="F795" s="39">
        <v>44466</v>
      </c>
      <c r="G795" s="24">
        <v>151804333</v>
      </c>
      <c r="H795" s="23">
        <v>5.0000000000000001E-3</v>
      </c>
      <c r="I795" s="39">
        <v>44501</v>
      </c>
      <c r="J795" s="39">
        <v>44514</v>
      </c>
      <c r="K795" s="24">
        <v>14</v>
      </c>
      <c r="L795" s="24">
        <v>29113</v>
      </c>
      <c r="M795" s="24">
        <v>150528666</v>
      </c>
      <c r="N795" s="39">
        <v>46291</v>
      </c>
    </row>
    <row r="796" spans="1:14" s="5" customFormat="1" outlineLevel="2">
      <c r="A796" s="39" t="s">
        <v>257</v>
      </c>
      <c r="B796" s="40" t="s">
        <v>175</v>
      </c>
      <c r="C796" s="41" t="s">
        <v>398</v>
      </c>
      <c r="D796" s="40"/>
      <c r="E796" s="24"/>
      <c r="F796" s="39"/>
      <c r="G796" s="24">
        <v>150528666</v>
      </c>
      <c r="H796" s="23">
        <v>5.0000000000000001E-3</v>
      </c>
      <c r="I796" s="39">
        <v>44515</v>
      </c>
      <c r="J796" s="39">
        <v>44530</v>
      </c>
      <c r="K796" s="24">
        <v>16</v>
      </c>
      <c r="L796" s="24">
        <v>32993</v>
      </c>
      <c r="M796" s="24"/>
      <c r="N796" s="39">
        <v>46291</v>
      </c>
    </row>
    <row r="797" spans="1:14" s="5" customFormat="1" outlineLevel="2">
      <c r="A797" s="39" t="s">
        <v>257</v>
      </c>
      <c r="B797" s="40" t="s">
        <v>176</v>
      </c>
      <c r="C797" s="41" t="s">
        <v>260</v>
      </c>
      <c r="D797" s="40" t="s">
        <v>261</v>
      </c>
      <c r="E797" s="24">
        <v>50510000</v>
      </c>
      <c r="F797" s="39">
        <v>44469</v>
      </c>
      <c r="G797" s="24">
        <v>49404000</v>
      </c>
      <c r="H797" s="23">
        <v>5.0000000000000001E-3</v>
      </c>
      <c r="I797" s="39">
        <v>44501</v>
      </c>
      <c r="J797" s="39">
        <v>44514</v>
      </c>
      <c r="K797" s="24">
        <v>14</v>
      </c>
      <c r="L797" s="24">
        <v>9475</v>
      </c>
      <c r="M797" s="24">
        <v>48330000</v>
      </c>
      <c r="N797" s="39">
        <v>46294</v>
      </c>
    </row>
    <row r="798" spans="1:14" s="5" customFormat="1" outlineLevel="2">
      <c r="A798" s="39" t="s">
        <v>257</v>
      </c>
      <c r="B798" s="40" t="s">
        <v>176</v>
      </c>
      <c r="C798" s="41" t="s">
        <v>260</v>
      </c>
      <c r="D798" s="40"/>
      <c r="E798" s="24"/>
      <c r="F798" s="39"/>
      <c r="G798" s="24">
        <v>48330000</v>
      </c>
      <c r="H798" s="23">
        <v>5.0000000000000001E-3</v>
      </c>
      <c r="I798" s="39">
        <v>44515</v>
      </c>
      <c r="J798" s="39">
        <v>44530</v>
      </c>
      <c r="K798" s="24">
        <v>16</v>
      </c>
      <c r="L798" s="24">
        <v>10593</v>
      </c>
      <c r="M798" s="24"/>
      <c r="N798" s="39">
        <v>46294</v>
      </c>
    </row>
    <row r="799" spans="1:14" s="5" customFormat="1" outlineLevel="2">
      <c r="A799" s="39" t="s">
        <v>257</v>
      </c>
      <c r="B799" s="40" t="s">
        <v>177</v>
      </c>
      <c r="C799" s="41" t="s">
        <v>304</v>
      </c>
      <c r="D799" s="40" t="s">
        <v>303</v>
      </c>
      <c r="E799" s="24">
        <v>48000000</v>
      </c>
      <c r="F799" s="39">
        <v>44484</v>
      </c>
      <c r="G799" s="24">
        <v>48000000</v>
      </c>
      <c r="H799" s="23">
        <v>5.0000000000000001E-3</v>
      </c>
      <c r="I799" s="39">
        <v>44501</v>
      </c>
      <c r="J799" s="39">
        <v>44530</v>
      </c>
      <c r="K799" s="24">
        <v>30</v>
      </c>
      <c r="L799" s="24">
        <v>19726</v>
      </c>
      <c r="M799" s="24">
        <v>48000000</v>
      </c>
      <c r="N799" s="39">
        <v>46309</v>
      </c>
    </row>
    <row r="800" spans="1:14" s="5" customFormat="1" outlineLevel="2">
      <c r="A800" s="39" t="s">
        <v>257</v>
      </c>
      <c r="B800" s="40" t="s">
        <v>178</v>
      </c>
      <c r="C800" s="41" t="s">
        <v>89</v>
      </c>
      <c r="D800" s="40" t="s">
        <v>90</v>
      </c>
      <c r="E800" s="24">
        <v>50000000</v>
      </c>
      <c r="F800" s="39">
        <v>44498</v>
      </c>
      <c r="G800" s="24">
        <v>50000000</v>
      </c>
      <c r="H800" s="23">
        <v>5.0000000000000001E-3</v>
      </c>
      <c r="I800" s="39">
        <v>44501</v>
      </c>
      <c r="J800" s="39">
        <v>44530</v>
      </c>
      <c r="K800" s="24">
        <v>30</v>
      </c>
      <c r="L800" s="24">
        <v>20548</v>
      </c>
      <c r="M800" s="24">
        <v>50000000</v>
      </c>
      <c r="N800" s="39">
        <v>46323</v>
      </c>
    </row>
    <row r="801" spans="1:14" s="5" customFormat="1" outlineLevel="2">
      <c r="A801" s="39" t="s">
        <v>257</v>
      </c>
      <c r="B801" s="40" t="s">
        <v>179</v>
      </c>
      <c r="C801" s="41" t="s">
        <v>398</v>
      </c>
      <c r="D801" s="40" t="s">
        <v>397</v>
      </c>
      <c r="E801" s="24">
        <v>1670000</v>
      </c>
      <c r="F801" s="39">
        <v>44487</v>
      </c>
      <c r="G801" s="24">
        <v>1670000</v>
      </c>
      <c r="H801" s="23">
        <v>5.0000000000000001E-3</v>
      </c>
      <c r="I801" s="39">
        <v>44501</v>
      </c>
      <c r="J801" s="39">
        <v>44514</v>
      </c>
      <c r="K801" s="24">
        <v>14</v>
      </c>
      <c r="L801" s="24">
        <v>320</v>
      </c>
      <c r="M801" s="24">
        <v>1649634</v>
      </c>
      <c r="N801" s="39">
        <v>46312</v>
      </c>
    </row>
    <row r="802" spans="1:14" s="5" customFormat="1" outlineLevel="2">
      <c r="A802" s="39" t="s">
        <v>257</v>
      </c>
      <c r="B802" s="40" t="s">
        <v>179</v>
      </c>
      <c r="C802" s="41" t="s">
        <v>398</v>
      </c>
      <c r="D802" s="40"/>
      <c r="E802" s="24"/>
      <c r="F802" s="39"/>
      <c r="G802" s="24">
        <v>1649634</v>
      </c>
      <c r="H802" s="23">
        <v>5.0000000000000001E-3</v>
      </c>
      <c r="I802" s="39">
        <v>44515</v>
      </c>
      <c r="J802" s="39">
        <v>44530</v>
      </c>
      <c r="K802" s="24">
        <v>16</v>
      </c>
      <c r="L802" s="24">
        <v>362</v>
      </c>
      <c r="M802" s="24"/>
      <c r="N802" s="39">
        <v>46312</v>
      </c>
    </row>
    <row r="803" spans="1:14" s="5" customFormat="1" outlineLevel="2">
      <c r="A803" s="39" t="s">
        <v>257</v>
      </c>
      <c r="B803" s="40" t="s">
        <v>180</v>
      </c>
      <c r="C803" s="41" t="s">
        <v>398</v>
      </c>
      <c r="D803" s="40" t="s">
        <v>397</v>
      </c>
      <c r="E803" s="24">
        <v>11480000</v>
      </c>
      <c r="F803" s="39">
        <v>44487</v>
      </c>
      <c r="G803" s="24">
        <v>11480000</v>
      </c>
      <c r="H803" s="23">
        <v>5.0000000000000001E-3</v>
      </c>
      <c r="I803" s="39">
        <v>44501</v>
      </c>
      <c r="J803" s="39">
        <v>44514</v>
      </c>
      <c r="K803" s="24">
        <v>14</v>
      </c>
      <c r="L803" s="24">
        <v>2202</v>
      </c>
      <c r="M803" s="24">
        <v>11383529</v>
      </c>
      <c r="N803" s="39">
        <v>46312</v>
      </c>
    </row>
    <row r="804" spans="1:14" s="5" customFormat="1" outlineLevel="2">
      <c r="A804" s="39" t="s">
        <v>257</v>
      </c>
      <c r="B804" s="40" t="s">
        <v>180</v>
      </c>
      <c r="C804" s="41" t="s">
        <v>398</v>
      </c>
      <c r="D804" s="40"/>
      <c r="E804" s="24"/>
      <c r="F804" s="39"/>
      <c r="G804" s="24">
        <v>11383529</v>
      </c>
      <c r="H804" s="23">
        <v>5.0000000000000001E-3</v>
      </c>
      <c r="I804" s="39">
        <v>44515</v>
      </c>
      <c r="J804" s="39">
        <v>44530</v>
      </c>
      <c r="K804" s="24">
        <v>16</v>
      </c>
      <c r="L804" s="24">
        <v>2495</v>
      </c>
      <c r="M804" s="24"/>
      <c r="N804" s="39">
        <v>46312</v>
      </c>
    </row>
    <row r="805" spans="1:14" s="5" customFormat="1" outlineLevel="2">
      <c r="A805" s="39" t="s">
        <v>257</v>
      </c>
      <c r="B805" s="40" t="s">
        <v>181</v>
      </c>
      <c r="C805" s="41" t="s">
        <v>248</v>
      </c>
      <c r="D805" s="40" t="s">
        <v>249</v>
      </c>
      <c r="E805" s="24">
        <v>30000000</v>
      </c>
      <c r="F805" s="39">
        <v>44489</v>
      </c>
      <c r="G805" s="24">
        <v>30000000</v>
      </c>
      <c r="H805" s="23">
        <v>5.0000000000000001E-3</v>
      </c>
      <c r="I805" s="39">
        <v>44501</v>
      </c>
      <c r="J805" s="39">
        <v>44530</v>
      </c>
      <c r="K805" s="24">
        <v>30</v>
      </c>
      <c r="L805" s="24">
        <v>12329</v>
      </c>
      <c r="M805" s="24">
        <v>30000000</v>
      </c>
      <c r="N805" s="39">
        <v>46314</v>
      </c>
    </row>
    <row r="806" spans="1:14" s="5" customFormat="1" outlineLevel="2">
      <c r="A806" s="39" t="s">
        <v>257</v>
      </c>
      <c r="B806" s="40" t="s">
        <v>182</v>
      </c>
      <c r="C806" s="41" t="s">
        <v>448</v>
      </c>
      <c r="D806" s="40" t="s">
        <v>249</v>
      </c>
      <c r="E806" s="24">
        <v>20000000</v>
      </c>
      <c r="F806" s="39">
        <v>44515</v>
      </c>
      <c r="G806" s="24">
        <v>20000000</v>
      </c>
      <c r="H806" s="23">
        <v>5.0000000000000001E-3</v>
      </c>
      <c r="I806" s="39">
        <v>44515</v>
      </c>
      <c r="J806" s="39">
        <v>44530</v>
      </c>
      <c r="K806" s="24">
        <v>16</v>
      </c>
      <c r="L806" s="24">
        <v>4384</v>
      </c>
      <c r="M806" s="24">
        <v>20000000</v>
      </c>
      <c r="N806" s="39">
        <v>46340</v>
      </c>
    </row>
    <row r="807" spans="1:14" s="5" customFormat="1" outlineLevel="2">
      <c r="A807" s="39" t="s">
        <v>257</v>
      </c>
      <c r="B807" s="40" t="s">
        <v>183</v>
      </c>
      <c r="C807" s="41" t="s">
        <v>262</v>
      </c>
      <c r="D807" s="40" t="s">
        <v>259</v>
      </c>
      <c r="E807" s="24">
        <v>21000000</v>
      </c>
      <c r="F807" s="39">
        <v>44517</v>
      </c>
      <c r="G807" s="24">
        <v>21000000</v>
      </c>
      <c r="H807" s="23">
        <v>5.0000000000000001E-3</v>
      </c>
      <c r="I807" s="39">
        <v>44517</v>
      </c>
      <c r="J807" s="39">
        <v>44530</v>
      </c>
      <c r="K807" s="24">
        <v>14</v>
      </c>
      <c r="L807" s="24">
        <v>4027</v>
      </c>
      <c r="M807" s="24">
        <v>21000000</v>
      </c>
      <c r="N807" s="39">
        <v>46342</v>
      </c>
    </row>
    <row r="808" spans="1:14" s="5" customFormat="1" outlineLevel="2">
      <c r="A808" s="39" t="s">
        <v>257</v>
      </c>
      <c r="B808" s="40" t="s">
        <v>63</v>
      </c>
      <c r="C808" s="41" t="s">
        <v>262</v>
      </c>
      <c r="D808" s="40" t="s">
        <v>259</v>
      </c>
      <c r="E808" s="24">
        <v>50630000</v>
      </c>
      <c r="F808" s="39">
        <v>44131</v>
      </c>
      <c r="G808" s="24">
        <v>50630000</v>
      </c>
      <c r="H808" s="23">
        <v>5.0000000000000001E-3</v>
      </c>
      <c r="I808" s="39">
        <v>44501</v>
      </c>
      <c r="J808" s="39">
        <v>44530</v>
      </c>
      <c r="K808" s="24">
        <v>30</v>
      </c>
      <c r="L808" s="24">
        <v>20807</v>
      </c>
      <c r="M808" s="24">
        <v>50630000</v>
      </c>
      <c r="N808" s="39">
        <v>45956</v>
      </c>
    </row>
    <row r="809" spans="1:14" s="5" customFormat="1" outlineLevel="2">
      <c r="A809" s="39" t="s">
        <v>257</v>
      </c>
      <c r="B809" s="40" t="s">
        <v>184</v>
      </c>
      <c r="C809" s="41" t="s">
        <v>398</v>
      </c>
      <c r="D809" s="40" t="s">
        <v>397</v>
      </c>
      <c r="E809" s="24">
        <v>65600000</v>
      </c>
      <c r="F809" s="39">
        <v>44504</v>
      </c>
      <c r="G809" s="24">
        <v>65600000</v>
      </c>
      <c r="H809" s="23">
        <v>5.0000000000000001E-3</v>
      </c>
      <c r="I809" s="39">
        <v>44504</v>
      </c>
      <c r="J809" s="39">
        <v>44530</v>
      </c>
      <c r="K809" s="24">
        <v>27</v>
      </c>
      <c r="L809" s="24">
        <v>24263</v>
      </c>
      <c r="M809" s="24">
        <v>65600000</v>
      </c>
      <c r="N809" s="39">
        <v>46329</v>
      </c>
    </row>
    <row r="810" spans="1:14" s="5" customFormat="1" outlineLevel="2">
      <c r="A810" s="39" t="s">
        <v>257</v>
      </c>
      <c r="B810" s="40" t="s">
        <v>185</v>
      </c>
      <c r="C810" s="41" t="s">
        <v>398</v>
      </c>
      <c r="D810" s="40" t="s">
        <v>397</v>
      </c>
      <c r="E810" s="24">
        <v>30610000</v>
      </c>
      <c r="F810" s="39">
        <v>44504</v>
      </c>
      <c r="G810" s="24">
        <v>30610000</v>
      </c>
      <c r="H810" s="23">
        <v>5.0000000000000001E-3</v>
      </c>
      <c r="I810" s="39">
        <v>44504</v>
      </c>
      <c r="J810" s="39">
        <v>44530</v>
      </c>
      <c r="K810" s="24">
        <v>27</v>
      </c>
      <c r="L810" s="24">
        <v>11322</v>
      </c>
      <c r="M810" s="24">
        <v>30610000</v>
      </c>
      <c r="N810" s="39">
        <v>46329</v>
      </c>
    </row>
    <row r="811" spans="1:14" s="5" customFormat="1" outlineLevel="2">
      <c r="A811" s="39" t="s">
        <v>257</v>
      </c>
      <c r="B811" s="40" t="s">
        <v>186</v>
      </c>
      <c r="C811" s="41" t="s">
        <v>447</v>
      </c>
      <c r="D811" s="40" t="s">
        <v>446</v>
      </c>
      <c r="E811" s="24">
        <v>74400000</v>
      </c>
      <c r="F811" s="39">
        <v>44505</v>
      </c>
      <c r="G811" s="24">
        <v>74400000</v>
      </c>
      <c r="H811" s="23">
        <v>5.0000000000000001E-3</v>
      </c>
      <c r="I811" s="39">
        <v>44505</v>
      </c>
      <c r="J811" s="39">
        <v>44530</v>
      </c>
      <c r="K811" s="24">
        <v>26</v>
      </c>
      <c r="L811" s="24">
        <v>26499</v>
      </c>
      <c r="M811" s="24">
        <v>74400000</v>
      </c>
      <c r="N811" s="39">
        <v>45600</v>
      </c>
    </row>
    <row r="812" spans="1:14" s="5" customFormat="1" outlineLevel="2">
      <c r="A812" s="39" t="s">
        <v>257</v>
      </c>
      <c r="B812" s="40" t="s">
        <v>189</v>
      </c>
      <c r="C812" s="41" t="s">
        <v>447</v>
      </c>
      <c r="D812" s="40" t="s">
        <v>446</v>
      </c>
      <c r="E812" s="24">
        <v>16000000</v>
      </c>
      <c r="F812" s="39">
        <v>44505</v>
      </c>
      <c r="G812" s="24">
        <v>16000000</v>
      </c>
      <c r="H812" s="23">
        <v>5.0000000000000001E-3</v>
      </c>
      <c r="I812" s="39">
        <v>44505</v>
      </c>
      <c r="J812" s="39">
        <v>44530</v>
      </c>
      <c r="K812" s="24">
        <v>26</v>
      </c>
      <c r="L812" s="24">
        <v>5699</v>
      </c>
      <c r="M812" s="24">
        <v>16000000</v>
      </c>
      <c r="N812" s="39">
        <v>45600</v>
      </c>
    </row>
    <row r="813" spans="1:14" s="5" customFormat="1" outlineLevel="2">
      <c r="A813" s="39" t="s">
        <v>257</v>
      </c>
      <c r="B813" s="40" t="s">
        <v>64</v>
      </c>
      <c r="C813" s="41" t="s">
        <v>260</v>
      </c>
      <c r="D813" s="40" t="s">
        <v>261</v>
      </c>
      <c r="E813" s="24">
        <v>710000</v>
      </c>
      <c r="F813" s="39">
        <v>44110</v>
      </c>
      <c r="G813" s="24">
        <v>552000</v>
      </c>
      <c r="H813" s="23">
        <v>5.0000000000000001E-3</v>
      </c>
      <c r="I813" s="39">
        <v>44501</v>
      </c>
      <c r="J813" s="39">
        <v>44514</v>
      </c>
      <c r="K813" s="24">
        <v>14</v>
      </c>
      <c r="L813" s="24">
        <v>106</v>
      </c>
      <c r="M813" s="24">
        <v>540000</v>
      </c>
      <c r="N813" s="39">
        <v>45935</v>
      </c>
    </row>
    <row r="814" spans="1:14" s="5" customFormat="1" outlineLevel="2">
      <c r="A814" s="39" t="s">
        <v>257</v>
      </c>
      <c r="B814" s="40" t="s">
        <v>64</v>
      </c>
      <c r="C814" s="41" t="s">
        <v>260</v>
      </c>
      <c r="D814" s="40"/>
      <c r="E814" s="24"/>
      <c r="F814" s="39"/>
      <c r="G814" s="24">
        <v>540000</v>
      </c>
      <c r="H814" s="23">
        <v>5.0000000000000001E-3</v>
      </c>
      <c r="I814" s="39">
        <v>44515</v>
      </c>
      <c r="J814" s="39">
        <v>44530</v>
      </c>
      <c r="K814" s="24">
        <v>16</v>
      </c>
      <c r="L814" s="24">
        <v>118</v>
      </c>
      <c r="M814" s="24"/>
      <c r="N814" s="39">
        <v>45935</v>
      </c>
    </row>
    <row r="815" spans="1:14" s="5" customFormat="1" outlineLevel="2">
      <c r="A815" s="39" t="s">
        <v>257</v>
      </c>
      <c r="B815" s="40" t="s">
        <v>65</v>
      </c>
      <c r="C815" s="41" t="s">
        <v>260</v>
      </c>
      <c r="D815" s="40" t="s">
        <v>261</v>
      </c>
      <c r="E815" s="24">
        <v>830000</v>
      </c>
      <c r="F815" s="39">
        <v>44137</v>
      </c>
      <c r="G815" s="24">
        <v>644000</v>
      </c>
      <c r="H815" s="23">
        <v>5.0000000000000001E-3</v>
      </c>
      <c r="I815" s="39">
        <v>44501</v>
      </c>
      <c r="J815" s="39">
        <v>44514</v>
      </c>
      <c r="K815" s="24">
        <v>14</v>
      </c>
      <c r="L815" s="24">
        <v>124</v>
      </c>
      <c r="M815" s="24">
        <v>630000</v>
      </c>
      <c r="N815" s="39">
        <v>45962</v>
      </c>
    </row>
    <row r="816" spans="1:14" s="5" customFormat="1" outlineLevel="2">
      <c r="A816" s="39" t="s">
        <v>257</v>
      </c>
      <c r="B816" s="40" t="s">
        <v>65</v>
      </c>
      <c r="C816" s="41" t="s">
        <v>260</v>
      </c>
      <c r="D816" s="40"/>
      <c r="E816" s="24"/>
      <c r="F816" s="39"/>
      <c r="G816" s="24">
        <v>630000</v>
      </c>
      <c r="H816" s="23">
        <v>5.0000000000000001E-3</v>
      </c>
      <c r="I816" s="39">
        <v>44515</v>
      </c>
      <c r="J816" s="39">
        <v>44530</v>
      </c>
      <c r="K816" s="24">
        <v>16</v>
      </c>
      <c r="L816" s="24">
        <v>138</v>
      </c>
      <c r="M816" s="24"/>
      <c r="N816" s="39">
        <v>45962</v>
      </c>
    </row>
    <row r="817" spans="1:14" s="5" customFormat="1" outlineLevel="2">
      <c r="A817" s="39" t="s">
        <v>257</v>
      </c>
      <c r="B817" s="40" t="s">
        <v>68</v>
      </c>
      <c r="C817" s="41" t="s">
        <v>260</v>
      </c>
      <c r="D817" s="40" t="s">
        <v>261</v>
      </c>
      <c r="E817" s="24">
        <v>180000</v>
      </c>
      <c r="F817" s="39">
        <v>44141</v>
      </c>
      <c r="G817" s="24">
        <v>138000</v>
      </c>
      <c r="H817" s="23">
        <v>5.0000000000000001E-3</v>
      </c>
      <c r="I817" s="39">
        <v>44501</v>
      </c>
      <c r="J817" s="39">
        <v>44514</v>
      </c>
      <c r="K817" s="24">
        <v>14</v>
      </c>
      <c r="L817" s="24">
        <v>26</v>
      </c>
      <c r="M817" s="24">
        <v>135000</v>
      </c>
      <c r="N817" s="39">
        <v>45966</v>
      </c>
    </row>
    <row r="818" spans="1:14" s="5" customFormat="1" outlineLevel="2">
      <c r="A818" s="39" t="s">
        <v>257</v>
      </c>
      <c r="B818" s="40" t="s">
        <v>68</v>
      </c>
      <c r="C818" s="41" t="s">
        <v>260</v>
      </c>
      <c r="D818" s="40"/>
      <c r="E818" s="24"/>
      <c r="F818" s="39"/>
      <c r="G818" s="24">
        <v>135000</v>
      </c>
      <c r="H818" s="23">
        <v>5.0000000000000001E-3</v>
      </c>
      <c r="I818" s="39">
        <v>44515</v>
      </c>
      <c r="J818" s="39">
        <v>44530</v>
      </c>
      <c r="K818" s="24">
        <v>16</v>
      </c>
      <c r="L818" s="24">
        <v>30</v>
      </c>
      <c r="M818" s="24"/>
      <c r="N818" s="39">
        <v>45966</v>
      </c>
    </row>
    <row r="819" spans="1:14" s="5" customFormat="1" outlineLevel="1">
      <c r="A819" s="42" t="s">
        <v>263</v>
      </c>
      <c r="B819" s="43"/>
      <c r="C819" s="44"/>
      <c r="D819" s="43"/>
      <c r="E819" s="45">
        <v>1644390000</v>
      </c>
      <c r="F819" s="46"/>
      <c r="G819" s="45"/>
      <c r="H819" s="47"/>
      <c r="I819" s="46"/>
      <c r="J819" s="46"/>
      <c r="K819" s="45"/>
      <c r="L819" s="45">
        <v>640853</v>
      </c>
      <c r="M819" s="45">
        <v>1597359856</v>
      </c>
      <c r="N819" s="46"/>
    </row>
    <row r="820" spans="1:14" s="5" customFormat="1" outlineLevel="2">
      <c r="A820" s="39" t="s">
        <v>264</v>
      </c>
      <c r="B820" s="40" t="s">
        <v>16</v>
      </c>
      <c r="C820" s="41" t="s">
        <v>27</v>
      </c>
      <c r="D820" s="40" t="s">
        <v>28</v>
      </c>
      <c r="E820" s="24">
        <v>26000000</v>
      </c>
      <c r="F820" s="39">
        <v>44140</v>
      </c>
      <c r="G820" s="24">
        <v>26000000</v>
      </c>
      <c r="H820" s="23">
        <v>5.0000000000000001E-3</v>
      </c>
      <c r="I820" s="39">
        <v>44501</v>
      </c>
      <c r="J820" s="39">
        <v>44530</v>
      </c>
      <c r="K820" s="24">
        <v>30</v>
      </c>
      <c r="L820" s="24">
        <v>10685</v>
      </c>
      <c r="M820" s="24">
        <v>26000000</v>
      </c>
      <c r="N820" s="39">
        <v>45965</v>
      </c>
    </row>
    <row r="821" spans="1:14" s="5" customFormat="1" outlineLevel="2">
      <c r="A821" s="39" t="s">
        <v>264</v>
      </c>
      <c r="B821" s="40" t="s">
        <v>39</v>
      </c>
      <c r="C821" s="41" t="s">
        <v>27</v>
      </c>
      <c r="D821" s="40" t="s">
        <v>28</v>
      </c>
      <c r="E821" s="24">
        <v>10250000</v>
      </c>
      <c r="F821" s="39">
        <v>44140</v>
      </c>
      <c r="G821" s="24">
        <v>10250000</v>
      </c>
      <c r="H821" s="23">
        <v>5.0000000000000001E-3</v>
      </c>
      <c r="I821" s="39">
        <v>44501</v>
      </c>
      <c r="J821" s="39">
        <v>44530</v>
      </c>
      <c r="K821" s="24">
        <v>30</v>
      </c>
      <c r="L821" s="24">
        <v>4212</v>
      </c>
      <c r="M821" s="24">
        <v>10250000</v>
      </c>
      <c r="N821" s="39">
        <v>45965</v>
      </c>
    </row>
    <row r="822" spans="1:14" s="5" customFormat="1" outlineLevel="2">
      <c r="A822" s="39" t="s">
        <v>264</v>
      </c>
      <c r="B822" s="40" t="s">
        <v>54</v>
      </c>
      <c r="C822" s="41" t="s">
        <v>27</v>
      </c>
      <c r="D822" s="40" t="s">
        <v>28</v>
      </c>
      <c r="E822" s="24">
        <v>3960000</v>
      </c>
      <c r="F822" s="39">
        <v>44148</v>
      </c>
      <c r="G822" s="24">
        <v>3960000</v>
      </c>
      <c r="H822" s="23">
        <v>5.0000000000000001E-3</v>
      </c>
      <c r="I822" s="39">
        <v>44501</v>
      </c>
      <c r="J822" s="39">
        <v>44530</v>
      </c>
      <c r="K822" s="24">
        <v>30</v>
      </c>
      <c r="L822" s="24">
        <v>1627</v>
      </c>
      <c r="M822" s="24">
        <v>3960000</v>
      </c>
      <c r="N822" s="39">
        <v>45973</v>
      </c>
    </row>
    <row r="823" spans="1:14" s="5" customFormat="1" outlineLevel="2">
      <c r="A823" s="39" t="s">
        <v>264</v>
      </c>
      <c r="B823" s="40" t="s">
        <v>59</v>
      </c>
      <c r="C823" s="41" t="s">
        <v>27</v>
      </c>
      <c r="D823" s="40" t="s">
        <v>28</v>
      </c>
      <c r="E823" s="24">
        <v>8000000</v>
      </c>
      <c r="F823" s="39">
        <v>44244</v>
      </c>
      <c r="G823" s="24">
        <v>8000000</v>
      </c>
      <c r="H823" s="23">
        <v>5.0000000000000001E-3</v>
      </c>
      <c r="I823" s="39">
        <v>44501</v>
      </c>
      <c r="J823" s="39">
        <v>44530</v>
      </c>
      <c r="K823" s="24">
        <v>30</v>
      </c>
      <c r="L823" s="24">
        <v>3288</v>
      </c>
      <c r="M823" s="24">
        <v>8000000</v>
      </c>
      <c r="N823" s="39">
        <v>46069</v>
      </c>
    </row>
    <row r="824" spans="1:14" s="5" customFormat="1" outlineLevel="2">
      <c r="A824" s="39" t="s">
        <v>264</v>
      </c>
      <c r="B824" s="40" t="s">
        <v>62</v>
      </c>
      <c r="C824" s="41" t="s">
        <v>27</v>
      </c>
      <c r="D824" s="40" t="s">
        <v>28</v>
      </c>
      <c r="E824" s="24">
        <v>28560000</v>
      </c>
      <c r="F824" s="39">
        <v>44403</v>
      </c>
      <c r="G824" s="24">
        <v>28560000</v>
      </c>
      <c r="H824" s="23">
        <v>5.0000000000000001E-3</v>
      </c>
      <c r="I824" s="39">
        <v>44501</v>
      </c>
      <c r="J824" s="39">
        <v>44530</v>
      </c>
      <c r="K824" s="24">
        <v>30</v>
      </c>
      <c r="L824" s="24">
        <v>11737</v>
      </c>
      <c r="M824" s="24">
        <v>28560000</v>
      </c>
      <c r="N824" s="39">
        <v>46228</v>
      </c>
    </row>
    <row r="825" spans="1:14" s="5" customFormat="1" outlineLevel="2">
      <c r="A825" s="39" t="s">
        <v>264</v>
      </c>
      <c r="B825" s="40" t="s">
        <v>63</v>
      </c>
      <c r="C825" s="41" t="s">
        <v>27</v>
      </c>
      <c r="D825" s="40" t="s">
        <v>28</v>
      </c>
      <c r="E825" s="24">
        <v>9110000</v>
      </c>
      <c r="F825" s="39">
        <v>44501</v>
      </c>
      <c r="G825" s="24">
        <v>9110000</v>
      </c>
      <c r="H825" s="23">
        <v>5.0000000000000001E-3</v>
      </c>
      <c r="I825" s="39">
        <v>44501</v>
      </c>
      <c r="J825" s="39">
        <v>44530</v>
      </c>
      <c r="K825" s="24">
        <v>30</v>
      </c>
      <c r="L825" s="24">
        <v>3744</v>
      </c>
      <c r="M825" s="24">
        <v>9110000</v>
      </c>
      <c r="N825" s="39">
        <v>46326</v>
      </c>
    </row>
    <row r="826" spans="1:14" s="5" customFormat="1" outlineLevel="2">
      <c r="A826" s="39" t="s">
        <v>264</v>
      </c>
      <c r="B826" s="40" t="s">
        <v>64</v>
      </c>
      <c r="C826" s="41" t="s">
        <v>27</v>
      </c>
      <c r="D826" s="40" t="s">
        <v>28</v>
      </c>
      <c r="E826" s="24">
        <v>19650000</v>
      </c>
      <c r="F826" s="39">
        <v>44508</v>
      </c>
      <c r="G826" s="24">
        <v>19650000</v>
      </c>
      <c r="H826" s="23">
        <v>5.0000000000000001E-3</v>
      </c>
      <c r="I826" s="39">
        <v>44508</v>
      </c>
      <c r="J826" s="39">
        <v>44530</v>
      </c>
      <c r="K826" s="24">
        <v>23</v>
      </c>
      <c r="L826" s="24">
        <v>6191</v>
      </c>
      <c r="M826" s="24">
        <v>19650000</v>
      </c>
      <c r="N826" s="39">
        <v>46333</v>
      </c>
    </row>
    <row r="827" spans="1:14" s="5" customFormat="1" outlineLevel="2">
      <c r="A827" s="39" t="s">
        <v>264</v>
      </c>
      <c r="B827" s="40" t="s">
        <v>65</v>
      </c>
      <c r="C827" s="41" t="s">
        <v>27</v>
      </c>
      <c r="D827" s="40" t="s">
        <v>28</v>
      </c>
      <c r="E827" s="24">
        <v>3960000</v>
      </c>
      <c r="F827" s="39">
        <v>44508</v>
      </c>
      <c r="G827" s="24">
        <v>3960000</v>
      </c>
      <c r="H827" s="23">
        <v>5.0000000000000001E-3</v>
      </c>
      <c r="I827" s="39">
        <v>44508</v>
      </c>
      <c r="J827" s="39">
        <v>44530</v>
      </c>
      <c r="K827" s="24">
        <v>23</v>
      </c>
      <c r="L827" s="24">
        <v>1248</v>
      </c>
      <c r="M827" s="24">
        <v>3960000</v>
      </c>
      <c r="N827" s="39">
        <v>46333</v>
      </c>
    </row>
    <row r="828" spans="1:14" s="5" customFormat="1" outlineLevel="2">
      <c r="A828" s="39" t="s">
        <v>264</v>
      </c>
      <c r="B828" s="40" t="s">
        <v>68</v>
      </c>
      <c r="C828" s="41" t="s">
        <v>27</v>
      </c>
      <c r="D828" s="40" t="s">
        <v>28</v>
      </c>
      <c r="E828" s="24">
        <v>9110000</v>
      </c>
      <c r="F828" s="39">
        <v>44515</v>
      </c>
      <c r="G828" s="24">
        <v>9110000</v>
      </c>
      <c r="H828" s="23">
        <v>5.0000000000000001E-3</v>
      </c>
      <c r="I828" s="39">
        <v>44515</v>
      </c>
      <c r="J828" s="39">
        <v>44530</v>
      </c>
      <c r="K828" s="24">
        <v>16</v>
      </c>
      <c r="L828" s="24">
        <v>1997</v>
      </c>
      <c r="M828" s="24">
        <v>9110000</v>
      </c>
      <c r="N828" s="39">
        <v>46340</v>
      </c>
    </row>
    <row r="829" spans="1:14" s="5" customFormat="1" outlineLevel="1">
      <c r="A829" s="42" t="s">
        <v>265</v>
      </c>
      <c r="B829" s="43"/>
      <c r="C829" s="44"/>
      <c r="D829" s="43"/>
      <c r="E829" s="45">
        <v>118600000</v>
      </c>
      <c r="F829" s="46"/>
      <c r="G829" s="45"/>
      <c r="H829" s="47"/>
      <c r="I829" s="46"/>
      <c r="J829" s="46"/>
      <c r="K829" s="45"/>
      <c r="L829" s="45">
        <v>44729</v>
      </c>
      <c r="M829" s="45">
        <v>118600000</v>
      </c>
      <c r="N829" s="46"/>
    </row>
    <row r="830" spans="1:14" s="5" customFormat="1" outlineLevel="2">
      <c r="A830" s="39" t="s">
        <v>266</v>
      </c>
      <c r="B830" s="40" t="s">
        <v>16</v>
      </c>
      <c r="C830" s="41" t="s">
        <v>128</v>
      </c>
      <c r="D830" s="40" t="s">
        <v>129</v>
      </c>
      <c r="E830" s="24">
        <v>50000000</v>
      </c>
      <c r="F830" s="39">
        <v>44099</v>
      </c>
      <c r="G830" s="24">
        <v>50000000</v>
      </c>
      <c r="H830" s="23">
        <v>5.0000000000000001E-3</v>
      </c>
      <c r="I830" s="39">
        <v>44501</v>
      </c>
      <c r="J830" s="39">
        <v>44530</v>
      </c>
      <c r="K830" s="24">
        <v>30</v>
      </c>
      <c r="L830" s="24">
        <v>20548</v>
      </c>
      <c r="M830" s="24">
        <v>50000000</v>
      </c>
      <c r="N830" s="39">
        <v>45924</v>
      </c>
    </row>
    <row r="831" spans="1:14" s="5" customFormat="1" outlineLevel="2">
      <c r="A831" s="39" t="s">
        <v>266</v>
      </c>
      <c r="B831" s="40" t="s">
        <v>39</v>
      </c>
      <c r="C831" s="41" t="s">
        <v>128</v>
      </c>
      <c r="D831" s="40" t="s">
        <v>129</v>
      </c>
      <c r="E831" s="24">
        <v>30000000</v>
      </c>
      <c r="F831" s="39">
        <v>44232</v>
      </c>
      <c r="G831" s="24">
        <v>30000000</v>
      </c>
      <c r="H831" s="23">
        <v>5.0000000000000001E-3</v>
      </c>
      <c r="I831" s="39">
        <v>44501</v>
      </c>
      <c r="J831" s="39">
        <v>44530</v>
      </c>
      <c r="K831" s="24">
        <v>30</v>
      </c>
      <c r="L831" s="24">
        <v>12329</v>
      </c>
      <c r="M831" s="24">
        <v>30000000</v>
      </c>
      <c r="N831" s="39">
        <v>46057</v>
      </c>
    </row>
    <row r="832" spans="1:14" s="5" customFormat="1" outlineLevel="2">
      <c r="A832" s="39" t="s">
        <v>266</v>
      </c>
      <c r="B832" s="40" t="s">
        <v>54</v>
      </c>
      <c r="C832" s="41" t="s">
        <v>128</v>
      </c>
      <c r="D832" s="40" t="s">
        <v>129</v>
      </c>
      <c r="E832" s="24">
        <v>34000000</v>
      </c>
      <c r="F832" s="39">
        <v>44484</v>
      </c>
      <c r="G832" s="24">
        <v>34000000</v>
      </c>
      <c r="H832" s="23">
        <v>5.0000000000000001E-3</v>
      </c>
      <c r="I832" s="39">
        <v>44501</v>
      </c>
      <c r="J832" s="39">
        <v>44530</v>
      </c>
      <c r="K832" s="24">
        <v>30</v>
      </c>
      <c r="L832" s="24">
        <v>13973</v>
      </c>
      <c r="M832" s="24">
        <v>34000000</v>
      </c>
      <c r="N832" s="39">
        <v>46309</v>
      </c>
    </row>
    <row r="833" spans="1:14" s="5" customFormat="1" outlineLevel="1">
      <c r="A833" s="42" t="s">
        <v>267</v>
      </c>
      <c r="B833" s="43"/>
      <c r="C833" s="44"/>
      <c r="D833" s="43"/>
      <c r="E833" s="45">
        <v>114000000</v>
      </c>
      <c r="F833" s="46"/>
      <c r="G833" s="45"/>
      <c r="H833" s="47"/>
      <c r="I833" s="46"/>
      <c r="J833" s="46"/>
      <c r="K833" s="45"/>
      <c r="L833" s="45">
        <v>46850</v>
      </c>
      <c r="M833" s="45">
        <v>114000000</v>
      </c>
      <c r="N833" s="46"/>
    </row>
    <row r="834" spans="1:14" s="5" customFormat="1" outlineLevel="2">
      <c r="A834" s="39" t="s">
        <v>268</v>
      </c>
      <c r="B834" s="40" t="s">
        <v>16</v>
      </c>
      <c r="C834" s="41" t="s">
        <v>20</v>
      </c>
      <c r="D834" s="40" t="s">
        <v>21</v>
      </c>
      <c r="E834" s="24">
        <v>43200000</v>
      </c>
      <c r="F834" s="39">
        <v>43937</v>
      </c>
      <c r="G834" s="24">
        <v>43200000</v>
      </c>
      <c r="H834" s="23">
        <v>3.0000000000000001E-3</v>
      </c>
      <c r="I834" s="39">
        <v>44501</v>
      </c>
      <c r="J834" s="39">
        <v>44530</v>
      </c>
      <c r="K834" s="24">
        <v>30</v>
      </c>
      <c r="L834" s="24">
        <v>10652</v>
      </c>
      <c r="M834" s="24">
        <v>43200000</v>
      </c>
      <c r="N834" s="39">
        <v>45762</v>
      </c>
    </row>
    <row r="835" spans="1:14" s="5" customFormat="1" outlineLevel="2">
      <c r="A835" s="39" t="s">
        <v>268</v>
      </c>
      <c r="B835" s="40" t="s">
        <v>39</v>
      </c>
      <c r="C835" s="41" t="s">
        <v>20</v>
      </c>
      <c r="D835" s="40" t="s">
        <v>21</v>
      </c>
      <c r="E835" s="24">
        <v>330000000</v>
      </c>
      <c r="F835" s="39">
        <v>44013</v>
      </c>
      <c r="G835" s="24">
        <v>330000000</v>
      </c>
      <c r="H835" s="23">
        <v>3.0000000000000001E-3</v>
      </c>
      <c r="I835" s="39">
        <v>44501</v>
      </c>
      <c r="J835" s="39">
        <v>44530</v>
      </c>
      <c r="K835" s="24">
        <v>30</v>
      </c>
      <c r="L835" s="24">
        <v>81370</v>
      </c>
      <c r="M835" s="24">
        <v>330000000</v>
      </c>
      <c r="N835" s="39">
        <v>45838</v>
      </c>
    </row>
    <row r="836" spans="1:14" s="5" customFormat="1" outlineLevel="2">
      <c r="A836" s="39" t="s">
        <v>268</v>
      </c>
      <c r="B836" s="40" t="s">
        <v>54</v>
      </c>
      <c r="C836" s="41" t="s">
        <v>20</v>
      </c>
      <c r="D836" s="40" t="s">
        <v>21</v>
      </c>
      <c r="E836" s="24">
        <v>120000000</v>
      </c>
      <c r="F836" s="39">
        <v>44049</v>
      </c>
      <c r="G836" s="24">
        <v>120000000</v>
      </c>
      <c r="H836" s="23">
        <v>3.0000000000000001E-3</v>
      </c>
      <c r="I836" s="39">
        <v>44501</v>
      </c>
      <c r="J836" s="39">
        <v>44530</v>
      </c>
      <c r="K836" s="24">
        <v>30</v>
      </c>
      <c r="L836" s="24">
        <v>29589</v>
      </c>
      <c r="M836" s="24">
        <v>120000000</v>
      </c>
      <c r="N836" s="39">
        <v>45874</v>
      </c>
    </row>
    <row r="837" spans="1:14" s="5" customFormat="1" outlineLevel="2">
      <c r="A837" s="39" t="s">
        <v>268</v>
      </c>
      <c r="B837" s="40" t="s">
        <v>59</v>
      </c>
      <c r="C837" s="41" t="s">
        <v>20</v>
      </c>
      <c r="D837" s="40" t="s">
        <v>21</v>
      </c>
      <c r="E837" s="24">
        <v>39840000</v>
      </c>
      <c r="F837" s="39">
        <v>44111</v>
      </c>
      <c r="G837" s="24">
        <v>39840000</v>
      </c>
      <c r="H837" s="23">
        <v>3.0000000000000001E-3</v>
      </c>
      <c r="I837" s="39">
        <v>44501</v>
      </c>
      <c r="J837" s="39">
        <v>44530</v>
      </c>
      <c r="K837" s="24">
        <v>30</v>
      </c>
      <c r="L837" s="24">
        <v>9824</v>
      </c>
      <c r="M837" s="24">
        <v>39840000</v>
      </c>
      <c r="N837" s="39">
        <v>45936</v>
      </c>
    </row>
    <row r="838" spans="1:14" s="5" customFormat="1" outlineLevel="2">
      <c r="A838" s="39" t="s">
        <v>268</v>
      </c>
      <c r="B838" s="40" t="s">
        <v>62</v>
      </c>
      <c r="C838" s="41" t="s">
        <v>20</v>
      </c>
      <c r="D838" s="40" t="s">
        <v>21</v>
      </c>
      <c r="E838" s="24">
        <v>252000000</v>
      </c>
      <c r="F838" s="39">
        <v>44231</v>
      </c>
      <c r="G838" s="24">
        <v>252000000</v>
      </c>
      <c r="H838" s="23">
        <v>3.0000000000000001E-3</v>
      </c>
      <c r="I838" s="39">
        <v>44501</v>
      </c>
      <c r="J838" s="39">
        <v>44530</v>
      </c>
      <c r="K838" s="24">
        <v>30</v>
      </c>
      <c r="L838" s="24">
        <v>62137</v>
      </c>
      <c r="M838" s="24">
        <v>252000000</v>
      </c>
      <c r="N838" s="39">
        <v>46056</v>
      </c>
    </row>
    <row r="839" spans="1:14" s="5" customFormat="1" outlineLevel="2">
      <c r="A839" s="39" t="s">
        <v>268</v>
      </c>
      <c r="B839" s="40" t="s">
        <v>63</v>
      </c>
      <c r="C839" s="41" t="s">
        <v>280</v>
      </c>
      <c r="D839" s="40" t="s">
        <v>281</v>
      </c>
      <c r="E839" s="24">
        <v>250000000</v>
      </c>
      <c r="F839" s="39">
        <v>44228</v>
      </c>
      <c r="G839" s="24">
        <v>250000000</v>
      </c>
      <c r="H839" s="23">
        <v>3.0000000000000001E-3</v>
      </c>
      <c r="I839" s="39">
        <v>44501</v>
      </c>
      <c r="J839" s="39">
        <v>44530</v>
      </c>
      <c r="K839" s="24">
        <v>30</v>
      </c>
      <c r="L839" s="24">
        <v>61644</v>
      </c>
      <c r="M839" s="24">
        <v>250000000</v>
      </c>
      <c r="N839" s="39">
        <v>46053</v>
      </c>
    </row>
    <row r="840" spans="1:14" s="5" customFormat="1" outlineLevel="2">
      <c r="A840" s="39" t="s">
        <v>268</v>
      </c>
      <c r="B840" s="40" t="s">
        <v>64</v>
      </c>
      <c r="C840" s="41" t="s">
        <v>280</v>
      </c>
      <c r="D840" s="40" t="s">
        <v>281</v>
      </c>
      <c r="E840" s="24">
        <v>50000000</v>
      </c>
      <c r="F840" s="39">
        <v>44347</v>
      </c>
      <c r="G840" s="24">
        <v>50000000</v>
      </c>
      <c r="H840" s="23">
        <v>3.0000000000000001E-3</v>
      </c>
      <c r="I840" s="39">
        <v>44501</v>
      </c>
      <c r="J840" s="39">
        <v>44530</v>
      </c>
      <c r="K840" s="24">
        <v>30</v>
      </c>
      <c r="L840" s="24">
        <v>12329</v>
      </c>
      <c r="M840" s="24">
        <v>50000000</v>
      </c>
      <c r="N840" s="39">
        <v>45807</v>
      </c>
    </row>
    <row r="841" spans="1:14" s="5" customFormat="1" outlineLevel="2">
      <c r="A841" s="39" t="s">
        <v>268</v>
      </c>
      <c r="B841" s="40" t="s">
        <v>65</v>
      </c>
      <c r="C841" s="41" t="s">
        <v>20</v>
      </c>
      <c r="D841" s="40" t="s">
        <v>21</v>
      </c>
      <c r="E841" s="24">
        <v>19920000</v>
      </c>
      <c r="F841" s="39">
        <v>44504</v>
      </c>
      <c r="G841" s="24">
        <v>19920000</v>
      </c>
      <c r="H841" s="23">
        <v>3.0000000000000001E-3</v>
      </c>
      <c r="I841" s="39">
        <v>44504</v>
      </c>
      <c r="J841" s="39">
        <v>44530</v>
      </c>
      <c r="K841" s="24">
        <v>27</v>
      </c>
      <c r="L841" s="24">
        <v>4421</v>
      </c>
      <c r="M841" s="24">
        <v>19920000</v>
      </c>
      <c r="N841" s="39">
        <v>46329</v>
      </c>
    </row>
    <row r="842" spans="1:14" s="5" customFormat="1" outlineLevel="1">
      <c r="A842" s="42" t="s">
        <v>269</v>
      </c>
      <c r="B842" s="43"/>
      <c r="C842" s="44"/>
      <c r="D842" s="43"/>
      <c r="E842" s="45">
        <v>1104960000</v>
      </c>
      <c r="F842" s="46"/>
      <c r="G842" s="45"/>
      <c r="H842" s="47"/>
      <c r="I842" s="46"/>
      <c r="J842" s="46"/>
      <c r="K842" s="45"/>
      <c r="L842" s="45">
        <v>271966</v>
      </c>
      <c r="M842" s="45">
        <v>1104960000</v>
      </c>
      <c r="N842" s="46"/>
    </row>
    <row r="843" spans="1:14" s="5" customFormat="1" outlineLevel="2">
      <c r="A843" s="39" t="s">
        <v>343</v>
      </c>
      <c r="B843" s="40" t="s">
        <v>16</v>
      </c>
      <c r="C843" s="41" t="s">
        <v>246</v>
      </c>
      <c r="D843" s="40" t="s">
        <v>247</v>
      </c>
      <c r="E843" s="24">
        <v>1230000</v>
      </c>
      <c r="F843" s="39">
        <v>44308</v>
      </c>
      <c r="G843" s="24">
        <v>1230000</v>
      </c>
      <c r="H843" s="23">
        <v>5.0000000000000001E-3</v>
      </c>
      <c r="I843" s="39">
        <v>44501</v>
      </c>
      <c r="J843" s="39">
        <v>44530</v>
      </c>
      <c r="K843" s="24">
        <v>30</v>
      </c>
      <c r="L843" s="24">
        <v>505</v>
      </c>
      <c r="M843" s="24">
        <v>1230000</v>
      </c>
      <c r="N843" s="39">
        <v>46133</v>
      </c>
    </row>
    <row r="844" spans="1:14" s="5" customFormat="1" outlineLevel="2">
      <c r="A844" s="39" t="s">
        <v>343</v>
      </c>
      <c r="B844" s="40" t="s">
        <v>39</v>
      </c>
      <c r="C844" s="41" t="s">
        <v>246</v>
      </c>
      <c r="D844" s="40" t="s">
        <v>247</v>
      </c>
      <c r="E844" s="24">
        <v>298770000</v>
      </c>
      <c r="F844" s="39">
        <v>44455</v>
      </c>
      <c r="G844" s="24">
        <v>298770000</v>
      </c>
      <c r="H844" s="23">
        <v>5.0000000000000001E-3</v>
      </c>
      <c r="I844" s="39">
        <v>44501</v>
      </c>
      <c r="J844" s="39">
        <v>44530</v>
      </c>
      <c r="K844" s="24">
        <v>30</v>
      </c>
      <c r="L844" s="24">
        <v>122782</v>
      </c>
      <c r="M844" s="24">
        <v>298770000</v>
      </c>
      <c r="N844" s="39">
        <v>46280</v>
      </c>
    </row>
    <row r="845" spans="1:14" s="5" customFormat="1" outlineLevel="1">
      <c r="A845" s="42" t="s">
        <v>342</v>
      </c>
      <c r="B845" s="43"/>
      <c r="C845" s="44"/>
      <c r="D845" s="43"/>
      <c r="E845" s="45">
        <v>300000000</v>
      </c>
      <c r="F845" s="46"/>
      <c r="G845" s="45"/>
      <c r="H845" s="47"/>
      <c r="I845" s="46"/>
      <c r="J845" s="46"/>
      <c r="K845" s="45"/>
      <c r="L845" s="45">
        <v>123287</v>
      </c>
      <c r="M845" s="45">
        <v>300000000</v>
      </c>
      <c r="N845" s="46"/>
    </row>
    <row r="846" spans="1:14" s="5" customFormat="1" outlineLevel="2">
      <c r="A846" s="39" t="s">
        <v>270</v>
      </c>
      <c r="B846" s="40" t="s">
        <v>16</v>
      </c>
      <c r="C846" s="41" t="s">
        <v>273</v>
      </c>
      <c r="D846" s="40" t="s">
        <v>272</v>
      </c>
      <c r="E846" s="24">
        <v>126000000</v>
      </c>
      <c r="F846" s="39">
        <v>43804</v>
      </c>
      <c r="G846" s="24">
        <v>126000000</v>
      </c>
      <c r="H846" s="23">
        <v>5.0000000000000001E-3</v>
      </c>
      <c r="I846" s="39">
        <v>44501</v>
      </c>
      <c r="J846" s="39">
        <v>44530</v>
      </c>
      <c r="K846" s="24">
        <v>30</v>
      </c>
      <c r="L846" s="24">
        <v>51781</v>
      </c>
      <c r="M846" s="24">
        <v>126000000</v>
      </c>
      <c r="N846" s="39">
        <v>45630</v>
      </c>
    </row>
    <row r="847" spans="1:14" s="5" customFormat="1" outlineLevel="2">
      <c r="A847" s="39" t="s">
        <v>270</v>
      </c>
      <c r="B847" s="40" t="s">
        <v>19</v>
      </c>
      <c r="C847" s="41" t="s">
        <v>273</v>
      </c>
      <c r="D847" s="40" t="s">
        <v>272</v>
      </c>
      <c r="E847" s="24">
        <v>46600000</v>
      </c>
      <c r="F847" s="39">
        <v>43866</v>
      </c>
      <c r="G847" s="24">
        <v>46600000</v>
      </c>
      <c r="H847" s="23">
        <v>5.0000000000000001E-3</v>
      </c>
      <c r="I847" s="39">
        <v>44501</v>
      </c>
      <c r="J847" s="39">
        <v>44530</v>
      </c>
      <c r="K847" s="24">
        <v>30</v>
      </c>
      <c r="L847" s="24">
        <v>19151</v>
      </c>
      <c r="M847" s="24">
        <v>46600000</v>
      </c>
      <c r="N847" s="39">
        <v>45692</v>
      </c>
    </row>
    <row r="848" spans="1:14" s="5" customFormat="1" outlineLevel="2">
      <c r="A848" s="39" t="s">
        <v>270</v>
      </c>
      <c r="B848" s="40" t="s">
        <v>145</v>
      </c>
      <c r="C848" s="41" t="s">
        <v>115</v>
      </c>
      <c r="D848" s="40" t="s">
        <v>116</v>
      </c>
      <c r="E848" s="24">
        <v>41000000</v>
      </c>
      <c r="F848" s="39">
        <v>44337</v>
      </c>
      <c r="G848" s="24">
        <v>41000000</v>
      </c>
      <c r="H848" s="23">
        <v>5.0000000000000001E-3</v>
      </c>
      <c r="I848" s="39">
        <v>44501</v>
      </c>
      <c r="J848" s="39">
        <v>44530</v>
      </c>
      <c r="K848" s="24">
        <v>30</v>
      </c>
      <c r="L848" s="24">
        <v>16849</v>
      </c>
      <c r="M848" s="24">
        <v>41000000</v>
      </c>
      <c r="N848" s="39">
        <v>46162</v>
      </c>
    </row>
    <row r="849" spans="1:14" s="5" customFormat="1" outlineLevel="2">
      <c r="A849" s="39" t="s">
        <v>270</v>
      </c>
      <c r="B849" s="40" t="s">
        <v>148</v>
      </c>
      <c r="C849" s="41" t="s">
        <v>143</v>
      </c>
      <c r="D849" s="40" t="s">
        <v>144</v>
      </c>
      <c r="E849" s="24">
        <v>2900000</v>
      </c>
      <c r="F849" s="39">
        <v>44319</v>
      </c>
      <c r="G849" s="24">
        <v>2900000</v>
      </c>
      <c r="H849" s="23">
        <v>5.0000000000000001E-3</v>
      </c>
      <c r="I849" s="39">
        <v>44501</v>
      </c>
      <c r="J849" s="39">
        <v>44530</v>
      </c>
      <c r="K849" s="24">
        <v>30</v>
      </c>
      <c r="L849" s="24">
        <v>1192</v>
      </c>
      <c r="M849" s="24">
        <v>2900000</v>
      </c>
      <c r="N849" s="39">
        <v>46144</v>
      </c>
    </row>
    <row r="850" spans="1:14" s="5" customFormat="1" outlineLevel="2">
      <c r="A850" s="39" t="s">
        <v>270</v>
      </c>
      <c r="B850" s="40" t="s">
        <v>151</v>
      </c>
      <c r="C850" s="41" t="s">
        <v>143</v>
      </c>
      <c r="D850" s="40" t="s">
        <v>144</v>
      </c>
      <c r="E850" s="24">
        <v>6800000</v>
      </c>
      <c r="F850" s="39">
        <v>44327</v>
      </c>
      <c r="G850" s="24">
        <v>6800000</v>
      </c>
      <c r="H850" s="23">
        <v>5.0000000000000001E-3</v>
      </c>
      <c r="I850" s="39">
        <v>44501</v>
      </c>
      <c r="J850" s="39">
        <v>44530</v>
      </c>
      <c r="K850" s="24">
        <v>30</v>
      </c>
      <c r="L850" s="24">
        <v>2795</v>
      </c>
      <c r="M850" s="24">
        <v>6800000</v>
      </c>
      <c r="N850" s="39">
        <v>46152</v>
      </c>
    </row>
    <row r="851" spans="1:14" s="5" customFormat="1" outlineLevel="2">
      <c r="A851" s="39" t="s">
        <v>270</v>
      </c>
      <c r="B851" s="40" t="s">
        <v>152</v>
      </c>
      <c r="C851" s="41" t="s">
        <v>143</v>
      </c>
      <c r="D851" s="40" t="s">
        <v>144</v>
      </c>
      <c r="E851" s="24">
        <v>1620000</v>
      </c>
      <c r="F851" s="39">
        <v>44347</v>
      </c>
      <c r="G851" s="24">
        <v>1620000</v>
      </c>
      <c r="H851" s="23">
        <v>5.0000000000000001E-3</v>
      </c>
      <c r="I851" s="39">
        <v>44501</v>
      </c>
      <c r="J851" s="39">
        <v>44530</v>
      </c>
      <c r="K851" s="24">
        <v>30</v>
      </c>
      <c r="L851" s="24">
        <v>666</v>
      </c>
      <c r="M851" s="24">
        <v>1620000</v>
      </c>
      <c r="N851" s="39">
        <v>46172</v>
      </c>
    </row>
    <row r="852" spans="1:14" s="5" customFormat="1" outlineLevel="2">
      <c r="A852" s="39" t="s">
        <v>270</v>
      </c>
      <c r="B852" s="40" t="s">
        <v>153</v>
      </c>
      <c r="C852" s="41" t="s">
        <v>273</v>
      </c>
      <c r="D852" s="40" t="s">
        <v>272</v>
      </c>
      <c r="E852" s="24">
        <v>1500000</v>
      </c>
      <c r="F852" s="39">
        <v>44321</v>
      </c>
      <c r="G852" s="24">
        <v>1500000</v>
      </c>
      <c r="H852" s="23">
        <v>5.0000000000000001E-3</v>
      </c>
      <c r="I852" s="39">
        <v>44501</v>
      </c>
      <c r="J852" s="39">
        <v>44530</v>
      </c>
      <c r="K852" s="24">
        <v>30</v>
      </c>
      <c r="L852" s="24">
        <v>616</v>
      </c>
      <c r="M852" s="24">
        <v>1500000</v>
      </c>
      <c r="N852" s="39">
        <v>46146</v>
      </c>
    </row>
    <row r="853" spans="1:14" s="5" customFormat="1" outlineLevel="2">
      <c r="A853" s="39" t="s">
        <v>270</v>
      </c>
      <c r="B853" s="40" t="s">
        <v>154</v>
      </c>
      <c r="C853" s="41" t="s">
        <v>273</v>
      </c>
      <c r="D853" s="40" t="s">
        <v>272</v>
      </c>
      <c r="E853" s="24">
        <v>18000000</v>
      </c>
      <c r="F853" s="39">
        <v>44321</v>
      </c>
      <c r="G853" s="24">
        <v>18000000</v>
      </c>
      <c r="H853" s="23">
        <v>5.0000000000000001E-3</v>
      </c>
      <c r="I853" s="39">
        <v>44501</v>
      </c>
      <c r="J853" s="39">
        <v>44530</v>
      </c>
      <c r="K853" s="24">
        <v>30</v>
      </c>
      <c r="L853" s="24">
        <v>7397</v>
      </c>
      <c r="M853" s="24">
        <v>18000000</v>
      </c>
      <c r="N853" s="39">
        <v>46146</v>
      </c>
    </row>
    <row r="854" spans="1:14" s="5" customFormat="1" outlineLevel="2">
      <c r="A854" s="39" t="s">
        <v>270</v>
      </c>
      <c r="B854" s="40" t="s">
        <v>157</v>
      </c>
      <c r="C854" s="41" t="s">
        <v>75</v>
      </c>
      <c r="D854" s="40" t="s">
        <v>76</v>
      </c>
      <c r="E854" s="24">
        <v>38590000</v>
      </c>
      <c r="F854" s="39">
        <v>44321</v>
      </c>
      <c r="G854" s="24">
        <v>38590000</v>
      </c>
      <c r="H854" s="23">
        <v>5.0000000000000001E-3</v>
      </c>
      <c r="I854" s="39">
        <v>44501</v>
      </c>
      <c r="J854" s="39">
        <v>44530</v>
      </c>
      <c r="K854" s="24">
        <v>30</v>
      </c>
      <c r="L854" s="24">
        <v>15859</v>
      </c>
      <c r="M854" s="24">
        <v>38590000</v>
      </c>
      <c r="N854" s="39">
        <v>46146</v>
      </c>
    </row>
    <row r="855" spans="1:14" s="5" customFormat="1" outlineLevel="2">
      <c r="A855" s="39" t="s">
        <v>270</v>
      </c>
      <c r="B855" s="40" t="s">
        <v>158</v>
      </c>
      <c r="C855" s="41" t="s">
        <v>322</v>
      </c>
      <c r="D855" s="40" t="s">
        <v>321</v>
      </c>
      <c r="E855" s="24">
        <v>4163250</v>
      </c>
      <c r="F855" s="39">
        <v>44377</v>
      </c>
      <c r="G855" s="24">
        <v>4163250</v>
      </c>
      <c r="H855" s="23">
        <v>5.0000000000000001E-3</v>
      </c>
      <c r="I855" s="39">
        <v>44501</v>
      </c>
      <c r="J855" s="39">
        <v>44530</v>
      </c>
      <c r="K855" s="24">
        <v>30</v>
      </c>
      <c r="L855" s="24">
        <v>1711</v>
      </c>
      <c r="M855" s="24">
        <v>4163250</v>
      </c>
      <c r="N855" s="39">
        <v>46202</v>
      </c>
    </row>
    <row r="856" spans="1:14" s="5" customFormat="1" outlineLevel="2">
      <c r="A856" s="39" t="s">
        <v>270</v>
      </c>
      <c r="B856" s="40" t="s">
        <v>159</v>
      </c>
      <c r="C856" s="41" t="s">
        <v>274</v>
      </c>
      <c r="D856" s="40" t="s">
        <v>275</v>
      </c>
      <c r="E856" s="24">
        <v>18388440</v>
      </c>
      <c r="F856" s="39">
        <v>44356</v>
      </c>
      <c r="G856" s="24">
        <v>18388440</v>
      </c>
      <c r="H856" s="23">
        <v>5.0000000000000001E-3</v>
      </c>
      <c r="I856" s="39">
        <v>44501</v>
      </c>
      <c r="J856" s="39">
        <v>44530</v>
      </c>
      <c r="K856" s="24">
        <v>30</v>
      </c>
      <c r="L856" s="24">
        <v>7557</v>
      </c>
      <c r="M856" s="24">
        <v>18388440</v>
      </c>
      <c r="N856" s="39">
        <v>46181</v>
      </c>
    </row>
    <row r="857" spans="1:14" s="5" customFormat="1" outlineLevel="2">
      <c r="A857" s="39" t="s">
        <v>270</v>
      </c>
      <c r="B857" s="40" t="s">
        <v>320</v>
      </c>
      <c r="C857" s="41" t="s">
        <v>274</v>
      </c>
      <c r="D857" s="40" t="s">
        <v>275</v>
      </c>
      <c r="E857" s="24">
        <v>21892380</v>
      </c>
      <c r="F857" s="39">
        <v>44356</v>
      </c>
      <c r="G857" s="24">
        <v>21892380</v>
      </c>
      <c r="H857" s="23">
        <v>5.0000000000000001E-3</v>
      </c>
      <c r="I857" s="39">
        <v>44501</v>
      </c>
      <c r="J857" s="39">
        <v>44530</v>
      </c>
      <c r="K857" s="24">
        <v>30</v>
      </c>
      <c r="L857" s="24">
        <v>8997</v>
      </c>
      <c r="M857" s="24">
        <v>21892380</v>
      </c>
      <c r="N857" s="39">
        <v>46181</v>
      </c>
    </row>
    <row r="858" spans="1:14" s="5" customFormat="1" outlineLevel="2">
      <c r="A858" s="39" t="s">
        <v>270</v>
      </c>
      <c r="B858" s="40" t="s">
        <v>22</v>
      </c>
      <c r="C858" s="41" t="s">
        <v>273</v>
      </c>
      <c r="D858" s="40" t="s">
        <v>272</v>
      </c>
      <c r="E858" s="24">
        <v>1300000</v>
      </c>
      <c r="F858" s="39">
        <v>43866</v>
      </c>
      <c r="G858" s="24">
        <v>1300000</v>
      </c>
      <c r="H858" s="23">
        <v>5.0000000000000001E-3</v>
      </c>
      <c r="I858" s="39">
        <v>44501</v>
      </c>
      <c r="J858" s="39">
        <v>44530</v>
      </c>
      <c r="K858" s="24">
        <v>30</v>
      </c>
      <c r="L858" s="24">
        <v>534</v>
      </c>
      <c r="M858" s="24">
        <v>1300000</v>
      </c>
      <c r="N858" s="39">
        <v>45692</v>
      </c>
    </row>
    <row r="859" spans="1:14" s="5" customFormat="1" outlineLevel="2">
      <c r="A859" s="39" t="s">
        <v>270</v>
      </c>
      <c r="B859" s="40" t="s">
        <v>319</v>
      </c>
      <c r="C859" s="41" t="s">
        <v>143</v>
      </c>
      <c r="D859" s="40" t="s">
        <v>144</v>
      </c>
      <c r="E859" s="24">
        <v>900000</v>
      </c>
      <c r="F859" s="39">
        <v>44368</v>
      </c>
      <c r="G859" s="24">
        <v>900000</v>
      </c>
      <c r="H859" s="23">
        <v>5.0000000000000001E-3</v>
      </c>
      <c r="I859" s="39">
        <v>44501</v>
      </c>
      <c r="J859" s="39">
        <v>44530</v>
      </c>
      <c r="K859" s="24">
        <v>30</v>
      </c>
      <c r="L859" s="24">
        <v>370</v>
      </c>
      <c r="M859" s="24">
        <v>900000</v>
      </c>
      <c r="N859" s="39">
        <v>46193</v>
      </c>
    </row>
    <row r="860" spans="1:14" s="5" customFormat="1" outlineLevel="2">
      <c r="A860" s="39" t="s">
        <v>270</v>
      </c>
      <c r="B860" s="40" t="s">
        <v>318</v>
      </c>
      <c r="C860" s="41" t="s">
        <v>273</v>
      </c>
      <c r="D860" s="40" t="s">
        <v>272</v>
      </c>
      <c r="E860" s="24">
        <v>13700000</v>
      </c>
      <c r="F860" s="39">
        <v>44351</v>
      </c>
      <c r="G860" s="24">
        <v>13700000</v>
      </c>
      <c r="H860" s="23">
        <v>5.0000000000000001E-3</v>
      </c>
      <c r="I860" s="39">
        <v>44501</v>
      </c>
      <c r="J860" s="39">
        <v>44530</v>
      </c>
      <c r="K860" s="24">
        <v>30</v>
      </c>
      <c r="L860" s="24">
        <v>5630</v>
      </c>
      <c r="M860" s="24">
        <v>13700000</v>
      </c>
      <c r="N860" s="39">
        <v>46176</v>
      </c>
    </row>
    <row r="861" spans="1:14" s="5" customFormat="1" outlineLevel="2">
      <c r="A861" s="39" t="s">
        <v>270</v>
      </c>
      <c r="B861" s="40" t="s">
        <v>317</v>
      </c>
      <c r="C861" s="41" t="s">
        <v>274</v>
      </c>
      <c r="D861" s="40" t="s">
        <v>275</v>
      </c>
      <c r="E861" s="24">
        <v>21892380</v>
      </c>
      <c r="F861" s="39">
        <v>44391</v>
      </c>
      <c r="G861" s="24">
        <v>21892380</v>
      </c>
      <c r="H861" s="23">
        <v>5.0000000000000001E-3</v>
      </c>
      <c r="I861" s="39">
        <v>44501</v>
      </c>
      <c r="J861" s="39">
        <v>44530</v>
      </c>
      <c r="K861" s="24">
        <v>30</v>
      </c>
      <c r="L861" s="24">
        <v>8997</v>
      </c>
      <c r="M861" s="24">
        <v>21892380</v>
      </c>
      <c r="N861" s="39">
        <v>46216</v>
      </c>
    </row>
    <row r="862" spans="1:14" s="5" customFormat="1" outlineLevel="2">
      <c r="A862" s="39" t="s">
        <v>270</v>
      </c>
      <c r="B862" s="40" t="s">
        <v>316</v>
      </c>
      <c r="C862" s="41" t="s">
        <v>274</v>
      </c>
      <c r="D862" s="40" t="s">
        <v>275</v>
      </c>
      <c r="E862" s="24">
        <v>14303880</v>
      </c>
      <c r="F862" s="39">
        <v>44391</v>
      </c>
      <c r="G862" s="24">
        <v>14303880</v>
      </c>
      <c r="H862" s="23">
        <v>5.0000000000000001E-3</v>
      </c>
      <c r="I862" s="39">
        <v>44501</v>
      </c>
      <c r="J862" s="39">
        <v>44530</v>
      </c>
      <c r="K862" s="24">
        <v>30</v>
      </c>
      <c r="L862" s="24">
        <v>5878</v>
      </c>
      <c r="M862" s="24">
        <v>14303880</v>
      </c>
      <c r="N862" s="39">
        <v>46216</v>
      </c>
    </row>
    <row r="863" spans="1:14" s="5" customFormat="1" outlineLevel="2">
      <c r="A863" s="39" t="s">
        <v>270</v>
      </c>
      <c r="B863" s="40" t="s">
        <v>315</v>
      </c>
      <c r="C863" s="41" t="s">
        <v>115</v>
      </c>
      <c r="D863" s="40" t="s">
        <v>116</v>
      </c>
      <c r="E863" s="24">
        <v>18650000</v>
      </c>
      <c r="F863" s="39">
        <v>44384</v>
      </c>
      <c r="G863" s="24">
        <v>18650000</v>
      </c>
      <c r="H863" s="23">
        <v>5.0000000000000001E-3</v>
      </c>
      <c r="I863" s="39">
        <v>44501</v>
      </c>
      <c r="J863" s="39">
        <v>44530</v>
      </c>
      <c r="K863" s="24">
        <v>30</v>
      </c>
      <c r="L863" s="24">
        <v>7664</v>
      </c>
      <c r="M863" s="24">
        <v>18650000</v>
      </c>
      <c r="N863" s="39">
        <v>46209</v>
      </c>
    </row>
    <row r="864" spans="1:14" s="5" customFormat="1" outlineLevel="2">
      <c r="A864" s="39" t="s">
        <v>270</v>
      </c>
      <c r="B864" s="40" t="s">
        <v>314</v>
      </c>
      <c r="C864" s="41" t="s">
        <v>273</v>
      </c>
      <c r="D864" s="40" t="s">
        <v>272</v>
      </c>
      <c r="E864" s="24">
        <v>16800000</v>
      </c>
      <c r="F864" s="39">
        <v>44382</v>
      </c>
      <c r="G864" s="24">
        <v>16800000</v>
      </c>
      <c r="H864" s="23">
        <v>5.0000000000000001E-3</v>
      </c>
      <c r="I864" s="39">
        <v>44501</v>
      </c>
      <c r="J864" s="39">
        <v>44530</v>
      </c>
      <c r="K864" s="24">
        <v>30</v>
      </c>
      <c r="L864" s="24">
        <v>6904</v>
      </c>
      <c r="M864" s="24">
        <v>16800000</v>
      </c>
      <c r="N864" s="39">
        <v>46207</v>
      </c>
    </row>
    <row r="865" spans="1:14" s="5" customFormat="1" outlineLevel="2">
      <c r="A865" s="39" t="s">
        <v>270</v>
      </c>
      <c r="B865" s="40" t="s">
        <v>313</v>
      </c>
      <c r="C865" s="41" t="s">
        <v>273</v>
      </c>
      <c r="D865" s="40" t="s">
        <v>272</v>
      </c>
      <c r="E865" s="24">
        <v>8400000</v>
      </c>
      <c r="F865" s="39">
        <v>44382</v>
      </c>
      <c r="G865" s="24">
        <v>8400000</v>
      </c>
      <c r="H865" s="23">
        <v>5.0000000000000001E-3</v>
      </c>
      <c r="I865" s="39">
        <v>44501</v>
      </c>
      <c r="J865" s="39">
        <v>44530</v>
      </c>
      <c r="K865" s="24">
        <v>30</v>
      </c>
      <c r="L865" s="24">
        <v>3452</v>
      </c>
      <c r="M865" s="24">
        <v>8400000</v>
      </c>
      <c r="N865" s="39">
        <v>46207</v>
      </c>
    </row>
    <row r="866" spans="1:14" s="5" customFormat="1" outlineLevel="2">
      <c r="A866" s="39" t="s">
        <v>270</v>
      </c>
      <c r="B866" s="40" t="s">
        <v>312</v>
      </c>
      <c r="C866" s="41" t="s">
        <v>273</v>
      </c>
      <c r="D866" s="40" t="s">
        <v>272</v>
      </c>
      <c r="E866" s="24">
        <v>14100000</v>
      </c>
      <c r="F866" s="39">
        <v>44382</v>
      </c>
      <c r="G866" s="24">
        <v>14100000</v>
      </c>
      <c r="H866" s="23">
        <v>5.0000000000000001E-3</v>
      </c>
      <c r="I866" s="39">
        <v>44501</v>
      </c>
      <c r="J866" s="39">
        <v>44530</v>
      </c>
      <c r="K866" s="24">
        <v>30</v>
      </c>
      <c r="L866" s="24">
        <v>5795</v>
      </c>
      <c r="M866" s="24">
        <v>14100000</v>
      </c>
      <c r="N866" s="39">
        <v>46207</v>
      </c>
    </row>
    <row r="867" spans="1:14" s="5" customFormat="1" outlineLevel="2">
      <c r="A867" s="39" t="s">
        <v>270</v>
      </c>
      <c r="B867" s="40" t="s">
        <v>311</v>
      </c>
      <c r="C867" s="41" t="s">
        <v>75</v>
      </c>
      <c r="D867" s="40" t="s">
        <v>76</v>
      </c>
      <c r="E867" s="24">
        <v>44280000</v>
      </c>
      <c r="F867" s="39">
        <v>44378</v>
      </c>
      <c r="G867" s="24">
        <v>44280000</v>
      </c>
      <c r="H867" s="23">
        <v>5.0000000000000001E-3</v>
      </c>
      <c r="I867" s="39">
        <v>44501</v>
      </c>
      <c r="J867" s="39">
        <v>44530</v>
      </c>
      <c r="K867" s="24">
        <v>30</v>
      </c>
      <c r="L867" s="24">
        <v>18197</v>
      </c>
      <c r="M867" s="24">
        <v>44280000</v>
      </c>
      <c r="N867" s="39">
        <v>46203</v>
      </c>
    </row>
    <row r="868" spans="1:14" s="5" customFormat="1" outlineLevel="2">
      <c r="A868" s="39" t="s">
        <v>270</v>
      </c>
      <c r="B868" s="40" t="s">
        <v>310</v>
      </c>
      <c r="C868" s="41" t="s">
        <v>302</v>
      </c>
      <c r="D868" s="40" t="s">
        <v>301</v>
      </c>
      <c r="E868" s="24">
        <v>20206000</v>
      </c>
      <c r="F868" s="39">
        <v>44431</v>
      </c>
      <c r="G868" s="24">
        <v>20206000</v>
      </c>
      <c r="H868" s="23">
        <v>5.0000000000000001E-3</v>
      </c>
      <c r="I868" s="39">
        <v>44501</v>
      </c>
      <c r="J868" s="39">
        <v>44530</v>
      </c>
      <c r="K868" s="24">
        <v>30</v>
      </c>
      <c r="L868" s="24">
        <v>8304</v>
      </c>
      <c r="M868" s="24">
        <v>20206000</v>
      </c>
      <c r="N868" s="39">
        <v>46256</v>
      </c>
    </row>
    <row r="869" spans="1:14" s="5" customFormat="1" outlineLevel="2">
      <c r="A869" s="39" t="s">
        <v>270</v>
      </c>
      <c r="B869" s="40" t="s">
        <v>25</v>
      </c>
      <c r="C869" s="41" t="s">
        <v>274</v>
      </c>
      <c r="D869" s="40" t="s">
        <v>275</v>
      </c>
      <c r="E869" s="24">
        <v>9087600</v>
      </c>
      <c r="F869" s="39">
        <v>43901</v>
      </c>
      <c r="G869" s="24">
        <v>9087600</v>
      </c>
      <c r="H869" s="23">
        <v>5.0000000000000001E-3</v>
      </c>
      <c r="I869" s="39">
        <v>44501</v>
      </c>
      <c r="J869" s="39">
        <v>44530</v>
      </c>
      <c r="K869" s="24">
        <v>30</v>
      </c>
      <c r="L869" s="24">
        <v>3735</v>
      </c>
      <c r="M869" s="24">
        <v>9087600</v>
      </c>
      <c r="N869" s="39">
        <v>45726</v>
      </c>
    </row>
    <row r="870" spans="1:14" s="5" customFormat="1" outlineLevel="2">
      <c r="A870" s="39" t="s">
        <v>270</v>
      </c>
      <c r="B870" s="40" t="s">
        <v>309</v>
      </c>
      <c r="C870" s="41" t="s">
        <v>322</v>
      </c>
      <c r="D870" s="40" t="s">
        <v>321</v>
      </c>
      <c r="E870" s="24">
        <v>3202500</v>
      </c>
      <c r="F870" s="39">
        <v>44410</v>
      </c>
      <c r="G870" s="24">
        <v>3202500</v>
      </c>
      <c r="H870" s="23">
        <v>5.0000000000000001E-3</v>
      </c>
      <c r="I870" s="39">
        <v>44501</v>
      </c>
      <c r="J870" s="39">
        <v>44530</v>
      </c>
      <c r="K870" s="24">
        <v>30</v>
      </c>
      <c r="L870" s="24">
        <v>1316</v>
      </c>
      <c r="M870" s="24">
        <v>3202500</v>
      </c>
      <c r="N870" s="39">
        <v>46235</v>
      </c>
    </row>
    <row r="871" spans="1:14" s="5" customFormat="1" outlineLevel="2">
      <c r="A871" s="39" t="s">
        <v>270</v>
      </c>
      <c r="B871" s="40" t="s">
        <v>308</v>
      </c>
      <c r="C871" s="41" t="s">
        <v>322</v>
      </c>
      <c r="D871" s="40" t="s">
        <v>321</v>
      </c>
      <c r="E871" s="24">
        <v>3202500</v>
      </c>
      <c r="F871" s="39">
        <v>44439</v>
      </c>
      <c r="G871" s="24">
        <v>3202500</v>
      </c>
      <c r="H871" s="23">
        <v>5.0000000000000001E-3</v>
      </c>
      <c r="I871" s="39">
        <v>44501</v>
      </c>
      <c r="J871" s="39">
        <v>44530</v>
      </c>
      <c r="K871" s="24">
        <v>30</v>
      </c>
      <c r="L871" s="24">
        <v>1316</v>
      </c>
      <c r="M871" s="24">
        <v>3202500</v>
      </c>
      <c r="N871" s="39">
        <v>46264</v>
      </c>
    </row>
    <row r="872" spans="1:14" s="5" customFormat="1" outlineLevel="2">
      <c r="A872" s="39" t="s">
        <v>270</v>
      </c>
      <c r="B872" s="40" t="s">
        <v>307</v>
      </c>
      <c r="C872" s="41" t="s">
        <v>274</v>
      </c>
      <c r="D872" s="40" t="s">
        <v>275</v>
      </c>
      <c r="E872" s="24">
        <v>14303880</v>
      </c>
      <c r="F872" s="39">
        <v>44419</v>
      </c>
      <c r="G872" s="24">
        <v>14303880</v>
      </c>
      <c r="H872" s="23">
        <v>5.0000000000000001E-3</v>
      </c>
      <c r="I872" s="39">
        <v>44501</v>
      </c>
      <c r="J872" s="39">
        <v>44530</v>
      </c>
      <c r="K872" s="24">
        <v>30</v>
      </c>
      <c r="L872" s="24">
        <v>5878</v>
      </c>
      <c r="M872" s="24">
        <v>14303880</v>
      </c>
      <c r="N872" s="39">
        <v>46244</v>
      </c>
    </row>
    <row r="873" spans="1:14" s="5" customFormat="1" outlineLevel="2">
      <c r="A873" s="39" t="s">
        <v>270</v>
      </c>
      <c r="B873" s="40" t="s">
        <v>335</v>
      </c>
      <c r="C873" s="41" t="s">
        <v>274</v>
      </c>
      <c r="D873" s="40" t="s">
        <v>275</v>
      </c>
      <c r="E873" s="24">
        <v>18035040</v>
      </c>
      <c r="F873" s="39">
        <v>44419</v>
      </c>
      <c r="G873" s="24">
        <v>18035040</v>
      </c>
      <c r="H873" s="23">
        <v>5.0000000000000001E-3</v>
      </c>
      <c r="I873" s="39">
        <v>44501</v>
      </c>
      <c r="J873" s="39">
        <v>44530</v>
      </c>
      <c r="K873" s="24">
        <v>30</v>
      </c>
      <c r="L873" s="24">
        <v>7412</v>
      </c>
      <c r="M873" s="24">
        <v>18035040</v>
      </c>
      <c r="N873" s="39">
        <v>46244</v>
      </c>
    </row>
    <row r="874" spans="1:14" s="5" customFormat="1" outlineLevel="2">
      <c r="A874" s="39" t="s">
        <v>270</v>
      </c>
      <c r="B874" s="40" t="s">
        <v>334</v>
      </c>
      <c r="C874" s="41" t="s">
        <v>252</v>
      </c>
      <c r="D874" s="40" t="s">
        <v>253</v>
      </c>
      <c r="E874" s="24">
        <v>54300000</v>
      </c>
      <c r="F874" s="39">
        <v>44414</v>
      </c>
      <c r="G874" s="24">
        <v>54300000</v>
      </c>
      <c r="H874" s="23">
        <v>5.0000000000000001E-3</v>
      </c>
      <c r="I874" s="39">
        <v>44501</v>
      </c>
      <c r="J874" s="39">
        <v>44530</v>
      </c>
      <c r="K874" s="24">
        <v>30</v>
      </c>
      <c r="L874" s="24">
        <v>22315</v>
      </c>
      <c r="M874" s="24">
        <v>54300000</v>
      </c>
      <c r="N874" s="39">
        <v>46239</v>
      </c>
    </row>
    <row r="875" spans="1:14" s="5" customFormat="1" outlineLevel="2">
      <c r="A875" s="39" t="s">
        <v>270</v>
      </c>
      <c r="B875" s="40" t="s">
        <v>333</v>
      </c>
      <c r="C875" s="41" t="s">
        <v>143</v>
      </c>
      <c r="D875" s="40" t="s">
        <v>144</v>
      </c>
      <c r="E875" s="24">
        <v>10000000</v>
      </c>
      <c r="F875" s="39">
        <v>44410</v>
      </c>
      <c r="G875" s="24">
        <v>10000000</v>
      </c>
      <c r="H875" s="23">
        <v>5.0000000000000001E-3</v>
      </c>
      <c r="I875" s="39">
        <v>44501</v>
      </c>
      <c r="J875" s="39">
        <v>44530</v>
      </c>
      <c r="K875" s="24">
        <v>30</v>
      </c>
      <c r="L875" s="24">
        <v>4110</v>
      </c>
      <c r="M875" s="24">
        <v>10000000</v>
      </c>
      <c r="N875" s="39">
        <v>46235</v>
      </c>
    </row>
    <row r="876" spans="1:14" s="5" customFormat="1" outlineLevel="2">
      <c r="A876" s="39" t="s">
        <v>270</v>
      </c>
      <c r="B876" s="40" t="s">
        <v>332</v>
      </c>
      <c r="C876" s="41" t="s">
        <v>143</v>
      </c>
      <c r="D876" s="40" t="s">
        <v>144</v>
      </c>
      <c r="E876" s="24">
        <v>5990000</v>
      </c>
      <c r="F876" s="39">
        <v>44439</v>
      </c>
      <c r="G876" s="24">
        <v>5990000</v>
      </c>
      <c r="H876" s="23">
        <v>5.0000000000000001E-3</v>
      </c>
      <c r="I876" s="39">
        <v>44501</v>
      </c>
      <c r="J876" s="39">
        <v>44530</v>
      </c>
      <c r="K876" s="24">
        <v>30</v>
      </c>
      <c r="L876" s="24">
        <v>2462</v>
      </c>
      <c r="M876" s="24">
        <v>5990000</v>
      </c>
      <c r="N876" s="39">
        <v>46264</v>
      </c>
    </row>
    <row r="877" spans="1:14" s="5" customFormat="1" outlineLevel="2">
      <c r="A877" s="39" t="s">
        <v>270</v>
      </c>
      <c r="B877" s="40" t="s">
        <v>331</v>
      </c>
      <c r="C877" s="41" t="s">
        <v>273</v>
      </c>
      <c r="D877" s="40" t="s">
        <v>272</v>
      </c>
      <c r="E877" s="24">
        <v>10700000</v>
      </c>
      <c r="F877" s="39">
        <v>44413</v>
      </c>
      <c r="G877" s="24">
        <v>10700000</v>
      </c>
      <c r="H877" s="23">
        <v>5.0000000000000001E-3</v>
      </c>
      <c r="I877" s="39">
        <v>44501</v>
      </c>
      <c r="J877" s="39">
        <v>44530</v>
      </c>
      <c r="K877" s="24">
        <v>30</v>
      </c>
      <c r="L877" s="24">
        <v>4397</v>
      </c>
      <c r="M877" s="24">
        <v>10700000</v>
      </c>
      <c r="N877" s="39">
        <v>46238</v>
      </c>
    </row>
    <row r="878" spans="1:14" s="5" customFormat="1" outlineLevel="2">
      <c r="A878" s="39" t="s">
        <v>270</v>
      </c>
      <c r="B878" s="40" t="s">
        <v>330</v>
      </c>
      <c r="C878" s="41" t="s">
        <v>273</v>
      </c>
      <c r="D878" s="40" t="s">
        <v>272</v>
      </c>
      <c r="E878" s="24">
        <v>11600000</v>
      </c>
      <c r="F878" s="39">
        <v>44413</v>
      </c>
      <c r="G878" s="24">
        <v>11600000</v>
      </c>
      <c r="H878" s="23">
        <v>5.0000000000000001E-3</v>
      </c>
      <c r="I878" s="39">
        <v>44501</v>
      </c>
      <c r="J878" s="39">
        <v>44530</v>
      </c>
      <c r="K878" s="24">
        <v>30</v>
      </c>
      <c r="L878" s="24">
        <v>4767</v>
      </c>
      <c r="M878" s="24">
        <v>11600000</v>
      </c>
      <c r="N878" s="39">
        <v>46238</v>
      </c>
    </row>
    <row r="879" spans="1:14" s="5" customFormat="1" outlineLevel="2">
      <c r="A879" s="39" t="s">
        <v>270</v>
      </c>
      <c r="B879" s="40" t="s">
        <v>329</v>
      </c>
      <c r="C879" s="41" t="s">
        <v>273</v>
      </c>
      <c r="D879" s="40" t="s">
        <v>272</v>
      </c>
      <c r="E879" s="24">
        <v>4400000</v>
      </c>
      <c r="F879" s="39">
        <v>44413</v>
      </c>
      <c r="G879" s="24">
        <v>4400000</v>
      </c>
      <c r="H879" s="23">
        <v>5.0000000000000001E-3</v>
      </c>
      <c r="I879" s="39">
        <v>44501</v>
      </c>
      <c r="J879" s="39">
        <v>44530</v>
      </c>
      <c r="K879" s="24">
        <v>30</v>
      </c>
      <c r="L879" s="24">
        <v>1808</v>
      </c>
      <c r="M879" s="24">
        <v>4400000</v>
      </c>
      <c r="N879" s="39">
        <v>46238</v>
      </c>
    </row>
    <row r="880" spans="1:14" s="5" customFormat="1" outlineLevel="2">
      <c r="A880" s="39" t="s">
        <v>270</v>
      </c>
      <c r="B880" s="40" t="s">
        <v>26</v>
      </c>
      <c r="C880" s="41" t="s">
        <v>274</v>
      </c>
      <c r="D880" s="40" t="s">
        <v>275</v>
      </c>
      <c r="E880" s="24">
        <v>7270080</v>
      </c>
      <c r="F880" s="39">
        <v>43901</v>
      </c>
      <c r="G880" s="24">
        <v>7270080</v>
      </c>
      <c r="H880" s="23">
        <v>5.0000000000000001E-3</v>
      </c>
      <c r="I880" s="39">
        <v>44501</v>
      </c>
      <c r="J880" s="39">
        <v>44530</v>
      </c>
      <c r="K880" s="24">
        <v>30</v>
      </c>
      <c r="L880" s="24">
        <v>2988</v>
      </c>
      <c r="M880" s="24">
        <v>7270080</v>
      </c>
      <c r="N880" s="39">
        <v>45726</v>
      </c>
    </row>
    <row r="881" spans="1:14" s="5" customFormat="1" outlineLevel="2">
      <c r="A881" s="39" t="s">
        <v>270</v>
      </c>
      <c r="B881" s="40" t="s">
        <v>328</v>
      </c>
      <c r="C881" s="41" t="s">
        <v>363</v>
      </c>
      <c r="D881" s="40" t="s">
        <v>362</v>
      </c>
      <c r="E881" s="24">
        <v>5700000</v>
      </c>
      <c r="F881" s="39">
        <v>44438</v>
      </c>
      <c r="G881" s="24">
        <v>5700000</v>
      </c>
      <c r="H881" s="23">
        <v>5.0000000000000001E-3</v>
      </c>
      <c r="I881" s="39">
        <v>44501</v>
      </c>
      <c r="J881" s="39">
        <v>44530</v>
      </c>
      <c r="K881" s="24">
        <v>30</v>
      </c>
      <c r="L881" s="24">
        <v>2342</v>
      </c>
      <c r="M881" s="24">
        <v>5700000</v>
      </c>
      <c r="N881" s="39">
        <v>45533</v>
      </c>
    </row>
    <row r="882" spans="1:14" s="5" customFormat="1" outlineLevel="2">
      <c r="A882" s="39" t="s">
        <v>270</v>
      </c>
      <c r="B882" s="40" t="s">
        <v>327</v>
      </c>
      <c r="C882" s="41" t="s">
        <v>410</v>
      </c>
      <c r="D882" s="40" t="s">
        <v>409</v>
      </c>
      <c r="E882" s="24">
        <v>1470000</v>
      </c>
      <c r="F882" s="39">
        <v>44468</v>
      </c>
      <c r="G882" s="24">
        <v>1470000</v>
      </c>
      <c r="H882" s="23">
        <v>5.0000000000000001E-3</v>
      </c>
      <c r="I882" s="39">
        <v>44501</v>
      </c>
      <c r="J882" s="39">
        <v>44530</v>
      </c>
      <c r="K882" s="24">
        <v>30</v>
      </c>
      <c r="L882" s="24">
        <v>604</v>
      </c>
      <c r="M882" s="24">
        <v>1470000</v>
      </c>
      <c r="N882" s="39">
        <v>45563</v>
      </c>
    </row>
    <row r="883" spans="1:14" s="5" customFormat="1" outlineLevel="2">
      <c r="A883" s="39" t="s">
        <v>270</v>
      </c>
      <c r="B883" s="40" t="s">
        <v>326</v>
      </c>
      <c r="C883" s="41" t="s">
        <v>294</v>
      </c>
      <c r="D883" s="40" t="s">
        <v>295</v>
      </c>
      <c r="E883" s="24">
        <v>135260000</v>
      </c>
      <c r="F883" s="39">
        <v>44467</v>
      </c>
      <c r="G883" s="24">
        <v>135260000</v>
      </c>
      <c r="H883" s="23">
        <v>3.0000000000000001E-3</v>
      </c>
      <c r="I883" s="39">
        <v>44501</v>
      </c>
      <c r="J883" s="39">
        <v>44530</v>
      </c>
      <c r="K883" s="24">
        <v>30</v>
      </c>
      <c r="L883" s="24">
        <v>33352</v>
      </c>
      <c r="M883" s="24">
        <v>135260000</v>
      </c>
      <c r="N883" s="39">
        <v>45562</v>
      </c>
    </row>
    <row r="884" spans="1:14" s="5" customFormat="1" outlineLevel="2">
      <c r="A884" s="39" t="s">
        <v>270</v>
      </c>
      <c r="B884" s="40" t="s">
        <v>325</v>
      </c>
      <c r="C884" s="41" t="s">
        <v>302</v>
      </c>
      <c r="D884" s="40" t="s">
        <v>301</v>
      </c>
      <c r="E884" s="24">
        <v>32320000</v>
      </c>
      <c r="F884" s="39">
        <v>44446</v>
      </c>
      <c r="G884" s="24">
        <v>32320000</v>
      </c>
      <c r="H884" s="23">
        <v>5.0000000000000001E-3</v>
      </c>
      <c r="I884" s="39">
        <v>44501</v>
      </c>
      <c r="J884" s="39">
        <v>44530</v>
      </c>
      <c r="K884" s="24">
        <v>30</v>
      </c>
      <c r="L884" s="24">
        <v>13282</v>
      </c>
      <c r="M884" s="24">
        <v>32320000</v>
      </c>
      <c r="N884" s="39">
        <v>46271</v>
      </c>
    </row>
    <row r="885" spans="1:14" s="5" customFormat="1" outlineLevel="2">
      <c r="A885" s="39" t="s">
        <v>270</v>
      </c>
      <c r="B885" s="40" t="s">
        <v>361</v>
      </c>
      <c r="C885" s="41" t="s">
        <v>322</v>
      </c>
      <c r="D885" s="40" t="s">
        <v>321</v>
      </c>
      <c r="E885" s="24">
        <v>3202500</v>
      </c>
      <c r="F885" s="39">
        <v>44469</v>
      </c>
      <c r="G885" s="24">
        <v>3202500</v>
      </c>
      <c r="H885" s="23">
        <v>5.0000000000000001E-3</v>
      </c>
      <c r="I885" s="39">
        <v>44501</v>
      </c>
      <c r="J885" s="39">
        <v>44530</v>
      </c>
      <c r="K885" s="24">
        <v>30</v>
      </c>
      <c r="L885" s="24">
        <v>1316</v>
      </c>
      <c r="M885" s="24">
        <v>3202500</v>
      </c>
      <c r="N885" s="39">
        <v>46294</v>
      </c>
    </row>
    <row r="886" spans="1:14" s="5" customFormat="1" outlineLevel="2">
      <c r="A886" s="39" t="s">
        <v>270</v>
      </c>
      <c r="B886" s="40" t="s">
        <v>360</v>
      </c>
      <c r="C886" s="41" t="s">
        <v>408</v>
      </c>
      <c r="D886" s="40" t="s">
        <v>407</v>
      </c>
      <c r="E886" s="24">
        <v>63000000</v>
      </c>
      <c r="F886" s="39">
        <v>44442</v>
      </c>
      <c r="G886" s="24">
        <v>63000000</v>
      </c>
      <c r="H886" s="23">
        <v>5.0000000000000001E-3</v>
      </c>
      <c r="I886" s="39">
        <v>44501</v>
      </c>
      <c r="J886" s="39">
        <v>44530</v>
      </c>
      <c r="K886" s="24">
        <v>30</v>
      </c>
      <c r="L886" s="24">
        <v>25890</v>
      </c>
      <c r="M886" s="24">
        <v>63000000</v>
      </c>
      <c r="N886" s="39">
        <v>45537</v>
      </c>
    </row>
    <row r="887" spans="1:14" s="5" customFormat="1" outlineLevel="2">
      <c r="A887" s="39" t="s">
        <v>270</v>
      </c>
      <c r="B887" s="40" t="s">
        <v>359</v>
      </c>
      <c r="C887" s="41" t="s">
        <v>274</v>
      </c>
      <c r="D887" s="40" t="s">
        <v>275</v>
      </c>
      <c r="E887" s="24">
        <v>18035040</v>
      </c>
      <c r="F887" s="39">
        <v>44447</v>
      </c>
      <c r="G887" s="24">
        <v>18035040</v>
      </c>
      <c r="H887" s="23">
        <v>5.0000000000000001E-3</v>
      </c>
      <c r="I887" s="39">
        <v>44501</v>
      </c>
      <c r="J887" s="39">
        <v>44530</v>
      </c>
      <c r="K887" s="24">
        <v>30</v>
      </c>
      <c r="L887" s="24">
        <v>7412</v>
      </c>
      <c r="M887" s="24">
        <v>18035040</v>
      </c>
      <c r="N887" s="39">
        <v>46272</v>
      </c>
    </row>
    <row r="888" spans="1:14" s="5" customFormat="1" outlineLevel="2">
      <c r="A888" s="39" t="s">
        <v>270</v>
      </c>
      <c r="B888" s="40" t="s">
        <v>358</v>
      </c>
      <c r="C888" s="41" t="s">
        <v>274</v>
      </c>
      <c r="D888" s="40" t="s">
        <v>275</v>
      </c>
      <c r="E888" s="24">
        <v>9909960</v>
      </c>
      <c r="F888" s="39">
        <v>44447</v>
      </c>
      <c r="G888" s="24">
        <v>9909960</v>
      </c>
      <c r="H888" s="23">
        <v>5.0000000000000001E-3</v>
      </c>
      <c r="I888" s="39">
        <v>44501</v>
      </c>
      <c r="J888" s="39">
        <v>44530</v>
      </c>
      <c r="K888" s="24">
        <v>30</v>
      </c>
      <c r="L888" s="24">
        <v>4073</v>
      </c>
      <c r="M888" s="24">
        <v>9909960</v>
      </c>
      <c r="N888" s="39">
        <v>46272</v>
      </c>
    </row>
    <row r="889" spans="1:14" s="5" customFormat="1" outlineLevel="2">
      <c r="A889" s="39" t="s">
        <v>270</v>
      </c>
      <c r="B889" s="40" t="s">
        <v>357</v>
      </c>
      <c r="C889" s="41" t="s">
        <v>143</v>
      </c>
      <c r="D889" s="40" t="s">
        <v>144</v>
      </c>
      <c r="E889" s="24">
        <v>1840000</v>
      </c>
      <c r="F889" s="39">
        <v>44469</v>
      </c>
      <c r="G889" s="24">
        <v>1840000</v>
      </c>
      <c r="H889" s="23">
        <v>5.0000000000000001E-3</v>
      </c>
      <c r="I889" s="39">
        <v>44501</v>
      </c>
      <c r="J889" s="39">
        <v>44530</v>
      </c>
      <c r="K889" s="24">
        <v>30</v>
      </c>
      <c r="L889" s="24">
        <v>756</v>
      </c>
      <c r="M889" s="24">
        <v>1840000</v>
      </c>
      <c r="N889" s="39">
        <v>46294</v>
      </c>
    </row>
    <row r="890" spans="1:14" s="5" customFormat="1" outlineLevel="2">
      <c r="A890" s="39" t="s">
        <v>270</v>
      </c>
      <c r="B890" s="40" t="s">
        <v>356</v>
      </c>
      <c r="C890" s="41" t="s">
        <v>273</v>
      </c>
      <c r="D890" s="40" t="s">
        <v>272</v>
      </c>
      <c r="E890" s="24">
        <v>8600000</v>
      </c>
      <c r="F890" s="39">
        <v>44442</v>
      </c>
      <c r="G890" s="24">
        <v>8600000</v>
      </c>
      <c r="H890" s="23">
        <v>5.0000000000000001E-3</v>
      </c>
      <c r="I890" s="39">
        <v>44501</v>
      </c>
      <c r="J890" s="39">
        <v>44530</v>
      </c>
      <c r="K890" s="24">
        <v>30</v>
      </c>
      <c r="L890" s="24">
        <v>3534</v>
      </c>
      <c r="M890" s="24">
        <v>8600000</v>
      </c>
      <c r="N890" s="39">
        <v>46267</v>
      </c>
    </row>
    <row r="891" spans="1:14" s="5" customFormat="1" outlineLevel="2">
      <c r="A891" s="39" t="s">
        <v>270</v>
      </c>
      <c r="B891" s="40" t="s">
        <v>29</v>
      </c>
      <c r="C891" s="41" t="s">
        <v>273</v>
      </c>
      <c r="D891" s="40" t="s">
        <v>272</v>
      </c>
      <c r="E891" s="24">
        <v>99400000</v>
      </c>
      <c r="F891" s="39">
        <v>43917</v>
      </c>
      <c r="G891" s="24">
        <v>99400000</v>
      </c>
      <c r="H891" s="23">
        <v>5.0000000000000001E-3</v>
      </c>
      <c r="I891" s="39">
        <v>44501</v>
      </c>
      <c r="J891" s="39">
        <v>44530</v>
      </c>
      <c r="K891" s="24">
        <v>30</v>
      </c>
      <c r="L891" s="24">
        <v>40849</v>
      </c>
      <c r="M891" s="24">
        <v>99400000</v>
      </c>
      <c r="N891" s="39">
        <v>45742</v>
      </c>
    </row>
    <row r="892" spans="1:14" s="5" customFormat="1" outlineLevel="2">
      <c r="A892" s="39" t="s">
        <v>270</v>
      </c>
      <c r="B892" s="40" t="s">
        <v>355</v>
      </c>
      <c r="C892" s="41" t="s">
        <v>273</v>
      </c>
      <c r="D892" s="40" t="s">
        <v>272</v>
      </c>
      <c r="E892" s="24">
        <v>2400000</v>
      </c>
      <c r="F892" s="39">
        <v>44442</v>
      </c>
      <c r="G892" s="24">
        <v>2400000</v>
      </c>
      <c r="H892" s="23">
        <v>5.0000000000000001E-3</v>
      </c>
      <c r="I892" s="39">
        <v>44501</v>
      </c>
      <c r="J892" s="39">
        <v>44530</v>
      </c>
      <c r="K892" s="24">
        <v>30</v>
      </c>
      <c r="L892" s="24">
        <v>986</v>
      </c>
      <c r="M892" s="24">
        <v>2400000</v>
      </c>
      <c r="N892" s="39">
        <v>46267</v>
      </c>
    </row>
    <row r="893" spans="1:14" s="5" customFormat="1" outlineLevel="2">
      <c r="A893" s="39" t="s">
        <v>270</v>
      </c>
      <c r="B893" s="40" t="s">
        <v>354</v>
      </c>
      <c r="C893" s="41" t="s">
        <v>294</v>
      </c>
      <c r="D893" s="40" t="s">
        <v>295</v>
      </c>
      <c r="E893" s="24">
        <v>136110000</v>
      </c>
      <c r="F893" s="39">
        <v>44495</v>
      </c>
      <c r="G893" s="24">
        <v>136110000</v>
      </c>
      <c r="H893" s="23">
        <v>3.0000000000000001E-3</v>
      </c>
      <c r="I893" s="39">
        <v>44501</v>
      </c>
      <c r="J893" s="39">
        <v>44530</v>
      </c>
      <c r="K893" s="24">
        <v>30</v>
      </c>
      <c r="L893" s="24">
        <v>33561</v>
      </c>
      <c r="M893" s="24">
        <v>136110000</v>
      </c>
      <c r="N893" s="39">
        <v>45590</v>
      </c>
    </row>
    <row r="894" spans="1:14" s="5" customFormat="1" outlineLevel="2">
      <c r="A894" s="39" t="s">
        <v>270</v>
      </c>
      <c r="B894" s="40" t="s">
        <v>353</v>
      </c>
      <c r="C894" s="41" t="s">
        <v>408</v>
      </c>
      <c r="D894" s="40" t="s">
        <v>407</v>
      </c>
      <c r="E894" s="24">
        <v>50000000</v>
      </c>
      <c r="F894" s="39">
        <v>44473</v>
      </c>
      <c r="G894" s="24">
        <v>50000000</v>
      </c>
      <c r="H894" s="23">
        <v>5.0000000000000001E-3</v>
      </c>
      <c r="I894" s="39">
        <v>44501</v>
      </c>
      <c r="J894" s="39">
        <v>44530</v>
      </c>
      <c r="K894" s="24">
        <v>30</v>
      </c>
      <c r="L894" s="24">
        <v>20548</v>
      </c>
      <c r="M894" s="24">
        <v>50000000</v>
      </c>
      <c r="N894" s="39">
        <v>45568</v>
      </c>
    </row>
    <row r="895" spans="1:14" s="5" customFormat="1" outlineLevel="2">
      <c r="A895" s="39" t="s">
        <v>270</v>
      </c>
      <c r="B895" s="40" t="s">
        <v>352</v>
      </c>
      <c r="C895" s="41" t="s">
        <v>274</v>
      </c>
      <c r="D895" s="40" t="s">
        <v>275</v>
      </c>
      <c r="E895" s="24">
        <v>9909960</v>
      </c>
      <c r="F895" s="39">
        <v>44482</v>
      </c>
      <c r="G895" s="24">
        <v>9909960</v>
      </c>
      <c r="H895" s="23">
        <v>5.0000000000000001E-3</v>
      </c>
      <c r="I895" s="39">
        <v>44501</v>
      </c>
      <c r="J895" s="39">
        <v>44530</v>
      </c>
      <c r="K895" s="24">
        <v>30</v>
      </c>
      <c r="L895" s="24">
        <v>4073</v>
      </c>
      <c r="M895" s="24">
        <v>9909960</v>
      </c>
      <c r="N895" s="39">
        <v>46307</v>
      </c>
    </row>
    <row r="896" spans="1:14" s="5" customFormat="1" outlineLevel="2">
      <c r="A896" s="39" t="s">
        <v>270</v>
      </c>
      <c r="B896" s="40" t="s">
        <v>349</v>
      </c>
      <c r="C896" s="41" t="s">
        <v>274</v>
      </c>
      <c r="D896" s="40" t="s">
        <v>275</v>
      </c>
      <c r="E896" s="24">
        <v>6913320</v>
      </c>
      <c r="F896" s="39">
        <v>44482</v>
      </c>
      <c r="G896" s="24">
        <v>6913320</v>
      </c>
      <c r="H896" s="23">
        <v>5.0000000000000001E-3</v>
      </c>
      <c r="I896" s="39">
        <v>44501</v>
      </c>
      <c r="J896" s="39">
        <v>44530</v>
      </c>
      <c r="K896" s="24">
        <v>30</v>
      </c>
      <c r="L896" s="24">
        <v>2841</v>
      </c>
      <c r="M896" s="24">
        <v>6913320</v>
      </c>
      <c r="N896" s="39">
        <v>46307</v>
      </c>
    </row>
    <row r="897" spans="1:14" s="5" customFormat="1" outlineLevel="2">
      <c r="A897" s="39" t="s">
        <v>270</v>
      </c>
      <c r="B897" s="40" t="s">
        <v>348</v>
      </c>
      <c r="C897" s="41" t="s">
        <v>274</v>
      </c>
      <c r="D897" s="40" t="s">
        <v>275</v>
      </c>
      <c r="E897" s="24">
        <v>19920000</v>
      </c>
      <c r="F897" s="39">
        <v>44482</v>
      </c>
      <c r="G897" s="24">
        <v>19920000</v>
      </c>
      <c r="H897" s="23">
        <v>5.0000000000000001E-3</v>
      </c>
      <c r="I897" s="39">
        <v>44501</v>
      </c>
      <c r="J897" s="39">
        <v>44530</v>
      </c>
      <c r="K897" s="24">
        <v>30</v>
      </c>
      <c r="L897" s="24">
        <v>8186</v>
      </c>
      <c r="M897" s="24">
        <v>19920000</v>
      </c>
      <c r="N897" s="39">
        <v>46307</v>
      </c>
    </row>
    <row r="898" spans="1:14" s="5" customFormat="1" outlineLevel="2">
      <c r="A898" s="39" t="s">
        <v>270</v>
      </c>
      <c r="B898" s="40" t="s">
        <v>347</v>
      </c>
      <c r="C898" s="41" t="s">
        <v>274</v>
      </c>
      <c r="D898" s="40" t="s">
        <v>275</v>
      </c>
      <c r="E898" s="24">
        <v>1305264</v>
      </c>
      <c r="F898" s="39">
        <v>44482</v>
      </c>
      <c r="G898" s="24">
        <v>1305264</v>
      </c>
      <c r="H898" s="23">
        <v>5.0000000000000001E-3</v>
      </c>
      <c r="I898" s="39">
        <v>44501</v>
      </c>
      <c r="J898" s="39">
        <v>44530</v>
      </c>
      <c r="K898" s="24">
        <v>30</v>
      </c>
      <c r="L898" s="24">
        <v>536</v>
      </c>
      <c r="M898" s="24">
        <v>1305264</v>
      </c>
      <c r="N898" s="39">
        <v>46307</v>
      </c>
    </row>
    <row r="899" spans="1:14" s="5" customFormat="1" outlineLevel="2">
      <c r="A899" s="39" t="s">
        <v>270</v>
      </c>
      <c r="B899" s="40" t="s">
        <v>346</v>
      </c>
      <c r="C899" s="41" t="s">
        <v>79</v>
      </c>
      <c r="D899" s="40" t="s">
        <v>80</v>
      </c>
      <c r="E899" s="24">
        <v>1700000</v>
      </c>
      <c r="F899" s="39">
        <v>44498</v>
      </c>
      <c r="G899" s="24">
        <v>1700000</v>
      </c>
      <c r="H899" s="23">
        <v>5.0000000000000001E-3</v>
      </c>
      <c r="I899" s="39">
        <v>44501</v>
      </c>
      <c r="J899" s="39">
        <v>44530</v>
      </c>
      <c r="K899" s="24">
        <v>30</v>
      </c>
      <c r="L899" s="24">
        <v>699</v>
      </c>
      <c r="M899" s="24">
        <v>1700000</v>
      </c>
      <c r="N899" s="39">
        <v>45593</v>
      </c>
    </row>
    <row r="900" spans="1:14" s="5" customFormat="1" outlineLevel="2">
      <c r="A900" s="39" t="s">
        <v>270</v>
      </c>
      <c r="B900" s="40" t="s">
        <v>373</v>
      </c>
      <c r="C900" s="41" t="s">
        <v>273</v>
      </c>
      <c r="D900" s="40" t="s">
        <v>272</v>
      </c>
      <c r="E900" s="24">
        <v>2200000</v>
      </c>
      <c r="F900" s="39">
        <v>44474</v>
      </c>
      <c r="G900" s="24">
        <v>2200000</v>
      </c>
      <c r="H900" s="23">
        <v>5.0000000000000001E-3</v>
      </c>
      <c r="I900" s="39">
        <v>44501</v>
      </c>
      <c r="J900" s="39">
        <v>44530</v>
      </c>
      <c r="K900" s="24">
        <v>30</v>
      </c>
      <c r="L900" s="24">
        <v>904</v>
      </c>
      <c r="M900" s="24">
        <v>2200000</v>
      </c>
      <c r="N900" s="39">
        <v>46299</v>
      </c>
    </row>
    <row r="901" spans="1:14" s="5" customFormat="1" outlineLevel="2">
      <c r="A901" s="39" t="s">
        <v>270</v>
      </c>
      <c r="B901" s="40" t="s">
        <v>372</v>
      </c>
      <c r="C901" s="41" t="s">
        <v>273</v>
      </c>
      <c r="D901" s="40" t="s">
        <v>272</v>
      </c>
      <c r="E901" s="24">
        <v>9000000</v>
      </c>
      <c r="F901" s="39">
        <v>44474</v>
      </c>
      <c r="G901" s="24">
        <v>9000000</v>
      </c>
      <c r="H901" s="23">
        <v>5.0000000000000001E-3</v>
      </c>
      <c r="I901" s="39">
        <v>44501</v>
      </c>
      <c r="J901" s="39">
        <v>44530</v>
      </c>
      <c r="K901" s="24">
        <v>30</v>
      </c>
      <c r="L901" s="24">
        <v>3699</v>
      </c>
      <c r="M901" s="24">
        <v>9000000</v>
      </c>
      <c r="N901" s="39">
        <v>46299</v>
      </c>
    </row>
    <row r="902" spans="1:14" s="5" customFormat="1" outlineLevel="2">
      <c r="A902" s="39" t="s">
        <v>270</v>
      </c>
      <c r="B902" s="40" t="s">
        <v>32</v>
      </c>
      <c r="C902" s="41" t="s">
        <v>274</v>
      </c>
      <c r="D902" s="40" t="s">
        <v>275</v>
      </c>
      <c r="E902" s="24">
        <v>9087600</v>
      </c>
      <c r="F902" s="39">
        <v>43929</v>
      </c>
      <c r="G902" s="24">
        <v>9087600</v>
      </c>
      <c r="H902" s="23">
        <v>5.0000000000000001E-3</v>
      </c>
      <c r="I902" s="39">
        <v>44501</v>
      </c>
      <c r="J902" s="39">
        <v>44530</v>
      </c>
      <c r="K902" s="24">
        <v>30</v>
      </c>
      <c r="L902" s="24">
        <v>3735</v>
      </c>
      <c r="M902" s="24">
        <v>9087600</v>
      </c>
      <c r="N902" s="39">
        <v>45754</v>
      </c>
    </row>
    <row r="903" spans="1:14" s="5" customFormat="1" outlineLevel="2">
      <c r="A903" s="39" t="s">
        <v>270</v>
      </c>
      <c r="B903" s="40" t="s">
        <v>371</v>
      </c>
      <c r="C903" s="41" t="s">
        <v>273</v>
      </c>
      <c r="D903" s="40" t="s">
        <v>272</v>
      </c>
      <c r="E903" s="24">
        <v>2000000</v>
      </c>
      <c r="F903" s="39">
        <v>44474</v>
      </c>
      <c r="G903" s="24">
        <v>2000000</v>
      </c>
      <c r="H903" s="23">
        <v>5.0000000000000001E-3</v>
      </c>
      <c r="I903" s="39">
        <v>44501</v>
      </c>
      <c r="J903" s="39">
        <v>44530</v>
      </c>
      <c r="K903" s="24">
        <v>30</v>
      </c>
      <c r="L903" s="24">
        <v>822</v>
      </c>
      <c r="M903" s="24">
        <v>2000000</v>
      </c>
      <c r="N903" s="39">
        <v>46299</v>
      </c>
    </row>
    <row r="904" spans="1:14" s="5" customFormat="1" outlineLevel="2">
      <c r="A904" s="39" t="s">
        <v>270</v>
      </c>
      <c r="B904" s="40" t="s">
        <v>370</v>
      </c>
      <c r="C904" s="41" t="s">
        <v>30</v>
      </c>
      <c r="D904" s="40" t="s">
        <v>31</v>
      </c>
      <c r="E904" s="24">
        <v>70000000</v>
      </c>
      <c r="F904" s="39">
        <v>44475</v>
      </c>
      <c r="G904" s="24">
        <v>70000000</v>
      </c>
      <c r="H904" s="23">
        <v>5.0000000000000001E-3</v>
      </c>
      <c r="I904" s="39">
        <v>44501</v>
      </c>
      <c r="J904" s="39">
        <v>44530</v>
      </c>
      <c r="K904" s="24">
        <v>30</v>
      </c>
      <c r="L904" s="24">
        <v>28767</v>
      </c>
      <c r="M904" s="24">
        <v>70000000</v>
      </c>
      <c r="N904" s="39">
        <v>46300</v>
      </c>
    </row>
    <row r="905" spans="1:14" s="5" customFormat="1" outlineLevel="2">
      <c r="A905" s="39" t="s">
        <v>270</v>
      </c>
      <c r="B905" s="40" t="s">
        <v>369</v>
      </c>
      <c r="C905" s="41" t="s">
        <v>429</v>
      </c>
      <c r="D905" s="40" t="s">
        <v>428</v>
      </c>
      <c r="E905" s="24">
        <v>10000000</v>
      </c>
      <c r="F905" s="39">
        <v>44505</v>
      </c>
      <c r="G905" s="24">
        <v>10000000</v>
      </c>
      <c r="H905" s="23">
        <v>5.0000000000000001E-3</v>
      </c>
      <c r="I905" s="39">
        <v>44505</v>
      </c>
      <c r="J905" s="39">
        <v>44530</v>
      </c>
      <c r="K905" s="24">
        <v>26</v>
      </c>
      <c r="L905" s="24">
        <v>3562</v>
      </c>
      <c r="M905" s="24">
        <v>10000000</v>
      </c>
      <c r="N905" s="39">
        <v>45600</v>
      </c>
    </row>
    <row r="906" spans="1:14" s="5" customFormat="1" outlineLevel="2">
      <c r="A906" s="39" t="s">
        <v>270</v>
      </c>
      <c r="B906" s="40" t="s">
        <v>368</v>
      </c>
      <c r="C906" s="41" t="s">
        <v>294</v>
      </c>
      <c r="D906" s="40" t="s">
        <v>295</v>
      </c>
      <c r="E906" s="24">
        <v>118590000</v>
      </c>
      <c r="F906" s="39">
        <v>44525</v>
      </c>
      <c r="G906" s="24">
        <v>118590000</v>
      </c>
      <c r="H906" s="23">
        <v>3.0000000000000001E-3</v>
      </c>
      <c r="I906" s="39">
        <v>44525</v>
      </c>
      <c r="J906" s="39">
        <v>44530</v>
      </c>
      <c r="K906" s="24">
        <v>6</v>
      </c>
      <c r="L906" s="24">
        <v>5848</v>
      </c>
      <c r="M906" s="24">
        <v>118590000</v>
      </c>
      <c r="N906" s="39">
        <v>45620</v>
      </c>
    </row>
    <row r="907" spans="1:14" s="5" customFormat="1" outlineLevel="2">
      <c r="A907" s="39" t="s">
        <v>270</v>
      </c>
      <c r="B907" s="40" t="s">
        <v>388</v>
      </c>
      <c r="C907" s="41" t="s">
        <v>322</v>
      </c>
      <c r="D907" s="40" t="s">
        <v>321</v>
      </c>
      <c r="E907" s="24">
        <v>3202500</v>
      </c>
      <c r="F907" s="39">
        <v>44501</v>
      </c>
      <c r="G907" s="24">
        <v>3202500</v>
      </c>
      <c r="H907" s="23">
        <v>5.0000000000000001E-3</v>
      </c>
      <c r="I907" s="39">
        <v>44501</v>
      </c>
      <c r="J907" s="39">
        <v>44530</v>
      </c>
      <c r="K907" s="24">
        <v>30</v>
      </c>
      <c r="L907" s="24">
        <v>1316</v>
      </c>
      <c r="M907" s="24">
        <v>3202500</v>
      </c>
      <c r="N907" s="39">
        <v>46326</v>
      </c>
    </row>
    <row r="908" spans="1:14" s="5" customFormat="1" outlineLevel="2">
      <c r="A908" s="39" t="s">
        <v>270</v>
      </c>
      <c r="B908" s="40" t="s">
        <v>387</v>
      </c>
      <c r="C908" s="41" t="s">
        <v>322</v>
      </c>
      <c r="D908" s="40" t="s">
        <v>321</v>
      </c>
      <c r="E908" s="24">
        <v>3202500</v>
      </c>
      <c r="F908" s="39">
        <v>44530</v>
      </c>
      <c r="G908" s="24">
        <v>3202500</v>
      </c>
      <c r="H908" s="23">
        <v>5.0000000000000001E-3</v>
      </c>
      <c r="I908" s="39">
        <v>44530</v>
      </c>
      <c r="J908" s="39">
        <v>44530</v>
      </c>
      <c r="K908" s="24">
        <v>1</v>
      </c>
      <c r="L908" s="24">
        <v>44</v>
      </c>
      <c r="M908" s="24">
        <v>3202500</v>
      </c>
      <c r="N908" s="39">
        <v>46355</v>
      </c>
    </row>
    <row r="909" spans="1:14" s="5" customFormat="1" outlineLevel="2">
      <c r="A909" s="39" t="s">
        <v>270</v>
      </c>
      <c r="B909" s="40" t="s">
        <v>386</v>
      </c>
      <c r="C909" s="41" t="s">
        <v>445</v>
      </c>
      <c r="D909" s="40" t="s">
        <v>444</v>
      </c>
      <c r="E909" s="24">
        <v>581700000</v>
      </c>
      <c r="F909" s="39">
        <v>44508</v>
      </c>
      <c r="G909" s="24">
        <v>581700000</v>
      </c>
      <c r="H909" s="23">
        <v>5.0000000000000001E-3</v>
      </c>
      <c r="I909" s="39">
        <v>44508</v>
      </c>
      <c r="J909" s="39">
        <v>44530</v>
      </c>
      <c r="K909" s="24">
        <v>23</v>
      </c>
      <c r="L909" s="24">
        <v>183275</v>
      </c>
      <c r="M909" s="24">
        <v>581700000</v>
      </c>
      <c r="N909" s="39">
        <v>45603</v>
      </c>
    </row>
    <row r="910" spans="1:14" s="5" customFormat="1" outlineLevel="2">
      <c r="A910" s="39" t="s">
        <v>270</v>
      </c>
      <c r="B910" s="40" t="s">
        <v>385</v>
      </c>
      <c r="C910" s="41" t="s">
        <v>274</v>
      </c>
      <c r="D910" s="40" t="s">
        <v>275</v>
      </c>
      <c r="E910" s="24">
        <v>1207216</v>
      </c>
      <c r="F910" s="39">
        <v>44510</v>
      </c>
      <c r="G910" s="24">
        <v>1207216</v>
      </c>
      <c r="H910" s="23">
        <v>5.0000000000000001E-3</v>
      </c>
      <c r="I910" s="39">
        <v>44510</v>
      </c>
      <c r="J910" s="39">
        <v>44530</v>
      </c>
      <c r="K910" s="24">
        <v>21</v>
      </c>
      <c r="L910" s="24">
        <v>347</v>
      </c>
      <c r="M910" s="24">
        <v>1207216</v>
      </c>
      <c r="N910" s="39">
        <v>46335</v>
      </c>
    </row>
    <row r="911" spans="1:14" s="5" customFormat="1" outlineLevel="2">
      <c r="A911" s="39" t="s">
        <v>270</v>
      </c>
      <c r="B911" s="40" t="s">
        <v>384</v>
      </c>
      <c r="C911" s="41" t="s">
        <v>274</v>
      </c>
      <c r="D911" s="40" t="s">
        <v>275</v>
      </c>
      <c r="E911" s="24">
        <v>1305264</v>
      </c>
      <c r="F911" s="39">
        <v>44510</v>
      </c>
      <c r="G911" s="24">
        <v>1305264</v>
      </c>
      <c r="H911" s="23">
        <v>5.0000000000000001E-3</v>
      </c>
      <c r="I911" s="39">
        <v>44510</v>
      </c>
      <c r="J911" s="39">
        <v>44530</v>
      </c>
      <c r="K911" s="24">
        <v>21</v>
      </c>
      <c r="L911" s="24">
        <v>375</v>
      </c>
      <c r="M911" s="24">
        <v>1305264</v>
      </c>
      <c r="N911" s="39">
        <v>46335</v>
      </c>
    </row>
    <row r="912" spans="1:14" s="5" customFormat="1" outlineLevel="2">
      <c r="A912" s="39" t="s">
        <v>270</v>
      </c>
      <c r="B912" s="40" t="s">
        <v>383</v>
      </c>
      <c r="C912" s="41" t="s">
        <v>274</v>
      </c>
      <c r="D912" s="40" t="s">
        <v>275</v>
      </c>
      <c r="E912" s="24">
        <v>6913320</v>
      </c>
      <c r="F912" s="39">
        <v>44510</v>
      </c>
      <c r="G912" s="24">
        <v>6913320</v>
      </c>
      <c r="H912" s="23">
        <v>5.0000000000000001E-3</v>
      </c>
      <c r="I912" s="39">
        <v>44510</v>
      </c>
      <c r="J912" s="39">
        <v>44530</v>
      </c>
      <c r="K912" s="24">
        <v>21</v>
      </c>
      <c r="L912" s="24">
        <v>1989</v>
      </c>
      <c r="M912" s="24">
        <v>6913320</v>
      </c>
      <c r="N912" s="39">
        <v>46335</v>
      </c>
    </row>
    <row r="913" spans="1:14" s="5" customFormat="1" outlineLevel="2">
      <c r="A913" s="39" t="s">
        <v>270</v>
      </c>
      <c r="B913" s="40" t="s">
        <v>33</v>
      </c>
      <c r="C913" s="41" t="s">
        <v>274</v>
      </c>
      <c r="D913" s="40" t="s">
        <v>275</v>
      </c>
      <c r="E913" s="24">
        <v>13007640</v>
      </c>
      <c r="F913" s="39">
        <v>43929</v>
      </c>
      <c r="G913" s="24">
        <v>13007640</v>
      </c>
      <c r="H913" s="23">
        <v>5.0000000000000001E-3</v>
      </c>
      <c r="I913" s="39">
        <v>44501</v>
      </c>
      <c r="J913" s="39">
        <v>44530</v>
      </c>
      <c r="K913" s="24">
        <v>30</v>
      </c>
      <c r="L913" s="24">
        <v>5346</v>
      </c>
      <c r="M913" s="24">
        <v>13007640</v>
      </c>
      <c r="N913" s="39">
        <v>45754</v>
      </c>
    </row>
    <row r="914" spans="1:14" s="5" customFormat="1" outlineLevel="2">
      <c r="A914" s="39" t="s">
        <v>270</v>
      </c>
      <c r="B914" s="40" t="s">
        <v>382</v>
      </c>
      <c r="C914" s="41" t="s">
        <v>274</v>
      </c>
      <c r="D914" s="40" t="s">
        <v>275</v>
      </c>
      <c r="E914" s="24">
        <v>2918400</v>
      </c>
      <c r="F914" s="39">
        <v>44510</v>
      </c>
      <c r="G914" s="24">
        <v>2918400</v>
      </c>
      <c r="H914" s="23">
        <v>5.0000000000000001E-3</v>
      </c>
      <c r="I914" s="39">
        <v>44510</v>
      </c>
      <c r="J914" s="39">
        <v>44530</v>
      </c>
      <c r="K914" s="24">
        <v>21</v>
      </c>
      <c r="L914" s="24">
        <v>840</v>
      </c>
      <c r="M914" s="24">
        <v>2918400</v>
      </c>
      <c r="N914" s="39">
        <v>46335</v>
      </c>
    </row>
    <row r="915" spans="1:14" s="5" customFormat="1" outlineLevel="2">
      <c r="A915" s="39" t="s">
        <v>270</v>
      </c>
      <c r="B915" s="40" t="s">
        <v>381</v>
      </c>
      <c r="C915" s="41" t="s">
        <v>143</v>
      </c>
      <c r="D915" s="40" t="s">
        <v>144</v>
      </c>
      <c r="E915" s="24">
        <v>1200000</v>
      </c>
      <c r="F915" s="39">
        <v>44501</v>
      </c>
      <c r="G915" s="24">
        <v>1200000</v>
      </c>
      <c r="H915" s="23">
        <v>5.0000000000000001E-3</v>
      </c>
      <c r="I915" s="39">
        <v>44501</v>
      </c>
      <c r="J915" s="39">
        <v>44530</v>
      </c>
      <c r="K915" s="24">
        <v>30</v>
      </c>
      <c r="L915" s="24">
        <v>493</v>
      </c>
      <c r="M915" s="24">
        <v>1200000</v>
      </c>
      <c r="N915" s="39">
        <v>46326</v>
      </c>
    </row>
    <row r="916" spans="1:14" s="5" customFormat="1" outlineLevel="2">
      <c r="A916" s="39" t="s">
        <v>270</v>
      </c>
      <c r="B916" s="40" t="s">
        <v>380</v>
      </c>
      <c r="C916" s="41" t="s">
        <v>143</v>
      </c>
      <c r="D916" s="40" t="s">
        <v>144</v>
      </c>
      <c r="E916" s="24">
        <v>6780000</v>
      </c>
      <c r="F916" s="39">
        <v>44522</v>
      </c>
      <c r="G916" s="24">
        <v>6780000</v>
      </c>
      <c r="H916" s="23">
        <v>5.0000000000000001E-3</v>
      </c>
      <c r="I916" s="39">
        <v>44522</v>
      </c>
      <c r="J916" s="39">
        <v>44530</v>
      </c>
      <c r="K916" s="24">
        <v>9</v>
      </c>
      <c r="L916" s="24">
        <v>836</v>
      </c>
      <c r="M916" s="24">
        <v>6780000</v>
      </c>
      <c r="N916" s="39">
        <v>46347</v>
      </c>
    </row>
    <row r="917" spans="1:14" s="5" customFormat="1" outlineLevel="2">
      <c r="A917" s="39" t="s">
        <v>270</v>
      </c>
      <c r="B917" s="40" t="s">
        <v>379</v>
      </c>
      <c r="C917" s="41" t="s">
        <v>143</v>
      </c>
      <c r="D917" s="40" t="s">
        <v>144</v>
      </c>
      <c r="E917" s="24">
        <v>810000</v>
      </c>
      <c r="F917" s="39">
        <v>44530</v>
      </c>
      <c r="G917" s="24">
        <v>810000</v>
      </c>
      <c r="H917" s="23">
        <v>5.0000000000000001E-3</v>
      </c>
      <c r="I917" s="39">
        <v>44530</v>
      </c>
      <c r="J917" s="39">
        <v>44530</v>
      </c>
      <c r="K917" s="24">
        <v>1</v>
      </c>
      <c r="L917" s="24">
        <v>11</v>
      </c>
      <c r="M917" s="24">
        <v>810000</v>
      </c>
      <c r="N917" s="39">
        <v>46355</v>
      </c>
    </row>
    <row r="918" spans="1:14" s="5" customFormat="1" outlineLevel="2">
      <c r="A918" s="39" t="s">
        <v>270</v>
      </c>
      <c r="B918" s="40" t="s">
        <v>378</v>
      </c>
      <c r="C918" s="41" t="s">
        <v>273</v>
      </c>
      <c r="D918" s="40" t="s">
        <v>272</v>
      </c>
      <c r="E918" s="24">
        <v>8200000</v>
      </c>
      <c r="F918" s="39">
        <v>44505</v>
      </c>
      <c r="G918" s="24">
        <v>8200000</v>
      </c>
      <c r="H918" s="23">
        <v>5.0000000000000001E-3</v>
      </c>
      <c r="I918" s="39">
        <v>44505</v>
      </c>
      <c r="J918" s="39">
        <v>44530</v>
      </c>
      <c r="K918" s="24">
        <v>26</v>
      </c>
      <c r="L918" s="24">
        <v>2921</v>
      </c>
      <c r="M918" s="24">
        <v>8200000</v>
      </c>
      <c r="N918" s="39">
        <v>46330</v>
      </c>
    </row>
    <row r="919" spans="1:14" s="5" customFormat="1" outlineLevel="2">
      <c r="A919" s="39" t="s">
        <v>270</v>
      </c>
      <c r="B919" s="40" t="s">
        <v>377</v>
      </c>
      <c r="C919" s="41" t="s">
        <v>273</v>
      </c>
      <c r="D919" s="40" t="s">
        <v>272</v>
      </c>
      <c r="E919" s="24">
        <v>15200000</v>
      </c>
      <c r="F919" s="39">
        <v>44505</v>
      </c>
      <c r="G919" s="24">
        <v>15200000</v>
      </c>
      <c r="H919" s="23">
        <v>5.0000000000000001E-3</v>
      </c>
      <c r="I919" s="39">
        <v>44505</v>
      </c>
      <c r="J919" s="39">
        <v>44530</v>
      </c>
      <c r="K919" s="24">
        <v>26</v>
      </c>
      <c r="L919" s="24">
        <v>5414</v>
      </c>
      <c r="M919" s="24">
        <v>15200000</v>
      </c>
      <c r="N919" s="39">
        <v>46330</v>
      </c>
    </row>
    <row r="920" spans="1:14" s="5" customFormat="1" outlineLevel="2">
      <c r="A920" s="39" t="s">
        <v>270</v>
      </c>
      <c r="B920" s="40" t="s">
        <v>376</v>
      </c>
      <c r="C920" s="41" t="s">
        <v>273</v>
      </c>
      <c r="D920" s="40" t="s">
        <v>272</v>
      </c>
      <c r="E920" s="24">
        <v>5800000</v>
      </c>
      <c r="F920" s="39">
        <v>44505</v>
      </c>
      <c r="G920" s="24">
        <v>5800000</v>
      </c>
      <c r="H920" s="23">
        <v>5.0000000000000001E-3</v>
      </c>
      <c r="I920" s="39">
        <v>44505</v>
      </c>
      <c r="J920" s="39">
        <v>44530</v>
      </c>
      <c r="K920" s="24">
        <v>26</v>
      </c>
      <c r="L920" s="24">
        <v>2066</v>
      </c>
      <c r="M920" s="24">
        <v>5800000</v>
      </c>
      <c r="N920" s="39">
        <v>46330</v>
      </c>
    </row>
    <row r="921" spans="1:14" s="5" customFormat="1" outlineLevel="2">
      <c r="A921" s="39" t="s">
        <v>270</v>
      </c>
      <c r="B921" s="40" t="s">
        <v>34</v>
      </c>
      <c r="C921" s="41" t="s">
        <v>276</v>
      </c>
      <c r="D921" s="40" t="s">
        <v>277</v>
      </c>
      <c r="E921" s="24">
        <v>61668037</v>
      </c>
      <c r="F921" s="39">
        <v>43949</v>
      </c>
      <c r="G921" s="24">
        <v>61668037</v>
      </c>
      <c r="H921" s="23">
        <v>5.0000000000000001E-3</v>
      </c>
      <c r="I921" s="39">
        <v>44501</v>
      </c>
      <c r="J921" s="39">
        <v>44530</v>
      </c>
      <c r="K921" s="24">
        <v>30</v>
      </c>
      <c r="L921" s="24">
        <v>25343</v>
      </c>
      <c r="M921" s="24">
        <v>61668037</v>
      </c>
      <c r="N921" s="39">
        <v>45774</v>
      </c>
    </row>
    <row r="922" spans="1:14" s="5" customFormat="1" outlineLevel="2">
      <c r="A922" s="39" t="s">
        <v>270</v>
      </c>
      <c r="B922" s="40" t="s">
        <v>35</v>
      </c>
      <c r="C922" s="41" t="s">
        <v>274</v>
      </c>
      <c r="D922" s="40" t="s">
        <v>275</v>
      </c>
      <c r="E922" s="24">
        <v>13007640</v>
      </c>
      <c r="F922" s="39">
        <v>43964</v>
      </c>
      <c r="G922" s="24">
        <v>13007640</v>
      </c>
      <c r="H922" s="23">
        <v>5.0000000000000001E-3</v>
      </c>
      <c r="I922" s="39">
        <v>44501</v>
      </c>
      <c r="J922" s="39">
        <v>44530</v>
      </c>
      <c r="K922" s="24">
        <v>30</v>
      </c>
      <c r="L922" s="24">
        <v>5346</v>
      </c>
      <c r="M922" s="24">
        <v>13007640</v>
      </c>
      <c r="N922" s="39">
        <v>45789</v>
      </c>
    </row>
    <row r="923" spans="1:14" s="5" customFormat="1" outlineLevel="2">
      <c r="A923" s="39" t="s">
        <v>270</v>
      </c>
      <c r="B923" s="40" t="s">
        <v>36</v>
      </c>
      <c r="C923" s="41" t="s">
        <v>274</v>
      </c>
      <c r="D923" s="40" t="s">
        <v>275</v>
      </c>
      <c r="E923" s="24">
        <v>6361320</v>
      </c>
      <c r="F923" s="39">
        <v>43964</v>
      </c>
      <c r="G923" s="24">
        <v>6361320</v>
      </c>
      <c r="H923" s="23">
        <v>5.0000000000000001E-3</v>
      </c>
      <c r="I923" s="39">
        <v>44501</v>
      </c>
      <c r="J923" s="39">
        <v>44530</v>
      </c>
      <c r="K923" s="24">
        <v>30</v>
      </c>
      <c r="L923" s="24">
        <v>2614</v>
      </c>
      <c r="M923" s="24">
        <v>6361320</v>
      </c>
      <c r="N923" s="39">
        <v>45789</v>
      </c>
    </row>
    <row r="924" spans="1:14" s="5" customFormat="1" outlineLevel="2">
      <c r="A924" s="39" t="s">
        <v>270</v>
      </c>
      <c r="B924" s="40" t="s">
        <v>39</v>
      </c>
      <c r="C924" s="41" t="s">
        <v>274</v>
      </c>
      <c r="D924" s="40" t="s">
        <v>275</v>
      </c>
      <c r="E924" s="24">
        <v>5452560</v>
      </c>
      <c r="F924" s="39">
        <v>43810</v>
      </c>
      <c r="G924" s="24">
        <v>5452560</v>
      </c>
      <c r="H924" s="23">
        <v>5.0000000000000001E-3</v>
      </c>
      <c r="I924" s="39">
        <v>44501</v>
      </c>
      <c r="J924" s="39">
        <v>44530</v>
      </c>
      <c r="K924" s="24">
        <v>30</v>
      </c>
      <c r="L924" s="24">
        <v>2241</v>
      </c>
      <c r="M924" s="24">
        <v>5452560</v>
      </c>
      <c r="N924" s="39">
        <v>45636</v>
      </c>
    </row>
    <row r="925" spans="1:14" s="5" customFormat="1" outlineLevel="2">
      <c r="A925" s="39" t="s">
        <v>270</v>
      </c>
      <c r="B925" s="40" t="s">
        <v>40</v>
      </c>
      <c r="C925" s="41" t="s">
        <v>273</v>
      </c>
      <c r="D925" s="40" t="s">
        <v>272</v>
      </c>
      <c r="E925" s="24">
        <v>69800000</v>
      </c>
      <c r="F925" s="39">
        <v>43956</v>
      </c>
      <c r="G925" s="24">
        <v>69800000</v>
      </c>
      <c r="H925" s="23">
        <v>5.0000000000000001E-3</v>
      </c>
      <c r="I925" s="39">
        <v>44501</v>
      </c>
      <c r="J925" s="39">
        <v>44530</v>
      </c>
      <c r="K925" s="24">
        <v>30</v>
      </c>
      <c r="L925" s="24">
        <v>28685</v>
      </c>
      <c r="M925" s="24">
        <v>69800000</v>
      </c>
      <c r="N925" s="39">
        <v>45781</v>
      </c>
    </row>
    <row r="926" spans="1:14" s="5" customFormat="1" outlineLevel="2">
      <c r="A926" s="39" t="s">
        <v>270</v>
      </c>
      <c r="B926" s="40" t="s">
        <v>41</v>
      </c>
      <c r="C926" s="41" t="s">
        <v>273</v>
      </c>
      <c r="D926" s="40" t="s">
        <v>272</v>
      </c>
      <c r="E926" s="24">
        <v>1500000</v>
      </c>
      <c r="F926" s="39">
        <v>43956</v>
      </c>
      <c r="G926" s="24">
        <v>1500000</v>
      </c>
      <c r="H926" s="23">
        <v>5.0000000000000001E-3</v>
      </c>
      <c r="I926" s="39">
        <v>44501</v>
      </c>
      <c r="J926" s="39">
        <v>44530</v>
      </c>
      <c r="K926" s="24">
        <v>30</v>
      </c>
      <c r="L926" s="24">
        <v>616</v>
      </c>
      <c r="M926" s="24">
        <v>1500000</v>
      </c>
      <c r="N926" s="39">
        <v>45781</v>
      </c>
    </row>
    <row r="927" spans="1:14" s="5" customFormat="1" outlineLevel="2">
      <c r="A927" s="39" t="s">
        <v>270</v>
      </c>
      <c r="B927" s="40" t="s">
        <v>42</v>
      </c>
      <c r="C927" s="41" t="s">
        <v>30</v>
      </c>
      <c r="D927" s="40" t="s">
        <v>31</v>
      </c>
      <c r="E927" s="24">
        <v>50000000</v>
      </c>
      <c r="F927" s="39">
        <v>43976</v>
      </c>
      <c r="G927" s="24">
        <v>50000000</v>
      </c>
      <c r="H927" s="23">
        <v>5.0000000000000001E-3</v>
      </c>
      <c r="I927" s="39">
        <v>44501</v>
      </c>
      <c r="J927" s="39">
        <v>44530</v>
      </c>
      <c r="K927" s="24">
        <v>30</v>
      </c>
      <c r="L927" s="24">
        <v>20548</v>
      </c>
      <c r="M927" s="24">
        <v>50000000</v>
      </c>
      <c r="N927" s="39">
        <v>45801</v>
      </c>
    </row>
    <row r="928" spans="1:14" s="5" customFormat="1" outlineLevel="2">
      <c r="A928" s="39" t="s">
        <v>270</v>
      </c>
      <c r="B928" s="40" t="s">
        <v>43</v>
      </c>
      <c r="C928" s="41" t="s">
        <v>274</v>
      </c>
      <c r="D928" s="40" t="s">
        <v>275</v>
      </c>
      <c r="E928" s="24">
        <v>6657720</v>
      </c>
      <c r="F928" s="39">
        <v>43992</v>
      </c>
      <c r="G928" s="24">
        <v>6657720</v>
      </c>
      <c r="H928" s="23">
        <v>5.0000000000000001E-3</v>
      </c>
      <c r="I928" s="39">
        <v>44501</v>
      </c>
      <c r="J928" s="39">
        <v>44530</v>
      </c>
      <c r="K928" s="24">
        <v>30</v>
      </c>
      <c r="L928" s="24">
        <v>2736</v>
      </c>
      <c r="M928" s="24">
        <v>6657720</v>
      </c>
      <c r="N928" s="39">
        <v>45817</v>
      </c>
    </row>
    <row r="929" spans="1:14" s="5" customFormat="1" outlineLevel="2">
      <c r="A929" s="39" t="s">
        <v>270</v>
      </c>
      <c r="B929" s="40" t="s">
        <v>44</v>
      </c>
      <c r="C929" s="41" t="s">
        <v>274</v>
      </c>
      <c r="D929" s="40" t="s">
        <v>275</v>
      </c>
      <c r="E929" s="24">
        <v>6361320</v>
      </c>
      <c r="F929" s="39">
        <v>43992</v>
      </c>
      <c r="G929" s="24">
        <v>6361320</v>
      </c>
      <c r="H929" s="23">
        <v>5.0000000000000001E-3</v>
      </c>
      <c r="I929" s="39">
        <v>44501</v>
      </c>
      <c r="J929" s="39">
        <v>44530</v>
      </c>
      <c r="K929" s="24">
        <v>30</v>
      </c>
      <c r="L929" s="24">
        <v>2614</v>
      </c>
      <c r="M929" s="24">
        <v>6361320</v>
      </c>
      <c r="N929" s="39">
        <v>45817</v>
      </c>
    </row>
    <row r="930" spans="1:14" s="5" customFormat="1" outlineLevel="2">
      <c r="A930" s="39" t="s">
        <v>270</v>
      </c>
      <c r="B930" s="40" t="s">
        <v>47</v>
      </c>
      <c r="C930" s="41" t="s">
        <v>273</v>
      </c>
      <c r="D930" s="40" t="s">
        <v>272</v>
      </c>
      <c r="E930" s="24">
        <v>41200000</v>
      </c>
      <c r="F930" s="39">
        <v>43987</v>
      </c>
      <c r="G930" s="24">
        <v>41200000</v>
      </c>
      <c r="H930" s="23">
        <v>5.0000000000000001E-3</v>
      </c>
      <c r="I930" s="39">
        <v>44501</v>
      </c>
      <c r="J930" s="39">
        <v>44530</v>
      </c>
      <c r="K930" s="24">
        <v>30</v>
      </c>
      <c r="L930" s="24">
        <v>16932</v>
      </c>
      <c r="M930" s="24">
        <v>41200000</v>
      </c>
      <c r="N930" s="39">
        <v>45812</v>
      </c>
    </row>
    <row r="931" spans="1:14" s="5" customFormat="1" outlineLevel="2">
      <c r="A931" s="39" t="s">
        <v>270</v>
      </c>
      <c r="B931" s="40" t="s">
        <v>50</v>
      </c>
      <c r="C931" s="41" t="s">
        <v>274</v>
      </c>
      <c r="D931" s="40" t="s">
        <v>275</v>
      </c>
      <c r="E931" s="24">
        <v>6657720</v>
      </c>
      <c r="F931" s="39">
        <v>44020</v>
      </c>
      <c r="G931" s="24">
        <v>6657720</v>
      </c>
      <c r="H931" s="23">
        <v>5.0000000000000001E-3</v>
      </c>
      <c r="I931" s="39">
        <v>44501</v>
      </c>
      <c r="J931" s="39">
        <v>44530</v>
      </c>
      <c r="K931" s="24">
        <v>30</v>
      </c>
      <c r="L931" s="24">
        <v>2736</v>
      </c>
      <c r="M931" s="24">
        <v>6657720</v>
      </c>
      <c r="N931" s="39">
        <v>45845</v>
      </c>
    </row>
    <row r="932" spans="1:14" s="5" customFormat="1" outlineLevel="2">
      <c r="A932" s="39" t="s">
        <v>270</v>
      </c>
      <c r="B932" s="40" t="s">
        <v>51</v>
      </c>
      <c r="C932" s="41" t="s">
        <v>274</v>
      </c>
      <c r="D932" s="40" t="s">
        <v>275</v>
      </c>
      <c r="E932" s="24">
        <v>6657720</v>
      </c>
      <c r="F932" s="39">
        <v>44020</v>
      </c>
      <c r="G932" s="24">
        <v>6657720</v>
      </c>
      <c r="H932" s="23">
        <v>5.0000000000000001E-3</v>
      </c>
      <c r="I932" s="39">
        <v>44501</v>
      </c>
      <c r="J932" s="39">
        <v>44530</v>
      </c>
      <c r="K932" s="24">
        <v>30</v>
      </c>
      <c r="L932" s="24">
        <v>2736</v>
      </c>
      <c r="M932" s="24">
        <v>6657720</v>
      </c>
      <c r="N932" s="39">
        <v>45845</v>
      </c>
    </row>
    <row r="933" spans="1:14" s="5" customFormat="1" outlineLevel="2">
      <c r="A933" s="39" t="s">
        <v>270</v>
      </c>
      <c r="B933" s="40" t="s">
        <v>52</v>
      </c>
      <c r="C933" s="41" t="s">
        <v>273</v>
      </c>
      <c r="D933" s="40" t="s">
        <v>272</v>
      </c>
      <c r="E933" s="24">
        <v>11800000</v>
      </c>
      <c r="F933" s="39">
        <v>44015</v>
      </c>
      <c r="G933" s="24">
        <v>11800000</v>
      </c>
      <c r="H933" s="23">
        <v>5.0000000000000001E-3</v>
      </c>
      <c r="I933" s="39">
        <v>44501</v>
      </c>
      <c r="J933" s="39">
        <v>44530</v>
      </c>
      <c r="K933" s="24">
        <v>30</v>
      </c>
      <c r="L933" s="24">
        <v>4849</v>
      </c>
      <c r="M933" s="24">
        <v>11800000</v>
      </c>
      <c r="N933" s="39">
        <v>45840</v>
      </c>
    </row>
    <row r="934" spans="1:14" s="5" customFormat="1" outlineLevel="2">
      <c r="A934" s="39" t="s">
        <v>270</v>
      </c>
      <c r="B934" s="40" t="s">
        <v>53</v>
      </c>
      <c r="C934" s="41" t="s">
        <v>273</v>
      </c>
      <c r="D934" s="40" t="s">
        <v>272</v>
      </c>
      <c r="E934" s="24">
        <v>2600000</v>
      </c>
      <c r="F934" s="39">
        <v>44015</v>
      </c>
      <c r="G934" s="24">
        <v>2600000</v>
      </c>
      <c r="H934" s="23">
        <v>5.0000000000000001E-3</v>
      </c>
      <c r="I934" s="39">
        <v>44501</v>
      </c>
      <c r="J934" s="39">
        <v>44530</v>
      </c>
      <c r="K934" s="24">
        <v>30</v>
      </c>
      <c r="L934" s="24">
        <v>1068</v>
      </c>
      <c r="M934" s="24">
        <v>2600000</v>
      </c>
      <c r="N934" s="39">
        <v>45840</v>
      </c>
    </row>
    <row r="935" spans="1:14" s="5" customFormat="1" outlineLevel="2">
      <c r="A935" s="39" t="s">
        <v>270</v>
      </c>
      <c r="B935" s="40" t="s">
        <v>54</v>
      </c>
      <c r="C935" s="41" t="s">
        <v>278</v>
      </c>
      <c r="D935" s="40" t="s">
        <v>279</v>
      </c>
      <c r="E935" s="24">
        <v>220000000</v>
      </c>
      <c r="F935" s="39">
        <v>43815</v>
      </c>
      <c r="G935" s="24">
        <v>220000000</v>
      </c>
      <c r="H935" s="23">
        <v>5.0000000000000001E-3</v>
      </c>
      <c r="I935" s="39">
        <v>44501</v>
      </c>
      <c r="J935" s="39">
        <v>44530</v>
      </c>
      <c r="K935" s="24">
        <v>30</v>
      </c>
      <c r="L935" s="24">
        <v>90411</v>
      </c>
      <c r="M935" s="24">
        <v>220000000</v>
      </c>
      <c r="N935" s="39">
        <v>45641</v>
      </c>
    </row>
    <row r="936" spans="1:14" s="5" customFormat="1" outlineLevel="2">
      <c r="A936" s="39" t="s">
        <v>270</v>
      </c>
      <c r="B936" s="40" t="s">
        <v>57</v>
      </c>
      <c r="C936" s="41" t="s">
        <v>143</v>
      </c>
      <c r="D936" s="40" t="s">
        <v>144</v>
      </c>
      <c r="E936" s="24">
        <v>10400000</v>
      </c>
      <c r="F936" s="39">
        <v>44033</v>
      </c>
      <c r="G936" s="24">
        <v>10400000</v>
      </c>
      <c r="H936" s="23">
        <v>5.0000000000000001E-3</v>
      </c>
      <c r="I936" s="39">
        <v>44501</v>
      </c>
      <c r="J936" s="39">
        <v>44530</v>
      </c>
      <c r="K936" s="24">
        <v>30</v>
      </c>
      <c r="L936" s="24">
        <v>4274</v>
      </c>
      <c r="M936" s="24">
        <v>10400000</v>
      </c>
      <c r="N936" s="39">
        <v>45858</v>
      </c>
    </row>
    <row r="937" spans="1:14" s="5" customFormat="1" outlineLevel="2">
      <c r="A937" s="39" t="s">
        <v>270</v>
      </c>
      <c r="B937" s="40" t="s">
        <v>58</v>
      </c>
      <c r="C937" s="41" t="s">
        <v>97</v>
      </c>
      <c r="D937" s="40" t="s">
        <v>98</v>
      </c>
      <c r="E937" s="24">
        <v>28200000</v>
      </c>
      <c r="F937" s="39">
        <v>44027</v>
      </c>
      <c r="G937" s="24">
        <v>28200000</v>
      </c>
      <c r="H937" s="23">
        <v>5.0000000000000001E-3</v>
      </c>
      <c r="I937" s="39">
        <v>44501</v>
      </c>
      <c r="J937" s="39">
        <v>44530</v>
      </c>
      <c r="K937" s="24">
        <v>30</v>
      </c>
      <c r="L937" s="24">
        <v>11589</v>
      </c>
      <c r="M937" s="24">
        <v>28200000</v>
      </c>
      <c r="N937" s="39">
        <v>45852</v>
      </c>
    </row>
    <row r="938" spans="1:14" s="5" customFormat="1" outlineLevel="2">
      <c r="A938" s="39" t="s">
        <v>270</v>
      </c>
      <c r="B938" s="40" t="s">
        <v>99</v>
      </c>
      <c r="C938" s="41" t="s">
        <v>274</v>
      </c>
      <c r="D938" s="40" t="s">
        <v>275</v>
      </c>
      <c r="E938" s="24">
        <v>6657720</v>
      </c>
      <c r="F938" s="39">
        <v>44055</v>
      </c>
      <c r="G938" s="24">
        <v>6657720</v>
      </c>
      <c r="H938" s="23">
        <v>5.0000000000000001E-3</v>
      </c>
      <c r="I938" s="39">
        <v>44501</v>
      </c>
      <c r="J938" s="39">
        <v>44530</v>
      </c>
      <c r="K938" s="24">
        <v>30</v>
      </c>
      <c r="L938" s="24">
        <v>2736</v>
      </c>
      <c r="M938" s="24">
        <v>6657720</v>
      </c>
      <c r="N938" s="39">
        <v>45880</v>
      </c>
    </row>
    <row r="939" spans="1:14" s="5" customFormat="1" outlineLevel="2">
      <c r="A939" s="39" t="s">
        <v>270</v>
      </c>
      <c r="B939" s="40" t="s">
        <v>100</v>
      </c>
      <c r="C939" s="41" t="s">
        <v>274</v>
      </c>
      <c r="D939" s="40" t="s">
        <v>275</v>
      </c>
      <c r="E939" s="24">
        <v>6714720</v>
      </c>
      <c r="F939" s="39">
        <v>44055</v>
      </c>
      <c r="G939" s="24">
        <v>6714720</v>
      </c>
      <c r="H939" s="23">
        <v>5.0000000000000001E-3</v>
      </c>
      <c r="I939" s="39">
        <v>44501</v>
      </c>
      <c r="J939" s="39">
        <v>44530</v>
      </c>
      <c r="K939" s="24">
        <v>30</v>
      </c>
      <c r="L939" s="24">
        <v>2759</v>
      </c>
      <c r="M939" s="24">
        <v>6714720</v>
      </c>
      <c r="N939" s="39">
        <v>45880</v>
      </c>
    </row>
    <row r="940" spans="1:14" s="5" customFormat="1" outlineLevel="2">
      <c r="A940" s="39" t="s">
        <v>270</v>
      </c>
      <c r="B940" s="40" t="s">
        <v>101</v>
      </c>
      <c r="C940" s="41" t="s">
        <v>273</v>
      </c>
      <c r="D940" s="40" t="s">
        <v>272</v>
      </c>
      <c r="E940" s="24">
        <v>47630000</v>
      </c>
      <c r="F940" s="39">
        <v>44048</v>
      </c>
      <c r="G940" s="24">
        <v>47630000</v>
      </c>
      <c r="H940" s="23">
        <v>5.0000000000000001E-3</v>
      </c>
      <c r="I940" s="39">
        <v>44501</v>
      </c>
      <c r="J940" s="39">
        <v>44530</v>
      </c>
      <c r="K940" s="24">
        <v>30</v>
      </c>
      <c r="L940" s="24">
        <v>19574</v>
      </c>
      <c r="M940" s="24">
        <v>47630000</v>
      </c>
      <c r="N940" s="39">
        <v>45873</v>
      </c>
    </row>
    <row r="941" spans="1:14" s="5" customFormat="1" outlineLevel="2">
      <c r="A941" s="39" t="s">
        <v>270</v>
      </c>
      <c r="B941" s="40" t="s">
        <v>102</v>
      </c>
      <c r="C941" s="41" t="s">
        <v>273</v>
      </c>
      <c r="D941" s="40" t="s">
        <v>272</v>
      </c>
      <c r="E941" s="24">
        <v>1970000</v>
      </c>
      <c r="F941" s="39">
        <v>44048</v>
      </c>
      <c r="G941" s="24">
        <v>1970000</v>
      </c>
      <c r="H941" s="23">
        <v>5.0000000000000001E-3</v>
      </c>
      <c r="I941" s="39">
        <v>44501</v>
      </c>
      <c r="J941" s="39">
        <v>44530</v>
      </c>
      <c r="K941" s="24">
        <v>30</v>
      </c>
      <c r="L941" s="24">
        <v>810</v>
      </c>
      <c r="M941" s="24">
        <v>1970000</v>
      </c>
      <c r="N941" s="39">
        <v>45873</v>
      </c>
    </row>
    <row r="942" spans="1:14" s="5" customFormat="1" outlineLevel="2">
      <c r="A942" s="39" t="s">
        <v>270</v>
      </c>
      <c r="B942" s="40" t="s">
        <v>103</v>
      </c>
      <c r="C942" s="41" t="s">
        <v>252</v>
      </c>
      <c r="D942" s="40" t="s">
        <v>253</v>
      </c>
      <c r="E942" s="24">
        <v>27700000</v>
      </c>
      <c r="F942" s="39">
        <v>44071</v>
      </c>
      <c r="G942" s="24">
        <v>27700000</v>
      </c>
      <c r="H942" s="23">
        <v>5.0000000000000001E-3</v>
      </c>
      <c r="I942" s="39">
        <v>44501</v>
      </c>
      <c r="J942" s="39">
        <v>44530</v>
      </c>
      <c r="K942" s="24">
        <v>30</v>
      </c>
      <c r="L942" s="24">
        <v>11384</v>
      </c>
      <c r="M942" s="24">
        <v>27700000</v>
      </c>
      <c r="N942" s="39">
        <v>45896</v>
      </c>
    </row>
    <row r="943" spans="1:14" s="5" customFormat="1" outlineLevel="2">
      <c r="A943" s="39" t="s">
        <v>270</v>
      </c>
      <c r="B943" s="40" t="s">
        <v>104</v>
      </c>
      <c r="C943" s="41" t="s">
        <v>274</v>
      </c>
      <c r="D943" s="40" t="s">
        <v>275</v>
      </c>
      <c r="E943" s="24">
        <v>6714720</v>
      </c>
      <c r="F943" s="39">
        <v>44083</v>
      </c>
      <c r="G943" s="24">
        <v>6714720</v>
      </c>
      <c r="H943" s="23">
        <v>5.0000000000000001E-3</v>
      </c>
      <c r="I943" s="39">
        <v>44501</v>
      </c>
      <c r="J943" s="39">
        <v>44530</v>
      </c>
      <c r="K943" s="24">
        <v>30</v>
      </c>
      <c r="L943" s="24">
        <v>2759</v>
      </c>
      <c r="M943" s="24">
        <v>6714720</v>
      </c>
      <c r="N943" s="39">
        <v>45908</v>
      </c>
    </row>
    <row r="944" spans="1:14" s="5" customFormat="1" outlineLevel="2">
      <c r="A944" s="39" t="s">
        <v>270</v>
      </c>
      <c r="B944" s="40" t="s">
        <v>105</v>
      </c>
      <c r="C944" s="41" t="s">
        <v>274</v>
      </c>
      <c r="D944" s="40" t="s">
        <v>275</v>
      </c>
      <c r="E944" s="24">
        <v>5805960</v>
      </c>
      <c r="F944" s="39">
        <v>44083</v>
      </c>
      <c r="G944" s="24">
        <v>5805960</v>
      </c>
      <c r="H944" s="23">
        <v>5.0000000000000001E-3</v>
      </c>
      <c r="I944" s="39">
        <v>44501</v>
      </c>
      <c r="J944" s="39">
        <v>44530</v>
      </c>
      <c r="K944" s="24">
        <v>30</v>
      </c>
      <c r="L944" s="24">
        <v>2386</v>
      </c>
      <c r="M944" s="24">
        <v>5805960</v>
      </c>
      <c r="N944" s="39">
        <v>45908</v>
      </c>
    </row>
    <row r="945" spans="1:14" s="5" customFormat="1" outlineLevel="2">
      <c r="A945" s="39" t="s">
        <v>270</v>
      </c>
      <c r="B945" s="40" t="s">
        <v>106</v>
      </c>
      <c r="C945" s="41" t="s">
        <v>273</v>
      </c>
      <c r="D945" s="40" t="s">
        <v>272</v>
      </c>
      <c r="E945" s="24">
        <v>19100000</v>
      </c>
      <c r="F945" s="39">
        <v>44078</v>
      </c>
      <c r="G945" s="24">
        <v>19100000</v>
      </c>
      <c r="H945" s="23">
        <v>5.0000000000000001E-3</v>
      </c>
      <c r="I945" s="39">
        <v>44501</v>
      </c>
      <c r="J945" s="39">
        <v>44530</v>
      </c>
      <c r="K945" s="24">
        <v>30</v>
      </c>
      <c r="L945" s="24">
        <v>7849</v>
      </c>
      <c r="M945" s="24">
        <v>19100000</v>
      </c>
      <c r="N945" s="39">
        <v>45903</v>
      </c>
    </row>
    <row r="946" spans="1:14" s="5" customFormat="1" outlineLevel="2">
      <c r="A946" s="39" t="s">
        <v>270</v>
      </c>
      <c r="B946" s="40" t="s">
        <v>59</v>
      </c>
      <c r="C946" s="41" t="s">
        <v>274</v>
      </c>
      <c r="D946" s="40" t="s">
        <v>275</v>
      </c>
      <c r="E946" s="24">
        <v>5452560</v>
      </c>
      <c r="F946" s="39">
        <v>43838</v>
      </c>
      <c r="G946" s="24">
        <v>5452560</v>
      </c>
      <c r="H946" s="23">
        <v>5.0000000000000001E-3</v>
      </c>
      <c r="I946" s="39">
        <v>44501</v>
      </c>
      <c r="J946" s="39">
        <v>44530</v>
      </c>
      <c r="K946" s="24">
        <v>30</v>
      </c>
      <c r="L946" s="24">
        <v>2241</v>
      </c>
      <c r="M946" s="24">
        <v>5452560</v>
      </c>
      <c r="N946" s="39">
        <v>45664</v>
      </c>
    </row>
    <row r="947" spans="1:14" s="5" customFormat="1" outlineLevel="2">
      <c r="A947" s="39" t="s">
        <v>270</v>
      </c>
      <c r="B947" s="40" t="s">
        <v>136</v>
      </c>
      <c r="C947" s="41" t="s">
        <v>30</v>
      </c>
      <c r="D947" s="40" t="s">
        <v>31</v>
      </c>
      <c r="E947" s="24">
        <v>31000000</v>
      </c>
      <c r="F947" s="39">
        <v>44102</v>
      </c>
      <c r="G947" s="24">
        <v>31000000</v>
      </c>
      <c r="H947" s="23">
        <v>5.0000000000000001E-3</v>
      </c>
      <c r="I947" s="39">
        <v>44501</v>
      </c>
      <c r="J947" s="39">
        <v>44530</v>
      </c>
      <c r="K947" s="24">
        <v>30</v>
      </c>
      <c r="L947" s="24">
        <v>12740</v>
      </c>
      <c r="M947" s="24">
        <v>31000000</v>
      </c>
      <c r="N947" s="39">
        <v>45927</v>
      </c>
    </row>
    <row r="948" spans="1:14" s="5" customFormat="1" outlineLevel="2">
      <c r="A948" s="39" t="s">
        <v>270</v>
      </c>
      <c r="B948" s="40" t="s">
        <v>137</v>
      </c>
      <c r="C948" s="41" t="s">
        <v>143</v>
      </c>
      <c r="D948" s="40" t="s">
        <v>144</v>
      </c>
      <c r="E948" s="24">
        <v>10700000</v>
      </c>
      <c r="F948" s="39">
        <v>44104</v>
      </c>
      <c r="G948" s="24">
        <v>10700000</v>
      </c>
      <c r="H948" s="23">
        <v>5.0000000000000001E-3</v>
      </c>
      <c r="I948" s="39">
        <v>44501</v>
      </c>
      <c r="J948" s="39">
        <v>44530</v>
      </c>
      <c r="K948" s="24">
        <v>30</v>
      </c>
      <c r="L948" s="24">
        <v>4397</v>
      </c>
      <c r="M948" s="24">
        <v>10700000</v>
      </c>
      <c r="N948" s="39">
        <v>45929</v>
      </c>
    </row>
    <row r="949" spans="1:14" s="5" customFormat="1" outlineLevel="2">
      <c r="A949" s="39" t="s">
        <v>270</v>
      </c>
      <c r="B949" s="40" t="s">
        <v>138</v>
      </c>
      <c r="C949" s="41" t="s">
        <v>280</v>
      </c>
      <c r="D949" s="40" t="s">
        <v>281</v>
      </c>
      <c r="E949" s="24">
        <v>1000000000</v>
      </c>
      <c r="F949" s="39">
        <v>44102</v>
      </c>
      <c r="G949" s="24">
        <v>1000000000</v>
      </c>
      <c r="H949" s="23">
        <v>5.0000000000000001E-3</v>
      </c>
      <c r="I949" s="39">
        <v>44501</v>
      </c>
      <c r="J949" s="39">
        <v>44530</v>
      </c>
      <c r="K949" s="24">
        <v>30</v>
      </c>
      <c r="L949" s="24">
        <v>410959</v>
      </c>
      <c r="M949" s="24">
        <v>1000000000</v>
      </c>
      <c r="N949" s="39">
        <v>45927</v>
      </c>
    </row>
    <row r="950" spans="1:14" s="5" customFormat="1" outlineLevel="2">
      <c r="A950" s="39" t="s">
        <v>270</v>
      </c>
      <c r="B950" s="40" t="s">
        <v>139</v>
      </c>
      <c r="C950" s="41" t="s">
        <v>274</v>
      </c>
      <c r="D950" s="40" t="s">
        <v>275</v>
      </c>
      <c r="E950" s="24">
        <v>5805960</v>
      </c>
      <c r="F950" s="39">
        <v>44111</v>
      </c>
      <c r="G950" s="24">
        <v>5805960</v>
      </c>
      <c r="H950" s="23">
        <v>5.0000000000000001E-3</v>
      </c>
      <c r="I950" s="39">
        <v>44501</v>
      </c>
      <c r="J950" s="39">
        <v>44530</v>
      </c>
      <c r="K950" s="24">
        <v>30</v>
      </c>
      <c r="L950" s="24">
        <v>2386</v>
      </c>
      <c r="M950" s="24">
        <v>5805960</v>
      </c>
      <c r="N950" s="39">
        <v>45936</v>
      </c>
    </row>
    <row r="951" spans="1:14" s="5" customFormat="1" outlineLevel="2">
      <c r="A951" s="39" t="s">
        <v>270</v>
      </c>
      <c r="B951" s="40" t="s">
        <v>140</v>
      </c>
      <c r="C951" s="41" t="s">
        <v>274</v>
      </c>
      <c r="D951" s="40" t="s">
        <v>275</v>
      </c>
      <c r="E951" s="24">
        <v>5805960</v>
      </c>
      <c r="F951" s="39">
        <v>44111</v>
      </c>
      <c r="G951" s="24">
        <v>5805960</v>
      </c>
      <c r="H951" s="23">
        <v>5.0000000000000001E-3</v>
      </c>
      <c r="I951" s="39">
        <v>44501</v>
      </c>
      <c r="J951" s="39">
        <v>44530</v>
      </c>
      <c r="K951" s="24">
        <v>30</v>
      </c>
      <c r="L951" s="24">
        <v>2386</v>
      </c>
      <c r="M951" s="24">
        <v>5805960</v>
      </c>
      <c r="N951" s="39">
        <v>45936</v>
      </c>
    </row>
    <row r="952" spans="1:14" s="5" customFormat="1" outlineLevel="2">
      <c r="A952" s="39" t="s">
        <v>270</v>
      </c>
      <c r="B952" s="40" t="s">
        <v>169</v>
      </c>
      <c r="C952" s="41" t="s">
        <v>273</v>
      </c>
      <c r="D952" s="40" t="s">
        <v>272</v>
      </c>
      <c r="E952" s="24">
        <v>18400000</v>
      </c>
      <c r="F952" s="39">
        <v>44109</v>
      </c>
      <c r="G952" s="24">
        <v>18400000</v>
      </c>
      <c r="H952" s="23">
        <v>5.0000000000000001E-3</v>
      </c>
      <c r="I952" s="39">
        <v>44501</v>
      </c>
      <c r="J952" s="39">
        <v>44530</v>
      </c>
      <c r="K952" s="24">
        <v>30</v>
      </c>
      <c r="L952" s="24">
        <v>7562</v>
      </c>
      <c r="M952" s="24">
        <v>18400000</v>
      </c>
      <c r="N952" s="39">
        <v>45934</v>
      </c>
    </row>
    <row r="953" spans="1:14" s="5" customFormat="1" outlineLevel="2">
      <c r="A953" s="39" t="s">
        <v>270</v>
      </c>
      <c r="B953" s="40" t="s">
        <v>170</v>
      </c>
      <c r="C953" s="41" t="s">
        <v>273</v>
      </c>
      <c r="D953" s="40" t="s">
        <v>272</v>
      </c>
      <c r="E953" s="24">
        <v>1500000</v>
      </c>
      <c r="F953" s="39">
        <v>44109</v>
      </c>
      <c r="G953" s="24">
        <v>1500000</v>
      </c>
      <c r="H953" s="23">
        <v>5.0000000000000001E-3</v>
      </c>
      <c r="I953" s="39">
        <v>44501</v>
      </c>
      <c r="J953" s="39">
        <v>44530</v>
      </c>
      <c r="K953" s="24">
        <v>30</v>
      </c>
      <c r="L953" s="24">
        <v>616</v>
      </c>
      <c r="M953" s="24">
        <v>1500000</v>
      </c>
      <c r="N953" s="39">
        <v>45934</v>
      </c>
    </row>
    <row r="954" spans="1:14" s="5" customFormat="1" outlineLevel="2">
      <c r="A954" s="39" t="s">
        <v>270</v>
      </c>
      <c r="B954" s="40" t="s">
        <v>171</v>
      </c>
      <c r="C954" s="41" t="s">
        <v>125</v>
      </c>
      <c r="D954" s="40" t="s">
        <v>126</v>
      </c>
      <c r="E954" s="24">
        <v>3480000</v>
      </c>
      <c r="F954" s="39">
        <v>44125</v>
      </c>
      <c r="G954" s="24">
        <v>3480000</v>
      </c>
      <c r="H954" s="23">
        <v>5.0000000000000001E-3</v>
      </c>
      <c r="I954" s="39">
        <v>44501</v>
      </c>
      <c r="J954" s="39">
        <v>44530</v>
      </c>
      <c r="K954" s="24">
        <v>30</v>
      </c>
      <c r="L954" s="24">
        <v>1430</v>
      </c>
      <c r="M954" s="24">
        <v>3480000</v>
      </c>
      <c r="N954" s="39">
        <v>45950</v>
      </c>
    </row>
    <row r="955" spans="1:14" s="5" customFormat="1" outlineLevel="2">
      <c r="A955" s="39" t="s">
        <v>270</v>
      </c>
      <c r="B955" s="40" t="s">
        <v>172</v>
      </c>
      <c r="C955" s="41" t="s">
        <v>276</v>
      </c>
      <c r="D955" s="40" t="s">
        <v>277</v>
      </c>
      <c r="E955" s="24">
        <v>32000000</v>
      </c>
      <c r="F955" s="39">
        <v>44133</v>
      </c>
      <c r="G955" s="24">
        <v>32000000</v>
      </c>
      <c r="H955" s="23">
        <v>5.0000000000000001E-3</v>
      </c>
      <c r="I955" s="39">
        <v>44501</v>
      </c>
      <c r="J955" s="39">
        <v>44530</v>
      </c>
      <c r="K955" s="24">
        <v>30</v>
      </c>
      <c r="L955" s="24">
        <v>13151</v>
      </c>
      <c r="M955" s="24">
        <v>32000000</v>
      </c>
      <c r="N955" s="39">
        <v>45958</v>
      </c>
    </row>
    <row r="956" spans="1:14" s="5" customFormat="1" outlineLevel="2">
      <c r="A956" s="39" t="s">
        <v>270</v>
      </c>
      <c r="B956" s="40" t="s">
        <v>173</v>
      </c>
      <c r="C956" s="41" t="s">
        <v>274</v>
      </c>
      <c r="D956" s="40" t="s">
        <v>275</v>
      </c>
      <c r="E956" s="24">
        <v>5805960</v>
      </c>
      <c r="F956" s="39">
        <v>44146</v>
      </c>
      <c r="G956" s="24">
        <v>5805960</v>
      </c>
      <c r="H956" s="23">
        <v>5.0000000000000001E-3</v>
      </c>
      <c r="I956" s="39">
        <v>44501</v>
      </c>
      <c r="J956" s="39">
        <v>44530</v>
      </c>
      <c r="K956" s="24">
        <v>30</v>
      </c>
      <c r="L956" s="24">
        <v>2386</v>
      </c>
      <c r="M956" s="24">
        <v>5805960</v>
      </c>
      <c r="N956" s="39">
        <v>45971</v>
      </c>
    </row>
    <row r="957" spans="1:14" s="5" customFormat="1" outlineLevel="2">
      <c r="A957" s="39" t="s">
        <v>270</v>
      </c>
      <c r="B957" s="40" t="s">
        <v>62</v>
      </c>
      <c r="C957" s="41" t="s">
        <v>274</v>
      </c>
      <c r="D957" s="40" t="s">
        <v>275</v>
      </c>
      <c r="E957" s="24">
        <v>5452560</v>
      </c>
      <c r="F957" s="39">
        <v>43838</v>
      </c>
      <c r="G957" s="24">
        <v>5452560</v>
      </c>
      <c r="H957" s="23">
        <v>5.0000000000000001E-3</v>
      </c>
      <c r="I957" s="39">
        <v>44501</v>
      </c>
      <c r="J957" s="39">
        <v>44530</v>
      </c>
      <c r="K957" s="24">
        <v>30</v>
      </c>
      <c r="L957" s="24">
        <v>2241</v>
      </c>
      <c r="M957" s="24">
        <v>5452560</v>
      </c>
      <c r="N957" s="39">
        <v>45664</v>
      </c>
    </row>
    <row r="958" spans="1:14" s="5" customFormat="1" outlineLevel="2">
      <c r="A958" s="39" t="s">
        <v>270</v>
      </c>
      <c r="B958" s="40" t="s">
        <v>174</v>
      </c>
      <c r="C958" s="41" t="s">
        <v>274</v>
      </c>
      <c r="D958" s="40" t="s">
        <v>275</v>
      </c>
      <c r="E958" s="24">
        <v>14338200</v>
      </c>
      <c r="F958" s="39">
        <v>44146</v>
      </c>
      <c r="G958" s="24">
        <v>14338200</v>
      </c>
      <c r="H958" s="23">
        <v>5.0000000000000001E-3</v>
      </c>
      <c r="I958" s="39">
        <v>44501</v>
      </c>
      <c r="J958" s="39">
        <v>44530</v>
      </c>
      <c r="K958" s="24">
        <v>30</v>
      </c>
      <c r="L958" s="24">
        <v>5892</v>
      </c>
      <c r="M958" s="24">
        <v>14338200</v>
      </c>
      <c r="N958" s="39">
        <v>45971</v>
      </c>
    </row>
    <row r="959" spans="1:14" s="5" customFormat="1" outlineLevel="2">
      <c r="A959" s="39" t="s">
        <v>270</v>
      </c>
      <c r="B959" s="40" t="s">
        <v>175</v>
      </c>
      <c r="C959" s="41" t="s">
        <v>273</v>
      </c>
      <c r="D959" s="40" t="s">
        <v>272</v>
      </c>
      <c r="E959" s="24">
        <v>31500000</v>
      </c>
      <c r="F959" s="39">
        <v>44140</v>
      </c>
      <c r="G959" s="24">
        <v>31500000</v>
      </c>
      <c r="H959" s="23">
        <v>5.0000000000000001E-3</v>
      </c>
      <c r="I959" s="39">
        <v>44501</v>
      </c>
      <c r="J959" s="39">
        <v>44530</v>
      </c>
      <c r="K959" s="24">
        <v>30</v>
      </c>
      <c r="L959" s="24">
        <v>12945</v>
      </c>
      <c r="M959" s="24">
        <v>31500000</v>
      </c>
      <c r="N959" s="39">
        <v>45965</v>
      </c>
    </row>
    <row r="960" spans="1:14" s="5" customFormat="1" outlineLevel="2">
      <c r="A960" s="39" t="s">
        <v>270</v>
      </c>
      <c r="B960" s="40" t="s">
        <v>176</v>
      </c>
      <c r="C960" s="41" t="s">
        <v>125</v>
      </c>
      <c r="D960" s="40" t="s">
        <v>126</v>
      </c>
      <c r="E960" s="24">
        <v>2500000</v>
      </c>
      <c r="F960" s="39">
        <v>44146</v>
      </c>
      <c r="G960" s="24">
        <v>2500000</v>
      </c>
      <c r="H960" s="23">
        <v>5.0000000000000001E-3</v>
      </c>
      <c r="I960" s="39">
        <v>44501</v>
      </c>
      <c r="J960" s="39">
        <v>44530</v>
      </c>
      <c r="K960" s="24">
        <v>30</v>
      </c>
      <c r="L960" s="24">
        <v>1027</v>
      </c>
      <c r="M960" s="24">
        <v>2500000</v>
      </c>
      <c r="N960" s="39">
        <v>45971</v>
      </c>
    </row>
    <row r="961" spans="1:14" s="5" customFormat="1" outlineLevel="2">
      <c r="A961" s="39" t="s">
        <v>270</v>
      </c>
      <c r="B961" s="40" t="s">
        <v>177</v>
      </c>
      <c r="C961" s="41" t="s">
        <v>276</v>
      </c>
      <c r="D961" s="40" t="s">
        <v>277</v>
      </c>
      <c r="E961" s="24">
        <v>30000000</v>
      </c>
      <c r="F961" s="39">
        <v>44140</v>
      </c>
      <c r="G961" s="24">
        <v>30000000</v>
      </c>
      <c r="H961" s="23">
        <v>5.0000000000000001E-3</v>
      </c>
      <c r="I961" s="39">
        <v>44501</v>
      </c>
      <c r="J961" s="39">
        <v>44530</v>
      </c>
      <c r="K961" s="24">
        <v>30</v>
      </c>
      <c r="L961" s="24">
        <v>12329</v>
      </c>
      <c r="M961" s="24">
        <v>30000000</v>
      </c>
      <c r="N961" s="39">
        <v>45965</v>
      </c>
    </row>
    <row r="962" spans="1:14" s="5" customFormat="1" outlineLevel="2">
      <c r="A962" s="39" t="s">
        <v>270</v>
      </c>
      <c r="B962" s="40" t="s">
        <v>178</v>
      </c>
      <c r="C962" s="41" t="s">
        <v>115</v>
      </c>
      <c r="D962" s="40" t="s">
        <v>116</v>
      </c>
      <c r="E962" s="24">
        <v>6100000</v>
      </c>
      <c r="F962" s="39">
        <v>44138</v>
      </c>
      <c r="G962" s="24">
        <v>6100000</v>
      </c>
      <c r="H962" s="23">
        <v>5.0000000000000001E-3</v>
      </c>
      <c r="I962" s="39">
        <v>44501</v>
      </c>
      <c r="J962" s="39">
        <v>44530</v>
      </c>
      <c r="K962" s="24">
        <v>30</v>
      </c>
      <c r="L962" s="24">
        <v>2507</v>
      </c>
      <c r="M962" s="24">
        <v>6100000</v>
      </c>
      <c r="N962" s="39">
        <v>45963</v>
      </c>
    </row>
    <row r="963" spans="1:14" s="5" customFormat="1" outlineLevel="2">
      <c r="A963" s="39" t="s">
        <v>270</v>
      </c>
      <c r="B963" s="40" t="s">
        <v>179</v>
      </c>
      <c r="C963" s="41" t="s">
        <v>278</v>
      </c>
      <c r="D963" s="40" t="s">
        <v>279</v>
      </c>
      <c r="E963" s="24">
        <v>82036355</v>
      </c>
      <c r="F963" s="39">
        <v>44137</v>
      </c>
      <c r="G963" s="24">
        <v>82036355</v>
      </c>
      <c r="H963" s="23">
        <v>5.0000000000000001E-3</v>
      </c>
      <c r="I963" s="39">
        <v>44501</v>
      </c>
      <c r="J963" s="39">
        <v>44530</v>
      </c>
      <c r="K963" s="24">
        <v>30</v>
      </c>
      <c r="L963" s="24">
        <v>33714</v>
      </c>
      <c r="M963" s="24">
        <v>82036355</v>
      </c>
      <c r="N963" s="39">
        <v>45962</v>
      </c>
    </row>
    <row r="964" spans="1:14" s="5" customFormat="1" outlineLevel="2">
      <c r="A964" s="39" t="s">
        <v>270</v>
      </c>
      <c r="B964" s="40" t="s">
        <v>180</v>
      </c>
      <c r="C964" s="41" t="s">
        <v>280</v>
      </c>
      <c r="D964" s="40" t="s">
        <v>281</v>
      </c>
      <c r="E964" s="24">
        <v>1000000000</v>
      </c>
      <c r="F964" s="39">
        <v>44162</v>
      </c>
      <c r="G964" s="24">
        <v>1000000000</v>
      </c>
      <c r="H964" s="23">
        <v>5.0000000000000001E-3</v>
      </c>
      <c r="I964" s="39">
        <v>44501</v>
      </c>
      <c r="J964" s="39">
        <v>44530</v>
      </c>
      <c r="K964" s="24">
        <v>30</v>
      </c>
      <c r="L964" s="24">
        <v>410959</v>
      </c>
      <c r="M964" s="24">
        <v>1000000000</v>
      </c>
      <c r="N964" s="39">
        <v>45987</v>
      </c>
    </row>
    <row r="965" spans="1:14" s="5" customFormat="1" outlineLevel="2">
      <c r="A965" s="39" t="s">
        <v>270</v>
      </c>
      <c r="B965" s="40" t="s">
        <v>181</v>
      </c>
      <c r="C965" s="41" t="s">
        <v>75</v>
      </c>
      <c r="D965" s="40" t="s">
        <v>76</v>
      </c>
      <c r="E965" s="24">
        <v>47490000</v>
      </c>
      <c r="F965" s="39">
        <v>44137</v>
      </c>
      <c r="G965" s="24">
        <v>47490000</v>
      </c>
      <c r="H965" s="23">
        <v>5.0000000000000001E-3</v>
      </c>
      <c r="I965" s="39">
        <v>44501</v>
      </c>
      <c r="J965" s="39">
        <v>44530</v>
      </c>
      <c r="K965" s="24">
        <v>30</v>
      </c>
      <c r="L965" s="24">
        <v>19516</v>
      </c>
      <c r="M965" s="24">
        <v>47490000</v>
      </c>
      <c r="N965" s="39">
        <v>45962</v>
      </c>
    </row>
    <row r="966" spans="1:14" s="5" customFormat="1" outlineLevel="2">
      <c r="A966" s="39" t="s">
        <v>270</v>
      </c>
      <c r="B966" s="40" t="s">
        <v>182</v>
      </c>
      <c r="C966" s="41" t="s">
        <v>143</v>
      </c>
      <c r="D966" s="40" t="s">
        <v>144</v>
      </c>
      <c r="E966" s="24">
        <v>5300000</v>
      </c>
      <c r="F966" s="39">
        <v>44145</v>
      </c>
      <c r="G966" s="24">
        <v>5300000</v>
      </c>
      <c r="H966" s="23">
        <v>5.0000000000000001E-3</v>
      </c>
      <c r="I966" s="39">
        <v>44501</v>
      </c>
      <c r="J966" s="39">
        <v>44530</v>
      </c>
      <c r="K966" s="24">
        <v>30</v>
      </c>
      <c r="L966" s="24">
        <v>2178</v>
      </c>
      <c r="M966" s="24">
        <v>5300000</v>
      </c>
      <c r="N966" s="39">
        <v>45970</v>
      </c>
    </row>
    <row r="967" spans="1:14" s="5" customFormat="1" outlineLevel="2">
      <c r="A967" s="39" t="s">
        <v>270</v>
      </c>
      <c r="B967" s="40" t="s">
        <v>183</v>
      </c>
      <c r="C967" s="41" t="s">
        <v>143</v>
      </c>
      <c r="D967" s="40" t="s">
        <v>144</v>
      </c>
      <c r="E967" s="24">
        <v>4130000</v>
      </c>
      <c r="F967" s="39">
        <v>44151</v>
      </c>
      <c r="G967" s="24">
        <v>4130000</v>
      </c>
      <c r="H967" s="23">
        <v>5.0000000000000001E-3</v>
      </c>
      <c r="I967" s="39">
        <v>44501</v>
      </c>
      <c r="J967" s="39">
        <v>44530</v>
      </c>
      <c r="K967" s="24">
        <v>30</v>
      </c>
      <c r="L967" s="24">
        <v>1697</v>
      </c>
      <c r="M967" s="24">
        <v>4130000</v>
      </c>
      <c r="N967" s="39">
        <v>45976</v>
      </c>
    </row>
    <row r="968" spans="1:14" s="5" customFormat="1" outlineLevel="2">
      <c r="A968" s="39" t="s">
        <v>270</v>
      </c>
      <c r="B968" s="40" t="s">
        <v>63</v>
      </c>
      <c r="C968" s="41" t="s">
        <v>273</v>
      </c>
      <c r="D968" s="40" t="s">
        <v>272</v>
      </c>
      <c r="E968" s="24">
        <v>55600000</v>
      </c>
      <c r="F968" s="39">
        <v>43833</v>
      </c>
      <c r="G968" s="24">
        <v>55600000</v>
      </c>
      <c r="H968" s="23">
        <v>5.0000000000000001E-3</v>
      </c>
      <c r="I968" s="39">
        <v>44501</v>
      </c>
      <c r="J968" s="39">
        <v>44530</v>
      </c>
      <c r="K968" s="24">
        <v>30</v>
      </c>
      <c r="L968" s="24">
        <v>22849</v>
      </c>
      <c r="M968" s="24">
        <v>55600000</v>
      </c>
      <c r="N968" s="39">
        <v>45659</v>
      </c>
    </row>
    <row r="969" spans="1:14" s="5" customFormat="1" outlineLevel="2">
      <c r="A969" s="39" t="s">
        <v>270</v>
      </c>
      <c r="B969" s="40" t="s">
        <v>184</v>
      </c>
      <c r="C969" s="41" t="s">
        <v>143</v>
      </c>
      <c r="D969" s="40" t="s">
        <v>144</v>
      </c>
      <c r="E969" s="24">
        <v>6450000</v>
      </c>
      <c r="F969" s="39">
        <v>44165</v>
      </c>
      <c r="G969" s="24">
        <v>6450000</v>
      </c>
      <c r="H969" s="23">
        <v>5.0000000000000001E-3</v>
      </c>
      <c r="I969" s="39">
        <v>44501</v>
      </c>
      <c r="J969" s="39">
        <v>44530</v>
      </c>
      <c r="K969" s="24">
        <v>30</v>
      </c>
      <c r="L969" s="24">
        <v>2651</v>
      </c>
      <c r="M969" s="24">
        <v>6450000</v>
      </c>
      <c r="N969" s="39">
        <v>45990</v>
      </c>
    </row>
    <row r="970" spans="1:14" s="5" customFormat="1" outlineLevel="2">
      <c r="A970" s="39" t="s">
        <v>270</v>
      </c>
      <c r="B970" s="40" t="s">
        <v>185</v>
      </c>
      <c r="C970" s="41" t="s">
        <v>55</v>
      </c>
      <c r="D970" s="40" t="s">
        <v>56</v>
      </c>
      <c r="E970" s="24">
        <v>31466520</v>
      </c>
      <c r="F970" s="39">
        <v>44189</v>
      </c>
      <c r="G970" s="24">
        <v>31466520</v>
      </c>
      <c r="H970" s="23">
        <v>5.0000000000000001E-3</v>
      </c>
      <c r="I970" s="39">
        <v>44501</v>
      </c>
      <c r="J970" s="39">
        <v>44523</v>
      </c>
      <c r="K970" s="24">
        <v>23</v>
      </c>
      <c r="L970" s="24">
        <v>9914</v>
      </c>
      <c r="M970" s="24">
        <v>0</v>
      </c>
      <c r="N970" s="39">
        <v>46014</v>
      </c>
    </row>
    <row r="971" spans="1:14" s="5" customFormat="1" outlineLevel="2">
      <c r="A971" s="39" t="s">
        <v>270</v>
      </c>
      <c r="B971" s="40" t="s">
        <v>186</v>
      </c>
      <c r="C971" s="41" t="s">
        <v>274</v>
      </c>
      <c r="D971" s="40" t="s">
        <v>275</v>
      </c>
      <c r="E971" s="24">
        <v>14338200</v>
      </c>
      <c r="F971" s="39">
        <v>44174</v>
      </c>
      <c r="G971" s="24">
        <v>14338200</v>
      </c>
      <c r="H971" s="23">
        <v>5.0000000000000001E-3</v>
      </c>
      <c r="I971" s="39">
        <v>44501</v>
      </c>
      <c r="J971" s="39">
        <v>44530</v>
      </c>
      <c r="K971" s="24">
        <v>30</v>
      </c>
      <c r="L971" s="24">
        <v>5892</v>
      </c>
      <c r="M971" s="24">
        <v>14338200</v>
      </c>
      <c r="N971" s="39">
        <v>45999</v>
      </c>
    </row>
    <row r="972" spans="1:14" s="5" customFormat="1" outlineLevel="2">
      <c r="A972" s="39" t="s">
        <v>270</v>
      </c>
      <c r="B972" s="40" t="s">
        <v>189</v>
      </c>
      <c r="C972" s="41" t="s">
        <v>274</v>
      </c>
      <c r="D972" s="40" t="s">
        <v>275</v>
      </c>
      <c r="E972" s="24">
        <v>4977000</v>
      </c>
      <c r="F972" s="39">
        <v>44174</v>
      </c>
      <c r="G972" s="24">
        <v>4977000</v>
      </c>
      <c r="H972" s="23">
        <v>5.0000000000000001E-3</v>
      </c>
      <c r="I972" s="39">
        <v>44501</v>
      </c>
      <c r="J972" s="39">
        <v>44530</v>
      </c>
      <c r="K972" s="24">
        <v>30</v>
      </c>
      <c r="L972" s="24">
        <v>2045</v>
      </c>
      <c r="M972" s="24">
        <v>4977000</v>
      </c>
      <c r="N972" s="39">
        <v>45999</v>
      </c>
    </row>
    <row r="973" spans="1:14" s="5" customFormat="1" outlineLevel="2">
      <c r="A973" s="39" t="s">
        <v>270</v>
      </c>
      <c r="B973" s="40" t="s">
        <v>190</v>
      </c>
      <c r="C973" s="41" t="s">
        <v>115</v>
      </c>
      <c r="D973" s="40" t="s">
        <v>116</v>
      </c>
      <c r="E973" s="24">
        <v>40000000</v>
      </c>
      <c r="F973" s="39">
        <v>44193</v>
      </c>
      <c r="G973" s="24">
        <v>40000000</v>
      </c>
      <c r="H973" s="23">
        <v>5.0000000000000001E-3</v>
      </c>
      <c r="I973" s="39">
        <v>44501</v>
      </c>
      <c r="J973" s="39">
        <v>44530</v>
      </c>
      <c r="K973" s="24">
        <v>30</v>
      </c>
      <c r="L973" s="24">
        <v>16438</v>
      </c>
      <c r="M973" s="24">
        <v>40000000</v>
      </c>
      <c r="N973" s="39">
        <v>46018</v>
      </c>
    </row>
    <row r="974" spans="1:14" s="5" customFormat="1" outlineLevel="2">
      <c r="A974" s="39" t="s">
        <v>270</v>
      </c>
      <c r="B974" s="40" t="s">
        <v>191</v>
      </c>
      <c r="C974" s="41" t="s">
        <v>143</v>
      </c>
      <c r="D974" s="40" t="s">
        <v>144</v>
      </c>
      <c r="E974" s="24">
        <v>8890000</v>
      </c>
      <c r="F974" s="39">
        <v>44175</v>
      </c>
      <c r="G974" s="24">
        <v>8890000</v>
      </c>
      <c r="H974" s="23">
        <v>5.0000000000000001E-3</v>
      </c>
      <c r="I974" s="39">
        <v>44501</v>
      </c>
      <c r="J974" s="39">
        <v>44530</v>
      </c>
      <c r="K974" s="24">
        <v>30</v>
      </c>
      <c r="L974" s="24">
        <v>3653</v>
      </c>
      <c r="M974" s="24">
        <v>8890000</v>
      </c>
      <c r="N974" s="39">
        <v>46000</v>
      </c>
    </row>
    <row r="975" spans="1:14" s="5" customFormat="1" outlineLevel="2">
      <c r="A975" s="39" t="s">
        <v>270</v>
      </c>
      <c r="B975" s="40" t="s">
        <v>192</v>
      </c>
      <c r="C975" s="41" t="s">
        <v>143</v>
      </c>
      <c r="D975" s="40" t="s">
        <v>144</v>
      </c>
      <c r="E975" s="24">
        <v>4020000</v>
      </c>
      <c r="F975" s="39">
        <v>44196</v>
      </c>
      <c r="G975" s="24">
        <v>4020000</v>
      </c>
      <c r="H975" s="23">
        <v>5.0000000000000001E-3</v>
      </c>
      <c r="I975" s="39">
        <v>44501</v>
      </c>
      <c r="J975" s="39">
        <v>44530</v>
      </c>
      <c r="K975" s="24">
        <v>30</v>
      </c>
      <c r="L975" s="24">
        <v>1652</v>
      </c>
      <c r="M975" s="24">
        <v>4020000</v>
      </c>
      <c r="N975" s="39">
        <v>46021</v>
      </c>
    </row>
    <row r="976" spans="1:14" s="5" customFormat="1" outlineLevel="2">
      <c r="A976" s="39" t="s">
        <v>270</v>
      </c>
      <c r="B976" s="40" t="s">
        <v>193</v>
      </c>
      <c r="C976" s="41" t="s">
        <v>273</v>
      </c>
      <c r="D976" s="40" t="s">
        <v>272</v>
      </c>
      <c r="E976" s="24">
        <v>86700000</v>
      </c>
      <c r="F976" s="39">
        <v>44169</v>
      </c>
      <c r="G976" s="24">
        <v>86700000</v>
      </c>
      <c r="H976" s="23">
        <v>5.0000000000000001E-3</v>
      </c>
      <c r="I976" s="39">
        <v>44501</v>
      </c>
      <c r="J976" s="39">
        <v>44530</v>
      </c>
      <c r="K976" s="24">
        <v>30</v>
      </c>
      <c r="L976" s="24">
        <v>35630</v>
      </c>
      <c r="M976" s="24">
        <v>86700000</v>
      </c>
      <c r="N976" s="39">
        <v>45994</v>
      </c>
    </row>
    <row r="977" spans="1:14" s="5" customFormat="1" outlineLevel="2">
      <c r="A977" s="39" t="s">
        <v>270</v>
      </c>
      <c r="B977" s="40" t="s">
        <v>194</v>
      </c>
      <c r="C977" s="41" t="s">
        <v>274</v>
      </c>
      <c r="D977" s="40" t="s">
        <v>275</v>
      </c>
      <c r="E977" s="24">
        <v>4977000</v>
      </c>
      <c r="F977" s="39">
        <v>44209</v>
      </c>
      <c r="G977" s="24">
        <v>4977000</v>
      </c>
      <c r="H977" s="23">
        <v>5.0000000000000001E-3</v>
      </c>
      <c r="I977" s="39">
        <v>44501</v>
      </c>
      <c r="J977" s="39">
        <v>44530</v>
      </c>
      <c r="K977" s="24">
        <v>30</v>
      </c>
      <c r="L977" s="24">
        <v>2045</v>
      </c>
      <c r="M977" s="24">
        <v>4977000</v>
      </c>
      <c r="N977" s="39">
        <v>46034</v>
      </c>
    </row>
    <row r="978" spans="1:14" s="5" customFormat="1" outlineLevel="2">
      <c r="A978" s="39" t="s">
        <v>270</v>
      </c>
      <c r="B978" s="40" t="s">
        <v>195</v>
      </c>
      <c r="C978" s="41" t="s">
        <v>274</v>
      </c>
      <c r="D978" s="40" t="s">
        <v>275</v>
      </c>
      <c r="E978" s="24">
        <v>9862800</v>
      </c>
      <c r="F978" s="39">
        <v>44209</v>
      </c>
      <c r="G978" s="24">
        <v>9862800</v>
      </c>
      <c r="H978" s="23">
        <v>5.0000000000000001E-3</v>
      </c>
      <c r="I978" s="39">
        <v>44501</v>
      </c>
      <c r="J978" s="39">
        <v>44530</v>
      </c>
      <c r="K978" s="24">
        <v>30</v>
      </c>
      <c r="L978" s="24">
        <v>4053</v>
      </c>
      <c r="M978" s="24">
        <v>9862800</v>
      </c>
      <c r="N978" s="39">
        <v>46034</v>
      </c>
    </row>
    <row r="979" spans="1:14" s="5" customFormat="1" outlineLevel="2">
      <c r="A979" s="39" t="s">
        <v>270</v>
      </c>
      <c r="B979" s="40" t="s">
        <v>64</v>
      </c>
      <c r="C979" s="41" t="s">
        <v>273</v>
      </c>
      <c r="D979" s="40" t="s">
        <v>272</v>
      </c>
      <c r="E979" s="24">
        <v>28400000</v>
      </c>
      <c r="F979" s="39">
        <v>43833</v>
      </c>
      <c r="G979" s="24">
        <v>28400000</v>
      </c>
      <c r="H979" s="23">
        <v>5.0000000000000001E-3</v>
      </c>
      <c r="I979" s="39">
        <v>44501</v>
      </c>
      <c r="J979" s="39">
        <v>44530</v>
      </c>
      <c r="K979" s="24">
        <v>30</v>
      </c>
      <c r="L979" s="24">
        <v>11671</v>
      </c>
      <c r="M979" s="24">
        <v>28400000</v>
      </c>
      <c r="N979" s="39">
        <v>45659</v>
      </c>
    </row>
    <row r="980" spans="1:14" s="5" customFormat="1" outlineLevel="2">
      <c r="A980" s="39" t="s">
        <v>270</v>
      </c>
      <c r="B980" s="40" t="s">
        <v>196</v>
      </c>
      <c r="C980" s="41" t="s">
        <v>143</v>
      </c>
      <c r="D980" s="40" t="s">
        <v>144</v>
      </c>
      <c r="E980" s="24">
        <v>3620000</v>
      </c>
      <c r="F980" s="39">
        <v>44207</v>
      </c>
      <c r="G980" s="24">
        <v>3620000</v>
      </c>
      <c r="H980" s="23">
        <v>5.0000000000000001E-3</v>
      </c>
      <c r="I980" s="39">
        <v>44501</v>
      </c>
      <c r="J980" s="39">
        <v>44530</v>
      </c>
      <c r="K980" s="24">
        <v>30</v>
      </c>
      <c r="L980" s="24">
        <v>1488</v>
      </c>
      <c r="M980" s="24">
        <v>3620000</v>
      </c>
      <c r="N980" s="39">
        <v>46032</v>
      </c>
    </row>
    <row r="981" spans="1:14" s="5" customFormat="1" outlineLevel="2">
      <c r="A981" s="39" t="s">
        <v>270</v>
      </c>
      <c r="B981" s="40" t="s">
        <v>197</v>
      </c>
      <c r="C981" s="41" t="s">
        <v>273</v>
      </c>
      <c r="D981" s="40" t="s">
        <v>272</v>
      </c>
      <c r="E981" s="24">
        <v>20600000</v>
      </c>
      <c r="F981" s="39">
        <v>44201</v>
      </c>
      <c r="G981" s="24">
        <v>20600000</v>
      </c>
      <c r="H981" s="23">
        <v>5.0000000000000001E-3</v>
      </c>
      <c r="I981" s="39">
        <v>44501</v>
      </c>
      <c r="J981" s="39">
        <v>44530</v>
      </c>
      <c r="K981" s="24">
        <v>30</v>
      </c>
      <c r="L981" s="24">
        <v>8466</v>
      </c>
      <c r="M981" s="24">
        <v>20600000</v>
      </c>
      <c r="N981" s="39">
        <v>46026</v>
      </c>
    </row>
    <row r="982" spans="1:14" s="5" customFormat="1" outlineLevel="2">
      <c r="A982" s="39" t="s">
        <v>270</v>
      </c>
      <c r="B982" s="40" t="s">
        <v>198</v>
      </c>
      <c r="C982" s="41" t="s">
        <v>75</v>
      </c>
      <c r="D982" s="40" t="s">
        <v>76</v>
      </c>
      <c r="E982" s="24">
        <v>53640000</v>
      </c>
      <c r="F982" s="39">
        <v>44203</v>
      </c>
      <c r="G982" s="24">
        <v>53640000</v>
      </c>
      <c r="H982" s="23">
        <v>5.0000000000000001E-3</v>
      </c>
      <c r="I982" s="39">
        <v>44501</v>
      </c>
      <c r="J982" s="39">
        <v>44530</v>
      </c>
      <c r="K982" s="24">
        <v>30</v>
      </c>
      <c r="L982" s="24">
        <v>22044</v>
      </c>
      <c r="M982" s="24">
        <v>53640000</v>
      </c>
      <c r="N982" s="39">
        <v>46028</v>
      </c>
    </row>
    <row r="983" spans="1:14" s="5" customFormat="1" outlineLevel="2">
      <c r="A983" s="39" t="s">
        <v>270</v>
      </c>
      <c r="B983" s="40" t="s">
        <v>199</v>
      </c>
      <c r="C983" s="41" t="s">
        <v>302</v>
      </c>
      <c r="D983" s="40" t="s">
        <v>301</v>
      </c>
      <c r="E983" s="24">
        <v>40160000</v>
      </c>
      <c r="F983" s="39">
        <v>44232</v>
      </c>
      <c r="G983" s="24">
        <v>40160000</v>
      </c>
      <c r="H983" s="23">
        <v>5.0000000000000001E-3</v>
      </c>
      <c r="I983" s="39">
        <v>44501</v>
      </c>
      <c r="J983" s="39">
        <v>44530</v>
      </c>
      <c r="K983" s="24">
        <v>30</v>
      </c>
      <c r="L983" s="24">
        <v>16504</v>
      </c>
      <c r="M983" s="24">
        <v>40160000</v>
      </c>
      <c r="N983" s="39">
        <v>46057</v>
      </c>
    </row>
    <row r="984" spans="1:14" s="5" customFormat="1" outlineLevel="2">
      <c r="A984" s="39" t="s">
        <v>270</v>
      </c>
      <c r="B984" s="40" t="s">
        <v>200</v>
      </c>
      <c r="C984" s="41" t="s">
        <v>274</v>
      </c>
      <c r="D984" s="40" t="s">
        <v>275</v>
      </c>
      <c r="E984" s="24">
        <v>3655380</v>
      </c>
      <c r="F984" s="39">
        <v>44230</v>
      </c>
      <c r="G984" s="24">
        <v>3655380</v>
      </c>
      <c r="H984" s="23">
        <v>5.0000000000000001E-3</v>
      </c>
      <c r="I984" s="39">
        <v>44501</v>
      </c>
      <c r="J984" s="39">
        <v>44530</v>
      </c>
      <c r="K984" s="24">
        <v>30</v>
      </c>
      <c r="L984" s="24">
        <v>1502</v>
      </c>
      <c r="M984" s="24">
        <v>3655380</v>
      </c>
      <c r="N984" s="39">
        <v>46055</v>
      </c>
    </row>
    <row r="985" spans="1:14" s="5" customFormat="1" outlineLevel="2">
      <c r="A985" s="39" t="s">
        <v>270</v>
      </c>
      <c r="B985" s="40" t="s">
        <v>201</v>
      </c>
      <c r="C985" s="41" t="s">
        <v>274</v>
      </c>
      <c r="D985" s="40" t="s">
        <v>275</v>
      </c>
      <c r="E985" s="24">
        <v>9862800</v>
      </c>
      <c r="F985" s="39">
        <v>44230</v>
      </c>
      <c r="G985" s="24">
        <v>9862800</v>
      </c>
      <c r="H985" s="23">
        <v>5.0000000000000001E-3</v>
      </c>
      <c r="I985" s="39">
        <v>44501</v>
      </c>
      <c r="J985" s="39">
        <v>44530</v>
      </c>
      <c r="K985" s="24">
        <v>30</v>
      </c>
      <c r="L985" s="24">
        <v>4053</v>
      </c>
      <c r="M985" s="24">
        <v>9862800</v>
      </c>
      <c r="N985" s="39">
        <v>46055</v>
      </c>
    </row>
    <row r="986" spans="1:14" s="5" customFormat="1" outlineLevel="2">
      <c r="A986" s="39" t="s">
        <v>270</v>
      </c>
      <c r="B986" s="40" t="s">
        <v>202</v>
      </c>
      <c r="C986" s="41" t="s">
        <v>125</v>
      </c>
      <c r="D986" s="40" t="s">
        <v>126</v>
      </c>
      <c r="E986" s="24">
        <v>32000000</v>
      </c>
      <c r="F986" s="39">
        <v>44250</v>
      </c>
      <c r="G986" s="24">
        <v>32000000</v>
      </c>
      <c r="H986" s="23">
        <v>5.0000000000000001E-3</v>
      </c>
      <c r="I986" s="39">
        <v>44501</v>
      </c>
      <c r="J986" s="39">
        <v>44530</v>
      </c>
      <c r="K986" s="24">
        <v>30</v>
      </c>
      <c r="L986" s="24">
        <v>13151</v>
      </c>
      <c r="M986" s="24">
        <v>32000000</v>
      </c>
      <c r="N986" s="39">
        <v>46075</v>
      </c>
    </row>
    <row r="987" spans="1:14" s="5" customFormat="1" outlineLevel="2">
      <c r="A987" s="39" t="s">
        <v>270</v>
      </c>
      <c r="B987" s="40" t="s">
        <v>203</v>
      </c>
      <c r="C987" s="41" t="s">
        <v>143</v>
      </c>
      <c r="D987" s="40" t="s">
        <v>144</v>
      </c>
      <c r="E987" s="24">
        <v>2390000</v>
      </c>
      <c r="F987" s="39">
        <v>44228</v>
      </c>
      <c r="G987" s="24">
        <v>2390000</v>
      </c>
      <c r="H987" s="23">
        <v>5.0000000000000001E-3</v>
      </c>
      <c r="I987" s="39">
        <v>44501</v>
      </c>
      <c r="J987" s="39">
        <v>44530</v>
      </c>
      <c r="K987" s="24">
        <v>30</v>
      </c>
      <c r="L987" s="24">
        <v>982</v>
      </c>
      <c r="M987" s="24">
        <v>2390000</v>
      </c>
      <c r="N987" s="39">
        <v>46053</v>
      </c>
    </row>
    <row r="988" spans="1:14" s="5" customFormat="1" outlineLevel="2">
      <c r="A988" s="39" t="s">
        <v>270</v>
      </c>
      <c r="B988" s="40" t="s">
        <v>204</v>
      </c>
      <c r="C988" s="41" t="s">
        <v>273</v>
      </c>
      <c r="D988" s="40" t="s">
        <v>272</v>
      </c>
      <c r="E988" s="24">
        <v>43200000</v>
      </c>
      <c r="F988" s="39">
        <v>44232</v>
      </c>
      <c r="G988" s="24">
        <v>43200000</v>
      </c>
      <c r="H988" s="23">
        <v>5.0000000000000001E-3</v>
      </c>
      <c r="I988" s="39">
        <v>44501</v>
      </c>
      <c r="J988" s="39">
        <v>44530</v>
      </c>
      <c r="K988" s="24">
        <v>30</v>
      </c>
      <c r="L988" s="24">
        <v>17753</v>
      </c>
      <c r="M988" s="24">
        <v>43200000</v>
      </c>
      <c r="N988" s="39">
        <v>46057</v>
      </c>
    </row>
    <row r="989" spans="1:14" s="5" customFormat="1" outlineLevel="2">
      <c r="A989" s="39" t="s">
        <v>270</v>
      </c>
      <c r="B989" s="40" t="s">
        <v>205</v>
      </c>
      <c r="C989" s="41" t="s">
        <v>273</v>
      </c>
      <c r="D989" s="40" t="s">
        <v>272</v>
      </c>
      <c r="E989" s="24">
        <v>4600000</v>
      </c>
      <c r="F989" s="39">
        <v>44232</v>
      </c>
      <c r="G989" s="24">
        <v>4600000</v>
      </c>
      <c r="H989" s="23">
        <v>5.0000000000000001E-3</v>
      </c>
      <c r="I989" s="39">
        <v>44501</v>
      </c>
      <c r="J989" s="39">
        <v>44530</v>
      </c>
      <c r="K989" s="24">
        <v>30</v>
      </c>
      <c r="L989" s="24">
        <v>1890</v>
      </c>
      <c r="M989" s="24">
        <v>4600000</v>
      </c>
      <c r="N989" s="39">
        <v>46057</v>
      </c>
    </row>
    <row r="990" spans="1:14" s="5" customFormat="1" outlineLevel="2">
      <c r="A990" s="39" t="s">
        <v>270</v>
      </c>
      <c r="B990" s="40" t="s">
        <v>65</v>
      </c>
      <c r="C990" s="41" t="s">
        <v>274</v>
      </c>
      <c r="D990" s="40" t="s">
        <v>275</v>
      </c>
      <c r="E990" s="24">
        <v>5452560</v>
      </c>
      <c r="F990" s="39">
        <v>43873</v>
      </c>
      <c r="G990" s="24">
        <v>5452560</v>
      </c>
      <c r="H990" s="23">
        <v>5.0000000000000001E-3</v>
      </c>
      <c r="I990" s="39">
        <v>44501</v>
      </c>
      <c r="J990" s="39">
        <v>44530</v>
      </c>
      <c r="K990" s="24">
        <v>30</v>
      </c>
      <c r="L990" s="24">
        <v>2241</v>
      </c>
      <c r="M990" s="24">
        <v>5452560</v>
      </c>
      <c r="N990" s="39">
        <v>45699</v>
      </c>
    </row>
    <row r="991" spans="1:14" s="5" customFormat="1" outlineLevel="2">
      <c r="A991" s="39" t="s">
        <v>270</v>
      </c>
      <c r="B991" s="40" t="s">
        <v>206</v>
      </c>
      <c r="C991" s="41" t="s">
        <v>302</v>
      </c>
      <c r="D991" s="40" t="s">
        <v>301</v>
      </c>
      <c r="E991" s="24">
        <v>40660000</v>
      </c>
      <c r="F991" s="39">
        <v>44272</v>
      </c>
      <c r="G991" s="24">
        <v>40660000</v>
      </c>
      <c r="H991" s="23">
        <v>5.0000000000000001E-3</v>
      </c>
      <c r="I991" s="39">
        <v>44501</v>
      </c>
      <c r="J991" s="39">
        <v>44530</v>
      </c>
      <c r="K991" s="24">
        <v>30</v>
      </c>
      <c r="L991" s="24">
        <v>16710</v>
      </c>
      <c r="M991" s="24">
        <v>40660000</v>
      </c>
      <c r="N991" s="39">
        <v>46097</v>
      </c>
    </row>
    <row r="992" spans="1:14" s="5" customFormat="1" outlineLevel="2">
      <c r="A992" s="39" t="s">
        <v>270</v>
      </c>
      <c r="B992" s="40" t="s">
        <v>207</v>
      </c>
      <c r="C992" s="41" t="s">
        <v>322</v>
      </c>
      <c r="D992" s="40" t="s">
        <v>321</v>
      </c>
      <c r="E992" s="24">
        <v>13800000</v>
      </c>
      <c r="F992" s="39">
        <v>44264</v>
      </c>
      <c r="G992" s="24">
        <v>13800000</v>
      </c>
      <c r="H992" s="23">
        <v>5.0000000000000001E-3</v>
      </c>
      <c r="I992" s="39">
        <v>44501</v>
      </c>
      <c r="J992" s="39">
        <v>44530</v>
      </c>
      <c r="K992" s="24">
        <v>30</v>
      </c>
      <c r="L992" s="24">
        <v>5671</v>
      </c>
      <c r="M992" s="24">
        <v>13800000</v>
      </c>
      <c r="N992" s="39">
        <v>46089</v>
      </c>
    </row>
    <row r="993" spans="1:14" s="5" customFormat="1" outlineLevel="2">
      <c r="A993" s="39" t="s">
        <v>270</v>
      </c>
      <c r="B993" s="40" t="s">
        <v>208</v>
      </c>
      <c r="C993" s="41" t="s">
        <v>274</v>
      </c>
      <c r="D993" s="40" t="s">
        <v>275</v>
      </c>
      <c r="E993" s="24">
        <v>8641320</v>
      </c>
      <c r="F993" s="39">
        <v>44265</v>
      </c>
      <c r="G993" s="24">
        <v>8641320</v>
      </c>
      <c r="H993" s="23">
        <v>5.0000000000000001E-3</v>
      </c>
      <c r="I993" s="39">
        <v>44501</v>
      </c>
      <c r="J993" s="39">
        <v>44530</v>
      </c>
      <c r="K993" s="24">
        <v>30</v>
      </c>
      <c r="L993" s="24">
        <v>3551</v>
      </c>
      <c r="M993" s="24">
        <v>8641320</v>
      </c>
      <c r="N993" s="39">
        <v>46090</v>
      </c>
    </row>
    <row r="994" spans="1:14" s="5" customFormat="1" outlineLevel="2">
      <c r="A994" s="39" t="s">
        <v>270</v>
      </c>
      <c r="B994" s="40" t="s">
        <v>209</v>
      </c>
      <c r="C994" s="41" t="s">
        <v>274</v>
      </c>
      <c r="D994" s="40" t="s">
        <v>275</v>
      </c>
      <c r="E994" s="24">
        <v>3655380</v>
      </c>
      <c r="F994" s="39">
        <v>44265</v>
      </c>
      <c r="G994" s="24">
        <v>3655380</v>
      </c>
      <c r="H994" s="23">
        <v>5.0000000000000001E-3</v>
      </c>
      <c r="I994" s="39">
        <v>44501</v>
      </c>
      <c r="J994" s="39">
        <v>44530</v>
      </c>
      <c r="K994" s="24">
        <v>30</v>
      </c>
      <c r="L994" s="24">
        <v>1502</v>
      </c>
      <c r="M994" s="24">
        <v>3655380</v>
      </c>
      <c r="N994" s="39">
        <v>46090</v>
      </c>
    </row>
    <row r="995" spans="1:14" s="5" customFormat="1" outlineLevel="2">
      <c r="A995" s="39" t="s">
        <v>270</v>
      </c>
      <c r="B995" s="40" t="s">
        <v>210</v>
      </c>
      <c r="C995" s="41" t="s">
        <v>274</v>
      </c>
      <c r="D995" s="40" t="s">
        <v>275</v>
      </c>
      <c r="E995" s="24">
        <v>13280000</v>
      </c>
      <c r="F995" s="39">
        <v>44272</v>
      </c>
      <c r="G995" s="24">
        <v>13280000</v>
      </c>
      <c r="H995" s="23">
        <v>5.0000000000000001E-3</v>
      </c>
      <c r="I995" s="39">
        <v>44501</v>
      </c>
      <c r="J995" s="39">
        <v>44530</v>
      </c>
      <c r="K995" s="24">
        <v>30</v>
      </c>
      <c r="L995" s="24">
        <v>5458</v>
      </c>
      <c r="M995" s="24">
        <v>13280000</v>
      </c>
      <c r="N995" s="39">
        <v>46097</v>
      </c>
    </row>
    <row r="996" spans="1:14" s="5" customFormat="1" outlineLevel="2">
      <c r="A996" s="39" t="s">
        <v>270</v>
      </c>
      <c r="B996" s="40" t="s">
        <v>211</v>
      </c>
      <c r="C996" s="41" t="s">
        <v>115</v>
      </c>
      <c r="D996" s="40" t="s">
        <v>116</v>
      </c>
      <c r="E996" s="24">
        <v>47000000</v>
      </c>
      <c r="F996" s="39">
        <v>44284</v>
      </c>
      <c r="G996" s="24">
        <v>47000000</v>
      </c>
      <c r="H996" s="23">
        <v>5.0000000000000001E-3</v>
      </c>
      <c r="I996" s="39">
        <v>44501</v>
      </c>
      <c r="J996" s="39">
        <v>44530</v>
      </c>
      <c r="K996" s="24">
        <v>30</v>
      </c>
      <c r="L996" s="24">
        <v>19315</v>
      </c>
      <c r="M996" s="24">
        <v>47000000</v>
      </c>
      <c r="N996" s="39">
        <v>46109</v>
      </c>
    </row>
    <row r="997" spans="1:14" s="5" customFormat="1" outlineLevel="2">
      <c r="A997" s="39" t="s">
        <v>270</v>
      </c>
      <c r="B997" s="40" t="s">
        <v>212</v>
      </c>
      <c r="C997" s="41" t="s">
        <v>143</v>
      </c>
      <c r="D997" s="40" t="s">
        <v>144</v>
      </c>
      <c r="E997" s="24">
        <v>5840000</v>
      </c>
      <c r="F997" s="39">
        <v>44257</v>
      </c>
      <c r="G997" s="24">
        <v>5840000</v>
      </c>
      <c r="H997" s="23">
        <v>5.0000000000000001E-3</v>
      </c>
      <c r="I997" s="39">
        <v>44501</v>
      </c>
      <c r="J997" s="39">
        <v>44530</v>
      </c>
      <c r="K997" s="24">
        <v>30</v>
      </c>
      <c r="L997" s="24">
        <v>2400</v>
      </c>
      <c r="M997" s="24">
        <v>5840000</v>
      </c>
      <c r="N997" s="39">
        <v>46082</v>
      </c>
    </row>
    <row r="998" spans="1:14" s="5" customFormat="1" outlineLevel="2">
      <c r="A998" s="39" t="s">
        <v>270</v>
      </c>
      <c r="B998" s="40" t="s">
        <v>213</v>
      </c>
      <c r="C998" s="41" t="s">
        <v>143</v>
      </c>
      <c r="D998" s="40" t="s">
        <v>144</v>
      </c>
      <c r="E998" s="24">
        <v>3570000</v>
      </c>
      <c r="F998" s="39">
        <v>44286</v>
      </c>
      <c r="G998" s="24">
        <v>3570000</v>
      </c>
      <c r="H998" s="23">
        <v>5.0000000000000001E-3</v>
      </c>
      <c r="I998" s="39">
        <v>44501</v>
      </c>
      <c r="J998" s="39">
        <v>44530</v>
      </c>
      <c r="K998" s="24">
        <v>30</v>
      </c>
      <c r="L998" s="24">
        <v>1467</v>
      </c>
      <c r="M998" s="24">
        <v>3570000</v>
      </c>
      <c r="N998" s="39">
        <v>46111</v>
      </c>
    </row>
    <row r="999" spans="1:14" s="5" customFormat="1" outlineLevel="2">
      <c r="A999" s="39" t="s">
        <v>270</v>
      </c>
      <c r="B999" s="40" t="s">
        <v>214</v>
      </c>
      <c r="C999" s="41" t="s">
        <v>273</v>
      </c>
      <c r="D999" s="40" t="s">
        <v>272</v>
      </c>
      <c r="E999" s="24">
        <v>63400000</v>
      </c>
      <c r="F999" s="39">
        <v>44260</v>
      </c>
      <c r="G999" s="24">
        <v>63400000</v>
      </c>
      <c r="H999" s="23">
        <v>5.0000000000000001E-3</v>
      </c>
      <c r="I999" s="39">
        <v>44501</v>
      </c>
      <c r="J999" s="39">
        <v>44530</v>
      </c>
      <c r="K999" s="24">
        <v>30</v>
      </c>
      <c r="L999" s="24">
        <v>26055</v>
      </c>
      <c r="M999" s="24">
        <v>63400000</v>
      </c>
      <c r="N999" s="39">
        <v>46085</v>
      </c>
    </row>
    <row r="1000" spans="1:14" s="5" customFormat="1" outlineLevel="2">
      <c r="A1000" s="39" t="s">
        <v>270</v>
      </c>
      <c r="B1000" s="40" t="s">
        <v>215</v>
      </c>
      <c r="C1000" s="41" t="s">
        <v>273</v>
      </c>
      <c r="D1000" s="40" t="s">
        <v>272</v>
      </c>
      <c r="E1000" s="24">
        <v>2800000</v>
      </c>
      <c r="F1000" s="39">
        <v>44260</v>
      </c>
      <c r="G1000" s="24">
        <v>2800000</v>
      </c>
      <c r="H1000" s="23">
        <v>5.0000000000000001E-3</v>
      </c>
      <c r="I1000" s="39">
        <v>44501</v>
      </c>
      <c r="J1000" s="39">
        <v>44530</v>
      </c>
      <c r="K1000" s="24">
        <v>30</v>
      </c>
      <c r="L1000" s="24">
        <v>1151</v>
      </c>
      <c r="M1000" s="24">
        <v>2800000</v>
      </c>
      <c r="N1000" s="39">
        <v>46085</v>
      </c>
    </row>
    <row r="1001" spans="1:14" s="5" customFormat="1" outlineLevel="2">
      <c r="A1001" s="39" t="s">
        <v>270</v>
      </c>
      <c r="B1001" s="40" t="s">
        <v>68</v>
      </c>
      <c r="C1001" s="41" t="s">
        <v>274</v>
      </c>
      <c r="D1001" s="40" t="s">
        <v>275</v>
      </c>
      <c r="E1001" s="24">
        <v>7270080</v>
      </c>
      <c r="F1001" s="39">
        <v>43873</v>
      </c>
      <c r="G1001" s="24">
        <v>7270080</v>
      </c>
      <c r="H1001" s="23">
        <v>5.0000000000000001E-3</v>
      </c>
      <c r="I1001" s="39">
        <v>44501</v>
      </c>
      <c r="J1001" s="39">
        <v>44530</v>
      </c>
      <c r="K1001" s="24">
        <v>30</v>
      </c>
      <c r="L1001" s="24">
        <v>2988</v>
      </c>
      <c r="M1001" s="24">
        <v>7270080</v>
      </c>
      <c r="N1001" s="39">
        <v>45699</v>
      </c>
    </row>
    <row r="1002" spans="1:14" s="5" customFormat="1" outlineLevel="2">
      <c r="A1002" s="39" t="s">
        <v>270</v>
      </c>
      <c r="B1002" s="40" t="s">
        <v>216</v>
      </c>
      <c r="C1002" s="41" t="s">
        <v>75</v>
      </c>
      <c r="D1002" s="40" t="s">
        <v>76</v>
      </c>
      <c r="E1002" s="24">
        <v>48420000</v>
      </c>
      <c r="F1002" s="39">
        <v>44280</v>
      </c>
      <c r="G1002" s="24">
        <v>48420000</v>
      </c>
      <c r="H1002" s="23">
        <v>5.0000000000000001E-3</v>
      </c>
      <c r="I1002" s="39">
        <v>44501</v>
      </c>
      <c r="J1002" s="39">
        <v>44530</v>
      </c>
      <c r="K1002" s="24">
        <v>30</v>
      </c>
      <c r="L1002" s="24">
        <v>19899</v>
      </c>
      <c r="M1002" s="24">
        <v>48420000</v>
      </c>
      <c r="N1002" s="39">
        <v>46105</v>
      </c>
    </row>
    <row r="1003" spans="1:14" s="5" customFormat="1" outlineLevel="2">
      <c r="A1003" s="39" t="s">
        <v>270</v>
      </c>
      <c r="B1003" s="40" t="s">
        <v>217</v>
      </c>
      <c r="C1003" s="41" t="s">
        <v>274</v>
      </c>
      <c r="D1003" s="40" t="s">
        <v>275</v>
      </c>
      <c r="E1003" s="24">
        <v>8641320</v>
      </c>
      <c r="F1003" s="39">
        <v>44293</v>
      </c>
      <c r="G1003" s="24">
        <v>8641320</v>
      </c>
      <c r="H1003" s="23">
        <v>5.0000000000000001E-3</v>
      </c>
      <c r="I1003" s="39">
        <v>44501</v>
      </c>
      <c r="J1003" s="39">
        <v>44530</v>
      </c>
      <c r="K1003" s="24">
        <v>30</v>
      </c>
      <c r="L1003" s="24">
        <v>3551</v>
      </c>
      <c r="M1003" s="24">
        <v>8641320</v>
      </c>
      <c r="N1003" s="39">
        <v>46118</v>
      </c>
    </row>
    <row r="1004" spans="1:14" s="5" customFormat="1" outlineLevel="2">
      <c r="A1004" s="39" t="s">
        <v>270</v>
      </c>
      <c r="B1004" s="40" t="s">
        <v>218</v>
      </c>
      <c r="C1004" s="41" t="s">
        <v>274</v>
      </c>
      <c r="D1004" s="40" t="s">
        <v>275</v>
      </c>
      <c r="E1004" s="24">
        <v>10475040</v>
      </c>
      <c r="F1004" s="39">
        <v>44293</v>
      </c>
      <c r="G1004" s="24">
        <v>10475040</v>
      </c>
      <c r="H1004" s="23">
        <v>5.0000000000000001E-3</v>
      </c>
      <c r="I1004" s="39">
        <v>44501</v>
      </c>
      <c r="J1004" s="39">
        <v>44530</v>
      </c>
      <c r="K1004" s="24">
        <v>30</v>
      </c>
      <c r="L1004" s="24">
        <v>4305</v>
      </c>
      <c r="M1004" s="24">
        <v>10475040</v>
      </c>
      <c r="N1004" s="39">
        <v>46118</v>
      </c>
    </row>
    <row r="1005" spans="1:14" s="5" customFormat="1" outlineLevel="2">
      <c r="A1005" s="39" t="s">
        <v>270</v>
      </c>
      <c r="B1005" s="40" t="s">
        <v>221</v>
      </c>
      <c r="C1005" s="41" t="s">
        <v>143</v>
      </c>
      <c r="D1005" s="40" t="s">
        <v>144</v>
      </c>
      <c r="E1005" s="24">
        <v>2890000</v>
      </c>
      <c r="F1005" s="39">
        <v>44298</v>
      </c>
      <c r="G1005" s="24">
        <v>2890000</v>
      </c>
      <c r="H1005" s="23">
        <v>5.0000000000000001E-3</v>
      </c>
      <c r="I1005" s="39">
        <v>44501</v>
      </c>
      <c r="J1005" s="39">
        <v>44530</v>
      </c>
      <c r="K1005" s="24">
        <v>30</v>
      </c>
      <c r="L1005" s="24">
        <v>1188</v>
      </c>
      <c r="M1005" s="24">
        <v>2890000</v>
      </c>
      <c r="N1005" s="39">
        <v>46123</v>
      </c>
    </row>
    <row r="1006" spans="1:14" s="5" customFormat="1" outlineLevel="2">
      <c r="A1006" s="39" t="s">
        <v>270</v>
      </c>
      <c r="B1006" s="40" t="s">
        <v>222</v>
      </c>
      <c r="C1006" s="41" t="s">
        <v>273</v>
      </c>
      <c r="D1006" s="40" t="s">
        <v>272</v>
      </c>
      <c r="E1006" s="24">
        <v>5600000</v>
      </c>
      <c r="F1006" s="39">
        <v>44287</v>
      </c>
      <c r="G1006" s="24">
        <v>5600000</v>
      </c>
      <c r="H1006" s="23">
        <v>5.0000000000000001E-3</v>
      </c>
      <c r="I1006" s="39">
        <v>44501</v>
      </c>
      <c r="J1006" s="39">
        <v>44530</v>
      </c>
      <c r="K1006" s="24">
        <v>30</v>
      </c>
      <c r="L1006" s="24">
        <v>2301</v>
      </c>
      <c r="M1006" s="24">
        <v>5600000</v>
      </c>
      <c r="N1006" s="39">
        <v>46112</v>
      </c>
    </row>
    <row r="1007" spans="1:14" s="5" customFormat="1" outlineLevel="2">
      <c r="A1007" s="39" t="s">
        <v>270</v>
      </c>
      <c r="B1007" s="40" t="s">
        <v>223</v>
      </c>
      <c r="C1007" s="41" t="s">
        <v>273</v>
      </c>
      <c r="D1007" s="40" t="s">
        <v>272</v>
      </c>
      <c r="E1007" s="24">
        <v>24000000</v>
      </c>
      <c r="F1007" s="39">
        <v>44287</v>
      </c>
      <c r="G1007" s="24">
        <v>24000000</v>
      </c>
      <c r="H1007" s="23">
        <v>5.0000000000000001E-3</v>
      </c>
      <c r="I1007" s="39">
        <v>44501</v>
      </c>
      <c r="J1007" s="39">
        <v>44530</v>
      </c>
      <c r="K1007" s="24">
        <v>30</v>
      </c>
      <c r="L1007" s="24">
        <v>9863</v>
      </c>
      <c r="M1007" s="24">
        <v>24000000</v>
      </c>
      <c r="N1007" s="39">
        <v>46112</v>
      </c>
    </row>
    <row r="1008" spans="1:14" s="5" customFormat="1" outlineLevel="2">
      <c r="A1008" s="39" t="s">
        <v>270</v>
      </c>
      <c r="B1008" s="40" t="s">
        <v>224</v>
      </c>
      <c r="C1008" s="41" t="s">
        <v>341</v>
      </c>
      <c r="D1008" s="40" t="s">
        <v>340</v>
      </c>
      <c r="E1008" s="24">
        <v>19600000</v>
      </c>
      <c r="F1008" s="39">
        <v>44314</v>
      </c>
      <c r="G1008" s="24">
        <v>19600000</v>
      </c>
      <c r="H1008" s="23">
        <v>5.0000000000000001E-3</v>
      </c>
      <c r="I1008" s="39">
        <v>44501</v>
      </c>
      <c r="J1008" s="39">
        <v>44530</v>
      </c>
      <c r="K1008" s="24">
        <v>30</v>
      </c>
      <c r="L1008" s="24">
        <v>8055</v>
      </c>
      <c r="M1008" s="24">
        <v>19600000</v>
      </c>
      <c r="N1008" s="39">
        <v>46139</v>
      </c>
    </row>
    <row r="1009" spans="1:14" s="5" customFormat="1" outlineLevel="2">
      <c r="A1009" s="39" t="s">
        <v>270</v>
      </c>
      <c r="B1009" s="40" t="s">
        <v>225</v>
      </c>
      <c r="C1009" s="41" t="s">
        <v>341</v>
      </c>
      <c r="D1009" s="40" t="s">
        <v>340</v>
      </c>
      <c r="E1009" s="24">
        <v>46800000</v>
      </c>
      <c r="F1009" s="39">
        <v>44314</v>
      </c>
      <c r="G1009" s="24">
        <v>46800000</v>
      </c>
      <c r="H1009" s="23">
        <v>5.0000000000000001E-3</v>
      </c>
      <c r="I1009" s="39">
        <v>44501</v>
      </c>
      <c r="J1009" s="39">
        <v>44530</v>
      </c>
      <c r="K1009" s="24">
        <v>30</v>
      </c>
      <c r="L1009" s="24">
        <v>19233</v>
      </c>
      <c r="M1009" s="24">
        <v>46800000</v>
      </c>
      <c r="N1009" s="39">
        <v>46139</v>
      </c>
    </row>
    <row r="1010" spans="1:14" s="5" customFormat="1" outlineLevel="2">
      <c r="A1010" s="39" t="s">
        <v>270</v>
      </c>
      <c r="B1010" s="40" t="s">
        <v>226</v>
      </c>
      <c r="C1010" s="41" t="s">
        <v>274</v>
      </c>
      <c r="D1010" s="40" t="s">
        <v>275</v>
      </c>
      <c r="E1010" s="24">
        <v>10475040</v>
      </c>
      <c r="F1010" s="39">
        <v>44328</v>
      </c>
      <c r="G1010" s="24">
        <v>10475040</v>
      </c>
      <c r="H1010" s="23">
        <v>5.0000000000000001E-3</v>
      </c>
      <c r="I1010" s="39">
        <v>44501</v>
      </c>
      <c r="J1010" s="39">
        <v>44530</v>
      </c>
      <c r="K1010" s="24">
        <v>30</v>
      </c>
      <c r="L1010" s="24">
        <v>4305</v>
      </c>
      <c r="M1010" s="24">
        <v>10475040</v>
      </c>
      <c r="N1010" s="39">
        <v>46153</v>
      </c>
    </row>
    <row r="1011" spans="1:14" s="5" customFormat="1" outlineLevel="2">
      <c r="A1011" s="39" t="s">
        <v>270</v>
      </c>
      <c r="B1011" s="40" t="s">
        <v>227</v>
      </c>
      <c r="C1011" s="41" t="s">
        <v>274</v>
      </c>
      <c r="D1011" s="40" t="s">
        <v>275</v>
      </c>
      <c r="E1011" s="24">
        <v>18388440</v>
      </c>
      <c r="F1011" s="39">
        <v>44328</v>
      </c>
      <c r="G1011" s="24">
        <v>18388440</v>
      </c>
      <c r="H1011" s="23">
        <v>5.0000000000000001E-3</v>
      </c>
      <c r="I1011" s="39">
        <v>44501</v>
      </c>
      <c r="J1011" s="39">
        <v>44530</v>
      </c>
      <c r="K1011" s="24">
        <v>30</v>
      </c>
      <c r="L1011" s="24">
        <v>7557</v>
      </c>
      <c r="M1011" s="24">
        <v>18388440</v>
      </c>
      <c r="N1011" s="39">
        <v>46153</v>
      </c>
    </row>
    <row r="1012" spans="1:14" s="5" customFormat="1" outlineLevel="1">
      <c r="A1012" s="42" t="s">
        <v>282</v>
      </c>
      <c r="B1012" s="43"/>
      <c r="C1012" s="44"/>
      <c r="D1012" s="43"/>
      <c r="E1012" s="45">
        <v>6072882006</v>
      </c>
      <c r="F1012" s="46"/>
      <c r="G1012" s="45"/>
      <c r="H1012" s="47"/>
      <c r="I1012" s="46"/>
      <c r="J1012" s="46"/>
      <c r="K1012" s="45"/>
      <c r="L1012" s="45">
        <v>2342196</v>
      </c>
      <c r="M1012" s="45">
        <v>6041415486</v>
      </c>
      <c r="N1012" s="46"/>
    </row>
    <row r="1013" spans="1:14" s="5" customFormat="1" outlineLevel="2">
      <c r="A1013" s="39" t="s">
        <v>283</v>
      </c>
      <c r="B1013" s="40" t="s">
        <v>16</v>
      </c>
      <c r="C1013" s="41" t="s">
        <v>284</v>
      </c>
      <c r="D1013" s="40" t="s">
        <v>285</v>
      </c>
      <c r="E1013" s="24">
        <v>50000000</v>
      </c>
      <c r="F1013" s="39">
        <v>44211</v>
      </c>
      <c r="G1013" s="24">
        <v>50000000</v>
      </c>
      <c r="H1013" s="23">
        <v>5.0000000000000001E-3</v>
      </c>
      <c r="I1013" s="39">
        <v>44501</v>
      </c>
      <c r="J1013" s="39">
        <v>44530</v>
      </c>
      <c r="K1013" s="24">
        <v>30</v>
      </c>
      <c r="L1013" s="24">
        <v>20548</v>
      </c>
      <c r="M1013" s="24">
        <v>50000000</v>
      </c>
      <c r="N1013" s="39">
        <v>46036</v>
      </c>
    </row>
    <row r="1014" spans="1:14" s="5" customFormat="1" outlineLevel="1">
      <c r="A1014" s="42" t="s">
        <v>286</v>
      </c>
      <c r="B1014" s="43"/>
      <c r="C1014" s="44"/>
      <c r="D1014" s="43"/>
      <c r="E1014" s="45">
        <v>50000000</v>
      </c>
      <c r="F1014" s="46"/>
      <c r="G1014" s="45"/>
      <c r="H1014" s="47"/>
      <c r="I1014" s="46"/>
      <c r="J1014" s="46"/>
      <c r="K1014" s="45"/>
      <c r="L1014" s="45">
        <v>20548</v>
      </c>
      <c r="M1014" s="45">
        <v>50000000</v>
      </c>
      <c r="N1014" s="46"/>
    </row>
    <row r="1015" spans="1:14" s="5" customFormat="1" outlineLevel="2">
      <c r="A1015" s="39" t="s">
        <v>287</v>
      </c>
      <c r="B1015" s="40" t="s">
        <v>16</v>
      </c>
      <c r="C1015" s="41" t="s">
        <v>30</v>
      </c>
      <c r="D1015" s="40" t="s">
        <v>31</v>
      </c>
      <c r="E1015" s="24">
        <v>20000000</v>
      </c>
      <c r="F1015" s="39">
        <v>43985</v>
      </c>
      <c r="G1015" s="24">
        <v>20000000</v>
      </c>
      <c r="H1015" s="23">
        <v>5.0000000000000001E-3</v>
      </c>
      <c r="I1015" s="39">
        <v>44501</v>
      </c>
      <c r="J1015" s="39">
        <v>44530</v>
      </c>
      <c r="K1015" s="24">
        <v>30</v>
      </c>
      <c r="L1015" s="24">
        <v>8219</v>
      </c>
      <c r="M1015" s="24">
        <v>20000000</v>
      </c>
      <c r="N1015" s="39">
        <v>45810</v>
      </c>
    </row>
    <row r="1016" spans="1:14" s="5" customFormat="1" outlineLevel="2">
      <c r="A1016" s="39" t="s">
        <v>287</v>
      </c>
      <c r="B1016" s="40" t="s">
        <v>39</v>
      </c>
      <c r="C1016" s="41" t="s">
        <v>30</v>
      </c>
      <c r="D1016" s="40" t="s">
        <v>31</v>
      </c>
      <c r="E1016" s="24">
        <v>13800000</v>
      </c>
      <c r="F1016" s="39">
        <v>44034</v>
      </c>
      <c r="G1016" s="24">
        <v>13800000</v>
      </c>
      <c r="H1016" s="23">
        <v>5.0000000000000001E-3</v>
      </c>
      <c r="I1016" s="39">
        <v>44501</v>
      </c>
      <c r="J1016" s="39">
        <v>44530</v>
      </c>
      <c r="K1016" s="24">
        <v>30</v>
      </c>
      <c r="L1016" s="24">
        <v>5671</v>
      </c>
      <c r="M1016" s="24">
        <v>13800000</v>
      </c>
      <c r="N1016" s="39">
        <v>45859</v>
      </c>
    </row>
    <row r="1017" spans="1:14" s="5" customFormat="1" outlineLevel="2">
      <c r="A1017" s="39" t="s">
        <v>287</v>
      </c>
      <c r="B1017" s="40" t="s">
        <v>54</v>
      </c>
      <c r="C1017" s="41" t="s">
        <v>30</v>
      </c>
      <c r="D1017" s="40" t="s">
        <v>31</v>
      </c>
      <c r="E1017" s="24">
        <v>25000000</v>
      </c>
      <c r="F1017" s="39">
        <v>44102</v>
      </c>
      <c r="G1017" s="24">
        <v>25000000</v>
      </c>
      <c r="H1017" s="23">
        <v>5.0000000000000001E-3</v>
      </c>
      <c r="I1017" s="39">
        <v>44501</v>
      </c>
      <c r="J1017" s="39">
        <v>44530</v>
      </c>
      <c r="K1017" s="24">
        <v>30</v>
      </c>
      <c r="L1017" s="24">
        <v>10274</v>
      </c>
      <c r="M1017" s="24">
        <v>25000000</v>
      </c>
      <c r="N1017" s="39">
        <v>45927</v>
      </c>
    </row>
    <row r="1018" spans="1:14" s="5" customFormat="1" outlineLevel="2">
      <c r="A1018" s="39" t="s">
        <v>287</v>
      </c>
      <c r="B1018" s="40" t="s">
        <v>59</v>
      </c>
      <c r="C1018" s="41" t="s">
        <v>30</v>
      </c>
      <c r="D1018" s="40" t="s">
        <v>31</v>
      </c>
      <c r="E1018" s="24">
        <v>5600000</v>
      </c>
      <c r="F1018" s="39">
        <v>44103</v>
      </c>
      <c r="G1018" s="24">
        <v>5600000</v>
      </c>
      <c r="H1018" s="23">
        <v>5.0000000000000001E-3</v>
      </c>
      <c r="I1018" s="39">
        <v>44501</v>
      </c>
      <c r="J1018" s="39">
        <v>44530</v>
      </c>
      <c r="K1018" s="24">
        <v>30</v>
      </c>
      <c r="L1018" s="24">
        <v>2301</v>
      </c>
      <c r="M1018" s="24">
        <v>5600000</v>
      </c>
      <c r="N1018" s="39">
        <v>45928</v>
      </c>
    </row>
    <row r="1019" spans="1:14" s="5" customFormat="1" outlineLevel="2">
      <c r="A1019" s="39" t="s">
        <v>287</v>
      </c>
      <c r="B1019" s="40" t="s">
        <v>62</v>
      </c>
      <c r="C1019" s="41" t="s">
        <v>30</v>
      </c>
      <c r="D1019" s="40" t="s">
        <v>31</v>
      </c>
      <c r="E1019" s="24">
        <v>108000000</v>
      </c>
      <c r="F1019" s="39">
        <v>44476</v>
      </c>
      <c r="G1019" s="24">
        <v>108000000</v>
      </c>
      <c r="H1019" s="23">
        <v>5.0000000000000001E-3</v>
      </c>
      <c r="I1019" s="39">
        <v>44501</v>
      </c>
      <c r="J1019" s="39">
        <v>44530</v>
      </c>
      <c r="K1019" s="24">
        <v>30</v>
      </c>
      <c r="L1019" s="24">
        <v>44384</v>
      </c>
      <c r="M1019" s="24">
        <v>108000000</v>
      </c>
      <c r="N1019" s="39">
        <v>46301</v>
      </c>
    </row>
    <row r="1020" spans="1:14" s="5" customFormat="1" outlineLevel="1">
      <c r="A1020" s="42" t="s">
        <v>288</v>
      </c>
      <c r="B1020" s="43"/>
      <c r="C1020" s="44"/>
      <c r="D1020" s="43"/>
      <c r="E1020" s="45">
        <v>172400000</v>
      </c>
      <c r="F1020" s="46"/>
      <c r="G1020" s="45"/>
      <c r="H1020" s="47"/>
      <c r="I1020" s="46"/>
      <c r="J1020" s="46"/>
      <c r="K1020" s="45"/>
      <c r="L1020" s="45">
        <v>70849</v>
      </c>
      <c r="M1020" s="45">
        <v>172400000</v>
      </c>
      <c r="N1020" s="46"/>
    </row>
    <row r="1021" spans="1:14" s="5" customFormat="1" outlineLevel="2">
      <c r="A1021" s="39" t="s">
        <v>289</v>
      </c>
      <c r="B1021" s="40" t="s">
        <v>16</v>
      </c>
      <c r="C1021" s="41" t="s">
        <v>121</v>
      </c>
      <c r="D1021" s="40" t="s">
        <v>122</v>
      </c>
      <c r="E1021" s="24">
        <v>72000000</v>
      </c>
      <c r="F1021" s="39">
        <v>43917</v>
      </c>
      <c r="G1021" s="24">
        <v>72000000</v>
      </c>
      <c r="H1021" s="23">
        <v>5.0000000000000001E-3</v>
      </c>
      <c r="I1021" s="39">
        <v>44501</v>
      </c>
      <c r="J1021" s="39">
        <v>44530</v>
      </c>
      <c r="K1021" s="24">
        <v>30</v>
      </c>
      <c r="L1021" s="24">
        <v>29589</v>
      </c>
      <c r="M1021" s="24">
        <v>72000000</v>
      </c>
      <c r="N1021" s="39">
        <v>45742</v>
      </c>
    </row>
    <row r="1022" spans="1:14" s="5" customFormat="1" outlineLevel="2">
      <c r="A1022" s="39" t="s">
        <v>289</v>
      </c>
      <c r="B1022" s="40" t="s">
        <v>19</v>
      </c>
      <c r="C1022" s="41" t="s">
        <v>121</v>
      </c>
      <c r="D1022" s="40" t="s">
        <v>122</v>
      </c>
      <c r="E1022" s="24">
        <v>41000000</v>
      </c>
      <c r="F1022" s="39">
        <v>44483</v>
      </c>
      <c r="G1022" s="24">
        <v>41000000</v>
      </c>
      <c r="H1022" s="23">
        <v>5.0000000000000001E-3</v>
      </c>
      <c r="I1022" s="39">
        <v>44501</v>
      </c>
      <c r="J1022" s="39">
        <v>44530</v>
      </c>
      <c r="K1022" s="24">
        <v>30</v>
      </c>
      <c r="L1022" s="24">
        <v>16849</v>
      </c>
      <c r="M1022" s="24">
        <v>41000000</v>
      </c>
      <c r="N1022" s="39">
        <v>46308</v>
      </c>
    </row>
    <row r="1023" spans="1:14" s="5" customFormat="1" outlineLevel="2">
      <c r="A1023" s="39" t="s">
        <v>289</v>
      </c>
      <c r="B1023" s="40" t="s">
        <v>39</v>
      </c>
      <c r="C1023" s="41" t="s">
        <v>121</v>
      </c>
      <c r="D1023" s="40" t="s">
        <v>122</v>
      </c>
      <c r="E1023" s="24">
        <v>144000000</v>
      </c>
      <c r="F1023" s="39">
        <v>44018</v>
      </c>
      <c r="G1023" s="24">
        <v>144000000</v>
      </c>
      <c r="H1023" s="23">
        <v>5.0000000000000001E-3</v>
      </c>
      <c r="I1023" s="39">
        <v>44501</v>
      </c>
      <c r="J1023" s="39">
        <v>44530</v>
      </c>
      <c r="K1023" s="24">
        <v>30</v>
      </c>
      <c r="L1023" s="24">
        <v>59178</v>
      </c>
      <c r="M1023" s="24">
        <v>144000000</v>
      </c>
      <c r="N1023" s="39">
        <v>45843</v>
      </c>
    </row>
    <row r="1024" spans="1:14" s="5" customFormat="1" outlineLevel="2">
      <c r="A1024" s="39" t="s">
        <v>289</v>
      </c>
      <c r="B1024" s="40" t="s">
        <v>54</v>
      </c>
      <c r="C1024" s="41" t="s">
        <v>290</v>
      </c>
      <c r="D1024" s="40" t="s">
        <v>291</v>
      </c>
      <c r="E1024" s="24">
        <v>6820000</v>
      </c>
      <c r="F1024" s="39">
        <v>44092</v>
      </c>
      <c r="G1024" s="24">
        <v>5342329</v>
      </c>
      <c r="H1024" s="23">
        <v>5.0000000000000001E-3</v>
      </c>
      <c r="I1024" s="39">
        <v>44501</v>
      </c>
      <c r="J1024" s="39">
        <v>44514</v>
      </c>
      <c r="K1024" s="24">
        <v>14</v>
      </c>
      <c r="L1024" s="24">
        <v>1025</v>
      </c>
      <c r="M1024" s="24">
        <v>5228662</v>
      </c>
      <c r="N1024" s="39">
        <v>45917</v>
      </c>
    </row>
    <row r="1025" spans="1:14" s="5" customFormat="1" outlineLevel="2">
      <c r="A1025" s="39" t="s">
        <v>289</v>
      </c>
      <c r="B1025" s="40" t="s">
        <v>54</v>
      </c>
      <c r="C1025" s="41" t="s">
        <v>290</v>
      </c>
      <c r="D1025" s="40"/>
      <c r="E1025" s="24"/>
      <c r="F1025" s="39"/>
      <c r="G1025" s="24">
        <v>5228662</v>
      </c>
      <c r="H1025" s="23">
        <v>5.0000000000000001E-3</v>
      </c>
      <c r="I1025" s="39">
        <v>44515</v>
      </c>
      <c r="J1025" s="39">
        <v>44530</v>
      </c>
      <c r="K1025" s="24">
        <v>16</v>
      </c>
      <c r="L1025" s="24">
        <v>1146</v>
      </c>
      <c r="M1025" s="24"/>
      <c r="N1025" s="39">
        <v>45917</v>
      </c>
    </row>
    <row r="1026" spans="1:14" s="5" customFormat="1" outlineLevel="2">
      <c r="A1026" s="39" t="s">
        <v>289</v>
      </c>
      <c r="B1026" s="40" t="s">
        <v>59</v>
      </c>
      <c r="C1026" s="41" t="s">
        <v>290</v>
      </c>
      <c r="D1026" s="40" t="s">
        <v>291</v>
      </c>
      <c r="E1026" s="24">
        <v>17380000</v>
      </c>
      <c r="F1026" s="39">
        <v>44092</v>
      </c>
      <c r="G1026" s="24">
        <v>11103886</v>
      </c>
      <c r="H1026" s="23">
        <v>5.0000000000000001E-3</v>
      </c>
      <c r="I1026" s="39">
        <v>44501</v>
      </c>
      <c r="J1026" s="39">
        <v>44514</v>
      </c>
      <c r="K1026" s="24">
        <v>14</v>
      </c>
      <c r="L1026" s="24">
        <v>2130</v>
      </c>
      <c r="M1026" s="24">
        <v>10621108</v>
      </c>
      <c r="N1026" s="39">
        <v>45186</v>
      </c>
    </row>
    <row r="1027" spans="1:14" s="5" customFormat="1" outlineLevel="2">
      <c r="A1027" s="39" t="s">
        <v>289</v>
      </c>
      <c r="B1027" s="40" t="s">
        <v>59</v>
      </c>
      <c r="C1027" s="41" t="s">
        <v>290</v>
      </c>
      <c r="D1027" s="40"/>
      <c r="E1027" s="24"/>
      <c r="F1027" s="39"/>
      <c r="G1027" s="24">
        <v>10621108</v>
      </c>
      <c r="H1027" s="23">
        <v>5.0000000000000001E-3</v>
      </c>
      <c r="I1027" s="39">
        <v>44515</v>
      </c>
      <c r="J1027" s="39">
        <v>44530</v>
      </c>
      <c r="K1027" s="24">
        <v>16</v>
      </c>
      <c r="L1027" s="24">
        <v>2328</v>
      </c>
      <c r="M1027" s="24"/>
      <c r="N1027" s="39">
        <v>45186</v>
      </c>
    </row>
    <row r="1028" spans="1:14" s="5" customFormat="1" outlineLevel="2">
      <c r="A1028" s="39" t="s">
        <v>289</v>
      </c>
      <c r="B1028" s="40" t="s">
        <v>62</v>
      </c>
      <c r="C1028" s="41" t="s">
        <v>121</v>
      </c>
      <c r="D1028" s="40" t="s">
        <v>122</v>
      </c>
      <c r="E1028" s="24">
        <v>41000000</v>
      </c>
      <c r="F1028" s="39">
        <v>44140</v>
      </c>
      <c r="G1028" s="24">
        <v>41000000</v>
      </c>
      <c r="H1028" s="23">
        <v>5.0000000000000001E-3</v>
      </c>
      <c r="I1028" s="39">
        <v>44501</v>
      </c>
      <c r="J1028" s="39">
        <v>44530</v>
      </c>
      <c r="K1028" s="24">
        <v>30</v>
      </c>
      <c r="L1028" s="24">
        <v>16849</v>
      </c>
      <c r="M1028" s="24">
        <v>41000000</v>
      </c>
      <c r="N1028" s="39">
        <v>45965</v>
      </c>
    </row>
    <row r="1029" spans="1:14" s="5" customFormat="1" outlineLevel="2">
      <c r="A1029" s="39" t="s">
        <v>289</v>
      </c>
      <c r="B1029" s="40" t="s">
        <v>63</v>
      </c>
      <c r="C1029" s="41" t="s">
        <v>290</v>
      </c>
      <c r="D1029" s="40" t="s">
        <v>291</v>
      </c>
      <c r="E1029" s="24">
        <v>3220000</v>
      </c>
      <c r="F1029" s="39">
        <v>44161</v>
      </c>
      <c r="G1029" s="24">
        <v>2609313</v>
      </c>
      <c r="H1029" s="23">
        <v>5.0000000000000001E-3</v>
      </c>
      <c r="I1029" s="39">
        <v>44501</v>
      </c>
      <c r="J1029" s="39">
        <v>44514</v>
      </c>
      <c r="K1029" s="24">
        <v>14</v>
      </c>
      <c r="L1029" s="24">
        <v>500</v>
      </c>
      <c r="M1029" s="24">
        <v>2553796</v>
      </c>
      <c r="N1029" s="39">
        <v>45986</v>
      </c>
    </row>
    <row r="1030" spans="1:14" s="5" customFormat="1" outlineLevel="2">
      <c r="A1030" s="39" t="s">
        <v>289</v>
      </c>
      <c r="B1030" s="40" t="s">
        <v>63</v>
      </c>
      <c r="C1030" s="41" t="s">
        <v>290</v>
      </c>
      <c r="D1030" s="40"/>
      <c r="E1030" s="24"/>
      <c r="F1030" s="39"/>
      <c r="G1030" s="24">
        <v>2553796</v>
      </c>
      <c r="H1030" s="23">
        <v>5.0000000000000001E-3</v>
      </c>
      <c r="I1030" s="39">
        <v>44515</v>
      </c>
      <c r="J1030" s="39">
        <v>44530</v>
      </c>
      <c r="K1030" s="24">
        <v>16</v>
      </c>
      <c r="L1030" s="24">
        <v>560</v>
      </c>
      <c r="M1030" s="24"/>
      <c r="N1030" s="39">
        <v>45986</v>
      </c>
    </row>
    <row r="1031" spans="1:14" s="5" customFormat="1" outlineLevel="2">
      <c r="A1031" s="39" t="s">
        <v>289</v>
      </c>
      <c r="B1031" s="40" t="s">
        <v>64</v>
      </c>
      <c r="C1031" s="41" t="s">
        <v>121</v>
      </c>
      <c r="D1031" s="40" t="s">
        <v>122</v>
      </c>
      <c r="E1031" s="24">
        <v>50000000</v>
      </c>
      <c r="F1031" s="39">
        <v>44189</v>
      </c>
      <c r="G1031" s="24">
        <v>50000000</v>
      </c>
      <c r="H1031" s="23">
        <v>5.0000000000000001E-3</v>
      </c>
      <c r="I1031" s="39">
        <v>44501</v>
      </c>
      <c r="J1031" s="39">
        <v>44530</v>
      </c>
      <c r="K1031" s="24">
        <v>30</v>
      </c>
      <c r="L1031" s="24">
        <v>20548</v>
      </c>
      <c r="M1031" s="24">
        <v>50000000</v>
      </c>
      <c r="N1031" s="39">
        <v>46014</v>
      </c>
    </row>
    <row r="1032" spans="1:14" s="5" customFormat="1" outlineLevel="2">
      <c r="A1032" s="39" t="s">
        <v>289</v>
      </c>
      <c r="B1032" s="40" t="s">
        <v>65</v>
      </c>
      <c r="C1032" s="41" t="s">
        <v>121</v>
      </c>
      <c r="D1032" s="40" t="s">
        <v>122</v>
      </c>
      <c r="E1032" s="24">
        <v>15000000</v>
      </c>
      <c r="F1032" s="39">
        <v>44189</v>
      </c>
      <c r="G1032" s="24">
        <v>15000000</v>
      </c>
      <c r="H1032" s="23">
        <v>5.0000000000000001E-3</v>
      </c>
      <c r="I1032" s="39">
        <v>44501</v>
      </c>
      <c r="J1032" s="39">
        <v>44530</v>
      </c>
      <c r="K1032" s="24">
        <v>30</v>
      </c>
      <c r="L1032" s="24">
        <v>6164</v>
      </c>
      <c r="M1032" s="24">
        <v>15000000</v>
      </c>
      <c r="N1032" s="39">
        <v>46014</v>
      </c>
    </row>
    <row r="1033" spans="1:14" s="5" customFormat="1" outlineLevel="2">
      <c r="A1033" s="39" t="s">
        <v>289</v>
      </c>
      <c r="B1033" s="40" t="s">
        <v>68</v>
      </c>
      <c r="C1033" s="41" t="s">
        <v>121</v>
      </c>
      <c r="D1033" s="40" t="s">
        <v>122</v>
      </c>
      <c r="E1033" s="24">
        <v>850000</v>
      </c>
      <c r="F1033" s="39">
        <v>44253</v>
      </c>
      <c r="G1033" s="24">
        <v>850000</v>
      </c>
      <c r="H1033" s="23">
        <v>5.0000000000000001E-3</v>
      </c>
      <c r="I1033" s="39">
        <v>44501</v>
      </c>
      <c r="J1033" s="39">
        <v>44530</v>
      </c>
      <c r="K1033" s="24">
        <v>30</v>
      </c>
      <c r="L1033" s="24">
        <v>349</v>
      </c>
      <c r="M1033" s="24">
        <v>850000</v>
      </c>
      <c r="N1033" s="39">
        <v>46078</v>
      </c>
    </row>
    <row r="1034" spans="1:14" s="5" customFormat="1" outlineLevel="1">
      <c r="A1034" s="42" t="s">
        <v>292</v>
      </c>
      <c r="B1034" s="43"/>
      <c r="C1034" s="44"/>
      <c r="D1034" s="43"/>
      <c r="E1034" s="45">
        <v>391270000</v>
      </c>
      <c r="F1034" s="46"/>
      <c r="G1034" s="45"/>
      <c r="H1034" s="47"/>
      <c r="I1034" s="46"/>
      <c r="J1034" s="46"/>
      <c r="K1034" s="45"/>
      <c r="L1034" s="45">
        <v>157215</v>
      </c>
      <c r="M1034" s="45">
        <v>382253566</v>
      </c>
      <c r="N1034" s="46"/>
    </row>
    <row r="1035" spans="1:14" s="5" customFormat="1" outlineLevel="2">
      <c r="A1035" s="39" t="s">
        <v>293</v>
      </c>
      <c r="B1035" s="40" t="s">
        <v>16</v>
      </c>
      <c r="C1035" s="41" t="s">
        <v>121</v>
      </c>
      <c r="D1035" s="40" t="s">
        <v>122</v>
      </c>
      <c r="E1035" s="24">
        <v>190000000</v>
      </c>
      <c r="F1035" s="39">
        <v>43797</v>
      </c>
      <c r="G1035" s="24">
        <v>190000000</v>
      </c>
      <c r="H1035" s="23">
        <v>5.0000000000000001E-3</v>
      </c>
      <c r="I1035" s="39">
        <v>44501</v>
      </c>
      <c r="J1035" s="39">
        <v>44530</v>
      </c>
      <c r="K1035" s="24">
        <v>30</v>
      </c>
      <c r="L1035" s="24">
        <v>78082</v>
      </c>
      <c r="M1035" s="24">
        <v>190000000</v>
      </c>
      <c r="N1035" s="39">
        <v>45623</v>
      </c>
    </row>
    <row r="1036" spans="1:14" s="5" customFormat="1" outlineLevel="2">
      <c r="A1036" s="39" t="s">
        <v>293</v>
      </c>
      <c r="B1036" s="40" t="s">
        <v>19</v>
      </c>
      <c r="C1036" s="41" t="s">
        <v>55</v>
      </c>
      <c r="D1036" s="40" t="s">
        <v>56</v>
      </c>
      <c r="E1036" s="24">
        <v>1310400</v>
      </c>
      <c r="F1036" s="39">
        <v>44043</v>
      </c>
      <c r="G1036" s="24">
        <v>953025</v>
      </c>
      <c r="H1036" s="23">
        <v>5.0000000000000001E-3</v>
      </c>
      <c r="I1036" s="39">
        <v>44501</v>
      </c>
      <c r="J1036" s="39">
        <v>44514</v>
      </c>
      <c r="K1036" s="24">
        <v>14</v>
      </c>
      <c r="L1036" s="24">
        <v>183</v>
      </c>
      <c r="M1036" s="24">
        <v>929200</v>
      </c>
      <c r="N1036" s="39">
        <v>45868</v>
      </c>
    </row>
    <row r="1037" spans="1:14" s="5" customFormat="1" outlineLevel="2">
      <c r="A1037" s="39" t="s">
        <v>293</v>
      </c>
      <c r="B1037" s="40" t="s">
        <v>19</v>
      </c>
      <c r="C1037" s="41" t="s">
        <v>55</v>
      </c>
      <c r="D1037" s="40"/>
      <c r="E1037" s="24"/>
      <c r="F1037" s="39"/>
      <c r="G1037" s="24">
        <v>929200</v>
      </c>
      <c r="H1037" s="23">
        <v>5.0000000000000001E-3</v>
      </c>
      <c r="I1037" s="39">
        <v>44515</v>
      </c>
      <c r="J1037" s="39">
        <v>44530</v>
      </c>
      <c r="K1037" s="24">
        <v>16</v>
      </c>
      <c r="L1037" s="24">
        <v>204</v>
      </c>
      <c r="M1037" s="24"/>
      <c r="N1037" s="39">
        <v>45868</v>
      </c>
    </row>
    <row r="1038" spans="1:14" s="5" customFormat="1" outlineLevel="2">
      <c r="A1038" s="39" t="s">
        <v>293</v>
      </c>
      <c r="B1038" s="40" t="s">
        <v>22</v>
      </c>
      <c r="C1038" s="41" t="s">
        <v>20</v>
      </c>
      <c r="D1038" s="40" t="s">
        <v>21</v>
      </c>
      <c r="E1038" s="24">
        <v>201600000</v>
      </c>
      <c r="F1038" s="39">
        <v>44028</v>
      </c>
      <c r="G1038" s="24">
        <v>201600000</v>
      </c>
      <c r="H1038" s="23">
        <v>3.0000000000000001E-3</v>
      </c>
      <c r="I1038" s="39">
        <v>44501</v>
      </c>
      <c r="J1038" s="39">
        <v>44530</v>
      </c>
      <c r="K1038" s="24">
        <v>30</v>
      </c>
      <c r="L1038" s="24">
        <v>49710</v>
      </c>
      <c r="M1038" s="24">
        <v>201600000</v>
      </c>
      <c r="N1038" s="39">
        <v>45853</v>
      </c>
    </row>
    <row r="1039" spans="1:14" s="5" customFormat="1" outlineLevel="2">
      <c r="A1039" s="39" t="s">
        <v>293</v>
      </c>
      <c r="B1039" s="40" t="s">
        <v>25</v>
      </c>
      <c r="C1039" s="41" t="s">
        <v>294</v>
      </c>
      <c r="D1039" s="40" t="s">
        <v>295</v>
      </c>
      <c r="E1039" s="24">
        <v>67678400</v>
      </c>
      <c r="F1039" s="39">
        <v>44041</v>
      </c>
      <c r="G1039" s="24">
        <v>67678400</v>
      </c>
      <c r="H1039" s="23">
        <v>5.0000000000000001E-3</v>
      </c>
      <c r="I1039" s="39">
        <v>44501</v>
      </c>
      <c r="J1039" s="39">
        <v>44530</v>
      </c>
      <c r="K1039" s="24">
        <v>30</v>
      </c>
      <c r="L1039" s="24">
        <v>27813</v>
      </c>
      <c r="M1039" s="24">
        <v>67678400</v>
      </c>
      <c r="N1039" s="39">
        <v>45866</v>
      </c>
    </row>
    <row r="1040" spans="1:14" s="5" customFormat="1" outlineLevel="2">
      <c r="A1040" s="39" t="s">
        <v>293</v>
      </c>
      <c r="B1040" s="40" t="s">
        <v>26</v>
      </c>
      <c r="C1040" s="41" t="s">
        <v>294</v>
      </c>
      <c r="D1040" s="40" t="s">
        <v>295</v>
      </c>
      <c r="E1040" s="24">
        <v>56400000</v>
      </c>
      <c r="F1040" s="39">
        <v>44060</v>
      </c>
      <c r="G1040" s="24">
        <v>56400000</v>
      </c>
      <c r="H1040" s="23">
        <v>5.0000000000000001E-3</v>
      </c>
      <c r="I1040" s="39">
        <v>44501</v>
      </c>
      <c r="J1040" s="39">
        <v>44530</v>
      </c>
      <c r="K1040" s="24">
        <v>30</v>
      </c>
      <c r="L1040" s="24">
        <v>23178</v>
      </c>
      <c r="M1040" s="24">
        <v>56400000</v>
      </c>
      <c r="N1040" s="39">
        <v>45885</v>
      </c>
    </row>
    <row r="1041" spans="1:14" s="5" customFormat="1" outlineLevel="2">
      <c r="A1041" s="39" t="s">
        <v>293</v>
      </c>
      <c r="B1041" s="40" t="s">
        <v>29</v>
      </c>
      <c r="C1041" s="41" t="s">
        <v>294</v>
      </c>
      <c r="D1041" s="40" t="s">
        <v>295</v>
      </c>
      <c r="E1041" s="24">
        <v>56400000</v>
      </c>
      <c r="F1041" s="39">
        <v>44089</v>
      </c>
      <c r="G1041" s="24">
        <v>56400000</v>
      </c>
      <c r="H1041" s="23">
        <v>5.0000000000000001E-3</v>
      </c>
      <c r="I1041" s="39">
        <v>44501</v>
      </c>
      <c r="J1041" s="39">
        <v>44530</v>
      </c>
      <c r="K1041" s="24">
        <v>30</v>
      </c>
      <c r="L1041" s="24">
        <v>23178</v>
      </c>
      <c r="M1041" s="24">
        <v>56400000</v>
      </c>
      <c r="N1041" s="39">
        <v>45914</v>
      </c>
    </row>
    <row r="1042" spans="1:14" s="5" customFormat="1" outlineLevel="2">
      <c r="A1042" s="39" t="s">
        <v>293</v>
      </c>
      <c r="B1042" s="40" t="s">
        <v>32</v>
      </c>
      <c r="C1042" s="41" t="s">
        <v>294</v>
      </c>
      <c r="D1042" s="40" t="s">
        <v>295</v>
      </c>
      <c r="E1042" s="24">
        <v>56400000</v>
      </c>
      <c r="F1042" s="39">
        <v>44119</v>
      </c>
      <c r="G1042" s="24">
        <v>56400000</v>
      </c>
      <c r="H1042" s="23">
        <v>5.0000000000000001E-3</v>
      </c>
      <c r="I1042" s="39">
        <v>44501</v>
      </c>
      <c r="J1042" s="39">
        <v>44530</v>
      </c>
      <c r="K1042" s="24">
        <v>30</v>
      </c>
      <c r="L1042" s="24">
        <v>23178</v>
      </c>
      <c r="M1042" s="24">
        <v>56400000</v>
      </c>
      <c r="N1042" s="39">
        <v>45944</v>
      </c>
    </row>
    <row r="1043" spans="1:14" s="5" customFormat="1" outlineLevel="2">
      <c r="A1043" s="39" t="s">
        <v>293</v>
      </c>
      <c r="B1043" s="40" t="s">
        <v>33</v>
      </c>
      <c r="C1043" s="41" t="s">
        <v>55</v>
      </c>
      <c r="D1043" s="40" t="s">
        <v>56</v>
      </c>
      <c r="E1043" s="24">
        <v>1169666</v>
      </c>
      <c r="F1043" s="39">
        <v>44134</v>
      </c>
      <c r="G1043" s="24">
        <v>899738</v>
      </c>
      <c r="H1043" s="23">
        <v>5.0000000000000001E-3</v>
      </c>
      <c r="I1043" s="39">
        <v>44501</v>
      </c>
      <c r="J1043" s="39">
        <v>44514</v>
      </c>
      <c r="K1043" s="24">
        <v>14</v>
      </c>
      <c r="L1043" s="24">
        <v>173</v>
      </c>
      <c r="M1043" s="24">
        <v>877244</v>
      </c>
      <c r="N1043" s="39">
        <v>45959</v>
      </c>
    </row>
    <row r="1044" spans="1:14" s="5" customFormat="1" outlineLevel="2">
      <c r="A1044" s="39" t="s">
        <v>293</v>
      </c>
      <c r="B1044" s="40" t="s">
        <v>33</v>
      </c>
      <c r="C1044" s="41" t="s">
        <v>55</v>
      </c>
      <c r="D1044" s="40"/>
      <c r="E1044" s="24"/>
      <c r="F1044" s="39"/>
      <c r="G1044" s="24">
        <v>877244</v>
      </c>
      <c r="H1044" s="23">
        <v>5.0000000000000001E-3</v>
      </c>
      <c r="I1044" s="39">
        <v>44515</v>
      </c>
      <c r="J1044" s="39">
        <v>44530</v>
      </c>
      <c r="K1044" s="24">
        <v>16</v>
      </c>
      <c r="L1044" s="24">
        <v>192</v>
      </c>
      <c r="M1044" s="24"/>
      <c r="N1044" s="39">
        <v>45959</v>
      </c>
    </row>
    <row r="1045" spans="1:14" s="5" customFormat="1" outlineLevel="2">
      <c r="A1045" s="39" t="s">
        <v>293</v>
      </c>
      <c r="B1045" s="40" t="s">
        <v>34</v>
      </c>
      <c r="C1045" s="41" t="s">
        <v>294</v>
      </c>
      <c r="D1045" s="40" t="s">
        <v>295</v>
      </c>
      <c r="E1045" s="24">
        <v>56400000</v>
      </c>
      <c r="F1045" s="39">
        <v>44151</v>
      </c>
      <c r="G1045" s="24">
        <v>56400000</v>
      </c>
      <c r="H1045" s="23">
        <v>5.0000000000000001E-3</v>
      </c>
      <c r="I1045" s="39">
        <v>44501</v>
      </c>
      <c r="J1045" s="39">
        <v>44530</v>
      </c>
      <c r="K1045" s="24">
        <v>30</v>
      </c>
      <c r="L1045" s="24">
        <v>23178</v>
      </c>
      <c r="M1045" s="24">
        <v>56400000</v>
      </c>
      <c r="N1045" s="39">
        <v>45976</v>
      </c>
    </row>
    <row r="1046" spans="1:14" s="5" customFormat="1" outlineLevel="2">
      <c r="A1046" s="39" t="s">
        <v>293</v>
      </c>
      <c r="B1046" s="40" t="s">
        <v>35</v>
      </c>
      <c r="C1046" s="41" t="s">
        <v>115</v>
      </c>
      <c r="D1046" s="40" t="s">
        <v>116</v>
      </c>
      <c r="E1046" s="24">
        <v>2230000</v>
      </c>
      <c r="F1046" s="39">
        <v>44138</v>
      </c>
      <c r="G1046" s="24">
        <v>2230000</v>
      </c>
      <c r="H1046" s="23">
        <v>5.0000000000000001E-3</v>
      </c>
      <c r="I1046" s="39">
        <v>44501</v>
      </c>
      <c r="J1046" s="39">
        <v>44530</v>
      </c>
      <c r="K1046" s="24">
        <v>30</v>
      </c>
      <c r="L1046" s="24">
        <v>916</v>
      </c>
      <c r="M1046" s="24">
        <v>2230000</v>
      </c>
      <c r="N1046" s="39">
        <v>45963</v>
      </c>
    </row>
    <row r="1047" spans="1:14" s="5" customFormat="1" outlineLevel="2">
      <c r="A1047" s="39" t="s">
        <v>293</v>
      </c>
      <c r="B1047" s="40" t="s">
        <v>36</v>
      </c>
      <c r="C1047" s="41" t="s">
        <v>294</v>
      </c>
      <c r="D1047" s="40" t="s">
        <v>295</v>
      </c>
      <c r="E1047" s="24">
        <v>112800000</v>
      </c>
      <c r="F1047" s="39">
        <v>44180</v>
      </c>
      <c r="G1047" s="24">
        <v>112800000</v>
      </c>
      <c r="H1047" s="23">
        <v>5.0000000000000001E-3</v>
      </c>
      <c r="I1047" s="39">
        <v>44501</v>
      </c>
      <c r="J1047" s="39">
        <v>44530</v>
      </c>
      <c r="K1047" s="24">
        <v>30</v>
      </c>
      <c r="L1047" s="24">
        <v>46356</v>
      </c>
      <c r="M1047" s="24">
        <v>112800000</v>
      </c>
      <c r="N1047" s="39">
        <v>46005</v>
      </c>
    </row>
    <row r="1048" spans="1:14" s="5" customFormat="1" outlineLevel="2">
      <c r="A1048" s="39" t="s">
        <v>293</v>
      </c>
      <c r="B1048" s="40" t="s">
        <v>39</v>
      </c>
      <c r="C1048" s="41" t="s">
        <v>121</v>
      </c>
      <c r="D1048" s="40" t="s">
        <v>122</v>
      </c>
      <c r="E1048" s="24">
        <v>37000000</v>
      </c>
      <c r="F1048" s="39">
        <v>43829</v>
      </c>
      <c r="G1048" s="24">
        <v>37000000</v>
      </c>
      <c r="H1048" s="23">
        <v>5.0000000000000001E-3</v>
      </c>
      <c r="I1048" s="39">
        <v>44501</v>
      </c>
      <c r="J1048" s="39">
        <v>44530</v>
      </c>
      <c r="K1048" s="24">
        <v>30</v>
      </c>
      <c r="L1048" s="24">
        <v>15205</v>
      </c>
      <c r="M1048" s="24">
        <v>37000000</v>
      </c>
      <c r="N1048" s="39">
        <v>45655</v>
      </c>
    </row>
    <row r="1049" spans="1:14" s="5" customFormat="1" outlineLevel="2">
      <c r="A1049" s="39" t="s">
        <v>293</v>
      </c>
      <c r="B1049" s="40" t="s">
        <v>40</v>
      </c>
      <c r="C1049" s="41" t="s">
        <v>294</v>
      </c>
      <c r="D1049" s="40" t="s">
        <v>295</v>
      </c>
      <c r="E1049" s="24">
        <v>3667200</v>
      </c>
      <c r="F1049" s="39">
        <v>44180</v>
      </c>
      <c r="G1049" s="24">
        <v>3667200</v>
      </c>
      <c r="H1049" s="23">
        <v>5.0000000000000001E-3</v>
      </c>
      <c r="I1049" s="39">
        <v>44501</v>
      </c>
      <c r="J1049" s="39">
        <v>44530</v>
      </c>
      <c r="K1049" s="24">
        <v>30</v>
      </c>
      <c r="L1049" s="24">
        <v>1507</v>
      </c>
      <c r="M1049" s="24">
        <v>3667200</v>
      </c>
      <c r="N1049" s="39">
        <v>46005</v>
      </c>
    </row>
    <row r="1050" spans="1:14" s="5" customFormat="1" outlineLevel="2">
      <c r="A1050" s="39" t="s">
        <v>293</v>
      </c>
      <c r="B1050" s="40" t="s">
        <v>41</v>
      </c>
      <c r="C1050" s="41" t="s">
        <v>132</v>
      </c>
      <c r="D1050" s="40" t="s">
        <v>133</v>
      </c>
      <c r="E1050" s="24">
        <v>30870000</v>
      </c>
      <c r="F1050" s="39">
        <v>44175</v>
      </c>
      <c r="G1050" s="24">
        <v>30870000</v>
      </c>
      <c r="H1050" s="23">
        <v>5.0000000000000001E-3</v>
      </c>
      <c r="I1050" s="39">
        <v>44501</v>
      </c>
      <c r="J1050" s="39">
        <v>44530</v>
      </c>
      <c r="K1050" s="24">
        <v>30</v>
      </c>
      <c r="L1050" s="24">
        <v>12686</v>
      </c>
      <c r="M1050" s="24">
        <v>30870000</v>
      </c>
      <c r="N1050" s="39">
        <v>46000</v>
      </c>
    </row>
    <row r="1051" spans="1:14" s="5" customFormat="1" outlineLevel="2">
      <c r="A1051" s="39" t="s">
        <v>293</v>
      </c>
      <c r="B1051" s="40" t="s">
        <v>42</v>
      </c>
      <c r="C1051" s="41" t="s">
        <v>294</v>
      </c>
      <c r="D1051" s="40" t="s">
        <v>295</v>
      </c>
      <c r="E1051" s="24">
        <v>57011200</v>
      </c>
      <c r="F1051" s="39">
        <v>44211</v>
      </c>
      <c r="G1051" s="24">
        <v>57011200</v>
      </c>
      <c r="H1051" s="23">
        <v>5.0000000000000001E-3</v>
      </c>
      <c r="I1051" s="39">
        <v>44501</v>
      </c>
      <c r="J1051" s="39">
        <v>44530</v>
      </c>
      <c r="K1051" s="24">
        <v>30</v>
      </c>
      <c r="L1051" s="24">
        <v>23429</v>
      </c>
      <c r="M1051" s="24">
        <v>57011200</v>
      </c>
      <c r="N1051" s="39">
        <v>46036</v>
      </c>
    </row>
    <row r="1052" spans="1:14" s="5" customFormat="1" outlineLevel="2">
      <c r="A1052" s="39" t="s">
        <v>293</v>
      </c>
      <c r="B1052" s="40" t="s">
        <v>43</v>
      </c>
      <c r="C1052" s="41" t="s">
        <v>115</v>
      </c>
      <c r="D1052" s="40" t="s">
        <v>116</v>
      </c>
      <c r="E1052" s="24">
        <v>10000000</v>
      </c>
      <c r="F1052" s="39">
        <v>44225</v>
      </c>
      <c r="G1052" s="24">
        <v>10000000</v>
      </c>
      <c r="H1052" s="23">
        <v>5.0000000000000001E-3</v>
      </c>
      <c r="I1052" s="39">
        <v>44501</v>
      </c>
      <c r="J1052" s="39">
        <v>44530</v>
      </c>
      <c r="K1052" s="24">
        <v>30</v>
      </c>
      <c r="L1052" s="24">
        <v>4110</v>
      </c>
      <c r="M1052" s="24">
        <v>10000000</v>
      </c>
      <c r="N1052" s="39">
        <v>46050</v>
      </c>
    </row>
    <row r="1053" spans="1:14" s="5" customFormat="1" outlineLevel="2">
      <c r="A1053" s="39" t="s">
        <v>293</v>
      </c>
      <c r="B1053" s="40" t="s">
        <v>44</v>
      </c>
      <c r="C1053" s="41" t="s">
        <v>132</v>
      </c>
      <c r="D1053" s="40" t="s">
        <v>133</v>
      </c>
      <c r="E1053" s="24">
        <v>5880000</v>
      </c>
      <c r="F1053" s="39">
        <v>44207</v>
      </c>
      <c r="G1053" s="24">
        <v>5880000</v>
      </c>
      <c r="H1053" s="23">
        <v>5.0000000000000001E-3</v>
      </c>
      <c r="I1053" s="39">
        <v>44501</v>
      </c>
      <c r="J1053" s="39">
        <v>44530</v>
      </c>
      <c r="K1053" s="24">
        <v>30</v>
      </c>
      <c r="L1053" s="24">
        <v>2416</v>
      </c>
      <c r="M1053" s="24">
        <v>5880000</v>
      </c>
      <c r="N1053" s="39">
        <v>46032</v>
      </c>
    </row>
    <row r="1054" spans="1:14" s="5" customFormat="1" outlineLevel="2">
      <c r="A1054" s="39" t="s">
        <v>293</v>
      </c>
      <c r="B1054" s="40" t="s">
        <v>47</v>
      </c>
      <c r="C1054" s="41" t="s">
        <v>132</v>
      </c>
      <c r="D1054" s="40" t="s">
        <v>133</v>
      </c>
      <c r="E1054" s="24">
        <v>660000</v>
      </c>
      <c r="F1054" s="39">
        <v>44221</v>
      </c>
      <c r="G1054" s="24">
        <v>660000</v>
      </c>
      <c r="H1054" s="23">
        <v>5.0000000000000001E-3</v>
      </c>
      <c r="I1054" s="39">
        <v>44501</v>
      </c>
      <c r="J1054" s="39">
        <v>44530</v>
      </c>
      <c r="K1054" s="24">
        <v>30</v>
      </c>
      <c r="L1054" s="24">
        <v>271</v>
      </c>
      <c r="M1054" s="24">
        <v>660000</v>
      </c>
      <c r="N1054" s="39">
        <v>46046</v>
      </c>
    </row>
    <row r="1055" spans="1:14" s="5" customFormat="1" outlineLevel="2">
      <c r="A1055" s="39" t="s">
        <v>293</v>
      </c>
      <c r="B1055" s="40" t="s">
        <v>50</v>
      </c>
      <c r="C1055" s="41" t="s">
        <v>132</v>
      </c>
      <c r="D1055" s="40" t="s">
        <v>133</v>
      </c>
      <c r="E1055" s="24">
        <v>4160000</v>
      </c>
      <c r="F1055" s="39">
        <v>44207</v>
      </c>
      <c r="G1055" s="24">
        <v>4160000</v>
      </c>
      <c r="H1055" s="23">
        <v>5.0000000000000001E-3</v>
      </c>
      <c r="I1055" s="39">
        <v>44501</v>
      </c>
      <c r="J1055" s="39">
        <v>44530</v>
      </c>
      <c r="K1055" s="24">
        <v>30</v>
      </c>
      <c r="L1055" s="24">
        <v>1710</v>
      </c>
      <c r="M1055" s="24">
        <v>4160000</v>
      </c>
      <c r="N1055" s="39">
        <v>46032</v>
      </c>
    </row>
    <row r="1056" spans="1:14" s="5" customFormat="1" outlineLevel="2">
      <c r="A1056" s="39" t="s">
        <v>293</v>
      </c>
      <c r="B1056" s="40" t="s">
        <v>51</v>
      </c>
      <c r="C1056" s="41" t="s">
        <v>294</v>
      </c>
      <c r="D1056" s="40" t="s">
        <v>295</v>
      </c>
      <c r="E1056" s="24">
        <v>64400000</v>
      </c>
      <c r="F1056" s="39">
        <v>44236</v>
      </c>
      <c r="G1056" s="24">
        <v>64400000</v>
      </c>
      <c r="H1056" s="23">
        <v>5.0000000000000001E-3</v>
      </c>
      <c r="I1056" s="39">
        <v>44501</v>
      </c>
      <c r="J1056" s="39">
        <v>44530</v>
      </c>
      <c r="K1056" s="24">
        <v>30</v>
      </c>
      <c r="L1056" s="24">
        <v>26466</v>
      </c>
      <c r="M1056" s="24">
        <v>64400000</v>
      </c>
      <c r="N1056" s="39">
        <v>46061</v>
      </c>
    </row>
    <row r="1057" spans="1:14" s="5" customFormat="1" outlineLevel="2">
      <c r="A1057" s="39" t="s">
        <v>293</v>
      </c>
      <c r="B1057" s="40" t="s">
        <v>52</v>
      </c>
      <c r="C1057" s="41" t="s">
        <v>294</v>
      </c>
      <c r="D1057" s="40" t="s">
        <v>295</v>
      </c>
      <c r="E1057" s="24">
        <v>57011200</v>
      </c>
      <c r="F1057" s="39">
        <v>44245</v>
      </c>
      <c r="G1057" s="24">
        <v>57011200</v>
      </c>
      <c r="H1057" s="23">
        <v>5.0000000000000001E-3</v>
      </c>
      <c r="I1057" s="39">
        <v>44501</v>
      </c>
      <c r="J1057" s="39">
        <v>44530</v>
      </c>
      <c r="K1057" s="24">
        <v>30</v>
      </c>
      <c r="L1057" s="24">
        <v>23429</v>
      </c>
      <c r="M1057" s="24">
        <v>57011200</v>
      </c>
      <c r="N1057" s="39">
        <v>46070</v>
      </c>
    </row>
    <row r="1058" spans="1:14" s="5" customFormat="1" outlineLevel="2">
      <c r="A1058" s="39" t="s">
        <v>293</v>
      </c>
      <c r="B1058" s="40" t="s">
        <v>53</v>
      </c>
      <c r="C1058" s="41" t="s">
        <v>132</v>
      </c>
      <c r="D1058" s="40" t="s">
        <v>133</v>
      </c>
      <c r="E1058" s="24">
        <v>3640000</v>
      </c>
      <c r="F1058" s="39">
        <v>44244</v>
      </c>
      <c r="G1058" s="24">
        <v>3640000</v>
      </c>
      <c r="H1058" s="23">
        <v>5.0000000000000001E-3</v>
      </c>
      <c r="I1058" s="39">
        <v>44501</v>
      </c>
      <c r="J1058" s="39">
        <v>44530</v>
      </c>
      <c r="K1058" s="24">
        <v>30</v>
      </c>
      <c r="L1058" s="24">
        <v>1496</v>
      </c>
      <c r="M1058" s="24">
        <v>3640000</v>
      </c>
      <c r="N1058" s="39">
        <v>46069</v>
      </c>
    </row>
    <row r="1059" spans="1:14" s="5" customFormat="1" outlineLevel="2">
      <c r="A1059" s="39" t="s">
        <v>293</v>
      </c>
      <c r="B1059" s="40" t="s">
        <v>54</v>
      </c>
      <c r="C1059" s="41" t="s">
        <v>55</v>
      </c>
      <c r="D1059" s="40" t="s">
        <v>56</v>
      </c>
      <c r="E1059" s="24">
        <v>17276700</v>
      </c>
      <c r="F1059" s="39">
        <v>43878</v>
      </c>
      <c r="G1059" s="24">
        <v>11517800</v>
      </c>
      <c r="H1059" s="23">
        <v>5.0000000000000001E-3</v>
      </c>
      <c r="I1059" s="39">
        <v>44501</v>
      </c>
      <c r="J1059" s="39">
        <v>44514</v>
      </c>
      <c r="K1059" s="24">
        <v>14</v>
      </c>
      <c r="L1059" s="24">
        <v>2209</v>
      </c>
      <c r="M1059" s="24">
        <v>11229855</v>
      </c>
      <c r="N1059" s="39">
        <v>45704</v>
      </c>
    </row>
    <row r="1060" spans="1:14" s="5" customFormat="1" outlineLevel="2">
      <c r="A1060" s="39" t="s">
        <v>293</v>
      </c>
      <c r="B1060" s="40" t="s">
        <v>54</v>
      </c>
      <c r="C1060" s="41" t="s">
        <v>55</v>
      </c>
      <c r="D1060" s="40"/>
      <c r="E1060" s="24"/>
      <c r="F1060" s="39"/>
      <c r="G1060" s="24">
        <v>11229855</v>
      </c>
      <c r="H1060" s="23">
        <v>5.0000000000000001E-3</v>
      </c>
      <c r="I1060" s="39">
        <v>44515</v>
      </c>
      <c r="J1060" s="39">
        <v>44530</v>
      </c>
      <c r="K1060" s="24">
        <v>16</v>
      </c>
      <c r="L1060" s="24">
        <v>2461</v>
      </c>
      <c r="M1060" s="24"/>
      <c r="N1060" s="39">
        <v>45704</v>
      </c>
    </row>
    <row r="1061" spans="1:14" s="5" customFormat="1" outlineLevel="2">
      <c r="A1061" s="39" t="s">
        <v>293</v>
      </c>
      <c r="B1061" s="40" t="s">
        <v>57</v>
      </c>
      <c r="C1061" s="41" t="s">
        <v>132</v>
      </c>
      <c r="D1061" s="40" t="s">
        <v>133</v>
      </c>
      <c r="E1061" s="24">
        <v>7500000</v>
      </c>
      <c r="F1061" s="39">
        <v>44228</v>
      </c>
      <c r="G1061" s="24">
        <v>7500000</v>
      </c>
      <c r="H1061" s="23">
        <v>5.0000000000000001E-3</v>
      </c>
      <c r="I1061" s="39">
        <v>44501</v>
      </c>
      <c r="J1061" s="39">
        <v>44530</v>
      </c>
      <c r="K1061" s="24">
        <v>30</v>
      </c>
      <c r="L1061" s="24">
        <v>3082</v>
      </c>
      <c r="M1061" s="24">
        <v>7500000</v>
      </c>
      <c r="N1061" s="39">
        <v>46053</v>
      </c>
    </row>
    <row r="1062" spans="1:14" s="5" customFormat="1" outlineLevel="2">
      <c r="A1062" s="39" t="s">
        <v>293</v>
      </c>
      <c r="B1062" s="40" t="s">
        <v>58</v>
      </c>
      <c r="C1062" s="41" t="s">
        <v>132</v>
      </c>
      <c r="D1062" s="40" t="s">
        <v>133</v>
      </c>
      <c r="E1062" s="24">
        <v>7490000</v>
      </c>
      <c r="F1062" s="39">
        <v>44235</v>
      </c>
      <c r="G1062" s="24">
        <v>7490000</v>
      </c>
      <c r="H1062" s="23">
        <v>5.0000000000000001E-3</v>
      </c>
      <c r="I1062" s="39">
        <v>44501</v>
      </c>
      <c r="J1062" s="39">
        <v>44530</v>
      </c>
      <c r="K1062" s="24">
        <v>30</v>
      </c>
      <c r="L1062" s="24">
        <v>3078</v>
      </c>
      <c r="M1062" s="24">
        <v>7490000</v>
      </c>
      <c r="N1062" s="39">
        <v>46060</v>
      </c>
    </row>
    <row r="1063" spans="1:14" s="5" customFormat="1" outlineLevel="2">
      <c r="A1063" s="39" t="s">
        <v>293</v>
      </c>
      <c r="B1063" s="40" t="s">
        <v>99</v>
      </c>
      <c r="C1063" s="41" t="s">
        <v>132</v>
      </c>
      <c r="D1063" s="40" t="s">
        <v>133</v>
      </c>
      <c r="E1063" s="24">
        <v>6670000</v>
      </c>
      <c r="F1063" s="39">
        <v>44252</v>
      </c>
      <c r="G1063" s="24">
        <v>6670000</v>
      </c>
      <c r="H1063" s="23">
        <v>5.0000000000000001E-3</v>
      </c>
      <c r="I1063" s="39">
        <v>44501</v>
      </c>
      <c r="J1063" s="39">
        <v>44530</v>
      </c>
      <c r="K1063" s="24">
        <v>30</v>
      </c>
      <c r="L1063" s="24">
        <v>2741</v>
      </c>
      <c r="M1063" s="24">
        <v>6670000</v>
      </c>
      <c r="N1063" s="39">
        <v>46077</v>
      </c>
    </row>
    <row r="1064" spans="1:14" s="5" customFormat="1" outlineLevel="2">
      <c r="A1064" s="39" t="s">
        <v>293</v>
      </c>
      <c r="B1064" s="40" t="s">
        <v>100</v>
      </c>
      <c r="C1064" s="41" t="s">
        <v>20</v>
      </c>
      <c r="D1064" s="40" t="s">
        <v>21</v>
      </c>
      <c r="E1064" s="24">
        <v>199200000</v>
      </c>
      <c r="F1064" s="39">
        <v>44259</v>
      </c>
      <c r="G1064" s="24">
        <v>199200000</v>
      </c>
      <c r="H1064" s="23">
        <v>3.0000000000000001E-3</v>
      </c>
      <c r="I1064" s="39">
        <v>44501</v>
      </c>
      <c r="J1064" s="39">
        <v>44530</v>
      </c>
      <c r="K1064" s="24">
        <v>30</v>
      </c>
      <c r="L1064" s="24">
        <v>49118</v>
      </c>
      <c r="M1064" s="24">
        <v>199200000</v>
      </c>
      <c r="N1064" s="39">
        <v>46084</v>
      </c>
    </row>
    <row r="1065" spans="1:14" s="5" customFormat="1" outlineLevel="2">
      <c r="A1065" s="39" t="s">
        <v>293</v>
      </c>
      <c r="B1065" s="40" t="s">
        <v>101</v>
      </c>
      <c r="C1065" s="41" t="s">
        <v>294</v>
      </c>
      <c r="D1065" s="40" t="s">
        <v>295</v>
      </c>
      <c r="E1065" s="24">
        <v>39703444</v>
      </c>
      <c r="F1065" s="39">
        <v>44270</v>
      </c>
      <c r="G1065" s="24">
        <v>39703444</v>
      </c>
      <c r="H1065" s="23">
        <v>5.0000000000000001E-3</v>
      </c>
      <c r="I1065" s="39">
        <v>44501</v>
      </c>
      <c r="J1065" s="39">
        <v>44530</v>
      </c>
      <c r="K1065" s="24">
        <v>30</v>
      </c>
      <c r="L1065" s="24">
        <v>16316</v>
      </c>
      <c r="M1065" s="24">
        <v>39703444</v>
      </c>
      <c r="N1065" s="39">
        <v>46095</v>
      </c>
    </row>
    <row r="1066" spans="1:14" s="5" customFormat="1" outlineLevel="2">
      <c r="A1066" s="39" t="s">
        <v>293</v>
      </c>
      <c r="B1066" s="40" t="s">
        <v>102</v>
      </c>
      <c r="C1066" s="41" t="s">
        <v>115</v>
      </c>
      <c r="D1066" s="40" t="s">
        <v>116</v>
      </c>
      <c r="E1066" s="24">
        <v>27770000</v>
      </c>
      <c r="F1066" s="39">
        <v>44273</v>
      </c>
      <c r="G1066" s="24">
        <v>27770000</v>
      </c>
      <c r="H1066" s="23">
        <v>5.0000000000000001E-3</v>
      </c>
      <c r="I1066" s="39">
        <v>44501</v>
      </c>
      <c r="J1066" s="39">
        <v>44530</v>
      </c>
      <c r="K1066" s="24">
        <v>30</v>
      </c>
      <c r="L1066" s="24">
        <v>11412</v>
      </c>
      <c r="M1066" s="24">
        <v>27770000</v>
      </c>
      <c r="N1066" s="39">
        <v>46098</v>
      </c>
    </row>
    <row r="1067" spans="1:14" s="5" customFormat="1" outlineLevel="2">
      <c r="A1067" s="39" t="s">
        <v>293</v>
      </c>
      <c r="B1067" s="40" t="s">
        <v>103</v>
      </c>
      <c r="C1067" s="41" t="s">
        <v>132</v>
      </c>
      <c r="D1067" s="40" t="s">
        <v>133</v>
      </c>
      <c r="E1067" s="24">
        <v>2620000</v>
      </c>
      <c r="F1067" s="39">
        <v>44280</v>
      </c>
      <c r="G1067" s="24">
        <v>2620000</v>
      </c>
      <c r="H1067" s="23">
        <v>5.0000000000000001E-3</v>
      </c>
      <c r="I1067" s="39">
        <v>44501</v>
      </c>
      <c r="J1067" s="39">
        <v>44530</v>
      </c>
      <c r="K1067" s="24">
        <v>30</v>
      </c>
      <c r="L1067" s="24">
        <v>1077</v>
      </c>
      <c r="M1067" s="24">
        <v>2620000</v>
      </c>
      <c r="N1067" s="39">
        <v>46105</v>
      </c>
    </row>
    <row r="1068" spans="1:14" s="5" customFormat="1" outlineLevel="2">
      <c r="A1068" s="39" t="s">
        <v>293</v>
      </c>
      <c r="B1068" s="40" t="s">
        <v>104</v>
      </c>
      <c r="C1068" s="41" t="s">
        <v>132</v>
      </c>
      <c r="D1068" s="40" t="s">
        <v>133</v>
      </c>
      <c r="E1068" s="24">
        <v>6350000</v>
      </c>
      <c r="F1068" s="39">
        <v>44265</v>
      </c>
      <c r="G1068" s="24">
        <v>6350000</v>
      </c>
      <c r="H1068" s="23">
        <v>5.0000000000000001E-3</v>
      </c>
      <c r="I1068" s="39">
        <v>44501</v>
      </c>
      <c r="J1068" s="39">
        <v>44530</v>
      </c>
      <c r="K1068" s="24">
        <v>30</v>
      </c>
      <c r="L1068" s="24">
        <v>2610</v>
      </c>
      <c r="M1068" s="24">
        <v>6350000</v>
      </c>
      <c r="N1068" s="39">
        <v>46090</v>
      </c>
    </row>
    <row r="1069" spans="1:14" s="5" customFormat="1" outlineLevel="2">
      <c r="A1069" s="39" t="s">
        <v>293</v>
      </c>
      <c r="B1069" s="40" t="s">
        <v>105</v>
      </c>
      <c r="C1069" s="41" t="s">
        <v>132</v>
      </c>
      <c r="D1069" s="40" t="s">
        <v>133</v>
      </c>
      <c r="E1069" s="24">
        <v>1870000</v>
      </c>
      <c r="F1069" s="39">
        <v>44280</v>
      </c>
      <c r="G1069" s="24">
        <v>1870000</v>
      </c>
      <c r="H1069" s="23">
        <v>5.0000000000000001E-3</v>
      </c>
      <c r="I1069" s="39">
        <v>44501</v>
      </c>
      <c r="J1069" s="39">
        <v>44530</v>
      </c>
      <c r="K1069" s="24">
        <v>30</v>
      </c>
      <c r="L1069" s="24">
        <v>768</v>
      </c>
      <c r="M1069" s="24">
        <v>1870000</v>
      </c>
      <c r="N1069" s="39">
        <v>46105</v>
      </c>
    </row>
    <row r="1070" spans="1:14" s="5" customFormat="1" outlineLevel="2">
      <c r="A1070" s="39" t="s">
        <v>293</v>
      </c>
      <c r="B1070" s="40" t="s">
        <v>106</v>
      </c>
      <c r="C1070" s="41" t="s">
        <v>294</v>
      </c>
      <c r="D1070" s="40" t="s">
        <v>295</v>
      </c>
      <c r="E1070" s="24">
        <v>72291200</v>
      </c>
      <c r="F1070" s="39">
        <v>44301</v>
      </c>
      <c r="G1070" s="24">
        <v>72291200</v>
      </c>
      <c r="H1070" s="23">
        <v>5.0000000000000001E-3</v>
      </c>
      <c r="I1070" s="39">
        <v>44501</v>
      </c>
      <c r="J1070" s="39">
        <v>44530</v>
      </c>
      <c r="K1070" s="24">
        <v>30</v>
      </c>
      <c r="L1070" s="24">
        <v>29709</v>
      </c>
      <c r="M1070" s="24">
        <v>72291200</v>
      </c>
      <c r="N1070" s="39">
        <v>46126</v>
      </c>
    </row>
    <row r="1071" spans="1:14" s="5" customFormat="1" outlineLevel="2">
      <c r="A1071" s="39" t="s">
        <v>293</v>
      </c>
      <c r="B1071" s="40" t="s">
        <v>59</v>
      </c>
      <c r="C1071" s="41" t="s">
        <v>121</v>
      </c>
      <c r="D1071" s="40" t="s">
        <v>122</v>
      </c>
      <c r="E1071" s="24">
        <v>73000000</v>
      </c>
      <c r="F1071" s="39">
        <v>43896</v>
      </c>
      <c r="G1071" s="24">
        <v>73000000</v>
      </c>
      <c r="H1071" s="23">
        <v>5.0000000000000001E-3</v>
      </c>
      <c r="I1071" s="39">
        <v>44501</v>
      </c>
      <c r="J1071" s="39">
        <v>44530</v>
      </c>
      <c r="K1071" s="24">
        <v>30</v>
      </c>
      <c r="L1071" s="24">
        <v>30000</v>
      </c>
      <c r="M1071" s="24">
        <v>73000000</v>
      </c>
      <c r="N1071" s="39">
        <v>45721</v>
      </c>
    </row>
    <row r="1072" spans="1:14" s="5" customFormat="1" outlineLevel="2">
      <c r="A1072" s="39" t="s">
        <v>293</v>
      </c>
      <c r="B1072" s="40" t="s">
        <v>136</v>
      </c>
      <c r="C1072" s="41" t="s">
        <v>132</v>
      </c>
      <c r="D1072" s="40" t="s">
        <v>133</v>
      </c>
      <c r="E1072" s="24">
        <v>750000</v>
      </c>
      <c r="F1072" s="39">
        <v>44301</v>
      </c>
      <c r="G1072" s="24">
        <v>750000</v>
      </c>
      <c r="H1072" s="23">
        <v>5.0000000000000001E-3</v>
      </c>
      <c r="I1072" s="39">
        <v>44501</v>
      </c>
      <c r="J1072" s="39">
        <v>44530</v>
      </c>
      <c r="K1072" s="24">
        <v>30</v>
      </c>
      <c r="L1072" s="24">
        <v>308</v>
      </c>
      <c r="M1072" s="24">
        <v>750000</v>
      </c>
      <c r="N1072" s="39">
        <v>46126</v>
      </c>
    </row>
    <row r="1073" spans="1:14" s="5" customFormat="1" outlineLevel="2">
      <c r="A1073" s="39" t="s">
        <v>293</v>
      </c>
      <c r="B1073" s="40" t="s">
        <v>137</v>
      </c>
      <c r="C1073" s="41" t="s">
        <v>132</v>
      </c>
      <c r="D1073" s="40" t="s">
        <v>133</v>
      </c>
      <c r="E1073" s="24">
        <v>4560000</v>
      </c>
      <c r="F1073" s="39">
        <v>44298</v>
      </c>
      <c r="G1073" s="24">
        <v>4560000</v>
      </c>
      <c r="H1073" s="23">
        <v>5.0000000000000001E-3</v>
      </c>
      <c r="I1073" s="39">
        <v>44501</v>
      </c>
      <c r="J1073" s="39">
        <v>44530</v>
      </c>
      <c r="K1073" s="24">
        <v>30</v>
      </c>
      <c r="L1073" s="24">
        <v>1874</v>
      </c>
      <c r="M1073" s="24">
        <v>4560000</v>
      </c>
      <c r="N1073" s="39">
        <v>46123</v>
      </c>
    </row>
    <row r="1074" spans="1:14" s="5" customFormat="1" outlineLevel="2">
      <c r="A1074" s="39" t="s">
        <v>293</v>
      </c>
      <c r="B1074" s="40" t="s">
        <v>138</v>
      </c>
      <c r="C1074" s="41" t="s">
        <v>132</v>
      </c>
      <c r="D1074" s="40" t="s">
        <v>133</v>
      </c>
      <c r="E1074" s="24">
        <v>10770000</v>
      </c>
      <c r="F1074" s="39">
        <v>44312</v>
      </c>
      <c r="G1074" s="24">
        <v>10770000</v>
      </c>
      <c r="H1074" s="23">
        <v>5.0000000000000001E-3</v>
      </c>
      <c r="I1074" s="39">
        <v>44501</v>
      </c>
      <c r="J1074" s="39">
        <v>44530</v>
      </c>
      <c r="K1074" s="24">
        <v>30</v>
      </c>
      <c r="L1074" s="24">
        <v>4426</v>
      </c>
      <c r="M1074" s="24">
        <v>10770000</v>
      </c>
      <c r="N1074" s="39">
        <v>46137</v>
      </c>
    </row>
    <row r="1075" spans="1:14" s="5" customFormat="1" outlineLevel="2">
      <c r="A1075" s="39" t="s">
        <v>293</v>
      </c>
      <c r="B1075" s="40" t="s">
        <v>139</v>
      </c>
      <c r="C1075" s="41" t="s">
        <v>339</v>
      </c>
      <c r="D1075" s="40" t="s">
        <v>338</v>
      </c>
      <c r="E1075" s="24">
        <v>500000</v>
      </c>
      <c r="F1075" s="39">
        <v>44293</v>
      </c>
      <c r="G1075" s="24">
        <v>500000</v>
      </c>
      <c r="H1075" s="23">
        <v>5.0000000000000001E-3</v>
      </c>
      <c r="I1075" s="39">
        <v>44501</v>
      </c>
      <c r="J1075" s="39">
        <v>44530</v>
      </c>
      <c r="K1075" s="24">
        <v>30</v>
      </c>
      <c r="L1075" s="24">
        <v>205</v>
      </c>
      <c r="M1075" s="24">
        <v>500000</v>
      </c>
      <c r="N1075" s="39">
        <v>46118</v>
      </c>
    </row>
    <row r="1076" spans="1:14" s="5" customFormat="1" outlineLevel="2">
      <c r="A1076" s="39" t="s">
        <v>293</v>
      </c>
      <c r="B1076" s="40" t="s">
        <v>140</v>
      </c>
      <c r="C1076" s="41" t="s">
        <v>294</v>
      </c>
      <c r="D1076" s="40" t="s">
        <v>295</v>
      </c>
      <c r="E1076" s="24">
        <v>83384000</v>
      </c>
      <c r="F1076" s="39">
        <v>44333</v>
      </c>
      <c r="G1076" s="24">
        <v>83384000</v>
      </c>
      <c r="H1076" s="23">
        <v>5.0000000000000001E-3</v>
      </c>
      <c r="I1076" s="39">
        <v>44501</v>
      </c>
      <c r="J1076" s="39">
        <v>44530</v>
      </c>
      <c r="K1076" s="24">
        <v>30</v>
      </c>
      <c r="L1076" s="24">
        <v>34267</v>
      </c>
      <c r="M1076" s="24">
        <v>83384000</v>
      </c>
      <c r="N1076" s="39">
        <v>46158</v>
      </c>
    </row>
    <row r="1077" spans="1:14" s="5" customFormat="1" outlineLevel="2">
      <c r="A1077" s="39" t="s">
        <v>293</v>
      </c>
      <c r="B1077" s="40" t="s">
        <v>169</v>
      </c>
      <c r="C1077" s="41" t="s">
        <v>294</v>
      </c>
      <c r="D1077" s="40" t="s">
        <v>295</v>
      </c>
      <c r="E1077" s="24">
        <v>11904000</v>
      </c>
      <c r="F1077" s="39">
        <v>44347</v>
      </c>
      <c r="G1077" s="24">
        <v>11904000</v>
      </c>
      <c r="H1077" s="23">
        <v>5.0000000000000001E-3</v>
      </c>
      <c r="I1077" s="39">
        <v>44501</v>
      </c>
      <c r="J1077" s="39">
        <v>44530</v>
      </c>
      <c r="K1077" s="24">
        <v>30</v>
      </c>
      <c r="L1077" s="24">
        <v>4892</v>
      </c>
      <c r="M1077" s="24">
        <v>11904000</v>
      </c>
      <c r="N1077" s="39">
        <v>46172</v>
      </c>
    </row>
    <row r="1078" spans="1:14" s="5" customFormat="1" outlineLevel="2">
      <c r="A1078" s="39" t="s">
        <v>293</v>
      </c>
      <c r="B1078" s="40" t="s">
        <v>170</v>
      </c>
      <c r="C1078" s="41" t="s">
        <v>132</v>
      </c>
      <c r="D1078" s="40" t="s">
        <v>133</v>
      </c>
      <c r="E1078" s="24">
        <v>1470000</v>
      </c>
      <c r="F1078" s="39">
        <v>44319</v>
      </c>
      <c r="G1078" s="24">
        <v>1470000</v>
      </c>
      <c r="H1078" s="23">
        <v>5.0000000000000001E-3</v>
      </c>
      <c r="I1078" s="39">
        <v>44501</v>
      </c>
      <c r="J1078" s="39">
        <v>44530</v>
      </c>
      <c r="K1078" s="24">
        <v>30</v>
      </c>
      <c r="L1078" s="24">
        <v>604</v>
      </c>
      <c r="M1078" s="24">
        <v>1470000</v>
      </c>
      <c r="N1078" s="39">
        <v>46144</v>
      </c>
    </row>
    <row r="1079" spans="1:14" s="5" customFormat="1" outlineLevel="2">
      <c r="A1079" s="39" t="s">
        <v>293</v>
      </c>
      <c r="B1079" s="40" t="s">
        <v>171</v>
      </c>
      <c r="C1079" s="41" t="s">
        <v>132</v>
      </c>
      <c r="D1079" s="40" t="s">
        <v>133</v>
      </c>
      <c r="E1079" s="24">
        <v>1480000</v>
      </c>
      <c r="F1079" s="39">
        <v>44341</v>
      </c>
      <c r="G1079" s="24">
        <v>1480000</v>
      </c>
      <c r="H1079" s="23">
        <v>5.0000000000000001E-3</v>
      </c>
      <c r="I1079" s="39">
        <v>44501</v>
      </c>
      <c r="J1079" s="39">
        <v>44530</v>
      </c>
      <c r="K1079" s="24">
        <v>30</v>
      </c>
      <c r="L1079" s="24">
        <v>608</v>
      </c>
      <c r="M1079" s="24">
        <v>1480000</v>
      </c>
      <c r="N1079" s="39">
        <v>46166</v>
      </c>
    </row>
    <row r="1080" spans="1:14" s="5" customFormat="1" outlineLevel="2">
      <c r="A1080" s="39" t="s">
        <v>293</v>
      </c>
      <c r="B1080" s="40" t="s">
        <v>172</v>
      </c>
      <c r="C1080" s="41" t="s">
        <v>132</v>
      </c>
      <c r="D1080" s="40" t="s">
        <v>133</v>
      </c>
      <c r="E1080" s="24">
        <v>6090000</v>
      </c>
      <c r="F1080" s="39">
        <v>44326</v>
      </c>
      <c r="G1080" s="24">
        <v>6090000</v>
      </c>
      <c r="H1080" s="23">
        <v>5.0000000000000001E-3</v>
      </c>
      <c r="I1080" s="39">
        <v>44501</v>
      </c>
      <c r="J1080" s="39">
        <v>44530</v>
      </c>
      <c r="K1080" s="24">
        <v>30</v>
      </c>
      <c r="L1080" s="24">
        <v>2503</v>
      </c>
      <c r="M1080" s="24">
        <v>6090000</v>
      </c>
      <c r="N1080" s="39">
        <v>46151</v>
      </c>
    </row>
    <row r="1081" spans="1:14" s="5" customFormat="1" outlineLevel="2">
      <c r="A1081" s="39" t="s">
        <v>293</v>
      </c>
      <c r="B1081" s="40" t="s">
        <v>173</v>
      </c>
      <c r="C1081" s="41" t="s">
        <v>132</v>
      </c>
      <c r="D1081" s="40" t="s">
        <v>133</v>
      </c>
      <c r="E1081" s="24">
        <v>9220000</v>
      </c>
      <c r="F1081" s="39">
        <v>44341</v>
      </c>
      <c r="G1081" s="24">
        <v>9220000</v>
      </c>
      <c r="H1081" s="23">
        <v>5.0000000000000001E-3</v>
      </c>
      <c r="I1081" s="39">
        <v>44501</v>
      </c>
      <c r="J1081" s="39">
        <v>44530</v>
      </c>
      <c r="K1081" s="24">
        <v>30</v>
      </c>
      <c r="L1081" s="24">
        <v>3789</v>
      </c>
      <c r="M1081" s="24">
        <v>9220000</v>
      </c>
      <c r="N1081" s="39">
        <v>46166</v>
      </c>
    </row>
    <row r="1082" spans="1:14" s="5" customFormat="1" outlineLevel="2">
      <c r="A1082" s="39" t="s">
        <v>293</v>
      </c>
      <c r="B1082" s="40" t="s">
        <v>62</v>
      </c>
      <c r="C1082" s="41" t="s">
        <v>55</v>
      </c>
      <c r="D1082" s="40" t="s">
        <v>56</v>
      </c>
      <c r="E1082" s="24">
        <v>19997321</v>
      </c>
      <c r="F1082" s="39">
        <v>43948</v>
      </c>
      <c r="G1082" s="24">
        <v>19997321</v>
      </c>
      <c r="H1082" s="23">
        <v>5.0000000000000001E-3</v>
      </c>
      <c r="I1082" s="39">
        <v>44501</v>
      </c>
      <c r="J1082" s="39">
        <v>44530</v>
      </c>
      <c r="K1082" s="24">
        <v>30</v>
      </c>
      <c r="L1082" s="24">
        <v>8218</v>
      </c>
      <c r="M1082" s="24">
        <v>19997321</v>
      </c>
      <c r="N1082" s="39">
        <v>45773</v>
      </c>
    </row>
    <row r="1083" spans="1:14" s="5" customFormat="1" outlineLevel="2">
      <c r="A1083" s="39" t="s">
        <v>293</v>
      </c>
      <c r="B1083" s="40" t="s">
        <v>174</v>
      </c>
      <c r="C1083" s="41" t="s">
        <v>294</v>
      </c>
      <c r="D1083" s="40" t="s">
        <v>295</v>
      </c>
      <c r="E1083" s="24">
        <v>4424000</v>
      </c>
      <c r="F1083" s="39">
        <v>44362</v>
      </c>
      <c r="G1083" s="24">
        <v>4424000</v>
      </c>
      <c r="H1083" s="23">
        <v>5.0000000000000001E-3</v>
      </c>
      <c r="I1083" s="39">
        <v>44501</v>
      </c>
      <c r="J1083" s="39">
        <v>44530</v>
      </c>
      <c r="K1083" s="24">
        <v>30</v>
      </c>
      <c r="L1083" s="24">
        <v>1818</v>
      </c>
      <c r="M1083" s="24">
        <v>4424000</v>
      </c>
      <c r="N1083" s="39">
        <v>46187</v>
      </c>
    </row>
    <row r="1084" spans="1:14" s="5" customFormat="1" outlineLevel="2">
      <c r="A1084" s="39" t="s">
        <v>293</v>
      </c>
      <c r="B1084" s="40" t="s">
        <v>175</v>
      </c>
      <c r="C1084" s="41" t="s">
        <v>115</v>
      </c>
      <c r="D1084" s="40" t="s">
        <v>116</v>
      </c>
      <c r="E1084" s="24">
        <v>17000000</v>
      </c>
      <c r="F1084" s="39">
        <v>44370</v>
      </c>
      <c r="G1084" s="24">
        <v>17000000</v>
      </c>
      <c r="H1084" s="23">
        <v>5.0000000000000001E-3</v>
      </c>
      <c r="I1084" s="39">
        <v>44501</v>
      </c>
      <c r="J1084" s="39">
        <v>44530</v>
      </c>
      <c r="K1084" s="24">
        <v>30</v>
      </c>
      <c r="L1084" s="24">
        <v>6986</v>
      </c>
      <c r="M1084" s="24">
        <v>17000000</v>
      </c>
      <c r="N1084" s="39">
        <v>45465</v>
      </c>
    </row>
    <row r="1085" spans="1:14" s="5" customFormat="1" outlineLevel="2">
      <c r="A1085" s="39" t="s">
        <v>293</v>
      </c>
      <c r="B1085" s="40" t="s">
        <v>176</v>
      </c>
      <c r="C1085" s="41" t="s">
        <v>132</v>
      </c>
      <c r="D1085" s="40" t="s">
        <v>133</v>
      </c>
      <c r="E1085" s="24">
        <v>1420000</v>
      </c>
      <c r="F1085" s="39">
        <v>44368</v>
      </c>
      <c r="G1085" s="24">
        <v>1420000</v>
      </c>
      <c r="H1085" s="23">
        <v>5.0000000000000001E-3</v>
      </c>
      <c r="I1085" s="39">
        <v>44501</v>
      </c>
      <c r="J1085" s="39">
        <v>44530</v>
      </c>
      <c r="K1085" s="24">
        <v>30</v>
      </c>
      <c r="L1085" s="24">
        <v>584</v>
      </c>
      <c r="M1085" s="24">
        <v>1420000</v>
      </c>
      <c r="N1085" s="39">
        <v>46193</v>
      </c>
    </row>
    <row r="1086" spans="1:14" s="5" customFormat="1" outlineLevel="2">
      <c r="A1086" s="39" t="s">
        <v>293</v>
      </c>
      <c r="B1086" s="40" t="s">
        <v>177</v>
      </c>
      <c r="C1086" s="41" t="s">
        <v>132</v>
      </c>
      <c r="D1086" s="40" t="s">
        <v>133</v>
      </c>
      <c r="E1086" s="24">
        <v>6000000</v>
      </c>
      <c r="F1086" s="39">
        <v>44357</v>
      </c>
      <c r="G1086" s="24">
        <v>6000000</v>
      </c>
      <c r="H1086" s="23">
        <v>5.0000000000000001E-3</v>
      </c>
      <c r="I1086" s="39">
        <v>44501</v>
      </c>
      <c r="J1086" s="39">
        <v>44530</v>
      </c>
      <c r="K1086" s="24">
        <v>30</v>
      </c>
      <c r="L1086" s="24">
        <v>2466</v>
      </c>
      <c r="M1086" s="24">
        <v>6000000</v>
      </c>
      <c r="N1086" s="39">
        <v>46182</v>
      </c>
    </row>
    <row r="1087" spans="1:14" s="5" customFormat="1" outlineLevel="2">
      <c r="A1087" s="39" t="s">
        <v>293</v>
      </c>
      <c r="B1087" s="40" t="s">
        <v>178</v>
      </c>
      <c r="C1087" s="41" t="s">
        <v>132</v>
      </c>
      <c r="D1087" s="40" t="s">
        <v>133</v>
      </c>
      <c r="E1087" s="24">
        <v>760000</v>
      </c>
      <c r="F1087" s="39">
        <v>44372</v>
      </c>
      <c r="G1087" s="24">
        <v>760000</v>
      </c>
      <c r="H1087" s="23">
        <v>5.0000000000000001E-3</v>
      </c>
      <c r="I1087" s="39">
        <v>44501</v>
      </c>
      <c r="J1087" s="39">
        <v>44530</v>
      </c>
      <c r="K1087" s="24">
        <v>30</v>
      </c>
      <c r="L1087" s="24">
        <v>312</v>
      </c>
      <c r="M1087" s="24">
        <v>760000</v>
      </c>
      <c r="N1087" s="39">
        <v>46197</v>
      </c>
    </row>
    <row r="1088" spans="1:14" s="5" customFormat="1" outlineLevel="2">
      <c r="A1088" s="39" t="s">
        <v>293</v>
      </c>
      <c r="B1088" s="40" t="s">
        <v>179</v>
      </c>
      <c r="C1088" s="41" t="s">
        <v>294</v>
      </c>
      <c r="D1088" s="40" t="s">
        <v>295</v>
      </c>
      <c r="E1088" s="24">
        <v>35516244</v>
      </c>
      <c r="F1088" s="39">
        <v>44392</v>
      </c>
      <c r="G1088" s="24">
        <v>35516244</v>
      </c>
      <c r="H1088" s="23">
        <v>5.0000000000000001E-3</v>
      </c>
      <c r="I1088" s="39">
        <v>44501</v>
      </c>
      <c r="J1088" s="39">
        <v>44530</v>
      </c>
      <c r="K1088" s="24">
        <v>30</v>
      </c>
      <c r="L1088" s="24">
        <v>14596</v>
      </c>
      <c r="M1088" s="24">
        <v>35516244</v>
      </c>
      <c r="N1088" s="39">
        <v>46217</v>
      </c>
    </row>
    <row r="1089" spans="1:14" s="5" customFormat="1" outlineLevel="2">
      <c r="A1089" s="39" t="s">
        <v>293</v>
      </c>
      <c r="B1089" s="40" t="s">
        <v>180</v>
      </c>
      <c r="C1089" s="41" t="s">
        <v>132</v>
      </c>
      <c r="D1089" s="40" t="s">
        <v>133</v>
      </c>
      <c r="E1089" s="24">
        <v>3890000</v>
      </c>
      <c r="F1089" s="39">
        <v>44382</v>
      </c>
      <c r="G1089" s="24">
        <v>3890000</v>
      </c>
      <c r="H1089" s="23">
        <v>5.0000000000000001E-3</v>
      </c>
      <c r="I1089" s="39">
        <v>44501</v>
      </c>
      <c r="J1089" s="39">
        <v>44530</v>
      </c>
      <c r="K1089" s="24">
        <v>30</v>
      </c>
      <c r="L1089" s="24">
        <v>1599</v>
      </c>
      <c r="M1089" s="24">
        <v>3890000</v>
      </c>
      <c r="N1089" s="39">
        <v>46207</v>
      </c>
    </row>
    <row r="1090" spans="1:14" s="5" customFormat="1" outlineLevel="2">
      <c r="A1090" s="39" t="s">
        <v>293</v>
      </c>
      <c r="B1090" s="40" t="s">
        <v>181</v>
      </c>
      <c r="C1090" s="41" t="s">
        <v>132</v>
      </c>
      <c r="D1090" s="40" t="s">
        <v>133</v>
      </c>
      <c r="E1090" s="24">
        <v>1360000</v>
      </c>
      <c r="F1090" s="39">
        <v>44389</v>
      </c>
      <c r="G1090" s="24">
        <v>1360000</v>
      </c>
      <c r="H1090" s="23">
        <v>5.0000000000000001E-3</v>
      </c>
      <c r="I1090" s="39">
        <v>44501</v>
      </c>
      <c r="J1090" s="39">
        <v>44530</v>
      </c>
      <c r="K1090" s="24">
        <v>30</v>
      </c>
      <c r="L1090" s="24">
        <v>559</v>
      </c>
      <c r="M1090" s="24">
        <v>1360000</v>
      </c>
      <c r="N1090" s="39">
        <v>46214</v>
      </c>
    </row>
    <row r="1091" spans="1:14" s="5" customFormat="1" outlineLevel="2">
      <c r="A1091" s="39" t="s">
        <v>293</v>
      </c>
      <c r="B1091" s="40" t="s">
        <v>182</v>
      </c>
      <c r="C1091" s="41" t="s">
        <v>132</v>
      </c>
      <c r="D1091" s="40" t="s">
        <v>133</v>
      </c>
      <c r="E1091" s="24">
        <v>7190000</v>
      </c>
      <c r="F1091" s="39">
        <v>44389</v>
      </c>
      <c r="G1091" s="24">
        <v>7190000</v>
      </c>
      <c r="H1091" s="23">
        <v>5.0000000000000001E-3</v>
      </c>
      <c r="I1091" s="39">
        <v>44501</v>
      </c>
      <c r="J1091" s="39">
        <v>44530</v>
      </c>
      <c r="K1091" s="24">
        <v>30</v>
      </c>
      <c r="L1091" s="24">
        <v>2955</v>
      </c>
      <c r="M1091" s="24">
        <v>7190000</v>
      </c>
      <c r="N1091" s="39">
        <v>46214</v>
      </c>
    </row>
    <row r="1092" spans="1:14" s="5" customFormat="1" outlineLevel="2">
      <c r="A1092" s="39" t="s">
        <v>293</v>
      </c>
      <c r="B1092" s="40" t="s">
        <v>183</v>
      </c>
      <c r="C1092" s="41" t="s">
        <v>132</v>
      </c>
      <c r="D1092" s="40" t="s">
        <v>133</v>
      </c>
      <c r="E1092" s="24">
        <v>3120000</v>
      </c>
      <c r="F1092" s="39">
        <v>44403</v>
      </c>
      <c r="G1092" s="24">
        <v>3120000</v>
      </c>
      <c r="H1092" s="23">
        <v>5.0000000000000001E-3</v>
      </c>
      <c r="I1092" s="39">
        <v>44501</v>
      </c>
      <c r="J1092" s="39">
        <v>44530</v>
      </c>
      <c r="K1092" s="24">
        <v>30</v>
      </c>
      <c r="L1092" s="24">
        <v>1282</v>
      </c>
      <c r="M1092" s="24">
        <v>3120000</v>
      </c>
      <c r="N1092" s="39">
        <v>46228</v>
      </c>
    </row>
    <row r="1093" spans="1:14" s="5" customFormat="1" outlineLevel="2">
      <c r="A1093" s="39" t="s">
        <v>293</v>
      </c>
      <c r="B1093" s="40" t="s">
        <v>63</v>
      </c>
      <c r="C1093" s="41" t="s">
        <v>20</v>
      </c>
      <c r="D1093" s="40" t="s">
        <v>21</v>
      </c>
      <c r="E1093" s="24">
        <v>242400000</v>
      </c>
      <c r="F1093" s="39">
        <v>43930</v>
      </c>
      <c r="G1093" s="24">
        <v>242400000</v>
      </c>
      <c r="H1093" s="23">
        <v>3.0000000000000001E-3</v>
      </c>
      <c r="I1093" s="39">
        <v>44501</v>
      </c>
      <c r="J1093" s="39">
        <v>44530</v>
      </c>
      <c r="K1093" s="24">
        <v>30</v>
      </c>
      <c r="L1093" s="24">
        <v>59770</v>
      </c>
      <c r="M1093" s="24">
        <v>242400000</v>
      </c>
      <c r="N1093" s="39">
        <v>45755</v>
      </c>
    </row>
    <row r="1094" spans="1:14" s="5" customFormat="1" outlineLevel="2">
      <c r="A1094" s="39" t="s">
        <v>293</v>
      </c>
      <c r="B1094" s="40" t="s">
        <v>184</v>
      </c>
      <c r="C1094" s="41" t="s">
        <v>115</v>
      </c>
      <c r="D1094" s="40" t="s">
        <v>116</v>
      </c>
      <c r="E1094" s="24">
        <v>12250000</v>
      </c>
      <c r="F1094" s="39">
        <v>44426</v>
      </c>
      <c r="G1094" s="24">
        <v>12250000</v>
      </c>
      <c r="H1094" s="23">
        <v>5.0000000000000001E-3</v>
      </c>
      <c r="I1094" s="39">
        <v>44501</v>
      </c>
      <c r="J1094" s="39">
        <v>44530</v>
      </c>
      <c r="K1094" s="24">
        <v>30</v>
      </c>
      <c r="L1094" s="24">
        <v>5034</v>
      </c>
      <c r="M1094" s="24">
        <v>12250000</v>
      </c>
      <c r="N1094" s="39">
        <v>46251</v>
      </c>
    </row>
    <row r="1095" spans="1:14" s="5" customFormat="1" outlineLevel="2">
      <c r="A1095" s="39" t="s">
        <v>293</v>
      </c>
      <c r="B1095" s="40" t="s">
        <v>185</v>
      </c>
      <c r="C1095" s="41" t="s">
        <v>132</v>
      </c>
      <c r="D1095" s="40" t="s">
        <v>133</v>
      </c>
      <c r="E1095" s="24">
        <v>4750000</v>
      </c>
      <c r="F1095" s="39">
        <v>44418</v>
      </c>
      <c r="G1095" s="24">
        <v>4750000</v>
      </c>
      <c r="H1095" s="23">
        <v>5.0000000000000001E-3</v>
      </c>
      <c r="I1095" s="39">
        <v>44501</v>
      </c>
      <c r="J1095" s="39">
        <v>44530</v>
      </c>
      <c r="K1095" s="24">
        <v>30</v>
      </c>
      <c r="L1095" s="24">
        <v>1952</v>
      </c>
      <c r="M1095" s="24">
        <v>4750000</v>
      </c>
      <c r="N1095" s="39">
        <v>46243</v>
      </c>
    </row>
    <row r="1096" spans="1:14" s="5" customFormat="1" outlineLevel="2">
      <c r="A1096" s="39" t="s">
        <v>293</v>
      </c>
      <c r="B1096" s="40" t="s">
        <v>186</v>
      </c>
      <c r="C1096" s="41" t="s">
        <v>132</v>
      </c>
      <c r="D1096" s="40" t="s">
        <v>133</v>
      </c>
      <c r="E1096" s="24">
        <v>1750000</v>
      </c>
      <c r="F1096" s="39">
        <v>44418</v>
      </c>
      <c r="G1096" s="24">
        <v>1750000</v>
      </c>
      <c r="H1096" s="23">
        <v>5.0000000000000001E-3</v>
      </c>
      <c r="I1096" s="39">
        <v>44501</v>
      </c>
      <c r="J1096" s="39">
        <v>44530</v>
      </c>
      <c r="K1096" s="24">
        <v>30</v>
      </c>
      <c r="L1096" s="24">
        <v>719</v>
      </c>
      <c r="M1096" s="24">
        <v>1750000</v>
      </c>
      <c r="N1096" s="39">
        <v>46243</v>
      </c>
    </row>
    <row r="1097" spans="1:14" s="5" customFormat="1" outlineLevel="2">
      <c r="A1097" s="39" t="s">
        <v>293</v>
      </c>
      <c r="B1097" s="40" t="s">
        <v>189</v>
      </c>
      <c r="C1097" s="41" t="s">
        <v>294</v>
      </c>
      <c r="D1097" s="40" t="s">
        <v>295</v>
      </c>
      <c r="E1097" s="24">
        <v>80418236</v>
      </c>
      <c r="F1097" s="39">
        <v>44454</v>
      </c>
      <c r="G1097" s="24">
        <v>80418236</v>
      </c>
      <c r="H1097" s="23">
        <v>5.0000000000000001E-3</v>
      </c>
      <c r="I1097" s="39">
        <v>44501</v>
      </c>
      <c r="J1097" s="39">
        <v>44530</v>
      </c>
      <c r="K1097" s="24">
        <v>30</v>
      </c>
      <c r="L1097" s="24">
        <v>33049</v>
      </c>
      <c r="M1097" s="24">
        <v>80418236</v>
      </c>
      <c r="N1097" s="39">
        <v>46279</v>
      </c>
    </row>
    <row r="1098" spans="1:14" s="5" customFormat="1" outlineLevel="2">
      <c r="A1098" s="39" t="s">
        <v>293</v>
      </c>
      <c r="B1098" s="40" t="s">
        <v>190</v>
      </c>
      <c r="C1098" s="41" t="s">
        <v>294</v>
      </c>
      <c r="D1098" s="40" t="s">
        <v>295</v>
      </c>
      <c r="E1098" s="24">
        <v>39822560</v>
      </c>
      <c r="F1098" s="39">
        <v>44452</v>
      </c>
      <c r="G1098" s="24">
        <v>39822560</v>
      </c>
      <c r="H1098" s="23">
        <v>5.0000000000000001E-3</v>
      </c>
      <c r="I1098" s="39">
        <v>44501</v>
      </c>
      <c r="J1098" s="39">
        <v>44530</v>
      </c>
      <c r="K1098" s="24">
        <v>30</v>
      </c>
      <c r="L1098" s="24">
        <v>16365</v>
      </c>
      <c r="M1098" s="24">
        <v>39822560</v>
      </c>
      <c r="N1098" s="39">
        <v>45547</v>
      </c>
    </row>
    <row r="1099" spans="1:14" s="5" customFormat="1" outlineLevel="2">
      <c r="A1099" s="39" t="s">
        <v>293</v>
      </c>
      <c r="B1099" s="40" t="s">
        <v>191</v>
      </c>
      <c r="C1099" s="41" t="s">
        <v>132</v>
      </c>
      <c r="D1099" s="40" t="s">
        <v>133</v>
      </c>
      <c r="E1099" s="24">
        <v>3720000</v>
      </c>
      <c r="F1099" s="39">
        <v>44440</v>
      </c>
      <c r="G1099" s="24">
        <v>3720000</v>
      </c>
      <c r="H1099" s="23">
        <v>5.0000000000000001E-3</v>
      </c>
      <c r="I1099" s="39">
        <v>44501</v>
      </c>
      <c r="J1099" s="39">
        <v>44530</v>
      </c>
      <c r="K1099" s="24">
        <v>30</v>
      </c>
      <c r="L1099" s="24">
        <v>1529</v>
      </c>
      <c r="M1099" s="24">
        <v>3720000</v>
      </c>
      <c r="N1099" s="39">
        <v>46265</v>
      </c>
    </row>
    <row r="1100" spans="1:14" s="5" customFormat="1" outlineLevel="2">
      <c r="A1100" s="39" t="s">
        <v>293</v>
      </c>
      <c r="B1100" s="40" t="s">
        <v>192</v>
      </c>
      <c r="C1100" s="41" t="s">
        <v>294</v>
      </c>
      <c r="D1100" s="40" t="s">
        <v>295</v>
      </c>
      <c r="E1100" s="24">
        <v>34264000</v>
      </c>
      <c r="F1100" s="39">
        <v>44484</v>
      </c>
      <c r="G1100" s="24">
        <v>34264000</v>
      </c>
      <c r="H1100" s="23">
        <v>5.0000000000000001E-3</v>
      </c>
      <c r="I1100" s="39">
        <v>44501</v>
      </c>
      <c r="J1100" s="39">
        <v>44530</v>
      </c>
      <c r="K1100" s="24">
        <v>30</v>
      </c>
      <c r="L1100" s="24">
        <v>14081</v>
      </c>
      <c r="M1100" s="24">
        <v>34264000</v>
      </c>
      <c r="N1100" s="39">
        <v>46309</v>
      </c>
    </row>
    <row r="1101" spans="1:14" s="5" customFormat="1" outlineLevel="2">
      <c r="A1101" s="39" t="s">
        <v>293</v>
      </c>
      <c r="B1101" s="40" t="s">
        <v>193</v>
      </c>
      <c r="C1101" s="41" t="s">
        <v>20</v>
      </c>
      <c r="D1101" s="40" t="s">
        <v>21</v>
      </c>
      <c r="E1101" s="24">
        <v>24000000</v>
      </c>
      <c r="F1101" s="39">
        <v>44504</v>
      </c>
      <c r="G1101" s="24">
        <v>24000000</v>
      </c>
      <c r="H1101" s="23">
        <v>3.0000000000000001E-3</v>
      </c>
      <c r="I1101" s="39">
        <v>44504</v>
      </c>
      <c r="J1101" s="39">
        <v>44530</v>
      </c>
      <c r="K1101" s="24">
        <v>27</v>
      </c>
      <c r="L1101" s="24">
        <v>5326</v>
      </c>
      <c r="M1101" s="24">
        <v>24000000</v>
      </c>
      <c r="N1101" s="39">
        <v>46329</v>
      </c>
    </row>
    <row r="1102" spans="1:14" s="5" customFormat="1" outlineLevel="2">
      <c r="A1102" s="39" t="s">
        <v>293</v>
      </c>
      <c r="B1102" s="40" t="s">
        <v>194</v>
      </c>
      <c r="C1102" s="41" t="s">
        <v>132</v>
      </c>
      <c r="D1102" s="40" t="s">
        <v>133</v>
      </c>
      <c r="E1102" s="24">
        <v>3080000</v>
      </c>
      <c r="F1102" s="39">
        <v>44525</v>
      </c>
      <c r="G1102" s="24">
        <v>3080000</v>
      </c>
      <c r="H1102" s="23">
        <v>5.0000000000000001E-3</v>
      </c>
      <c r="I1102" s="39">
        <v>44525</v>
      </c>
      <c r="J1102" s="39">
        <v>44530</v>
      </c>
      <c r="K1102" s="24">
        <v>6</v>
      </c>
      <c r="L1102" s="24">
        <v>253</v>
      </c>
      <c r="M1102" s="24">
        <v>3080000</v>
      </c>
      <c r="N1102" s="39">
        <v>46350</v>
      </c>
    </row>
    <row r="1103" spans="1:14" s="5" customFormat="1" outlineLevel="2">
      <c r="A1103" s="39" t="s">
        <v>293</v>
      </c>
      <c r="B1103" s="40" t="s">
        <v>195</v>
      </c>
      <c r="C1103" s="41" t="s">
        <v>294</v>
      </c>
      <c r="D1103" s="40" t="s">
        <v>295</v>
      </c>
      <c r="E1103" s="24">
        <v>57575178</v>
      </c>
      <c r="F1103" s="39">
        <v>44524</v>
      </c>
      <c r="G1103" s="24">
        <v>57575178</v>
      </c>
      <c r="H1103" s="23">
        <v>5.0000000000000001E-3</v>
      </c>
      <c r="I1103" s="39">
        <v>44524</v>
      </c>
      <c r="J1103" s="39">
        <v>44530</v>
      </c>
      <c r="K1103" s="24">
        <v>7</v>
      </c>
      <c r="L1103" s="24">
        <v>5521</v>
      </c>
      <c r="M1103" s="24">
        <v>57575178</v>
      </c>
      <c r="N1103" s="39">
        <v>45619</v>
      </c>
    </row>
    <row r="1104" spans="1:14" s="5" customFormat="1" outlineLevel="2">
      <c r="A1104" s="39" t="s">
        <v>293</v>
      </c>
      <c r="B1104" s="40" t="s">
        <v>64</v>
      </c>
      <c r="C1104" s="41" t="s">
        <v>20</v>
      </c>
      <c r="D1104" s="40" t="s">
        <v>21</v>
      </c>
      <c r="E1104" s="24">
        <v>156000000</v>
      </c>
      <c r="F1104" s="39">
        <v>43958</v>
      </c>
      <c r="G1104" s="24">
        <v>156000000</v>
      </c>
      <c r="H1104" s="23">
        <v>3.0000000000000001E-3</v>
      </c>
      <c r="I1104" s="39">
        <v>44501</v>
      </c>
      <c r="J1104" s="39">
        <v>44530</v>
      </c>
      <c r="K1104" s="24">
        <v>30</v>
      </c>
      <c r="L1104" s="24">
        <v>38466</v>
      </c>
      <c r="M1104" s="24">
        <v>156000000</v>
      </c>
      <c r="N1104" s="39">
        <v>45783</v>
      </c>
    </row>
    <row r="1105" spans="1:14" s="5" customFormat="1" outlineLevel="2">
      <c r="A1105" s="39" t="s">
        <v>293</v>
      </c>
      <c r="B1105" s="40" t="s">
        <v>65</v>
      </c>
      <c r="C1105" s="41" t="s">
        <v>294</v>
      </c>
      <c r="D1105" s="40" t="s">
        <v>295</v>
      </c>
      <c r="E1105" s="24">
        <v>33840000</v>
      </c>
      <c r="F1105" s="39">
        <v>43986</v>
      </c>
      <c r="G1105" s="24">
        <v>33840000</v>
      </c>
      <c r="H1105" s="23">
        <v>5.0000000000000001E-3</v>
      </c>
      <c r="I1105" s="39">
        <v>44501</v>
      </c>
      <c r="J1105" s="39">
        <v>44530</v>
      </c>
      <c r="K1105" s="24">
        <v>30</v>
      </c>
      <c r="L1105" s="24">
        <v>13907</v>
      </c>
      <c r="M1105" s="24">
        <v>33840000</v>
      </c>
      <c r="N1105" s="39">
        <v>45811</v>
      </c>
    </row>
    <row r="1106" spans="1:14" s="5" customFormat="1" outlineLevel="2">
      <c r="A1106" s="39" t="s">
        <v>293</v>
      </c>
      <c r="B1106" s="40" t="s">
        <v>68</v>
      </c>
      <c r="C1106" s="41" t="s">
        <v>294</v>
      </c>
      <c r="D1106" s="40" t="s">
        <v>295</v>
      </c>
      <c r="E1106" s="24">
        <v>134396612</v>
      </c>
      <c r="F1106" s="39">
        <v>43986</v>
      </c>
      <c r="G1106" s="24">
        <v>134396612</v>
      </c>
      <c r="H1106" s="23">
        <v>5.0000000000000001E-3</v>
      </c>
      <c r="I1106" s="39">
        <v>44501</v>
      </c>
      <c r="J1106" s="39">
        <v>44530</v>
      </c>
      <c r="K1106" s="24">
        <v>30</v>
      </c>
      <c r="L1106" s="24">
        <v>55231</v>
      </c>
      <c r="M1106" s="24">
        <v>134396612</v>
      </c>
      <c r="N1106" s="39">
        <v>45811</v>
      </c>
    </row>
    <row r="1107" spans="1:14" s="5" customFormat="1" outlineLevel="1">
      <c r="A1107" s="42" t="s">
        <v>296</v>
      </c>
      <c r="B1107" s="43"/>
      <c r="C1107" s="44"/>
      <c r="D1107" s="43"/>
      <c r="E1107" s="45">
        <v>2597501561</v>
      </c>
      <c r="F1107" s="46"/>
      <c r="G1107" s="45"/>
      <c r="H1107" s="47"/>
      <c r="I1107" s="46"/>
      <c r="J1107" s="46"/>
      <c r="K1107" s="45"/>
      <c r="L1107" s="45">
        <v>909701</v>
      </c>
      <c r="M1107" s="45">
        <v>2590781094</v>
      </c>
      <c r="N1107" s="46"/>
    </row>
    <row r="1108" spans="1:14" s="17" customFormat="1" ht="19.5" outlineLevel="1">
      <c r="A1108" s="11"/>
      <c r="B1108" s="12"/>
      <c r="C1108" s="13"/>
      <c r="D1108" s="12"/>
      <c r="E1108" s="14"/>
      <c r="F1108" s="15"/>
      <c r="G1108" s="14"/>
      <c r="H1108" s="16"/>
      <c r="I1108" s="15"/>
      <c r="J1108" s="15"/>
      <c r="K1108" s="14"/>
      <c r="L1108" s="14"/>
      <c r="M1108" s="14"/>
      <c r="N1108" s="15"/>
    </row>
    <row r="1109" spans="1:14" s="5" customFormat="1" ht="19.5">
      <c r="A1109" s="9" t="s">
        <v>297</v>
      </c>
      <c r="B1109" s="6"/>
      <c r="C1109" s="7"/>
      <c r="D1109" s="6"/>
      <c r="E1109" s="8">
        <v>41377133919</v>
      </c>
      <c r="F1109" s="9"/>
      <c r="G1109" s="8"/>
      <c r="H1109" s="10"/>
      <c r="I1109" s="9"/>
      <c r="J1109" s="9"/>
      <c r="K1109" s="8"/>
      <c r="L1109" s="8">
        <v>15516204</v>
      </c>
      <c r="M1109" s="8">
        <v>40881817471</v>
      </c>
      <c r="N1109" s="9"/>
    </row>
    <row r="1110" spans="1:14" ht="16.5">
      <c r="A1110" s="76" t="s">
        <v>443</v>
      </c>
    </row>
    <row r="1111" spans="1:14" ht="19.5">
      <c r="A1111" s="75"/>
    </row>
    <row r="1112" spans="1:14" ht="19.5">
      <c r="A1112" s="18" t="s">
        <v>298</v>
      </c>
      <c r="B1112" s="18"/>
      <c r="E1112" s="19" t="s">
        <v>299</v>
      </c>
      <c r="G1112" s="1"/>
      <c r="H1112" s="20" t="s">
        <v>300</v>
      </c>
      <c r="I1112" s="21"/>
    </row>
  </sheetData>
  <autoFilter ref="A3:M1107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5152-EDBB-4DC6-9E9F-418117C2BEAE}">
  <dimension ref="A1:N1198"/>
  <sheetViews>
    <sheetView zoomScaleNormal="100" workbookViewId="0">
      <selection activeCell="C7" sqref="C7"/>
    </sheetView>
  </sheetViews>
  <sheetFormatPr defaultColWidth="5.375" defaultRowHeight="15.75" outlineLevelRow="2"/>
  <cols>
    <col min="1" max="1" width="17.75" style="1" bestFit="1" customWidth="1"/>
    <col min="2" max="2" width="8.375" style="1" bestFit="1" customWidth="1"/>
    <col min="3" max="3" width="21.5" style="1" bestFit="1" customWidth="1"/>
    <col min="4" max="4" width="12" style="1" bestFit="1" customWidth="1"/>
    <col min="5" max="5" width="23.75" style="2" bestFit="1" customWidth="1"/>
    <col min="6" max="6" width="12" style="3" bestFit="1" customWidth="1"/>
    <col min="7" max="7" width="13.5" style="2" bestFit="1" customWidth="1"/>
    <col min="8" max="8" width="14.625" style="4" bestFit="1" customWidth="1"/>
    <col min="9" max="10" width="9.75" style="1" bestFit="1" customWidth="1"/>
    <col min="11" max="11" width="10.375" style="1" bestFit="1" customWidth="1"/>
    <col min="12" max="12" width="17.625" style="2" bestFit="1" customWidth="1"/>
    <col min="13" max="13" width="23.75" style="1" bestFit="1" customWidth="1"/>
    <col min="14" max="14" width="9.75" style="1" bestFit="1" customWidth="1"/>
    <col min="15" max="16384" width="5.375" style="1"/>
  </cols>
  <sheetData>
    <row r="1" spans="1:14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7"/>
      <c r="B2" s="28" t="s">
        <v>0</v>
      </c>
      <c r="C2" s="29">
        <v>44561</v>
      </c>
      <c r="D2" s="30"/>
      <c r="E2" s="31"/>
      <c r="F2" s="32"/>
      <c r="G2" s="31"/>
      <c r="H2" s="33"/>
      <c r="I2" s="27"/>
      <c r="J2" s="27"/>
      <c r="K2" s="27"/>
      <c r="L2" s="31" t="s">
        <v>1</v>
      </c>
      <c r="M2" s="27"/>
      <c r="N2" s="27"/>
    </row>
    <row r="3" spans="1:14" s="5" customFormat="1" ht="27.75" thickBot="1">
      <c r="A3" s="22" t="s">
        <v>2</v>
      </c>
      <c r="B3" s="34" t="s">
        <v>3</v>
      </c>
      <c r="C3" s="35" t="s">
        <v>4</v>
      </c>
      <c r="D3" s="35" t="s">
        <v>5</v>
      </c>
      <c r="E3" s="36" t="s">
        <v>6</v>
      </c>
      <c r="F3" s="35" t="s">
        <v>7</v>
      </c>
      <c r="G3" s="37" t="s">
        <v>8</v>
      </c>
      <c r="H3" s="38" t="s">
        <v>9</v>
      </c>
      <c r="I3" s="22" t="s">
        <v>10</v>
      </c>
      <c r="J3" s="22" t="s">
        <v>11</v>
      </c>
      <c r="K3" s="22" t="s">
        <v>12</v>
      </c>
      <c r="L3" s="36" t="s">
        <v>13</v>
      </c>
      <c r="M3" s="22" t="s">
        <v>14</v>
      </c>
      <c r="N3" s="22" t="s">
        <v>423</v>
      </c>
    </row>
    <row r="4" spans="1:14" s="5" customFormat="1" outlineLevel="2">
      <c r="A4" s="39" t="s">
        <v>15</v>
      </c>
      <c r="B4" s="40" t="s">
        <v>16</v>
      </c>
      <c r="C4" s="41" t="s">
        <v>17</v>
      </c>
      <c r="D4" s="40" t="s">
        <v>18</v>
      </c>
      <c r="E4" s="24">
        <v>162500000</v>
      </c>
      <c r="F4" s="39">
        <v>43852</v>
      </c>
      <c r="G4" s="24">
        <v>162500000</v>
      </c>
      <c r="H4" s="23">
        <v>5.0000000000000001E-3</v>
      </c>
      <c r="I4" s="39">
        <v>44531</v>
      </c>
      <c r="J4" s="39">
        <v>44561</v>
      </c>
      <c r="K4" s="24">
        <v>31</v>
      </c>
      <c r="L4" s="24">
        <v>69007</v>
      </c>
      <c r="M4" s="24">
        <v>162500000</v>
      </c>
      <c r="N4" s="39">
        <v>45678</v>
      </c>
    </row>
    <row r="5" spans="1:14" s="5" customFormat="1" outlineLevel="2">
      <c r="A5" s="39" t="s">
        <v>15</v>
      </c>
      <c r="B5" s="40" t="s">
        <v>19</v>
      </c>
      <c r="C5" s="41" t="s">
        <v>20</v>
      </c>
      <c r="D5" s="40" t="s">
        <v>21</v>
      </c>
      <c r="E5" s="24">
        <v>2400000</v>
      </c>
      <c r="F5" s="39">
        <v>43958</v>
      </c>
      <c r="G5" s="24">
        <v>2400000</v>
      </c>
      <c r="H5" s="23">
        <v>3.0000000000000001E-3</v>
      </c>
      <c r="I5" s="39">
        <v>44531</v>
      </c>
      <c r="J5" s="39">
        <v>44561</v>
      </c>
      <c r="K5" s="24">
        <v>31</v>
      </c>
      <c r="L5" s="24">
        <v>612</v>
      </c>
      <c r="M5" s="24">
        <v>2400000</v>
      </c>
      <c r="N5" s="39">
        <v>45783</v>
      </c>
    </row>
    <row r="6" spans="1:14" s="5" customFormat="1" outlineLevel="2">
      <c r="A6" s="39" t="s">
        <v>15</v>
      </c>
      <c r="B6" s="40" t="s">
        <v>22</v>
      </c>
      <c r="C6" s="41" t="s">
        <v>23</v>
      </c>
      <c r="D6" s="40" t="s">
        <v>24</v>
      </c>
      <c r="E6" s="24">
        <v>7370000</v>
      </c>
      <c r="F6" s="39">
        <v>43997</v>
      </c>
      <c r="G6" s="24">
        <v>7370000</v>
      </c>
      <c r="H6" s="23">
        <v>5.0000000000000001E-3</v>
      </c>
      <c r="I6" s="39">
        <v>44531</v>
      </c>
      <c r="J6" s="39">
        <v>44561</v>
      </c>
      <c r="K6" s="24">
        <v>31</v>
      </c>
      <c r="L6" s="24">
        <v>3130</v>
      </c>
      <c r="M6" s="24">
        <v>7370000</v>
      </c>
      <c r="N6" s="39">
        <v>45822</v>
      </c>
    </row>
    <row r="7" spans="1:14" s="5" customFormat="1" outlineLevel="2">
      <c r="A7" s="39" t="s">
        <v>15</v>
      </c>
      <c r="B7" s="40" t="s">
        <v>25</v>
      </c>
      <c r="C7" s="41" t="s">
        <v>17</v>
      </c>
      <c r="D7" s="40" t="s">
        <v>18</v>
      </c>
      <c r="E7" s="24">
        <v>5890000</v>
      </c>
      <c r="F7" s="39">
        <v>43990</v>
      </c>
      <c r="G7" s="24">
        <v>5890000</v>
      </c>
      <c r="H7" s="23">
        <v>5.0000000000000001E-3</v>
      </c>
      <c r="I7" s="39">
        <v>44531</v>
      </c>
      <c r="J7" s="39">
        <v>44561</v>
      </c>
      <c r="K7" s="24">
        <v>31</v>
      </c>
      <c r="L7" s="24">
        <v>2501</v>
      </c>
      <c r="M7" s="24">
        <v>5890000</v>
      </c>
      <c r="N7" s="39">
        <v>45815</v>
      </c>
    </row>
    <row r="8" spans="1:14" s="5" customFormat="1" outlineLevel="2">
      <c r="A8" s="39" t="s">
        <v>15</v>
      </c>
      <c r="B8" s="40" t="s">
        <v>26</v>
      </c>
      <c r="C8" s="41" t="s">
        <v>27</v>
      </c>
      <c r="D8" s="40" t="s">
        <v>28</v>
      </c>
      <c r="E8" s="24">
        <v>3020000</v>
      </c>
      <c r="F8" s="39">
        <v>44027</v>
      </c>
      <c r="G8" s="24">
        <v>3020000</v>
      </c>
      <c r="H8" s="23">
        <v>5.0000000000000001E-3</v>
      </c>
      <c r="I8" s="39">
        <v>44531</v>
      </c>
      <c r="J8" s="39">
        <v>44561</v>
      </c>
      <c r="K8" s="24">
        <v>31</v>
      </c>
      <c r="L8" s="24">
        <v>1282</v>
      </c>
      <c r="M8" s="24">
        <v>3020000</v>
      </c>
      <c r="N8" s="39">
        <v>45852</v>
      </c>
    </row>
    <row r="9" spans="1:14" s="5" customFormat="1" outlineLevel="2">
      <c r="A9" s="39" t="s">
        <v>15</v>
      </c>
      <c r="B9" s="40" t="s">
        <v>29</v>
      </c>
      <c r="C9" s="41" t="s">
        <v>30</v>
      </c>
      <c r="D9" s="40" t="s">
        <v>31</v>
      </c>
      <c r="E9" s="24">
        <v>84600000</v>
      </c>
      <c r="F9" s="39">
        <v>44014</v>
      </c>
      <c r="G9" s="24">
        <v>84600000</v>
      </c>
      <c r="H9" s="23">
        <v>5.0000000000000001E-3</v>
      </c>
      <c r="I9" s="39">
        <v>44531</v>
      </c>
      <c r="J9" s="39">
        <v>44561</v>
      </c>
      <c r="K9" s="24">
        <v>31</v>
      </c>
      <c r="L9" s="24">
        <v>35926</v>
      </c>
      <c r="M9" s="24">
        <v>84600000</v>
      </c>
      <c r="N9" s="39">
        <v>45839</v>
      </c>
    </row>
    <row r="10" spans="1:14" s="5" customFormat="1" outlineLevel="2">
      <c r="A10" s="39" t="s">
        <v>15</v>
      </c>
      <c r="B10" s="40" t="s">
        <v>32</v>
      </c>
      <c r="C10" s="41" t="s">
        <v>30</v>
      </c>
      <c r="D10" s="40" t="s">
        <v>31</v>
      </c>
      <c r="E10" s="24">
        <v>60000000</v>
      </c>
      <c r="F10" s="39">
        <v>44034</v>
      </c>
      <c r="G10" s="24">
        <v>60000000</v>
      </c>
      <c r="H10" s="23">
        <v>5.0000000000000001E-3</v>
      </c>
      <c r="I10" s="39">
        <v>44531</v>
      </c>
      <c r="J10" s="39">
        <v>44561</v>
      </c>
      <c r="K10" s="24">
        <v>31</v>
      </c>
      <c r="L10" s="24">
        <v>25479</v>
      </c>
      <c r="M10" s="24">
        <v>60000000</v>
      </c>
      <c r="N10" s="39">
        <v>45859</v>
      </c>
    </row>
    <row r="11" spans="1:14" s="5" customFormat="1" outlineLevel="2">
      <c r="A11" s="39" t="s">
        <v>15</v>
      </c>
      <c r="B11" s="40" t="s">
        <v>33</v>
      </c>
      <c r="C11" s="41" t="s">
        <v>20</v>
      </c>
      <c r="D11" s="40" t="s">
        <v>21</v>
      </c>
      <c r="E11" s="24">
        <v>162000000</v>
      </c>
      <c r="F11" s="39">
        <v>44022</v>
      </c>
      <c r="G11" s="24">
        <v>162000000</v>
      </c>
      <c r="H11" s="23">
        <v>3.0000000000000001E-3</v>
      </c>
      <c r="I11" s="39">
        <v>44531</v>
      </c>
      <c r="J11" s="39">
        <v>44561</v>
      </c>
      <c r="K11" s="24">
        <v>31</v>
      </c>
      <c r="L11" s="24">
        <v>41277</v>
      </c>
      <c r="M11" s="24">
        <v>162000000</v>
      </c>
      <c r="N11" s="39">
        <v>45847</v>
      </c>
    </row>
    <row r="12" spans="1:14" s="5" customFormat="1" outlineLevel="2">
      <c r="A12" s="39" t="s">
        <v>15</v>
      </c>
      <c r="B12" s="40" t="s">
        <v>34</v>
      </c>
      <c r="C12" s="41" t="s">
        <v>17</v>
      </c>
      <c r="D12" s="40" t="s">
        <v>18</v>
      </c>
      <c r="E12" s="24">
        <v>4147000</v>
      </c>
      <c r="F12" s="39">
        <v>44071</v>
      </c>
      <c r="G12" s="24">
        <v>4147000</v>
      </c>
      <c r="H12" s="23">
        <v>5.0000000000000001E-3</v>
      </c>
      <c r="I12" s="39">
        <v>44531</v>
      </c>
      <c r="J12" s="39">
        <v>44561</v>
      </c>
      <c r="K12" s="24">
        <v>31</v>
      </c>
      <c r="L12" s="24">
        <v>1761</v>
      </c>
      <c r="M12" s="24">
        <v>4147000</v>
      </c>
      <c r="N12" s="39">
        <v>45896</v>
      </c>
    </row>
    <row r="13" spans="1:14" s="5" customFormat="1" outlineLevel="2">
      <c r="A13" s="39" t="s">
        <v>15</v>
      </c>
      <c r="B13" s="40" t="s">
        <v>35</v>
      </c>
      <c r="C13" s="41" t="s">
        <v>27</v>
      </c>
      <c r="D13" s="40" t="s">
        <v>28</v>
      </c>
      <c r="E13" s="24">
        <v>740000</v>
      </c>
      <c r="F13" s="39">
        <v>44075</v>
      </c>
      <c r="G13" s="24">
        <v>740000</v>
      </c>
      <c r="H13" s="23">
        <v>5.0000000000000001E-3</v>
      </c>
      <c r="I13" s="39">
        <v>44531</v>
      </c>
      <c r="J13" s="39">
        <v>44561</v>
      </c>
      <c r="K13" s="24">
        <v>31</v>
      </c>
      <c r="L13" s="24">
        <v>314</v>
      </c>
      <c r="M13" s="24">
        <v>740000</v>
      </c>
      <c r="N13" s="39">
        <v>45900</v>
      </c>
    </row>
    <row r="14" spans="1:14" s="5" customFormat="1" outlineLevel="2">
      <c r="A14" s="39" t="s">
        <v>15</v>
      </c>
      <c r="B14" s="40" t="s">
        <v>36</v>
      </c>
      <c r="C14" s="41" t="s">
        <v>37</v>
      </c>
      <c r="D14" s="40" t="s">
        <v>38</v>
      </c>
      <c r="E14" s="24">
        <v>176232000</v>
      </c>
      <c r="F14" s="39">
        <v>44081</v>
      </c>
      <c r="G14" s="24">
        <v>176232000</v>
      </c>
      <c r="H14" s="23">
        <v>5.0000000000000001E-3</v>
      </c>
      <c r="I14" s="39">
        <v>44531</v>
      </c>
      <c r="J14" s="39">
        <v>44561</v>
      </c>
      <c r="K14" s="24">
        <v>31</v>
      </c>
      <c r="L14" s="24">
        <v>74838</v>
      </c>
      <c r="M14" s="24">
        <v>176232000</v>
      </c>
      <c r="N14" s="39">
        <v>45906</v>
      </c>
    </row>
    <row r="15" spans="1:14" s="5" customFormat="1" outlineLevel="2">
      <c r="A15" s="39" t="s">
        <v>15</v>
      </c>
      <c r="B15" s="40" t="s">
        <v>39</v>
      </c>
      <c r="C15" s="41" t="s">
        <v>17</v>
      </c>
      <c r="D15" s="40" t="s">
        <v>18</v>
      </c>
      <c r="E15" s="24">
        <v>6430000</v>
      </c>
      <c r="F15" s="39">
        <v>43920</v>
      </c>
      <c r="G15" s="24">
        <v>6430000</v>
      </c>
      <c r="H15" s="23">
        <v>5.0000000000000001E-3</v>
      </c>
      <c r="I15" s="39">
        <v>44531</v>
      </c>
      <c r="J15" s="39">
        <v>44561</v>
      </c>
      <c r="K15" s="24">
        <v>31</v>
      </c>
      <c r="L15" s="24">
        <v>2731</v>
      </c>
      <c r="M15" s="24">
        <v>6430000</v>
      </c>
      <c r="N15" s="39">
        <v>45745</v>
      </c>
    </row>
    <row r="16" spans="1:14" s="5" customFormat="1" outlineLevel="2">
      <c r="A16" s="39" t="s">
        <v>15</v>
      </c>
      <c r="B16" s="40" t="s">
        <v>40</v>
      </c>
      <c r="C16" s="41" t="s">
        <v>30</v>
      </c>
      <c r="D16" s="40" t="s">
        <v>31</v>
      </c>
      <c r="E16" s="24">
        <v>5400000</v>
      </c>
      <c r="F16" s="39">
        <v>44103</v>
      </c>
      <c r="G16" s="24">
        <v>5400000</v>
      </c>
      <c r="H16" s="23">
        <v>5.0000000000000001E-3</v>
      </c>
      <c r="I16" s="39">
        <v>44531</v>
      </c>
      <c r="J16" s="39">
        <v>44561</v>
      </c>
      <c r="K16" s="24">
        <v>31</v>
      </c>
      <c r="L16" s="24">
        <v>2293</v>
      </c>
      <c r="M16" s="24">
        <v>5400000</v>
      </c>
      <c r="N16" s="39">
        <v>45928</v>
      </c>
    </row>
    <row r="17" spans="1:14" s="5" customFormat="1" outlineLevel="2">
      <c r="A17" s="39" t="s">
        <v>15</v>
      </c>
      <c r="B17" s="40" t="s">
        <v>41</v>
      </c>
      <c r="C17" s="41" t="s">
        <v>27</v>
      </c>
      <c r="D17" s="40" t="s">
        <v>28</v>
      </c>
      <c r="E17" s="24">
        <v>380000</v>
      </c>
      <c r="F17" s="39">
        <v>44116</v>
      </c>
      <c r="G17" s="24">
        <v>380000</v>
      </c>
      <c r="H17" s="23">
        <v>5.0000000000000001E-3</v>
      </c>
      <c r="I17" s="39">
        <v>44531</v>
      </c>
      <c r="J17" s="39">
        <v>44561</v>
      </c>
      <c r="K17" s="24">
        <v>31</v>
      </c>
      <c r="L17" s="24">
        <v>161</v>
      </c>
      <c r="M17" s="24">
        <v>380000</v>
      </c>
      <c r="N17" s="39">
        <v>45941</v>
      </c>
    </row>
    <row r="18" spans="1:14" s="5" customFormat="1" outlineLevel="2">
      <c r="A18" s="39" t="s">
        <v>15</v>
      </c>
      <c r="B18" s="40" t="s">
        <v>42</v>
      </c>
      <c r="C18" s="41" t="s">
        <v>27</v>
      </c>
      <c r="D18" s="40" t="s">
        <v>28</v>
      </c>
      <c r="E18" s="24">
        <v>2400000</v>
      </c>
      <c r="F18" s="39">
        <v>44123</v>
      </c>
      <c r="G18" s="24">
        <v>2400000</v>
      </c>
      <c r="H18" s="23">
        <v>5.0000000000000001E-3</v>
      </c>
      <c r="I18" s="39">
        <v>44531</v>
      </c>
      <c r="J18" s="39">
        <v>44561</v>
      </c>
      <c r="K18" s="24">
        <v>31</v>
      </c>
      <c r="L18" s="24">
        <v>1019</v>
      </c>
      <c r="M18" s="24">
        <v>2400000</v>
      </c>
      <c r="N18" s="39">
        <v>45948</v>
      </c>
    </row>
    <row r="19" spans="1:14" s="5" customFormat="1" outlineLevel="2">
      <c r="A19" s="39" t="s">
        <v>15</v>
      </c>
      <c r="B19" s="40" t="s">
        <v>43</v>
      </c>
      <c r="C19" s="41" t="s">
        <v>27</v>
      </c>
      <c r="D19" s="40" t="s">
        <v>28</v>
      </c>
      <c r="E19" s="24">
        <v>1000000</v>
      </c>
      <c r="F19" s="39">
        <v>44131</v>
      </c>
      <c r="G19" s="24">
        <v>1000000</v>
      </c>
      <c r="H19" s="23">
        <v>5.0000000000000001E-3</v>
      </c>
      <c r="I19" s="39">
        <v>44531</v>
      </c>
      <c r="J19" s="39">
        <v>44561</v>
      </c>
      <c r="K19" s="24">
        <v>31</v>
      </c>
      <c r="L19" s="24">
        <v>425</v>
      </c>
      <c r="M19" s="24">
        <v>1000000</v>
      </c>
      <c r="N19" s="39">
        <v>45956</v>
      </c>
    </row>
    <row r="20" spans="1:14" s="5" customFormat="1" outlineLevel="2">
      <c r="A20" s="39" t="s">
        <v>15</v>
      </c>
      <c r="B20" s="40" t="s">
        <v>44</v>
      </c>
      <c r="C20" s="41" t="s">
        <v>45</v>
      </c>
      <c r="D20" s="40" t="s">
        <v>46</v>
      </c>
      <c r="E20" s="24">
        <v>10000000</v>
      </c>
      <c r="F20" s="39">
        <v>44120</v>
      </c>
      <c r="G20" s="24">
        <v>10000000</v>
      </c>
      <c r="H20" s="23">
        <v>5.0000000000000001E-3</v>
      </c>
      <c r="I20" s="39">
        <v>44531</v>
      </c>
      <c r="J20" s="39">
        <v>44561</v>
      </c>
      <c r="K20" s="24">
        <v>31</v>
      </c>
      <c r="L20" s="24">
        <v>4247</v>
      </c>
      <c r="M20" s="24">
        <v>10000000</v>
      </c>
      <c r="N20" s="39">
        <v>45945</v>
      </c>
    </row>
    <row r="21" spans="1:14" s="5" customFormat="1" outlineLevel="2">
      <c r="A21" s="39" t="s">
        <v>15</v>
      </c>
      <c r="B21" s="40" t="s">
        <v>47</v>
      </c>
      <c r="C21" s="41" t="s">
        <v>48</v>
      </c>
      <c r="D21" s="40" t="s">
        <v>49</v>
      </c>
      <c r="E21" s="24">
        <v>250000000</v>
      </c>
      <c r="F21" s="39">
        <v>44147</v>
      </c>
      <c r="G21" s="24">
        <v>250000000</v>
      </c>
      <c r="H21" s="23">
        <v>5.0000000000000001E-3</v>
      </c>
      <c r="I21" s="39">
        <v>44531</v>
      </c>
      <c r="J21" s="39">
        <v>44561</v>
      </c>
      <c r="K21" s="24">
        <v>31</v>
      </c>
      <c r="L21" s="24">
        <v>106164</v>
      </c>
      <c r="M21" s="24">
        <v>250000000</v>
      </c>
      <c r="N21" s="39">
        <v>45972</v>
      </c>
    </row>
    <row r="22" spans="1:14" s="5" customFormat="1" outlineLevel="2">
      <c r="A22" s="39" t="s">
        <v>15</v>
      </c>
      <c r="B22" s="40" t="s">
        <v>50</v>
      </c>
      <c r="C22" s="41" t="s">
        <v>48</v>
      </c>
      <c r="D22" s="40" t="s">
        <v>49</v>
      </c>
      <c r="E22" s="24">
        <v>200000000</v>
      </c>
      <c r="F22" s="39">
        <v>44147</v>
      </c>
      <c r="G22" s="24">
        <v>200000000</v>
      </c>
      <c r="H22" s="23">
        <v>5.0000000000000001E-3</v>
      </c>
      <c r="I22" s="39">
        <v>44531</v>
      </c>
      <c r="J22" s="39">
        <v>44561</v>
      </c>
      <c r="K22" s="24">
        <v>31</v>
      </c>
      <c r="L22" s="24">
        <v>84932</v>
      </c>
      <c r="M22" s="24">
        <v>200000000</v>
      </c>
      <c r="N22" s="39">
        <v>45972</v>
      </c>
    </row>
    <row r="23" spans="1:14" s="5" customFormat="1" outlineLevel="2">
      <c r="A23" s="39" t="s">
        <v>15</v>
      </c>
      <c r="B23" s="40" t="s">
        <v>51</v>
      </c>
      <c r="C23" s="41" t="s">
        <v>23</v>
      </c>
      <c r="D23" s="40" t="s">
        <v>24</v>
      </c>
      <c r="E23" s="24">
        <v>8600000</v>
      </c>
      <c r="F23" s="39">
        <v>44155</v>
      </c>
      <c r="G23" s="24">
        <v>8600000</v>
      </c>
      <c r="H23" s="23">
        <v>5.0000000000000001E-3</v>
      </c>
      <c r="I23" s="39">
        <v>44531</v>
      </c>
      <c r="J23" s="39">
        <v>44561</v>
      </c>
      <c r="K23" s="24">
        <v>31</v>
      </c>
      <c r="L23" s="24">
        <v>3652</v>
      </c>
      <c r="M23" s="24">
        <v>8600000</v>
      </c>
      <c r="N23" s="39">
        <v>45980</v>
      </c>
    </row>
    <row r="24" spans="1:14" s="5" customFormat="1" outlineLevel="2">
      <c r="A24" s="39" t="s">
        <v>15</v>
      </c>
      <c r="B24" s="40" t="s">
        <v>52</v>
      </c>
      <c r="C24" s="41" t="s">
        <v>17</v>
      </c>
      <c r="D24" s="40" t="s">
        <v>18</v>
      </c>
      <c r="E24" s="24">
        <v>1657000</v>
      </c>
      <c r="F24" s="39">
        <v>44160</v>
      </c>
      <c r="G24" s="24">
        <v>1657000</v>
      </c>
      <c r="H24" s="23">
        <v>5.0000000000000001E-3</v>
      </c>
      <c r="I24" s="39">
        <v>44531</v>
      </c>
      <c r="J24" s="39">
        <v>44561</v>
      </c>
      <c r="K24" s="24">
        <v>31</v>
      </c>
      <c r="L24" s="24">
        <v>704</v>
      </c>
      <c r="M24" s="24">
        <v>1657000</v>
      </c>
      <c r="N24" s="39">
        <v>45985</v>
      </c>
    </row>
    <row r="25" spans="1:14" s="5" customFormat="1" outlineLevel="2">
      <c r="A25" s="39" t="s">
        <v>15</v>
      </c>
      <c r="B25" s="40" t="s">
        <v>53</v>
      </c>
      <c r="C25" s="41" t="s">
        <v>27</v>
      </c>
      <c r="D25" s="40" t="s">
        <v>28</v>
      </c>
      <c r="E25" s="24">
        <v>2000000</v>
      </c>
      <c r="F25" s="39">
        <v>44188</v>
      </c>
      <c r="G25" s="24">
        <v>2000000</v>
      </c>
      <c r="H25" s="23">
        <v>5.0000000000000001E-3</v>
      </c>
      <c r="I25" s="39">
        <v>44531</v>
      </c>
      <c r="J25" s="39">
        <v>44561</v>
      </c>
      <c r="K25" s="24">
        <v>31</v>
      </c>
      <c r="L25" s="24">
        <v>849</v>
      </c>
      <c r="M25" s="24">
        <v>2000000</v>
      </c>
      <c r="N25" s="39">
        <v>46013</v>
      </c>
    </row>
    <row r="26" spans="1:14" s="5" customFormat="1" outlineLevel="2">
      <c r="A26" s="39" t="s">
        <v>15</v>
      </c>
      <c r="B26" s="40" t="s">
        <v>54</v>
      </c>
      <c r="C26" s="41" t="s">
        <v>55</v>
      </c>
      <c r="D26" s="40" t="s">
        <v>56</v>
      </c>
      <c r="E26" s="24">
        <v>28600000</v>
      </c>
      <c r="F26" s="39">
        <v>43921</v>
      </c>
      <c r="G26" s="24">
        <v>28600000</v>
      </c>
      <c r="H26" s="23">
        <v>5.0000000000000001E-3</v>
      </c>
      <c r="I26" s="39">
        <v>44531</v>
      </c>
      <c r="J26" s="39">
        <v>44561</v>
      </c>
      <c r="K26" s="24">
        <v>31</v>
      </c>
      <c r="L26" s="24">
        <v>12145</v>
      </c>
      <c r="M26" s="24">
        <v>28600000</v>
      </c>
      <c r="N26" s="39">
        <v>45746</v>
      </c>
    </row>
    <row r="27" spans="1:14" s="5" customFormat="1" outlineLevel="2">
      <c r="A27" s="39" t="s">
        <v>15</v>
      </c>
      <c r="B27" s="40" t="s">
        <v>57</v>
      </c>
      <c r="C27" s="41" t="s">
        <v>27</v>
      </c>
      <c r="D27" s="40" t="s">
        <v>28</v>
      </c>
      <c r="E27" s="24">
        <v>600000</v>
      </c>
      <c r="F27" s="39">
        <v>44200</v>
      </c>
      <c r="G27" s="24">
        <v>600000</v>
      </c>
      <c r="H27" s="23">
        <v>5.0000000000000001E-3</v>
      </c>
      <c r="I27" s="39">
        <v>44531</v>
      </c>
      <c r="J27" s="39">
        <v>44561</v>
      </c>
      <c r="K27" s="24">
        <v>31</v>
      </c>
      <c r="L27" s="24">
        <v>255</v>
      </c>
      <c r="M27" s="24">
        <v>600000</v>
      </c>
      <c r="N27" s="39">
        <v>46025</v>
      </c>
    </row>
    <row r="28" spans="1:14" s="5" customFormat="1" outlineLevel="2">
      <c r="A28" s="39" t="s">
        <v>15</v>
      </c>
      <c r="B28" s="40" t="s">
        <v>58</v>
      </c>
      <c r="C28" s="41" t="s">
        <v>20</v>
      </c>
      <c r="D28" s="40" t="s">
        <v>21</v>
      </c>
      <c r="E28" s="24">
        <v>60000000</v>
      </c>
      <c r="F28" s="39">
        <v>44217</v>
      </c>
      <c r="G28" s="24">
        <v>60000000</v>
      </c>
      <c r="H28" s="23">
        <v>3.0000000000000001E-3</v>
      </c>
      <c r="I28" s="39">
        <v>44531</v>
      </c>
      <c r="J28" s="39">
        <v>44561</v>
      </c>
      <c r="K28" s="24">
        <v>31</v>
      </c>
      <c r="L28" s="24">
        <v>15288</v>
      </c>
      <c r="M28" s="24">
        <v>60000000</v>
      </c>
      <c r="N28" s="39">
        <v>46042</v>
      </c>
    </row>
    <row r="29" spans="1:14" s="5" customFormat="1" outlineLevel="2">
      <c r="A29" s="39" t="s">
        <v>15</v>
      </c>
      <c r="B29" s="40" t="s">
        <v>99</v>
      </c>
      <c r="C29" s="41" t="s">
        <v>250</v>
      </c>
      <c r="D29" s="40" t="s">
        <v>251</v>
      </c>
      <c r="E29" s="24">
        <v>80000000</v>
      </c>
      <c r="F29" s="39">
        <v>44270</v>
      </c>
      <c r="G29" s="24">
        <v>80000000</v>
      </c>
      <c r="H29" s="23">
        <v>5.0000000000000001E-3</v>
      </c>
      <c r="I29" s="39">
        <v>44531</v>
      </c>
      <c r="J29" s="39">
        <v>44561</v>
      </c>
      <c r="K29" s="24">
        <v>31</v>
      </c>
      <c r="L29" s="24">
        <v>33973</v>
      </c>
      <c r="M29" s="24">
        <v>80000000</v>
      </c>
      <c r="N29" s="39">
        <v>46095</v>
      </c>
    </row>
    <row r="30" spans="1:14" s="5" customFormat="1" outlineLevel="2">
      <c r="A30" s="39" t="s">
        <v>15</v>
      </c>
      <c r="B30" s="40" t="s">
        <v>100</v>
      </c>
      <c r="C30" s="41" t="s">
        <v>48</v>
      </c>
      <c r="D30" s="40" t="s">
        <v>49</v>
      </c>
      <c r="E30" s="24">
        <v>130000000</v>
      </c>
      <c r="F30" s="39">
        <v>44270</v>
      </c>
      <c r="G30" s="24">
        <v>130000000</v>
      </c>
      <c r="H30" s="23">
        <v>5.0000000000000001E-3</v>
      </c>
      <c r="I30" s="39">
        <v>44531</v>
      </c>
      <c r="J30" s="39">
        <v>44561</v>
      </c>
      <c r="K30" s="24">
        <v>31</v>
      </c>
      <c r="L30" s="24">
        <v>55205</v>
      </c>
      <c r="M30" s="24">
        <v>130000000</v>
      </c>
      <c r="N30" s="39">
        <v>46095</v>
      </c>
    </row>
    <row r="31" spans="1:14" s="5" customFormat="1" outlineLevel="2">
      <c r="A31" s="39" t="s">
        <v>15</v>
      </c>
      <c r="B31" s="40" t="s">
        <v>101</v>
      </c>
      <c r="C31" s="41" t="s">
        <v>37</v>
      </c>
      <c r="D31" s="40" t="s">
        <v>38</v>
      </c>
      <c r="E31" s="24">
        <v>83911000</v>
      </c>
      <c r="F31" s="39">
        <v>44285</v>
      </c>
      <c r="G31" s="24">
        <v>83911000</v>
      </c>
      <c r="H31" s="23">
        <v>5.0000000000000001E-3</v>
      </c>
      <c r="I31" s="39">
        <v>44531</v>
      </c>
      <c r="J31" s="39">
        <v>44561</v>
      </c>
      <c r="K31" s="24">
        <v>31</v>
      </c>
      <c r="L31" s="24">
        <v>35633</v>
      </c>
      <c r="M31" s="24">
        <v>83911000</v>
      </c>
      <c r="N31" s="39">
        <v>46110</v>
      </c>
    </row>
    <row r="32" spans="1:14" s="5" customFormat="1" outlineLevel="2">
      <c r="A32" s="39" t="s">
        <v>15</v>
      </c>
      <c r="B32" s="40" t="s">
        <v>102</v>
      </c>
      <c r="C32" s="41" t="s">
        <v>365</v>
      </c>
      <c r="D32" s="40" t="s">
        <v>364</v>
      </c>
      <c r="E32" s="24">
        <v>14500000</v>
      </c>
      <c r="F32" s="39">
        <v>44301</v>
      </c>
      <c r="G32" s="24">
        <v>12779659</v>
      </c>
      <c r="H32" s="23">
        <v>5.0000000000000001E-3</v>
      </c>
      <c r="I32" s="39">
        <v>44531</v>
      </c>
      <c r="J32" s="39">
        <v>44544</v>
      </c>
      <c r="K32" s="24">
        <v>14</v>
      </c>
      <c r="L32" s="24">
        <v>2451</v>
      </c>
      <c r="M32" s="24">
        <v>12533896</v>
      </c>
      <c r="N32" s="39">
        <v>46126</v>
      </c>
    </row>
    <row r="33" spans="1:14" s="5" customFormat="1" outlineLevel="2">
      <c r="A33" s="39" t="s">
        <v>15</v>
      </c>
      <c r="B33" s="40" t="s">
        <v>102</v>
      </c>
      <c r="C33" s="41" t="s">
        <v>365</v>
      </c>
      <c r="D33" s="40"/>
      <c r="E33" s="24"/>
      <c r="F33" s="39"/>
      <c r="G33" s="24">
        <v>12533896</v>
      </c>
      <c r="H33" s="23">
        <v>5.0000000000000001E-3</v>
      </c>
      <c r="I33" s="39">
        <v>44545</v>
      </c>
      <c r="J33" s="39">
        <v>44561</v>
      </c>
      <c r="K33" s="24">
        <v>17</v>
      </c>
      <c r="L33" s="24">
        <v>2919</v>
      </c>
      <c r="M33" s="24"/>
      <c r="N33" s="39">
        <v>46126</v>
      </c>
    </row>
    <row r="34" spans="1:14" s="5" customFormat="1" outlineLevel="2">
      <c r="A34" s="39" t="s">
        <v>15</v>
      </c>
      <c r="B34" s="40" t="s">
        <v>103</v>
      </c>
      <c r="C34" s="41" t="s">
        <v>20</v>
      </c>
      <c r="D34" s="40" t="s">
        <v>21</v>
      </c>
      <c r="E34" s="24">
        <v>206400000</v>
      </c>
      <c r="F34" s="39">
        <v>44294</v>
      </c>
      <c r="G34" s="24">
        <v>206400000</v>
      </c>
      <c r="H34" s="23">
        <v>3.0000000000000001E-3</v>
      </c>
      <c r="I34" s="39">
        <v>44531</v>
      </c>
      <c r="J34" s="39">
        <v>44561</v>
      </c>
      <c r="K34" s="24">
        <v>31</v>
      </c>
      <c r="L34" s="24">
        <v>52590</v>
      </c>
      <c r="M34" s="24">
        <v>206400000</v>
      </c>
      <c r="N34" s="39">
        <v>46119</v>
      </c>
    </row>
    <row r="35" spans="1:14" s="5" customFormat="1" outlineLevel="2">
      <c r="A35" s="39" t="s">
        <v>15</v>
      </c>
      <c r="B35" s="40" t="s">
        <v>104</v>
      </c>
      <c r="C35" s="41" t="s">
        <v>27</v>
      </c>
      <c r="D35" s="40" t="s">
        <v>28</v>
      </c>
      <c r="E35" s="24">
        <v>19590000</v>
      </c>
      <c r="F35" s="39">
        <v>44347</v>
      </c>
      <c r="G35" s="24">
        <v>19590000</v>
      </c>
      <c r="H35" s="23">
        <v>5.0000000000000001E-3</v>
      </c>
      <c r="I35" s="39">
        <v>44531</v>
      </c>
      <c r="J35" s="39">
        <v>44561</v>
      </c>
      <c r="K35" s="24">
        <v>31</v>
      </c>
      <c r="L35" s="24">
        <v>8319</v>
      </c>
      <c r="M35" s="24">
        <v>19590000</v>
      </c>
      <c r="N35" s="39">
        <v>46172</v>
      </c>
    </row>
    <row r="36" spans="1:14" s="5" customFormat="1" outlineLevel="2">
      <c r="A36" s="39" t="s">
        <v>15</v>
      </c>
      <c r="B36" s="40" t="s">
        <v>105</v>
      </c>
      <c r="C36" s="41" t="s">
        <v>351</v>
      </c>
      <c r="D36" s="40" t="s">
        <v>350</v>
      </c>
      <c r="E36" s="24">
        <v>17000000</v>
      </c>
      <c r="F36" s="39">
        <v>44330</v>
      </c>
      <c r="G36" s="24">
        <v>17000000</v>
      </c>
      <c r="H36" s="23">
        <v>5.0000000000000001E-3</v>
      </c>
      <c r="I36" s="39">
        <v>44531</v>
      </c>
      <c r="J36" s="39">
        <v>44561</v>
      </c>
      <c r="K36" s="24">
        <v>31</v>
      </c>
      <c r="L36" s="24">
        <v>7219</v>
      </c>
      <c r="M36" s="24">
        <v>17000000</v>
      </c>
      <c r="N36" s="39">
        <v>46155</v>
      </c>
    </row>
    <row r="37" spans="1:14" s="5" customFormat="1" outlineLevel="2">
      <c r="A37" s="39" t="s">
        <v>15</v>
      </c>
      <c r="B37" s="40" t="s">
        <v>106</v>
      </c>
      <c r="C37" s="41" t="s">
        <v>250</v>
      </c>
      <c r="D37" s="40" t="s">
        <v>251</v>
      </c>
      <c r="E37" s="24">
        <v>31900000</v>
      </c>
      <c r="F37" s="39">
        <v>44377</v>
      </c>
      <c r="G37" s="24">
        <v>31900000</v>
      </c>
      <c r="H37" s="23">
        <v>5.0000000000000001E-3</v>
      </c>
      <c r="I37" s="39">
        <v>44531</v>
      </c>
      <c r="J37" s="39">
        <v>44561</v>
      </c>
      <c r="K37" s="24">
        <v>31</v>
      </c>
      <c r="L37" s="24">
        <v>13547</v>
      </c>
      <c r="M37" s="24">
        <v>31900000</v>
      </c>
      <c r="N37" s="39">
        <v>46202</v>
      </c>
    </row>
    <row r="38" spans="1:14" s="5" customFormat="1" outlineLevel="2">
      <c r="A38" s="39" t="s">
        <v>15</v>
      </c>
      <c r="B38" s="40" t="s">
        <v>59</v>
      </c>
      <c r="C38" s="41" t="s">
        <v>60</v>
      </c>
      <c r="D38" s="40" t="s">
        <v>61</v>
      </c>
      <c r="E38" s="24">
        <v>20000000</v>
      </c>
      <c r="F38" s="39">
        <v>43922</v>
      </c>
      <c r="G38" s="24">
        <v>20000000</v>
      </c>
      <c r="H38" s="23">
        <v>5.0000000000000001E-3</v>
      </c>
      <c r="I38" s="39">
        <v>44531</v>
      </c>
      <c r="J38" s="39">
        <v>44561</v>
      </c>
      <c r="K38" s="24">
        <v>31</v>
      </c>
      <c r="L38" s="24">
        <v>8493</v>
      </c>
      <c r="M38" s="24">
        <v>20000000</v>
      </c>
      <c r="N38" s="39">
        <v>45747</v>
      </c>
    </row>
    <row r="39" spans="1:14" s="5" customFormat="1" outlineLevel="2">
      <c r="A39" s="39" t="s">
        <v>15</v>
      </c>
      <c r="B39" s="40" t="s">
        <v>136</v>
      </c>
      <c r="C39" s="41" t="s">
        <v>17</v>
      </c>
      <c r="D39" s="40" t="s">
        <v>18</v>
      </c>
      <c r="E39" s="24">
        <v>4359000</v>
      </c>
      <c r="F39" s="39">
        <v>44371</v>
      </c>
      <c r="G39" s="24">
        <v>4359000</v>
      </c>
      <c r="H39" s="23">
        <v>5.0000000000000001E-3</v>
      </c>
      <c r="I39" s="39">
        <v>44531</v>
      </c>
      <c r="J39" s="39">
        <v>44561</v>
      </c>
      <c r="K39" s="24">
        <v>31</v>
      </c>
      <c r="L39" s="24">
        <v>1851</v>
      </c>
      <c r="M39" s="24">
        <v>4359000</v>
      </c>
      <c r="N39" s="39">
        <v>46196</v>
      </c>
    </row>
    <row r="40" spans="1:14" s="5" customFormat="1" outlineLevel="2">
      <c r="A40" s="39" t="s">
        <v>15</v>
      </c>
      <c r="B40" s="40" t="s">
        <v>137</v>
      </c>
      <c r="C40" s="41" t="s">
        <v>20</v>
      </c>
      <c r="D40" s="40" t="s">
        <v>21</v>
      </c>
      <c r="E40" s="24">
        <v>129600000</v>
      </c>
      <c r="F40" s="39">
        <v>44405</v>
      </c>
      <c r="G40" s="24">
        <v>129600000</v>
      </c>
      <c r="H40" s="23">
        <v>3.0000000000000001E-3</v>
      </c>
      <c r="I40" s="39">
        <v>44531</v>
      </c>
      <c r="J40" s="39">
        <v>44561</v>
      </c>
      <c r="K40" s="24">
        <v>31</v>
      </c>
      <c r="L40" s="24">
        <v>33021</v>
      </c>
      <c r="M40" s="24">
        <v>129600000</v>
      </c>
      <c r="N40" s="39">
        <v>46230</v>
      </c>
    </row>
    <row r="41" spans="1:14" s="5" customFormat="1" outlineLevel="2">
      <c r="A41" s="39" t="s">
        <v>15</v>
      </c>
      <c r="B41" s="40" t="s">
        <v>138</v>
      </c>
      <c r="C41" s="41" t="s">
        <v>45</v>
      </c>
      <c r="D41" s="40" t="s">
        <v>46</v>
      </c>
      <c r="E41" s="24">
        <v>50000000</v>
      </c>
      <c r="F41" s="39">
        <v>44432</v>
      </c>
      <c r="G41" s="24">
        <v>50000000</v>
      </c>
      <c r="H41" s="23">
        <v>5.0000000000000001E-3</v>
      </c>
      <c r="I41" s="39">
        <v>44531</v>
      </c>
      <c r="J41" s="39">
        <v>44561</v>
      </c>
      <c r="K41" s="24">
        <v>31</v>
      </c>
      <c r="L41" s="24">
        <v>21233</v>
      </c>
      <c r="M41" s="24">
        <v>50000000</v>
      </c>
      <c r="N41" s="39">
        <v>46257</v>
      </c>
    </row>
    <row r="42" spans="1:14" s="5" customFormat="1" outlineLevel="2">
      <c r="A42" s="39" t="s">
        <v>15</v>
      </c>
      <c r="B42" s="40" t="s">
        <v>139</v>
      </c>
      <c r="C42" s="41" t="s">
        <v>37</v>
      </c>
      <c r="D42" s="40" t="s">
        <v>38</v>
      </c>
      <c r="E42" s="24">
        <v>64569000</v>
      </c>
      <c r="F42" s="39">
        <v>44461</v>
      </c>
      <c r="G42" s="24">
        <v>64569000</v>
      </c>
      <c r="H42" s="23">
        <v>5.0000000000000001E-3</v>
      </c>
      <c r="I42" s="39">
        <v>44531</v>
      </c>
      <c r="J42" s="39">
        <v>44561</v>
      </c>
      <c r="K42" s="24">
        <v>31</v>
      </c>
      <c r="L42" s="24">
        <v>27420</v>
      </c>
      <c r="M42" s="24">
        <v>64569000</v>
      </c>
      <c r="N42" s="39">
        <v>46286</v>
      </c>
    </row>
    <row r="43" spans="1:14" s="5" customFormat="1" outlineLevel="2">
      <c r="A43" s="39" t="s">
        <v>15</v>
      </c>
      <c r="B43" s="40" t="s">
        <v>140</v>
      </c>
      <c r="C43" s="41" t="s">
        <v>37</v>
      </c>
      <c r="D43" s="40" t="s">
        <v>38</v>
      </c>
      <c r="E43" s="24">
        <v>248976000</v>
      </c>
      <c r="F43" s="39">
        <v>44461</v>
      </c>
      <c r="G43" s="24">
        <v>248976000</v>
      </c>
      <c r="H43" s="23">
        <v>5.0000000000000001E-3</v>
      </c>
      <c r="I43" s="39">
        <v>44531</v>
      </c>
      <c r="J43" s="39">
        <v>44561</v>
      </c>
      <c r="K43" s="24">
        <v>31</v>
      </c>
      <c r="L43" s="24">
        <v>105730</v>
      </c>
      <c r="M43" s="24">
        <v>248976000</v>
      </c>
      <c r="N43" s="39">
        <v>46286</v>
      </c>
    </row>
    <row r="44" spans="1:14" s="5" customFormat="1" outlineLevel="2">
      <c r="A44" s="39" t="s">
        <v>15</v>
      </c>
      <c r="B44" s="40" t="s">
        <v>169</v>
      </c>
      <c r="C44" s="41" t="s">
        <v>17</v>
      </c>
      <c r="D44" s="40" t="s">
        <v>18</v>
      </c>
      <c r="E44" s="24">
        <v>7938000</v>
      </c>
      <c r="F44" s="39">
        <v>44462</v>
      </c>
      <c r="G44" s="24">
        <v>7938000</v>
      </c>
      <c r="H44" s="23">
        <v>5.0000000000000001E-3</v>
      </c>
      <c r="I44" s="39">
        <v>44531</v>
      </c>
      <c r="J44" s="39">
        <v>44561</v>
      </c>
      <c r="K44" s="24">
        <v>31</v>
      </c>
      <c r="L44" s="24">
        <v>3371</v>
      </c>
      <c r="M44" s="24">
        <v>7938000</v>
      </c>
      <c r="N44" s="39">
        <v>46287</v>
      </c>
    </row>
    <row r="45" spans="1:14" s="5" customFormat="1" outlineLevel="2">
      <c r="A45" s="39" t="s">
        <v>15</v>
      </c>
      <c r="B45" s="40" t="s">
        <v>170</v>
      </c>
      <c r="C45" s="41" t="s">
        <v>365</v>
      </c>
      <c r="D45" s="40" t="s">
        <v>364</v>
      </c>
      <c r="E45" s="24">
        <v>13200000</v>
      </c>
      <c r="F45" s="39">
        <v>44484</v>
      </c>
      <c r="G45" s="24">
        <v>12950943</v>
      </c>
      <c r="H45" s="23">
        <v>5.0000000000000001E-3</v>
      </c>
      <c r="I45" s="39">
        <v>44531</v>
      </c>
      <c r="J45" s="39">
        <v>44544</v>
      </c>
      <c r="K45" s="24">
        <v>14</v>
      </c>
      <c r="L45" s="24">
        <v>2484</v>
      </c>
      <c r="M45" s="24">
        <v>12701886</v>
      </c>
      <c r="N45" s="39">
        <v>46309</v>
      </c>
    </row>
    <row r="46" spans="1:14" s="5" customFormat="1" outlineLevel="2">
      <c r="A46" s="39" t="s">
        <v>15</v>
      </c>
      <c r="B46" s="40" t="s">
        <v>170</v>
      </c>
      <c r="C46" s="41" t="s">
        <v>365</v>
      </c>
      <c r="D46" s="40"/>
      <c r="E46" s="24"/>
      <c r="F46" s="39"/>
      <c r="G46" s="24">
        <v>12701886</v>
      </c>
      <c r="H46" s="23">
        <v>5.0000000000000001E-3</v>
      </c>
      <c r="I46" s="39">
        <v>44545</v>
      </c>
      <c r="J46" s="39">
        <v>44561</v>
      </c>
      <c r="K46" s="24">
        <v>17</v>
      </c>
      <c r="L46" s="24">
        <v>2958</v>
      </c>
      <c r="M46" s="24"/>
      <c r="N46" s="39">
        <v>46309</v>
      </c>
    </row>
    <row r="47" spans="1:14" s="5" customFormat="1" outlineLevel="2">
      <c r="A47" s="39" t="s">
        <v>15</v>
      </c>
      <c r="B47" s="40" t="s">
        <v>171</v>
      </c>
      <c r="C47" s="41" t="s">
        <v>155</v>
      </c>
      <c r="D47" s="40" t="s">
        <v>156</v>
      </c>
      <c r="E47" s="24">
        <v>500000000</v>
      </c>
      <c r="F47" s="39">
        <v>44474</v>
      </c>
      <c r="G47" s="24">
        <v>500000000</v>
      </c>
      <c r="H47" s="23">
        <v>5.0000000000000001E-3</v>
      </c>
      <c r="I47" s="39">
        <v>44531</v>
      </c>
      <c r="J47" s="39">
        <v>44561</v>
      </c>
      <c r="K47" s="24">
        <v>31</v>
      </c>
      <c r="L47" s="24">
        <v>212329</v>
      </c>
      <c r="M47" s="24">
        <v>500000000</v>
      </c>
      <c r="N47" s="39">
        <v>45569</v>
      </c>
    </row>
    <row r="48" spans="1:14" s="5" customFormat="1" outlineLevel="2">
      <c r="A48" s="39" t="s">
        <v>15</v>
      </c>
      <c r="B48" s="40" t="s">
        <v>172</v>
      </c>
      <c r="C48" s="41" t="s">
        <v>23</v>
      </c>
      <c r="D48" s="40" t="s">
        <v>24</v>
      </c>
      <c r="E48" s="24">
        <v>34030000</v>
      </c>
      <c r="F48" s="39">
        <v>44476</v>
      </c>
      <c r="G48" s="24">
        <v>34030000</v>
      </c>
      <c r="H48" s="23">
        <v>5.0000000000000001E-3</v>
      </c>
      <c r="I48" s="39">
        <v>44531</v>
      </c>
      <c r="J48" s="39">
        <v>44561</v>
      </c>
      <c r="K48" s="24">
        <v>31</v>
      </c>
      <c r="L48" s="24">
        <v>14451</v>
      </c>
      <c r="M48" s="24">
        <v>34030000</v>
      </c>
      <c r="N48" s="39">
        <v>46301</v>
      </c>
    </row>
    <row r="49" spans="1:14" s="5" customFormat="1" outlineLevel="2">
      <c r="A49" s="39" t="s">
        <v>15</v>
      </c>
      <c r="B49" s="40" t="s">
        <v>173</v>
      </c>
      <c r="C49" s="41" t="s">
        <v>155</v>
      </c>
      <c r="D49" s="40" t="s">
        <v>156</v>
      </c>
      <c r="E49" s="24">
        <v>50000000</v>
      </c>
      <c r="F49" s="39">
        <v>44508</v>
      </c>
      <c r="G49" s="24">
        <v>50000000</v>
      </c>
      <c r="H49" s="23">
        <v>5.0000000000000001E-3</v>
      </c>
      <c r="I49" s="39">
        <v>44531</v>
      </c>
      <c r="J49" s="39">
        <v>44561</v>
      </c>
      <c r="K49" s="24">
        <v>31</v>
      </c>
      <c r="L49" s="24">
        <v>21233</v>
      </c>
      <c r="M49" s="24">
        <v>50000000</v>
      </c>
      <c r="N49" s="39">
        <v>45603</v>
      </c>
    </row>
    <row r="50" spans="1:14" s="5" customFormat="1" outlineLevel="2">
      <c r="A50" s="39" t="s">
        <v>15</v>
      </c>
      <c r="B50" s="40" t="s">
        <v>62</v>
      </c>
      <c r="C50" s="41" t="s">
        <v>55</v>
      </c>
      <c r="D50" s="40" t="s">
        <v>56</v>
      </c>
      <c r="E50" s="24">
        <v>10000000</v>
      </c>
      <c r="F50" s="39">
        <v>43934</v>
      </c>
      <c r="G50" s="24">
        <v>10000000</v>
      </c>
      <c r="H50" s="23">
        <v>5.0000000000000001E-3</v>
      </c>
      <c r="I50" s="39">
        <v>44531</v>
      </c>
      <c r="J50" s="39">
        <v>44561</v>
      </c>
      <c r="K50" s="24">
        <v>31</v>
      </c>
      <c r="L50" s="24">
        <v>4247</v>
      </c>
      <c r="M50" s="24">
        <v>10000000</v>
      </c>
      <c r="N50" s="39">
        <v>45759</v>
      </c>
    </row>
    <row r="51" spans="1:14" s="5" customFormat="1" outlineLevel="2">
      <c r="A51" s="39" t="s">
        <v>15</v>
      </c>
      <c r="B51" s="40" t="s">
        <v>174</v>
      </c>
      <c r="C51" s="41" t="s">
        <v>37</v>
      </c>
      <c r="D51" s="40" t="s">
        <v>38</v>
      </c>
      <c r="E51" s="24">
        <v>91524000</v>
      </c>
      <c r="F51" s="39">
        <v>44523</v>
      </c>
      <c r="G51" s="24">
        <v>91524000</v>
      </c>
      <c r="H51" s="23">
        <v>5.0000000000000001E-3</v>
      </c>
      <c r="I51" s="39">
        <v>44531</v>
      </c>
      <c r="J51" s="39">
        <v>44561</v>
      </c>
      <c r="K51" s="24">
        <v>31</v>
      </c>
      <c r="L51" s="24">
        <v>38866</v>
      </c>
      <c r="M51" s="24">
        <v>91524000</v>
      </c>
      <c r="N51" s="39">
        <v>46348</v>
      </c>
    </row>
    <row r="52" spans="1:14" s="5" customFormat="1" outlineLevel="2">
      <c r="A52" s="39" t="s">
        <v>15</v>
      </c>
      <c r="B52" s="40" t="s">
        <v>175</v>
      </c>
      <c r="C52" s="41" t="s">
        <v>476</v>
      </c>
      <c r="D52" s="40" t="s">
        <v>475</v>
      </c>
      <c r="E52" s="24">
        <v>50836821</v>
      </c>
      <c r="F52" s="39">
        <v>44532</v>
      </c>
      <c r="G52" s="24">
        <v>50836821</v>
      </c>
      <c r="H52" s="23">
        <v>5.0000000000000001E-3</v>
      </c>
      <c r="I52" s="39">
        <v>44532</v>
      </c>
      <c r="J52" s="39">
        <v>44561</v>
      </c>
      <c r="K52" s="24">
        <v>30</v>
      </c>
      <c r="L52" s="24">
        <v>20892</v>
      </c>
      <c r="M52" s="24">
        <v>50836821</v>
      </c>
      <c r="N52" s="39">
        <v>45627</v>
      </c>
    </row>
    <row r="53" spans="1:14" s="5" customFormat="1" outlineLevel="2">
      <c r="A53" s="39" t="s">
        <v>15</v>
      </c>
      <c r="B53" s="40" t="s">
        <v>176</v>
      </c>
      <c r="C53" s="41" t="s">
        <v>476</v>
      </c>
      <c r="D53" s="40" t="s">
        <v>475</v>
      </c>
      <c r="E53" s="24">
        <v>32462768</v>
      </c>
      <c r="F53" s="39">
        <v>44553</v>
      </c>
      <c r="G53" s="24">
        <v>32462768</v>
      </c>
      <c r="H53" s="23">
        <v>5.0000000000000001E-3</v>
      </c>
      <c r="I53" s="39">
        <v>44553</v>
      </c>
      <c r="J53" s="39">
        <v>44561</v>
      </c>
      <c r="K53" s="24">
        <v>9</v>
      </c>
      <c r="L53" s="24">
        <v>4002</v>
      </c>
      <c r="M53" s="24">
        <v>32462768</v>
      </c>
      <c r="N53" s="39">
        <v>45648</v>
      </c>
    </row>
    <row r="54" spans="1:14" s="5" customFormat="1" outlineLevel="2">
      <c r="A54" s="39" t="s">
        <v>15</v>
      </c>
      <c r="B54" s="40" t="s">
        <v>177</v>
      </c>
      <c r="C54" s="41" t="s">
        <v>476</v>
      </c>
      <c r="D54" s="40" t="s">
        <v>475</v>
      </c>
      <c r="E54" s="24">
        <v>36137789</v>
      </c>
      <c r="F54" s="39">
        <v>44553</v>
      </c>
      <c r="G54" s="24">
        <v>36137789</v>
      </c>
      <c r="H54" s="23">
        <v>5.0000000000000001E-3</v>
      </c>
      <c r="I54" s="39">
        <v>44553</v>
      </c>
      <c r="J54" s="39">
        <v>44561</v>
      </c>
      <c r="K54" s="24">
        <v>9</v>
      </c>
      <c r="L54" s="24">
        <v>4455</v>
      </c>
      <c r="M54" s="24">
        <v>36137789</v>
      </c>
      <c r="N54" s="39">
        <v>45648</v>
      </c>
    </row>
    <row r="55" spans="1:14" s="5" customFormat="1" outlineLevel="2">
      <c r="A55" s="39" t="s">
        <v>15</v>
      </c>
      <c r="B55" s="40" t="s">
        <v>178</v>
      </c>
      <c r="C55" s="41" t="s">
        <v>445</v>
      </c>
      <c r="D55" s="40" t="s">
        <v>444</v>
      </c>
      <c r="E55" s="24">
        <v>435660000</v>
      </c>
      <c r="F55" s="39">
        <v>44547</v>
      </c>
      <c r="G55" s="24">
        <v>435660000</v>
      </c>
      <c r="H55" s="23">
        <v>5.0000000000000001E-3</v>
      </c>
      <c r="I55" s="39">
        <v>44547</v>
      </c>
      <c r="J55" s="39">
        <v>44561</v>
      </c>
      <c r="K55" s="24">
        <v>15</v>
      </c>
      <c r="L55" s="24">
        <v>89519</v>
      </c>
      <c r="M55" s="24">
        <v>435660000</v>
      </c>
      <c r="N55" s="39">
        <v>45642</v>
      </c>
    </row>
    <row r="56" spans="1:14" s="5" customFormat="1" outlineLevel="2">
      <c r="A56" s="39" t="s">
        <v>15</v>
      </c>
      <c r="B56" s="40" t="s">
        <v>179</v>
      </c>
      <c r="C56" s="41" t="s">
        <v>351</v>
      </c>
      <c r="D56" s="40" t="s">
        <v>350</v>
      </c>
      <c r="E56" s="24">
        <v>12100000</v>
      </c>
      <c r="F56" s="39">
        <v>44550</v>
      </c>
      <c r="G56" s="24">
        <v>12100000</v>
      </c>
      <c r="H56" s="23">
        <v>5.0000000000000001E-3</v>
      </c>
      <c r="I56" s="39">
        <v>44550</v>
      </c>
      <c r="J56" s="39">
        <v>44561</v>
      </c>
      <c r="K56" s="24">
        <v>12</v>
      </c>
      <c r="L56" s="24">
        <v>1989</v>
      </c>
      <c r="M56" s="24">
        <v>12100000</v>
      </c>
      <c r="N56" s="39">
        <v>46375</v>
      </c>
    </row>
    <row r="57" spans="1:14" s="5" customFormat="1" outlineLevel="2">
      <c r="A57" s="39" t="s">
        <v>15</v>
      </c>
      <c r="B57" s="40" t="s">
        <v>63</v>
      </c>
      <c r="C57" s="41" t="s">
        <v>55</v>
      </c>
      <c r="D57" s="40" t="s">
        <v>56</v>
      </c>
      <c r="E57" s="24">
        <v>30000000</v>
      </c>
      <c r="F57" s="39">
        <v>43937</v>
      </c>
      <c r="G57" s="24">
        <v>30000000</v>
      </c>
      <c r="H57" s="23">
        <v>5.0000000000000001E-3</v>
      </c>
      <c r="I57" s="39">
        <v>44531</v>
      </c>
      <c r="J57" s="39">
        <v>44561</v>
      </c>
      <c r="K57" s="24">
        <v>31</v>
      </c>
      <c r="L57" s="24">
        <v>12740</v>
      </c>
      <c r="M57" s="24">
        <v>30000000</v>
      </c>
      <c r="N57" s="39">
        <v>45762</v>
      </c>
    </row>
    <row r="58" spans="1:14" s="5" customFormat="1" outlineLevel="2">
      <c r="A58" s="39" t="s">
        <v>15</v>
      </c>
      <c r="B58" s="40" t="s">
        <v>64</v>
      </c>
      <c r="C58" s="41" t="s">
        <v>55</v>
      </c>
      <c r="D58" s="40" t="s">
        <v>56</v>
      </c>
      <c r="E58" s="24">
        <v>58360000</v>
      </c>
      <c r="F58" s="39">
        <v>43929</v>
      </c>
      <c r="G58" s="24">
        <v>58360000</v>
      </c>
      <c r="H58" s="23">
        <v>5.0000000000000001E-3</v>
      </c>
      <c r="I58" s="39">
        <v>44531</v>
      </c>
      <c r="J58" s="39">
        <v>44561</v>
      </c>
      <c r="K58" s="24">
        <v>31</v>
      </c>
      <c r="L58" s="24">
        <v>24783</v>
      </c>
      <c r="M58" s="24">
        <v>58360000</v>
      </c>
      <c r="N58" s="39">
        <v>45754</v>
      </c>
    </row>
    <row r="59" spans="1:14" s="5" customFormat="1" outlineLevel="2">
      <c r="A59" s="39" t="s">
        <v>15</v>
      </c>
      <c r="B59" s="40" t="s">
        <v>65</v>
      </c>
      <c r="C59" s="41" t="s">
        <v>66</v>
      </c>
      <c r="D59" s="40" t="s">
        <v>67</v>
      </c>
      <c r="E59" s="24">
        <v>64000000</v>
      </c>
      <c r="F59" s="39">
        <v>43966</v>
      </c>
      <c r="G59" s="24">
        <v>64000000</v>
      </c>
      <c r="H59" s="23">
        <v>5.0000000000000001E-3</v>
      </c>
      <c r="I59" s="39">
        <v>44531</v>
      </c>
      <c r="J59" s="39">
        <v>44561</v>
      </c>
      <c r="K59" s="24">
        <v>31</v>
      </c>
      <c r="L59" s="24">
        <v>27178</v>
      </c>
      <c r="M59" s="24">
        <v>64000000</v>
      </c>
      <c r="N59" s="39">
        <v>45791</v>
      </c>
    </row>
    <row r="60" spans="1:14" s="5" customFormat="1" outlineLevel="2">
      <c r="A60" s="39" t="s">
        <v>15</v>
      </c>
      <c r="B60" s="40" t="s">
        <v>68</v>
      </c>
      <c r="C60" s="41" t="s">
        <v>55</v>
      </c>
      <c r="D60" s="40" t="s">
        <v>56</v>
      </c>
      <c r="E60" s="24">
        <v>11400000</v>
      </c>
      <c r="F60" s="39">
        <v>43962</v>
      </c>
      <c r="G60" s="24">
        <v>11400000</v>
      </c>
      <c r="H60" s="23">
        <v>5.0000000000000001E-3</v>
      </c>
      <c r="I60" s="39">
        <v>44531</v>
      </c>
      <c r="J60" s="39">
        <v>44561</v>
      </c>
      <c r="K60" s="24">
        <v>31</v>
      </c>
      <c r="L60" s="24">
        <v>4841</v>
      </c>
      <c r="M60" s="24">
        <v>11400000</v>
      </c>
      <c r="N60" s="39">
        <v>45787</v>
      </c>
    </row>
    <row r="61" spans="1:14" s="5" customFormat="1" outlineLevel="1">
      <c r="A61" s="42" t="s">
        <v>69</v>
      </c>
      <c r="B61" s="43"/>
      <c r="C61" s="44"/>
      <c r="D61" s="43"/>
      <c r="E61" s="45">
        <v>3784420378</v>
      </c>
      <c r="F61" s="46"/>
      <c r="G61" s="45"/>
      <c r="H61" s="47"/>
      <c r="I61" s="46"/>
      <c r="J61" s="46"/>
      <c r="K61" s="45"/>
      <c r="L61" s="45">
        <v>1390934</v>
      </c>
      <c r="M61" s="45">
        <v>3781956160</v>
      </c>
      <c r="N61" s="46"/>
    </row>
    <row r="62" spans="1:14" s="5" customFormat="1" outlineLevel="2">
      <c r="A62" s="39" t="s">
        <v>70</v>
      </c>
      <c r="B62" s="40" t="s">
        <v>16</v>
      </c>
      <c r="C62" s="41" t="s">
        <v>27</v>
      </c>
      <c r="D62" s="40" t="s">
        <v>28</v>
      </c>
      <c r="E62" s="24">
        <v>21330000</v>
      </c>
      <c r="F62" s="39">
        <v>44046</v>
      </c>
      <c r="G62" s="24">
        <v>21330000</v>
      </c>
      <c r="H62" s="23">
        <v>5.0000000000000001E-3</v>
      </c>
      <c r="I62" s="39">
        <v>44531</v>
      </c>
      <c r="J62" s="39">
        <v>44561</v>
      </c>
      <c r="K62" s="24">
        <v>31</v>
      </c>
      <c r="L62" s="24">
        <v>9058</v>
      </c>
      <c r="M62" s="24">
        <v>21330000</v>
      </c>
      <c r="N62" s="39">
        <v>45871</v>
      </c>
    </row>
    <row r="63" spans="1:14" s="5" customFormat="1" outlineLevel="2">
      <c r="A63" s="39" t="s">
        <v>70</v>
      </c>
      <c r="B63" s="40" t="s">
        <v>39</v>
      </c>
      <c r="C63" s="41" t="s">
        <v>27</v>
      </c>
      <c r="D63" s="40" t="s">
        <v>28</v>
      </c>
      <c r="E63" s="24">
        <v>8670000</v>
      </c>
      <c r="F63" s="39">
        <v>44060</v>
      </c>
      <c r="G63" s="24">
        <v>8670000</v>
      </c>
      <c r="H63" s="23">
        <v>5.0000000000000001E-3</v>
      </c>
      <c r="I63" s="39">
        <v>44531</v>
      </c>
      <c r="J63" s="39">
        <v>44561</v>
      </c>
      <c r="K63" s="24">
        <v>31</v>
      </c>
      <c r="L63" s="24">
        <v>3682</v>
      </c>
      <c r="M63" s="24">
        <v>8670000</v>
      </c>
      <c r="N63" s="39">
        <v>45885</v>
      </c>
    </row>
    <row r="64" spans="1:14" s="5" customFormat="1" outlineLevel="2">
      <c r="A64" s="39" t="s">
        <v>70</v>
      </c>
      <c r="B64" s="40" t="s">
        <v>54</v>
      </c>
      <c r="C64" s="41" t="s">
        <v>71</v>
      </c>
      <c r="D64" s="40" t="s">
        <v>72</v>
      </c>
      <c r="E64" s="24">
        <v>10600000</v>
      </c>
      <c r="F64" s="39">
        <v>44085</v>
      </c>
      <c r="G64" s="24">
        <v>10600000</v>
      </c>
      <c r="H64" s="23">
        <v>5.0000000000000001E-3</v>
      </c>
      <c r="I64" s="39">
        <v>44531</v>
      </c>
      <c r="J64" s="39">
        <v>44561</v>
      </c>
      <c r="K64" s="24">
        <v>31</v>
      </c>
      <c r="L64" s="24">
        <v>4501</v>
      </c>
      <c r="M64" s="24">
        <v>10600000</v>
      </c>
      <c r="N64" s="39">
        <v>45910</v>
      </c>
    </row>
    <row r="65" spans="1:14" s="5" customFormat="1" outlineLevel="2">
      <c r="A65" s="39" t="s">
        <v>70</v>
      </c>
      <c r="B65" s="40" t="s">
        <v>59</v>
      </c>
      <c r="C65" s="41" t="s">
        <v>73</v>
      </c>
      <c r="D65" s="40" t="s">
        <v>74</v>
      </c>
      <c r="E65" s="24">
        <v>40170000</v>
      </c>
      <c r="F65" s="39">
        <v>44172</v>
      </c>
      <c r="G65" s="24">
        <v>40170000</v>
      </c>
      <c r="H65" s="23">
        <v>5.0000000000000001E-3</v>
      </c>
      <c r="I65" s="39">
        <v>44531</v>
      </c>
      <c r="J65" s="39">
        <v>44561</v>
      </c>
      <c r="K65" s="24">
        <v>31</v>
      </c>
      <c r="L65" s="24">
        <v>17058</v>
      </c>
      <c r="M65" s="24">
        <v>40170000</v>
      </c>
      <c r="N65" s="39">
        <v>45997</v>
      </c>
    </row>
    <row r="66" spans="1:14" s="5" customFormat="1" outlineLevel="2">
      <c r="A66" s="39" t="s">
        <v>70</v>
      </c>
      <c r="B66" s="40" t="s">
        <v>62</v>
      </c>
      <c r="C66" s="41" t="s">
        <v>75</v>
      </c>
      <c r="D66" s="40" t="s">
        <v>76</v>
      </c>
      <c r="E66" s="24">
        <v>5170000</v>
      </c>
      <c r="F66" s="39">
        <v>44166</v>
      </c>
      <c r="G66" s="24">
        <v>5170000</v>
      </c>
      <c r="H66" s="23">
        <v>5.0000000000000001E-3</v>
      </c>
      <c r="I66" s="39">
        <v>44531</v>
      </c>
      <c r="J66" s="39">
        <v>44561</v>
      </c>
      <c r="K66" s="24">
        <v>31</v>
      </c>
      <c r="L66" s="24">
        <v>2195</v>
      </c>
      <c r="M66" s="24">
        <v>5170000</v>
      </c>
      <c r="N66" s="39">
        <v>45991</v>
      </c>
    </row>
    <row r="67" spans="1:14" s="5" customFormat="1" outlineLevel="2">
      <c r="A67" s="39" t="s">
        <v>70</v>
      </c>
      <c r="B67" s="40" t="s">
        <v>63</v>
      </c>
      <c r="C67" s="41" t="s">
        <v>242</v>
      </c>
      <c r="D67" s="40" t="s">
        <v>243</v>
      </c>
      <c r="E67" s="24">
        <v>22400000</v>
      </c>
      <c r="F67" s="39">
        <v>44433</v>
      </c>
      <c r="G67" s="24">
        <v>22400000</v>
      </c>
      <c r="H67" s="23">
        <v>5.0000000000000001E-3</v>
      </c>
      <c r="I67" s="39">
        <v>44531</v>
      </c>
      <c r="J67" s="39">
        <v>44561</v>
      </c>
      <c r="K67" s="24">
        <v>31</v>
      </c>
      <c r="L67" s="24">
        <v>9512</v>
      </c>
      <c r="M67" s="24">
        <v>22400000</v>
      </c>
      <c r="N67" s="39">
        <v>45528</v>
      </c>
    </row>
    <row r="68" spans="1:14" s="5" customFormat="1" outlineLevel="2">
      <c r="A68" s="39" t="s">
        <v>70</v>
      </c>
      <c r="B68" s="40" t="s">
        <v>64</v>
      </c>
      <c r="C68" s="41" t="s">
        <v>242</v>
      </c>
      <c r="D68" s="40" t="s">
        <v>243</v>
      </c>
      <c r="E68" s="24">
        <v>11200000</v>
      </c>
      <c r="F68" s="39">
        <v>44473</v>
      </c>
      <c r="G68" s="24">
        <v>11200000</v>
      </c>
      <c r="H68" s="23">
        <v>5.0000000000000001E-3</v>
      </c>
      <c r="I68" s="39">
        <v>44531</v>
      </c>
      <c r="J68" s="39">
        <v>44561</v>
      </c>
      <c r="K68" s="24">
        <v>31</v>
      </c>
      <c r="L68" s="24">
        <v>4756</v>
      </c>
      <c r="M68" s="24">
        <v>11200000</v>
      </c>
      <c r="N68" s="39">
        <v>45568</v>
      </c>
    </row>
    <row r="69" spans="1:14" s="5" customFormat="1" outlineLevel="2">
      <c r="A69" s="39" t="s">
        <v>70</v>
      </c>
      <c r="B69" s="40" t="s">
        <v>65</v>
      </c>
      <c r="C69" s="41" t="s">
        <v>442</v>
      </c>
      <c r="D69" s="40" t="s">
        <v>441</v>
      </c>
      <c r="E69" s="24">
        <v>5000000</v>
      </c>
      <c r="F69" s="39">
        <v>44496</v>
      </c>
      <c r="G69" s="24">
        <v>4936700</v>
      </c>
      <c r="H69" s="23">
        <v>5.0000000000000001E-3</v>
      </c>
      <c r="I69" s="39">
        <v>44531</v>
      </c>
      <c r="J69" s="39">
        <v>44544</v>
      </c>
      <c r="K69" s="24">
        <v>14</v>
      </c>
      <c r="L69" s="24">
        <v>947</v>
      </c>
      <c r="M69" s="24">
        <v>4873400</v>
      </c>
      <c r="N69" s="39">
        <v>45591</v>
      </c>
    </row>
    <row r="70" spans="1:14" s="5" customFormat="1" outlineLevel="2">
      <c r="A70" s="39" t="s">
        <v>70</v>
      </c>
      <c r="B70" s="40" t="s">
        <v>65</v>
      </c>
      <c r="C70" s="41" t="s">
        <v>442</v>
      </c>
      <c r="D70" s="40"/>
      <c r="E70" s="24"/>
      <c r="F70" s="39"/>
      <c r="G70" s="24">
        <v>4873400</v>
      </c>
      <c r="H70" s="23">
        <v>5.0000000000000001E-3</v>
      </c>
      <c r="I70" s="39">
        <v>44545</v>
      </c>
      <c r="J70" s="39">
        <v>44561</v>
      </c>
      <c r="K70" s="24">
        <v>17</v>
      </c>
      <c r="L70" s="24">
        <v>1135</v>
      </c>
      <c r="M70" s="24"/>
      <c r="N70" s="39">
        <v>45591</v>
      </c>
    </row>
    <row r="71" spans="1:14" s="5" customFormat="1" outlineLevel="1">
      <c r="A71" s="42" t="s">
        <v>77</v>
      </c>
      <c r="B71" s="43"/>
      <c r="C71" s="44"/>
      <c r="D71" s="43"/>
      <c r="E71" s="45">
        <v>124540000</v>
      </c>
      <c r="F71" s="46"/>
      <c r="G71" s="45"/>
      <c r="H71" s="47"/>
      <c r="I71" s="46"/>
      <c r="J71" s="46"/>
      <c r="K71" s="45"/>
      <c r="L71" s="45">
        <v>52844</v>
      </c>
      <c r="M71" s="45">
        <v>124413400</v>
      </c>
      <c r="N71" s="46"/>
    </row>
    <row r="72" spans="1:14" s="5" customFormat="1" outlineLevel="2">
      <c r="A72" s="39" t="s">
        <v>78</v>
      </c>
      <c r="B72" s="40" t="s">
        <v>16</v>
      </c>
      <c r="C72" s="41" t="s">
        <v>55</v>
      </c>
      <c r="D72" s="40" t="s">
        <v>56</v>
      </c>
      <c r="E72" s="24">
        <v>26500000</v>
      </c>
      <c r="F72" s="39">
        <v>43907</v>
      </c>
      <c r="G72" s="24">
        <v>20190480</v>
      </c>
      <c r="H72" s="23">
        <v>5.0000000000000001E-3</v>
      </c>
      <c r="I72" s="39">
        <v>44531</v>
      </c>
      <c r="J72" s="39">
        <v>44544</v>
      </c>
      <c r="K72" s="24">
        <v>14</v>
      </c>
      <c r="L72" s="24">
        <v>3872</v>
      </c>
      <c r="M72" s="24">
        <v>19875004</v>
      </c>
      <c r="N72" s="39">
        <v>45732</v>
      </c>
    </row>
    <row r="73" spans="1:14" s="5" customFormat="1" outlineLevel="2">
      <c r="A73" s="39" t="s">
        <v>78</v>
      </c>
      <c r="B73" s="40" t="s">
        <v>16</v>
      </c>
      <c r="C73" s="41" t="s">
        <v>55</v>
      </c>
      <c r="D73" s="40"/>
      <c r="E73" s="24"/>
      <c r="F73" s="39"/>
      <c r="G73" s="24">
        <v>19875004</v>
      </c>
      <c r="H73" s="23">
        <v>5.0000000000000001E-3</v>
      </c>
      <c r="I73" s="39">
        <v>44545</v>
      </c>
      <c r="J73" s="39">
        <v>44561</v>
      </c>
      <c r="K73" s="24">
        <v>17</v>
      </c>
      <c r="L73" s="24">
        <v>4628</v>
      </c>
      <c r="M73" s="24"/>
      <c r="N73" s="39">
        <v>45732</v>
      </c>
    </row>
    <row r="74" spans="1:14" s="5" customFormat="1" outlineLevel="2">
      <c r="A74" s="39" t="s">
        <v>78</v>
      </c>
      <c r="B74" s="40" t="s">
        <v>19</v>
      </c>
      <c r="C74" s="41" t="s">
        <v>79</v>
      </c>
      <c r="D74" s="40" t="s">
        <v>80</v>
      </c>
      <c r="E74" s="24">
        <v>130000000</v>
      </c>
      <c r="F74" s="39">
        <v>44013</v>
      </c>
      <c r="G74" s="24">
        <v>130000000</v>
      </c>
      <c r="H74" s="23">
        <v>5.0000000000000001E-3</v>
      </c>
      <c r="I74" s="39">
        <v>44531</v>
      </c>
      <c r="J74" s="39">
        <v>44561</v>
      </c>
      <c r="K74" s="24">
        <v>31</v>
      </c>
      <c r="L74" s="24">
        <v>55205</v>
      </c>
      <c r="M74" s="24">
        <v>130000000</v>
      </c>
      <c r="N74" s="39">
        <v>45838</v>
      </c>
    </row>
    <row r="75" spans="1:14" s="5" customFormat="1" outlineLevel="2">
      <c r="A75" s="39" t="s">
        <v>78</v>
      </c>
      <c r="B75" s="40" t="s">
        <v>145</v>
      </c>
      <c r="C75" s="41" t="s">
        <v>474</v>
      </c>
      <c r="D75" s="40" t="s">
        <v>473</v>
      </c>
      <c r="E75" s="24">
        <v>1500000</v>
      </c>
      <c r="F75" s="39">
        <v>44558</v>
      </c>
      <c r="G75" s="24">
        <v>1500000</v>
      </c>
      <c r="H75" s="23">
        <v>5.0000000000000001E-3</v>
      </c>
      <c r="I75" s="39">
        <v>44558</v>
      </c>
      <c r="J75" s="39">
        <v>44561</v>
      </c>
      <c r="K75" s="24">
        <v>4</v>
      </c>
      <c r="L75" s="24">
        <v>82</v>
      </c>
      <c r="M75" s="24">
        <v>1500000</v>
      </c>
      <c r="N75" s="39">
        <v>45653</v>
      </c>
    </row>
    <row r="76" spans="1:14" s="5" customFormat="1" outlineLevel="2">
      <c r="A76" s="39" t="s">
        <v>78</v>
      </c>
      <c r="B76" s="40" t="s">
        <v>148</v>
      </c>
      <c r="C76" s="41" t="s">
        <v>97</v>
      </c>
      <c r="D76" s="40" t="s">
        <v>98</v>
      </c>
      <c r="E76" s="24">
        <v>199600000</v>
      </c>
      <c r="F76" s="39">
        <v>44545</v>
      </c>
      <c r="G76" s="24">
        <v>199600000</v>
      </c>
      <c r="H76" s="23">
        <v>5.0000000000000001E-3</v>
      </c>
      <c r="I76" s="39">
        <v>44545</v>
      </c>
      <c r="J76" s="39">
        <v>44561</v>
      </c>
      <c r="K76" s="24">
        <v>17</v>
      </c>
      <c r="L76" s="24">
        <v>46482</v>
      </c>
      <c r="M76" s="24">
        <v>199600000</v>
      </c>
      <c r="N76" s="39">
        <v>46370</v>
      </c>
    </row>
    <row r="77" spans="1:14" s="5" customFormat="1" outlineLevel="2">
      <c r="A77" s="39" t="s">
        <v>78</v>
      </c>
      <c r="B77" s="40" t="s">
        <v>151</v>
      </c>
      <c r="C77" s="41" t="s">
        <v>97</v>
      </c>
      <c r="D77" s="40" t="s">
        <v>98</v>
      </c>
      <c r="E77" s="24">
        <v>103790000</v>
      </c>
      <c r="F77" s="39">
        <v>44558</v>
      </c>
      <c r="G77" s="24">
        <v>103790000</v>
      </c>
      <c r="H77" s="23">
        <v>5.0000000000000001E-3</v>
      </c>
      <c r="I77" s="39">
        <v>44558</v>
      </c>
      <c r="J77" s="39">
        <v>44561</v>
      </c>
      <c r="K77" s="24">
        <v>4</v>
      </c>
      <c r="L77" s="24">
        <v>5687</v>
      </c>
      <c r="M77" s="24">
        <v>103790000</v>
      </c>
      <c r="N77" s="39">
        <v>46383</v>
      </c>
    </row>
    <row r="78" spans="1:14" s="5" customFormat="1" outlineLevel="2">
      <c r="A78" s="39" t="s">
        <v>78</v>
      </c>
      <c r="B78" s="40" t="s">
        <v>152</v>
      </c>
      <c r="C78" s="41" t="s">
        <v>91</v>
      </c>
      <c r="D78" s="40" t="s">
        <v>92</v>
      </c>
      <c r="E78" s="24">
        <v>20300000</v>
      </c>
      <c r="F78" s="39">
        <v>44538</v>
      </c>
      <c r="G78" s="24">
        <v>20300000</v>
      </c>
      <c r="H78" s="23">
        <v>5.0000000000000001E-3</v>
      </c>
      <c r="I78" s="39">
        <v>44538</v>
      </c>
      <c r="J78" s="39">
        <v>44561</v>
      </c>
      <c r="K78" s="24">
        <v>24</v>
      </c>
      <c r="L78" s="24">
        <v>6674</v>
      </c>
      <c r="M78" s="24">
        <v>20300000</v>
      </c>
      <c r="N78" s="39">
        <v>46363</v>
      </c>
    </row>
    <row r="79" spans="1:14" s="5" customFormat="1" outlineLevel="2">
      <c r="A79" s="39" t="s">
        <v>78</v>
      </c>
      <c r="B79" s="40" t="s">
        <v>153</v>
      </c>
      <c r="C79" s="41" t="s">
        <v>91</v>
      </c>
      <c r="D79" s="40" t="s">
        <v>92</v>
      </c>
      <c r="E79" s="24">
        <v>13800000</v>
      </c>
      <c r="F79" s="39">
        <v>44538</v>
      </c>
      <c r="G79" s="24">
        <v>13800000</v>
      </c>
      <c r="H79" s="23">
        <v>5.0000000000000001E-3</v>
      </c>
      <c r="I79" s="39">
        <v>44538</v>
      </c>
      <c r="J79" s="39">
        <v>44561</v>
      </c>
      <c r="K79" s="24">
        <v>24</v>
      </c>
      <c r="L79" s="24">
        <v>4537</v>
      </c>
      <c r="M79" s="24">
        <v>13800000</v>
      </c>
      <c r="N79" s="39">
        <v>46363</v>
      </c>
    </row>
    <row r="80" spans="1:14" s="5" customFormat="1" outlineLevel="2">
      <c r="A80" s="39" t="s">
        <v>78</v>
      </c>
      <c r="B80" s="40" t="s">
        <v>22</v>
      </c>
      <c r="C80" s="41" t="s">
        <v>81</v>
      </c>
      <c r="D80" s="40" t="s">
        <v>82</v>
      </c>
      <c r="E80" s="24">
        <v>3400000</v>
      </c>
      <c r="F80" s="39">
        <v>44063</v>
      </c>
      <c r="G80" s="24">
        <v>2520700</v>
      </c>
      <c r="H80" s="23">
        <v>5.0000000000000001E-3</v>
      </c>
      <c r="I80" s="39">
        <v>44531</v>
      </c>
      <c r="J80" s="39">
        <v>44544</v>
      </c>
      <c r="K80" s="24">
        <v>14</v>
      </c>
      <c r="L80" s="24">
        <v>483</v>
      </c>
      <c r="M80" s="24">
        <v>2462080</v>
      </c>
      <c r="N80" s="39">
        <v>45888</v>
      </c>
    </row>
    <row r="81" spans="1:14" s="5" customFormat="1" outlineLevel="2">
      <c r="A81" s="39" t="s">
        <v>78</v>
      </c>
      <c r="B81" s="40" t="s">
        <v>22</v>
      </c>
      <c r="C81" s="41" t="s">
        <v>81</v>
      </c>
      <c r="D81" s="40"/>
      <c r="E81" s="24"/>
      <c r="F81" s="39"/>
      <c r="G81" s="24">
        <v>2462080</v>
      </c>
      <c r="H81" s="23">
        <v>5.0000000000000001E-3</v>
      </c>
      <c r="I81" s="39">
        <v>44545</v>
      </c>
      <c r="J81" s="39">
        <v>44561</v>
      </c>
      <c r="K81" s="24">
        <v>17</v>
      </c>
      <c r="L81" s="24">
        <v>573</v>
      </c>
      <c r="M81" s="24"/>
      <c r="N81" s="39">
        <v>45888</v>
      </c>
    </row>
    <row r="82" spans="1:14" s="5" customFormat="1" outlineLevel="2">
      <c r="A82" s="39" t="s">
        <v>78</v>
      </c>
      <c r="B82" s="40" t="s">
        <v>25</v>
      </c>
      <c r="C82" s="41" t="s">
        <v>81</v>
      </c>
      <c r="D82" s="40" t="s">
        <v>82</v>
      </c>
      <c r="E82" s="24">
        <v>9800000</v>
      </c>
      <c r="F82" s="39">
        <v>44071</v>
      </c>
      <c r="G82" s="24">
        <v>7265495</v>
      </c>
      <c r="H82" s="23">
        <v>5.0000000000000001E-3</v>
      </c>
      <c r="I82" s="39">
        <v>44531</v>
      </c>
      <c r="J82" s="39">
        <v>44544</v>
      </c>
      <c r="K82" s="24">
        <v>14</v>
      </c>
      <c r="L82" s="24">
        <v>1393</v>
      </c>
      <c r="M82" s="24">
        <v>7096528</v>
      </c>
      <c r="N82" s="39">
        <v>45896</v>
      </c>
    </row>
    <row r="83" spans="1:14" s="5" customFormat="1" outlineLevel="2">
      <c r="A83" s="39" t="s">
        <v>78</v>
      </c>
      <c r="B83" s="40" t="s">
        <v>25</v>
      </c>
      <c r="C83" s="41" t="s">
        <v>81</v>
      </c>
      <c r="D83" s="40"/>
      <c r="E83" s="24"/>
      <c r="F83" s="39"/>
      <c r="G83" s="24">
        <v>7096528</v>
      </c>
      <c r="H83" s="23">
        <v>5.0000000000000001E-3</v>
      </c>
      <c r="I83" s="39">
        <v>44545</v>
      </c>
      <c r="J83" s="39">
        <v>44561</v>
      </c>
      <c r="K83" s="24">
        <v>17</v>
      </c>
      <c r="L83" s="24">
        <v>1653</v>
      </c>
      <c r="M83" s="24"/>
      <c r="N83" s="39">
        <v>45896</v>
      </c>
    </row>
    <row r="84" spans="1:14" s="5" customFormat="1" outlineLevel="2">
      <c r="A84" s="39" t="s">
        <v>78</v>
      </c>
      <c r="B84" s="40" t="s">
        <v>26</v>
      </c>
      <c r="C84" s="41" t="s">
        <v>83</v>
      </c>
      <c r="D84" s="40" t="s">
        <v>84</v>
      </c>
      <c r="E84" s="24">
        <v>201000000</v>
      </c>
      <c r="F84" s="39">
        <v>44064</v>
      </c>
      <c r="G84" s="24">
        <v>201000000</v>
      </c>
      <c r="H84" s="23">
        <v>5.0000000000000001E-3</v>
      </c>
      <c r="I84" s="39">
        <v>44531</v>
      </c>
      <c r="J84" s="39">
        <v>44561</v>
      </c>
      <c r="K84" s="24">
        <v>31</v>
      </c>
      <c r="L84" s="24">
        <v>85356</v>
      </c>
      <c r="M84" s="24">
        <v>201000000</v>
      </c>
      <c r="N84" s="39">
        <v>45889</v>
      </c>
    </row>
    <row r="85" spans="1:14" s="5" customFormat="1" outlineLevel="2">
      <c r="A85" s="39" t="s">
        <v>78</v>
      </c>
      <c r="B85" s="40" t="s">
        <v>29</v>
      </c>
      <c r="C85" s="41" t="s">
        <v>85</v>
      </c>
      <c r="D85" s="40" t="s">
        <v>86</v>
      </c>
      <c r="E85" s="24">
        <v>211550000</v>
      </c>
      <c r="F85" s="39">
        <v>44078</v>
      </c>
      <c r="G85" s="24">
        <v>211550000</v>
      </c>
      <c r="H85" s="23">
        <v>5.0000000000000001E-3</v>
      </c>
      <c r="I85" s="39">
        <v>44531</v>
      </c>
      <c r="J85" s="39">
        <v>44561</v>
      </c>
      <c r="K85" s="24">
        <v>31</v>
      </c>
      <c r="L85" s="24">
        <v>89836</v>
      </c>
      <c r="M85" s="24">
        <v>211550000</v>
      </c>
      <c r="N85" s="39">
        <v>45903</v>
      </c>
    </row>
    <row r="86" spans="1:14" s="5" customFormat="1" outlineLevel="2">
      <c r="A86" s="39" t="s">
        <v>78</v>
      </c>
      <c r="B86" s="40" t="s">
        <v>32</v>
      </c>
      <c r="C86" s="41" t="s">
        <v>85</v>
      </c>
      <c r="D86" s="40" t="s">
        <v>86</v>
      </c>
      <c r="E86" s="24">
        <v>91330000</v>
      </c>
      <c r="F86" s="39">
        <v>44120</v>
      </c>
      <c r="G86" s="24">
        <v>91330000</v>
      </c>
      <c r="H86" s="23">
        <v>5.0000000000000001E-3</v>
      </c>
      <c r="I86" s="39">
        <v>44531</v>
      </c>
      <c r="J86" s="39">
        <v>44561</v>
      </c>
      <c r="K86" s="24">
        <v>31</v>
      </c>
      <c r="L86" s="24">
        <v>38784</v>
      </c>
      <c r="M86" s="24">
        <v>91330000</v>
      </c>
      <c r="N86" s="39">
        <v>45945</v>
      </c>
    </row>
    <row r="87" spans="1:14" s="5" customFormat="1" outlineLevel="2">
      <c r="A87" s="39" t="s">
        <v>78</v>
      </c>
      <c r="B87" s="40" t="s">
        <v>33</v>
      </c>
      <c r="C87" s="41" t="s">
        <v>45</v>
      </c>
      <c r="D87" s="40" t="s">
        <v>46</v>
      </c>
      <c r="E87" s="24">
        <v>10000000</v>
      </c>
      <c r="F87" s="39">
        <v>44120</v>
      </c>
      <c r="G87" s="24">
        <v>10000000</v>
      </c>
      <c r="H87" s="23">
        <v>5.0000000000000001E-3</v>
      </c>
      <c r="I87" s="39">
        <v>44531</v>
      </c>
      <c r="J87" s="39">
        <v>44561</v>
      </c>
      <c r="K87" s="24">
        <v>31</v>
      </c>
      <c r="L87" s="24">
        <v>4247</v>
      </c>
      <c r="M87" s="24">
        <v>10000000</v>
      </c>
      <c r="N87" s="39">
        <v>45945</v>
      </c>
    </row>
    <row r="88" spans="1:14" s="5" customFormat="1" outlineLevel="2">
      <c r="A88" s="39" t="s">
        <v>78</v>
      </c>
      <c r="B88" s="40" t="s">
        <v>34</v>
      </c>
      <c r="C88" s="41" t="s">
        <v>87</v>
      </c>
      <c r="D88" s="40" t="s">
        <v>88</v>
      </c>
      <c r="E88" s="24">
        <v>40000000</v>
      </c>
      <c r="F88" s="39">
        <v>44131</v>
      </c>
      <c r="G88" s="24">
        <v>40000000</v>
      </c>
      <c r="H88" s="23">
        <v>5.0000000000000001E-3</v>
      </c>
      <c r="I88" s="39">
        <v>44531</v>
      </c>
      <c r="J88" s="39">
        <v>44561</v>
      </c>
      <c r="K88" s="24">
        <v>31</v>
      </c>
      <c r="L88" s="24">
        <v>16986</v>
      </c>
      <c r="M88" s="24">
        <v>40000000</v>
      </c>
      <c r="N88" s="39">
        <v>45956</v>
      </c>
    </row>
    <row r="89" spans="1:14" s="5" customFormat="1" outlineLevel="2">
      <c r="A89" s="39" t="s">
        <v>78</v>
      </c>
      <c r="B89" s="40" t="s">
        <v>35</v>
      </c>
      <c r="C89" s="41" t="s">
        <v>89</v>
      </c>
      <c r="D89" s="40" t="s">
        <v>90</v>
      </c>
      <c r="E89" s="24">
        <v>88000000</v>
      </c>
      <c r="F89" s="39">
        <v>44119</v>
      </c>
      <c r="G89" s="24">
        <v>88000000</v>
      </c>
      <c r="H89" s="23">
        <v>5.0000000000000001E-3</v>
      </c>
      <c r="I89" s="39">
        <v>44531</v>
      </c>
      <c r="J89" s="39">
        <v>44561</v>
      </c>
      <c r="K89" s="24">
        <v>31</v>
      </c>
      <c r="L89" s="24">
        <v>37370</v>
      </c>
      <c r="M89" s="24">
        <v>88000000</v>
      </c>
      <c r="N89" s="39">
        <v>45944</v>
      </c>
    </row>
    <row r="90" spans="1:14" s="5" customFormat="1" outlineLevel="2">
      <c r="A90" s="39" t="s">
        <v>78</v>
      </c>
      <c r="B90" s="40" t="s">
        <v>36</v>
      </c>
      <c r="C90" s="41" t="s">
        <v>91</v>
      </c>
      <c r="D90" s="40" t="s">
        <v>92</v>
      </c>
      <c r="E90" s="24">
        <v>65800000</v>
      </c>
      <c r="F90" s="39">
        <v>44119</v>
      </c>
      <c r="G90" s="24">
        <v>65800000</v>
      </c>
      <c r="H90" s="23">
        <v>5.0000000000000001E-3</v>
      </c>
      <c r="I90" s="39">
        <v>44531</v>
      </c>
      <c r="J90" s="39">
        <v>44561</v>
      </c>
      <c r="K90" s="24">
        <v>31</v>
      </c>
      <c r="L90" s="24">
        <v>27942</v>
      </c>
      <c r="M90" s="24">
        <v>65800000</v>
      </c>
      <c r="N90" s="39">
        <v>45944</v>
      </c>
    </row>
    <row r="91" spans="1:14" s="5" customFormat="1" outlineLevel="2">
      <c r="A91" s="39" t="s">
        <v>78</v>
      </c>
      <c r="B91" s="40" t="s">
        <v>39</v>
      </c>
      <c r="C91" s="41" t="s">
        <v>60</v>
      </c>
      <c r="D91" s="40" t="s">
        <v>61</v>
      </c>
      <c r="E91" s="24">
        <v>90000000</v>
      </c>
      <c r="F91" s="39">
        <v>43913</v>
      </c>
      <c r="G91" s="24">
        <v>75000000</v>
      </c>
      <c r="H91" s="23">
        <v>5.0000000000000001E-3</v>
      </c>
      <c r="I91" s="39">
        <v>44531</v>
      </c>
      <c r="J91" s="39">
        <v>44544</v>
      </c>
      <c r="K91" s="24">
        <v>14</v>
      </c>
      <c r="L91" s="24">
        <v>14384</v>
      </c>
      <c r="M91" s="24">
        <v>73125000</v>
      </c>
      <c r="N91" s="39">
        <v>45738</v>
      </c>
    </row>
    <row r="92" spans="1:14" s="5" customFormat="1" outlineLevel="2">
      <c r="A92" s="39" t="s">
        <v>78</v>
      </c>
      <c r="B92" s="40" t="s">
        <v>39</v>
      </c>
      <c r="C92" s="41" t="s">
        <v>60</v>
      </c>
      <c r="D92" s="40"/>
      <c r="E92" s="24"/>
      <c r="F92" s="39"/>
      <c r="G92" s="24">
        <v>73125000</v>
      </c>
      <c r="H92" s="23">
        <v>5.0000000000000001E-3</v>
      </c>
      <c r="I92" s="39">
        <v>44545</v>
      </c>
      <c r="J92" s="39">
        <v>44561</v>
      </c>
      <c r="K92" s="24">
        <v>17</v>
      </c>
      <c r="L92" s="24">
        <v>17029</v>
      </c>
      <c r="M92" s="24"/>
      <c r="N92" s="39">
        <v>45738</v>
      </c>
    </row>
    <row r="93" spans="1:14" s="5" customFormat="1" outlineLevel="2">
      <c r="A93" s="39" t="s">
        <v>78</v>
      </c>
      <c r="B93" s="40" t="s">
        <v>40</v>
      </c>
      <c r="C93" s="41" t="s">
        <v>93</v>
      </c>
      <c r="D93" s="40" t="s">
        <v>94</v>
      </c>
      <c r="E93" s="24">
        <v>7611996</v>
      </c>
      <c r="F93" s="39">
        <v>44151</v>
      </c>
      <c r="G93" s="24">
        <v>7611996</v>
      </c>
      <c r="H93" s="23">
        <v>5.0000000000000001E-3</v>
      </c>
      <c r="I93" s="39">
        <v>44531</v>
      </c>
      <c r="J93" s="39">
        <v>44561</v>
      </c>
      <c r="K93" s="24">
        <v>31</v>
      </c>
      <c r="L93" s="24">
        <v>3232</v>
      </c>
      <c r="M93" s="24">
        <v>7611996</v>
      </c>
      <c r="N93" s="39">
        <v>45976</v>
      </c>
    </row>
    <row r="94" spans="1:14" s="5" customFormat="1" outlineLevel="2">
      <c r="A94" s="39" t="s">
        <v>78</v>
      </c>
      <c r="B94" s="40" t="s">
        <v>41</v>
      </c>
      <c r="C94" s="41" t="s">
        <v>93</v>
      </c>
      <c r="D94" s="40" t="s">
        <v>94</v>
      </c>
      <c r="E94" s="24">
        <v>4900000</v>
      </c>
      <c r="F94" s="39">
        <v>44151</v>
      </c>
      <c r="G94" s="24">
        <v>4900000</v>
      </c>
      <c r="H94" s="23">
        <v>5.0000000000000001E-3</v>
      </c>
      <c r="I94" s="39">
        <v>44531</v>
      </c>
      <c r="J94" s="39">
        <v>44544</v>
      </c>
      <c r="K94" s="24">
        <v>14</v>
      </c>
      <c r="L94" s="24">
        <v>940</v>
      </c>
      <c r="M94" s="24">
        <v>4831944</v>
      </c>
      <c r="N94" s="39">
        <v>45976</v>
      </c>
    </row>
    <row r="95" spans="1:14" s="5" customFormat="1" outlineLevel="2">
      <c r="A95" s="39" t="s">
        <v>78</v>
      </c>
      <c r="B95" s="40" t="s">
        <v>41</v>
      </c>
      <c r="C95" s="41" t="s">
        <v>93</v>
      </c>
      <c r="D95" s="40"/>
      <c r="E95" s="24"/>
      <c r="F95" s="39"/>
      <c r="G95" s="24">
        <v>4831944</v>
      </c>
      <c r="H95" s="23">
        <v>5.0000000000000001E-3</v>
      </c>
      <c r="I95" s="39">
        <v>44545</v>
      </c>
      <c r="J95" s="39">
        <v>44561</v>
      </c>
      <c r="K95" s="24">
        <v>17</v>
      </c>
      <c r="L95" s="24">
        <v>1125</v>
      </c>
      <c r="M95" s="24"/>
      <c r="N95" s="39">
        <v>45976</v>
      </c>
    </row>
    <row r="96" spans="1:14" s="5" customFormat="1" outlineLevel="2">
      <c r="A96" s="39" t="s">
        <v>78</v>
      </c>
      <c r="B96" s="40" t="s">
        <v>42</v>
      </c>
      <c r="C96" s="41" t="s">
        <v>93</v>
      </c>
      <c r="D96" s="40" t="s">
        <v>94</v>
      </c>
      <c r="E96" s="24">
        <v>21838392</v>
      </c>
      <c r="F96" s="39">
        <v>44151</v>
      </c>
      <c r="G96" s="24">
        <v>21838392</v>
      </c>
      <c r="H96" s="23">
        <v>5.0000000000000001E-3</v>
      </c>
      <c r="I96" s="39">
        <v>44531</v>
      </c>
      <c r="J96" s="39">
        <v>44544</v>
      </c>
      <c r="K96" s="24">
        <v>14</v>
      </c>
      <c r="L96" s="24">
        <v>4188</v>
      </c>
      <c r="M96" s="24">
        <v>21535081</v>
      </c>
      <c r="N96" s="39">
        <v>45976</v>
      </c>
    </row>
    <row r="97" spans="1:14" s="5" customFormat="1" outlineLevel="2">
      <c r="A97" s="39" t="s">
        <v>78</v>
      </c>
      <c r="B97" s="40" t="s">
        <v>42</v>
      </c>
      <c r="C97" s="41" t="s">
        <v>93</v>
      </c>
      <c r="D97" s="40"/>
      <c r="E97" s="24"/>
      <c r="F97" s="39"/>
      <c r="G97" s="24">
        <v>21535081</v>
      </c>
      <c r="H97" s="23">
        <v>5.0000000000000001E-3</v>
      </c>
      <c r="I97" s="39">
        <v>44545</v>
      </c>
      <c r="J97" s="39">
        <v>44561</v>
      </c>
      <c r="K97" s="24">
        <v>17</v>
      </c>
      <c r="L97" s="24">
        <v>5015</v>
      </c>
      <c r="M97" s="24"/>
      <c r="N97" s="39">
        <v>45976</v>
      </c>
    </row>
    <row r="98" spans="1:14" s="5" customFormat="1" outlineLevel="2">
      <c r="A98" s="39" t="s">
        <v>78</v>
      </c>
      <c r="B98" s="40" t="s">
        <v>43</v>
      </c>
      <c r="C98" s="41" t="s">
        <v>95</v>
      </c>
      <c r="D98" s="40" t="s">
        <v>96</v>
      </c>
      <c r="E98" s="24">
        <v>41950000</v>
      </c>
      <c r="F98" s="39">
        <v>44154</v>
      </c>
      <c r="G98" s="24">
        <v>41950000</v>
      </c>
      <c r="H98" s="23">
        <v>5.0000000000000001E-3</v>
      </c>
      <c r="I98" s="39">
        <v>44531</v>
      </c>
      <c r="J98" s="39">
        <v>44544</v>
      </c>
      <c r="K98" s="24">
        <v>14</v>
      </c>
      <c r="L98" s="24">
        <v>8045</v>
      </c>
      <c r="M98" s="24">
        <v>41367361</v>
      </c>
      <c r="N98" s="39">
        <v>45979</v>
      </c>
    </row>
    <row r="99" spans="1:14" s="5" customFormat="1" outlineLevel="2">
      <c r="A99" s="39" t="s">
        <v>78</v>
      </c>
      <c r="B99" s="40" t="s">
        <v>43</v>
      </c>
      <c r="C99" s="41" t="s">
        <v>95</v>
      </c>
      <c r="D99" s="40"/>
      <c r="E99" s="24"/>
      <c r="F99" s="39"/>
      <c r="G99" s="24">
        <v>41367361</v>
      </c>
      <c r="H99" s="23">
        <v>5.0000000000000001E-3</v>
      </c>
      <c r="I99" s="39">
        <v>44545</v>
      </c>
      <c r="J99" s="39">
        <v>44561</v>
      </c>
      <c r="K99" s="24">
        <v>17</v>
      </c>
      <c r="L99" s="24">
        <v>9633</v>
      </c>
      <c r="M99" s="24"/>
      <c r="N99" s="39">
        <v>45979</v>
      </c>
    </row>
    <row r="100" spans="1:14" s="5" customFormat="1" outlineLevel="2">
      <c r="A100" s="39" t="s">
        <v>78</v>
      </c>
      <c r="B100" s="40" t="s">
        <v>44</v>
      </c>
      <c r="C100" s="41" t="s">
        <v>95</v>
      </c>
      <c r="D100" s="40" t="s">
        <v>96</v>
      </c>
      <c r="E100" s="24">
        <v>30000000</v>
      </c>
      <c r="F100" s="39">
        <v>44154</v>
      </c>
      <c r="G100" s="24">
        <v>25714284</v>
      </c>
      <c r="H100" s="23">
        <v>5.0000000000000001E-3</v>
      </c>
      <c r="I100" s="39">
        <v>44531</v>
      </c>
      <c r="J100" s="39">
        <v>44544</v>
      </c>
      <c r="K100" s="24">
        <v>14</v>
      </c>
      <c r="L100" s="24">
        <v>4932</v>
      </c>
      <c r="M100" s="24">
        <v>25357141</v>
      </c>
      <c r="N100" s="39">
        <v>45979</v>
      </c>
    </row>
    <row r="101" spans="1:14" s="5" customFormat="1" outlineLevel="2">
      <c r="A101" s="39" t="s">
        <v>78</v>
      </c>
      <c r="B101" s="40" t="s">
        <v>44</v>
      </c>
      <c r="C101" s="41" t="s">
        <v>95</v>
      </c>
      <c r="D101" s="40"/>
      <c r="E101" s="24"/>
      <c r="F101" s="39"/>
      <c r="G101" s="24">
        <v>25357141</v>
      </c>
      <c r="H101" s="23">
        <v>5.0000000000000001E-3</v>
      </c>
      <c r="I101" s="39">
        <v>44545</v>
      </c>
      <c r="J101" s="39">
        <v>44561</v>
      </c>
      <c r="K101" s="24">
        <v>17</v>
      </c>
      <c r="L101" s="24">
        <v>5905</v>
      </c>
      <c r="M101" s="24"/>
      <c r="N101" s="39">
        <v>45979</v>
      </c>
    </row>
    <row r="102" spans="1:14" s="5" customFormat="1" outlineLevel="2">
      <c r="A102" s="39" t="s">
        <v>78</v>
      </c>
      <c r="B102" s="40" t="s">
        <v>47</v>
      </c>
      <c r="C102" s="41" t="s">
        <v>81</v>
      </c>
      <c r="D102" s="40" t="s">
        <v>82</v>
      </c>
      <c r="E102" s="24">
        <v>3490000</v>
      </c>
      <c r="F102" s="39">
        <v>44138</v>
      </c>
      <c r="G102" s="24">
        <v>2728540</v>
      </c>
      <c r="H102" s="23">
        <v>5.0000000000000001E-3</v>
      </c>
      <c r="I102" s="39">
        <v>44531</v>
      </c>
      <c r="J102" s="39">
        <v>44544</v>
      </c>
      <c r="K102" s="24">
        <v>14</v>
      </c>
      <c r="L102" s="24">
        <v>523</v>
      </c>
      <c r="M102" s="24">
        <v>2665085</v>
      </c>
      <c r="N102" s="39">
        <v>45963</v>
      </c>
    </row>
    <row r="103" spans="1:14" s="5" customFormat="1" outlineLevel="2">
      <c r="A103" s="39" t="s">
        <v>78</v>
      </c>
      <c r="B103" s="40" t="s">
        <v>47</v>
      </c>
      <c r="C103" s="41" t="s">
        <v>81</v>
      </c>
      <c r="D103" s="40"/>
      <c r="E103" s="24"/>
      <c r="F103" s="39"/>
      <c r="G103" s="24">
        <v>2665085</v>
      </c>
      <c r="H103" s="23">
        <v>5.0000000000000001E-3</v>
      </c>
      <c r="I103" s="39">
        <v>44545</v>
      </c>
      <c r="J103" s="39">
        <v>44561</v>
      </c>
      <c r="K103" s="24">
        <v>17</v>
      </c>
      <c r="L103" s="24">
        <v>621</v>
      </c>
      <c r="M103" s="24"/>
      <c r="N103" s="39">
        <v>45963</v>
      </c>
    </row>
    <row r="104" spans="1:14" s="5" customFormat="1" outlineLevel="2">
      <c r="A104" s="39" t="s">
        <v>78</v>
      </c>
      <c r="B104" s="40" t="s">
        <v>50</v>
      </c>
      <c r="C104" s="41" t="s">
        <v>81</v>
      </c>
      <c r="D104" s="40" t="s">
        <v>82</v>
      </c>
      <c r="E104" s="24">
        <v>1970000</v>
      </c>
      <c r="F104" s="39">
        <v>44147</v>
      </c>
      <c r="G104" s="24">
        <v>1540172</v>
      </c>
      <c r="H104" s="23">
        <v>5.0000000000000001E-3</v>
      </c>
      <c r="I104" s="39">
        <v>44531</v>
      </c>
      <c r="J104" s="39">
        <v>44544</v>
      </c>
      <c r="K104" s="24">
        <v>14</v>
      </c>
      <c r="L104" s="24">
        <v>295</v>
      </c>
      <c r="M104" s="24">
        <v>1504353</v>
      </c>
      <c r="N104" s="39">
        <v>45972</v>
      </c>
    </row>
    <row r="105" spans="1:14" s="5" customFormat="1" outlineLevel="2">
      <c r="A105" s="39" t="s">
        <v>78</v>
      </c>
      <c r="B105" s="40" t="s">
        <v>50</v>
      </c>
      <c r="C105" s="41" t="s">
        <v>81</v>
      </c>
      <c r="D105" s="40"/>
      <c r="E105" s="24"/>
      <c r="F105" s="39"/>
      <c r="G105" s="24">
        <v>1504353</v>
      </c>
      <c r="H105" s="23">
        <v>5.0000000000000001E-3</v>
      </c>
      <c r="I105" s="39">
        <v>44545</v>
      </c>
      <c r="J105" s="39">
        <v>44561</v>
      </c>
      <c r="K105" s="24">
        <v>17</v>
      </c>
      <c r="L105" s="24">
        <v>350</v>
      </c>
      <c r="M105" s="24"/>
      <c r="N105" s="39">
        <v>45972</v>
      </c>
    </row>
    <row r="106" spans="1:14" s="5" customFormat="1" outlineLevel="2">
      <c r="A106" s="39" t="s">
        <v>78</v>
      </c>
      <c r="B106" s="40" t="s">
        <v>51</v>
      </c>
      <c r="C106" s="41" t="s">
        <v>93</v>
      </c>
      <c r="D106" s="40" t="s">
        <v>94</v>
      </c>
      <c r="E106" s="24">
        <v>20979731</v>
      </c>
      <c r="F106" s="39">
        <v>44167</v>
      </c>
      <c r="G106" s="24">
        <v>20979731</v>
      </c>
      <c r="H106" s="23">
        <v>5.0000000000000001E-3</v>
      </c>
      <c r="I106" s="39">
        <v>44531</v>
      </c>
      <c r="J106" s="39">
        <v>44544</v>
      </c>
      <c r="K106" s="24">
        <v>14</v>
      </c>
      <c r="L106" s="24">
        <v>4024</v>
      </c>
      <c r="M106" s="24">
        <v>20688345</v>
      </c>
      <c r="N106" s="39">
        <v>45992</v>
      </c>
    </row>
    <row r="107" spans="1:14" s="5" customFormat="1" outlineLevel="2">
      <c r="A107" s="39" t="s">
        <v>78</v>
      </c>
      <c r="B107" s="40" t="s">
        <v>51</v>
      </c>
      <c r="C107" s="41" t="s">
        <v>93</v>
      </c>
      <c r="D107" s="40"/>
      <c r="E107" s="24"/>
      <c r="F107" s="39"/>
      <c r="G107" s="24">
        <v>20688345</v>
      </c>
      <c r="H107" s="23">
        <v>5.0000000000000001E-3</v>
      </c>
      <c r="I107" s="39">
        <v>44545</v>
      </c>
      <c r="J107" s="39">
        <v>44561</v>
      </c>
      <c r="K107" s="24">
        <v>17</v>
      </c>
      <c r="L107" s="24">
        <v>4818</v>
      </c>
      <c r="M107" s="24"/>
      <c r="N107" s="39">
        <v>45992</v>
      </c>
    </row>
    <row r="108" spans="1:14" s="5" customFormat="1" outlineLevel="2">
      <c r="A108" s="39" t="s">
        <v>78</v>
      </c>
      <c r="B108" s="40" t="s">
        <v>52</v>
      </c>
      <c r="C108" s="41" t="s">
        <v>93</v>
      </c>
      <c r="D108" s="40" t="s">
        <v>94</v>
      </c>
      <c r="E108" s="24">
        <v>15036832</v>
      </c>
      <c r="F108" s="39">
        <v>44181</v>
      </c>
      <c r="G108" s="24">
        <v>15036832</v>
      </c>
      <c r="H108" s="23">
        <v>5.0000000000000001E-3</v>
      </c>
      <c r="I108" s="39">
        <v>44531</v>
      </c>
      <c r="J108" s="39">
        <v>44544</v>
      </c>
      <c r="K108" s="24">
        <v>14</v>
      </c>
      <c r="L108" s="24">
        <v>2884</v>
      </c>
      <c r="M108" s="24">
        <v>14827987</v>
      </c>
      <c r="N108" s="39">
        <v>46006</v>
      </c>
    </row>
    <row r="109" spans="1:14" s="5" customFormat="1" outlineLevel="2">
      <c r="A109" s="39" t="s">
        <v>78</v>
      </c>
      <c r="B109" s="40" t="s">
        <v>52</v>
      </c>
      <c r="C109" s="41" t="s">
        <v>93</v>
      </c>
      <c r="D109" s="40"/>
      <c r="E109" s="24"/>
      <c r="F109" s="39"/>
      <c r="G109" s="24">
        <v>14827987</v>
      </c>
      <c r="H109" s="23">
        <v>5.0000000000000001E-3</v>
      </c>
      <c r="I109" s="39">
        <v>44545</v>
      </c>
      <c r="J109" s="39">
        <v>44561</v>
      </c>
      <c r="K109" s="24">
        <v>17</v>
      </c>
      <c r="L109" s="24">
        <v>3453</v>
      </c>
      <c r="M109" s="24"/>
      <c r="N109" s="39">
        <v>46006</v>
      </c>
    </row>
    <row r="110" spans="1:14" s="5" customFormat="1" outlineLevel="2">
      <c r="A110" s="39" t="s">
        <v>78</v>
      </c>
      <c r="B110" s="40" t="s">
        <v>53</v>
      </c>
      <c r="C110" s="41" t="s">
        <v>93</v>
      </c>
      <c r="D110" s="40" t="s">
        <v>94</v>
      </c>
      <c r="E110" s="24">
        <v>2070415</v>
      </c>
      <c r="F110" s="39">
        <v>44193</v>
      </c>
      <c r="G110" s="24">
        <v>2070415</v>
      </c>
      <c r="H110" s="23">
        <v>5.0000000000000001E-3</v>
      </c>
      <c r="I110" s="39">
        <v>44531</v>
      </c>
      <c r="J110" s="39">
        <v>44544</v>
      </c>
      <c r="K110" s="24">
        <v>14</v>
      </c>
      <c r="L110" s="24">
        <v>397</v>
      </c>
      <c r="M110" s="24">
        <v>2041659</v>
      </c>
      <c r="N110" s="39">
        <v>46018</v>
      </c>
    </row>
    <row r="111" spans="1:14" s="5" customFormat="1" outlineLevel="2">
      <c r="A111" s="39" t="s">
        <v>78</v>
      </c>
      <c r="B111" s="40" t="s">
        <v>53</v>
      </c>
      <c r="C111" s="41" t="s">
        <v>93</v>
      </c>
      <c r="D111" s="40"/>
      <c r="E111" s="24"/>
      <c r="F111" s="39"/>
      <c r="G111" s="24">
        <v>2041659</v>
      </c>
      <c r="H111" s="23">
        <v>5.0000000000000001E-3</v>
      </c>
      <c r="I111" s="39">
        <v>44545</v>
      </c>
      <c r="J111" s="39">
        <v>44561</v>
      </c>
      <c r="K111" s="24">
        <v>17</v>
      </c>
      <c r="L111" s="24">
        <v>475</v>
      </c>
      <c r="M111" s="24"/>
      <c r="N111" s="39">
        <v>46018</v>
      </c>
    </row>
    <row r="112" spans="1:14" s="5" customFormat="1" outlineLevel="2">
      <c r="A112" s="39" t="s">
        <v>78</v>
      </c>
      <c r="B112" s="40" t="s">
        <v>54</v>
      </c>
      <c r="C112" s="41" t="s">
        <v>55</v>
      </c>
      <c r="D112" s="40" t="s">
        <v>56</v>
      </c>
      <c r="E112" s="24">
        <v>23500000</v>
      </c>
      <c r="F112" s="39">
        <v>43928</v>
      </c>
      <c r="G112" s="24">
        <v>17904740</v>
      </c>
      <c r="H112" s="23">
        <v>5.0000000000000001E-3</v>
      </c>
      <c r="I112" s="39">
        <v>44531</v>
      </c>
      <c r="J112" s="39">
        <v>44544</v>
      </c>
      <c r="K112" s="24">
        <v>14</v>
      </c>
      <c r="L112" s="24">
        <v>3434</v>
      </c>
      <c r="M112" s="24">
        <v>17624977</v>
      </c>
      <c r="N112" s="39">
        <v>45753</v>
      </c>
    </row>
    <row r="113" spans="1:14" s="5" customFormat="1" outlineLevel="2">
      <c r="A113" s="39" t="s">
        <v>78</v>
      </c>
      <c r="B113" s="40" t="s">
        <v>54</v>
      </c>
      <c r="C113" s="41" t="s">
        <v>55</v>
      </c>
      <c r="D113" s="40"/>
      <c r="E113" s="24"/>
      <c r="F113" s="39"/>
      <c r="G113" s="24">
        <v>17624977</v>
      </c>
      <c r="H113" s="23">
        <v>5.0000000000000001E-3</v>
      </c>
      <c r="I113" s="39">
        <v>44545</v>
      </c>
      <c r="J113" s="39">
        <v>44561</v>
      </c>
      <c r="K113" s="24">
        <v>17</v>
      </c>
      <c r="L113" s="24">
        <v>4104</v>
      </c>
      <c r="M113" s="24"/>
      <c r="N113" s="39">
        <v>45753</v>
      </c>
    </row>
    <row r="114" spans="1:14" s="5" customFormat="1" outlineLevel="2">
      <c r="A114" s="39" t="s">
        <v>78</v>
      </c>
      <c r="B114" s="40" t="s">
        <v>57</v>
      </c>
      <c r="C114" s="41" t="s">
        <v>83</v>
      </c>
      <c r="D114" s="40" t="s">
        <v>84</v>
      </c>
      <c r="E114" s="24">
        <v>125000000</v>
      </c>
      <c r="F114" s="39">
        <v>44189</v>
      </c>
      <c r="G114" s="24">
        <v>125000000</v>
      </c>
      <c r="H114" s="23">
        <v>5.0000000000000001E-3</v>
      </c>
      <c r="I114" s="39">
        <v>44531</v>
      </c>
      <c r="J114" s="39">
        <v>44561</v>
      </c>
      <c r="K114" s="24">
        <v>31</v>
      </c>
      <c r="L114" s="24">
        <v>53082</v>
      </c>
      <c r="M114" s="24">
        <v>125000000</v>
      </c>
      <c r="N114" s="39">
        <v>46014</v>
      </c>
    </row>
    <row r="115" spans="1:14" s="5" customFormat="1" outlineLevel="2">
      <c r="A115" s="39" t="s">
        <v>78</v>
      </c>
      <c r="B115" s="40" t="s">
        <v>58</v>
      </c>
      <c r="C115" s="41" t="s">
        <v>97</v>
      </c>
      <c r="D115" s="40" t="s">
        <v>98</v>
      </c>
      <c r="E115" s="24">
        <v>51800000</v>
      </c>
      <c r="F115" s="39">
        <v>44180</v>
      </c>
      <c r="G115" s="24">
        <v>51800000</v>
      </c>
      <c r="H115" s="23">
        <v>5.0000000000000001E-3</v>
      </c>
      <c r="I115" s="39">
        <v>44531</v>
      </c>
      <c r="J115" s="39">
        <v>44561</v>
      </c>
      <c r="K115" s="24">
        <v>31</v>
      </c>
      <c r="L115" s="24">
        <v>21997</v>
      </c>
      <c r="M115" s="24">
        <v>51800000</v>
      </c>
      <c r="N115" s="39">
        <v>46005</v>
      </c>
    </row>
    <row r="116" spans="1:14" s="5" customFormat="1" outlineLevel="2">
      <c r="A116" s="39" t="s">
        <v>78</v>
      </c>
      <c r="B116" s="40" t="s">
        <v>99</v>
      </c>
      <c r="C116" s="41" t="s">
        <v>91</v>
      </c>
      <c r="D116" s="40" t="s">
        <v>92</v>
      </c>
      <c r="E116" s="24">
        <v>25000000</v>
      </c>
      <c r="F116" s="39">
        <v>44180</v>
      </c>
      <c r="G116" s="24">
        <v>25000000</v>
      </c>
      <c r="H116" s="23">
        <v>5.0000000000000001E-3</v>
      </c>
      <c r="I116" s="39">
        <v>44531</v>
      </c>
      <c r="J116" s="39">
        <v>44561</v>
      </c>
      <c r="K116" s="24">
        <v>31</v>
      </c>
      <c r="L116" s="24">
        <v>10616</v>
      </c>
      <c r="M116" s="24">
        <v>25000000</v>
      </c>
      <c r="N116" s="39">
        <v>46005</v>
      </c>
    </row>
    <row r="117" spans="1:14" s="5" customFormat="1" outlineLevel="2">
      <c r="A117" s="39" t="s">
        <v>78</v>
      </c>
      <c r="B117" s="40" t="s">
        <v>100</v>
      </c>
      <c r="C117" s="41" t="s">
        <v>91</v>
      </c>
      <c r="D117" s="40" t="s">
        <v>92</v>
      </c>
      <c r="E117" s="24">
        <v>44000000</v>
      </c>
      <c r="F117" s="39">
        <v>44180</v>
      </c>
      <c r="G117" s="24">
        <v>44000000</v>
      </c>
      <c r="H117" s="23">
        <v>5.0000000000000001E-3</v>
      </c>
      <c r="I117" s="39">
        <v>44531</v>
      </c>
      <c r="J117" s="39">
        <v>44561</v>
      </c>
      <c r="K117" s="24">
        <v>31</v>
      </c>
      <c r="L117" s="24">
        <v>18685</v>
      </c>
      <c r="M117" s="24">
        <v>44000000</v>
      </c>
      <c r="N117" s="39">
        <v>46005</v>
      </c>
    </row>
    <row r="118" spans="1:14" s="5" customFormat="1" outlineLevel="2">
      <c r="A118" s="39" t="s">
        <v>78</v>
      </c>
      <c r="B118" s="40" t="s">
        <v>101</v>
      </c>
      <c r="C118" s="41" t="s">
        <v>95</v>
      </c>
      <c r="D118" s="40" t="s">
        <v>96</v>
      </c>
      <c r="E118" s="24">
        <v>129650000</v>
      </c>
      <c r="F118" s="39">
        <v>44195</v>
      </c>
      <c r="G118" s="24">
        <v>129650000</v>
      </c>
      <c r="H118" s="23">
        <v>5.0000000000000001E-3</v>
      </c>
      <c r="I118" s="39">
        <v>44531</v>
      </c>
      <c r="J118" s="39">
        <v>44544</v>
      </c>
      <c r="K118" s="24">
        <v>14</v>
      </c>
      <c r="L118" s="24">
        <v>24864</v>
      </c>
      <c r="M118" s="24">
        <v>127849305</v>
      </c>
      <c r="N118" s="39">
        <v>46020</v>
      </c>
    </row>
    <row r="119" spans="1:14" s="5" customFormat="1" outlineLevel="2">
      <c r="A119" s="39" t="s">
        <v>78</v>
      </c>
      <c r="B119" s="40" t="s">
        <v>101</v>
      </c>
      <c r="C119" s="41" t="s">
        <v>95</v>
      </c>
      <c r="D119" s="40"/>
      <c r="E119" s="24"/>
      <c r="F119" s="39"/>
      <c r="G119" s="24">
        <v>127849305</v>
      </c>
      <c r="H119" s="23">
        <v>5.0000000000000001E-3</v>
      </c>
      <c r="I119" s="39">
        <v>44545</v>
      </c>
      <c r="J119" s="39">
        <v>44561</v>
      </c>
      <c r="K119" s="24">
        <v>17</v>
      </c>
      <c r="L119" s="24">
        <v>29773</v>
      </c>
      <c r="M119" s="24"/>
      <c r="N119" s="39">
        <v>46020</v>
      </c>
    </row>
    <row r="120" spans="1:14" s="5" customFormat="1" outlineLevel="2">
      <c r="A120" s="39" t="s">
        <v>78</v>
      </c>
      <c r="B120" s="40" t="s">
        <v>102</v>
      </c>
      <c r="C120" s="41" t="s">
        <v>95</v>
      </c>
      <c r="D120" s="40" t="s">
        <v>96</v>
      </c>
      <c r="E120" s="24">
        <v>12000000</v>
      </c>
      <c r="F120" s="39">
        <v>44195</v>
      </c>
      <c r="G120" s="24">
        <v>10409631</v>
      </c>
      <c r="H120" s="23">
        <v>5.0000000000000001E-3</v>
      </c>
      <c r="I120" s="39">
        <v>44531</v>
      </c>
      <c r="J120" s="39">
        <v>44544</v>
      </c>
      <c r="K120" s="24">
        <v>14</v>
      </c>
      <c r="L120" s="24">
        <v>1996</v>
      </c>
      <c r="M120" s="24">
        <v>10265052</v>
      </c>
      <c r="N120" s="39">
        <v>46020</v>
      </c>
    </row>
    <row r="121" spans="1:14" s="5" customFormat="1" outlineLevel="2">
      <c r="A121" s="39" t="s">
        <v>78</v>
      </c>
      <c r="B121" s="40" t="s">
        <v>102</v>
      </c>
      <c r="C121" s="41" t="s">
        <v>95</v>
      </c>
      <c r="D121" s="40"/>
      <c r="E121" s="24"/>
      <c r="F121" s="39"/>
      <c r="G121" s="24">
        <v>10265052</v>
      </c>
      <c r="H121" s="23">
        <v>5.0000000000000001E-3</v>
      </c>
      <c r="I121" s="39">
        <v>44545</v>
      </c>
      <c r="J121" s="39">
        <v>44561</v>
      </c>
      <c r="K121" s="24">
        <v>17</v>
      </c>
      <c r="L121" s="24">
        <v>2390</v>
      </c>
      <c r="M121" s="24"/>
      <c r="N121" s="39">
        <v>46020</v>
      </c>
    </row>
    <row r="122" spans="1:14" s="5" customFormat="1" outlineLevel="2">
      <c r="A122" s="39" t="s">
        <v>78</v>
      </c>
      <c r="B122" s="40" t="s">
        <v>103</v>
      </c>
      <c r="C122" s="41" t="s">
        <v>66</v>
      </c>
      <c r="D122" s="40" t="s">
        <v>67</v>
      </c>
      <c r="E122" s="24">
        <v>144000000</v>
      </c>
      <c r="F122" s="39">
        <v>44196</v>
      </c>
      <c r="G122" s="24">
        <v>144000000</v>
      </c>
      <c r="H122" s="23">
        <v>5.0000000000000001E-3</v>
      </c>
      <c r="I122" s="39">
        <v>44531</v>
      </c>
      <c r="J122" s="39">
        <v>44561</v>
      </c>
      <c r="K122" s="24">
        <v>31</v>
      </c>
      <c r="L122" s="24">
        <v>61151</v>
      </c>
      <c r="M122" s="24">
        <v>144000000</v>
      </c>
      <c r="N122" s="39">
        <v>46021</v>
      </c>
    </row>
    <row r="123" spans="1:14" s="5" customFormat="1" outlineLevel="2">
      <c r="A123" s="39" t="s">
        <v>78</v>
      </c>
      <c r="B123" s="40" t="s">
        <v>104</v>
      </c>
      <c r="C123" s="41" t="s">
        <v>91</v>
      </c>
      <c r="D123" s="40" t="s">
        <v>92</v>
      </c>
      <c r="E123" s="24">
        <v>45000000</v>
      </c>
      <c r="F123" s="39">
        <v>44211</v>
      </c>
      <c r="G123" s="24">
        <v>45000000</v>
      </c>
      <c r="H123" s="23">
        <v>5.0000000000000001E-3</v>
      </c>
      <c r="I123" s="39">
        <v>44531</v>
      </c>
      <c r="J123" s="39">
        <v>44561</v>
      </c>
      <c r="K123" s="24">
        <v>31</v>
      </c>
      <c r="L123" s="24">
        <v>19110</v>
      </c>
      <c r="M123" s="24">
        <v>45000000</v>
      </c>
      <c r="N123" s="39">
        <v>46036</v>
      </c>
    </row>
    <row r="124" spans="1:14" s="5" customFormat="1" outlineLevel="2">
      <c r="A124" s="39" t="s">
        <v>78</v>
      </c>
      <c r="B124" s="40" t="s">
        <v>105</v>
      </c>
      <c r="C124" s="41" t="s">
        <v>91</v>
      </c>
      <c r="D124" s="40" t="s">
        <v>92</v>
      </c>
      <c r="E124" s="24">
        <v>31000000</v>
      </c>
      <c r="F124" s="39">
        <v>44211</v>
      </c>
      <c r="G124" s="24">
        <v>31000000</v>
      </c>
      <c r="H124" s="23">
        <v>5.0000000000000001E-3</v>
      </c>
      <c r="I124" s="39">
        <v>44531</v>
      </c>
      <c r="J124" s="39">
        <v>44561</v>
      </c>
      <c r="K124" s="24">
        <v>31</v>
      </c>
      <c r="L124" s="24">
        <v>13164</v>
      </c>
      <c r="M124" s="24">
        <v>31000000</v>
      </c>
      <c r="N124" s="39">
        <v>46036</v>
      </c>
    </row>
    <row r="125" spans="1:14" s="5" customFormat="1" outlineLevel="2">
      <c r="A125" s="39" t="s">
        <v>78</v>
      </c>
      <c r="B125" s="40" t="s">
        <v>106</v>
      </c>
      <c r="C125" s="41" t="s">
        <v>93</v>
      </c>
      <c r="D125" s="40" t="s">
        <v>94</v>
      </c>
      <c r="E125" s="24">
        <v>7174630</v>
      </c>
      <c r="F125" s="39">
        <v>44203</v>
      </c>
      <c r="G125" s="24">
        <v>7174630</v>
      </c>
      <c r="H125" s="23">
        <v>5.0000000000000001E-3</v>
      </c>
      <c r="I125" s="39">
        <v>44531</v>
      </c>
      <c r="J125" s="39">
        <v>44544</v>
      </c>
      <c r="K125" s="24">
        <v>14</v>
      </c>
      <c r="L125" s="24">
        <v>1376</v>
      </c>
      <c r="M125" s="24">
        <v>7074982</v>
      </c>
      <c r="N125" s="39">
        <v>46028</v>
      </c>
    </row>
    <row r="126" spans="1:14" s="5" customFormat="1" outlineLevel="2">
      <c r="A126" s="39" t="s">
        <v>78</v>
      </c>
      <c r="B126" s="40" t="s">
        <v>106</v>
      </c>
      <c r="C126" s="41" t="s">
        <v>93</v>
      </c>
      <c r="D126" s="40"/>
      <c r="E126" s="24"/>
      <c r="F126" s="39"/>
      <c r="G126" s="24">
        <v>7074982</v>
      </c>
      <c r="H126" s="23">
        <v>5.0000000000000001E-3</v>
      </c>
      <c r="I126" s="39">
        <v>44545</v>
      </c>
      <c r="J126" s="39">
        <v>44561</v>
      </c>
      <c r="K126" s="24">
        <v>17</v>
      </c>
      <c r="L126" s="24">
        <v>1648</v>
      </c>
      <c r="M126" s="24"/>
      <c r="N126" s="39">
        <v>46028</v>
      </c>
    </row>
    <row r="127" spans="1:14" s="5" customFormat="1" outlineLevel="2">
      <c r="A127" s="39" t="s">
        <v>78</v>
      </c>
      <c r="B127" s="40" t="s">
        <v>59</v>
      </c>
      <c r="C127" s="41" t="s">
        <v>81</v>
      </c>
      <c r="D127" s="40" t="s">
        <v>82</v>
      </c>
      <c r="E127" s="24">
        <v>7000000</v>
      </c>
      <c r="F127" s="39">
        <v>44004</v>
      </c>
      <c r="G127" s="24">
        <v>5016661</v>
      </c>
      <c r="H127" s="23">
        <v>5.0000000000000001E-3</v>
      </c>
      <c r="I127" s="39">
        <v>44531</v>
      </c>
      <c r="J127" s="39">
        <v>44544</v>
      </c>
      <c r="K127" s="24">
        <v>14</v>
      </c>
      <c r="L127" s="24">
        <v>962</v>
      </c>
      <c r="M127" s="24">
        <v>4899994</v>
      </c>
      <c r="N127" s="39">
        <v>45829</v>
      </c>
    </row>
    <row r="128" spans="1:14" s="5" customFormat="1" outlineLevel="2">
      <c r="A128" s="39" t="s">
        <v>78</v>
      </c>
      <c r="B128" s="40" t="s">
        <v>59</v>
      </c>
      <c r="C128" s="41" t="s">
        <v>81</v>
      </c>
      <c r="D128" s="40"/>
      <c r="E128" s="24"/>
      <c r="F128" s="39"/>
      <c r="G128" s="24">
        <v>4899994</v>
      </c>
      <c r="H128" s="23">
        <v>5.0000000000000001E-3</v>
      </c>
      <c r="I128" s="39">
        <v>44545</v>
      </c>
      <c r="J128" s="39">
        <v>44561</v>
      </c>
      <c r="K128" s="24">
        <v>17</v>
      </c>
      <c r="L128" s="24">
        <v>1141</v>
      </c>
      <c r="M128" s="24"/>
      <c r="N128" s="39">
        <v>45829</v>
      </c>
    </row>
    <row r="129" spans="1:14" s="5" customFormat="1" outlineLevel="2">
      <c r="A129" s="39" t="s">
        <v>78</v>
      </c>
      <c r="B129" s="40" t="s">
        <v>136</v>
      </c>
      <c r="C129" s="41" t="s">
        <v>95</v>
      </c>
      <c r="D129" s="40" t="s">
        <v>96</v>
      </c>
      <c r="E129" s="24">
        <v>3650000</v>
      </c>
      <c r="F129" s="39">
        <v>44246</v>
      </c>
      <c r="G129" s="24">
        <v>3650000</v>
      </c>
      <c r="H129" s="23">
        <v>5.0000000000000001E-3</v>
      </c>
      <c r="I129" s="39">
        <v>44531</v>
      </c>
      <c r="J129" s="39">
        <v>44544</v>
      </c>
      <c r="K129" s="24">
        <v>14</v>
      </c>
      <c r="L129" s="24">
        <v>700</v>
      </c>
      <c r="M129" s="24">
        <v>3599305</v>
      </c>
      <c r="N129" s="39">
        <v>46071</v>
      </c>
    </row>
    <row r="130" spans="1:14" s="5" customFormat="1" outlineLevel="2">
      <c r="A130" s="39" t="s">
        <v>78</v>
      </c>
      <c r="B130" s="40" t="s">
        <v>136</v>
      </c>
      <c r="C130" s="41" t="s">
        <v>95</v>
      </c>
      <c r="D130" s="40"/>
      <c r="E130" s="24"/>
      <c r="F130" s="39"/>
      <c r="G130" s="24">
        <v>3599305</v>
      </c>
      <c r="H130" s="23">
        <v>5.0000000000000001E-3</v>
      </c>
      <c r="I130" s="39">
        <v>44545</v>
      </c>
      <c r="J130" s="39">
        <v>44561</v>
      </c>
      <c r="K130" s="24">
        <v>17</v>
      </c>
      <c r="L130" s="24">
        <v>838</v>
      </c>
      <c r="M130" s="24"/>
      <c r="N130" s="39">
        <v>46071</v>
      </c>
    </row>
    <row r="131" spans="1:14" s="5" customFormat="1" outlineLevel="2">
      <c r="A131" s="39" t="s">
        <v>78</v>
      </c>
      <c r="B131" s="40" t="s">
        <v>137</v>
      </c>
      <c r="C131" s="41" t="s">
        <v>93</v>
      </c>
      <c r="D131" s="40" t="s">
        <v>94</v>
      </c>
      <c r="E131" s="24">
        <v>1028354</v>
      </c>
      <c r="F131" s="39">
        <v>44236</v>
      </c>
      <c r="G131" s="24">
        <v>1028354</v>
      </c>
      <c r="H131" s="23">
        <v>5.0000000000000001E-3</v>
      </c>
      <c r="I131" s="39">
        <v>44531</v>
      </c>
      <c r="J131" s="39">
        <v>44561</v>
      </c>
      <c r="K131" s="24">
        <v>31</v>
      </c>
      <c r="L131" s="24">
        <v>437</v>
      </c>
      <c r="M131" s="24">
        <v>1028354</v>
      </c>
      <c r="N131" s="39">
        <v>46061</v>
      </c>
    </row>
    <row r="132" spans="1:14" s="5" customFormat="1" outlineLevel="2">
      <c r="A132" s="39" t="s">
        <v>78</v>
      </c>
      <c r="B132" s="40" t="s">
        <v>138</v>
      </c>
      <c r="C132" s="41" t="s">
        <v>93</v>
      </c>
      <c r="D132" s="40" t="s">
        <v>94</v>
      </c>
      <c r="E132" s="24">
        <v>1983370</v>
      </c>
      <c r="F132" s="39">
        <v>44246</v>
      </c>
      <c r="G132" s="24">
        <v>1983370</v>
      </c>
      <c r="H132" s="23">
        <v>5.0000000000000001E-3</v>
      </c>
      <c r="I132" s="39">
        <v>44531</v>
      </c>
      <c r="J132" s="39">
        <v>44561</v>
      </c>
      <c r="K132" s="24">
        <v>31</v>
      </c>
      <c r="L132" s="24">
        <v>842</v>
      </c>
      <c r="M132" s="24">
        <v>1983370</v>
      </c>
      <c r="N132" s="39">
        <v>46071</v>
      </c>
    </row>
    <row r="133" spans="1:14" s="5" customFormat="1" outlineLevel="2">
      <c r="A133" s="39" t="s">
        <v>78</v>
      </c>
      <c r="B133" s="40" t="s">
        <v>139</v>
      </c>
      <c r="C133" s="41" t="s">
        <v>306</v>
      </c>
      <c r="D133" s="40" t="s">
        <v>305</v>
      </c>
      <c r="E133" s="24">
        <v>10000000</v>
      </c>
      <c r="F133" s="39">
        <v>44252</v>
      </c>
      <c r="G133" s="24">
        <v>10000000</v>
      </c>
      <c r="H133" s="23">
        <v>5.0000000000000001E-3</v>
      </c>
      <c r="I133" s="39">
        <v>44531</v>
      </c>
      <c r="J133" s="39">
        <v>44561</v>
      </c>
      <c r="K133" s="24">
        <v>31</v>
      </c>
      <c r="L133" s="24">
        <v>4247</v>
      </c>
      <c r="M133" s="24">
        <v>10000000</v>
      </c>
      <c r="N133" s="39">
        <v>46077</v>
      </c>
    </row>
    <row r="134" spans="1:14" s="5" customFormat="1" outlineLevel="2">
      <c r="A134" s="39" t="s">
        <v>78</v>
      </c>
      <c r="B134" s="40" t="s">
        <v>140</v>
      </c>
      <c r="C134" s="41" t="s">
        <v>85</v>
      </c>
      <c r="D134" s="40" t="s">
        <v>86</v>
      </c>
      <c r="E134" s="24">
        <v>67620000</v>
      </c>
      <c r="F134" s="39">
        <v>44253</v>
      </c>
      <c r="G134" s="24">
        <v>67620000</v>
      </c>
      <c r="H134" s="23">
        <v>5.0000000000000001E-3</v>
      </c>
      <c r="I134" s="39">
        <v>44531</v>
      </c>
      <c r="J134" s="39">
        <v>44561</v>
      </c>
      <c r="K134" s="24">
        <v>31</v>
      </c>
      <c r="L134" s="24">
        <v>28715</v>
      </c>
      <c r="M134" s="24">
        <v>67620000</v>
      </c>
      <c r="N134" s="39">
        <v>46078</v>
      </c>
    </row>
    <row r="135" spans="1:14" s="5" customFormat="1" outlineLevel="2">
      <c r="A135" s="39" t="s">
        <v>78</v>
      </c>
      <c r="B135" s="40" t="s">
        <v>169</v>
      </c>
      <c r="C135" s="41" t="s">
        <v>91</v>
      </c>
      <c r="D135" s="40" t="s">
        <v>92</v>
      </c>
      <c r="E135" s="24">
        <v>33000000</v>
      </c>
      <c r="F135" s="39">
        <v>44270</v>
      </c>
      <c r="G135" s="24">
        <v>33000000</v>
      </c>
      <c r="H135" s="23">
        <v>5.0000000000000001E-3</v>
      </c>
      <c r="I135" s="39">
        <v>44531</v>
      </c>
      <c r="J135" s="39">
        <v>44561</v>
      </c>
      <c r="K135" s="24">
        <v>31</v>
      </c>
      <c r="L135" s="24">
        <v>14014</v>
      </c>
      <c r="M135" s="24">
        <v>33000000</v>
      </c>
      <c r="N135" s="39">
        <v>46095</v>
      </c>
    </row>
    <row r="136" spans="1:14" s="5" customFormat="1" outlineLevel="2">
      <c r="A136" s="39" t="s">
        <v>78</v>
      </c>
      <c r="B136" s="40" t="s">
        <v>170</v>
      </c>
      <c r="C136" s="41" t="s">
        <v>91</v>
      </c>
      <c r="D136" s="40" t="s">
        <v>92</v>
      </c>
      <c r="E136" s="24">
        <v>38900000</v>
      </c>
      <c r="F136" s="39">
        <v>44270</v>
      </c>
      <c r="G136" s="24">
        <v>38900000</v>
      </c>
      <c r="H136" s="23">
        <v>5.0000000000000001E-3</v>
      </c>
      <c r="I136" s="39">
        <v>44531</v>
      </c>
      <c r="J136" s="39">
        <v>44561</v>
      </c>
      <c r="K136" s="24">
        <v>31</v>
      </c>
      <c r="L136" s="24">
        <v>16519</v>
      </c>
      <c r="M136" s="24">
        <v>38900000</v>
      </c>
      <c r="N136" s="39">
        <v>46095</v>
      </c>
    </row>
    <row r="137" spans="1:14" s="5" customFormat="1" outlineLevel="2">
      <c r="A137" s="39" t="s">
        <v>78</v>
      </c>
      <c r="B137" s="40" t="s">
        <v>171</v>
      </c>
      <c r="C137" s="41" t="s">
        <v>81</v>
      </c>
      <c r="D137" s="40" t="s">
        <v>82</v>
      </c>
      <c r="E137" s="24">
        <v>6800000</v>
      </c>
      <c r="F137" s="39">
        <v>44272</v>
      </c>
      <c r="G137" s="24">
        <v>5733328</v>
      </c>
      <c r="H137" s="23">
        <v>5.0000000000000001E-3</v>
      </c>
      <c r="I137" s="39">
        <v>44531</v>
      </c>
      <c r="J137" s="39">
        <v>44544</v>
      </c>
      <c r="K137" s="24">
        <v>14</v>
      </c>
      <c r="L137" s="24">
        <v>1100</v>
      </c>
      <c r="M137" s="24">
        <v>5599994</v>
      </c>
      <c r="N137" s="39">
        <v>46097</v>
      </c>
    </row>
    <row r="138" spans="1:14" s="5" customFormat="1" outlineLevel="2">
      <c r="A138" s="39" t="s">
        <v>78</v>
      </c>
      <c r="B138" s="40" t="s">
        <v>171</v>
      </c>
      <c r="C138" s="41" t="s">
        <v>81</v>
      </c>
      <c r="D138" s="40"/>
      <c r="E138" s="24"/>
      <c r="F138" s="39"/>
      <c r="G138" s="24">
        <v>5599994</v>
      </c>
      <c r="H138" s="23">
        <v>5.0000000000000001E-3</v>
      </c>
      <c r="I138" s="39">
        <v>44545</v>
      </c>
      <c r="J138" s="39">
        <v>44561</v>
      </c>
      <c r="K138" s="24">
        <v>17</v>
      </c>
      <c r="L138" s="24">
        <v>1304</v>
      </c>
      <c r="M138" s="24"/>
      <c r="N138" s="39">
        <v>46097</v>
      </c>
    </row>
    <row r="139" spans="1:14" s="5" customFormat="1" outlineLevel="2">
      <c r="A139" s="39" t="s">
        <v>78</v>
      </c>
      <c r="B139" s="40" t="s">
        <v>172</v>
      </c>
      <c r="C139" s="41" t="s">
        <v>81</v>
      </c>
      <c r="D139" s="40" t="s">
        <v>82</v>
      </c>
      <c r="E139" s="24">
        <v>5540000</v>
      </c>
      <c r="F139" s="39">
        <v>44285</v>
      </c>
      <c r="G139" s="24">
        <v>4670976</v>
      </c>
      <c r="H139" s="23">
        <v>5.0000000000000001E-3</v>
      </c>
      <c r="I139" s="39">
        <v>44531</v>
      </c>
      <c r="J139" s="39">
        <v>44544</v>
      </c>
      <c r="K139" s="24">
        <v>14</v>
      </c>
      <c r="L139" s="24">
        <v>896</v>
      </c>
      <c r="M139" s="24">
        <v>4562348</v>
      </c>
      <c r="N139" s="39">
        <v>46110</v>
      </c>
    </row>
    <row r="140" spans="1:14" s="5" customFormat="1" outlineLevel="2">
      <c r="A140" s="39" t="s">
        <v>78</v>
      </c>
      <c r="B140" s="40" t="s">
        <v>172</v>
      </c>
      <c r="C140" s="41" t="s">
        <v>81</v>
      </c>
      <c r="D140" s="40"/>
      <c r="E140" s="24"/>
      <c r="F140" s="39"/>
      <c r="G140" s="24">
        <v>4562348</v>
      </c>
      <c r="H140" s="23">
        <v>5.0000000000000001E-3</v>
      </c>
      <c r="I140" s="39">
        <v>44545</v>
      </c>
      <c r="J140" s="39">
        <v>44561</v>
      </c>
      <c r="K140" s="24">
        <v>17</v>
      </c>
      <c r="L140" s="24">
        <v>1062</v>
      </c>
      <c r="M140" s="24"/>
      <c r="N140" s="39">
        <v>46110</v>
      </c>
    </row>
    <row r="141" spans="1:14" s="5" customFormat="1" outlineLevel="2">
      <c r="A141" s="39" t="s">
        <v>78</v>
      </c>
      <c r="B141" s="40" t="s">
        <v>173</v>
      </c>
      <c r="C141" s="41" t="s">
        <v>337</v>
      </c>
      <c r="D141" s="40" t="s">
        <v>336</v>
      </c>
      <c r="E141" s="24">
        <v>30000000</v>
      </c>
      <c r="F141" s="39">
        <v>44286</v>
      </c>
      <c r="G141" s="24">
        <v>26000000</v>
      </c>
      <c r="H141" s="23">
        <v>5.0000000000000001E-3</v>
      </c>
      <c r="I141" s="39">
        <v>44531</v>
      </c>
      <c r="J141" s="39">
        <v>44544</v>
      </c>
      <c r="K141" s="24">
        <v>14</v>
      </c>
      <c r="L141" s="24">
        <v>4986</v>
      </c>
      <c r="M141" s="24">
        <v>25500000</v>
      </c>
      <c r="N141" s="39">
        <v>46111</v>
      </c>
    </row>
    <row r="142" spans="1:14" s="5" customFormat="1" outlineLevel="2">
      <c r="A142" s="39" t="s">
        <v>78</v>
      </c>
      <c r="B142" s="40" t="s">
        <v>173</v>
      </c>
      <c r="C142" s="41" t="s">
        <v>337</v>
      </c>
      <c r="D142" s="40"/>
      <c r="E142" s="24"/>
      <c r="F142" s="39"/>
      <c r="G142" s="24">
        <v>25500000</v>
      </c>
      <c r="H142" s="23">
        <v>5.0000000000000001E-3</v>
      </c>
      <c r="I142" s="39">
        <v>44545</v>
      </c>
      <c r="J142" s="39">
        <v>44561</v>
      </c>
      <c r="K142" s="24">
        <v>17</v>
      </c>
      <c r="L142" s="24">
        <v>5938</v>
      </c>
      <c r="M142" s="24"/>
      <c r="N142" s="39">
        <v>46111</v>
      </c>
    </row>
    <row r="143" spans="1:14" s="5" customFormat="1" outlineLevel="2">
      <c r="A143" s="39" t="s">
        <v>78</v>
      </c>
      <c r="B143" s="40" t="s">
        <v>62</v>
      </c>
      <c r="C143" s="41" t="s">
        <v>83</v>
      </c>
      <c r="D143" s="40" t="s">
        <v>84</v>
      </c>
      <c r="E143" s="24">
        <v>298410000</v>
      </c>
      <c r="F143" s="39">
        <v>44006</v>
      </c>
      <c r="G143" s="24">
        <v>298410000</v>
      </c>
      <c r="H143" s="23">
        <v>5.0000000000000001E-3</v>
      </c>
      <c r="I143" s="39">
        <v>44531</v>
      </c>
      <c r="J143" s="39">
        <v>44561</v>
      </c>
      <c r="K143" s="24">
        <v>31</v>
      </c>
      <c r="L143" s="24">
        <v>126722</v>
      </c>
      <c r="M143" s="24">
        <v>298410000</v>
      </c>
      <c r="N143" s="39">
        <v>45831</v>
      </c>
    </row>
    <row r="144" spans="1:14" s="5" customFormat="1" outlineLevel="2">
      <c r="A144" s="39" t="s">
        <v>78</v>
      </c>
      <c r="B144" s="40" t="s">
        <v>174</v>
      </c>
      <c r="C144" s="41" t="s">
        <v>155</v>
      </c>
      <c r="D144" s="40" t="s">
        <v>156</v>
      </c>
      <c r="E144" s="24">
        <v>120000000</v>
      </c>
      <c r="F144" s="39">
        <v>44270</v>
      </c>
      <c r="G144" s="24">
        <v>120000000</v>
      </c>
      <c r="H144" s="23">
        <v>5.0000000000000001E-3</v>
      </c>
      <c r="I144" s="39">
        <v>44531</v>
      </c>
      <c r="J144" s="39">
        <v>44561</v>
      </c>
      <c r="K144" s="24">
        <v>31</v>
      </c>
      <c r="L144" s="24">
        <v>50959</v>
      </c>
      <c r="M144" s="24">
        <v>120000000</v>
      </c>
      <c r="N144" s="39">
        <v>46095</v>
      </c>
    </row>
    <row r="145" spans="1:14" s="5" customFormat="1" outlineLevel="2">
      <c r="A145" s="39" t="s">
        <v>78</v>
      </c>
      <c r="B145" s="40" t="s">
        <v>175</v>
      </c>
      <c r="C145" s="41" t="s">
        <v>91</v>
      </c>
      <c r="D145" s="40" t="s">
        <v>92</v>
      </c>
      <c r="E145" s="24">
        <v>30400000</v>
      </c>
      <c r="F145" s="39">
        <v>44301</v>
      </c>
      <c r="G145" s="24">
        <v>30400000</v>
      </c>
      <c r="H145" s="23">
        <v>5.0000000000000001E-3</v>
      </c>
      <c r="I145" s="39">
        <v>44531</v>
      </c>
      <c r="J145" s="39">
        <v>44561</v>
      </c>
      <c r="K145" s="24">
        <v>31</v>
      </c>
      <c r="L145" s="24">
        <v>12910</v>
      </c>
      <c r="M145" s="24">
        <v>30400000</v>
      </c>
      <c r="N145" s="39">
        <v>46126</v>
      </c>
    </row>
    <row r="146" spans="1:14" s="5" customFormat="1" outlineLevel="2">
      <c r="A146" s="39" t="s">
        <v>78</v>
      </c>
      <c r="B146" s="40" t="s">
        <v>176</v>
      </c>
      <c r="C146" s="41" t="s">
        <v>337</v>
      </c>
      <c r="D146" s="40" t="s">
        <v>336</v>
      </c>
      <c r="E146" s="24">
        <v>20000000</v>
      </c>
      <c r="F146" s="39">
        <v>44315</v>
      </c>
      <c r="G146" s="24">
        <v>17627119</v>
      </c>
      <c r="H146" s="23">
        <v>5.0000000000000001E-3</v>
      </c>
      <c r="I146" s="39">
        <v>44531</v>
      </c>
      <c r="J146" s="39">
        <v>44544</v>
      </c>
      <c r="K146" s="24">
        <v>14</v>
      </c>
      <c r="L146" s="24">
        <v>3381</v>
      </c>
      <c r="M146" s="24">
        <v>17288136</v>
      </c>
      <c r="N146" s="39">
        <v>46140</v>
      </c>
    </row>
    <row r="147" spans="1:14" s="5" customFormat="1" outlineLevel="2">
      <c r="A147" s="39" t="s">
        <v>78</v>
      </c>
      <c r="B147" s="40" t="s">
        <v>176</v>
      </c>
      <c r="C147" s="41" t="s">
        <v>337</v>
      </c>
      <c r="D147" s="40"/>
      <c r="E147" s="24"/>
      <c r="F147" s="39"/>
      <c r="G147" s="24">
        <v>17288136</v>
      </c>
      <c r="H147" s="23">
        <v>5.0000000000000001E-3</v>
      </c>
      <c r="I147" s="39">
        <v>44545</v>
      </c>
      <c r="J147" s="39">
        <v>44561</v>
      </c>
      <c r="K147" s="24">
        <v>17</v>
      </c>
      <c r="L147" s="24">
        <v>4026</v>
      </c>
      <c r="M147" s="24"/>
      <c r="N147" s="39">
        <v>46140</v>
      </c>
    </row>
    <row r="148" spans="1:14" s="5" customFormat="1" outlineLevel="2">
      <c r="A148" s="39" t="s">
        <v>78</v>
      </c>
      <c r="B148" s="40" t="s">
        <v>177</v>
      </c>
      <c r="C148" s="41" t="s">
        <v>85</v>
      </c>
      <c r="D148" s="40" t="s">
        <v>86</v>
      </c>
      <c r="E148" s="24">
        <v>50000000</v>
      </c>
      <c r="F148" s="39">
        <v>44315</v>
      </c>
      <c r="G148" s="24">
        <v>50000000</v>
      </c>
      <c r="H148" s="23">
        <v>5.0000000000000001E-3</v>
      </c>
      <c r="I148" s="39">
        <v>44531</v>
      </c>
      <c r="J148" s="39">
        <v>44561</v>
      </c>
      <c r="K148" s="24">
        <v>31</v>
      </c>
      <c r="L148" s="24">
        <v>21233</v>
      </c>
      <c r="M148" s="24">
        <v>50000000</v>
      </c>
      <c r="N148" s="39">
        <v>46140</v>
      </c>
    </row>
    <row r="149" spans="1:14" s="5" customFormat="1" outlineLevel="2">
      <c r="A149" s="39" t="s">
        <v>78</v>
      </c>
      <c r="B149" s="40" t="s">
        <v>178</v>
      </c>
      <c r="C149" s="41" t="s">
        <v>351</v>
      </c>
      <c r="D149" s="40" t="s">
        <v>350</v>
      </c>
      <c r="E149" s="24">
        <v>8600000</v>
      </c>
      <c r="F149" s="39">
        <v>44312</v>
      </c>
      <c r="G149" s="24">
        <v>8600000</v>
      </c>
      <c r="H149" s="23">
        <v>5.0000000000000001E-3</v>
      </c>
      <c r="I149" s="39">
        <v>44531</v>
      </c>
      <c r="J149" s="39">
        <v>44561</v>
      </c>
      <c r="K149" s="24">
        <v>31</v>
      </c>
      <c r="L149" s="24">
        <v>3652</v>
      </c>
      <c r="M149" s="24">
        <v>8600000</v>
      </c>
      <c r="N149" s="39">
        <v>46137</v>
      </c>
    </row>
    <row r="150" spans="1:14" s="5" customFormat="1" outlineLevel="2">
      <c r="A150" s="39" t="s">
        <v>78</v>
      </c>
      <c r="B150" s="40" t="s">
        <v>179</v>
      </c>
      <c r="C150" s="41" t="s">
        <v>93</v>
      </c>
      <c r="D150" s="40" t="s">
        <v>94</v>
      </c>
      <c r="E150" s="24">
        <v>6174000</v>
      </c>
      <c r="F150" s="39">
        <v>44326</v>
      </c>
      <c r="G150" s="24">
        <v>6174000</v>
      </c>
      <c r="H150" s="23">
        <v>5.0000000000000001E-3</v>
      </c>
      <c r="I150" s="39">
        <v>44531</v>
      </c>
      <c r="J150" s="39">
        <v>44544</v>
      </c>
      <c r="K150" s="24">
        <v>14</v>
      </c>
      <c r="L150" s="24">
        <v>1184</v>
      </c>
      <c r="M150" s="24">
        <v>6088250</v>
      </c>
      <c r="N150" s="39">
        <v>46151</v>
      </c>
    </row>
    <row r="151" spans="1:14" s="5" customFormat="1" outlineLevel="2">
      <c r="A151" s="39" t="s">
        <v>78</v>
      </c>
      <c r="B151" s="40" t="s">
        <v>179</v>
      </c>
      <c r="C151" s="41" t="s">
        <v>93</v>
      </c>
      <c r="D151" s="40"/>
      <c r="E151" s="24"/>
      <c r="F151" s="39"/>
      <c r="G151" s="24">
        <v>6088250</v>
      </c>
      <c r="H151" s="23">
        <v>5.0000000000000001E-3</v>
      </c>
      <c r="I151" s="39">
        <v>44545</v>
      </c>
      <c r="J151" s="39">
        <v>44561</v>
      </c>
      <c r="K151" s="24">
        <v>17</v>
      </c>
      <c r="L151" s="24">
        <v>1418</v>
      </c>
      <c r="M151" s="24"/>
      <c r="N151" s="39">
        <v>46151</v>
      </c>
    </row>
    <row r="152" spans="1:14" s="5" customFormat="1" outlineLevel="2">
      <c r="A152" s="39" t="s">
        <v>78</v>
      </c>
      <c r="B152" s="40" t="s">
        <v>180</v>
      </c>
      <c r="C152" s="41" t="s">
        <v>91</v>
      </c>
      <c r="D152" s="40" t="s">
        <v>92</v>
      </c>
      <c r="E152" s="24">
        <v>50700000</v>
      </c>
      <c r="F152" s="39">
        <v>44333</v>
      </c>
      <c r="G152" s="24">
        <v>50700000</v>
      </c>
      <c r="H152" s="23">
        <v>5.0000000000000001E-3</v>
      </c>
      <c r="I152" s="39">
        <v>44531</v>
      </c>
      <c r="J152" s="39">
        <v>44561</v>
      </c>
      <c r="K152" s="24">
        <v>31</v>
      </c>
      <c r="L152" s="24">
        <v>21530</v>
      </c>
      <c r="M152" s="24">
        <v>50700000</v>
      </c>
      <c r="N152" s="39">
        <v>46158</v>
      </c>
    </row>
    <row r="153" spans="1:14" s="5" customFormat="1" outlineLevel="2">
      <c r="A153" s="39" t="s">
        <v>78</v>
      </c>
      <c r="B153" s="40" t="s">
        <v>181</v>
      </c>
      <c r="C153" s="41" t="s">
        <v>91</v>
      </c>
      <c r="D153" s="40" t="s">
        <v>92</v>
      </c>
      <c r="E153" s="24">
        <v>1700000</v>
      </c>
      <c r="F153" s="39">
        <v>44333</v>
      </c>
      <c r="G153" s="24">
        <v>1700000</v>
      </c>
      <c r="H153" s="23">
        <v>5.0000000000000001E-3</v>
      </c>
      <c r="I153" s="39">
        <v>44531</v>
      </c>
      <c r="J153" s="39">
        <v>44561</v>
      </c>
      <c r="K153" s="24">
        <v>31</v>
      </c>
      <c r="L153" s="24">
        <v>722</v>
      </c>
      <c r="M153" s="24">
        <v>1700000</v>
      </c>
      <c r="N153" s="39">
        <v>46158</v>
      </c>
    </row>
    <row r="154" spans="1:14" s="5" customFormat="1" outlineLevel="2">
      <c r="A154" s="39" t="s">
        <v>78</v>
      </c>
      <c r="B154" s="40" t="s">
        <v>182</v>
      </c>
      <c r="C154" s="41" t="s">
        <v>351</v>
      </c>
      <c r="D154" s="40" t="s">
        <v>350</v>
      </c>
      <c r="E154" s="24">
        <v>6000000</v>
      </c>
      <c r="F154" s="39">
        <v>44335</v>
      </c>
      <c r="G154" s="24">
        <v>6000000</v>
      </c>
      <c r="H154" s="23">
        <v>5.0000000000000001E-3</v>
      </c>
      <c r="I154" s="39">
        <v>44531</v>
      </c>
      <c r="J154" s="39">
        <v>44561</v>
      </c>
      <c r="K154" s="24">
        <v>31</v>
      </c>
      <c r="L154" s="24">
        <v>2548</v>
      </c>
      <c r="M154" s="24">
        <v>6000000</v>
      </c>
      <c r="N154" s="39">
        <v>46160</v>
      </c>
    </row>
    <row r="155" spans="1:14" s="5" customFormat="1" outlineLevel="2">
      <c r="A155" s="39" t="s">
        <v>78</v>
      </c>
      <c r="B155" s="40" t="s">
        <v>183</v>
      </c>
      <c r="C155" s="41" t="s">
        <v>89</v>
      </c>
      <c r="D155" s="40" t="s">
        <v>90</v>
      </c>
      <c r="E155" s="24">
        <v>30200000</v>
      </c>
      <c r="F155" s="39">
        <v>44323</v>
      </c>
      <c r="G155" s="24">
        <v>30200000</v>
      </c>
      <c r="H155" s="23">
        <v>5.0000000000000001E-3</v>
      </c>
      <c r="I155" s="39">
        <v>44531</v>
      </c>
      <c r="J155" s="39">
        <v>44561</v>
      </c>
      <c r="K155" s="24">
        <v>31</v>
      </c>
      <c r="L155" s="24">
        <v>12825</v>
      </c>
      <c r="M155" s="24">
        <v>30200000</v>
      </c>
      <c r="N155" s="39">
        <v>46148</v>
      </c>
    </row>
    <row r="156" spans="1:14" s="5" customFormat="1" outlineLevel="2">
      <c r="A156" s="39" t="s">
        <v>78</v>
      </c>
      <c r="B156" s="40" t="s">
        <v>63</v>
      </c>
      <c r="C156" s="41" t="s">
        <v>83</v>
      </c>
      <c r="D156" s="40" t="s">
        <v>84</v>
      </c>
      <c r="E156" s="24">
        <v>95370000</v>
      </c>
      <c r="F156" s="39">
        <v>44006</v>
      </c>
      <c r="G156" s="24">
        <v>95370000</v>
      </c>
      <c r="H156" s="23">
        <v>5.0000000000000001E-3</v>
      </c>
      <c r="I156" s="39">
        <v>44531</v>
      </c>
      <c r="J156" s="39">
        <v>44561</v>
      </c>
      <c r="K156" s="24">
        <v>31</v>
      </c>
      <c r="L156" s="24">
        <v>40500</v>
      </c>
      <c r="M156" s="24">
        <v>95370000</v>
      </c>
      <c r="N156" s="39">
        <v>45831</v>
      </c>
    </row>
    <row r="157" spans="1:14" s="5" customFormat="1" outlineLevel="2">
      <c r="A157" s="39" t="s">
        <v>78</v>
      </c>
      <c r="B157" s="40" t="s">
        <v>184</v>
      </c>
      <c r="C157" s="41" t="s">
        <v>337</v>
      </c>
      <c r="D157" s="40" t="s">
        <v>336</v>
      </c>
      <c r="E157" s="24">
        <v>15000000</v>
      </c>
      <c r="F157" s="39">
        <v>44347</v>
      </c>
      <c r="G157" s="24">
        <v>13448274</v>
      </c>
      <c r="H157" s="23">
        <v>5.0000000000000001E-3</v>
      </c>
      <c r="I157" s="39">
        <v>44531</v>
      </c>
      <c r="J157" s="39">
        <v>44544</v>
      </c>
      <c r="K157" s="24">
        <v>14</v>
      </c>
      <c r="L157" s="24">
        <v>2579</v>
      </c>
      <c r="M157" s="24">
        <v>13189653</v>
      </c>
      <c r="N157" s="39">
        <v>46172</v>
      </c>
    </row>
    <row r="158" spans="1:14" s="5" customFormat="1" outlineLevel="2">
      <c r="A158" s="39" t="s">
        <v>78</v>
      </c>
      <c r="B158" s="40" t="s">
        <v>184</v>
      </c>
      <c r="C158" s="41" t="s">
        <v>337</v>
      </c>
      <c r="D158" s="40"/>
      <c r="E158" s="24"/>
      <c r="F158" s="39"/>
      <c r="G158" s="24">
        <v>13189653</v>
      </c>
      <c r="H158" s="23">
        <v>5.0000000000000001E-3</v>
      </c>
      <c r="I158" s="39">
        <v>44545</v>
      </c>
      <c r="J158" s="39">
        <v>44561</v>
      </c>
      <c r="K158" s="24">
        <v>17</v>
      </c>
      <c r="L158" s="24">
        <v>3072</v>
      </c>
      <c r="M158" s="24"/>
      <c r="N158" s="39">
        <v>46172</v>
      </c>
    </row>
    <row r="159" spans="1:14" s="5" customFormat="1" outlineLevel="2">
      <c r="A159" s="39" t="s">
        <v>78</v>
      </c>
      <c r="B159" s="40" t="s">
        <v>185</v>
      </c>
      <c r="C159" s="41" t="s">
        <v>83</v>
      </c>
      <c r="D159" s="40" t="s">
        <v>84</v>
      </c>
      <c r="E159" s="24">
        <v>388000000</v>
      </c>
      <c r="F159" s="39">
        <v>44344</v>
      </c>
      <c r="G159" s="24">
        <v>388000000</v>
      </c>
      <c r="H159" s="23">
        <v>3.0000000000000001E-3</v>
      </c>
      <c r="I159" s="39">
        <v>44531</v>
      </c>
      <c r="J159" s="39">
        <v>44561</v>
      </c>
      <c r="K159" s="24">
        <v>31</v>
      </c>
      <c r="L159" s="24">
        <v>98860</v>
      </c>
      <c r="M159" s="24">
        <v>388000000</v>
      </c>
      <c r="N159" s="39">
        <v>46169</v>
      </c>
    </row>
    <row r="160" spans="1:14" s="5" customFormat="1" outlineLevel="2">
      <c r="A160" s="39" t="s">
        <v>78</v>
      </c>
      <c r="B160" s="40" t="s">
        <v>186</v>
      </c>
      <c r="C160" s="41" t="s">
        <v>85</v>
      </c>
      <c r="D160" s="40" t="s">
        <v>86</v>
      </c>
      <c r="E160" s="24">
        <v>50000000</v>
      </c>
      <c r="F160" s="39">
        <v>44330</v>
      </c>
      <c r="G160" s="24">
        <v>50000000</v>
      </c>
      <c r="H160" s="23">
        <v>5.0000000000000001E-3</v>
      </c>
      <c r="I160" s="39">
        <v>44531</v>
      </c>
      <c r="J160" s="39">
        <v>44561</v>
      </c>
      <c r="K160" s="24">
        <v>31</v>
      </c>
      <c r="L160" s="24">
        <v>21233</v>
      </c>
      <c r="M160" s="24">
        <v>50000000</v>
      </c>
      <c r="N160" s="39">
        <v>46155</v>
      </c>
    </row>
    <row r="161" spans="1:14" s="5" customFormat="1" outlineLevel="2">
      <c r="A161" s="39" t="s">
        <v>78</v>
      </c>
      <c r="B161" s="40" t="s">
        <v>189</v>
      </c>
      <c r="C161" s="41" t="s">
        <v>85</v>
      </c>
      <c r="D161" s="40" t="s">
        <v>86</v>
      </c>
      <c r="E161" s="24">
        <v>50000000</v>
      </c>
      <c r="F161" s="39">
        <v>44344</v>
      </c>
      <c r="G161" s="24">
        <v>50000000</v>
      </c>
      <c r="H161" s="23">
        <v>5.0000000000000001E-3</v>
      </c>
      <c r="I161" s="39">
        <v>44531</v>
      </c>
      <c r="J161" s="39">
        <v>44561</v>
      </c>
      <c r="K161" s="24">
        <v>31</v>
      </c>
      <c r="L161" s="24">
        <v>21233</v>
      </c>
      <c r="M161" s="24">
        <v>50000000</v>
      </c>
      <c r="N161" s="39">
        <v>46169</v>
      </c>
    </row>
    <row r="162" spans="1:14" s="5" customFormat="1" outlineLevel="2">
      <c r="A162" s="39" t="s">
        <v>78</v>
      </c>
      <c r="B162" s="40" t="s">
        <v>190</v>
      </c>
      <c r="C162" s="41" t="s">
        <v>93</v>
      </c>
      <c r="D162" s="40" t="s">
        <v>94</v>
      </c>
      <c r="E162" s="24">
        <v>1351689</v>
      </c>
      <c r="F162" s="39">
        <v>44358</v>
      </c>
      <c r="G162" s="24">
        <v>1351689</v>
      </c>
      <c r="H162" s="23">
        <v>5.0000000000000001E-3</v>
      </c>
      <c r="I162" s="39">
        <v>44531</v>
      </c>
      <c r="J162" s="39">
        <v>44561</v>
      </c>
      <c r="K162" s="24">
        <v>31</v>
      </c>
      <c r="L162" s="24">
        <v>574</v>
      </c>
      <c r="M162" s="24">
        <v>1351689</v>
      </c>
      <c r="N162" s="39">
        <v>46183</v>
      </c>
    </row>
    <row r="163" spans="1:14" s="5" customFormat="1" outlineLevel="2">
      <c r="A163" s="39" t="s">
        <v>78</v>
      </c>
      <c r="B163" s="40" t="s">
        <v>191</v>
      </c>
      <c r="C163" s="41" t="s">
        <v>93</v>
      </c>
      <c r="D163" s="40" t="s">
        <v>94</v>
      </c>
      <c r="E163" s="24">
        <v>20000000</v>
      </c>
      <c r="F163" s="39">
        <v>44370</v>
      </c>
      <c r="G163" s="24">
        <v>20000000</v>
      </c>
      <c r="H163" s="23">
        <v>5.0000000000000001E-3</v>
      </c>
      <c r="I163" s="39">
        <v>44531</v>
      </c>
      <c r="J163" s="39">
        <v>44561</v>
      </c>
      <c r="K163" s="24">
        <v>31</v>
      </c>
      <c r="L163" s="24">
        <v>8493</v>
      </c>
      <c r="M163" s="24">
        <v>20000000</v>
      </c>
      <c r="N163" s="39">
        <v>46195</v>
      </c>
    </row>
    <row r="164" spans="1:14" s="5" customFormat="1" outlineLevel="2">
      <c r="A164" s="39" t="s">
        <v>78</v>
      </c>
      <c r="B164" s="40" t="s">
        <v>192</v>
      </c>
      <c r="C164" s="41" t="s">
        <v>93</v>
      </c>
      <c r="D164" s="40" t="s">
        <v>94</v>
      </c>
      <c r="E164" s="24">
        <v>8000000</v>
      </c>
      <c r="F164" s="39">
        <v>44370</v>
      </c>
      <c r="G164" s="24">
        <v>8000000</v>
      </c>
      <c r="H164" s="23">
        <v>5.0000000000000001E-3</v>
      </c>
      <c r="I164" s="39">
        <v>44531</v>
      </c>
      <c r="J164" s="39">
        <v>44561</v>
      </c>
      <c r="K164" s="24">
        <v>31</v>
      </c>
      <c r="L164" s="24">
        <v>3397</v>
      </c>
      <c r="M164" s="24">
        <v>8000000</v>
      </c>
      <c r="N164" s="39">
        <v>46195</v>
      </c>
    </row>
    <row r="165" spans="1:14" s="5" customFormat="1" outlineLevel="2">
      <c r="A165" s="39" t="s">
        <v>78</v>
      </c>
      <c r="B165" s="40" t="s">
        <v>193</v>
      </c>
      <c r="C165" s="41" t="s">
        <v>337</v>
      </c>
      <c r="D165" s="40" t="s">
        <v>336</v>
      </c>
      <c r="E165" s="24">
        <v>5000000</v>
      </c>
      <c r="F165" s="39">
        <v>44368</v>
      </c>
      <c r="G165" s="24">
        <v>4561400</v>
      </c>
      <c r="H165" s="23">
        <v>5.0000000000000001E-3</v>
      </c>
      <c r="I165" s="39">
        <v>44531</v>
      </c>
      <c r="J165" s="39">
        <v>44544</v>
      </c>
      <c r="K165" s="24">
        <v>14</v>
      </c>
      <c r="L165" s="24">
        <v>875</v>
      </c>
      <c r="M165" s="24">
        <v>4473680</v>
      </c>
      <c r="N165" s="39">
        <v>46193</v>
      </c>
    </row>
    <row r="166" spans="1:14" s="5" customFormat="1" outlineLevel="2">
      <c r="A166" s="39" t="s">
        <v>78</v>
      </c>
      <c r="B166" s="40" t="s">
        <v>193</v>
      </c>
      <c r="C166" s="41" t="s">
        <v>337</v>
      </c>
      <c r="D166" s="40"/>
      <c r="E166" s="24"/>
      <c r="F166" s="39"/>
      <c r="G166" s="24">
        <v>4473680</v>
      </c>
      <c r="H166" s="23">
        <v>5.0000000000000001E-3</v>
      </c>
      <c r="I166" s="39">
        <v>44545</v>
      </c>
      <c r="J166" s="39">
        <v>44561</v>
      </c>
      <c r="K166" s="24">
        <v>17</v>
      </c>
      <c r="L166" s="24">
        <v>1042</v>
      </c>
      <c r="M166" s="24"/>
      <c r="N166" s="39">
        <v>46193</v>
      </c>
    </row>
    <row r="167" spans="1:14" s="5" customFormat="1" outlineLevel="2">
      <c r="A167" s="39" t="s">
        <v>78</v>
      </c>
      <c r="B167" s="40" t="s">
        <v>194</v>
      </c>
      <c r="C167" s="41" t="s">
        <v>337</v>
      </c>
      <c r="D167" s="40" t="s">
        <v>336</v>
      </c>
      <c r="E167" s="24">
        <v>38000000</v>
      </c>
      <c r="F167" s="39">
        <v>44377</v>
      </c>
      <c r="G167" s="24">
        <v>34666665</v>
      </c>
      <c r="H167" s="23">
        <v>5.0000000000000001E-3</v>
      </c>
      <c r="I167" s="39">
        <v>44531</v>
      </c>
      <c r="J167" s="39">
        <v>44544</v>
      </c>
      <c r="K167" s="24">
        <v>14</v>
      </c>
      <c r="L167" s="24">
        <v>6648</v>
      </c>
      <c r="M167" s="24">
        <v>33999998</v>
      </c>
      <c r="N167" s="39">
        <v>46202</v>
      </c>
    </row>
    <row r="168" spans="1:14" s="5" customFormat="1" outlineLevel="2">
      <c r="A168" s="39" t="s">
        <v>78</v>
      </c>
      <c r="B168" s="40" t="s">
        <v>194</v>
      </c>
      <c r="C168" s="41" t="s">
        <v>337</v>
      </c>
      <c r="D168" s="40"/>
      <c r="E168" s="24"/>
      <c r="F168" s="39"/>
      <c r="G168" s="24">
        <v>33999998</v>
      </c>
      <c r="H168" s="23">
        <v>5.0000000000000001E-3</v>
      </c>
      <c r="I168" s="39">
        <v>44545</v>
      </c>
      <c r="J168" s="39">
        <v>44561</v>
      </c>
      <c r="K168" s="24">
        <v>17</v>
      </c>
      <c r="L168" s="24">
        <v>7918</v>
      </c>
      <c r="M168" s="24"/>
      <c r="N168" s="39">
        <v>46202</v>
      </c>
    </row>
    <row r="169" spans="1:14" s="5" customFormat="1" outlineLevel="2">
      <c r="A169" s="39" t="s">
        <v>78</v>
      </c>
      <c r="B169" s="40" t="s">
        <v>195</v>
      </c>
      <c r="C169" s="41" t="s">
        <v>85</v>
      </c>
      <c r="D169" s="40" t="s">
        <v>86</v>
      </c>
      <c r="E169" s="24">
        <v>50000000</v>
      </c>
      <c r="F169" s="39">
        <v>44349</v>
      </c>
      <c r="G169" s="24">
        <v>50000000</v>
      </c>
      <c r="H169" s="23">
        <v>5.0000000000000001E-3</v>
      </c>
      <c r="I169" s="39">
        <v>44531</v>
      </c>
      <c r="J169" s="39">
        <v>44561</v>
      </c>
      <c r="K169" s="24">
        <v>31</v>
      </c>
      <c r="L169" s="24">
        <v>21233</v>
      </c>
      <c r="M169" s="24">
        <v>50000000</v>
      </c>
      <c r="N169" s="39">
        <v>46174</v>
      </c>
    </row>
    <row r="170" spans="1:14" s="5" customFormat="1" outlineLevel="2">
      <c r="A170" s="39" t="s">
        <v>78</v>
      </c>
      <c r="B170" s="40" t="s">
        <v>64</v>
      </c>
      <c r="C170" s="41" t="s">
        <v>83</v>
      </c>
      <c r="D170" s="40" t="s">
        <v>84</v>
      </c>
      <c r="E170" s="24">
        <v>73910000</v>
      </c>
      <c r="F170" s="39">
        <v>44032</v>
      </c>
      <c r="G170" s="24">
        <v>73910000</v>
      </c>
      <c r="H170" s="23">
        <v>5.0000000000000001E-3</v>
      </c>
      <c r="I170" s="39">
        <v>44531</v>
      </c>
      <c r="J170" s="39">
        <v>44561</v>
      </c>
      <c r="K170" s="24">
        <v>31</v>
      </c>
      <c r="L170" s="24">
        <v>31386</v>
      </c>
      <c r="M170" s="24">
        <v>73910000</v>
      </c>
      <c r="N170" s="39">
        <v>45857</v>
      </c>
    </row>
    <row r="171" spans="1:14" s="5" customFormat="1" outlineLevel="2">
      <c r="A171" s="39" t="s">
        <v>78</v>
      </c>
      <c r="B171" s="40" t="s">
        <v>196</v>
      </c>
      <c r="C171" s="41" t="s">
        <v>91</v>
      </c>
      <c r="D171" s="40" t="s">
        <v>92</v>
      </c>
      <c r="E171" s="24">
        <v>23000000</v>
      </c>
      <c r="F171" s="39">
        <v>44365</v>
      </c>
      <c r="G171" s="24">
        <v>23000000</v>
      </c>
      <c r="H171" s="23">
        <v>5.0000000000000001E-3</v>
      </c>
      <c r="I171" s="39">
        <v>44531</v>
      </c>
      <c r="J171" s="39">
        <v>44561</v>
      </c>
      <c r="K171" s="24">
        <v>31</v>
      </c>
      <c r="L171" s="24">
        <v>9767</v>
      </c>
      <c r="M171" s="24">
        <v>23000000</v>
      </c>
      <c r="N171" s="39">
        <v>46190</v>
      </c>
    </row>
    <row r="172" spans="1:14" s="5" customFormat="1" outlineLevel="2">
      <c r="A172" s="39" t="s">
        <v>78</v>
      </c>
      <c r="B172" s="40" t="s">
        <v>197</v>
      </c>
      <c r="C172" s="41" t="s">
        <v>93</v>
      </c>
      <c r="D172" s="40" t="s">
        <v>94</v>
      </c>
      <c r="E172" s="24">
        <v>20000000</v>
      </c>
      <c r="F172" s="39">
        <v>44378</v>
      </c>
      <c r="G172" s="24">
        <v>20000000</v>
      </c>
      <c r="H172" s="23">
        <v>5.0000000000000001E-3</v>
      </c>
      <c r="I172" s="39">
        <v>44531</v>
      </c>
      <c r="J172" s="39">
        <v>44561</v>
      </c>
      <c r="K172" s="24">
        <v>31</v>
      </c>
      <c r="L172" s="24">
        <v>8493</v>
      </c>
      <c r="M172" s="24">
        <v>20000000</v>
      </c>
      <c r="N172" s="39">
        <v>46203</v>
      </c>
    </row>
    <row r="173" spans="1:14" s="5" customFormat="1" outlineLevel="2">
      <c r="A173" s="39" t="s">
        <v>78</v>
      </c>
      <c r="B173" s="40" t="s">
        <v>198</v>
      </c>
      <c r="C173" s="41" t="s">
        <v>91</v>
      </c>
      <c r="D173" s="40" t="s">
        <v>92</v>
      </c>
      <c r="E173" s="24">
        <v>81100000</v>
      </c>
      <c r="F173" s="39">
        <v>44392</v>
      </c>
      <c r="G173" s="24">
        <v>81100000</v>
      </c>
      <c r="H173" s="23">
        <v>5.0000000000000001E-3</v>
      </c>
      <c r="I173" s="39">
        <v>44531</v>
      </c>
      <c r="J173" s="39">
        <v>44561</v>
      </c>
      <c r="K173" s="24">
        <v>31</v>
      </c>
      <c r="L173" s="24">
        <v>34440</v>
      </c>
      <c r="M173" s="24">
        <v>81100000</v>
      </c>
      <c r="N173" s="39">
        <v>46217</v>
      </c>
    </row>
    <row r="174" spans="1:14" s="5" customFormat="1" outlineLevel="2">
      <c r="A174" s="39" t="s">
        <v>78</v>
      </c>
      <c r="B174" s="40" t="s">
        <v>199</v>
      </c>
      <c r="C174" s="41" t="s">
        <v>91</v>
      </c>
      <c r="D174" s="40" t="s">
        <v>92</v>
      </c>
      <c r="E174" s="24">
        <v>34200000</v>
      </c>
      <c r="F174" s="39">
        <v>44392</v>
      </c>
      <c r="G174" s="24">
        <v>34200000</v>
      </c>
      <c r="H174" s="23">
        <v>5.0000000000000001E-3</v>
      </c>
      <c r="I174" s="39">
        <v>44531</v>
      </c>
      <c r="J174" s="39">
        <v>44561</v>
      </c>
      <c r="K174" s="24">
        <v>31</v>
      </c>
      <c r="L174" s="24">
        <v>14523</v>
      </c>
      <c r="M174" s="24">
        <v>34200000</v>
      </c>
      <c r="N174" s="39">
        <v>46217</v>
      </c>
    </row>
    <row r="175" spans="1:14" s="5" customFormat="1" outlineLevel="2">
      <c r="A175" s="39" t="s">
        <v>78</v>
      </c>
      <c r="B175" s="40" t="s">
        <v>200</v>
      </c>
      <c r="C175" s="41" t="s">
        <v>93</v>
      </c>
      <c r="D175" s="40" t="s">
        <v>94</v>
      </c>
      <c r="E175" s="24">
        <v>656620</v>
      </c>
      <c r="F175" s="39">
        <v>44418</v>
      </c>
      <c r="G175" s="24">
        <v>656620</v>
      </c>
      <c r="H175" s="23">
        <v>5.0000000000000001E-3</v>
      </c>
      <c r="I175" s="39">
        <v>44531</v>
      </c>
      <c r="J175" s="39">
        <v>44561</v>
      </c>
      <c r="K175" s="24">
        <v>31</v>
      </c>
      <c r="L175" s="24">
        <v>279</v>
      </c>
      <c r="M175" s="24">
        <v>656620</v>
      </c>
      <c r="N175" s="39">
        <v>46243</v>
      </c>
    </row>
    <row r="176" spans="1:14" s="5" customFormat="1" outlineLevel="2">
      <c r="A176" s="39" t="s">
        <v>78</v>
      </c>
      <c r="B176" s="40" t="s">
        <v>201</v>
      </c>
      <c r="C176" s="41" t="s">
        <v>93</v>
      </c>
      <c r="D176" s="40" t="s">
        <v>94</v>
      </c>
      <c r="E176" s="24">
        <v>1901460</v>
      </c>
      <c r="F176" s="39">
        <v>44433</v>
      </c>
      <c r="G176" s="24">
        <v>1901460</v>
      </c>
      <c r="H176" s="23">
        <v>5.0000000000000001E-3</v>
      </c>
      <c r="I176" s="39">
        <v>44531</v>
      </c>
      <c r="J176" s="39">
        <v>44561</v>
      </c>
      <c r="K176" s="24">
        <v>31</v>
      </c>
      <c r="L176" s="24">
        <v>807</v>
      </c>
      <c r="M176" s="24">
        <v>1901460</v>
      </c>
      <c r="N176" s="39">
        <v>46258</v>
      </c>
    </row>
    <row r="177" spans="1:14" s="5" customFormat="1" outlineLevel="2">
      <c r="A177" s="39" t="s">
        <v>78</v>
      </c>
      <c r="B177" s="40" t="s">
        <v>202</v>
      </c>
      <c r="C177" s="41" t="s">
        <v>93</v>
      </c>
      <c r="D177" s="40" t="s">
        <v>94</v>
      </c>
      <c r="E177" s="24">
        <v>217052</v>
      </c>
      <c r="F177" s="39">
        <v>44435</v>
      </c>
      <c r="G177" s="24">
        <v>217052</v>
      </c>
      <c r="H177" s="23">
        <v>5.0000000000000001E-3</v>
      </c>
      <c r="I177" s="39">
        <v>44531</v>
      </c>
      <c r="J177" s="39">
        <v>44561</v>
      </c>
      <c r="K177" s="24">
        <v>31</v>
      </c>
      <c r="L177" s="24">
        <v>92</v>
      </c>
      <c r="M177" s="24">
        <v>217052</v>
      </c>
      <c r="N177" s="39">
        <v>46260</v>
      </c>
    </row>
    <row r="178" spans="1:14" s="5" customFormat="1" outlineLevel="2">
      <c r="A178" s="39" t="s">
        <v>78</v>
      </c>
      <c r="B178" s="40" t="s">
        <v>203</v>
      </c>
      <c r="C178" s="41" t="s">
        <v>93</v>
      </c>
      <c r="D178" s="40" t="s">
        <v>94</v>
      </c>
      <c r="E178" s="24">
        <v>270720</v>
      </c>
      <c r="F178" s="39">
        <v>44435</v>
      </c>
      <c r="G178" s="24">
        <v>270720</v>
      </c>
      <c r="H178" s="23">
        <v>5.0000000000000001E-3</v>
      </c>
      <c r="I178" s="39">
        <v>44531</v>
      </c>
      <c r="J178" s="39">
        <v>44561</v>
      </c>
      <c r="K178" s="24">
        <v>31</v>
      </c>
      <c r="L178" s="24">
        <v>115</v>
      </c>
      <c r="M178" s="24">
        <v>270720</v>
      </c>
      <c r="N178" s="39">
        <v>46260</v>
      </c>
    </row>
    <row r="179" spans="1:14" s="5" customFormat="1" outlineLevel="2">
      <c r="A179" s="39" t="s">
        <v>78</v>
      </c>
      <c r="B179" s="40" t="s">
        <v>204</v>
      </c>
      <c r="C179" s="41" t="s">
        <v>93</v>
      </c>
      <c r="D179" s="40" t="s">
        <v>94</v>
      </c>
      <c r="E179" s="24">
        <v>6174000</v>
      </c>
      <c r="F179" s="39">
        <v>44428</v>
      </c>
      <c r="G179" s="24">
        <v>6174000</v>
      </c>
      <c r="H179" s="23">
        <v>5.0000000000000001E-3</v>
      </c>
      <c r="I179" s="39">
        <v>44531</v>
      </c>
      <c r="J179" s="39">
        <v>44544</v>
      </c>
      <c r="K179" s="24">
        <v>14</v>
      </c>
      <c r="L179" s="24">
        <v>1184</v>
      </c>
      <c r="M179" s="24">
        <v>6088250</v>
      </c>
      <c r="N179" s="39">
        <v>46253</v>
      </c>
    </row>
    <row r="180" spans="1:14" s="5" customFormat="1" outlineLevel="2">
      <c r="A180" s="39" t="s">
        <v>78</v>
      </c>
      <c r="B180" s="40" t="s">
        <v>204</v>
      </c>
      <c r="C180" s="41" t="s">
        <v>93</v>
      </c>
      <c r="D180" s="40"/>
      <c r="E180" s="24"/>
      <c r="F180" s="39"/>
      <c r="G180" s="24">
        <v>6088250</v>
      </c>
      <c r="H180" s="23">
        <v>5.0000000000000001E-3</v>
      </c>
      <c r="I180" s="39">
        <v>44545</v>
      </c>
      <c r="J180" s="39">
        <v>44561</v>
      </c>
      <c r="K180" s="24">
        <v>17</v>
      </c>
      <c r="L180" s="24">
        <v>1418</v>
      </c>
      <c r="M180" s="24"/>
      <c r="N180" s="39">
        <v>46253</v>
      </c>
    </row>
    <row r="181" spans="1:14" s="5" customFormat="1" outlineLevel="2">
      <c r="A181" s="39" t="s">
        <v>78</v>
      </c>
      <c r="B181" s="40" t="s">
        <v>205</v>
      </c>
      <c r="C181" s="41" t="s">
        <v>89</v>
      </c>
      <c r="D181" s="40" t="s">
        <v>90</v>
      </c>
      <c r="E181" s="24">
        <v>90000000</v>
      </c>
      <c r="F181" s="39">
        <v>44424</v>
      </c>
      <c r="G181" s="24">
        <v>90000000</v>
      </c>
      <c r="H181" s="23">
        <v>5.0000000000000001E-3</v>
      </c>
      <c r="I181" s="39">
        <v>44531</v>
      </c>
      <c r="J181" s="39">
        <v>44561</v>
      </c>
      <c r="K181" s="24">
        <v>31</v>
      </c>
      <c r="L181" s="24">
        <v>38219</v>
      </c>
      <c r="M181" s="24">
        <v>90000000</v>
      </c>
      <c r="N181" s="39">
        <v>46249</v>
      </c>
    </row>
    <row r="182" spans="1:14" s="5" customFormat="1" outlineLevel="2">
      <c r="A182" s="39" t="s">
        <v>78</v>
      </c>
      <c r="B182" s="40" t="s">
        <v>65</v>
      </c>
      <c r="C182" s="41" t="s">
        <v>83</v>
      </c>
      <c r="D182" s="40" t="s">
        <v>84</v>
      </c>
      <c r="E182" s="24">
        <v>291200000</v>
      </c>
      <c r="F182" s="39">
        <v>44032</v>
      </c>
      <c r="G182" s="24">
        <v>291200000</v>
      </c>
      <c r="H182" s="23">
        <v>3.0000000000000001E-3</v>
      </c>
      <c r="I182" s="39">
        <v>44531</v>
      </c>
      <c r="J182" s="39">
        <v>44561</v>
      </c>
      <c r="K182" s="24">
        <v>31</v>
      </c>
      <c r="L182" s="24">
        <v>74196</v>
      </c>
      <c r="M182" s="24">
        <v>291200000</v>
      </c>
      <c r="N182" s="39">
        <v>45857</v>
      </c>
    </row>
    <row r="183" spans="1:14" s="5" customFormat="1" outlineLevel="2">
      <c r="A183" s="39" t="s">
        <v>78</v>
      </c>
      <c r="B183" s="40" t="s">
        <v>206</v>
      </c>
      <c r="C183" s="41" t="s">
        <v>91</v>
      </c>
      <c r="D183" s="40" t="s">
        <v>92</v>
      </c>
      <c r="E183" s="24">
        <v>55900000</v>
      </c>
      <c r="F183" s="39">
        <v>44428</v>
      </c>
      <c r="G183" s="24">
        <v>55900000</v>
      </c>
      <c r="H183" s="23">
        <v>5.0000000000000001E-3</v>
      </c>
      <c r="I183" s="39">
        <v>44531</v>
      </c>
      <c r="J183" s="39">
        <v>44561</v>
      </c>
      <c r="K183" s="24">
        <v>31</v>
      </c>
      <c r="L183" s="24">
        <v>23738</v>
      </c>
      <c r="M183" s="24">
        <v>55900000</v>
      </c>
      <c r="N183" s="39">
        <v>46253</v>
      </c>
    </row>
    <row r="184" spans="1:14" s="5" customFormat="1" outlineLevel="2">
      <c r="A184" s="39" t="s">
        <v>78</v>
      </c>
      <c r="B184" s="40" t="s">
        <v>207</v>
      </c>
      <c r="C184" s="41" t="s">
        <v>97</v>
      </c>
      <c r="D184" s="40" t="s">
        <v>98</v>
      </c>
      <c r="E184" s="24">
        <v>16000000</v>
      </c>
      <c r="F184" s="39">
        <v>44413</v>
      </c>
      <c r="G184" s="24">
        <v>16000000</v>
      </c>
      <c r="H184" s="23">
        <v>5.0000000000000001E-3</v>
      </c>
      <c r="I184" s="39">
        <v>44531</v>
      </c>
      <c r="J184" s="39">
        <v>44561</v>
      </c>
      <c r="K184" s="24">
        <v>31</v>
      </c>
      <c r="L184" s="24">
        <v>6795</v>
      </c>
      <c r="M184" s="24">
        <v>16000000</v>
      </c>
      <c r="N184" s="39">
        <v>46238</v>
      </c>
    </row>
    <row r="185" spans="1:14" s="5" customFormat="1" outlineLevel="2">
      <c r="A185" s="39" t="s">
        <v>78</v>
      </c>
      <c r="B185" s="40" t="s">
        <v>208</v>
      </c>
      <c r="C185" s="41" t="s">
        <v>85</v>
      </c>
      <c r="D185" s="40" t="s">
        <v>86</v>
      </c>
      <c r="E185" s="24">
        <v>35280000</v>
      </c>
      <c r="F185" s="39">
        <v>44411</v>
      </c>
      <c r="G185" s="24">
        <v>35280000</v>
      </c>
      <c r="H185" s="23">
        <v>5.0000000000000001E-3</v>
      </c>
      <c r="I185" s="39">
        <v>44531</v>
      </c>
      <c r="J185" s="39">
        <v>44561</v>
      </c>
      <c r="K185" s="24">
        <v>31</v>
      </c>
      <c r="L185" s="24">
        <v>14982</v>
      </c>
      <c r="M185" s="24">
        <v>35280000</v>
      </c>
      <c r="N185" s="39">
        <v>46236</v>
      </c>
    </row>
    <row r="186" spans="1:14" s="5" customFormat="1" outlineLevel="2">
      <c r="A186" s="39" t="s">
        <v>78</v>
      </c>
      <c r="B186" s="40" t="s">
        <v>209</v>
      </c>
      <c r="C186" s="41" t="s">
        <v>337</v>
      </c>
      <c r="D186" s="40" t="s">
        <v>336</v>
      </c>
      <c r="E186" s="24">
        <v>18000000</v>
      </c>
      <c r="F186" s="39">
        <v>44410</v>
      </c>
      <c r="G186" s="24">
        <v>16714284</v>
      </c>
      <c r="H186" s="23">
        <v>5.0000000000000001E-3</v>
      </c>
      <c r="I186" s="39">
        <v>44531</v>
      </c>
      <c r="J186" s="39">
        <v>44544</v>
      </c>
      <c r="K186" s="24">
        <v>14</v>
      </c>
      <c r="L186" s="24">
        <v>3205</v>
      </c>
      <c r="M186" s="24">
        <v>16392855</v>
      </c>
      <c r="N186" s="39">
        <v>46235</v>
      </c>
    </row>
    <row r="187" spans="1:14" s="5" customFormat="1" outlineLevel="2">
      <c r="A187" s="39" t="s">
        <v>78</v>
      </c>
      <c r="B187" s="40" t="s">
        <v>209</v>
      </c>
      <c r="C187" s="41" t="s">
        <v>337</v>
      </c>
      <c r="D187" s="40"/>
      <c r="E187" s="24"/>
      <c r="F187" s="39"/>
      <c r="G187" s="24">
        <v>16392855</v>
      </c>
      <c r="H187" s="23">
        <v>5.0000000000000001E-3</v>
      </c>
      <c r="I187" s="39">
        <v>44545</v>
      </c>
      <c r="J187" s="39">
        <v>44561</v>
      </c>
      <c r="K187" s="24">
        <v>17</v>
      </c>
      <c r="L187" s="24">
        <v>3818</v>
      </c>
      <c r="M187" s="24"/>
      <c r="N187" s="39">
        <v>46235</v>
      </c>
    </row>
    <row r="188" spans="1:14" s="5" customFormat="1" outlineLevel="2">
      <c r="A188" s="39" t="s">
        <v>78</v>
      </c>
      <c r="B188" s="40" t="s">
        <v>210</v>
      </c>
      <c r="C188" s="41" t="s">
        <v>337</v>
      </c>
      <c r="D188" s="40" t="s">
        <v>336</v>
      </c>
      <c r="E188" s="24">
        <v>20000000</v>
      </c>
      <c r="F188" s="39">
        <v>44439</v>
      </c>
      <c r="G188" s="24">
        <v>18909089</v>
      </c>
      <c r="H188" s="23">
        <v>5.0000000000000001E-3</v>
      </c>
      <c r="I188" s="39">
        <v>44531</v>
      </c>
      <c r="J188" s="39">
        <v>44544</v>
      </c>
      <c r="K188" s="24">
        <v>14</v>
      </c>
      <c r="L188" s="24">
        <v>3626</v>
      </c>
      <c r="M188" s="24">
        <v>18545452</v>
      </c>
      <c r="N188" s="39">
        <v>46264</v>
      </c>
    </row>
    <row r="189" spans="1:14" s="5" customFormat="1" outlineLevel="2">
      <c r="A189" s="39" t="s">
        <v>78</v>
      </c>
      <c r="B189" s="40" t="s">
        <v>210</v>
      </c>
      <c r="C189" s="41" t="s">
        <v>337</v>
      </c>
      <c r="D189" s="40"/>
      <c r="E189" s="24"/>
      <c r="F189" s="39"/>
      <c r="G189" s="24">
        <v>18545452</v>
      </c>
      <c r="H189" s="23">
        <v>5.0000000000000001E-3</v>
      </c>
      <c r="I189" s="39">
        <v>44545</v>
      </c>
      <c r="J189" s="39">
        <v>44561</v>
      </c>
      <c r="K189" s="24">
        <v>17</v>
      </c>
      <c r="L189" s="24">
        <v>4319</v>
      </c>
      <c r="M189" s="24"/>
      <c r="N189" s="39">
        <v>46264</v>
      </c>
    </row>
    <row r="190" spans="1:14" s="5" customFormat="1" outlineLevel="2">
      <c r="A190" s="39" t="s">
        <v>78</v>
      </c>
      <c r="B190" s="40" t="s">
        <v>211</v>
      </c>
      <c r="C190" s="41" t="s">
        <v>93</v>
      </c>
      <c r="D190" s="40" t="s">
        <v>94</v>
      </c>
      <c r="E190" s="24">
        <v>116395</v>
      </c>
      <c r="F190" s="39">
        <v>44449</v>
      </c>
      <c r="G190" s="24">
        <v>116395</v>
      </c>
      <c r="H190" s="23">
        <v>5.0000000000000001E-3</v>
      </c>
      <c r="I190" s="39">
        <v>44531</v>
      </c>
      <c r="J190" s="39">
        <v>44561</v>
      </c>
      <c r="K190" s="24">
        <v>31</v>
      </c>
      <c r="L190" s="24">
        <v>49</v>
      </c>
      <c r="M190" s="24">
        <v>116395</v>
      </c>
      <c r="N190" s="39">
        <v>46274</v>
      </c>
    </row>
    <row r="191" spans="1:14" s="5" customFormat="1" outlineLevel="2">
      <c r="A191" s="39" t="s">
        <v>78</v>
      </c>
      <c r="B191" s="40" t="s">
        <v>212</v>
      </c>
      <c r="C191" s="41" t="s">
        <v>93</v>
      </c>
      <c r="D191" s="40" t="s">
        <v>94</v>
      </c>
      <c r="E191" s="24">
        <v>541441</v>
      </c>
      <c r="F191" s="39">
        <v>44456</v>
      </c>
      <c r="G191" s="24">
        <v>541441</v>
      </c>
      <c r="H191" s="23">
        <v>5.0000000000000001E-3</v>
      </c>
      <c r="I191" s="39">
        <v>44531</v>
      </c>
      <c r="J191" s="39">
        <v>44561</v>
      </c>
      <c r="K191" s="24">
        <v>31</v>
      </c>
      <c r="L191" s="24">
        <v>230</v>
      </c>
      <c r="M191" s="24">
        <v>541441</v>
      </c>
      <c r="N191" s="39">
        <v>46281</v>
      </c>
    </row>
    <row r="192" spans="1:14" s="5" customFormat="1" outlineLevel="2">
      <c r="A192" s="39" t="s">
        <v>78</v>
      </c>
      <c r="B192" s="40" t="s">
        <v>213</v>
      </c>
      <c r="C192" s="41" t="s">
        <v>93</v>
      </c>
      <c r="D192" s="40" t="s">
        <v>94</v>
      </c>
      <c r="E192" s="24">
        <v>271956</v>
      </c>
      <c r="F192" s="39">
        <v>44463</v>
      </c>
      <c r="G192" s="24">
        <v>271956</v>
      </c>
      <c r="H192" s="23">
        <v>5.0000000000000001E-3</v>
      </c>
      <c r="I192" s="39">
        <v>44531</v>
      </c>
      <c r="J192" s="39">
        <v>44561</v>
      </c>
      <c r="K192" s="24">
        <v>31</v>
      </c>
      <c r="L192" s="24">
        <v>115</v>
      </c>
      <c r="M192" s="24">
        <v>271956</v>
      </c>
      <c r="N192" s="39">
        <v>46288</v>
      </c>
    </row>
    <row r="193" spans="1:14" s="5" customFormat="1" outlineLevel="2">
      <c r="A193" s="39" t="s">
        <v>78</v>
      </c>
      <c r="B193" s="40" t="s">
        <v>214</v>
      </c>
      <c r="C193" s="41" t="s">
        <v>83</v>
      </c>
      <c r="D193" s="40" t="s">
        <v>84</v>
      </c>
      <c r="E193" s="24">
        <v>82000000</v>
      </c>
      <c r="F193" s="39">
        <v>44463</v>
      </c>
      <c r="G193" s="24">
        <v>82000000</v>
      </c>
      <c r="H193" s="23">
        <v>5.0000000000000001E-3</v>
      </c>
      <c r="I193" s="39">
        <v>44531</v>
      </c>
      <c r="J193" s="39">
        <v>44561</v>
      </c>
      <c r="K193" s="24">
        <v>31</v>
      </c>
      <c r="L193" s="24">
        <v>34822</v>
      </c>
      <c r="M193" s="24">
        <v>82000000</v>
      </c>
      <c r="N193" s="39">
        <v>46288</v>
      </c>
    </row>
    <row r="194" spans="1:14" s="5" customFormat="1" outlineLevel="2">
      <c r="A194" s="39" t="s">
        <v>78</v>
      </c>
      <c r="B194" s="40" t="s">
        <v>215</v>
      </c>
      <c r="C194" s="41" t="s">
        <v>85</v>
      </c>
      <c r="D194" s="40" t="s">
        <v>86</v>
      </c>
      <c r="E194" s="24">
        <v>177410000</v>
      </c>
      <c r="F194" s="39">
        <v>44463</v>
      </c>
      <c r="G194" s="24">
        <v>177410000</v>
      </c>
      <c r="H194" s="23">
        <v>5.0000000000000001E-3</v>
      </c>
      <c r="I194" s="39">
        <v>44531</v>
      </c>
      <c r="J194" s="39">
        <v>44561</v>
      </c>
      <c r="K194" s="24">
        <v>31</v>
      </c>
      <c r="L194" s="24">
        <v>75338</v>
      </c>
      <c r="M194" s="24">
        <v>177410000</v>
      </c>
      <c r="N194" s="39">
        <v>46288</v>
      </c>
    </row>
    <row r="195" spans="1:14" s="5" customFormat="1" outlineLevel="2">
      <c r="A195" s="39" t="s">
        <v>78</v>
      </c>
      <c r="B195" s="40" t="s">
        <v>68</v>
      </c>
      <c r="C195" s="41" t="s">
        <v>81</v>
      </c>
      <c r="D195" s="40" t="s">
        <v>82</v>
      </c>
      <c r="E195" s="24">
        <v>10000000</v>
      </c>
      <c r="F195" s="39">
        <v>44025</v>
      </c>
      <c r="G195" s="24">
        <v>7288128</v>
      </c>
      <c r="H195" s="23">
        <v>5.0000000000000001E-3</v>
      </c>
      <c r="I195" s="39">
        <v>44531</v>
      </c>
      <c r="J195" s="39">
        <v>44544</v>
      </c>
      <c r="K195" s="24">
        <v>14</v>
      </c>
      <c r="L195" s="24">
        <v>1398</v>
      </c>
      <c r="M195" s="24">
        <v>7118636</v>
      </c>
      <c r="N195" s="39">
        <v>45850</v>
      </c>
    </row>
    <row r="196" spans="1:14" s="5" customFormat="1" outlineLevel="2">
      <c r="A196" s="39" t="s">
        <v>78</v>
      </c>
      <c r="B196" s="40" t="s">
        <v>68</v>
      </c>
      <c r="C196" s="41" t="s">
        <v>81</v>
      </c>
      <c r="D196" s="40"/>
      <c r="E196" s="24"/>
      <c r="F196" s="39"/>
      <c r="G196" s="24">
        <v>7118636</v>
      </c>
      <c r="H196" s="23">
        <v>5.0000000000000001E-3</v>
      </c>
      <c r="I196" s="39">
        <v>44545</v>
      </c>
      <c r="J196" s="39">
        <v>44561</v>
      </c>
      <c r="K196" s="24">
        <v>17</v>
      </c>
      <c r="L196" s="24">
        <v>1658</v>
      </c>
      <c r="M196" s="24"/>
      <c r="N196" s="39">
        <v>45850</v>
      </c>
    </row>
    <row r="197" spans="1:14" s="5" customFormat="1" outlineLevel="2">
      <c r="A197" s="39" t="s">
        <v>78</v>
      </c>
      <c r="B197" s="40" t="s">
        <v>216</v>
      </c>
      <c r="C197" s="41" t="s">
        <v>91</v>
      </c>
      <c r="D197" s="40" t="s">
        <v>92</v>
      </c>
      <c r="E197" s="24">
        <v>20300000</v>
      </c>
      <c r="F197" s="39">
        <v>44477</v>
      </c>
      <c r="G197" s="24">
        <v>20300000</v>
      </c>
      <c r="H197" s="23">
        <v>5.0000000000000001E-3</v>
      </c>
      <c r="I197" s="39">
        <v>44531</v>
      </c>
      <c r="J197" s="39">
        <v>44561</v>
      </c>
      <c r="K197" s="24">
        <v>31</v>
      </c>
      <c r="L197" s="24">
        <v>8621</v>
      </c>
      <c r="M197" s="24">
        <v>20300000</v>
      </c>
      <c r="N197" s="39">
        <v>46302</v>
      </c>
    </row>
    <row r="198" spans="1:14" s="5" customFormat="1" outlineLevel="2">
      <c r="A198" s="39" t="s">
        <v>78</v>
      </c>
      <c r="B198" s="40" t="s">
        <v>217</v>
      </c>
      <c r="C198" s="41" t="s">
        <v>91</v>
      </c>
      <c r="D198" s="40" t="s">
        <v>92</v>
      </c>
      <c r="E198" s="24">
        <v>40800000</v>
      </c>
      <c r="F198" s="39">
        <v>44477</v>
      </c>
      <c r="G198" s="24">
        <v>40800000</v>
      </c>
      <c r="H198" s="23">
        <v>5.0000000000000001E-3</v>
      </c>
      <c r="I198" s="39">
        <v>44531</v>
      </c>
      <c r="J198" s="39">
        <v>44561</v>
      </c>
      <c r="K198" s="24">
        <v>31</v>
      </c>
      <c r="L198" s="24">
        <v>17326</v>
      </c>
      <c r="M198" s="24">
        <v>40800000</v>
      </c>
      <c r="N198" s="39">
        <v>46302</v>
      </c>
    </row>
    <row r="199" spans="1:14" s="5" customFormat="1" outlineLevel="2">
      <c r="A199" s="39" t="s">
        <v>78</v>
      </c>
      <c r="B199" s="40" t="s">
        <v>218</v>
      </c>
      <c r="C199" s="41" t="s">
        <v>93</v>
      </c>
      <c r="D199" s="40" t="s">
        <v>94</v>
      </c>
      <c r="E199" s="24">
        <v>6174000</v>
      </c>
      <c r="F199" s="39">
        <v>44477</v>
      </c>
      <c r="G199" s="24">
        <v>6174000</v>
      </c>
      <c r="H199" s="23">
        <v>5.0000000000000001E-3</v>
      </c>
      <c r="I199" s="39">
        <v>44531</v>
      </c>
      <c r="J199" s="39">
        <v>44544</v>
      </c>
      <c r="K199" s="24">
        <v>14</v>
      </c>
      <c r="L199" s="24">
        <v>1184</v>
      </c>
      <c r="M199" s="24">
        <v>6088250</v>
      </c>
      <c r="N199" s="39">
        <v>46302</v>
      </c>
    </row>
    <row r="200" spans="1:14" s="5" customFormat="1" outlineLevel="2">
      <c r="A200" s="39" t="s">
        <v>78</v>
      </c>
      <c r="B200" s="40" t="s">
        <v>218</v>
      </c>
      <c r="C200" s="41" t="s">
        <v>93</v>
      </c>
      <c r="D200" s="40"/>
      <c r="E200" s="24"/>
      <c r="F200" s="39"/>
      <c r="G200" s="24">
        <v>6088250</v>
      </c>
      <c r="H200" s="23">
        <v>5.0000000000000001E-3</v>
      </c>
      <c r="I200" s="39">
        <v>44545</v>
      </c>
      <c r="J200" s="39">
        <v>44561</v>
      </c>
      <c r="K200" s="24">
        <v>17</v>
      </c>
      <c r="L200" s="24">
        <v>1418</v>
      </c>
      <c r="M200" s="24"/>
      <c r="N200" s="39">
        <v>46302</v>
      </c>
    </row>
    <row r="201" spans="1:14" s="5" customFormat="1" outlineLevel="2">
      <c r="A201" s="39" t="s">
        <v>78</v>
      </c>
      <c r="B201" s="40" t="s">
        <v>221</v>
      </c>
      <c r="C201" s="41" t="s">
        <v>93</v>
      </c>
      <c r="D201" s="40" t="s">
        <v>94</v>
      </c>
      <c r="E201" s="24">
        <v>8325880</v>
      </c>
      <c r="F201" s="39">
        <v>44477</v>
      </c>
      <c r="G201" s="24">
        <v>8325880</v>
      </c>
      <c r="H201" s="23">
        <v>5.0000000000000001E-3</v>
      </c>
      <c r="I201" s="39">
        <v>44531</v>
      </c>
      <c r="J201" s="39">
        <v>44544</v>
      </c>
      <c r="K201" s="24">
        <v>14</v>
      </c>
      <c r="L201" s="24">
        <v>1597</v>
      </c>
      <c r="M201" s="24">
        <v>8210242</v>
      </c>
      <c r="N201" s="39">
        <v>46302</v>
      </c>
    </row>
    <row r="202" spans="1:14" s="5" customFormat="1" outlineLevel="2">
      <c r="A202" s="39" t="s">
        <v>78</v>
      </c>
      <c r="B202" s="40" t="s">
        <v>221</v>
      </c>
      <c r="C202" s="41" t="s">
        <v>93</v>
      </c>
      <c r="D202" s="40"/>
      <c r="E202" s="24"/>
      <c r="F202" s="39"/>
      <c r="G202" s="24">
        <v>8210242</v>
      </c>
      <c r="H202" s="23">
        <v>5.0000000000000001E-3</v>
      </c>
      <c r="I202" s="39">
        <v>44545</v>
      </c>
      <c r="J202" s="39">
        <v>44561</v>
      </c>
      <c r="K202" s="24">
        <v>17</v>
      </c>
      <c r="L202" s="24">
        <v>1912</v>
      </c>
      <c r="M202" s="24"/>
      <c r="N202" s="39">
        <v>46302</v>
      </c>
    </row>
    <row r="203" spans="1:14" s="5" customFormat="1" outlineLevel="2">
      <c r="A203" s="39" t="s">
        <v>78</v>
      </c>
      <c r="B203" s="40" t="s">
        <v>222</v>
      </c>
      <c r="C203" s="41" t="s">
        <v>93</v>
      </c>
      <c r="D203" s="40" t="s">
        <v>94</v>
      </c>
      <c r="E203" s="24">
        <v>635047</v>
      </c>
      <c r="F203" s="39">
        <v>44519</v>
      </c>
      <c r="G203" s="24">
        <v>635047</v>
      </c>
      <c r="H203" s="23">
        <v>5.0000000000000001E-3</v>
      </c>
      <c r="I203" s="39">
        <v>44531</v>
      </c>
      <c r="J203" s="39">
        <v>44561</v>
      </c>
      <c r="K203" s="24">
        <v>31</v>
      </c>
      <c r="L203" s="24">
        <v>270</v>
      </c>
      <c r="M203" s="24">
        <v>635047</v>
      </c>
      <c r="N203" s="39">
        <v>46344</v>
      </c>
    </row>
    <row r="204" spans="1:14" s="5" customFormat="1" outlineLevel="2">
      <c r="A204" s="39" t="s">
        <v>78</v>
      </c>
      <c r="B204" s="40" t="s">
        <v>223</v>
      </c>
      <c r="C204" s="41" t="s">
        <v>93</v>
      </c>
      <c r="D204" s="40" t="s">
        <v>94</v>
      </c>
      <c r="E204" s="24">
        <v>350992</v>
      </c>
      <c r="F204" s="39">
        <v>44526</v>
      </c>
      <c r="G204" s="24">
        <v>350992</v>
      </c>
      <c r="H204" s="23">
        <v>5.0000000000000001E-3</v>
      </c>
      <c r="I204" s="39">
        <v>44531</v>
      </c>
      <c r="J204" s="39">
        <v>44561</v>
      </c>
      <c r="K204" s="24">
        <v>31</v>
      </c>
      <c r="L204" s="24">
        <v>149</v>
      </c>
      <c r="M204" s="24">
        <v>350992</v>
      </c>
      <c r="N204" s="39">
        <v>46351</v>
      </c>
    </row>
    <row r="205" spans="1:14" s="5" customFormat="1" outlineLevel="2">
      <c r="A205" s="39" t="s">
        <v>78</v>
      </c>
      <c r="B205" s="40" t="s">
        <v>224</v>
      </c>
      <c r="C205" s="41" t="s">
        <v>351</v>
      </c>
      <c r="D205" s="40" t="s">
        <v>350</v>
      </c>
      <c r="E205" s="24">
        <v>13100000</v>
      </c>
      <c r="F205" s="39">
        <v>44550</v>
      </c>
      <c r="G205" s="24">
        <v>13100000</v>
      </c>
      <c r="H205" s="23">
        <v>5.0000000000000001E-3</v>
      </c>
      <c r="I205" s="39">
        <v>44550</v>
      </c>
      <c r="J205" s="39">
        <v>44561</v>
      </c>
      <c r="K205" s="24">
        <v>12</v>
      </c>
      <c r="L205" s="24">
        <v>2153</v>
      </c>
      <c r="M205" s="24">
        <v>13100000</v>
      </c>
      <c r="N205" s="39">
        <v>46375</v>
      </c>
    </row>
    <row r="206" spans="1:14" s="5" customFormat="1" outlineLevel="2">
      <c r="A206" s="39" t="s">
        <v>78</v>
      </c>
      <c r="B206" s="40" t="s">
        <v>225</v>
      </c>
      <c r="C206" s="41" t="s">
        <v>462</v>
      </c>
      <c r="D206" s="40" t="s">
        <v>461</v>
      </c>
      <c r="E206" s="24">
        <v>8000000</v>
      </c>
      <c r="F206" s="39">
        <v>44557</v>
      </c>
      <c r="G206" s="24">
        <v>8000000</v>
      </c>
      <c r="H206" s="23">
        <v>5.0000000000000001E-3</v>
      </c>
      <c r="I206" s="39">
        <v>44557</v>
      </c>
      <c r="J206" s="39">
        <v>44561</v>
      </c>
      <c r="K206" s="24">
        <v>5</v>
      </c>
      <c r="L206" s="24">
        <v>548</v>
      </c>
      <c r="M206" s="24">
        <v>8000000</v>
      </c>
      <c r="N206" s="39">
        <v>45652</v>
      </c>
    </row>
    <row r="207" spans="1:14" s="5" customFormat="1" outlineLevel="2">
      <c r="A207" s="39" t="s">
        <v>78</v>
      </c>
      <c r="B207" s="40" t="s">
        <v>226</v>
      </c>
      <c r="C207" s="41" t="s">
        <v>93</v>
      </c>
      <c r="D207" s="40" t="s">
        <v>94</v>
      </c>
      <c r="E207" s="24">
        <v>241358</v>
      </c>
      <c r="F207" s="39">
        <v>44540</v>
      </c>
      <c r="G207" s="24">
        <v>241358</v>
      </c>
      <c r="H207" s="23">
        <v>5.0000000000000001E-3</v>
      </c>
      <c r="I207" s="39">
        <v>44540</v>
      </c>
      <c r="J207" s="39">
        <v>44561</v>
      </c>
      <c r="K207" s="24">
        <v>22</v>
      </c>
      <c r="L207" s="24">
        <v>73</v>
      </c>
      <c r="M207" s="24">
        <v>241358</v>
      </c>
      <c r="N207" s="39">
        <v>46365</v>
      </c>
    </row>
    <row r="208" spans="1:14" s="5" customFormat="1" outlineLevel="2">
      <c r="A208" s="39" t="s">
        <v>78</v>
      </c>
      <c r="B208" s="40" t="s">
        <v>227</v>
      </c>
      <c r="C208" s="41" t="s">
        <v>93</v>
      </c>
      <c r="D208" s="40" t="s">
        <v>94</v>
      </c>
      <c r="E208" s="24">
        <v>860517</v>
      </c>
      <c r="F208" s="39">
        <v>44557</v>
      </c>
      <c r="G208" s="24">
        <v>860517</v>
      </c>
      <c r="H208" s="23">
        <v>5.0000000000000001E-3</v>
      </c>
      <c r="I208" s="39">
        <v>44557</v>
      </c>
      <c r="J208" s="39">
        <v>44561</v>
      </c>
      <c r="K208" s="24">
        <v>5</v>
      </c>
      <c r="L208" s="24">
        <v>59</v>
      </c>
      <c r="M208" s="24">
        <v>860517</v>
      </c>
      <c r="N208" s="39">
        <v>46382</v>
      </c>
    </row>
    <row r="209" spans="1:14" s="5" customFormat="1" outlineLevel="1">
      <c r="A209" s="42" t="s">
        <v>107</v>
      </c>
      <c r="B209" s="43"/>
      <c r="C209" s="44"/>
      <c r="D209" s="43"/>
      <c r="E209" s="45">
        <v>4779706847</v>
      </c>
      <c r="F209" s="46"/>
      <c r="G209" s="45"/>
      <c r="H209" s="47"/>
      <c r="I209" s="46"/>
      <c r="J209" s="46"/>
      <c r="K209" s="45"/>
      <c r="L209" s="45">
        <v>1800238</v>
      </c>
      <c r="M209" s="45">
        <v>4711445894</v>
      </c>
      <c r="N209" s="46"/>
    </row>
    <row r="210" spans="1:14" s="5" customFormat="1" outlineLevel="2">
      <c r="A210" s="39" t="s">
        <v>108</v>
      </c>
      <c r="B210" s="40" t="s">
        <v>16</v>
      </c>
      <c r="C210" s="41" t="s">
        <v>109</v>
      </c>
      <c r="D210" s="40" t="s">
        <v>110</v>
      </c>
      <c r="E210" s="24">
        <v>81465386</v>
      </c>
      <c r="F210" s="39">
        <v>43900</v>
      </c>
      <c r="G210" s="24">
        <v>81465386</v>
      </c>
      <c r="H210" s="23">
        <v>5.0000000000000001E-3</v>
      </c>
      <c r="I210" s="39">
        <v>44531</v>
      </c>
      <c r="J210" s="39">
        <v>44561</v>
      </c>
      <c r="K210" s="24">
        <v>31</v>
      </c>
      <c r="L210" s="24">
        <v>34595</v>
      </c>
      <c r="M210" s="24">
        <v>81465386</v>
      </c>
      <c r="N210" s="39">
        <v>45725</v>
      </c>
    </row>
    <row r="211" spans="1:14" s="5" customFormat="1" outlineLevel="2">
      <c r="A211" s="39" t="s">
        <v>108</v>
      </c>
      <c r="B211" s="40" t="s">
        <v>19</v>
      </c>
      <c r="C211" s="41" t="s">
        <v>111</v>
      </c>
      <c r="D211" s="40" t="s">
        <v>112</v>
      </c>
      <c r="E211" s="24">
        <v>8860000</v>
      </c>
      <c r="F211" s="39">
        <v>43997</v>
      </c>
      <c r="G211" s="24">
        <v>8860000</v>
      </c>
      <c r="H211" s="23">
        <v>5.0000000000000001E-3</v>
      </c>
      <c r="I211" s="39">
        <v>44531</v>
      </c>
      <c r="J211" s="39">
        <v>44561</v>
      </c>
      <c r="K211" s="24">
        <v>31</v>
      </c>
      <c r="L211" s="24">
        <v>3762</v>
      </c>
      <c r="M211" s="24">
        <v>8860000</v>
      </c>
      <c r="N211" s="39">
        <v>45822</v>
      </c>
    </row>
    <row r="212" spans="1:14" s="5" customFormat="1" outlineLevel="2">
      <c r="A212" s="39" t="s">
        <v>108</v>
      </c>
      <c r="B212" s="40" t="s">
        <v>22</v>
      </c>
      <c r="C212" s="41" t="s">
        <v>113</v>
      </c>
      <c r="D212" s="40" t="s">
        <v>114</v>
      </c>
      <c r="E212" s="24">
        <v>20390000</v>
      </c>
      <c r="F212" s="39">
        <v>43997</v>
      </c>
      <c r="G212" s="24">
        <v>16162814</v>
      </c>
      <c r="H212" s="23">
        <v>5.0000000000000001E-3</v>
      </c>
      <c r="I212" s="39">
        <v>44531</v>
      </c>
      <c r="J212" s="39">
        <v>44544</v>
      </c>
      <c r="K212" s="24">
        <v>14</v>
      </c>
      <c r="L212" s="24">
        <v>3100</v>
      </c>
      <c r="M212" s="24">
        <v>15914156</v>
      </c>
      <c r="N212" s="39">
        <v>45822</v>
      </c>
    </row>
    <row r="213" spans="1:14" s="5" customFormat="1" outlineLevel="2">
      <c r="A213" s="39" t="s">
        <v>108</v>
      </c>
      <c r="B213" s="40" t="s">
        <v>22</v>
      </c>
      <c r="C213" s="41" t="s">
        <v>113</v>
      </c>
      <c r="D213" s="40"/>
      <c r="E213" s="24"/>
      <c r="F213" s="39"/>
      <c r="G213" s="24">
        <v>15914156</v>
      </c>
      <c r="H213" s="23">
        <v>5.0000000000000001E-3</v>
      </c>
      <c r="I213" s="39">
        <v>44545</v>
      </c>
      <c r="J213" s="39">
        <v>44561</v>
      </c>
      <c r="K213" s="24">
        <v>17</v>
      </c>
      <c r="L213" s="24">
        <v>3706</v>
      </c>
      <c r="M213" s="24"/>
      <c r="N213" s="39">
        <v>45822</v>
      </c>
    </row>
    <row r="214" spans="1:14" s="5" customFormat="1" outlineLevel="2">
      <c r="A214" s="39" t="s">
        <v>108</v>
      </c>
      <c r="B214" s="40" t="s">
        <v>25</v>
      </c>
      <c r="C214" s="41" t="s">
        <v>113</v>
      </c>
      <c r="D214" s="40" t="s">
        <v>114</v>
      </c>
      <c r="E214" s="24">
        <v>69600000</v>
      </c>
      <c r="F214" s="39">
        <v>43997</v>
      </c>
      <c r="G214" s="24">
        <v>59740000</v>
      </c>
      <c r="H214" s="23">
        <v>5.0000000000000001E-3</v>
      </c>
      <c r="I214" s="39">
        <v>44531</v>
      </c>
      <c r="J214" s="39">
        <v>44544</v>
      </c>
      <c r="K214" s="24">
        <v>14</v>
      </c>
      <c r="L214" s="24">
        <v>11457</v>
      </c>
      <c r="M214" s="24">
        <v>59160000</v>
      </c>
      <c r="N214" s="39">
        <v>45822</v>
      </c>
    </row>
    <row r="215" spans="1:14" s="5" customFormat="1" outlineLevel="2">
      <c r="A215" s="39" t="s">
        <v>108</v>
      </c>
      <c r="B215" s="40" t="s">
        <v>25</v>
      </c>
      <c r="C215" s="41" t="s">
        <v>113</v>
      </c>
      <c r="D215" s="40"/>
      <c r="E215" s="24"/>
      <c r="F215" s="39"/>
      <c r="G215" s="24">
        <v>59160000</v>
      </c>
      <c r="H215" s="23">
        <v>5.0000000000000001E-3</v>
      </c>
      <c r="I215" s="39">
        <v>44545</v>
      </c>
      <c r="J215" s="39">
        <v>44561</v>
      </c>
      <c r="K215" s="24">
        <v>17</v>
      </c>
      <c r="L215" s="24">
        <v>13777</v>
      </c>
      <c r="M215" s="24"/>
      <c r="N215" s="39">
        <v>45822</v>
      </c>
    </row>
    <row r="216" spans="1:14" s="5" customFormat="1" outlineLevel="2">
      <c r="A216" s="39" t="s">
        <v>108</v>
      </c>
      <c r="B216" s="40" t="s">
        <v>26</v>
      </c>
      <c r="C216" s="41" t="s">
        <v>109</v>
      </c>
      <c r="D216" s="40" t="s">
        <v>110</v>
      </c>
      <c r="E216" s="24">
        <v>16630000</v>
      </c>
      <c r="F216" s="39">
        <v>44011</v>
      </c>
      <c r="G216" s="24">
        <v>16630000</v>
      </c>
      <c r="H216" s="23">
        <v>5.0000000000000001E-3</v>
      </c>
      <c r="I216" s="39">
        <v>44531</v>
      </c>
      <c r="J216" s="39">
        <v>44561</v>
      </c>
      <c r="K216" s="24">
        <v>31</v>
      </c>
      <c r="L216" s="24">
        <v>7062</v>
      </c>
      <c r="M216" s="24">
        <v>16630000</v>
      </c>
      <c r="N216" s="39">
        <v>45836</v>
      </c>
    </row>
    <row r="217" spans="1:14" s="5" customFormat="1" outlineLevel="2">
      <c r="A217" s="39" t="s">
        <v>108</v>
      </c>
      <c r="B217" s="40" t="s">
        <v>29</v>
      </c>
      <c r="C217" s="41" t="s">
        <v>111</v>
      </c>
      <c r="D217" s="40" t="s">
        <v>112</v>
      </c>
      <c r="E217" s="24">
        <v>4650000</v>
      </c>
      <c r="F217" s="39">
        <v>44027</v>
      </c>
      <c r="G217" s="24">
        <v>4650000</v>
      </c>
      <c r="H217" s="23">
        <v>5.0000000000000001E-3</v>
      </c>
      <c r="I217" s="39">
        <v>44531</v>
      </c>
      <c r="J217" s="39">
        <v>44561</v>
      </c>
      <c r="K217" s="24">
        <v>31</v>
      </c>
      <c r="L217" s="24">
        <v>1975</v>
      </c>
      <c r="M217" s="24">
        <v>4650000</v>
      </c>
      <c r="N217" s="39">
        <v>45852</v>
      </c>
    </row>
    <row r="218" spans="1:14" s="5" customFormat="1" outlineLevel="2">
      <c r="A218" s="39" t="s">
        <v>108</v>
      </c>
      <c r="B218" s="40" t="s">
        <v>32</v>
      </c>
      <c r="C218" s="41" t="s">
        <v>113</v>
      </c>
      <c r="D218" s="40" t="s">
        <v>114</v>
      </c>
      <c r="E218" s="24">
        <v>10860000</v>
      </c>
      <c r="F218" s="39">
        <v>44027</v>
      </c>
      <c r="G218" s="24">
        <v>8714816</v>
      </c>
      <c r="H218" s="23">
        <v>5.0000000000000001E-3</v>
      </c>
      <c r="I218" s="39">
        <v>44531</v>
      </c>
      <c r="J218" s="39">
        <v>44544</v>
      </c>
      <c r="K218" s="24">
        <v>14</v>
      </c>
      <c r="L218" s="24">
        <v>1671</v>
      </c>
      <c r="M218" s="24">
        <v>8580742</v>
      </c>
      <c r="N218" s="39">
        <v>45852</v>
      </c>
    </row>
    <row r="219" spans="1:14" s="5" customFormat="1" outlineLevel="2">
      <c r="A219" s="39" t="s">
        <v>108</v>
      </c>
      <c r="B219" s="40" t="s">
        <v>32</v>
      </c>
      <c r="C219" s="41" t="s">
        <v>113</v>
      </c>
      <c r="D219" s="40"/>
      <c r="E219" s="24"/>
      <c r="F219" s="39"/>
      <c r="G219" s="24">
        <v>8580742</v>
      </c>
      <c r="H219" s="23">
        <v>5.0000000000000001E-3</v>
      </c>
      <c r="I219" s="39">
        <v>44545</v>
      </c>
      <c r="J219" s="39">
        <v>44561</v>
      </c>
      <c r="K219" s="24">
        <v>17</v>
      </c>
      <c r="L219" s="24">
        <v>1998</v>
      </c>
      <c r="M219" s="24"/>
      <c r="N219" s="39">
        <v>45852</v>
      </c>
    </row>
    <row r="220" spans="1:14" s="5" customFormat="1" outlineLevel="2">
      <c r="A220" s="39" t="s">
        <v>108</v>
      </c>
      <c r="B220" s="40" t="s">
        <v>33</v>
      </c>
      <c r="C220" s="41" t="s">
        <v>113</v>
      </c>
      <c r="D220" s="40" t="s">
        <v>114</v>
      </c>
      <c r="E220" s="24">
        <v>11600000</v>
      </c>
      <c r="F220" s="39">
        <v>44027</v>
      </c>
      <c r="G220" s="24">
        <v>10040352</v>
      </c>
      <c r="H220" s="23">
        <v>5.0000000000000001E-3</v>
      </c>
      <c r="I220" s="39">
        <v>44531</v>
      </c>
      <c r="J220" s="39">
        <v>44544</v>
      </c>
      <c r="K220" s="24">
        <v>14</v>
      </c>
      <c r="L220" s="24">
        <v>1926</v>
      </c>
      <c r="M220" s="24">
        <v>9942874</v>
      </c>
      <c r="N220" s="39">
        <v>45852</v>
      </c>
    </row>
    <row r="221" spans="1:14" s="5" customFormat="1" outlineLevel="2">
      <c r="A221" s="39" t="s">
        <v>108</v>
      </c>
      <c r="B221" s="40" t="s">
        <v>33</v>
      </c>
      <c r="C221" s="41" t="s">
        <v>113</v>
      </c>
      <c r="D221" s="40"/>
      <c r="E221" s="24"/>
      <c r="F221" s="39"/>
      <c r="G221" s="24">
        <v>9942874</v>
      </c>
      <c r="H221" s="23">
        <v>5.0000000000000001E-3</v>
      </c>
      <c r="I221" s="39">
        <v>44545</v>
      </c>
      <c r="J221" s="39">
        <v>44561</v>
      </c>
      <c r="K221" s="24">
        <v>17</v>
      </c>
      <c r="L221" s="24">
        <v>2315</v>
      </c>
      <c r="M221" s="24"/>
      <c r="N221" s="39">
        <v>45852</v>
      </c>
    </row>
    <row r="222" spans="1:14" s="5" customFormat="1" outlineLevel="2">
      <c r="A222" s="39" t="s">
        <v>108</v>
      </c>
      <c r="B222" s="40" t="s">
        <v>34</v>
      </c>
      <c r="C222" s="41" t="s">
        <v>23</v>
      </c>
      <c r="D222" s="40" t="s">
        <v>24</v>
      </c>
      <c r="E222" s="24">
        <v>18700000</v>
      </c>
      <c r="F222" s="39">
        <v>44032</v>
      </c>
      <c r="G222" s="24">
        <v>18700000</v>
      </c>
      <c r="H222" s="23">
        <v>5.0000000000000001E-3</v>
      </c>
      <c r="I222" s="39">
        <v>44531</v>
      </c>
      <c r="J222" s="39">
        <v>44561</v>
      </c>
      <c r="K222" s="24">
        <v>31</v>
      </c>
      <c r="L222" s="24">
        <v>7941</v>
      </c>
      <c r="M222" s="24">
        <v>18700000</v>
      </c>
      <c r="N222" s="39">
        <v>45857</v>
      </c>
    </row>
    <row r="223" spans="1:14" s="5" customFormat="1" outlineLevel="2">
      <c r="A223" s="39" t="s">
        <v>108</v>
      </c>
      <c r="B223" s="40" t="s">
        <v>35</v>
      </c>
      <c r="C223" s="41" t="s">
        <v>111</v>
      </c>
      <c r="D223" s="40" t="s">
        <v>112</v>
      </c>
      <c r="E223" s="24">
        <v>2950000</v>
      </c>
      <c r="F223" s="39">
        <v>44060</v>
      </c>
      <c r="G223" s="24">
        <v>2950000</v>
      </c>
      <c r="H223" s="23">
        <v>5.0000000000000001E-3</v>
      </c>
      <c r="I223" s="39">
        <v>44531</v>
      </c>
      <c r="J223" s="39">
        <v>44561</v>
      </c>
      <c r="K223" s="24">
        <v>31</v>
      </c>
      <c r="L223" s="24">
        <v>1253</v>
      </c>
      <c r="M223" s="24">
        <v>2950000</v>
      </c>
      <c r="N223" s="39">
        <v>45885</v>
      </c>
    </row>
    <row r="224" spans="1:14" s="5" customFormat="1" outlineLevel="2">
      <c r="A224" s="39" t="s">
        <v>108</v>
      </c>
      <c r="B224" s="40" t="s">
        <v>36</v>
      </c>
      <c r="C224" s="41" t="s">
        <v>109</v>
      </c>
      <c r="D224" s="40" t="s">
        <v>110</v>
      </c>
      <c r="E224" s="24">
        <v>15120000</v>
      </c>
      <c r="F224" s="39">
        <v>44091</v>
      </c>
      <c r="G224" s="24">
        <v>15120000</v>
      </c>
      <c r="H224" s="23">
        <v>5.0000000000000001E-3</v>
      </c>
      <c r="I224" s="39">
        <v>44531</v>
      </c>
      <c r="J224" s="39">
        <v>44561</v>
      </c>
      <c r="K224" s="24">
        <v>31</v>
      </c>
      <c r="L224" s="24">
        <v>6421</v>
      </c>
      <c r="M224" s="24">
        <v>15120000</v>
      </c>
      <c r="N224" s="39">
        <v>45916</v>
      </c>
    </row>
    <row r="225" spans="1:14" s="5" customFormat="1" outlineLevel="2">
      <c r="A225" s="39" t="s">
        <v>108</v>
      </c>
      <c r="B225" s="40" t="s">
        <v>39</v>
      </c>
      <c r="C225" s="41" t="s">
        <v>111</v>
      </c>
      <c r="D225" s="40" t="s">
        <v>112</v>
      </c>
      <c r="E225" s="24">
        <v>6200000</v>
      </c>
      <c r="F225" s="39">
        <v>43929</v>
      </c>
      <c r="G225" s="24">
        <v>6200000</v>
      </c>
      <c r="H225" s="23">
        <v>5.0000000000000001E-3</v>
      </c>
      <c r="I225" s="39">
        <v>44531</v>
      </c>
      <c r="J225" s="39">
        <v>44561</v>
      </c>
      <c r="K225" s="24">
        <v>31</v>
      </c>
      <c r="L225" s="24">
        <v>2633</v>
      </c>
      <c r="M225" s="24">
        <v>6200000</v>
      </c>
      <c r="N225" s="39">
        <v>45754</v>
      </c>
    </row>
    <row r="226" spans="1:14" s="5" customFormat="1" outlineLevel="2">
      <c r="A226" s="39" t="s">
        <v>108</v>
      </c>
      <c r="B226" s="40" t="s">
        <v>40</v>
      </c>
      <c r="C226" s="41" t="s">
        <v>27</v>
      </c>
      <c r="D226" s="40" t="s">
        <v>28</v>
      </c>
      <c r="E226" s="24">
        <v>10000000</v>
      </c>
      <c r="F226" s="39">
        <v>44111</v>
      </c>
      <c r="G226" s="24">
        <v>7666676</v>
      </c>
      <c r="H226" s="23">
        <v>5.0000000000000001E-3</v>
      </c>
      <c r="I226" s="39">
        <v>44531</v>
      </c>
      <c r="J226" s="39">
        <v>44544</v>
      </c>
      <c r="K226" s="24">
        <v>14</v>
      </c>
      <c r="L226" s="24">
        <v>1470</v>
      </c>
      <c r="M226" s="24">
        <v>7500010</v>
      </c>
      <c r="N226" s="39">
        <v>45936</v>
      </c>
    </row>
    <row r="227" spans="1:14" s="5" customFormat="1" outlineLevel="2">
      <c r="A227" s="39" t="s">
        <v>108</v>
      </c>
      <c r="B227" s="40" t="s">
        <v>40</v>
      </c>
      <c r="C227" s="41" t="s">
        <v>27</v>
      </c>
      <c r="D227" s="40"/>
      <c r="E227" s="24"/>
      <c r="F227" s="39"/>
      <c r="G227" s="24">
        <v>7500010</v>
      </c>
      <c r="H227" s="23">
        <v>5.0000000000000001E-3</v>
      </c>
      <c r="I227" s="39">
        <v>44545</v>
      </c>
      <c r="J227" s="39">
        <v>44561</v>
      </c>
      <c r="K227" s="24">
        <v>17</v>
      </c>
      <c r="L227" s="24">
        <v>1747</v>
      </c>
      <c r="M227" s="24"/>
      <c r="N227" s="39">
        <v>45936</v>
      </c>
    </row>
    <row r="228" spans="1:14" s="5" customFormat="1" outlineLevel="2">
      <c r="A228" s="39" t="s">
        <v>108</v>
      </c>
      <c r="B228" s="40" t="s">
        <v>41</v>
      </c>
      <c r="C228" s="41" t="s">
        <v>27</v>
      </c>
      <c r="D228" s="40" t="s">
        <v>28</v>
      </c>
      <c r="E228" s="24">
        <v>24450000</v>
      </c>
      <c r="F228" s="39">
        <v>44120</v>
      </c>
      <c r="G228" s="24">
        <v>19062722</v>
      </c>
      <c r="H228" s="23">
        <v>5.0000000000000001E-3</v>
      </c>
      <c r="I228" s="39">
        <v>44531</v>
      </c>
      <c r="J228" s="39">
        <v>44544</v>
      </c>
      <c r="K228" s="24">
        <v>14</v>
      </c>
      <c r="L228" s="24">
        <v>3656</v>
      </c>
      <c r="M228" s="24">
        <v>18648316</v>
      </c>
      <c r="N228" s="39">
        <v>45945</v>
      </c>
    </row>
    <row r="229" spans="1:14" s="5" customFormat="1" outlineLevel="2">
      <c r="A229" s="39" t="s">
        <v>108</v>
      </c>
      <c r="B229" s="40" t="s">
        <v>41</v>
      </c>
      <c r="C229" s="41" t="s">
        <v>27</v>
      </c>
      <c r="D229" s="40"/>
      <c r="E229" s="24"/>
      <c r="F229" s="39"/>
      <c r="G229" s="24">
        <v>18648316</v>
      </c>
      <c r="H229" s="23">
        <v>5.0000000000000001E-3</v>
      </c>
      <c r="I229" s="39">
        <v>44545</v>
      </c>
      <c r="J229" s="39">
        <v>44561</v>
      </c>
      <c r="K229" s="24">
        <v>17</v>
      </c>
      <c r="L229" s="24">
        <v>4343</v>
      </c>
      <c r="M229" s="24"/>
      <c r="N229" s="39">
        <v>45945</v>
      </c>
    </row>
    <row r="230" spans="1:14" s="5" customFormat="1" outlineLevel="2">
      <c r="A230" s="39" t="s">
        <v>108</v>
      </c>
      <c r="B230" s="40" t="s">
        <v>42</v>
      </c>
      <c r="C230" s="41" t="s">
        <v>23</v>
      </c>
      <c r="D230" s="40" t="s">
        <v>24</v>
      </c>
      <c r="E230" s="24">
        <v>26100000</v>
      </c>
      <c r="F230" s="39">
        <v>44124</v>
      </c>
      <c r="G230" s="24">
        <v>26100000</v>
      </c>
      <c r="H230" s="23">
        <v>5.0000000000000001E-3</v>
      </c>
      <c r="I230" s="39">
        <v>44531</v>
      </c>
      <c r="J230" s="39">
        <v>44561</v>
      </c>
      <c r="K230" s="24">
        <v>31</v>
      </c>
      <c r="L230" s="24">
        <v>11084</v>
      </c>
      <c r="M230" s="24">
        <v>26100000</v>
      </c>
      <c r="N230" s="39">
        <v>45949</v>
      </c>
    </row>
    <row r="231" spans="1:14" s="5" customFormat="1" outlineLevel="2">
      <c r="A231" s="39" t="s">
        <v>108</v>
      </c>
      <c r="B231" s="40" t="s">
        <v>43</v>
      </c>
      <c r="C231" s="41" t="s">
        <v>27</v>
      </c>
      <c r="D231" s="40" t="s">
        <v>28</v>
      </c>
      <c r="E231" s="24">
        <v>25800000</v>
      </c>
      <c r="F231" s="39">
        <v>44137</v>
      </c>
      <c r="G231" s="24">
        <v>20115256</v>
      </c>
      <c r="H231" s="23">
        <v>5.0000000000000001E-3</v>
      </c>
      <c r="I231" s="39">
        <v>44531</v>
      </c>
      <c r="J231" s="39">
        <v>44544</v>
      </c>
      <c r="K231" s="24">
        <v>14</v>
      </c>
      <c r="L231" s="24">
        <v>3858</v>
      </c>
      <c r="M231" s="24">
        <v>19677968</v>
      </c>
      <c r="N231" s="39">
        <v>45962</v>
      </c>
    </row>
    <row r="232" spans="1:14" s="5" customFormat="1" outlineLevel="2">
      <c r="A232" s="39" t="s">
        <v>108</v>
      </c>
      <c r="B232" s="40" t="s">
        <v>43</v>
      </c>
      <c r="C232" s="41" t="s">
        <v>27</v>
      </c>
      <c r="D232" s="40"/>
      <c r="E232" s="24"/>
      <c r="F232" s="39"/>
      <c r="G232" s="24">
        <v>19677968</v>
      </c>
      <c r="H232" s="23">
        <v>5.0000000000000001E-3</v>
      </c>
      <c r="I232" s="39">
        <v>44545</v>
      </c>
      <c r="J232" s="39">
        <v>44561</v>
      </c>
      <c r="K232" s="24">
        <v>17</v>
      </c>
      <c r="L232" s="24">
        <v>4583</v>
      </c>
      <c r="M232" s="24"/>
      <c r="N232" s="39">
        <v>45962</v>
      </c>
    </row>
    <row r="233" spans="1:14" s="5" customFormat="1" outlineLevel="2">
      <c r="A233" s="39" t="s">
        <v>108</v>
      </c>
      <c r="B233" s="40" t="s">
        <v>44</v>
      </c>
      <c r="C233" s="41" t="s">
        <v>115</v>
      </c>
      <c r="D233" s="40" t="s">
        <v>116</v>
      </c>
      <c r="E233" s="24">
        <v>1200000</v>
      </c>
      <c r="F233" s="39">
        <v>44138</v>
      </c>
      <c r="G233" s="24">
        <v>1200000</v>
      </c>
      <c r="H233" s="23">
        <v>5.0000000000000001E-3</v>
      </c>
      <c r="I233" s="39">
        <v>44531</v>
      </c>
      <c r="J233" s="39">
        <v>44561</v>
      </c>
      <c r="K233" s="24">
        <v>31</v>
      </c>
      <c r="L233" s="24">
        <v>510</v>
      </c>
      <c r="M233" s="24">
        <v>1200000</v>
      </c>
      <c r="N233" s="39">
        <v>45963</v>
      </c>
    </row>
    <row r="234" spans="1:14" s="5" customFormat="1" outlineLevel="2">
      <c r="A234" s="39" t="s">
        <v>108</v>
      </c>
      <c r="B234" s="40" t="s">
        <v>47</v>
      </c>
      <c r="C234" s="41" t="s">
        <v>115</v>
      </c>
      <c r="D234" s="40" t="s">
        <v>116</v>
      </c>
      <c r="E234" s="24">
        <v>2350000</v>
      </c>
      <c r="F234" s="39">
        <v>44138</v>
      </c>
      <c r="G234" s="24">
        <v>2350000</v>
      </c>
      <c r="H234" s="23">
        <v>5.0000000000000001E-3</v>
      </c>
      <c r="I234" s="39">
        <v>44531</v>
      </c>
      <c r="J234" s="39">
        <v>44561</v>
      </c>
      <c r="K234" s="24">
        <v>31</v>
      </c>
      <c r="L234" s="24">
        <v>998</v>
      </c>
      <c r="M234" s="24">
        <v>2350000</v>
      </c>
      <c r="N234" s="39">
        <v>45963</v>
      </c>
    </row>
    <row r="235" spans="1:14" s="5" customFormat="1" outlineLevel="2">
      <c r="A235" s="39" t="s">
        <v>108</v>
      </c>
      <c r="B235" s="40" t="s">
        <v>50</v>
      </c>
      <c r="C235" s="41" t="s">
        <v>113</v>
      </c>
      <c r="D235" s="40" t="s">
        <v>114</v>
      </c>
      <c r="E235" s="24">
        <v>23200000</v>
      </c>
      <c r="F235" s="39">
        <v>44151</v>
      </c>
      <c r="G235" s="24">
        <v>20779132</v>
      </c>
      <c r="H235" s="23">
        <v>5.0000000000000001E-3</v>
      </c>
      <c r="I235" s="39">
        <v>44531</v>
      </c>
      <c r="J235" s="39">
        <v>44544</v>
      </c>
      <c r="K235" s="24">
        <v>14</v>
      </c>
      <c r="L235" s="24">
        <v>3985</v>
      </c>
      <c r="M235" s="24">
        <v>20577393</v>
      </c>
      <c r="N235" s="39">
        <v>45976</v>
      </c>
    </row>
    <row r="236" spans="1:14" s="5" customFormat="1" outlineLevel="2">
      <c r="A236" s="39" t="s">
        <v>108</v>
      </c>
      <c r="B236" s="40" t="s">
        <v>50</v>
      </c>
      <c r="C236" s="41" t="s">
        <v>113</v>
      </c>
      <c r="D236" s="40"/>
      <c r="E236" s="24"/>
      <c r="F236" s="39"/>
      <c r="G236" s="24">
        <v>20577393</v>
      </c>
      <c r="H236" s="23">
        <v>5.0000000000000001E-3</v>
      </c>
      <c r="I236" s="39">
        <v>44545</v>
      </c>
      <c r="J236" s="39">
        <v>44561</v>
      </c>
      <c r="K236" s="24">
        <v>17</v>
      </c>
      <c r="L236" s="24">
        <v>4792</v>
      </c>
      <c r="M236" s="24"/>
      <c r="N236" s="39">
        <v>45976</v>
      </c>
    </row>
    <row r="237" spans="1:14" s="5" customFormat="1" outlineLevel="2">
      <c r="A237" s="39" t="s">
        <v>108</v>
      </c>
      <c r="B237" s="40" t="s">
        <v>51</v>
      </c>
      <c r="C237" s="41" t="s">
        <v>111</v>
      </c>
      <c r="D237" s="40" t="s">
        <v>112</v>
      </c>
      <c r="E237" s="24">
        <v>5910000</v>
      </c>
      <c r="F237" s="39">
        <v>44151</v>
      </c>
      <c r="G237" s="24">
        <v>5910000</v>
      </c>
      <c r="H237" s="23">
        <v>5.0000000000000001E-3</v>
      </c>
      <c r="I237" s="39">
        <v>44531</v>
      </c>
      <c r="J237" s="39">
        <v>44561</v>
      </c>
      <c r="K237" s="24">
        <v>31</v>
      </c>
      <c r="L237" s="24">
        <v>2510</v>
      </c>
      <c r="M237" s="24">
        <v>5910000</v>
      </c>
      <c r="N237" s="39">
        <v>45976</v>
      </c>
    </row>
    <row r="238" spans="1:14" s="5" customFormat="1" outlineLevel="2">
      <c r="A238" s="39" t="s">
        <v>108</v>
      </c>
      <c r="B238" s="40" t="s">
        <v>52</v>
      </c>
      <c r="C238" s="41" t="s">
        <v>117</v>
      </c>
      <c r="D238" s="40" t="s">
        <v>118</v>
      </c>
      <c r="E238" s="24">
        <v>26000000</v>
      </c>
      <c r="F238" s="39">
        <v>44162</v>
      </c>
      <c r="G238" s="24">
        <v>23238944</v>
      </c>
      <c r="H238" s="23">
        <v>5.0000000000000001E-3</v>
      </c>
      <c r="I238" s="39">
        <v>44531</v>
      </c>
      <c r="J238" s="39">
        <v>44544</v>
      </c>
      <c r="K238" s="24">
        <v>14</v>
      </c>
      <c r="L238" s="24">
        <v>4457</v>
      </c>
      <c r="M238" s="24">
        <v>23008856</v>
      </c>
      <c r="N238" s="39">
        <v>45987</v>
      </c>
    </row>
    <row r="239" spans="1:14" s="5" customFormat="1" outlineLevel="2">
      <c r="A239" s="39" t="s">
        <v>108</v>
      </c>
      <c r="B239" s="40" t="s">
        <v>52</v>
      </c>
      <c r="C239" s="41" t="s">
        <v>117</v>
      </c>
      <c r="D239" s="40"/>
      <c r="E239" s="24"/>
      <c r="F239" s="39"/>
      <c r="G239" s="24">
        <v>23008856</v>
      </c>
      <c r="H239" s="23">
        <v>5.0000000000000001E-3</v>
      </c>
      <c r="I239" s="39">
        <v>44545</v>
      </c>
      <c r="J239" s="39">
        <v>44561</v>
      </c>
      <c r="K239" s="24">
        <v>17</v>
      </c>
      <c r="L239" s="24">
        <v>5358</v>
      </c>
      <c r="M239" s="24"/>
      <c r="N239" s="39">
        <v>45987</v>
      </c>
    </row>
    <row r="240" spans="1:14" s="5" customFormat="1" outlineLevel="2">
      <c r="A240" s="39" t="s">
        <v>108</v>
      </c>
      <c r="B240" s="40" t="s">
        <v>53</v>
      </c>
      <c r="C240" s="41" t="s">
        <v>27</v>
      </c>
      <c r="D240" s="40" t="s">
        <v>28</v>
      </c>
      <c r="E240" s="24">
        <v>9280000</v>
      </c>
      <c r="F240" s="39">
        <v>44167</v>
      </c>
      <c r="G240" s="24">
        <v>7360000</v>
      </c>
      <c r="H240" s="23">
        <v>5.0000000000000001E-3</v>
      </c>
      <c r="I240" s="39">
        <v>44531</v>
      </c>
      <c r="J240" s="39">
        <v>44544</v>
      </c>
      <c r="K240" s="24">
        <v>14</v>
      </c>
      <c r="L240" s="24">
        <v>1412</v>
      </c>
      <c r="M240" s="24">
        <v>7200000</v>
      </c>
      <c r="N240" s="39">
        <v>45992</v>
      </c>
    </row>
    <row r="241" spans="1:14" s="5" customFormat="1" outlineLevel="2">
      <c r="A241" s="39" t="s">
        <v>108</v>
      </c>
      <c r="B241" s="40" t="s">
        <v>53</v>
      </c>
      <c r="C241" s="41" t="s">
        <v>27</v>
      </c>
      <c r="D241" s="40"/>
      <c r="E241" s="24"/>
      <c r="F241" s="39"/>
      <c r="G241" s="24">
        <v>7200000</v>
      </c>
      <c r="H241" s="23">
        <v>5.0000000000000001E-3</v>
      </c>
      <c r="I241" s="39">
        <v>44545</v>
      </c>
      <c r="J241" s="39">
        <v>44561</v>
      </c>
      <c r="K241" s="24">
        <v>17</v>
      </c>
      <c r="L241" s="24">
        <v>1677</v>
      </c>
      <c r="M241" s="24"/>
      <c r="N241" s="39">
        <v>45992</v>
      </c>
    </row>
    <row r="242" spans="1:14" s="5" customFormat="1" outlineLevel="2">
      <c r="A242" s="39" t="s">
        <v>108</v>
      </c>
      <c r="B242" s="40" t="s">
        <v>54</v>
      </c>
      <c r="C242" s="41" t="s">
        <v>111</v>
      </c>
      <c r="D242" s="40" t="s">
        <v>112</v>
      </c>
      <c r="E242" s="24">
        <v>23630000</v>
      </c>
      <c r="F242" s="39">
        <v>43936</v>
      </c>
      <c r="G242" s="24">
        <v>23630000</v>
      </c>
      <c r="H242" s="23">
        <v>5.0000000000000001E-3</v>
      </c>
      <c r="I242" s="39">
        <v>44531</v>
      </c>
      <c r="J242" s="39">
        <v>44561</v>
      </c>
      <c r="K242" s="24">
        <v>31</v>
      </c>
      <c r="L242" s="24">
        <v>10035</v>
      </c>
      <c r="M242" s="24">
        <v>23630000</v>
      </c>
      <c r="N242" s="39">
        <v>45761</v>
      </c>
    </row>
    <row r="243" spans="1:14" s="5" customFormat="1" outlineLevel="2">
      <c r="A243" s="39" t="s">
        <v>108</v>
      </c>
      <c r="B243" s="40" t="s">
        <v>57</v>
      </c>
      <c r="C243" s="41" t="s">
        <v>27</v>
      </c>
      <c r="D243" s="40" t="s">
        <v>28</v>
      </c>
      <c r="E243" s="24">
        <v>10470000</v>
      </c>
      <c r="F243" s="39">
        <v>44181</v>
      </c>
      <c r="G243" s="24">
        <v>8449476</v>
      </c>
      <c r="H243" s="23">
        <v>5.0000000000000001E-3</v>
      </c>
      <c r="I243" s="39">
        <v>44531</v>
      </c>
      <c r="J243" s="39">
        <v>44544</v>
      </c>
      <c r="K243" s="24">
        <v>14</v>
      </c>
      <c r="L243" s="24">
        <v>1620</v>
      </c>
      <c r="M243" s="24">
        <v>8265792</v>
      </c>
      <c r="N243" s="39">
        <v>46006</v>
      </c>
    </row>
    <row r="244" spans="1:14" s="5" customFormat="1" outlineLevel="2">
      <c r="A244" s="39" t="s">
        <v>108</v>
      </c>
      <c r="B244" s="40" t="s">
        <v>57</v>
      </c>
      <c r="C244" s="41" t="s">
        <v>27</v>
      </c>
      <c r="D244" s="40"/>
      <c r="E244" s="24"/>
      <c r="F244" s="39"/>
      <c r="G244" s="24">
        <v>8265792</v>
      </c>
      <c r="H244" s="23">
        <v>5.0000000000000001E-3</v>
      </c>
      <c r="I244" s="39">
        <v>44545</v>
      </c>
      <c r="J244" s="39">
        <v>44561</v>
      </c>
      <c r="K244" s="24">
        <v>17</v>
      </c>
      <c r="L244" s="24">
        <v>1925</v>
      </c>
      <c r="M244" s="24"/>
      <c r="N244" s="39">
        <v>46006</v>
      </c>
    </row>
    <row r="245" spans="1:14" s="5" customFormat="1" outlineLevel="2">
      <c r="A245" s="39" t="s">
        <v>108</v>
      </c>
      <c r="B245" s="40" t="s">
        <v>58</v>
      </c>
      <c r="C245" s="41" t="s">
        <v>111</v>
      </c>
      <c r="D245" s="40" t="s">
        <v>112</v>
      </c>
      <c r="E245" s="24">
        <v>2950000</v>
      </c>
      <c r="F245" s="39">
        <v>44180</v>
      </c>
      <c r="G245" s="24">
        <v>2950000</v>
      </c>
      <c r="H245" s="23">
        <v>5.0000000000000001E-3</v>
      </c>
      <c r="I245" s="39">
        <v>44531</v>
      </c>
      <c r="J245" s="39">
        <v>44561</v>
      </c>
      <c r="K245" s="24">
        <v>31</v>
      </c>
      <c r="L245" s="24">
        <v>1253</v>
      </c>
      <c r="M245" s="24">
        <v>2950000</v>
      </c>
      <c r="N245" s="39">
        <v>46005</v>
      </c>
    </row>
    <row r="246" spans="1:14" s="5" customFormat="1" outlineLevel="2">
      <c r="A246" s="39" t="s">
        <v>108</v>
      </c>
      <c r="B246" s="40" t="s">
        <v>99</v>
      </c>
      <c r="C246" s="41" t="s">
        <v>115</v>
      </c>
      <c r="D246" s="40" t="s">
        <v>116</v>
      </c>
      <c r="E246" s="24">
        <v>24400000</v>
      </c>
      <c r="F246" s="39">
        <v>44193</v>
      </c>
      <c r="G246" s="24">
        <v>24400000</v>
      </c>
      <c r="H246" s="23">
        <v>5.0000000000000001E-3</v>
      </c>
      <c r="I246" s="39">
        <v>44531</v>
      </c>
      <c r="J246" s="39">
        <v>44561</v>
      </c>
      <c r="K246" s="24">
        <v>31</v>
      </c>
      <c r="L246" s="24">
        <v>10362</v>
      </c>
      <c r="M246" s="24">
        <v>24400000</v>
      </c>
      <c r="N246" s="39">
        <v>46018</v>
      </c>
    </row>
    <row r="247" spans="1:14" s="5" customFormat="1" outlineLevel="2">
      <c r="A247" s="39" t="s">
        <v>108</v>
      </c>
      <c r="B247" s="40" t="s">
        <v>100</v>
      </c>
      <c r="C247" s="41" t="s">
        <v>115</v>
      </c>
      <c r="D247" s="40" t="s">
        <v>116</v>
      </c>
      <c r="E247" s="24">
        <v>5500000</v>
      </c>
      <c r="F247" s="39">
        <v>44193</v>
      </c>
      <c r="G247" s="24">
        <v>5500000</v>
      </c>
      <c r="H247" s="23">
        <v>5.0000000000000001E-3</v>
      </c>
      <c r="I247" s="39">
        <v>44531</v>
      </c>
      <c r="J247" s="39">
        <v>44561</v>
      </c>
      <c r="K247" s="24">
        <v>31</v>
      </c>
      <c r="L247" s="24">
        <v>2336</v>
      </c>
      <c r="M247" s="24">
        <v>5500000</v>
      </c>
      <c r="N247" s="39">
        <v>46018</v>
      </c>
    </row>
    <row r="248" spans="1:14" s="5" customFormat="1" outlineLevel="2">
      <c r="A248" s="39" t="s">
        <v>108</v>
      </c>
      <c r="B248" s="40" t="s">
        <v>101</v>
      </c>
      <c r="C248" s="41" t="s">
        <v>115</v>
      </c>
      <c r="D248" s="40" t="s">
        <v>116</v>
      </c>
      <c r="E248" s="24">
        <v>28050000</v>
      </c>
      <c r="F248" s="39">
        <v>44193</v>
      </c>
      <c r="G248" s="24">
        <v>28050000</v>
      </c>
      <c r="H248" s="23">
        <v>5.0000000000000001E-3</v>
      </c>
      <c r="I248" s="39">
        <v>44531</v>
      </c>
      <c r="J248" s="39">
        <v>44561</v>
      </c>
      <c r="K248" s="24">
        <v>31</v>
      </c>
      <c r="L248" s="24">
        <v>11912</v>
      </c>
      <c r="M248" s="24">
        <v>28050000</v>
      </c>
      <c r="N248" s="39">
        <v>46018</v>
      </c>
    </row>
    <row r="249" spans="1:14" s="5" customFormat="1" outlineLevel="2">
      <c r="A249" s="39" t="s">
        <v>108</v>
      </c>
      <c r="B249" s="40" t="s">
        <v>102</v>
      </c>
      <c r="C249" s="41" t="s">
        <v>115</v>
      </c>
      <c r="D249" s="40" t="s">
        <v>116</v>
      </c>
      <c r="E249" s="24">
        <v>5000000</v>
      </c>
      <c r="F249" s="39">
        <v>44193</v>
      </c>
      <c r="G249" s="24">
        <v>5000000</v>
      </c>
      <c r="H249" s="23">
        <v>5.0000000000000001E-3</v>
      </c>
      <c r="I249" s="39">
        <v>44531</v>
      </c>
      <c r="J249" s="39">
        <v>44561</v>
      </c>
      <c r="K249" s="24">
        <v>31</v>
      </c>
      <c r="L249" s="24">
        <v>2123</v>
      </c>
      <c r="M249" s="24">
        <v>5000000</v>
      </c>
      <c r="N249" s="39">
        <v>46018</v>
      </c>
    </row>
    <row r="250" spans="1:14" s="5" customFormat="1" outlineLevel="2">
      <c r="A250" s="39" t="s">
        <v>108</v>
      </c>
      <c r="B250" s="40" t="s">
        <v>103</v>
      </c>
      <c r="C250" s="41" t="s">
        <v>111</v>
      </c>
      <c r="D250" s="40" t="s">
        <v>112</v>
      </c>
      <c r="E250" s="24">
        <v>4920000</v>
      </c>
      <c r="F250" s="39">
        <v>44211</v>
      </c>
      <c r="G250" s="24">
        <v>4920000</v>
      </c>
      <c r="H250" s="23">
        <v>5.0000000000000001E-3</v>
      </c>
      <c r="I250" s="39">
        <v>44531</v>
      </c>
      <c r="J250" s="39">
        <v>44561</v>
      </c>
      <c r="K250" s="24">
        <v>31</v>
      </c>
      <c r="L250" s="24">
        <v>2089</v>
      </c>
      <c r="M250" s="24">
        <v>4920000</v>
      </c>
      <c r="N250" s="39">
        <v>46036</v>
      </c>
    </row>
    <row r="251" spans="1:14" s="5" customFormat="1" outlineLevel="2">
      <c r="A251" s="39" t="s">
        <v>108</v>
      </c>
      <c r="B251" s="40" t="s">
        <v>104</v>
      </c>
      <c r="C251" s="41" t="s">
        <v>115</v>
      </c>
      <c r="D251" s="40" t="s">
        <v>116</v>
      </c>
      <c r="E251" s="24">
        <v>7300000</v>
      </c>
      <c r="F251" s="39">
        <v>44224</v>
      </c>
      <c r="G251" s="24">
        <v>7300000</v>
      </c>
      <c r="H251" s="23">
        <v>5.0000000000000001E-3</v>
      </c>
      <c r="I251" s="39">
        <v>44531</v>
      </c>
      <c r="J251" s="39">
        <v>44561</v>
      </c>
      <c r="K251" s="24">
        <v>31</v>
      </c>
      <c r="L251" s="24">
        <v>3100</v>
      </c>
      <c r="M251" s="24">
        <v>7300000</v>
      </c>
      <c r="N251" s="39">
        <v>46049</v>
      </c>
    </row>
    <row r="252" spans="1:14" s="5" customFormat="1" outlineLevel="2">
      <c r="A252" s="39" t="s">
        <v>108</v>
      </c>
      <c r="B252" s="40" t="s">
        <v>105</v>
      </c>
      <c r="C252" s="41" t="s">
        <v>115</v>
      </c>
      <c r="D252" s="40" t="s">
        <v>116</v>
      </c>
      <c r="E252" s="24">
        <v>15000000</v>
      </c>
      <c r="F252" s="39">
        <v>44224</v>
      </c>
      <c r="G252" s="24">
        <v>15000000</v>
      </c>
      <c r="H252" s="23">
        <v>5.0000000000000001E-3</v>
      </c>
      <c r="I252" s="39">
        <v>44531</v>
      </c>
      <c r="J252" s="39">
        <v>44561</v>
      </c>
      <c r="K252" s="24">
        <v>31</v>
      </c>
      <c r="L252" s="24">
        <v>6370</v>
      </c>
      <c r="M252" s="24">
        <v>15000000</v>
      </c>
      <c r="N252" s="39">
        <v>46049</v>
      </c>
    </row>
    <row r="253" spans="1:14" s="5" customFormat="1" outlineLevel="2">
      <c r="A253" s="39" t="s">
        <v>108</v>
      </c>
      <c r="B253" s="40" t="s">
        <v>106</v>
      </c>
      <c r="C253" s="41" t="s">
        <v>113</v>
      </c>
      <c r="D253" s="40" t="s">
        <v>114</v>
      </c>
      <c r="E253" s="24">
        <v>23200000</v>
      </c>
      <c r="F253" s="39">
        <v>44229</v>
      </c>
      <c r="G253" s="24">
        <v>21146910</v>
      </c>
      <c r="H253" s="23">
        <v>5.0000000000000001E-3</v>
      </c>
      <c r="I253" s="39">
        <v>44531</v>
      </c>
      <c r="J253" s="39">
        <v>44544</v>
      </c>
      <c r="K253" s="24">
        <v>14</v>
      </c>
      <c r="L253" s="24">
        <v>4056</v>
      </c>
      <c r="M253" s="24">
        <v>20941601</v>
      </c>
      <c r="N253" s="39">
        <v>46054</v>
      </c>
    </row>
    <row r="254" spans="1:14" s="5" customFormat="1" outlineLevel="2">
      <c r="A254" s="39" t="s">
        <v>108</v>
      </c>
      <c r="B254" s="40" t="s">
        <v>106</v>
      </c>
      <c r="C254" s="41" t="s">
        <v>113</v>
      </c>
      <c r="D254" s="40"/>
      <c r="E254" s="24"/>
      <c r="F254" s="39"/>
      <c r="G254" s="24">
        <v>20941601</v>
      </c>
      <c r="H254" s="23">
        <v>5.0000000000000001E-3</v>
      </c>
      <c r="I254" s="39">
        <v>44545</v>
      </c>
      <c r="J254" s="39">
        <v>44561</v>
      </c>
      <c r="K254" s="24">
        <v>17</v>
      </c>
      <c r="L254" s="24">
        <v>4877</v>
      </c>
      <c r="M254" s="24"/>
      <c r="N254" s="39">
        <v>46054</v>
      </c>
    </row>
    <row r="255" spans="1:14" s="5" customFormat="1" outlineLevel="2">
      <c r="A255" s="39" t="s">
        <v>108</v>
      </c>
      <c r="B255" s="40" t="s">
        <v>59</v>
      </c>
      <c r="C255" s="41" t="s">
        <v>117</v>
      </c>
      <c r="D255" s="40" t="s">
        <v>118</v>
      </c>
      <c r="E255" s="24">
        <v>24000000</v>
      </c>
      <c r="F255" s="39">
        <v>43937</v>
      </c>
      <c r="G255" s="24">
        <v>20200000</v>
      </c>
      <c r="H255" s="23">
        <v>5.0000000000000001E-3</v>
      </c>
      <c r="I255" s="39">
        <v>44531</v>
      </c>
      <c r="J255" s="39">
        <v>44544</v>
      </c>
      <c r="K255" s="24">
        <v>14</v>
      </c>
      <c r="L255" s="24">
        <v>3874</v>
      </c>
      <c r="M255" s="24">
        <v>20000000</v>
      </c>
      <c r="N255" s="39">
        <v>45762</v>
      </c>
    </row>
    <row r="256" spans="1:14" s="5" customFormat="1" outlineLevel="2">
      <c r="A256" s="39" t="s">
        <v>108</v>
      </c>
      <c r="B256" s="40" t="s">
        <v>59</v>
      </c>
      <c r="C256" s="41" t="s">
        <v>117</v>
      </c>
      <c r="D256" s="40"/>
      <c r="E256" s="24"/>
      <c r="F256" s="39"/>
      <c r="G256" s="24">
        <v>20000000</v>
      </c>
      <c r="H256" s="23">
        <v>5.0000000000000001E-3</v>
      </c>
      <c r="I256" s="39">
        <v>44545</v>
      </c>
      <c r="J256" s="39">
        <v>44561</v>
      </c>
      <c r="K256" s="24">
        <v>17</v>
      </c>
      <c r="L256" s="24">
        <v>4658</v>
      </c>
      <c r="M256" s="24"/>
      <c r="N256" s="39">
        <v>45762</v>
      </c>
    </row>
    <row r="257" spans="1:14" s="5" customFormat="1" outlineLevel="2">
      <c r="A257" s="39" t="s">
        <v>108</v>
      </c>
      <c r="B257" s="40" t="s">
        <v>136</v>
      </c>
      <c r="C257" s="41" t="s">
        <v>111</v>
      </c>
      <c r="D257" s="40" t="s">
        <v>112</v>
      </c>
      <c r="E257" s="24">
        <v>3410000</v>
      </c>
      <c r="F257" s="39">
        <v>44270</v>
      </c>
      <c r="G257" s="24">
        <v>3410000</v>
      </c>
      <c r="H257" s="23">
        <v>5.0000000000000001E-3</v>
      </c>
      <c r="I257" s="39">
        <v>44531</v>
      </c>
      <c r="J257" s="39">
        <v>44561</v>
      </c>
      <c r="K257" s="24">
        <v>31</v>
      </c>
      <c r="L257" s="24">
        <v>1448</v>
      </c>
      <c r="M257" s="24">
        <v>3410000</v>
      </c>
      <c r="N257" s="39">
        <v>46095</v>
      </c>
    </row>
    <row r="258" spans="1:14" s="5" customFormat="1" outlineLevel="2">
      <c r="A258" s="39" t="s">
        <v>108</v>
      </c>
      <c r="B258" s="40" t="s">
        <v>137</v>
      </c>
      <c r="C258" s="41" t="s">
        <v>117</v>
      </c>
      <c r="D258" s="40" t="s">
        <v>118</v>
      </c>
      <c r="E258" s="24">
        <v>10000000</v>
      </c>
      <c r="F258" s="39">
        <v>44277</v>
      </c>
      <c r="G258" s="24">
        <v>9266056</v>
      </c>
      <c r="H258" s="23">
        <v>5.0000000000000001E-3</v>
      </c>
      <c r="I258" s="39">
        <v>44531</v>
      </c>
      <c r="J258" s="39">
        <v>44544</v>
      </c>
      <c r="K258" s="24">
        <v>14</v>
      </c>
      <c r="L258" s="24">
        <v>1777</v>
      </c>
      <c r="M258" s="24">
        <v>9174313</v>
      </c>
      <c r="N258" s="39">
        <v>46102</v>
      </c>
    </row>
    <row r="259" spans="1:14" s="5" customFormat="1" outlineLevel="2">
      <c r="A259" s="39" t="s">
        <v>108</v>
      </c>
      <c r="B259" s="40" t="s">
        <v>137</v>
      </c>
      <c r="C259" s="41" t="s">
        <v>117</v>
      </c>
      <c r="D259" s="40"/>
      <c r="E259" s="24"/>
      <c r="F259" s="39"/>
      <c r="G259" s="24">
        <v>9174313</v>
      </c>
      <c r="H259" s="23">
        <v>5.0000000000000001E-3</v>
      </c>
      <c r="I259" s="39">
        <v>44545</v>
      </c>
      <c r="J259" s="39">
        <v>44561</v>
      </c>
      <c r="K259" s="24">
        <v>17</v>
      </c>
      <c r="L259" s="24">
        <v>2136</v>
      </c>
      <c r="M259" s="24"/>
      <c r="N259" s="39">
        <v>46102</v>
      </c>
    </row>
    <row r="260" spans="1:14" s="5" customFormat="1" outlineLevel="2">
      <c r="A260" s="39" t="s">
        <v>108</v>
      </c>
      <c r="B260" s="40" t="s">
        <v>138</v>
      </c>
      <c r="C260" s="41" t="s">
        <v>123</v>
      </c>
      <c r="D260" s="40" t="s">
        <v>124</v>
      </c>
      <c r="E260" s="24">
        <v>51000000</v>
      </c>
      <c r="F260" s="39">
        <v>44294</v>
      </c>
      <c r="G260" s="24">
        <v>51000000</v>
      </c>
      <c r="H260" s="23">
        <v>5.0000000000000001E-3</v>
      </c>
      <c r="I260" s="39">
        <v>44531</v>
      </c>
      <c r="J260" s="39">
        <v>44561</v>
      </c>
      <c r="K260" s="24">
        <v>31</v>
      </c>
      <c r="L260" s="24">
        <v>21658</v>
      </c>
      <c r="M260" s="24">
        <v>51000000</v>
      </c>
      <c r="N260" s="39">
        <v>46119</v>
      </c>
    </row>
    <row r="261" spans="1:14" s="5" customFormat="1" outlineLevel="2">
      <c r="A261" s="39" t="s">
        <v>108</v>
      </c>
      <c r="B261" s="40" t="s">
        <v>139</v>
      </c>
      <c r="C261" s="41" t="s">
        <v>115</v>
      </c>
      <c r="D261" s="40" t="s">
        <v>116</v>
      </c>
      <c r="E261" s="24">
        <v>12000000</v>
      </c>
      <c r="F261" s="39">
        <v>44321</v>
      </c>
      <c r="G261" s="24">
        <v>12000000</v>
      </c>
      <c r="H261" s="23">
        <v>5.0000000000000001E-3</v>
      </c>
      <c r="I261" s="39">
        <v>44531</v>
      </c>
      <c r="J261" s="39">
        <v>44561</v>
      </c>
      <c r="K261" s="24">
        <v>31</v>
      </c>
      <c r="L261" s="24">
        <v>5096</v>
      </c>
      <c r="M261" s="24">
        <v>12000000</v>
      </c>
      <c r="N261" s="39">
        <v>46146</v>
      </c>
    </row>
    <row r="262" spans="1:14" s="5" customFormat="1" outlineLevel="2">
      <c r="A262" s="39" t="s">
        <v>108</v>
      </c>
      <c r="B262" s="40" t="s">
        <v>140</v>
      </c>
      <c r="C262" s="41" t="s">
        <v>115</v>
      </c>
      <c r="D262" s="40" t="s">
        <v>116</v>
      </c>
      <c r="E262" s="24">
        <v>21000000</v>
      </c>
      <c r="F262" s="39">
        <v>44330</v>
      </c>
      <c r="G262" s="24">
        <v>21000000</v>
      </c>
      <c r="H262" s="23">
        <v>5.0000000000000001E-3</v>
      </c>
      <c r="I262" s="39">
        <v>44531</v>
      </c>
      <c r="J262" s="39">
        <v>44561</v>
      </c>
      <c r="K262" s="24">
        <v>31</v>
      </c>
      <c r="L262" s="24">
        <v>8918</v>
      </c>
      <c r="M262" s="24">
        <v>21000000</v>
      </c>
      <c r="N262" s="39">
        <v>46155</v>
      </c>
    </row>
    <row r="263" spans="1:14" s="5" customFormat="1" outlineLevel="2">
      <c r="A263" s="39" t="s">
        <v>108</v>
      </c>
      <c r="B263" s="40" t="s">
        <v>169</v>
      </c>
      <c r="C263" s="41" t="s">
        <v>79</v>
      </c>
      <c r="D263" s="40" t="s">
        <v>80</v>
      </c>
      <c r="E263" s="24">
        <v>39150000</v>
      </c>
      <c r="F263" s="39">
        <v>44336</v>
      </c>
      <c r="G263" s="24">
        <v>39150000</v>
      </c>
      <c r="H263" s="23">
        <v>5.0000000000000001E-3</v>
      </c>
      <c r="I263" s="39">
        <v>44531</v>
      </c>
      <c r="J263" s="39">
        <v>44561</v>
      </c>
      <c r="K263" s="24">
        <v>31</v>
      </c>
      <c r="L263" s="24">
        <v>16625</v>
      </c>
      <c r="M263" s="24">
        <v>39150000</v>
      </c>
      <c r="N263" s="39">
        <v>46161</v>
      </c>
    </row>
    <row r="264" spans="1:14" s="5" customFormat="1" outlineLevel="2">
      <c r="A264" s="39" t="s">
        <v>108</v>
      </c>
      <c r="B264" s="40" t="s">
        <v>170</v>
      </c>
      <c r="C264" s="41" t="s">
        <v>123</v>
      </c>
      <c r="D264" s="40" t="s">
        <v>124</v>
      </c>
      <c r="E264" s="24">
        <v>92500000</v>
      </c>
      <c r="F264" s="39">
        <v>44341</v>
      </c>
      <c r="G264" s="24">
        <v>92500000</v>
      </c>
      <c r="H264" s="23">
        <v>5.0000000000000001E-3</v>
      </c>
      <c r="I264" s="39">
        <v>44531</v>
      </c>
      <c r="J264" s="39">
        <v>44561</v>
      </c>
      <c r="K264" s="24">
        <v>31</v>
      </c>
      <c r="L264" s="24">
        <v>39281</v>
      </c>
      <c r="M264" s="24">
        <v>92500000</v>
      </c>
      <c r="N264" s="39">
        <v>46166</v>
      </c>
    </row>
    <row r="265" spans="1:14" s="5" customFormat="1" outlineLevel="2">
      <c r="A265" s="39" t="s">
        <v>108</v>
      </c>
      <c r="B265" s="40" t="s">
        <v>171</v>
      </c>
      <c r="C265" s="41" t="s">
        <v>123</v>
      </c>
      <c r="D265" s="40" t="s">
        <v>124</v>
      </c>
      <c r="E265" s="24">
        <v>33500000</v>
      </c>
      <c r="F265" s="39">
        <v>44354</v>
      </c>
      <c r="G265" s="24">
        <v>33500000</v>
      </c>
      <c r="H265" s="23">
        <v>5.0000000000000001E-3</v>
      </c>
      <c r="I265" s="39">
        <v>44531</v>
      </c>
      <c r="J265" s="39">
        <v>44561</v>
      </c>
      <c r="K265" s="24">
        <v>31</v>
      </c>
      <c r="L265" s="24">
        <v>14226</v>
      </c>
      <c r="M265" s="24">
        <v>33500000</v>
      </c>
      <c r="N265" s="39">
        <v>46179</v>
      </c>
    </row>
    <row r="266" spans="1:14" s="5" customFormat="1" outlineLevel="2">
      <c r="A266" s="39" t="s">
        <v>108</v>
      </c>
      <c r="B266" s="40" t="s">
        <v>172</v>
      </c>
      <c r="C266" s="41" t="s">
        <v>111</v>
      </c>
      <c r="D266" s="40" t="s">
        <v>112</v>
      </c>
      <c r="E266" s="24">
        <v>810000</v>
      </c>
      <c r="F266" s="39">
        <v>44362</v>
      </c>
      <c r="G266" s="24">
        <v>810000</v>
      </c>
      <c r="H266" s="23">
        <v>5.0000000000000001E-3</v>
      </c>
      <c r="I266" s="39">
        <v>44531</v>
      </c>
      <c r="J266" s="39">
        <v>44561</v>
      </c>
      <c r="K266" s="24">
        <v>31</v>
      </c>
      <c r="L266" s="24">
        <v>344</v>
      </c>
      <c r="M266" s="24">
        <v>810000</v>
      </c>
      <c r="N266" s="39">
        <v>46187</v>
      </c>
    </row>
    <row r="267" spans="1:14" s="5" customFormat="1" outlineLevel="2">
      <c r="A267" s="39" t="s">
        <v>108</v>
      </c>
      <c r="B267" s="40" t="s">
        <v>173</v>
      </c>
      <c r="C267" s="41" t="s">
        <v>111</v>
      </c>
      <c r="D267" s="40" t="s">
        <v>112</v>
      </c>
      <c r="E267" s="24">
        <v>3800000</v>
      </c>
      <c r="F267" s="39">
        <v>44362</v>
      </c>
      <c r="G267" s="24">
        <v>3800000</v>
      </c>
      <c r="H267" s="23">
        <v>5.0000000000000001E-3</v>
      </c>
      <c r="I267" s="39">
        <v>44531</v>
      </c>
      <c r="J267" s="39">
        <v>44561</v>
      </c>
      <c r="K267" s="24">
        <v>31</v>
      </c>
      <c r="L267" s="24">
        <v>1614</v>
      </c>
      <c r="M267" s="24">
        <v>3800000</v>
      </c>
      <c r="N267" s="39">
        <v>46187</v>
      </c>
    </row>
    <row r="268" spans="1:14" s="5" customFormat="1" outlineLevel="2">
      <c r="A268" s="39" t="s">
        <v>108</v>
      </c>
      <c r="B268" s="40" t="s">
        <v>62</v>
      </c>
      <c r="C268" s="41" t="s">
        <v>113</v>
      </c>
      <c r="D268" s="40" t="s">
        <v>114</v>
      </c>
      <c r="E268" s="24">
        <v>28240000</v>
      </c>
      <c r="F268" s="39">
        <v>43951</v>
      </c>
      <c r="G268" s="24">
        <v>21852390</v>
      </c>
      <c r="H268" s="23">
        <v>5.0000000000000001E-3</v>
      </c>
      <c r="I268" s="39">
        <v>44531</v>
      </c>
      <c r="J268" s="39">
        <v>44544</v>
      </c>
      <c r="K268" s="24">
        <v>14</v>
      </c>
      <c r="L268" s="24">
        <v>4191</v>
      </c>
      <c r="M268" s="24">
        <v>21516200</v>
      </c>
      <c r="N268" s="39">
        <v>45776</v>
      </c>
    </row>
    <row r="269" spans="1:14" s="5" customFormat="1" outlineLevel="2">
      <c r="A269" s="39" t="s">
        <v>108</v>
      </c>
      <c r="B269" s="40" t="s">
        <v>62</v>
      </c>
      <c r="C269" s="41" t="s">
        <v>113</v>
      </c>
      <c r="D269" s="40"/>
      <c r="E269" s="24"/>
      <c r="F269" s="39"/>
      <c r="G269" s="24">
        <v>21516200</v>
      </c>
      <c r="H269" s="23">
        <v>5.0000000000000001E-3</v>
      </c>
      <c r="I269" s="39">
        <v>44545</v>
      </c>
      <c r="J269" s="39">
        <v>44561</v>
      </c>
      <c r="K269" s="24">
        <v>17</v>
      </c>
      <c r="L269" s="24">
        <v>5011</v>
      </c>
      <c r="M269" s="24"/>
      <c r="N269" s="39">
        <v>45776</v>
      </c>
    </row>
    <row r="270" spans="1:14" s="5" customFormat="1" outlineLevel="2">
      <c r="A270" s="39" t="s">
        <v>108</v>
      </c>
      <c r="B270" s="40" t="s">
        <v>174</v>
      </c>
      <c r="C270" s="41" t="s">
        <v>117</v>
      </c>
      <c r="D270" s="40" t="s">
        <v>118</v>
      </c>
      <c r="E270" s="24">
        <v>10000000</v>
      </c>
      <c r="F270" s="39">
        <v>44372</v>
      </c>
      <c r="G270" s="24">
        <v>9528305</v>
      </c>
      <c r="H270" s="23">
        <v>5.0000000000000001E-3</v>
      </c>
      <c r="I270" s="39">
        <v>44531</v>
      </c>
      <c r="J270" s="39">
        <v>44544</v>
      </c>
      <c r="K270" s="24">
        <v>14</v>
      </c>
      <c r="L270" s="24">
        <v>1827</v>
      </c>
      <c r="M270" s="24">
        <v>9433966</v>
      </c>
      <c r="N270" s="39">
        <v>46197</v>
      </c>
    </row>
    <row r="271" spans="1:14" s="5" customFormat="1" outlineLevel="2">
      <c r="A271" s="39" t="s">
        <v>108</v>
      </c>
      <c r="B271" s="40" t="s">
        <v>174</v>
      </c>
      <c r="C271" s="41" t="s">
        <v>117</v>
      </c>
      <c r="D271" s="40"/>
      <c r="E271" s="24"/>
      <c r="F271" s="39"/>
      <c r="G271" s="24">
        <v>9433966</v>
      </c>
      <c r="H271" s="23">
        <v>5.0000000000000001E-3</v>
      </c>
      <c r="I271" s="39">
        <v>44545</v>
      </c>
      <c r="J271" s="39">
        <v>44561</v>
      </c>
      <c r="K271" s="24">
        <v>17</v>
      </c>
      <c r="L271" s="24">
        <v>2197</v>
      </c>
      <c r="M271" s="24"/>
      <c r="N271" s="39">
        <v>46197</v>
      </c>
    </row>
    <row r="272" spans="1:14" s="5" customFormat="1" outlineLevel="2">
      <c r="A272" s="39" t="s">
        <v>108</v>
      </c>
      <c r="B272" s="40" t="s">
        <v>175</v>
      </c>
      <c r="C272" s="41" t="s">
        <v>123</v>
      </c>
      <c r="D272" s="40" t="s">
        <v>124</v>
      </c>
      <c r="E272" s="24">
        <v>41700000</v>
      </c>
      <c r="F272" s="39">
        <v>44379</v>
      </c>
      <c r="G272" s="24">
        <v>41700000</v>
      </c>
      <c r="H272" s="23">
        <v>5.0000000000000001E-3</v>
      </c>
      <c r="I272" s="39">
        <v>44531</v>
      </c>
      <c r="J272" s="39">
        <v>44561</v>
      </c>
      <c r="K272" s="24">
        <v>31</v>
      </c>
      <c r="L272" s="24">
        <v>17708</v>
      </c>
      <c r="M272" s="24">
        <v>41700000</v>
      </c>
      <c r="N272" s="39">
        <v>46204</v>
      </c>
    </row>
    <row r="273" spans="1:14" s="5" customFormat="1" outlineLevel="2">
      <c r="A273" s="39" t="s">
        <v>108</v>
      </c>
      <c r="B273" s="40" t="s">
        <v>176</v>
      </c>
      <c r="C273" s="41" t="s">
        <v>113</v>
      </c>
      <c r="D273" s="40" t="s">
        <v>114</v>
      </c>
      <c r="E273" s="24">
        <v>23200000</v>
      </c>
      <c r="F273" s="39">
        <v>44392</v>
      </c>
      <c r="G273" s="24">
        <v>22332712</v>
      </c>
      <c r="H273" s="23">
        <v>5.0000000000000001E-3</v>
      </c>
      <c r="I273" s="39">
        <v>44531</v>
      </c>
      <c r="J273" s="39">
        <v>44544</v>
      </c>
      <c r="K273" s="24">
        <v>14</v>
      </c>
      <c r="L273" s="24">
        <v>4283</v>
      </c>
      <c r="M273" s="24">
        <v>22115890</v>
      </c>
      <c r="N273" s="39">
        <v>46217</v>
      </c>
    </row>
    <row r="274" spans="1:14" s="5" customFormat="1" outlineLevel="2">
      <c r="A274" s="39" t="s">
        <v>108</v>
      </c>
      <c r="B274" s="40" t="s">
        <v>176</v>
      </c>
      <c r="C274" s="41" t="s">
        <v>113</v>
      </c>
      <c r="D274" s="40"/>
      <c r="E274" s="24"/>
      <c r="F274" s="39"/>
      <c r="G274" s="24">
        <v>22115890</v>
      </c>
      <c r="H274" s="23">
        <v>5.0000000000000001E-3</v>
      </c>
      <c r="I274" s="39">
        <v>44545</v>
      </c>
      <c r="J274" s="39">
        <v>44561</v>
      </c>
      <c r="K274" s="24">
        <v>17</v>
      </c>
      <c r="L274" s="24">
        <v>5150</v>
      </c>
      <c r="M274" s="24"/>
      <c r="N274" s="39">
        <v>46217</v>
      </c>
    </row>
    <row r="275" spans="1:14" s="5" customFormat="1" outlineLevel="2">
      <c r="A275" s="39" t="s">
        <v>108</v>
      </c>
      <c r="B275" s="40" t="s">
        <v>177</v>
      </c>
      <c r="C275" s="41" t="s">
        <v>406</v>
      </c>
      <c r="D275" s="40" t="s">
        <v>405</v>
      </c>
      <c r="E275" s="24">
        <v>920000</v>
      </c>
      <c r="F275" s="39">
        <v>44420</v>
      </c>
      <c r="G275" s="24">
        <v>920000</v>
      </c>
      <c r="H275" s="23">
        <v>5.0000000000000001E-3</v>
      </c>
      <c r="I275" s="39">
        <v>44531</v>
      </c>
      <c r="J275" s="39">
        <v>44561</v>
      </c>
      <c r="K275" s="24">
        <v>31</v>
      </c>
      <c r="L275" s="24">
        <v>391</v>
      </c>
      <c r="M275" s="24">
        <v>920000</v>
      </c>
      <c r="N275" s="39">
        <v>45515</v>
      </c>
    </row>
    <row r="276" spans="1:14" s="5" customFormat="1" outlineLevel="2">
      <c r="A276" s="39" t="s">
        <v>108</v>
      </c>
      <c r="B276" s="40" t="s">
        <v>178</v>
      </c>
      <c r="C276" s="41" t="s">
        <v>406</v>
      </c>
      <c r="D276" s="40" t="s">
        <v>405</v>
      </c>
      <c r="E276" s="24">
        <v>4360000</v>
      </c>
      <c r="F276" s="39">
        <v>44420</v>
      </c>
      <c r="G276" s="24">
        <v>4360000</v>
      </c>
      <c r="H276" s="23">
        <v>5.0000000000000001E-3</v>
      </c>
      <c r="I276" s="39">
        <v>44531</v>
      </c>
      <c r="J276" s="39">
        <v>44561</v>
      </c>
      <c r="K276" s="24">
        <v>31</v>
      </c>
      <c r="L276" s="24">
        <v>1852</v>
      </c>
      <c r="M276" s="24">
        <v>4360000</v>
      </c>
      <c r="N276" s="39">
        <v>45515</v>
      </c>
    </row>
    <row r="277" spans="1:14" s="5" customFormat="1" outlineLevel="2">
      <c r="A277" s="39" t="s">
        <v>108</v>
      </c>
      <c r="B277" s="40" t="s">
        <v>179</v>
      </c>
      <c r="C277" s="41" t="s">
        <v>406</v>
      </c>
      <c r="D277" s="40" t="s">
        <v>405</v>
      </c>
      <c r="E277" s="24">
        <v>1740000</v>
      </c>
      <c r="F277" s="39">
        <v>44420</v>
      </c>
      <c r="G277" s="24">
        <v>1740000</v>
      </c>
      <c r="H277" s="23">
        <v>5.0000000000000001E-3</v>
      </c>
      <c r="I277" s="39">
        <v>44531</v>
      </c>
      <c r="J277" s="39">
        <v>44561</v>
      </c>
      <c r="K277" s="24">
        <v>31</v>
      </c>
      <c r="L277" s="24">
        <v>739</v>
      </c>
      <c r="M277" s="24">
        <v>1740000</v>
      </c>
      <c r="N277" s="39">
        <v>45515</v>
      </c>
    </row>
    <row r="278" spans="1:14" s="5" customFormat="1" outlineLevel="2">
      <c r="A278" s="39" t="s">
        <v>108</v>
      </c>
      <c r="B278" s="40" t="s">
        <v>180</v>
      </c>
      <c r="C278" s="41" t="s">
        <v>406</v>
      </c>
      <c r="D278" s="40" t="s">
        <v>405</v>
      </c>
      <c r="E278" s="24">
        <v>25280000</v>
      </c>
      <c r="F278" s="39">
        <v>44420</v>
      </c>
      <c r="G278" s="24">
        <v>25280000</v>
      </c>
      <c r="H278" s="23">
        <v>5.0000000000000001E-3</v>
      </c>
      <c r="I278" s="39">
        <v>44531</v>
      </c>
      <c r="J278" s="39">
        <v>44561</v>
      </c>
      <c r="K278" s="24">
        <v>31</v>
      </c>
      <c r="L278" s="24">
        <v>10735</v>
      </c>
      <c r="M278" s="24">
        <v>25280000</v>
      </c>
      <c r="N278" s="39">
        <v>45515</v>
      </c>
    </row>
    <row r="279" spans="1:14" s="5" customFormat="1" outlineLevel="2">
      <c r="A279" s="39" t="s">
        <v>108</v>
      </c>
      <c r="B279" s="40" t="s">
        <v>181</v>
      </c>
      <c r="C279" s="41" t="s">
        <v>406</v>
      </c>
      <c r="D279" s="40" t="s">
        <v>405</v>
      </c>
      <c r="E279" s="24">
        <v>6500000</v>
      </c>
      <c r="F279" s="39">
        <v>44420</v>
      </c>
      <c r="G279" s="24">
        <v>6500000</v>
      </c>
      <c r="H279" s="23">
        <v>5.0000000000000001E-3</v>
      </c>
      <c r="I279" s="39">
        <v>44531</v>
      </c>
      <c r="J279" s="39">
        <v>44561</v>
      </c>
      <c r="K279" s="24">
        <v>31</v>
      </c>
      <c r="L279" s="24">
        <v>2760</v>
      </c>
      <c r="M279" s="24">
        <v>6500000</v>
      </c>
      <c r="N279" s="39">
        <v>45515</v>
      </c>
    </row>
    <row r="280" spans="1:14" s="5" customFormat="1" outlineLevel="2">
      <c r="A280" s="39" t="s">
        <v>108</v>
      </c>
      <c r="B280" s="40" t="s">
        <v>182</v>
      </c>
      <c r="C280" s="41" t="s">
        <v>406</v>
      </c>
      <c r="D280" s="40" t="s">
        <v>405</v>
      </c>
      <c r="E280" s="24">
        <v>4790000</v>
      </c>
      <c r="F280" s="39">
        <v>44420</v>
      </c>
      <c r="G280" s="24">
        <v>4790000</v>
      </c>
      <c r="H280" s="23">
        <v>5.0000000000000001E-3</v>
      </c>
      <c r="I280" s="39">
        <v>44531</v>
      </c>
      <c r="J280" s="39">
        <v>44561</v>
      </c>
      <c r="K280" s="24">
        <v>31</v>
      </c>
      <c r="L280" s="24">
        <v>2034</v>
      </c>
      <c r="M280" s="24">
        <v>4790000</v>
      </c>
      <c r="N280" s="39">
        <v>45515</v>
      </c>
    </row>
    <row r="281" spans="1:14" s="5" customFormat="1" outlineLevel="2">
      <c r="A281" s="39" t="s">
        <v>108</v>
      </c>
      <c r="B281" s="40" t="s">
        <v>183</v>
      </c>
      <c r="C281" s="41" t="s">
        <v>115</v>
      </c>
      <c r="D281" s="40" t="s">
        <v>116</v>
      </c>
      <c r="E281" s="24">
        <v>4240000</v>
      </c>
      <c r="F281" s="39">
        <v>44427</v>
      </c>
      <c r="G281" s="24">
        <v>4240000</v>
      </c>
      <c r="H281" s="23">
        <v>5.0000000000000001E-3</v>
      </c>
      <c r="I281" s="39">
        <v>44531</v>
      </c>
      <c r="J281" s="39">
        <v>44561</v>
      </c>
      <c r="K281" s="24">
        <v>31</v>
      </c>
      <c r="L281" s="24">
        <v>1801</v>
      </c>
      <c r="M281" s="24">
        <v>4240000</v>
      </c>
      <c r="N281" s="39">
        <v>46252</v>
      </c>
    </row>
    <row r="282" spans="1:14" s="5" customFormat="1" outlineLevel="2">
      <c r="A282" s="39" t="s">
        <v>108</v>
      </c>
      <c r="B282" s="40" t="s">
        <v>63</v>
      </c>
      <c r="C282" s="41" t="s">
        <v>111</v>
      </c>
      <c r="D282" s="40" t="s">
        <v>112</v>
      </c>
      <c r="E282" s="24">
        <v>8000000</v>
      </c>
      <c r="F282" s="39">
        <v>43957</v>
      </c>
      <c r="G282" s="24">
        <v>5466673</v>
      </c>
      <c r="H282" s="23">
        <v>5.0000000000000001E-3</v>
      </c>
      <c r="I282" s="39">
        <v>44531</v>
      </c>
      <c r="J282" s="39">
        <v>44544</v>
      </c>
      <c r="K282" s="24">
        <v>14</v>
      </c>
      <c r="L282" s="24">
        <v>1048</v>
      </c>
      <c r="M282" s="24">
        <v>5333340</v>
      </c>
      <c r="N282" s="39">
        <v>45782</v>
      </c>
    </row>
    <row r="283" spans="1:14" s="5" customFormat="1" outlineLevel="2">
      <c r="A283" s="39" t="s">
        <v>108</v>
      </c>
      <c r="B283" s="40" t="s">
        <v>63</v>
      </c>
      <c r="C283" s="41" t="s">
        <v>111</v>
      </c>
      <c r="D283" s="40"/>
      <c r="E283" s="24"/>
      <c r="F283" s="39"/>
      <c r="G283" s="24">
        <v>5333340</v>
      </c>
      <c r="H283" s="23">
        <v>5.0000000000000001E-3</v>
      </c>
      <c r="I283" s="39">
        <v>44545</v>
      </c>
      <c r="J283" s="39">
        <v>44561</v>
      </c>
      <c r="K283" s="24">
        <v>17</v>
      </c>
      <c r="L283" s="24">
        <v>1242</v>
      </c>
      <c r="M283" s="24"/>
      <c r="N283" s="39">
        <v>45782</v>
      </c>
    </row>
    <row r="284" spans="1:14" s="5" customFormat="1" outlineLevel="2">
      <c r="A284" s="39" t="s">
        <v>108</v>
      </c>
      <c r="B284" s="40" t="s">
        <v>184</v>
      </c>
      <c r="C284" s="41" t="s">
        <v>123</v>
      </c>
      <c r="D284" s="40" t="s">
        <v>124</v>
      </c>
      <c r="E284" s="24">
        <v>19800000</v>
      </c>
      <c r="F284" s="39">
        <v>44410</v>
      </c>
      <c r="G284" s="24">
        <v>19800000</v>
      </c>
      <c r="H284" s="23">
        <v>5.0000000000000001E-3</v>
      </c>
      <c r="I284" s="39">
        <v>44531</v>
      </c>
      <c r="J284" s="39">
        <v>44561</v>
      </c>
      <c r="K284" s="24">
        <v>31</v>
      </c>
      <c r="L284" s="24">
        <v>8408</v>
      </c>
      <c r="M284" s="24">
        <v>19800000</v>
      </c>
      <c r="N284" s="39">
        <v>46235</v>
      </c>
    </row>
    <row r="285" spans="1:14" s="5" customFormat="1" outlineLevel="2">
      <c r="A285" s="39" t="s">
        <v>108</v>
      </c>
      <c r="B285" s="40" t="s">
        <v>185</v>
      </c>
      <c r="C285" s="41" t="s">
        <v>406</v>
      </c>
      <c r="D285" s="40" t="s">
        <v>405</v>
      </c>
      <c r="E285" s="24">
        <v>12710000</v>
      </c>
      <c r="F285" s="39">
        <v>44442</v>
      </c>
      <c r="G285" s="24">
        <v>12710000</v>
      </c>
      <c r="H285" s="23">
        <v>5.0000000000000001E-3</v>
      </c>
      <c r="I285" s="39">
        <v>44531</v>
      </c>
      <c r="J285" s="39">
        <v>44561</v>
      </c>
      <c r="K285" s="24">
        <v>31</v>
      </c>
      <c r="L285" s="24">
        <v>5397</v>
      </c>
      <c r="M285" s="24">
        <v>12710000</v>
      </c>
      <c r="N285" s="39">
        <v>45537</v>
      </c>
    </row>
    <row r="286" spans="1:14" s="5" customFormat="1" outlineLevel="2">
      <c r="A286" s="39" t="s">
        <v>108</v>
      </c>
      <c r="B286" s="40" t="s">
        <v>186</v>
      </c>
      <c r="C286" s="41" t="s">
        <v>406</v>
      </c>
      <c r="D286" s="40" t="s">
        <v>405</v>
      </c>
      <c r="E286" s="24">
        <v>1600000</v>
      </c>
      <c r="F286" s="39">
        <v>44442</v>
      </c>
      <c r="G286" s="24">
        <v>1600000</v>
      </c>
      <c r="H286" s="23">
        <v>5.0000000000000001E-3</v>
      </c>
      <c r="I286" s="39">
        <v>44531</v>
      </c>
      <c r="J286" s="39">
        <v>44561</v>
      </c>
      <c r="K286" s="24">
        <v>31</v>
      </c>
      <c r="L286" s="24">
        <v>679</v>
      </c>
      <c r="M286" s="24">
        <v>1600000</v>
      </c>
      <c r="N286" s="39">
        <v>45537</v>
      </c>
    </row>
    <row r="287" spans="1:14" s="5" customFormat="1" outlineLevel="2">
      <c r="A287" s="39" t="s">
        <v>108</v>
      </c>
      <c r="B287" s="40" t="s">
        <v>189</v>
      </c>
      <c r="C287" s="41" t="s">
        <v>363</v>
      </c>
      <c r="D287" s="40" t="s">
        <v>362</v>
      </c>
      <c r="E287" s="24">
        <v>5790000</v>
      </c>
      <c r="F287" s="39">
        <v>44468</v>
      </c>
      <c r="G287" s="24">
        <v>5790000</v>
      </c>
      <c r="H287" s="23">
        <v>5.0000000000000001E-3</v>
      </c>
      <c r="I287" s="39">
        <v>44531</v>
      </c>
      <c r="J287" s="39">
        <v>44561</v>
      </c>
      <c r="K287" s="24">
        <v>31</v>
      </c>
      <c r="L287" s="24">
        <v>2459</v>
      </c>
      <c r="M287" s="24">
        <v>5790000</v>
      </c>
      <c r="N287" s="39">
        <v>45563</v>
      </c>
    </row>
    <row r="288" spans="1:14" s="5" customFormat="1" outlineLevel="2">
      <c r="A288" s="39" t="s">
        <v>108</v>
      </c>
      <c r="B288" s="40" t="s">
        <v>190</v>
      </c>
      <c r="C288" s="41" t="s">
        <v>123</v>
      </c>
      <c r="D288" s="40" t="s">
        <v>124</v>
      </c>
      <c r="E288" s="24">
        <v>11500000</v>
      </c>
      <c r="F288" s="39">
        <v>44441</v>
      </c>
      <c r="G288" s="24">
        <v>11500000</v>
      </c>
      <c r="H288" s="23">
        <v>5.0000000000000001E-3</v>
      </c>
      <c r="I288" s="39">
        <v>44531</v>
      </c>
      <c r="J288" s="39">
        <v>44561</v>
      </c>
      <c r="K288" s="24">
        <v>31</v>
      </c>
      <c r="L288" s="24">
        <v>4884</v>
      </c>
      <c r="M288" s="24">
        <v>11500000</v>
      </c>
      <c r="N288" s="39">
        <v>46266</v>
      </c>
    </row>
    <row r="289" spans="1:14" s="5" customFormat="1" outlineLevel="2">
      <c r="A289" s="39" t="s">
        <v>108</v>
      </c>
      <c r="B289" s="40" t="s">
        <v>191</v>
      </c>
      <c r="C289" s="41" t="s">
        <v>422</v>
      </c>
      <c r="D289" s="40" t="s">
        <v>421</v>
      </c>
      <c r="E289" s="24">
        <v>100000000</v>
      </c>
      <c r="F289" s="39">
        <v>44468</v>
      </c>
      <c r="G289" s="24">
        <v>100000000</v>
      </c>
      <c r="H289" s="23">
        <v>5.0000000000000001E-3</v>
      </c>
      <c r="I289" s="39">
        <v>44531</v>
      </c>
      <c r="J289" s="39">
        <v>44561</v>
      </c>
      <c r="K289" s="24">
        <v>31</v>
      </c>
      <c r="L289" s="24">
        <v>42466</v>
      </c>
      <c r="M289" s="24">
        <v>100000000</v>
      </c>
      <c r="N289" s="39">
        <v>45563</v>
      </c>
    </row>
    <row r="290" spans="1:14" s="5" customFormat="1" outlineLevel="2">
      <c r="A290" s="39" t="s">
        <v>108</v>
      </c>
      <c r="B290" s="40" t="s">
        <v>192</v>
      </c>
      <c r="C290" s="41" t="s">
        <v>422</v>
      </c>
      <c r="D290" s="40" t="s">
        <v>421</v>
      </c>
      <c r="E290" s="24">
        <v>85600000</v>
      </c>
      <c r="F290" s="39">
        <v>44468</v>
      </c>
      <c r="G290" s="24">
        <v>85600000</v>
      </c>
      <c r="H290" s="23">
        <v>5.0000000000000001E-3</v>
      </c>
      <c r="I290" s="39">
        <v>44531</v>
      </c>
      <c r="J290" s="39">
        <v>44561</v>
      </c>
      <c r="K290" s="24">
        <v>31</v>
      </c>
      <c r="L290" s="24">
        <v>36351</v>
      </c>
      <c r="M290" s="24">
        <v>85600000</v>
      </c>
      <c r="N290" s="39">
        <v>45563</v>
      </c>
    </row>
    <row r="291" spans="1:14" s="5" customFormat="1" outlineLevel="2">
      <c r="A291" s="39" t="s">
        <v>108</v>
      </c>
      <c r="B291" s="40" t="s">
        <v>193</v>
      </c>
      <c r="C291" s="41" t="s">
        <v>113</v>
      </c>
      <c r="D291" s="40" t="s">
        <v>114</v>
      </c>
      <c r="E291" s="24">
        <v>23200000</v>
      </c>
      <c r="F291" s="39">
        <v>44468</v>
      </c>
      <c r="G291" s="24">
        <v>22758096</v>
      </c>
      <c r="H291" s="23">
        <v>5.0000000000000001E-3</v>
      </c>
      <c r="I291" s="39">
        <v>44531</v>
      </c>
      <c r="J291" s="39">
        <v>44544</v>
      </c>
      <c r="K291" s="24">
        <v>14</v>
      </c>
      <c r="L291" s="24">
        <v>4365</v>
      </c>
      <c r="M291" s="24">
        <v>22537144</v>
      </c>
      <c r="N291" s="39">
        <v>46293</v>
      </c>
    </row>
    <row r="292" spans="1:14" s="5" customFormat="1" outlineLevel="2">
      <c r="A292" s="39" t="s">
        <v>108</v>
      </c>
      <c r="B292" s="40" t="s">
        <v>193</v>
      </c>
      <c r="C292" s="41" t="s">
        <v>113</v>
      </c>
      <c r="D292" s="40"/>
      <c r="E292" s="24"/>
      <c r="F292" s="39"/>
      <c r="G292" s="24">
        <v>22537144</v>
      </c>
      <c r="H292" s="23">
        <v>5.0000000000000001E-3</v>
      </c>
      <c r="I292" s="39">
        <v>44545</v>
      </c>
      <c r="J292" s="39">
        <v>44561</v>
      </c>
      <c r="K292" s="24">
        <v>17</v>
      </c>
      <c r="L292" s="24">
        <v>5248</v>
      </c>
      <c r="M292" s="24"/>
      <c r="N292" s="39">
        <v>46293</v>
      </c>
    </row>
    <row r="293" spans="1:14" s="5" customFormat="1" outlineLevel="2">
      <c r="A293" s="39" t="s">
        <v>108</v>
      </c>
      <c r="B293" s="40" t="s">
        <v>194</v>
      </c>
      <c r="C293" s="41" t="s">
        <v>146</v>
      </c>
      <c r="D293" s="40" t="s">
        <v>147</v>
      </c>
      <c r="E293" s="24">
        <v>4900000</v>
      </c>
      <c r="F293" s="39">
        <v>44498</v>
      </c>
      <c r="G293" s="24">
        <v>4900000</v>
      </c>
      <c r="H293" s="23">
        <v>5.0000000000000001E-3</v>
      </c>
      <c r="I293" s="39">
        <v>44531</v>
      </c>
      <c r="J293" s="39">
        <v>44561</v>
      </c>
      <c r="K293" s="24">
        <v>31</v>
      </c>
      <c r="L293" s="24">
        <v>2081</v>
      </c>
      <c r="M293" s="24">
        <v>4900000</v>
      </c>
      <c r="N293" s="39">
        <v>45593</v>
      </c>
    </row>
    <row r="294" spans="1:14" s="5" customFormat="1" outlineLevel="2">
      <c r="A294" s="39" t="s">
        <v>108</v>
      </c>
      <c r="B294" s="40" t="s">
        <v>195</v>
      </c>
      <c r="C294" s="41" t="s">
        <v>146</v>
      </c>
      <c r="D294" s="40" t="s">
        <v>147</v>
      </c>
      <c r="E294" s="24">
        <v>107000000</v>
      </c>
      <c r="F294" s="39">
        <v>44498</v>
      </c>
      <c r="G294" s="24">
        <v>107000000</v>
      </c>
      <c r="H294" s="23">
        <v>5.0000000000000001E-3</v>
      </c>
      <c r="I294" s="39">
        <v>44531</v>
      </c>
      <c r="J294" s="39">
        <v>44561</v>
      </c>
      <c r="K294" s="24">
        <v>31</v>
      </c>
      <c r="L294" s="24">
        <v>45438</v>
      </c>
      <c r="M294" s="24">
        <v>107000000</v>
      </c>
      <c r="N294" s="39">
        <v>45593</v>
      </c>
    </row>
    <row r="295" spans="1:14" s="5" customFormat="1" outlineLevel="2">
      <c r="A295" s="39" t="s">
        <v>108</v>
      </c>
      <c r="B295" s="40" t="s">
        <v>64</v>
      </c>
      <c r="C295" s="41" t="s">
        <v>111</v>
      </c>
      <c r="D295" s="40" t="s">
        <v>112</v>
      </c>
      <c r="E295" s="24">
        <v>5910000</v>
      </c>
      <c r="F295" s="39">
        <v>43966</v>
      </c>
      <c r="G295" s="24">
        <v>5910000</v>
      </c>
      <c r="H295" s="23">
        <v>5.0000000000000001E-3</v>
      </c>
      <c r="I295" s="39">
        <v>44531</v>
      </c>
      <c r="J295" s="39">
        <v>44561</v>
      </c>
      <c r="K295" s="24">
        <v>31</v>
      </c>
      <c r="L295" s="24">
        <v>2510</v>
      </c>
      <c r="M295" s="24">
        <v>5910000</v>
      </c>
      <c r="N295" s="39">
        <v>45791</v>
      </c>
    </row>
    <row r="296" spans="1:14" s="5" customFormat="1" outlineLevel="2">
      <c r="A296" s="39" t="s">
        <v>108</v>
      </c>
      <c r="B296" s="40" t="s">
        <v>196</v>
      </c>
      <c r="C296" s="41" t="s">
        <v>134</v>
      </c>
      <c r="D296" s="40" t="s">
        <v>135</v>
      </c>
      <c r="E296" s="24">
        <v>12900000</v>
      </c>
      <c r="F296" s="39">
        <v>44498</v>
      </c>
      <c r="G296" s="24">
        <v>12792500</v>
      </c>
      <c r="H296" s="23">
        <v>5.0000000000000001E-3</v>
      </c>
      <c r="I296" s="39">
        <v>44531</v>
      </c>
      <c r="J296" s="39">
        <v>44544</v>
      </c>
      <c r="K296" s="24">
        <v>14</v>
      </c>
      <c r="L296" s="24">
        <v>2453</v>
      </c>
      <c r="M296" s="24">
        <v>12685000</v>
      </c>
      <c r="N296" s="39">
        <v>45593</v>
      </c>
    </row>
    <row r="297" spans="1:14" s="5" customFormat="1" outlineLevel="2">
      <c r="A297" s="39" t="s">
        <v>108</v>
      </c>
      <c r="B297" s="40" t="s">
        <v>196</v>
      </c>
      <c r="C297" s="41" t="s">
        <v>134</v>
      </c>
      <c r="D297" s="40"/>
      <c r="E297" s="24"/>
      <c r="F297" s="39"/>
      <c r="G297" s="24">
        <v>12685000</v>
      </c>
      <c r="H297" s="23">
        <v>5.0000000000000001E-3</v>
      </c>
      <c r="I297" s="39">
        <v>44545</v>
      </c>
      <c r="J297" s="39">
        <v>44561</v>
      </c>
      <c r="K297" s="24">
        <v>17</v>
      </c>
      <c r="L297" s="24">
        <v>2954</v>
      </c>
      <c r="M297" s="24"/>
      <c r="N297" s="39">
        <v>45593</v>
      </c>
    </row>
    <row r="298" spans="1:14" s="5" customFormat="1" outlineLevel="2">
      <c r="A298" s="39" t="s">
        <v>108</v>
      </c>
      <c r="B298" s="40" t="s">
        <v>197</v>
      </c>
      <c r="C298" s="41" t="s">
        <v>146</v>
      </c>
      <c r="D298" s="40" t="s">
        <v>147</v>
      </c>
      <c r="E298" s="24">
        <v>21000000</v>
      </c>
      <c r="F298" s="39">
        <v>44529</v>
      </c>
      <c r="G298" s="24">
        <v>21000000</v>
      </c>
      <c r="H298" s="23">
        <v>5.0000000000000001E-3</v>
      </c>
      <c r="I298" s="39">
        <v>44531</v>
      </c>
      <c r="J298" s="39">
        <v>44561</v>
      </c>
      <c r="K298" s="24">
        <v>31</v>
      </c>
      <c r="L298" s="24">
        <v>8918</v>
      </c>
      <c r="M298" s="24">
        <v>21000000</v>
      </c>
      <c r="N298" s="39">
        <v>45624</v>
      </c>
    </row>
    <row r="299" spans="1:14" s="5" customFormat="1" outlineLevel="2">
      <c r="A299" s="39" t="s">
        <v>108</v>
      </c>
      <c r="B299" s="40" t="s">
        <v>198</v>
      </c>
      <c r="C299" s="41" t="s">
        <v>113</v>
      </c>
      <c r="D299" s="40" t="s">
        <v>114</v>
      </c>
      <c r="E299" s="24">
        <v>23200000</v>
      </c>
      <c r="F299" s="39">
        <v>44529</v>
      </c>
      <c r="G299" s="24">
        <v>23200000</v>
      </c>
      <c r="H299" s="23">
        <v>5.0000000000000001E-3</v>
      </c>
      <c r="I299" s="39">
        <v>44531</v>
      </c>
      <c r="J299" s="39">
        <v>44544</v>
      </c>
      <c r="K299" s="24">
        <v>14</v>
      </c>
      <c r="L299" s="24">
        <v>4449</v>
      </c>
      <c r="M299" s="24">
        <v>22974758</v>
      </c>
      <c r="N299" s="39">
        <v>46354</v>
      </c>
    </row>
    <row r="300" spans="1:14" s="5" customFormat="1" outlineLevel="2">
      <c r="A300" s="39" t="s">
        <v>108</v>
      </c>
      <c r="B300" s="40" t="s">
        <v>198</v>
      </c>
      <c r="C300" s="41" t="s">
        <v>113</v>
      </c>
      <c r="D300" s="40"/>
      <c r="E300" s="24"/>
      <c r="F300" s="39"/>
      <c r="G300" s="24">
        <v>22974758</v>
      </c>
      <c r="H300" s="23">
        <v>5.0000000000000001E-3</v>
      </c>
      <c r="I300" s="39">
        <v>44545</v>
      </c>
      <c r="J300" s="39">
        <v>44561</v>
      </c>
      <c r="K300" s="24">
        <v>17</v>
      </c>
      <c r="L300" s="24">
        <v>5350</v>
      </c>
      <c r="M300" s="24"/>
      <c r="N300" s="39">
        <v>46354</v>
      </c>
    </row>
    <row r="301" spans="1:14" s="5" customFormat="1" outlineLevel="2">
      <c r="A301" s="39" t="s">
        <v>108</v>
      </c>
      <c r="B301" s="40" t="s">
        <v>199</v>
      </c>
      <c r="C301" s="41" t="s">
        <v>472</v>
      </c>
      <c r="D301" s="40" t="s">
        <v>471</v>
      </c>
      <c r="E301" s="24">
        <v>62800000</v>
      </c>
      <c r="F301" s="39">
        <v>44547</v>
      </c>
      <c r="G301" s="24">
        <v>62800000</v>
      </c>
      <c r="H301" s="23">
        <v>5.0000000000000001E-3</v>
      </c>
      <c r="I301" s="39">
        <v>44547</v>
      </c>
      <c r="J301" s="39">
        <v>44561</v>
      </c>
      <c r="K301" s="24">
        <v>15</v>
      </c>
      <c r="L301" s="24">
        <v>12904</v>
      </c>
      <c r="M301" s="24">
        <v>62800000</v>
      </c>
      <c r="N301" s="39">
        <v>45642</v>
      </c>
    </row>
    <row r="302" spans="1:14" s="5" customFormat="1" outlineLevel="2">
      <c r="A302" s="39" t="s">
        <v>108</v>
      </c>
      <c r="B302" s="40" t="s">
        <v>200</v>
      </c>
      <c r="C302" s="41" t="s">
        <v>472</v>
      </c>
      <c r="D302" s="40" t="s">
        <v>471</v>
      </c>
      <c r="E302" s="24">
        <v>62800000</v>
      </c>
      <c r="F302" s="39">
        <v>44550</v>
      </c>
      <c r="G302" s="24">
        <v>62800000</v>
      </c>
      <c r="H302" s="23">
        <v>5.0000000000000001E-3</v>
      </c>
      <c r="I302" s="39">
        <v>44550</v>
      </c>
      <c r="J302" s="39">
        <v>44561</v>
      </c>
      <c r="K302" s="24">
        <v>12</v>
      </c>
      <c r="L302" s="24">
        <v>10323</v>
      </c>
      <c r="M302" s="24">
        <v>62800000</v>
      </c>
      <c r="N302" s="39">
        <v>45645</v>
      </c>
    </row>
    <row r="303" spans="1:14" s="5" customFormat="1" outlineLevel="2">
      <c r="A303" s="39" t="s">
        <v>108</v>
      </c>
      <c r="B303" s="40" t="s">
        <v>201</v>
      </c>
      <c r="C303" s="41" t="s">
        <v>134</v>
      </c>
      <c r="D303" s="40" t="s">
        <v>135</v>
      </c>
      <c r="E303" s="24">
        <v>13500000</v>
      </c>
      <c r="F303" s="39">
        <v>44538</v>
      </c>
      <c r="G303" s="24">
        <v>13500000</v>
      </c>
      <c r="H303" s="23">
        <v>5.0000000000000001E-3</v>
      </c>
      <c r="I303" s="39">
        <v>44538</v>
      </c>
      <c r="J303" s="39">
        <v>44544</v>
      </c>
      <c r="K303" s="24">
        <v>7</v>
      </c>
      <c r="L303" s="24">
        <v>1295</v>
      </c>
      <c r="M303" s="24">
        <v>13386555</v>
      </c>
      <c r="N303" s="39">
        <v>45633</v>
      </c>
    </row>
    <row r="304" spans="1:14" s="5" customFormat="1" outlineLevel="2">
      <c r="A304" s="39" t="s">
        <v>108</v>
      </c>
      <c r="B304" s="40" t="s">
        <v>201</v>
      </c>
      <c r="C304" s="41" t="s">
        <v>134</v>
      </c>
      <c r="D304" s="40"/>
      <c r="E304" s="24"/>
      <c r="F304" s="39"/>
      <c r="G304" s="24">
        <v>13386555</v>
      </c>
      <c r="H304" s="23">
        <v>5.0000000000000001E-3</v>
      </c>
      <c r="I304" s="39">
        <v>44545</v>
      </c>
      <c r="J304" s="39">
        <v>44561</v>
      </c>
      <c r="K304" s="24">
        <v>17</v>
      </c>
      <c r="L304" s="24">
        <v>3117</v>
      </c>
      <c r="M304" s="24"/>
      <c r="N304" s="39">
        <v>45633</v>
      </c>
    </row>
    <row r="305" spans="1:14" s="5" customFormat="1" outlineLevel="2">
      <c r="A305" s="39" t="s">
        <v>108</v>
      </c>
      <c r="B305" s="40" t="s">
        <v>65</v>
      </c>
      <c r="C305" s="41" t="s">
        <v>113</v>
      </c>
      <c r="D305" s="40" t="s">
        <v>114</v>
      </c>
      <c r="E305" s="24">
        <v>20510000</v>
      </c>
      <c r="F305" s="39">
        <v>43966</v>
      </c>
      <c r="G305" s="24">
        <v>16062056</v>
      </c>
      <c r="H305" s="23">
        <v>5.0000000000000001E-3</v>
      </c>
      <c r="I305" s="39">
        <v>44531</v>
      </c>
      <c r="J305" s="39">
        <v>44544</v>
      </c>
      <c r="K305" s="24">
        <v>14</v>
      </c>
      <c r="L305" s="24">
        <v>3080</v>
      </c>
      <c r="M305" s="24">
        <v>15814948</v>
      </c>
      <c r="N305" s="39">
        <v>45791</v>
      </c>
    </row>
    <row r="306" spans="1:14" s="5" customFormat="1" outlineLevel="2">
      <c r="A306" s="39" t="s">
        <v>108</v>
      </c>
      <c r="B306" s="40" t="s">
        <v>65</v>
      </c>
      <c r="C306" s="41" t="s">
        <v>113</v>
      </c>
      <c r="D306" s="40"/>
      <c r="E306" s="24"/>
      <c r="F306" s="39"/>
      <c r="G306" s="24">
        <v>15814948</v>
      </c>
      <c r="H306" s="23">
        <v>5.0000000000000001E-3</v>
      </c>
      <c r="I306" s="39">
        <v>44545</v>
      </c>
      <c r="J306" s="39">
        <v>44561</v>
      </c>
      <c r="K306" s="24">
        <v>17</v>
      </c>
      <c r="L306" s="24">
        <v>3683</v>
      </c>
      <c r="M306" s="24"/>
      <c r="N306" s="39">
        <v>45791</v>
      </c>
    </row>
    <row r="307" spans="1:14" s="5" customFormat="1" outlineLevel="2">
      <c r="A307" s="39" t="s">
        <v>108</v>
      </c>
      <c r="B307" s="40" t="s">
        <v>68</v>
      </c>
      <c r="C307" s="41" t="s">
        <v>109</v>
      </c>
      <c r="D307" s="40" t="s">
        <v>110</v>
      </c>
      <c r="E307" s="24">
        <v>33960000</v>
      </c>
      <c r="F307" s="39">
        <v>43978</v>
      </c>
      <c r="G307" s="24">
        <v>33960000</v>
      </c>
      <c r="H307" s="23">
        <v>5.0000000000000001E-3</v>
      </c>
      <c r="I307" s="39">
        <v>44531</v>
      </c>
      <c r="J307" s="39">
        <v>44561</v>
      </c>
      <c r="K307" s="24">
        <v>31</v>
      </c>
      <c r="L307" s="24">
        <v>14421</v>
      </c>
      <c r="M307" s="24">
        <v>33960000</v>
      </c>
      <c r="N307" s="39">
        <v>45803</v>
      </c>
    </row>
    <row r="308" spans="1:14" s="5" customFormat="1" outlineLevel="1">
      <c r="A308" s="42" t="s">
        <v>119</v>
      </c>
      <c r="B308" s="43"/>
      <c r="C308" s="44"/>
      <c r="D308" s="43"/>
      <c r="E308" s="45">
        <v>1650555386</v>
      </c>
      <c r="F308" s="46"/>
      <c r="G308" s="45"/>
      <c r="H308" s="47"/>
      <c r="I308" s="46"/>
      <c r="J308" s="46"/>
      <c r="K308" s="45"/>
      <c r="L308" s="45">
        <v>641947</v>
      </c>
      <c r="M308" s="45">
        <v>1583345208</v>
      </c>
      <c r="N308" s="46"/>
    </row>
    <row r="309" spans="1:14" s="5" customFormat="1" outlineLevel="2">
      <c r="A309" s="39" t="s">
        <v>120</v>
      </c>
      <c r="B309" s="40" t="s">
        <v>16</v>
      </c>
      <c r="C309" s="41" t="s">
        <v>121</v>
      </c>
      <c r="D309" s="40" t="s">
        <v>122</v>
      </c>
      <c r="E309" s="24">
        <v>69000000</v>
      </c>
      <c r="F309" s="39">
        <v>43822</v>
      </c>
      <c r="G309" s="24">
        <v>69000000</v>
      </c>
      <c r="H309" s="23">
        <v>5.0000000000000001E-3</v>
      </c>
      <c r="I309" s="39">
        <v>44531</v>
      </c>
      <c r="J309" s="39">
        <v>44561</v>
      </c>
      <c r="K309" s="24">
        <v>31</v>
      </c>
      <c r="L309" s="24">
        <v>29301</v>
      </c>
      <c r="M309" s="24">
        <v>69000000</v>
      </c>
      <c r="N309" s="39">
        <v>45648</v>
      </c>
    </row>
    <row r="310" spans="1:14" s="5" customFormat="1" outlineLevel="2">
      <c r="A310" s="39" t="s">
        <v>120</v>
      </c>
      <c r="B310" s="40" t="s">
        <v>19</v>
      </c>
      <c r="C310" s="41" t="s">
        <v>37</v>
      </c>
      <c r="D310" s="40" t="s">
        <v>38</v>
      </c>
      <c r="E310" s="24">
        <v>247700000</v>
      </c>
      <c r="F310" s="39">
        <v>43985</v>
      </c>
      <c r="G310" s="24">
        <v>247700000</v>
      </c>
      <c r="H310" s="23">
        <v>5.0000000000000001E-3</v>
      </c>
      <c r="I310" s="39">
        <v>44531</v>
      </c>
      <c r="J310" s="39">
        <v>44561</v>
      </c>
      <c r="K310" s="24">
        <v>31</v>
      </c>
      <c r="L310" s="24">
        <v>105188</v>
      </c>
      <c r="M310" s="24">
        <v>247700000</v>
      </c>
      <c r="N310" s="39">
        <v>45810</v>
      </c>
    </row>
    <row r="311" spans="1:14" s="5" customFormat="1" outlineLevel="2">
      <c r="A311" s="39" t="s">
        <v>120</v>
      </c>
      <c r="B311" s="40" t="s">
        <v>145</v>
      </c>
      <c r="C311" s="41" t="s">
        <v>404</v>
      </c>
      <c r="D311" s="40" t="s">
        <v>403</v>
      </c>
      <c r="E311" s="24">
        <v>6880000</v>
      </c>
      <c r="F311" s="39">
        <v>44539</v>
      </c>
      <c r="G311" s="24">
        <v>6880000</v>
      </c>
      <c r="H311" s="23">
        <v>5.0000000000000001E-3</v>
      </c>
      <c r="I311" s="39">
        <v>44539</v>
      </c>
      <c r="J311" s="39">
        <v>44561</v>
      </c>
      <c r="K311" s="24">
        <v>23</v>
      </c>
      <c r="L311" s="24">
        <v>2168</v>
      </c>
      <c r="M311" s="24">
        <v>6880000</v>
      </c>
      <c r="N311" s="39">
        <v>45634</v>
      </c>
    </row>
    <row r="312" spans="1:14" s="5" customFormat="1" outlineLevel="2">
      <c r="A312" s="39" t="s">
        <v>120</v>
      </c>
      <c r="B312" s="40" t="s">
        <v>148</v>
      </c>
      <c r="C312" s="41" t="s">
        <v>404</v>
      </c>
      <c r="D312" s="40" t="s">
        <v>403</v>
      </c>
      <c r="E312" s="24">
        <v>10050000</v>
      </c>
      <c r="F312" s="39">
        <v>44532</v>
      </c>
      <c r="G312" s="24">
        <v>10050000</v>
      </c>
      <c r="H312" s="23">
        <v>5.0000000000000001E-3</v>
      </c>
      <c r="I312" s="39">
        <v>44532</v>
      </c>
      <c r="J312" s="39">
        <v>44561</v>
      </c>
      <c r="K312" s="24">
        <v>30</v>
      </c>
      <c r="L312" s="24">
        <v>4130</v>
      </c>
      <c r="M312" s="24">
        <v>10050000</v>
      </c>
      <c r="N312" s="39">
        <v>45627</v>
      </c>
    </row>
    <row r="313" spans="1:14" s="5" customFormat="1" outlineLevel="2">
      <c r="A313" s="39" t="s">
        <v>120</v>
      </c>
      <c r="B313" s="40" t="s">
        <v>151</v>
      </c>
      <c r="C313" s="41" t="s">
        <v>404</v>
      </c>
      <c r="D313" s="40" t="s">
        <v>403</v>
      </c>
      <c r="E313" s="24">
        <v>1100000</v>
      </c>
      <c r="F313" s="39">
        <v>44539</v>
      </c>
      <c r="G313" s="24">
        <v>1100000</v>
      </c>
      <c r="H313" s="23">
        <v>5.0000000000000001E-3</v>
      </c>
      <c r="I313" s="39">
        <v>44539</v>
      </c>
      <c r="J313" s="39">
        <v>44561</v>
      </c>
      <c r="K313" s="24">
        <v>23</v>
      </c>
      <c r="L313" s="24">
        <v>347</v>
      </c>
      <c r="M313" s="24">
        <v>1100000</v>
      </c>
      <c r="N313" s="39">
        <v>45634</v>
      </c>
    </row>
    <row r="314" spans="1:14" s="5" customFormat="1" outlineLevel="2">
      <c r="A314" s="39" t="s">
        <v>120</v>
      </c>
      <c r="B314" s="40" t="s">
        <v>152</v>
      </c>
      <c r="C314" s="41" t="s">
        <v>404</v>
      </c>
      <c r="D314" s="40" t="s">
        <v>403</v>
      </c>
      <c r="E314" s="24">
        <v>1070000</v>
      </c>
      <c r="F314" s="39">
        <v>44532</v>
      </c>
      <c r="G314" s="24">
        <v>1070000</v>
      </c>
      <c r="H314" s="23">
        <v>5.0000000000000001E-3</v>
      </c>
      <c r="I314" s="39">
        <v>44532</v>
      </c>
      <c r="J314" s="39">
        <v>44561</v>
      </c>
      <c r="K314" s="24">
        <v>30</v>
      </c>
      <c r="L314" s="24">
        <v>440</v>
      </c>
      <c r="M314" s="24">
        <v>1070000</v>
      </c>
      <c r="N314" s="39">
        <v>45627</v>
      </c>
    </row>
    <row r="315" spans="1:14" s="5" customFormat="1" outlineLevel="2">
      <c r="A315" s="39" t="s">
        <v>120</v>
      </c>
      <c r="B315" s="40" t="s">
        <v>153</v>
      </c>
      <c r="C315" s="41" t="s">
        <v>404</v>
      </c>
      <c r="D315" s="40" t="s">
        <v>403</v>
      </c>
      <c r="E315" s="24">
        <v>1150000</v>
      </c>
      <c r="F315" s="39">
        <v>44539</v>
      </c>
      <c r="G315" s="24">
        <v>1150000</v>
      </c>
      <c r="H315" s="23">
        <v>5.0000000000000001E-3</v>
      </c>
      <c r="I315" s="39">
        <v>44539</v>
      </c>
      <c r="J315" s="39">
        <v>44561</v>
      </c>
      <c r="K315" s="24">
        <v>23</v>
      </c>
      <c r="L315" s="24">
        <v>362</v>
      </c>
      <c r="M315" s="24">
        <v>1150000</v>
      </c>
      <c r="N315" s="39">
        <v>45634</v>
      </c>
    </row>
    <row r="316" spans="1:14" s="5" customFormat="1" outlineLevel="2">
      <c r="A316" s="39" t="s">
        <v>120</v>
      </c>
      <c r="B316" s="40" t="s">
        <v>154</v>
      </c>
      <c r="C316" s="41" t="s">
        <v>404</v>
      </c>
      <c r="D316" s="40" t="s">
        <v>403</v>
      </c>
      <c r="E316" s="24">
        <v>5080000</v>
      </c>
      <c r="F316" s="39">
        <v>44539</v>
      </c>
      <c r="G316" s="24">
        <v>5080000</v>
      </c>
      <c r="H316" s="23">
        <v>5.0000000000000001E-3</v>
      </c>
      <c r="I316" s="39">
        <v>44539</v>
      </c>
      <c r="J316" s="39">
        <v>44561</v>
      </c>
      <c r="K316" s="24">
        <v>23</v>
      </c>
      <c r="L316" s="24">
        <v>1601</v>
      </c>
      <c r="M316" s="24">
        <v>5080000</v>
      </c>
      <c r="N316" s="39">
        <v>45634</v>
      </c>
    </row>
    <row r="317" spans="1:14" s="5" customFormat="1" outlineLevel="2">
      <c r="A317" s="39" t="s">
        <v>120</v>
      </c>
      <c r="B317" s="40" t="s">
        <v>157</v>
      </c>
      <c r="C317" s="41" t="s">
        <v>404</v>
      </c>
      <c r="D317" s="40" t="s">
        <v>403</v>
      </c>
      <c r="E317" s="24">
        <v>1920000</v>
      </c>
      <c r="F317" s="39">
        <v>44551</v>
      </c>
      <c r="G317" s="24">
        <v>1920000</v>
      </c>
      <c r="H317" s="23">
        <v>5.0000000000000001E-3</v>
      </c>
      <c r="I317" s="39">
        <v>44551</v>
      </c>
      <c r="J317" s="39">
        <v>44561</v>
      </c>
      <c r="K317" s="24">
        <v>11</v>
      </c>
      <c r="L317" s="24">
        <v>289</v>
      </c>
      <c r="M317" s="24">
        <v>1920000</v>
      </c>
      <c r="N317" s="39">
        <v>45646</v>
      </c>
    </row>
    <row r="318" spans="1:14" s="5" customFormat="1" outlineLevel="2">
      <c r="A318" s="39" t="s">
        <v>120</v>
      </c>
      <c r="B318" s="40" t="s">
        <v>158</v>
      </c>
      <c r="C318" s="41" t="s">
        <v>246</v>
      </c>
      <c r="D318" s="40" t="s">
        <v>247</v>
      </c>
      <c r="E318" s="24">
        <v>22000000</v>
      </c>
      <c r="F318" s="39">
        <v>44545</v>
      </c>
      <c r="G318" s="24">
        <v>22000000</v>
      </c>
      <c r="H318" s="23">
        <v>5.0000000000000001E-3</v>
      </c>
      <c r="I318" s="39">
        <v>44545</v>
      </c>
      <c r="J318" s="39">
        <v>44561</v>
      </c>
      <c r="K318" s="24">
        <v>17</v>
      </c>
      <c r="L318" s="24">
        <v>5123</v>
      </c>
      <c r="M318" s="24">
        <v>22000000</v>
      </c>
      <c r="N318" s="39">
        <v>46370</v>
      </c>
    </row>
    <row r="319" spans="1:14" s="5" customFormat="1" outlineLevel="2">
      <c r="A319" s="39" t="s">
        <v>120</v>
      </c>
      <c r="B319" s="40" t="s">
        <v>159</v>
      </c>
      <c r="C319" s="41" t="s">
        <v>125</v>
      </c>
      <c r="D319" s="40" t="s">
        <v>126</v>
      </c>
      <c r="E319" s="24">
        <v>27000000</v>
      </c>
      <c r="F319" s="39">
        <v>44537</v>
      </c>
      <c r="G319" s="24">
        <v>27000000</v>
      </c>
      <c r="H319" s="23">
        <v>5.0000000000000001E-3</v>
      </c>
      <c r="I319" s="39">
        <v>44537</v>
      </c>
      <c r="J319" s="39">
        <v>44561</v>
      </c>
      <c r="K319" s="24">
        <v>25</v>
      </c>
      <c r="L319" s="24">
        <v>9247</v>
      </c>
      <c r="M319" s="24">
        <v>27000000</v>
      </c>
      <c r="N319" s="39">
        <v>46362</v>
      </c>
    </row>
    <row r="320" spans="1:14" s="5" customFormat="1" outlineLevel="2">
      <c r="A320" s="39" t="s">
        <v>120</v>
      </c>
      <c r="B320" s="40" t="s">
        <v>320</v>
      </c>
      <c r="C320" s="41" t="s">
        <v>306</v>
      </c>
      <c r="D320" s="40" t="s">
        <v>305</v>
      </c>
      <c r="E320" s="24">
        <v>400000000</v>
      </c>
      <c r="F320" s="39">
        <v>44552</v>
      </c>
      <c r="G320" s="24">
        <v>400000000</v>
      </c>
      <c r="H320" s="23">
        <v>5.0000000000000001E-3</v>
      </c>
      <c r="I320" s="39">
        <v>44552</v>
      </c>
      <c r="J320" s="39">
        <v>44561</v>
      </c>
      <c r="K320" s="24">
        <v>10</v>
      </c>
      <c r="L320" s="24">
        <v>54795</v>
      </c>
      <c r="M320" s="24">
        <v>400000000</v>
      </c>
      <c r="N320" s="39">
        <v>45647</v>
      </c>
    </row>
    <row r="321" spans="1:14" s="5" customFormat="1" outlineLevel="2">
      <c r="A321" s="39" t="s">
        <v>120</v>
      </c>
      <c r="B321" s="40" t="s">
        <v>22</v>
      </c>
      <c r="C321" s="41" t="s">
        <v>123</v>
      </c>
      <c r="D321" s="40" t="s">
        <v>124</v>
      </c>
      <c r="E321" s="24">
        <v>18612000</v>
      </c>
      <c r="F321" s="39">
        <v>43997</v>
      </c>
      <c r="G321" s="24">
        <v>3722400</v>
      </c>
      <c r="H321" s="23">
        <v>5.0000000000000001E-3</v>
      </c>
      <c r="I321" s="39">
        <v>44531</v>
      </c>
      <c r="J321" s="39">
        <v>44561</v>
      </c>
      <c r="K321" s="24">
        <v>31</v>
      </c>
      <c r="L321" s="24">
        <v>1581</v>
      </c>
      <c r="M321" s="24">
        <v>3722400</v>
      </c>
      <c r="N321" s="39">
        <v>45822</v>
      </c>
    </row>
    <row r="322" spans="1:14" s="5" customFormat="1" outlineLevel="2">
      <c r="A322" s="39" t="s">
        <v>120</v>
      </c>
      <c r="B322" s="40" t="s">
        <v>25</v>
      </c>
      <c r="C322" s="41" t="s">
        <v>20</v>
      </c>
      <c r="D322" s="40" t="s">
        <v>21</v>
      </c>
      <c r="E322" s="24">
        <v>624000000</v>
      </c>
      <c r="F322" s="39">
        <v>44014</v>
      </c>
      <c r="G322" s="24">
        <v>624000000</v>
      </c>
      <c r="H322" s="23">
        <v>5.0000000000000001E-3</v>
      </c>
      <c r="I322" s="39">
        <v>44531</v>
      </c>
      <c r="J322" s="39">
        <v>44561</v>
      </c>
      <c r="K322" s="24">
        <v>31</v>
      </c>
      <c r="L322" s="24">
        <v>264986</v>
      </c>
      <c r="M322" s="24">
        <v>624000000</v>
      </c>
      <c r="N322" s="39">
        <v>45839</v>
      </c>
    </row>
    <row r="323" spans="1:14" s="5" customFormat="1" outlineLevel="2">
      <c r="A323" s="39" t="s">
        <v>120</v>
      </c>
      <c r="B323" s="40" t="s">
        <v>26</v>
      </c>
      <c r="C323" s="41" t="s">
        <v>20</v>
      </c>
      <c r="D323" s="40" t="s">
        <v>21</v>
      </c>
      <c r="E323" s="24">
        <v>82000000</v>
      </c>
      <c r="F323" s="39">
        <v>44042</v>
      </c>
      <c r="G323" s="24">
        <v>82000000</v>
      </c>
      <c r="H323" s="23">
        <v>5.0000000000000001E-3</v>
      </c>
      <c r="I323" s="39">
        <v>44531</v>
      </c>
      <c r="J323" s="39">
        <v>44561</v>
      </c>
      <c r="K323" s="24">
        <v>31</v>
      </c>
      <c r="L323" s="24">
        <v>34822</v>
      </c>
      <c r="M323" s="24">
        <v>82000000</v>
      </c>
      <c r="N323" s="39">
        <v>45867</v>
      </c>
    </row>
    <row r="324" spans="1:14" s="5" customFormat="1" outlineLevel="2">
      <c r="A324" s="39" t="s">
        <v>120</v>
      </c>
      <c r="B324" s="40" t="s">
        <v>29</v>
      </c>
      <c r="C324" s="41" t="s">
        <v>20</v>
      </c>
      <c r="D324" s="40" t="s">
        <v>21</v>
      </c>
      <c r="E324" s="24">
        <v>406400000</v>
      </c>
      <c r="F324" s="39">
        <v>44042</v>
      </c>
      <c r="G324" s="24">
        <v>406400000</v>
      </c>
      <c r="H324" s="23">
        <v>3.0000000000000001E-3</v>
      </c>
      <c r="I324" s="39">
        <v>44531</v>
      </c>
      <c r="J324" s="39">
        <v>44561</v>
      </c>
      <c r="K324" s="24">
        <v>31</v>
      </c>
      <c r="L324" s="24">
        <v>103548</v>
      </c>
      <c r="M324" s="24">
        <v>406400000</v>
      </c>
      <c r="N324" s="39">
        <v>45867</v>
      </c>
    </row>
    <row r="325" spans="1:14" s="5" customFormat="1" outlineLevel="2">
      <c r="A325" s="39" t="s">
        <v>120</v>
      </c>
      <c r="B325" s="40" t="s">
        <v>32</v>
      </c>
      <c r="C325" s="41" t="s">
        <v>20</v>
      </c>
      <c r="D325" s="40" t="s">
        <v>21</v>
      </c>
      <c r="E325" s="24">
        <v>51600000</v>
      </c>
      <c r="F325" s="39">
        <v>44042</v>
      </c>
      <c r="G325" s="24">
        <v>51600000</v>
      </c>
      <c r="H325" s="23">
        <v>3.0000000000000001E-3</v>
      </c>
      <c r="I325" s="39">
        <v>44531</v>
      </c>
      <c r="J325" s="39">
        <v>44561</v>
      </c>
      <c r="K325" s="24">
        <v>31</v>
      </c>
      <c r="L325" s="24">
        <v>13147</v>
      </c>
      <c r="M325" s="24">
        <v>51600000</v>
      </c>
      <c r="N325" s="39">
        <v>45867</v>
      </c>
    </row>
    <row r="326" spans="1:14" s="5" customFormat="1" outlineLevel="2">
      <c r="A326" s="39" t="s">
        <v>120</v>
      </c>
      <c r="B326" s="40" t="s">
        <v>33</v>
      </c>
      <c r="C326" s="41" t="s">
        <v>125</v>
      </c>
      <c r="D326" s="40" t="s">
        <v>126</v>
      </c>
      <c r="E326" s="24">
        <v>1850000</v>
      </c>
      <c r="F326" s="39">
        <v>44018</v>
      </c>
      <c r="G326" s="24">
        <v>1850000</v>
      </c>
      <c r="H326" s="23">
        <v>5.0000000000000001E-3</v>
      </c>
      <c r="I326" s="39">
        <v>44531</v>
      </c>
      <c r="J326" s="39">
        <v>44561</v>
      </c>
      <c r="K326" s="24">
        <v>31</v>
      </c>
      <c r="L326" s="24">
        <v>786</v>
      </c>
      <c r="M326" s="24">
        <v>1850000</v>
      </c>
      <c r="N326" s="39">
        <v>45843</v>
      </c>
    </row>
    <row r="327" spans="1:14" s="5" customFormat="1" outlineLevel="2">
      <c r="A327" s="39" t="s">
        <v>120</v>
      </c>
      <c r="B327" s="40" t="s">
        <v>34</v>
      </c>
      <c r="C327" s="41" t="s">
        <v>125</v>
      </c>
      <c r="D327" s="40" t="s">
        <v>126</v>
      </c>
      <c r="E327" s="24">
        <v>5400000</v>
      </c>
      <c r="F327" s="39">
        <v>44019</v>
      </c>
      <c r="G327" s="24">
        <v>5400000</v>
      </c>
      <c r="H327" s="23">
        <v>5.0000000000000001E-3</v>
      </c>
      <c r="I327" s="39">
        <v>44531</v>
      </c>
      <c r="J327" s="39">
        <v>44561</v>
      </c>
      <c r="K327" s="24">
        <v>31</v>
      </c>
      <c r="L327" s="24">
        <v>2293</v>
      </c>
      <c r="M327" s="24">
        <v>5400000</v>
      </c>
      <c r="N327" s="39">
        <v>45844</v>
      </c>
    </row>
    <row r="328" spans="1:14" s="5" customFormat="1" outlineLevel="2">
      <c r="A328" s="39" t="s">
        <v>120</v>
      </c>
      <c r="B328" s="40" t="s">
        <v>35</v>
      </c>
      <c r="C328" s="41" t="s">
        <v>125</v>
      </c>
      <c r="D328" s="40" t="s">
        <v>126</v>
      </c>
      <c r="E328" s="24">
        <v>2300000</v>
      </c>
      <c r="F328" s="39">
        <v>44027</v>
      </c>
      <c r="G328" s="24">
        <v>2300000</v>
      </c>
      <c r="H328" s="23">
        <v>5.0000000000000001E-3</v>
      </c>
      <c r="I328" s="39">
        <v>44531</v>
      </c>
      <c r="J328" s="39">
        <v>44561</v>
      </c>
      <c r="K328" s="24">
        <v>31</v>
      </c>
      <c r="L328" s="24">
        <v>977</v>
      </c>
      <c r="M328" s="24">
        <v>2300000</v>
      </c>
      <c r="N328" s="39">
        <v>45852</v>
      </c>
    </row>
    <row r="329" spans="1:14" s="5" customFormat="1" outlineLevel="2">
      <c r="A329" s="39" t="s">
        <v>120</v>
      </c>
      <c r="B329" s="40" t="s">
        <v>36</v>
      </c>
      <c r="C329" s="41" t="s">
        <v>125</v>
      </c>
      <c r="D329" s="40" t="s">
        <v>126</v>
      </c>
      <c r="E329" s="24">
        <v>16280000</v>
      </c>
      <c r="F329" s="39">
        <v>44041</v>
      </c>
      <c r="G329" s="24">
        <v>16280000</v>
      </c>
      <c r="H329" s="23">
        <v>5.0000000000000001E-3</v>
      </c>
      <c r="I329" s="39">
        <v>44531</v>
      </c>
      <c r="J329" s="39">
        <v>44561</v>
      </c>
      <c r="K329" s="24">
        <v>31</v>
      </c>
      <c r="L329" s="24">
        <v>6913</v>
      </c>
      <c r="M329" s="24">
        <v>16280000</v>
      </c>
      <c r="N329" s="39">
        <v>45866</v>
      </c>
    </row>
    <row r="330" spans="1:14" s="5" customFormat="1" outlineLevel="2">
      <c r="A330" s="39" t="s">
        <v>120</v>
      </c>
      <c r="B330" s="40" t="s">
        <v>39</v>
      </c>
      <c r="C330" s="41" t="s">
        <v>17</v>
      </c>
      <c r="D330" s="40" t="s">
        <v>18</v>
      </c>
      <c r="E330" s="24">
        <v>162300000</v>
      </c>
      <c r="F330" s="39">
        <v>43829</v>
      </c>
      <c r="G330" s="24">
        <v>108200000</v>
      </c>
      <c r="H330" s="23">
        <v>5.0000000000000001E-3</v>
      </c>
      <c r="I330" s="39">
        <v>44531</v>
      </c>
      <c r="J330" s="39">
        <v>44561</v>
      </c>
      <c r="K330" s="24">
        <v>31</v>
      </c>
      <c r="L330" s="24">
        <v>45948</v>
      </c>
      <c r="M330" s="24">
        <v>108200000</v>
      </c>
      <c r="N330" s="39">
        <v>45655</v>
      </c>
    </row>
    <row r="331" spans="1:14" s="5" customFormat="1" outlineLevel="2">
      <c r="A331" s="39" t="s">
        <v>120</v>
      </c>
      <c r="B331" s="40" t="s">
        <v>40</v>
      </c>
      <c r="C331" s="41" t="s">
        <v>71</v>
      </c>
      <c r="D331" s="40" t="s">
        <v>72</v>
      </c>
      <c r="E331" s="24">
        <v>30000000</v>
      </c>
      <c r="F331" s="39">
        <v>44020</v>
      </c>
      <c r="G331" s="24">
        <v>30000000</v>
      </c>
      <c r="H331" s="23">
        <v>5.0000000000000001E-3</v>
      </c>
      <c r="I331" s="39">
        <v>44531</v>
      </c>
      <c r="J331" s="39">
        <v>44561</v>
      </c>
      <c r="K331" s="24">
        <v>31</v>
      </c>
      <c r="L331" s="24">
        <v>12740</v>
      </c>
      <c r="M331" s="24">
        <v>30000000</v>
      </c>
      <c r="N331" s="39">
        <v>45845</v>
      </c>
    </row>
    <row r="332" spans="1:14" s="5" customFormat="1" outlineLevel="2">
      <c r="A332" s="39" t="s">
        <v>120</v>
      </c>
      <c r="B332" s="40" t="s">
        <v>41</v>
      </c>
      <c r="C332" s="41" t="s">
        <v>27</v>
      </c>
      <c r="D332" s="40" t="s">
        <v>28</v>
      </c>
      <c r="E332" s="24">
        <v>35100000</v>
      </c>
      <c r="F332" s="39">
        <v>44013</v>
      </c>
      <c r="G332" s="24">
        <v>31443750</v>
      </c>
      <c r="H332" s="23">
        <v>5.0000000000000001E-3</v>
      </c>
      <c r="I332" s="39">
        <v>44531</v>
      </c>
      <c r="J332" s="39">
        <v>44544</v>
      </c>
      <c r="K332" s="24">
        <v>14</v>
      </c>
      <c r="L332" s="24">
        <v>6030</v>
      </c>
      <c r="M332" s="24">
        <v>30712500</v>
      </c>
      <c r="N332" s="39">
        <v>45838</v>
      </c>
    </row>
    <row r="333" spans="1:14" s="5" customFormat="1" outlineLevel="2">
      <c r="A333" s="39" t="s">
        <v>120</v>
      </c>
      <c r="B333" s="40" t="s">
        <v>41</v>
      </c>
      <c r="C333" s="41" t="s">
        <v>27</v>
      </c>
      <c r="D333" s="40"/>
      <c r="E333" s="24"/>
      <c r="F333" s="39"/>
      <c r="G333" s="24">
        <v>30712500</v>
      </c>
      <c r="H333" s="23">
        <v>5.0000000000000001E-3</v>
      </c>
      <c r="I333" s="39">
        <v>44545</v>
      </c>
      <c r="J333" s="39">
        <v>44561</v>
      </c>
      <c r="K333" s="24">
        <v>17</v>
      </c>
      <c r="L333" s="24">
        <v>7152</v>
      </c>
      <c r="M333" s="24"/>
      <c r="N333" s="39">
        <v>45838</v>
      </c>
    </row>
    <row r="334" spans="1:14" s="5" customFormat="1" outlineLevel="2">
      <c r="A334" s="39" t="s">
        <v>120</v>
      </c>
      <c r="B334" s="40" t="s">
        <v>42</v>
      </c>
      <c r="C334" s="41" t="s">
        <v>27</v>
      </c>
      <c r="D334" s="40" t="s">
        <v>28</v>
      </c>
      <c r="E334" s="24">
        <v>14900000</v>
      </c>
      <c r="F334" s="39">
        <v>44021</v>
      </c>
      <c r="G334" s="24">
        <v>13347920</v>
      </c>
      <c r="H334" s="23">
        <v>5.0000000000000001E-3</v>
      </c>
      <c r="I334" s="39">
        <v>44531</v>
      </c>
      <c r="J334" s="39">
        <v>44544</v>
      </c>
      <c r="K334" s="24">
        <v>14</v>
      </c>
      <c r="L334" s="24">
        <v>2560</v>
      </c>
      <c r="M334" s="24">
        <v>13037504</v>
      </c>
      <c r="N334" s="39">
        <v>45846</v>
      </c>
    </row>
    <row r="335" spans="1:14" s="5" customFormat="1" outlineLevel="2">
      <c r="A335" s="39" t="s">
        <v>120</v>
      </c>
      <c r="B335" s="40" t="s">
        <v>42</v>
      </c>
      <c r="C335" s="41" t="s">
        <v>27</v>
      </c>
      <c r="D335" s="40"/>
      <c r="E335" s="24"/>
      <c r="F335" s="39"/>
      <c r="G335" s="24">
        <v>13037504</v>
      </c>
      <c r="H335" s="23">
        <v>5.0000000000000001E-3</v>
      </c>
      <c r="I335" s="39">
        <v>44545</v>
      </c>
      <c r="J335" s="39">
        <v>44561</v>
      </c>
      <c r="K335" s="24">
        <v>17</v>
      </c>
      <c r="L335" s="24">
        <v>3036</v>
      </c>
      <c r="M335" s="24"/>
      <c r="N335" s="39">
        <v>45846</v>
      </c>
    </row>
    <row r="336" spans="1:14" s="5" customFormat="1" outlineLevel="2">
      <c r="A336" s="39" t="s">
        <v>120</v>
      </c>
      <c r="B336" s="40" t="s">
        <v>43</v>
      </c>
      <c r="C336" s="41" t="s">
        <v>71</v>
      </c>
      <c r="D336" s="40" t="s">
        <v>72</v>
      </c>
      <c r="E336" s="24">
        <v>30000000</v>
      </c>
      <c r="F336" s="39">
        <v>44050</v>
      </c>
      <c r="G336" s="24">
        <v>30000000</v>
      </c>
      <c r="H336" s="23">
        <v>5.0000000000000001E-3</v>
      </c>
      <c r="I336" s="39">
        <v>44531</v>
      </c>
      <c r="J336" s="39">
        <v>44561</v>
      </c>
      <c r="K336" s="24">
        <v>31</v>
      </c>
      <c r="L336" s="24">
        <v>12740</v>
      </c>
      <c r="M336" s="24">
        <v>30000000</v>
      </c>
      <c r="N336" s="39">
        <v>45875</v>
      </c>
    </row>
    <row r="337" spans="1:14" s="5" customFormat="1" outlineLevel="2">
      <c r="A337" s="39" t="s">
        <v>120</v>
      </c>
      <c r="B337" s="40" t="s">
        <v>44</v>
      </c>
      <c r="C337" s="41" t="s">
        <v>83</v>
      </c>
      <c r="D337" s="40" t="s">
        <v>84</v>
      </c>
      <c r="E337" s="24">
        <v>72450000</v>
      </c>
      <c r="F337" s="39">
        <v>44064</v>
      </c>
      <c r="G337" s="24">
        <v>72450000</v>
      </c>
      <c r="H337" s="23">
        <v>5.0000000000000001E-3</v>
      </c>
      <c r="I337" s="39">
        <v>44531</v>
      </c>
      <c r="J337" s="39">
        <v>44561</v>
      </c>
      <c r="K337" s="24">
        <v>31</v>
      </c>
      <c r="L337" s="24">
        <v>30766</v>
      </c>
      <c r="M337" s="24">
        <v>72450000</v>
      </c>
      <c r="N337" s="39">
        <v>45889</v>
      </c>
    </row>
    <row r="338" spans="1:14" s="5" customFormat="1" outlineLevel="2">
      <c r="A338" s="39" t="s">
        <v>120</v>
      </c>
      <c r="B338" s="40" t="s">
        <v>47</v>
      </c>
      <c r="C338" s="41" t="s">
        <v>97</v>
      </c>
      <c r="D338" s="40" t="s">
        <v>98</v>
      </c>
      <c r="E338" s="24">
        <v>77500000</v>
      </c>
      <c r="F338" s="39">
        <v>44060</v>
      </c>
      <c r="G338" s="24">
        <v>77500000</v>
      </c>
      <c r="H338" s="23">
        <v>5.0000000000000001E-3</v>
      </c>
      <c r="I338" s="39">
        <v>44531</v>
      </c>
      <c r="J338" s="39">
        <v>44561</v>
      </c>
      <c r="K338" s="24">
        <v>31</v>
      </c>
      <c r="L338" s="24">
        <v>32911</v>
      </c>
      <c r="M338" s="24">
        <v>77500000</v>
      </c>
      <c r="N338" s="39">
        <v>45885</v>
      </c>
    </row>
    <row r="339" spans="1:14" s="5" customFormat="1" outlineLevel="2">
      <c r="A339" s="39" t="s">
        <v>120</v>
      </c>
      <c r="B339" s="40" t="s">
        <v>50</v>
      </c>
      <c r="C339" s="41" t="s">
        <v>83</v>
      </c>
      <c r="D339" s="40" t="s">
        <v>84</v>
      </c>
      <c r="E339" s="24">
        <v>160000000</v>
      </c>
      <c r="F339" s="39">
        <v>44098</v>
      </c>
      <c r="G339" s="24">
        <v>160000000</v>
      </c>
      <c r="H339" s="23">
        <v>5.0000000000000001E-3</v>
      </c>
      <c r="I339" s="39">
        <v>44531</v>
      </c>
      <c r="J339" s="39">
        <v>44561</v>
      </c>
      <c r="K339" s="24">
        <v>31</v>
      </c>
      <c r="L339" s="24">
        <v>67945</v>
      </c>
      <c r="M339" s="24">
        <v>160000000</v>
      </c>
      <c r="N339" s="39">
        <v>45923</v>
      </c>
    </row>
    <row r="340" spans="1:14" s="5" customFormat="1" outlineLevel="2">
      <c r="A340" s="39" t="s">
        <v>120</v>
      </c>
      <c r="B340" s="40" t="s">
        <v>51</v>
      </c>
      <c r="C340" s="41" t="s">
        <v>128</v>
      </c>
      <c r="D340" s="40" t="s">
        <v>129</v>
      </c>
      <c r="E340" s="24">
        <v>73100000</v>
      </c>
      <c r="F340" s="39">
        <v>44095</v>
      </c>
      <c r="G340" s="24">
        <v>73100000</v>
      </c>
      <c r="H340" s="23">
        <v>5.0000000000000001E-3</v>
      </c>
      <c r="I340" s="39">
        <v>44531</v>
      </c>
      <c r="J340" s="39">
        <v>44561</v>
      </c>
      <c r="K340" s="24">
        <v>31</v>
      </c>
      <c r="L340" s="24">
        <v>31042</v>
      </c>
      <c r="M340" s="24">
        <v>73100000</v>
      </c>
      <c r="N340" s="39">
        <v>45920</v>
      </c>
    </row>
    <row r="341" spans="1:14" s="5" customFormat="1" outlineLevel="2">
      <c r="A341" s="39" t="s">
        <v>120</v>
      </c>
      <c r="B341" s="40" t="s">
        <v>52</v>
      </c>
      <c r="C341" s="41" t="s">
        <v>125</v>
      </c>
      <c r="D341" s="40" t="s">
        <v>126</v>
      </c>
      <c r="E341" s="24">
        <v>3000000</v>
      </c>
      <c r="F341" s="39">
        <v>44132</v>
      </c>
      <c r="G341" s="24">
        <v>3000000</v>
      </c>
      <c r="H341" s="23">
        <v>5.0000000000000001E-3</v>
      </c>
      <c r="I341" s="39">
        <v>44531</v>
      </c>
      <c r="J341" s="39">
        <v>44561</v>
      </c>
      <c r="K341" s="24">
        <v>31</v>
      </c>
      <c r="L341" s="24">
        <v>1274</v>
      </c>
      <c r="M341" s="24">
        <v>3000000</v>
      </c>
      <c r="N341" s="39">
        <v>45957</v>
      </c>
    </row>
    <row r="342" spans="1:14" s="5" customFormat="1" outlineLevel="2">
      <c r="A342" s="39" t="s">
        <v>120</v>
      </c>
      <c r="B342" s="40" t="s">
        <v>53</v>
      </c>
      <c r="C342" s="41" t="s">
        <v>97</v>
      </c>
      <c r="D342" s="40" t="s">
        <v>98</v>
      </c>
      <c r="E342" s="24">
        <v>141000000</v>
      </c>
      <c r="F342" s="39">
        <v>44119</v>
      </c>
      <c r="G342" s="24">
        <v>141000000</v>
      </c>
      <c r="H342" s="23">
        <v>5.0000000000000001E-3</v>
      </c>
      <c r="I342" s="39">
        <v>44531</v>
      </c>
      <c r="J342" s="39">
        <v>44561</v>
      </c>
      <c r="K342" s="24">
        <v>31</v>
      </c>
      <c r="L342" s="24">
        <v>59877</v>
      </c>
      <c r="M342" s="24">
        <v>141000000</v>
      </c>
      <c r="N342" s="39">
        <v>45944</v>
      </c>
    </row>
    <row r="343" spans="1:14" s="5" customFormat="1" outlineLevel="2">
      <c r="A343" s="39" t="s">
        <v>120</v>
      </c>
      <c r="B343" s="40" t="s">
        <v>54</v>
      </c>
      <c r="C343" s="41" t="s">
        <v>20</v>
      </c>
      <c r="D343" s="40" t="s">
        <v>21</v>
      </c>
      <c r="E343" s="24">
        <v>60000000</v>
      </c>
      <c r="F343" s="39">
        <v>43922</v>
      </c>
      <c r="G343" s="24">
        <v>60000000</v>
      </c>
      <c r="H343" s="23">
        <v>3.0000000000000001E-3</v>
      </c>
      <c r="I343" s="39">
        <v>44531</v>
      </c>
      <c r="J343" s="39">
        <v>44561</v>
      </c>
      <c r="K343" s="24">
        <v>31</v>
      </c>
      <c r="L343" s="24">
        <v>15288</v>
      </c>
      <c r="M343" s="24">
        <v>60000000</v>
      </c>
      <c r="N343" s="39">
        <v>45747</v>
      </c>
    </row>
    <row r="344" spans="1:14" s="5" customFormat="1" outlineLevel="2">
      <c r="A344" s="39" t="s">
        <v>120</v>
      </c>
      <c r="B344" s="40" t="s">
        <v>57</v>
      </c>
      <c r="C344" s="41" t="s">
        <v>125</v>
      </c>
      <c r="D344" s="40" t="s">
        <v>126</v>
      </c>
      <c r="E344" s="24">
        <v>2500000</v>
      </c>
      <c r="F344" s="39">
        <v>44146</v>
      </c>
      <c r="G344" s="24">
        <v>2500000</v>
      </c>
      <c r="H344" s="23">
        <v>5.0000000000000001E-3</v>
      </c>
      <c r="I344" s="39">
        <v>44531</v>
      </c>
      <c r="J344" s="39">
        <v>44561</v>
      </c>
      <c r="K344" s="24">
        <v>31</v>
      </c>
      <c r="L344" s="24">
        <v>1062</v>
      </c>
      <c r="M344" s="24">
        <v>2500000</v>
      </c>
      <c r="N344" s="39">
        <v>45971</v>
      </c>
    </row>
    <row r="345" spans="1:14" s="5" customFormat="1" outlineLevel="2">
      <c r="A345" s="39" t="s">
        <v>120</v>
      </c>
      <c r="B345" s="40" t="s">
        <v>58</v>
      </c>
      <c r="C345" s="41" t="s">
        <v>71</v>
      </c>
      <c r="D345" s="40" t="s">
        <v>72</v>
      </c>
      <c r="E345" s="24">
        <v>11610900</v>
      </c>
      <c r="F345" s="39">
        <v>44137</v>
      </c>
      <c r="G345" s="24">
        <v>11610900</v>
      </c>
      <c r="H345" s="23">
        <v>5.0000000000000001E-3</v>
      </c>
      <c r="I345" s="39">
        <v>44531</v>
      </c>
      <c r="J345" s="39">
        <v>44561</v>
      </c>
      <c r="K345" s="24">
        <v>31</v>
      </c>
      <c r="L345" s="24">
        <v>4931</v>
      </c>
      <c r="M345" s="24">
        <v>11610900</v>
      </c>
      <c r="N345" s="39">
        <v>45962</v>
      </c>
    </row>
    <row r="346" spans="1:14" s="5" customFormat="1" outlineLevel="2">
      <c r="A346" s="39" t="s">
        <v>120</v>
      </c>
      <c r="B346" s="40" t="s">
        <v>99</v>
      </c>
      <c r="C346" s="41" t="s">
        <v>130</v>
      </c>
      <c r="D346" s="40" t="s">
        <v>131</v>
      </c>
      <c r="E346" s="24">
        <v>12000000</v>
      </c>
      <c r="F346" s="39">
        <v>44145</v>
      </c>
      <c r="G346" s="24">
        <v>7000000</v>
      </c>
      <c r="H346" s="23">
        <v>5.0000000000000001E-3</v>
      </c>
      <c r="I346" s="39">
        <v>44531</v>
      </c>
      <c r="J346" s="39">
        <v>44561</v>
      </c>
      <c r="K346" s="24">
        <v>31</v>
      </c>
      <c r="L346" s="24">
        <v>2973</v>
      </c>
      <c r="M346" s="24">
        <v>7000000</v>
      </c>
      <c r="N346" s="39">
        <v>45970</v>
      </c>
    </row>
    <row r="347" spans="1:14" s="5" customFormat="1" outlineLevel="2">
      <c r="A347" s="39" t="s">
        <v>120</v>
      </c>
      <c r="B347" s="40" t="s">
        <v>100</v>
      </c>
      <c r="C347" s="41" t="s">
        <v>132</v>
      </c>
      <c r="D347" s="40" t="s">
        <v>133</v>
      </c>
      <c r="E347" s="24">
        <v>23000000</v>
      </c>
      <c r="F347" s="39">
        <v>44137</v>
      </c>
      <c r="G347" s="24">
        <v>18016671</v>
      </c>
      <c r="H347" s="23">
        <v>5.0000000000000001E-3</v>
      </c>
      <c r="I347" s="39">
        <v>44531</v>
      </c>
      <c r="J347" s="39">
        <v>44544</v>
      </c>
      <c r="K347" s="24">
        <v>14</v>
      </c>
      <c r="L347" s="24">
        <v>3455</v>
      </c>
      <c r="M347" s="24">
        <v>17633338</v>
      </c>
      <c r="N347" s="39">
        <v>45962</v>
      </c>
    </row>
    <row r="348" spans="1:14" s="5" customFormat="1" outlineLevel="2">
      <c r="A348" s="39" t="s">
        <v>120</v>
      </c>
      <c r="B348" s="40" t="s">
        <v>100</v>
      </c>
      <c r="C348" s="41" t="s">
        <v>132</v>
      </c>
      <c r="D348" s="40"/>
      <c r="E348" s="24"/>
      <c r="F348" s="39"/>
      <c r="G348" s="24">
        <v>17633338</v>
      </c>
      <c r="H348" s="23">
        <v>5.0000000000000001E-3</v>
      </c>
      <c r="I348" s="39">
        <v>44545</v>
      </c>
      <c r="J348" s="39">
        <v>44561</v>
      </c>
      <c r="K348" s="24">
        <v>17</v>
      </c>
      <c r="L348" s="24">
        <v>4106</v>
      </c>
      <c r="M348" s="24"/>
      <c r="N348" s="39">
        <v>45962</v>
      </c>
    </row>
    <row r="349" spans="1:14" s="5" customFormat="1" outlineLevel="2">
      <c r="A349" s="39" t="s">
        <v>120</v>
      </c>
      <c r="B349" s="40" t="s">
        <v>101</v>
      </c>
      <c r="C349" s="41" t="s">
        <v>132</v>
      </c>
      <c r="D349" s="40" t="s">
        <v>133</v>
      </c>
      <c r="E349" s="24">
        <v>17000000</v>
      </c>
      <c r="F349" s="39">
        <v>44145</v>
      </c>
      <c r="G349" s="24">
        <v>13316671</v>
      </c>
      <c r="H349" s="23">
        <v>5.0000000000000001E-3</v>
      </c>
      <c r="I349" s="39">
        <v>44531</v>
      </c>
      <c r="J349" s="39">
        <v>44544</v>
      </c>
      <c r="K349" s="24">
        <v>14</v>
      </c>
      <c r="L349" s="24">
        <v>2554</v>
      </c>
      <c r="M349" s="24">
        <v>13033338</v>
      </c>
      <c r="N349" s="39">
        <v>45970</v>
      </c>
    </row>
    <row r="350" spans="1:14" s="5" customFormat="1" outlineLevel="2">
      <c r="A350" s="39" t="s">
        <v>120</v>
      </c>
      <c r="B350" s="40" t="s">
        <v>101</v>
      </c>
      <c r="C350" s="41" t="s">
        <v>132</v>
      </c>
      <c r="D350" s="40"/>
      <c r="E350" s="24"/>
      <c r="F350" s="39"/>
      <c r="G350" s="24">
        <v>13033338</v>
      </c>
      <c r="H350" s="23">
        <v>5.0000000000000001E-3</v>
      </c>
      <c r="I350" s="39">
        <v>44545</v>
      </c>
      <c r="J350" s="39">
        <v>44561</v>
      </c>
      <c r="K350" s="24">
        <v>17</v>
      </c>
      <c r="L350" s="24">
        <v>3035</v>
      </c>
      <c r="M350" s="24"/>
      <c r="N350" s="39">
        <v>45970</v>
      </c>
    </row>
    <row r="351" spans="1:14" s="5" customFormat="1" outlineLevel="2">
      <c r="A351" s="39" t="s">
        <v>120</v>
      </c>
      <c r="B351" s="40" t="s">
        <v>102</v>
      </c>
      <c r="C351" s="41" t="s">
        <v>17</v>
      </c>
      <c r="D351" s="40" t="s">
        <v>18</v>
      </c>
      <c r="E351" s="24">
        <v>4591000</v>
      </c>
      <c r="F351" s="39">
        <v>44160</v>
      </c>
      <c r="G351" s="24">
        <v>3672796</v>
      </c>
      <c r="H351" s="23">
        <v>5.0000000000000001E-3</v>
      </c>
      <c r="I351" s="39">
        <v>44531</v>
      </c>
      <c r="J351" s="39">
        <v>44544</v>
      </c>
      <c r="K351" s="24">
        <v>14</v>
      </c>
      <c r="L351" s="24">
        <v>704</v>
      </c>
      <c r="M351" s="24">
        <v>3596279</v>
      </c>
      <c r="N351" s="39">
        <v>45985</v>
      </c>
    </row>
    <row r="352" spans="1:14" s="5" customFormat="1" outlineLevel="2">
      <c r="A352" s="39" t="s">
        <v>120</v>
      </c>
      <c r="B352" s="40" t="s">
        <v>102</v>
      </c>
      <c r="C352" s="41" t="s">
        <v>17</v>
      </c>
      <c r="D352" s="40"/>
      <c r="E352" s="24"/>
      <c r="F352" s="39"/>
      <c r="G352" s="24">
        <v>3596279</v>
      </c>
      <c r="H352" s="23">
        <v>5.0000000000000001E-3</v>
      </c>
      <c r="I352" s="39">
        <v>44545</v>
      </c>
      <c r="J352" s="39">
        <v>44561</v>
      </c>
      <c r="K352" s="24">
        <v>17</v>
      </c>
      <c r="L352" s="24">
        <v>837</v>
      </c>
      <c r="M352" s="24"/>
      <c r="N352" s="39">
        <v>45985</v>
      </c>
    </row>
    <row r="353" spans="1:14" s="5" customFormat="1" outlineLevel="2">
      <c r="A353" s="39" t="s">
        <v>120</v>
      </c>
      <c r="B353" s="40" t="s">
        <v>103</v>
      </c>
      <c r="C353" s="41" t="s">
        <v>83</v>
      </c>
      <c r="D353" s="40" t="s">
        <v>84</v>
      </c>
      <c r="E353" s="24">
        <v>238000000</v>
      </c>
      <c r="F353" s="39">
        <v>44189</v>
      </c>
      <c r="G353" s="24">
        <v>238000000</v>
      </c>
      <c r="H353" s="23">
        <v>5.0000000000000001E-3</v>
      </c>
      <c r="I353" s="39">
        <v>44531</v>
      </c>
      <c r="J353" s="39">
        <v>44561</v>
      </c>
      <c r="K353" s="24">
        <v>31</v>
      </c>
      <c r="L353" s="24">
        <v>101068</v>
      </c>
      <c r="M353" s="24">
        <v>238000000</v>
      </c>
      <c r="N353" s="39">
        <v>46014</v>
      </c>
    </row>
    <row r="354" spans="1:14" s="5" customFormat="1" outlineLevel="2">
      <c r="A354" s="39" t="s">
        <v>120</v>
      </c>
      <c r="B354" s="40" t="s">
        <v>104</v>
      </c>
      <c r="C354" s="41" t="s">
        <v>97</v>
      </c>
      <c r="D354" s="40" t="s">
        <v>98</v>
      </c>
      <c r="E354" s="24">
        <v>17000000</v>
      </c>
      <c r="F354" s="39">
        <v>44180</v>
      </c>
      <c r="G354" s="24">
        <v>17000000</v>
      </c>
      <c r="H354" s="23">
        <v>5.0000000000000001E-3</v>
      </c>
      <c r="I354" s="39">
        <v>44531</v>
      </c>
      <c r="J354" s="39">
        <v>44561</v>
      </c>
      <c r="K354" s="24">
        <v>31</v>
      </c>
      <c r="L354" s="24">
        <v>7219</v>
      </c>
      <c r="M354" s="24">
        <v>17000000</v>
      </c>
      <c r="N354" s="39">
        <v>46005</v>
      </c>
    </row>
    <row r="355" spans="1:14" s="5" customFormat="1" outlineLevel="2">
      <c r="A355" s="39" t="s">
        <v>120</v>
      </c>
      <c r="B355" s="40" t="s">
        <v>105</v>
      </c>
      <c r="C355" s="41" t="s">
        <v>134</v>
      </c>
      <c r="D355" s="40" t="s">
        <v>135</v>
      </c>
      <c r="E355" s="24">
        <v>8000000</v>
      </c>
      <c r="F355" s="39">
        <v>44169</v>
      </c>
      <c r="G355" s="24">
        <v>8000000</v>
      </c>
      <c r="H355" s="23">
        <v>5.0000000000000001E-3</v>
      </c>
      <c r="I355" s="39">
        <v>44531</v>
      </c>
      <c r="J355" s="39">
        <v>44561</v>
      </c>
      <c r="K355" s="24">
        <v>31</v>
      </c>
      <c r="L355" s="24">
        <v>3397</v>
      </c>
      <c r="M355" s="24">
        <v>8000000</v>
      </c>
      <c r="N355" s="39">
        <v>45994</v>
      </c>
    </row>
    <row r="356" spans="1:14" s="5" customFormat="1" outlineLevel="2">
      <c r="A356" s="39" t="s">
        <v>120</v>
      </c>
      <c r="B356" s="40" t="s">
        <v>106</v>
      </c>
      <c r="C356" s="41" t="s">
        <v>134</v>
      </c>
      <c r="D356" s="40" t="s">
        <v>135</v>
      </c>
      <c r="E356" s="24">
        <v>15000000</v>
      </c>
      <c r="F356" s="39">
        <v>44169</v>
      </c>
      <c r="G356" s="24">
        <v>15000000</v>
      </c>
      <c r="H356" s="23">
        <v>5.0000000000000001E-3</v>
      </c>
      <c r="I356" s="39">
        <v>44531</v>
      </c>
      <c r="J356" s="39">
        <v>44561</v>
      </c>
      <c r="K356" s="24">
        <v>31</v>
      </c>
      <c r="L356" s="24">
        <v>6370</v>
      </c>
      <c r="M356" s="24">
        <v>15000000</v>
      </c>
      <c r="N356" s="39">
        <v>45994</v>
      </c>
    </row>
    <row r="357" spans="1:14" s="5" customFormat="1" outlineLevel="2">
      <c r="A357" s="39" t="s">
        <v>120</v>
      </c>
      <c r="B357" s="40" t="s">
        <v>59</v>
      </c>
      <c r="C357" s="41" t="s">
        <v>20</v>
      </c>
      <c r="D357" s="40" t="s">
        <v>21</v>
      </c>
      <c r="E357" s="24">
        <v>144000000</v>
      </c>
      <c r="F357" s="39">
        <v>43922</v>
      </c>
      <c r="G357" s="24">
        <v>144000000</v>
      </c>
      <c r="H357" s="23">
        <v>5.0000000000000001E-3</v>
      </c>
      <c r="I357" s="39">
        <v>44531</v>
      </c>
      <c r="J357" s="39">
        <v>44561</v>
      </c>
      <c r="K357" s="24">
        <v>31</v>
      </c>
      <c r="L357" s="24">
        <v>61151</v>
      </c>
      <c r="M357" s="24">
        <v>144000000</v>
      </c>
      <c r="N357" s="39">
        <v>45747</v>
      </c>
    </row>
    <row r="358" spans="1:14" s="5" customFormat="1" outlineLevel="2">
      <c r="A358" s="39" t="s">
        <v>120</v>
      </c>
      <c r="B358" s="40" t="s">
        <v>136</v>
      </c>
      <c r="C358" s="41" t="s">
        <v>125</v>
      </c>
      <c r="D358" s="40" t="s">
        <v>126</v>
      </c>
      <c r="E358" s="24">
        <v>7000000</v>
      </c>
      <c r="F358" s="39">
        <v>44202</v>
      </c>
      <c r="G358" s="24">
        <v>7000000</v>
      </c>
      <c r="H358" s="23">
        <v>5.0000000000000001E-3</v>
      </c>
      <c r="I358" s="39">
        <v>44531</v>
      </c>
      <c r="J358" s="39">
        <v>44561</v>
      </c>
      <c r="K358" s="24">
        <v>31</v>
      </c>
      <c r="L358" s="24">
        <v>2973</v>
      </c>
      <c r="M358" s="24">
        <v>7000000</v>
      </c>
      <c r="N358" s="39">
        <v>46027</v>
      </c>
    </row>
    <row r="359" spans="1:14" s="5" customFormat="1" outlineLevel="2">
      <c r="A359" s="39" t="s">
        <v>120</v>
      </c>
      <c r="B359" s="40" t="s">
        <v>137</v>
      </c>
      <c r="C359" s="41" t="s">
        <v>125</v>
      </c>
      <c r="D359" s="40" t="s">
        <v>126</v>
      </c>
      <c r="E359" s="24">
        <v>26000000</v>
      </c>
      <c r="F359" s="39">
        <v>44218</v>
      </c>
      <c r="G359" s="24">
        <v>26000000</v>
      </c>
      <c r="H359" s="23">
        <v>5.0000000000000001E-3</v>
      </c>
      <c r="I359" s="39">
        <v>44531</v>
      </c>
      <c r="J359" s="39">
        <v>44561</v>
      </c>
      <c r="K359" s="24">
        <v>31</v>
      </c>
      <c r="L359" s="24">
        <v>11041</v>
      </c>
      <c r="M359" s="24">
        <v>26000000</v>
      </c>
      <c r="N359" s="39">
        <v>46043</v>
      </c>
    </row>
    <row r="360" spans="1:14" s="5" customFormat="1" outlineLevel="2">
      <c r="A360" s="39" t="s">
        <v>120</v>
      </c>
      <c r="B360" s="40" t="s">
        <v>138</v>
      </c>
      <c r="C360" s="41" t="s">
        <v>134</v>
      </c>
      <c r="D360" s="40" t="s">
        <v>135</v>
      </c>
      <c r="E360" s="24">
        <v>15000000</v>
      </c>
      <c r="F360" s="39">
        <v>44200</v>
      </c>
      <c r="G360" s="24">
        <v>15000000</v>
      </c>
      <c r="H360" s="23">
        <v>5.0000000000000001E-3</v>
      </c>
      <c r="I360" s="39">
        <v>44531</v>
      </c>
      <c r="J360" s="39">
        <v>44561</v>
      </c>
      <c r="K360" s="24">
        <v>31</v>
      </c>
      <c r="L360" s="24">
        <v>6370</v>
      </c>
      <c r="M360" s="24">
        <v>15000000</v>
      </c>
      <c r="N360" s="39">
        <v>46025</v>
      </c>
    </row>
    <row r="361" spans="1:14" s="5" customFormat="1" outlineLevel="2">
      <c r="A361" s="39" t="s">
        <v>120</v>
      </c>
      <c r="B361" s="40" t="s">
        <v>139</v>
      </c>
      <c r="C361" s="41" t="s">
        <v>134</v>
      </c>
      <c r="D361" s="40" t="s">
        <v>135</v>
      </c>
      <c r="E361" s="24">
        <v>6000000</v>
      </c>
      <c r="F361" s="39">
        <v>44203</v>
      </c>
      <c r="G361" s="24">
        <v>6000000</v>
      </c>
      <c r="H361" s="23">
        <v>5.0000000000000001E-3</v>
      </c>
      <c r="I361" s="39">
        <v>44531</v>
      </c>
      <c r="J361" s="39">
        <v>44561</v>
      </c>
      <c r="K361" s="24">
        <v>31</v>
      </c>
      <c r="L361" s="24">
        <v>2548</v>
      </c>
      <c r="M361" s="24">
        <v>6000000</v>
      </c>
      <c r="N361" s="39">
        <v>46028</v>
      </c>
    </row>
    <row r="362" spans="1:14" s="5" customFormat="1" outlineLevel="2">
      <c r="A362" s="39" t="s">
        <v>120</v>
      </c>
      <c r="B362" s="40" t="s">
        <v>140</v>
      </c>
      <c r="C362" s="41" t="s">
        <v>134</v>
      </c>
      <c r="D362" s="40" t="s">
        <v>135</v>
      </c>
      <c r="E362" s="24">
        <v>9000000</v>
      </c>
      <c r="F362" s="39">
        <v>44216</v>
      </c>
      <c r="G362" s="24">
        <v>9000000</v>
      </c>
      <c r="H362" s="23">
        <v>5.0000000000000001E-3</v>
      </c>
      <c r="I362" s="39">
        <v>44531</v>
      </c>
      <c r="J362" s="39">
        <v>44561</v>
      </c>
      <c r="K362" s="24">
        <v>31</v>
      </c>
      <c r="L362" s="24">
        <v>3822</v>
      </c>
      <c r="M362" s="24">
        <v>9000000</v>
      </c>
      <c r="N362" s="39">
        <v>46041</v>
      </c>
    </row>
    <row r="363" spans="1:14" s="5" customFormat="1" outlineLevel="2">
      <c r="A363" s="39" t="s">
        <v>120</v>
      </c>
      <c r="B363" s="40" t="s">
        <v>169</v>
      </c>
      <c r="C363" s="41" t="s">
        <v>20</v>
      </c>
      <c r="D363" s="40" t="s">
        <v>21</v>
      </c>
      <c r="E363" s="24">
        <v>150000000</v>
      </c>
      <c r="F363" s="39">
        <v>44231</v>
      </c>
      <c r="G363" s="24">
        <v>150000000</v>
      </c>
      <c r="H363" s="23">
        <v>3.0000000000000001E-3</v>
      </c>
      <c r="I363" s="39">
        <v>44531</v>
      </c>
      <c r="J363" s="39">
        <v>44561</v>
      </c>
      <c r="K363" s="24">
        <v>31</v>
      </c>
      <c r="L363" s="24">
        <v>38219</v>
      </c>
      <c r="M363" s="24">
        <v>150000000</v>
      </c>
      <c r="N363" s="39">
        <v>46056</v>
      </c>
    </row>
    <row r="364" spans="1:14" s="5" customFormat="1" outlineLevel="2">
      <c r="A364" s="39" t="s">
        <v>120</v>
      </c>
      <c r="B364" s="40" t="s">
        <v>170</v>
      </c>
      <c r="C364" s="41" t="s">
        <v>134</v>
      </c>
      <c r="D364" s="40" t="s">
        <v>135</v>
      </c>
      <c r="E364" s="24">
        <v>2000000</v>
      </c>
      <c r="F364" s="39">
        <v>44228</v>
      </c>
      <c r="G364" s="24">
        <v>2000000</v>
      </c>
      <c r="H364" s="23">
        <v>5.0000000000000001E-3</v>
      </c>
      <c r="I364" s="39">
        <v>44531</v>
      </c>
      <c r="J364" s="39">
        <v>44561</v>
      </c>
      <c r="K364" s="24">
        <v>31</v>
      </c>
      <c r="L364" s="24">
        <v>849</v>
      </c>
      <c r="M364" s="24">
        <v>2000000</v>
      </c>
      <c r="N364" s="39">
        <v>46053</v>
      </c>
    </row>
    <row r="365" spans="1:14" s="5" customFormat="1" outlineLevel="2">
      <c r="A365" s="39" t="s">
        <v>120</v>
      </c>
      <c r="B365" s="40" t="s">
        <v>171</v>
      </c>
      <c r="C365" s="41" t="s">
        <v>134</v>
      </c>
      <c r="D365" s="40" t="s">
        <v>135</v>
      </c>
      <c r="E365" s="24">
        <v>13000000</v>
      </c>
      <c r="F365" s="39">
        <v>44231</v>
      </c>
      <c r="G365" s="24">
        <v>13000000</v>
      </c>
      <c r="H365" s="23">
        <v>5.0000000000000001E-3</v>
      </c>
      <c r="I365" s="39">
        <v>44531</v>
      </c>
      <c r="J365" s="39">
        <v>44561</v>
      </c>
      <c r="K365" s="24">
        <v>31</v>
      </c>
      <c r="L365" s="24">
        <v>5521</v>
      </c>
      <c r="M365" s="24">
        <v>13000000</v>
      </c>
      <c r="N365" s="39">
        <v>46056</v>
      </c>
    </row>
    <row r="366" spans="1:14" s="5" customFormat="1" outlineLevel="2">
      <c r="A366" s="39" t="s">
        <v>120</v>
      </c>
      <c r="B366" s="40" t="s">
        <v>172</v>
      </c>
      <c r="C366" s="41" t="s">
        <v>134</v>
      </c>
      <c r="D366" s="40" t="s">
        <v>135</v>
      </c>
      <c r="E366" s="24">
        <v>8000000</v>
      </c>
      <c r="F366" s="39">
        <v>44235</v>
      </c>
      <c r="G366" s="24">
        <v>8000000</v>
      </c>
      <c r="H366" s="23">
        <v>5.0000000000000001E-3</v>
      </c>
      <c r="I366" s="39">
        <v>44531</v>
      </c>
      <c r="J366" s="39">
        <v>44561</v>
      </c>
      <c r="K366" s="24">
        <v>31</v>
      </c>
      <c r="L366" s="24">
        <v>3397</v>
      </c>
      <c r="M366" s="24">
        <v>8000000</v>
      </c>
      <c r="N366" s="39">
        <v>46060</v>
      </c>
    </row>
    <row r="367" spans="1:14" s="5" customFormat="1" outlineLevel="2">
      <c r="A367" s="39" t="s">
        <v>120</v>
      </c>
      <c r="B367" s="40" t="s">
        <v>173</v>
      </c>
      <c r="C367" s="41" t="s">
        <v>134</v>
      </c>
      <c r="D367" s="40" t="s">
        <v>135</v>
      </c>
      <c r="E367" s="24">
        <v>6000000</v>
      </c>
      <c r="F367" s="39">
        <v>44231</v>
      </c>
      <c r="G367" s="24">
        <v>6000000</v>
      </c>
      <c r="H367" s="23">
        <v>5.0000000000000001E-3</v>
      </c>
      <c r="I367" s="39">
        <v>44531</v>
      </c>
      <c r="J367" s="39">
        <v>44561</v>
      </c>
      <c r="K367" s="24">
        <v>31</v>
      </c>
      <c r="L367" s="24">
        <v>2548</v>
      </c>
      <c r="M367" s="24">
        <v>6000000</v>
      </c>
      <c r="N367" s="39">
        <v>46056</v>
      </c>
    </row>
    <row r="368" spans="1:14" s="5" customFormat="1" outlineLevel="2">
      <c r="A368" s="39" t="s">
        <v>120</v>
      </c>
      <c r="B368" s="40" t="s">
        <v>62</v>
      </c>
      <c r="C368" s="41" t="s">
        <v>125</v>
      </c>
      <c r="D368" s="40" t="s">
        <v>126</v>
      </c>
      <c r="E368" s="24">
        <v>34480000</v>
      </c>
      <c r="F368" s="39">
        <v>43980</v>
      </c>
      <c r="G368" s="24">
        <v>34480000</v>
      </c>
      <c r="H368" s="23">
        <v>5.0000000000000001E-3</v>
      </c>
      <c r="I368" s="39">
        <v>44531</v>
      </c>
      <c r="J368" s="39">
        <v>44561</v>
      </c>
      <c r="K368" s="24">
        <v>31</v>
      </c>
      <c r="L368" s="24">
        <v>14642</v>
      </c>
      <c r="M368" s="24">
        <v>34480000</v>
      </c>
      <c r="N368" s="39">
        <v>45805</v>
      </c>
    </row>
    <row r="369" spans="1:14" s="5" customFormat="1" outlineLevel="2">
      <c r="A369" s="39" t="s">
        <v>120</v>
      </c>
      <c r="B369" s="40" t="s">
        <v>174</v>
      </c>
      <c r="C369" s="41" t="s">
        <v>246</v>
      </c>
      <c r="D369" s="40" t="s">
        <v>247</v>
      </c>
      <c r="E369" s="24">
        <v>11000000</v>
      </c>
      <c r="F369" s="39">
        <v>44235</v>
      </c>
      <c r="G369" s="24">
        <v>11000000</v>
      </c>
      <c r="H369" s="23">
        <v>5.0000000000000001E-3</v>
      </c>
      <c r="I369" s="39">
        <v>44531</v>
      </c>
      <c r="J369" s="39">
        <v>44561</v>
      </c>
      <c r="K369" s="24">
        <v>31</v>
      </c>
      <c r="L369" s="24">
        <v>4671</v>
      </c>
      <c r="M369" s="24">
        <v>11000000</v>
      </c>
      <c r="N369" s="39">
        <v>46060</v>
      </c>
    </row>
    <row r="370" spans="1:14" s="5" customFormat="1" outlineLevel="2">
      <c r="A370" s="39" t="s">
        <v>120</v>
      </c>
      <c r="B370" s="40" t="s">
        <v>175</v>
      </c>
      <c r="C370" s="41" t="s">
        <v>246</v>
      </c>
      <c r="D370" s="40" t="s">
        <v>247</v>
      </c>
      <c r="E370" s="24">
        <v>67000000</v>
      </c>
      <c r="F370" s="39">
        <v>44251</v>
      </c>
      <c r="G370" s="24">
        <v>67000000</v>
      </c>
      <c r="H370" s="23">
        <v>5.0000000000000001E-3</v>
      </c>
      <c r="I370" s="39">
        <v>44531</v>
      </c>
      <c r="J370" s="39">
        <v>44561</v>
      </c>
      <c r="K370" s="24">
        <v>31</v>
      </c>
      <c r="L370" s="24">
        <v>28452</v>
      </c>
      <c r="M370" s="24">
        <v>67000000</v>
      </c>
      <c r="N370" s="39">
        <v>46076</v>
      </c>
    </row>
    <row r="371" spans="1:14" s="5" customFormat="1" outlineLevel="2">
      <c r="A371" s="39" t="s">
        <v>120</v>
      </c>
      <c r="B371" s="40" t="s">
        <v>176</v>
      </c>
      <c r="C371" s="41" t="s">
        <v>306</v>
      </c>
      <c r="D371" s="40" t="s">
        <v>305</v>
      </c>
      <c r="E371" s="24">
        <v>320000000</v>
      </c>
      <c r="F371" s="39">
        <v>44228</v>
      </c>
      <c r="G371" s="24">
        <v>320000000</v>
      </c>
      <c r="H371" s="23">
        <v>5.0000000000000001E-3</v>
      </c>
      <c r="I371" s="39">
        <v>44531</v>
      </c>
      <c r="J371" s="39">
        <v>44561</v>
      </c>
      <c r="K371" s="24">
        <v>31</v>
      </c>
      <c r="L371" s="24">
        <v>135890</v>
      </c>
      <c r="M371" s="24">
        <v>320000000</v>
      </c>
      <c r="N371" s="39">
        <v>46053</v>
      </c>
    </row>
    <row r="372" spans="1:14" s="5" customFormat="1" outlineLevel="2">
      <c r="A372" s="39" t="s">
        <v>120</v>
      </c>
      <c r="B372" s="40" t="s">
        <v>177</v>
      </c>
      <c r="C372" s="41" t="s">
        <v>306</v>
      </c>
      <c r="D372" s="40" t="s">
        <v>305</v>
      </c>
      <c r="E372" s="24">
        <v>17000000</v>
      </c>
      <c r="F372" s="39">
        <v>44246</v>
      </c>
      <c r="G372" s="24">
        <v>17000000</v>
      </c>
      <c r="H372" s="23">
        <v>5.0000000000000001E-3</v>
      </c>
      <c r="I372" s="39">
        <v>44531</v>
      </c>
      <c r="J372" s="39">
        <v>44561</v>
      </c>
      <c r="K372" s="24">
        <v>31</v>
      </c>
      <c r="L372" s="24">
        <v>7219</v>
      </c>
      <c r="M372" s="24">
        <v>17000000</v>
      </c>
      <c r="N372" s="39">
        <v>46071</v>
      </c>
    </row>
    <row r="373" spans="1:14" s="5" customFormat="1" outlineLevel="2">
      <c r="A373" s="39" t="s">
        <v>120</v>
      </c>
      <c r="B373" s="40" t="s">
        <v>178</v>
      </c>
      <c r="C373" s="41" t="s">
        <v>71</v>
      </c>
      <c r="D373" s="40" t="s">
        <v>72</v>
      </c>
      <c r="E373" s="24">
        <v>19980000</v>
      </c>
      <c r="F373" s="39">
        <v>44252</v>
      </c>
      <c r="G373" s="24">
        <v>19980000</v>
      </c>
      <c r="H373" s="23">
        <v>5.0000000000000001E-3</v>
      </c>
      <c r="I373" s="39">
        <v>44531</v>
      </c>
      <c r="J373" s="39">
        <v>44561</v>
      </c>
      <c r="K373" s="24">
        <v>31</v>
      </c>
      <c r="L373" s="24">
        <v>8485</v>
      </c>
      <c r="M373" s="24">
        <v>19980000</v>
      </c>
      <c r="N373" s="39">
        <v>46077</v>
      </c>
    </row>
    <row r="374" spans="1:14" s="5" customFormat="1" outlineLevel="2">
      <c r="A374" s="39" t="s">
        <v>120</v>
      </c>
      <c r="B374" s="40" t="s">
        <v>179</v>
      </c>
      <c r="C374" s="41" t="s">
        <v>219</v>
      </c>
      <c r="D374" s="40" t="s">
        <v>220</v>
      </c>
      <c r="E374" s="24">
        <v>9000000</v>
      </c>
      <c r="F374" s="39">
        <v>44253</v>
      </c>
      <c r="G374" s="24">
        <v>9000000</v>
      </c>
      <c r="H374" s="23">
        <v>5.0000000000000001E-3</v>
      </c>
      <c r="I374" s="39">
        <v>44531</v>
      </c>
      <c r="J374" s="39">
        <v>44561</v>
      </c>
      <c r="K374" s="24">
        <v>31</v>
      </c>
      <c r="L374" s="24">
        <v>3822</v>
      </c>
      <c r="M374" s="24">
        <v>9000000</v>
      </c>
      <c r="N374" s="39">
        <v>46078</v>
      </c>
    </row>
    <row r="375" spans="1:14" s="5" customFormat="1" outlineLevel="2">
      <c r="A375" s="39" t="s">
        <v>120</v>
      </c>
      <c r="B375" s="40" t="s">
        <v>180</v>
      </c>
      <c r="C375" s="41" t="s">
        <v>219</v>
      </c>
      <c r="D375" s="40" t="s">
        <v>220</v>
      </c>
      <c r="E375" s="24">
        <v>17000000</v>
      </c>
      <c r="F375" s="39">
        <v>44253</v>
      </c>
      <c r="G375" s="24">
        <v>17000000</v>
      </c>
      <c r="H375" s="23">
        <v>5.0000000000000001E-3</v>
      </c>
      <c r="I375" s="39">
        <v>44531</v>
      </c>
      <c r="J375" s="39">
        <v>44561</v>
      </c>
      <c r="K375" s="24">
        <v>31</v>
      </c>
      <c r="L375" s="24">
        <v>7219</v>
      </c>
      <c r="M375" s="24">
        <v>17000000</v>
      </c>
      <c r="N375" s="39">
        <v>46078</v>
      </c>
    </row>
    <row r="376" spans="1:14" s="5" customFormat="1" outlineLevel="2">
      <c r="A376" s="39" t="s">
        <v>120</v>
      </c>
      <c r="B376" s="40" t="s">
        <v>181</v>
      </c>
      <c r="C376" s="41" t="s">
        <v>37</v>
      </c>
      <c r="D376" s="40" t="s">
        <v>38</v>
      </c>
      <c r="E376" s="24">
        <v>90862000</v>
      </c>
      <c r="F376" s="39">
        <v>44285</v>
      </c>
      <c r="G376" s="24">
        <v>90862000</v>
      </c>
      <c r="H376" s="23">
        <v>5.0000000000000001E-3</v>
      </c>
      <c r="I376" s="39">
        <v>44531</v>
      </c>
      <c r="J376" s="39">
        <v>44561</v>
      </c>
      <c r="K376" s="24">
        <v>31</v>
      </c>
      <c r="L376" s="24">
        <v>38585</v>
      </c>
      <c r="M376" s="24">
        <v>90862000</v>
      </c>
      <c r="N376" s="39">
        <v>46110</v>
      </c>
    </row>
    <row r="377" spans="1:14" s="5" customFormat="1" outlineLevel="2">
      <c r="A377" s="39" t="s">
        <v>120</v>
      </c>
      <c r="B377" s="40" t="s">
        <v>182</v>
      </c>
      <c r="C377" s="41" t="s">
        <v>37</v>
      </c>
      <c r="D377" s="40" t="s">
        <v>38</v>
      </c>
      <c r="E377" s="24">
        <v>49390000</v>
      </c>
      <c r="F377" s="39">
        <v>44285</v>
      </c>
      <c r="G377" s="24">
        <v>49390000</v>
      </c>
      <c r="H377" s="23">
        <v>5.0000000000000001E-3</v>
      </c>
      <c r="I377" s="39">
        <v>44531</v>
      </c>
      <c r="J377" s="39">
        <v>44561</v>
      </c>
      <c r="K377" s="24">
        <v>31</v>
      </c>
      <c r="L377" s="24">
        <v>20974</v>
      </c>
      <c r="M377" s="24">
        <v>49390000</v>
      </c>
      <c r="N377" s="39">
        <v>46110</v>
      </c>
    </row>
    <row r="378" spans="1:14" s="5" customFormat="1" outlineLevel="2">
      <c r="A378" s="39" t="s">
        <v>120</v>
      </c>
      <c r="B378" s="40" t="s">
        <v>183</v>
      </c>
      <c r="C378" s="41" t="s">
        <v>134</v>
      </c>
      <c r="D378" s="40" t="s">
        <v>135</v>
      </c>
      <c r="E378" s="24">
        <v>9000000</v>
      </c>
      <c r="F378" s="39">
        <v>44285</v>
      </c>
      <c r="G378" s="24">
        <v>9000000</v>
      </c>
      <c r="H378" s="23">
        <v>5.0000000000000001E-3</v>
      </c>
      <c r="I378" s="39">
        <v>44531</v>
      </c>
      <c r="J378" s="39">
        <v>44561</v>
      </c>
      <c r="K378" s="24">
        <v>31</v>
      </c>
      <c r="L378" s="24">
        <v>3822</v>
      </c>
      <c r="M378" s="24">
        <v>9000000</v>
      </c>
      <c r="N378" s="39">
        <v>46110</v>
      </c>
    </row>
    <row r="379" spans="1:14" s="5" customFormat="1" outlineLevel="2">
      <c r="A379" s="39" t="s">
        <v>120</v>
      </c>
      <c r="B379" s="40" t="s">
        <v>63</v>
      </c>
      <c r="C379" s="41" t="s">
        <v>66</v>
      </c>
      <c r="D379" s="40" t="s">
        <v>67</v>
      </c>
      <c r="E379" s="24">
        <v>56000000</v>
      </c>
      <c r="F379" s="39">
        <v>43966</v>
      </c>
      <c r="G379" s="24">
        <v>56000000</v>
      </c>
      <c r="H379" s="23">
        <v>5.0000000000000001E-3</v>
      </c>
      <c r="I379" s="39">
        <v>44531</v>
      </c>
      <c r="J379" s="39">
        <v>44561</v>
      </c>
      <c r="K379" s="24">
        <v>31</v>
      </c>
      <c r="L379" s="24">
        <v>23781</v>
      </c>
      <c r="M379" s="24">
        <v>56000000</v>
      </c>
      <c r="N379" s="39">
        <v>45791</v>
      </c>
    </row>
    <row r="380" spans="1:14" s="5" customFormat="1" outlineLevel="2">
      <c r="A380" s="39" t="s">
        <v>120</v>
      </c>
      <c r="B380" s="40" t="s">
        <v>184</v>
      </c>
      <c r="C380" s="41" t="s">
        <v>125</v>
      </c>
      <c r="D380" s="40" t="s">
        <v>126</v>
      </c>
      <c r="E380" s="24">
        <v>28000000</v>
      </c>
      <c r="F380" s="39">
        <v>44264</v>
      </c>
      <c r="G380" s="24">
        <v>28000000</v>
      </c>
      <c r="H380" s="23">
        <v>5.0000000000000001E-3</v>
      </c>
      <c r="I380" s="39">
        <v>44531</v>
      </c>
      <c r="J380" s="39">
        <v>44561</v>
      </c>
      <c r="K380" s="24">
        <v>31</v>
      </c>
      <c r="L380" s="24">
        <v>11890</v>
      </c>
      <c r="M380" s="24">
        <v>28000000</v>
      </c>
      <c r="N380" s="39">
        <v>46089</v>
      </c>
    </row>
    <row r="381" spans="1:14" s="5" customFormat="1" outlineLevel="2">
      <c r="A381" s="39" t="s">
        <v>120</v>
      </c>
      <c r="B381" s="40" t="s">
        <v>185</v>
      </c>
      <c r="C381" s="41" t="s">
        <v>125</v>
      </c>
      <c r="D381" s="40" t="s">
        <v>126</v>
      </c>
      <c r="E381" s="24">
        <v>26000000</v>
      </c>
      <c r="F381" s="39">
        <v>44264</v>
      </c>
      <c r="G381" s="24">
        <v>26000000</v>
      </c>
      <c r="H381" s="23">
        <v>5.0000000000000001E-3</v>
      </c>
      <c r="I381" s="39">
        <v>44531</v>
      </c>
      <c r="J381" s="39">
        <v>44561</v>
      </c>
      <c r="K381" s="24">
        <v>31</v>
      </c>
      <c r="L381" s="24">
        <v>11041</v>
      </c>
      <c r="M381" s="24">
        <v>26000000</v>
      </c>
      <c r="N381" s="39">
        <v>46089</v>
      </c>
    </row>
    <row r="382" spans="1:14" s="5" customFormat="1" outlineLevel="2">
      <c r="A382" s="39" t="s">
        <v>120</v>
      </c>
      <c r="B382" s="40" t="s">
        <v>186</v>
      </c>
      <c r="C382" s="41" t="s">
        <v>30</v>
      </c>
      <c r="D382" s="40" t="s">
        <v>31</v>
      </c>
      <c r="E382" s="24">
        <v>60000000</v>
      </c>
      <c r="F382" s="39">
        <v>44272</v>
      </c>
      <c r="G382" s="24">
        <v>60000000</v>
      </c>
      <c r="H382" s="23">
        <v>5.0000000000000001E-3</v>
      </c>
      <c r="I382" s="39">
        <v>44531</v>
      </c>
      <c r="J382" s="39">
        <v>44561</v>
      </c>
      <c r="K382" s="24">
        <v>31</v>
      </c>
      <c r="L382" s="24">
        <v>25479</v>
      </c>
      <c r="M382" s="24">
        <v>60000000</v>
      </c>
      <c r="N382" s="39">
        <v>46097</v>
      </c>
    </row>
    <row r="383" spans="1:14" s="5" customFormat="1" outlineLevel="2">
      <c r="A383" s="39" t="s">
        <v>120</v>
      </c>
      <c r="B383" s="40" t="s">
        <v>189</v>
      </c>
      <c r="C383" s="41" t="s">
        <v>324</v>
      </c>
      <c r="D383" s="40" t="s">
        <v>323</v>
      </c>
      <c r="E383" s="24">
        <v>37000000</v>
      </c>
      <c r="F383" s="39">
        <v>44270</v>
      </c>
      <c r="G383" s="24">
        <v>34533328</v>
      </c>
      <c r="H383" s="23">
        <v>5.0000000000000001E-3</v>
      </c>
      <c r="I383" s="39">
        <v>44531</v>
      </c>
      <c r="J383" s="39">
        <v>44544</v>
      </c>
      <c r="K383" s="24">
        <v>14</v>
      </c>
      <c r="L383" s="24">
        <v>6623</v>
      </c>
      <c r="M383" s="24">
        <v>34224994</v>
      </c>
      <c r="N383" s="39">
        <v>46095</v>
      </c>
    </row>
    <row r="384" spans="1:14" s="5" customFormat="1" outlineLevel="2">
      <c r="A384" s="39" t="s">
        <v>120</v>
      </c>
      <c r="B384" s="40" t="s">
        <v>189</v>
      </c>
      <c r="C384" s="41" t="s">
        <v>324</v>
      </c>
      <c r="D384" s="40"/>
      <c r="E384" s="24"/>
      <c r="F384" s="39"/>
      <c r="G384" s="24">
        <v>34224994</v>
      </c>
      <c r="H384" s="23">
        <v>5.0000000000000001E-3</v>
      </c>
      <c r="I384" s="39">
        <v>44545</v>
      </c>
      <c r="J384" s="39">
        <v>44561</v>
      </c>
      <c r="K384" s="24">
        <v>17</v>
      </c>
      <c r="L384" s="24">
        <v>7970</v>
      </c>
      <c r="M384" s="24"/>
      <c r="N384" s="39">
        <v>46095</v>
      </c>
    </row>
    <row r="385" spans="1:14" s="5" customFormat="1" outlineLevel="2">
      <c r="A385" s="39" t="s">
        <v>120</v>
      </c>
      <c r="B385" s="40" t="s">
        <v>190</v>
      </c>
      <c r="C385" s="41" t="s">
        <v>324</v>
      </c>
      <c r="D385" s="40" t="s">
        <v>323</v>
      </c>
      <c r="E385" s="24">
        <v>23000000</v>
      </c>
      <c r="F385" s="39">
        <v>44270</v>
      </c>
      <c r="G385" s="24">
        <v>20809520</v>
      </c>
      <c r="H385" s="23">
        <v>5.0000000000000001E-3</v>
      </c>
      <c r="I385" s="39">
        <v>44531</v>
      </c>
      <c r="J385" s="39">
        <v>44544</v>
      </c>
      <c r="K385" s="24">
        <v>14</v>
      </c>
      <c r="L385" s="24">
        <v>3991</v>
      </c>
      <c r="M385" s="24">
        <v>20535710</v>
      </c>
      <c r="N385" s="39">
        <v>46095</v>
      </c>
    </row>
    <row r="386" spans="1:14" s="5" customFormat="1" outlineLevel="2">
      <c r="A386" s="39" t="s">
        <v>120</v>
      </c>
      <c r="B386" s="40" t="s">
        <v>190</v>
      </c>
      <c r="C386" s="41" t="s">
        <v>324</v>
      </c>
      <c r="D386" s="40"/>
      <c r="E386" s="24"/>
      <c r="F386" s="39"/>
      <c r="G386" s="24">
        <v>20535710</v>
      </c>
      <c r="H386" s="23">
        <v>5.0000000000000001E-3</v>
      </c>
      <c r="I386" s="39">
        <v>44545</v>
      </c>
      <c r="J386" s="39">
        <v>44561</v>
      </c>
      <c r="K386" s="24">
        <v>17</v>
      </c>
      <c r="L386" s="24">
        <v>4782</v>
      </c>
      <c r="M386" s="24"/>
      <c r="N386" s="39">
        <v>46095</v>
      </c>
    </row>
    <row r="387" spans="1:14" s="5" customFormat="1" outlineLevel="2">
      <c r="A387" s="39" t="s">
        <v>120</v>
      </c>
      <c r="B387" s="40" t="s">
        <v>191</v>
      </c>
      <c r="C387" s="41" t="s">
        <v>324</v>
      </c>
      <c r="D387" s="40" t="s">
        <v>323</v>
      </c>
      <c r="E387" s="24">
        <v>30000000</v>
      </c>
      <c r="F387" s="39">
        <v>44270</v>
      </c>
      <c r="G387" s="24">
        <v>27142856</v>
      </c>
      <c r="H387" s="23">
        <v>5.0000000000000001E-3</v>
      </c>
      <c r="I387" s="39">
        <v>44531</v>
      </c>
      <c r="J387" s="39">
        <v>44544</v>
      </c>
      <c r="K387" s="24">
        <v>14</v>
      </c>
      <c r="L387" s="24">
        <v>5205</v>
      </c>
      <c r="M387" s="24">
        <v>26785713</v>
      </c>
      <c r="N387" s="39">
        <v>46095</v>
      </c>
    </row>
    <row r="388" spans="1:14" s="5" customFormat="1" outlineLevel="2">
      <c r="A388" s="39" t="s">
        <v>120</v>
      </c>
      <c r="B388" s="40" t="s">
        <v>191</v>
      </c>
      <c r="C388" s="41" t="s">
        <v>324</v>
      </c>
      <c r="D388" s="40"/>
      <c r="E388" s="24"/>
      <c r="F388" s="39"/>
      <c r="G388" s="24">
        <v>26785713</v>
      </c>
      <c r="H388" s="23">
        <v>5.0000000000000001E-3</v>
      </c>
      <c r="I388" s="39">
        <v>44545</v>
      </c>
      <c r="J388" s="39">
        <v>44561</v>
      </c>
      <c r="K388" s="24">
        <v>17</v>
      </c>
      <c r="L388" s="24">
        <v>6238</v>
      </c>
      <c r="M388" s="24"/>
      <c r="N388" s="39">
        <v>46095</v>
      </c>
    </row>
    <row r="389" spans="1:14" s="5" customFormat="1" outlineLevel="2">
      <c r="A389" s="39" t="s">
        <v>120</v>
      </c>
      <c r="B389" s="40" t="s">
        <v>192</v>
      </c>
      <c r="C389" s="41" t="s">
        <v>341</v>
      </c>
      <c r="D389" s="40" t="s">
        <v>340</v>
      </c>
      <c r="E389" s="24">
        <v>33600000</v>
      </c>
      <c r="F389" s="39">
        <v>44314</v>
      </c>
      <c r="G389" s="24">
        <v>33600000</v>
      </c>
      <c r="H389" s="23">
        <v>5.0000000000000001E-3</v>
      </c>
      <c r="I389" s="39">
        <v>44531</v>
      </c>
      <c r="J389" s="39">
        <v>44561</v>
      </c>
      <c r="K389" s="24">
        <v>31</v>
      </c>
      <c r="L389" s="24">
        <v>14268</v>
      </c>
      <c r="M389" s="24">
        <v>33600000</v>
      </c>
      <c r="N389" s="39">
        <v>46139</v>
      </c>
    </row>
    <row r="390" spans="1:14" s="5" customFormat="1" outlineLevel="2">
      <c r="A390" s="39" t="s">
        <v>120</v>
      </c>
      <c r="B390" s="40" t="s">
        <v>193</v>
      </c>
      <c r="C390" s="41" t="s">
        <v>219</v>
      </c>
      <c r="D390" s="40" t="s">
        <v>220</v>
      </c>
      <c r="E390" s="24">
        <v>22000000</v>
      </c>
      <c r="F390" s="39">
        <v>44314</v>
      </c>
      <c r="G390" s="24">
        <v>22000000</v>
      </c>
      <c r="H390" s="23">
        <v>5.0000000000000001E-3</v>
      </c>
      <c r="I390" s="39">
        <v>44531</v>
      </c>
      <c r="J390" s="39">
        <v>44561</v>
      </c>
      <c r="K390" s="24">
        <v>31</v>
      </c>
      <c r="L390" s="24">
        <v>9342</v>
      </c>
      <c r="M390" s="24">
        <v>22000000</v>
      </c>
      <c r="N390" s="39">
        <v>46139</v>
      </c>
    </row>
    <row r="391" spans="1:14" s="5" customFormat="1" outlineLevel="2">
      <c r="A391" s="39" t="s">
        <v>120</v>
      </c>
      <c r="B391" s="40" t="s">
        <v>194</v>
      </c>
      <c r="C391" s="41" t="s">
        <v>345</v>
      </c>
      <c r="D391" s="40" t="s">
        <v>344</v>
      </c>
      <c r="E391" s="24">
        <v>16000000</v>
      </c>
      <c r="F391" s="39">
        <v>44315</v>
      </c>
      <c r="G391" s="24">
        <v>16000000</v>
      </c>
      <c r="H391" s="23">
        <v>3.0000000000000001E-3</v>
      </c>
      <c r="I391" s="39">
        <v>44531</v>
      </c>
      <c r="J391" s="39">
        <v>44561</v>
      </c>
      <c r="K391" s="24">
        <v>31</v>
      </c>
      <c r="L391" s="24">
        <v>4077</v>
      </c>
      <c r="M391" s="24">
        <v>16000000</v>
      </c>
      <c r="N391" s="39">
        <v>46140</v>
      </c>
    </row>
    <row r="392" spans="1:14" s="5" customFormat="1" outlineLevel="2">
      <c r="A392" s="39" t="s">
        <v>120</v>
      </c>
      <c r="B392" s="40" t="s">
        <v>195</v>
      </c>
      <c r="C392" s="41" t="s">
        <v>363</v>
      </c>
      <c r="D392" s="40" t="s">
        <v>362</v>
      </c>
      <c r="E392" s="24">
        <v>3800000</v>
      </c>
      <c r="F392" s="39">
        <v>44309</v>
      </c>
      <c r="G392" s="24">
        <v>3800000</v>
      </c>
      <c r="H392" s="23">
        <v>5.0000000000000001E-3</v>
      </c>
      <c r="I392" s="39">
        <v>44531</v>
      </c>
      <c r="J392" s="39">
        <v>44561</v>
      </c>
      <c r="K392" s="24">
        <v>31</v>
      </c>
      <c r="L392" s="24">
        <v>1614</v>
      </c>
      <c r="M392" s="24">
        <v>3800000</v>
      </c>
      <c r="N392" s="39">
        <v>46134</v>
      </c>
    </row>
    <row r="393" spans="1:14" s="5" customFormat="1" outlineLevel="2">
      <c r="A393" s="39" t="s">
        <v>120</v>
      </c>
      <c r="B393" s="40" t="s">
        <v>64</v>
      </c>
      <c r="C393" s="41" t="s">
        <v>20</v>
      </c>
      <c r="D393" s="40" t="s">
        <v>21</v>
      </c>
      <c r="E393" s="24">
        <v>150000000</v>
      </c>
      <c r="F393" s="39">
        <v>43958</v>
      </c>
      <c r="G393" s="24">
        <v>150000000</v>
      </c>
      <c r="H393" s="23">
        <v>5.0000000000000001E-3</v>
      </c>
      <c r="I393" s="39">
        <v>44531</v>
      </c>
      <c r="J393" s="39">
        <v>44561</v>
      </c>
      <c r="K393" s="24">
        <v>31</v>
      </c>
      <c r="L393" s="24">
        <v>63699</v>
      </c>
      <c r="M393" s="24">
        <v>150000000</v>
      </c>
      <c r="N393" s="39">
        <v>45783</v>
      </c>
    </row>
    <row r="394" spans="1:14" s="5" customFormat="1" outlineLevel="2">
      <c r="A394" s="39" t="s">
        <v>120</v>
      </c>
      <c r="B394" s="40" t="s">
        <v>196</v>
      </c>
      <c r="C394" s="41" t="s">
        <v>17</v>
      </c>
      <c r="D394" s="40" t="s">
        <v>18</v>
      </c>
      <c r="E394" s="24">
        <v>2245530</v>
      </c>
      <c r="F394" s="39">
        <v>44334</v>
      </c>
      <c r="G394" s="24">
        <v>1996026</v>
      </c>
      <c r="H394" s="23">
        <v>5.0000000000000001E-3</v>
      </c>
      <c r="I394" s="39">
        <v>44531</v>
      </c>
      <c r="J394" s="39">
        <v>44544</v>
      </c>
      <c r="K394" s="24">
        <v>14</v>
      </c>
      <c r="L394" s="24">
        <v>383</v>
      </c>
      <c r="M394" s="24">
        <v>1954442</v>
      </c>
      <c r="N394" s="39">
        <v>46159</v>
      </c>
    </row>
    <row r="395" spans="1:14" s="5" customFormat="1" outlineLevel="2">
      <c r="A395" s="39" t="s">
        <v>120</v>
      </c>
      <c r="B395" s="40" t="s">
        <v>196</v>
      </c>
      <c r="C395" s="41" t="s">
        <v>17</v>
      </c>
      <c r="D395" s="40"/>
      <c r="E395" s="24"/>
      <c r="F395" s="39"/>
      <c r="G395" s="24">
        <v>1954442</v>
      </c>
      <c r="H395" s="23">
        <v>5.0000000000000001E-3</v>
      </c>
      <c r="I395" s="39">
        <v>44545</v>
      </c>
      <c r="J395" s="39">
        <v>44561</v>
      </c>
      <c r="K395" s="24">
        <v>17</v>
      </c>
      <c r="L395" s="24">
        <v>455</v>
      </c>
      <c r="M395" s="24"/>
      <c r="N395" s="39">
        <v>46159</v>
      </c>
    </row>
    <row r="396" spans="1:14" s="5" customFormat="1" outlineLevel="2">
      <c r="A396" s="39" t="s">
        <v>120</v>
      </c>
      <c r="B396" s="40" t="s">
        <v>197</v>
      </c>
      <c r="C396" s="41" t="s">
        <v>134</v>
      </c>
      <c r="D396" s="40" t="s">
        <v>135</v>
      </c>
      <c r="E396" s="24">
        <v>1000000</v>
      </c>
      <c r="F396" s="39">
        <v>44376</v>
      </c>
      <c r="G396" s="24">
        <v>1000000</v>
      </c>
      <c r="H396" s="23">
        <v>5.0000000000000001E-3</v>
      </c>
      <c r="I396" s="39">
        <v>44531</v>
      </c>
      <c r="J396" s="39">
        <v>44561</v>
      </c>
      <c r="K396" s="24">
        <v>31</v>
      </c>
      <c r="L396" s="24">
        <v>425</v>
      </c>
      <c r="M396" s="24">
        <v>1000000</v>
      </c>
      <c r="N396" s="39">
        <v>46201</v>
      </c>
    </row>
    <row r="397" spans="1:14" s="5" customFormat="1" outlineLevel="2">
      <c r="A397" s="39" t="s">
        <v>120</v>
      </c>
      <c r="B397" s="40" t="s">
        <v>198</v>
      </c>
      <c r="C397" s="41" t="s">
        <v>134</v>
      </c>
      <c r="D397" s="40" t="s">
        <v>135</v>
      </c>
      <c r="E397" s="24">
        <v>3000000</v>
      </c>
      <c r="F397" s="39">
        <v>44376</v>
      </c>
      <c r="G397" s="24">
        <v>3000000</v>
      </c>
      <c r="H397" s="23">
        <v>5.0000000000000001E-3</v>
      </c>
      <c r="I397" s="39">
        <v>44531</v>
      </c>
      <c r="J397" s="39">
        <v>44561</v>
      </c>
      <c r="K397" s="24">
        <v>31</v>
      </c>
      <c r="L397" s="24">
        <v>1274</v>
      </c>
      <c r="M397" s="24">
        <v>3000000</v>
      </c>
      <c r="N397" s="39">
        <v>46201</v>
      </c>
    </row>
    <row r="398" spans="1:14" s="5" customFormat="1" outlineLevel="2">
      <c r="A398" s="39" t="s">
        <v>120</v>
      </c>
      <c r="B398" s="40" t="s">
        <v>199</v>
      </c>
      <c r="C398" s="41" t="s">
        <v>219</v>
      </c>
      <c r="D398" s="40" t="s">
        <v>220</v>
      </c>
      <c r="E398" s="24">
        <v>28000000</v>
      </c>
      <c r="F398" s="39">
        <v>44375</v>
      </c>
      <c r="G398" s="24">
        <v>28000000</v>
      </c>
      <c r="H398" s="23">
        <v>5.0000000000000001E-3</v>
      </c>
      <c r="I398" s="39">
        <v>44531</v>
      </c>
      <c r="J398" s="39">
        <v>44561</v>
      </c>
      <c r="K398" s="24">
        <v>31</v>
      </c>
      <c r="L398" s="24">
        <v>11890</v>
      </c>
      <c r="M398" s="24">
        <v>28000000</v>
      </c>
      <c r="N398" s="39">
        <v>46200</v>
      </c>
    </row>
    <row r="399" spans="1:14" s="5" customFormat="1" outlineLevel="2">
      <c r="A399" s="39" t="s">
        <v>120</v>
      </c>
      <c r="B399" s="40" t="s">
        <v>200</v>
      </c>
      <c r="C399" s="41" t="s">
        <v>20</v>
      </c>
      <c r="D399" s="40" t="s">
        <v>21</v>
      </c>
      <c r="E399" s="24">
        <v>79200000</v>
      </c>
      <c r="F399" s="39">
        <v>44405</v>
      </c>
      <c r="G399" s="24">
        <v>79200000</v>
      </c>
      <c r="H399" s="23">
        <v>3.0000000000000001E-3</v>
      </c>
      <c r="I399" s="39">
        <v>44531</v>
      </c>
      <c r="J399" s="39">
        <v>44561</v>
      </c>
      <c r="K399" s="24">
        <v>31</v>
      </c>
      <c r="L399" s="24">
        <v>20180</v>
      </c>
      <c r="M399" s="24">
        <v>79200000</v>
      </c>
      <c r="N399" s="39">
        <v>46230</v>
      </c>
    </row>
    <row r="400" spans="1:14" s="5" customFormat="1" outlineLevel="2">
      <c r="A400" s="39" t="s">
        <v>120</v>
      </c>
      <c r="B400" s="40" t="s">
        <v>201</v>
      </c>
      <c r="C400" s="41" t="s">
        <v>125</v>
      </c>
      <c r="D400" s="40" t="s">
        <v>126</v>
      </c>
      <c r="E400" s="24">
        <v>6000000</v>
      </c>
      <c r="F400" s="39">
        <v>44386</v>
      </c>
      <c r="G400" s="24">
        <v>6000000</v>
      </c>
      <c r="H400" s="23">
        <v>5.0000000000000001E-3</v>
      </c>
      <c r="I400" s="39">
        <v>44531</v>
      </c>
      <c r="J400" s="39">
        <v>44561</v>
      </c>
      <c r="K400" s="24">
        <v>31</v>
      </c>
      <c r="L400" s="24">
        <v>2548</v>
      </c>
      <c r="M400" s="24">
        <v>6000000</v>
      </c>
      <c r="N400" s="39">
        <v>46211</v>
      </c>
    </row>
    <row r="401" spans="1:14" s="5" customFormat="1" outlineLevel="2">
      <c r="A401" s="39" t="s">
        <v>120</v>
      </c>
      <c r="B401" s="40" t="s">
        <v>202</v>
      </c>
      <c r="C401" s="41" t="s">
        <v>404</v>
      </c>
      <c r="D401" s="40" t="s">
        <v>403</v>
      </c>
      <c r="E401" s="24">
        <v>63360000</v>
      </c>
      <c r="F401" s="39">
        <v>44438</v>
      </c>
      <c r="G401" s="24">
        <v>63360000</v>
      </c>
      <c r="H401" s="23">
        <v>5.0000000000000001E-3</v>
      </c>
      <c r="I401" s="39">
        <v>44531</v>
      </c>
      <c r="J401" s="39">
        <v>44561</v>
      </c>
      <c r="K401" s="24">
        <v>31</v>
      </c>
      <c r="L401" s="24">
        <v>26906</v>
      </c>
      <c r="M401" s="24">
        <v>63360000</v>
      </c>
      <c r="N401" s="39">
        <v>45533</v>
      </c>
    </row>
    <row r="402" spans="1:14" s="5" customFormat="1" outlineLevel="2">
      <c r="A402" s="39" t="s">
        <v>120</v>
      </c>
      <c r="B402" s="40" t="s">
        <v>203</v>
      </c>
      <c r="C402" s="41" t="s">
        <v>37</v>
      </c>
      <c r="D402" s="40" t="s">
        <v>38</v>
      </c>
      <c r="E402" s="24">
        <v>6249000</v>
      </c>
      <c r="F402" s="39">
        <v>44454</v>
      </c>
      <c r="G402" s="24">
        <v>6249000</v>
      </c>
      <c r="H402" s="23">
        <v>5.0000000000000001E-3</v>
      </c>
      <c r="I402" s="39">
        <v>44531</v>
      </c>
      <c r="J402" s="39">
        <v>44561</v>
      </c>
      <c r="K402" s="24">
        <v>31</v>
      </c>
      <c r="L402" s="24">
        <v>2654</v>
      </c>
      <c r="M402" s="24">
        <v>6249000</v>
      </c>
      <c r="N402" s="39">
        <v>46279</v>
      </c>
    </row>
    <row r="403" spans="1:14" s="5" customFormat="1" outlineLevel="2">
      <c r="A403" s="39" t="s">
        <v>120</v>
      </c>
      <c r="B403" s="40" t="s">
        <v>204</v>
      </c>
      <c r="C403" s="41" t="s">
        <v>37</v>
      </c>
      <c r="D403" s="40" t="s">
        <v>38</v>
      </c>
      <c r="E403" s="24">
        <v>193961000</v>
      </c>
      <c r="F403" s="39">
        <v>44454</v>
      </c>
      <c r="G403" s="24">
        <v>193961000</v>
      </c>
      <c r="H403" s="23">
        <v>5.0000000000000001E-3</v>
      </c>
      <c r="I403" s="39">
        <v>44531</v>
      </c>
      <c r="J403" s="39">
        <v>44561</v>
      </c>
      <c r="K403" s="24">
        <v>31</v>
      </c>
      <c r="L403" s="24">
        <v>82367</v>
      </c>
      <c r="M403" s="24">
        <v>193961000</v>
      </c>
      <c r="N403" s="39">
        <v>46279</v>
      </c>
    </row>
    <row r="404" spans="1:14" s="5" customFormat="1" outlineLevel="2">
      <c r="A404" s="39" t="s">
        <v>120</v>
      </c>
      <c r="B404" s="40" t="s">
        <v>205</v>
      </c>
      <c r="C404" s="41" t="s">
        <v>97</v>
      </c>
      <c r="D404" s="40" t="s">
        <v>98</v>
      </c>
      <c r="E404" s="24">
        <v>188800000</v>
      </c>
      <c r="F404" s="39">
        <v>44454</v>
      </c>
      <c r="G404" s="24">
        <v>188800000</v>
      </c>
      <c r="H404" s="23">
        <v>5.0000000000000001E-3</v>
      </c>
      <c r="I404" s="39">
        <v>44531</v>
      </c>
      <c r="J404" s="39">
        <v>44561</v>
      </c>
      <c r="K404" s="24">
        <v>31</v>
      </c>
      <c r="L404" s="24">
        <v>80175</v>
      </c>
      <c r="M404" s="24">
        <v>188800000</v>
      </c>
      <c r="N404" s="39">
        <v>46279</v>
      </c>
    </row>
    <row r="405" spans="1:14" s="5" customFormat="1" outlineLevel="2">
      <c r="A405" s="39" t="s">
        <v>120</v>
      </c>
      <c r="B405" s="40" t="s">
        <v>65</v>
      </c>
      <c r="C405" s="41" t="s">
        <v>125</v>
      </c>
      <c r="D405" s="40" t="s">
        <v>126</v>
      </c>
      <c r="E405" s="24">
        <v>5000000</v>
      </c>
      <c r="F405" s="39">
        <v>43998</v>
      </c>
      <c r="G405" s="24">
        <v>5000000</v>
      </c>
      <c r="H405" s="23">
        <v>5.0000000000000001E-3</v>
      </c>
      <c r="I405" s="39">
        <v>44531</v>
      </c>
      <c r="J405" s="39">
        <v>44561</v>
      </c>
      <c r="K405" s="24">
        <v>31</v>
      </c>
      <c r="L405" s="24">
        <v>2123</v>
      </c>
      <c r="M405" s="24">
        <v>5000000</v>
      </c>
      <c r="N405" s="39">
        <v>45823</v>
      </c>
    </row>
    <row r="406" spans="1:14" s="5" customFormat="1" outlineLevel="2">
      <c r="A406" s="39" t="s">
        <v>120</v>
      </c>
      <c r="B406" s="40" t="s">
        <v>206</v>
      </c>
      <c r="C406" s="41" t="s">
        <v>71</v>
      </c>
      <c r="D406" s="40" t="s">
        <v>72</v>
      </c>
      <c r="E406" s="24">
        <v>29880000</v>
      </c>
      <c r="F406" s="39">
        <v>44448</v>
      </c>
      <c r="G406" s="24">
        <v>29880000</v>
      </c>
      <c r="H406" s="23">
        <v>5.0000000000000001E-3</v>
      </c>
      <c r="I406" s="39">
        <v>44531</v>
      </c>
      <c r="J406" s="39">
        <v>44561</v>
      </c>
      <c r="K406" s="24">
        <v>31</v>
      </c>
      <c r="L406" s="24">
        <v>12689</v>
      </c>
      <c r="M406" s="24">
        <v>29880000</v>
      </c>
      <c r="N406" s="39">
        <v>46273</v>
      </c>
    </row>
    <row r="407" spans="1:14" s="5" customFormat="1" outlineLevel="2">
      <c r="A407" s="39" t="s">
        <v>120</v>
      </c>
      <c r="B407" s="40" t="s">
        <v>207</v>
      </c>
      <c r="C407" s="41" t="s">
        <v>219</v>
      </c>
      <c r="D407" s="40" t="s">
        <v>220</v>
      </c>
      <c r="E407" s="24">
        <v>29000000</v>
      </c>
      <c r="F407" s="39">
        <v>44468</v>
      </c>
      <c r="G407" s="24">
        <v>29000000</v>
      </c>
      <c r="H407" s="23">
        <v>5.0000000000000001E-3</v>
      </c>
      <c r="I407" s="39">
        <v>44531</v>
      </c>
      <c r="J407" s="39">
        <v>44561</v>
      </c>
      <c r="K407" s="24">
        <v>31</v>
      </c>
      <c r="L407" s="24">
        <v>12315</v>
      </c>
      <c r="M407" s="24">
        <v>29000000</v>
      </c>
      <c r="N407" s="39">
        <v>46293</v>
      </c>
    </row>
    <row r="408" spans="1:14" s="5" customFormat="1" outlineLevel="2">
      <c r="A408" s="39" t="s">
        <v>120</v>
      </c>
      <c r="B408" s="40" t="s">
        <v>208</v>
      </c>
      <c r="C408" s="41" t="s">
        <v>125</v>
      </c>
      <c r="D408" s="40" t="s">
        <v>126</v>
      </c>
      <c r="E408" s="24">
        <v>14000000</v>
      </c>
      <c r="F408" s="39">
        <v>44483</v>
      </c>
      <c r="G408" s="24">
        <v>14000000</v>
      </c>
      <c r="H408" s="23">
        <v>5.0000000000000001E-3</v>
      </c>
      <c r="I408" s="39">
        <v>44531</v>
      </c>
      <c r="J408" s="39">
        <v>44561</v>
      </c>
      <c r="K408" s="24">
        <v>31</v>
      </c>
      <c r="L408" s="24">
        <v>5945</v>
      </c>
      <c r="M408" s="24">
        <v>14000000</v>
      </c>
      <c r="N408" s="39">
        <v>46308</v>
      </c>
    </row>
    <row r="409" spans="1:14" s="5" customFormat="1" outlineLevel="2">
      <c r="A409" s="39" t="s">
        <v>120</v>
      </c>
      <c r="B409" s="40" t="s">
        <v>209</v>
      </c>
      <c r="C409" s="41" t="s">
        <v>97</v>
      </c>
      <c r="D409" s="40" t="s">
        <v>98</v>
      </c>
      <c r="E409" s="24">
        <v>75700000</v>
      </c>
      <c r="F409" s="39">
        <v>44497</v>
      </c>
      <c r="G409" s="24">
        <v>75700000</v>
      </c>
      <c r="H409" s="23">
        <v>5.0000000000000001E-3</v>
      </c>
      <c r="I409" s="39">
        <v>44531</v>
      </c>
      <c r="J409" s="39">
        <v>44561</v>
      </c>
      <c r="K409" s="24">
        <v>31</v>
      </c>
      <c r="L409" s="24">
        <v>32147</v>
      </c>
      <c r="M409" s="24">
        <v>75700000</v>
      </c>
      <c r="N409" s="39">
        <v>46322</v>
      </c>
    </row>
    <row r="410" spans="1:14" s="5" customFormat="1" outlineLevel="2">
      <c r="A410" s="39" t="s">
        <v>120</v>
      </c>
      <c r="B410" s="40" t="s">
        <v>210</v>
      </c>
      <c r="C410" s="41" t="s">
        <v>341</v>
      </c>
      <c r="D410" s="40" t="s">
        <v>340</v>
      </c>
      <c r="E410" s="24">
        <v>45000000</v>
      </c>
      <c r="F410" s="39">
        <v>44473</v>
      </c>
      <c r="G410" s="24">
        <v>45000000</v>
      </c>
      <c r="H410" s="23">
        <v>5.0000000000000001E-3</v>
      </c>
      <c r="I410" s="39">
        <v>44531</v>
      </c>
      <c r="J410" s="39">
        <v>44561</v>
      </c>
      <c r="K410" s="24">
        <v>31</v>
      </c>
      <c r="L410" s="24">
        <v>19110</v>
      </c>
      <c r="M410" s="24">
        <v>45000000</v>
      </c>
      <c r="N410" s="39">
        <v>46298</v>
      </c>
    </row>
    <row r="411" spans="1:14" s="5" customFormat="1" outlineLevel="2">
      <c r="A411" s="39" t="s">
        <v>120</v>
      </c>
      <c r="B411" s="40" t="s">
        <v>211</v>
      </c>
      <c r="C411" s="41" t="s">
        <v>404</v>
      </c>
      <c r="D411" s="40" t="s">
        <v>403</v>
      </c>
      <c r="E411" s="24">
        <v>7990000</v>
      </c>
      <c r="F411" s="39">
        <v>44470</v>
      </c>
      <c r="G411" s="24">
        <v>7990000</v>
      </c>
      <c r="H411" s="23">
        <v>5.0000000000000001E-3</v>
      </c>
      <c r="I411" s="39">
        <v>44531</v>
      </c>
      <c r="J411" s="39">
        <v>44561</v>
      </c>
      <c r="K411" s="24">
        <v>31</v>
      </c>
      <c r="L411" s="24">
        <v>3393</v>
      </c>
      <c r="M411" s="24">
        <v>7990000</v>
      </c>
      <c r="N411" s="39">
        <v>45565</v>
      </c>
    </row>
    <row r="412" spans="1:14" s="5" customFormat="1" outlineLevel="2">
      <c r="A412" s="39" t="s">
        <v>120</v>
      </c>
      <c r="B412" s="40" t="s">
        <v>212</v>
      </c>
      <c r="C412" s="41" t="s">
        <v>404</v>
      </c>
      <c r="D412" s="40" t="s">
        <v>403</v>
      </c>
      <c r="E412" s="24">
        <v>1460000</v>
      </c>
      <c r="F412" s="39">
        <v>44481</v>
      </c>
      <c r="G412" s="24">
        <v>1460000</v>
      </c>
      <c r="H412" s="23">
        <v>5.0000000000000001E-3</v>
      </c>
      <c r="I412" s="39">
        <v>44531</v>
      </c>
      <c r="J412" s="39">
        <v>44561</v>
      </c>
      <c r="K412" s="24">
        <v>31</v>
      </c>
      <c r="L412" s="24">
        <v>620</v>
      </c>
      <c r="M412" s="24">
        <v>1460000</v>
      </c>
      <c r="N412" s="39">
        <v>45576</v>
      </c>
    </row>
    <row r="413" spans="1:14" s="5" customFormat="1" outlineLevel="2">
      <c r="A413" s="39" t="s">
        <v>120</v>
      </c>
      <c r="B413" s="40" t="s">
        <v>213</v>
      </c>
      <c r="C413" s="41" t="s">
        <v>404</v>
      </c>
      <c r="D413" s="40" t="s">
        <v>403</v>
      </c>
      <c r="E413" s="24">
        <v>33360000</v>
      </c>
      <c r="F413" s="39">
        <v>44497</v>
      </c>
      <c r="G413" s="24">
        <v>33360000</v>
      </c>
      <c r="H413" s="23">
        <v>5.0000000000000001E-3</v>
      </c>
      <c r="I413" s="39">
        <v>44531</v>
      </c>
      <c r="J413" s="39">
        <v>44561</v>
      </c>
      <c r="K413" s="24">
        <v>31</v>
      </c>
      <c r="L413" s="24">
        <v>14167</v>
      </c>
      <c r="M413" s="24">
        <v>33360000</v>
      </c>
      <c r="N413" s="39">
        <v>45592</v>
      </c>
    </row>
    <row r="414" spans="1:14" s="5" customFormat="1" outlineLevel="2">
      <c r="A414" s="39" t="s">
        <v>120</v>
      </c>
      <c r="B414" s="40" t="s">
        <v>214</v>
      </c>
      <c r="C414" s="41" t="s">
        <v>404</v>
      </c>
      <c r="D414" s="40" t="s">
        <v>403</v>
      </c>
      <c r="E414" s="24">
        <v>28600000</v>
      </c>
      <c r="F414" s="39">
        <v>44497</v>
      </c>
      <c r="G414" s="24">
        <v>28600000</v>
      </c>
      <c r="H414" s="23">
        <v>5.0000000000000001E-3</v>
      </c>
      <c r="I414" s="39">
        <v>44531</v>
      </c>
      <c r="J414" s="39">
        <v>44561</v>
      </c>
      <c r="K414" s="24">
        <v>31</v>
      </c>
      <c r="L414" s="24">
        <v>12145</v>
      </c>
      <c r="M414" s="24">
        <v>28600000</v>
      </c>
      <c r="N414" s="39">
        <v>45592</v>
      </c>
    </row>
    <row r="415" spans="1:14" s="5" customFormat="1" outlineLevel="2">
      <c r="A415" s="39" t="s">
        <v>120</v>
      </c>
      <c r="B415" s="40" t="s">
        <v>215</v>
      </c>
      <c r="C415" s="41" t="s">
        <v>128</v>
      </c>
      <c r="D415" s="40" t="s">
        <v>129</v>
      </c>
      <c r="E415" s="24">
        <v>9300000</v>
      </c>
      <c r="F415" s="39">
        <v>44515</v>
      </c>
      <c r="G415" s="24">
        <v>9300000</v>
      </c>
      <c r="H415" s="23">
        <v>5.0000000000000001E-3</v>
      </c>
      <c r="I415" s="39">
        <v>44531</v>
      </c>
      <c r="J415" s="39">
        <v>44561</v>
      </c>
      <c r="K415" s="24">
        <v>31</v>
      </c>
      <c r="L415" s="24">
        <v>3949</v>
      </c>
      <c r="M415" s="24">
        <v>9300000</v>
      </c>
      <c r="N415" s="39">
        <v>46340</v>
      </c>
    </row>
    <row r="416" spans="1:14" s="5" customFormat="1" outlineLevel="2">
      <c r="A416" s="39" t="s">
        <v>120</v>
      </c>
      <c r="B416" s="40" t="s">
        <v>68</v>
      </c>
      <c r="C416" s="41" t="s">
        <v>125</v>
      </c>
      <c r="D416" s="40" t="s">
        <v>126</v>
      </c>
      <c r="E416" s="24">
        <v>17292000</v>
      </c>
      <c r="F416" s="39">
        <v>44002</v>
      </c>
      <c r="G416" s="24">
        <v>17292000</v>
      </c>
      <c r="H416" s="23">
        <v>5.0000000000000001E-3</v>
      </c>
      <c r="I416" s="39">
        <v>44531</v>
      </c>
      <c r="J416" s="39">
        <v>44561</v>
      </c>
      <c r="K416" s="24">
        <v>31</v>
      </c>
      <c r="L416" s="24">
        <v>7343</v>
      </c>
      <c r="M416" s="24">
        <v>17292000</v>
      </c>
      <c r="N416" s="39">
        <v>45827</v>
      </c>
    </row>
    <row r="417" spans="1:14" s="5" customFormat="1" outlineLevel="2">
      <c r="A417" s="39" t="s">
        <v>120</v>
      </c>
      <c r="B417" s="40" t="s">
        <v>216</v>
      </c>
      <c r="C417" s="41" t="s">
        <v>37</v>
      </c>
      <c r="D417" s="40" t="s">
        <v>38</v>
      </c>
      <c r="E417" s="24">
        <v>114234000</v>
      </c>
      <c r="F417" s="39">
        <v>44523</v>
      </c>
      <c r="G417" s="24">
        <v>114234000</v>
      </c>
      <c r="H417" s="23">
        <v>5.0000000000000001E-3</v>
      </c>
      <c r="I417" s="39">
        <v>44531</v>
      </c>
      <c r="J417" s="39">
        <v>44561</v>
      </c>
      <c r="K417" s="24">
        <v>31</v>
      </c>
      <c r="L417" s="24">
        <v>48510</v>
      </c>
      <c r="M417" s="24">
        <v>114234000</v>
      </c>
      <c r="N417" s="39">
        <v>46348</v>
      </c>
    </row>
    <row r="418" spans="1:14" s="5" customFormat="1" outlineLevel="2">
      <c r="A418" s="39" t="s">
        <v>120</v>
      </c>
      <c r="B418" s="40" t="s">
        <v>217</v>
      </c>
      <c r="C418" s="41" t="s">
        <v>134</v>
      </c>
      <c r="D418" s="40" t="s">
        <v>135</v>
      </c>
      <c r="E418" s="24">
        <v>16500000</v>
      </c>
      <c r="F418" s="39">
        <v>44530</v>
      </c>
      <c r="G418" s="24">
        <v>16500000</v>
      </c>
      <c r="H418" s="23">
        <v>5.0000000000000001E-3</v>
      </c>
      <c r="I418" s="39">
        <v>44531</v>
      </c>
      <c r="J418" s="39">
        <v>44561</v>
      </c>
      <c r="K418" s="24">
        <v>31</v>
      </c>
      <c r="L418" s="24">
        <v>7007</v>
      </c>
      <c r="M418" s="24">
        <v>16500000</v>
      </c>
      <c r="N418" s="39">
        <v>46355</v>
      </c>
    </row>
    <row r="419" spans="1:14" s="5" customFormat="1" outlineLevel="2">
      <c r="A419" s="39" t="s">
        <v>120</v>
      </c>
      <c r="B419" s="40" t="s">
        <v>218</v>
      </c>
      <c r="C419" s="41" t="s">
        <v>404</v>
      </c>
      <c r="D419" s="40" t="s">
        <v>403</v>
      </c>
      <c r="E419" s="24">
        <v>7990000</v>
      </c>
      <c r="F419" s="39">
        <v>44502</v>
      </c>
      <c r="G419" s="24">
        <v>7990000</v>
      </c>
      <c r="H419" s="23">
        <v>5.0000000000000001E-3</v>
      </c>
      <c r="I419" s="39">
        <v>44531</v>
      </c>
      <c r="J419" s="39">
        <v>44561</v>
      </c>
      <c r="K419" s="24">
        <v>31</v>
      </c>
      <c r="L419" s="24">
        <v>3393</v>
      </c>
      <c r="M419" s="24">
        <v>7990000</v>
      </c>
      <c r="N419" s="39">
        <v>45597</v>
      </c>
    </row>
    <row r="420" spans="1:14" s="5" customFormat="1" outlineLevel="2">
      <c r="A420" s="39" t="s">
        <v>120</v>
      </c>
      <c r="B420" s="40" t="s">
        <v>221</v>
      </c>
      <c r="C420" s="41" t="s">
        <v>404</v>
      </c>
      <c r="D420" s="40" t="s">
        <v>403</v>
      </c>
      <c r="E420" s="24">
        <v>7330000</v>
      </c>
      <c r="F420" s="39">
        <v>44509</v>
      </c>
      <c r="G420" s="24">
        <v>7330000</v>
      </c>
      <c r="H420" s="23">
        <v>5.0000000000000001E-3</v>
      </c>
      <c r="I420" s="39">
        <v>44531</v>
      </c>
      <c r="J420" s="39">
        <v>44561</v>
      </c>
      <c r="K420" s="24">
        <v>31</v>
      </c>
      <c r="L420" s="24">
        <v>3113</v>
      </c>
      <c r="M420" s="24">
        <v>7330000</v>
      </c>
      <c r="N420" s="39">
        <v>45604</v>
      </c>
    </row>
    <row r="421" spans="1:14" s="5" customFormat="1" outlineLevel="2">
      <c r="A421" s="39" t="s">
        <v>120</v>
      </c>
      <c r="B421" s="40" t="s">
        <v>222</v>
      </c>
      <c r="C421" s="41" t="s">
        <v>404</v>
      </c>
      <c r="D421" s="40" t="s">
        <v>403</v>
      </c>
      <c r="E421" s="24">
        <v>920000</v>
      </c>
      <c r="F421" s="39">
        <v>44509</v>
      </c>
      <c r="G421" s="24">
        <v>920000</v>
      </c>
      <c r="H421" s="23">
        <v>5.0000000000000001E-3</v>
      </c>
      <c r="I421" s="39">
        <v>44531</v>
      </c>
      <c r="J421" s="39">
        <v>44561</v>
      </c>
      <c r="K421" s="24">
        <v>31</v>
      </c>
      <c r="L421" s="24">
        <v>391</v>
      </c>
      <c r="M421" s="24">
        <v>920000</v>
      </c>
      <c r="N421" s="39">
        <v>45604</v>
      </c>
    </row>
    <row r="422" spans="1:14" s="5" customFormat="1" outlineLevel="2">
      <c r="A422" s="39" t="s">
        <v>120</v>
      </c>
      <c r="B422" s="40" t="s">
        <v>223</v>
      </c>
      <c r="C422" s="41" t="s">
        <v>404</v>
      </c>
      <c r="D422" s="40" t="s">
        <v>403</v>
      </c>
      <c r="E422" s="24">
        <v>29470000</v>
      </c>
      <c r="F422" s="39">
        <v>44509</v>
      </c>
      <c r="G422" s="24">
        <v>29470000</v>
      </c>
      <c r="H422" s="23">
        <v>5.0000000000000001E-3</v>
      </c>
      <c r="I422" s="39">
        <v>44531</v>
      </c>
      <c r="J422" s="39">
        <v>44561</v>
      </c>
      <c r="K422" s="24">
        <v>31</v>
      </c>
      <c r="L422" s="24">
        <v>12515</v>
      </c>
      <c r="M422" s="24">
        <v>29470000</v>
      </c>
      <c r="N422" s="39">
        <v>45604</v>
      </c>
    </row>
    <row r="423" spans="1:14" s="5" customFormat="1" outlineLevel="2">
      <c r="A423" s="39" t="s">
        <v>120</v>
      </c>
      <c r="B423" s="40" t="s">
        <v>224</v>
      </c>
      <c r="C423" s="41" t="s">
        <v>20</v>
      </c>
      <c r="D423" s="40" t="s">
        <v>21</v>
      </c>
      <c r="E423" s="24">
        <v>506400000</v>
      </c>
      <c r="F423" s="39">
        <v>44532</v>
      </c>
      <c r="G423" s="24">
        <v>506400000</v>
      </c>
      <c r="H423" s="23">
        <v>3.0000000000000001E-3</v>
      </c>
      <c r="I423" s="39">
        <v>44532</v>
      </c>
      <c r="J423" s="39">
        <v>44561</v>
      </c>
      <c r="K423" s="24">
        <v>30</v>
      </c>
      <c r="L423" s="24">
        <v>124866</v>
      </c>
      <c r="M423" s="24">
        <v>506400000</v>
      </c>
      <c r="N423" s="39">
        <v>46357</v>
      </c>
    </row>
    <row r="424" spans="1:14" s="5" customFormat="1" outlineLevel="2">
      <c r="A424" s="39" t="s">
        <v>120</v>
      </c>
      <c r="B424" s="40" t="s">
        <v>225</v>
      </c>
      <c r="C424" s="41" t="s">
        <v>30</v>
      </c>
      <c r="D424" s="40" t="s">
        <v>31</v>
      </c>
      <c r="E424" s="24">
        <v>40000000</v>
      </c>
      <c r="F424" s="39">
        <v>44557</v>
      </c>
      <c r="G424" s="24">
        <v>40000000</v>
      </c>
      <c r="H424" s="23">
        <v>5.0000000000000001E-3</v>
      </c>
      <c r="I424" s="39">
        <v>44557</v>
      </c>
      <c r="J424" s="39">
        <v>44561</v>
      </c>
      <c r="K424" s="24">
        <v>5</v>
      </c>
      <c r="L424" s="24">
        <v>2740</v>
      </c>
      <c r="M424" s="24">
        <v>40000000</v>
      </c>
      <c r="N424" s="39">
        <v>46382</v>
      </c>
    </row>
    <row r="425" spans="1:14" s="5" customFormat="1" outlineLevel="2">
      <c r="A425" s="39" t="s">
        <v>120</v>
      </c>
      <c r="B425" s="40" t="s">
        <v>226</v>
      </c>
      <c r="C425" s="41" t="s">
        <v>470</v>
      </c>
      <c r="D425" s="40" t="s">
        <v>469</v>
      </c>
      <c r="E425" s="24">
        <v>214822</v>
      </c>
      <c r="F425" s="39">
        <v>44532</v>
      </c>
      <c r="G425" s="24">
        <v>214822</v>
      </c>
      <c r="H425" s="23">
        <v>5.0000000000000001E-3</v>
      </c>
      <c r="I425" s="39">
        <v>44532</v>
      </c>
      <c r="J425" s="39">
        <v>44561</v>
      </c>
      <c r="K425" s="24">
        <v>30</v>
      </c>
      <c r="L425" s="24">
        <v>88</v>
      </c>
      <c r="M425" s="24">
        <v>214822</v>
      </c>
      <c r="N425" s="39">
        <v>45627</v>
      </c>
    </row>
    <row r="426" spans="1:14" s="5" customFormat="1" outlineLevel="2">
      <c r="A426" s="39" t="s">
        <v>120</v>
      </c>
      <c r="B426" s="40" t="s">
        <v>227</v>
      </c>
      <c r="C426" s="41" t="s">
        <v>404</v>
      </c>
      <c r="D426" s="40" t="s">
        <v>403</v>
      </c>
      <c r="E426" s="24">
        <v>9130000</v>
      </c>
      <c r="F426" s="39">
        <v>44532</v>
      </c>
      <c r="G426" s="24">
        <v>9130000</v>
      </c>
      <c r="H426" s="23">
        <v>5.0000000000000001E-3</v>
      </c>
      <c r="I426" s="39">
        <v>44532</v>
      </c>
      <c r="J426" s="39">
        <v>44561</v>
      </c>
      <c r="K426" s="24">
        <v>30</v>
      </c>
      <c r="L426" s="24">
        <v>3752</v>
      </c>
      <c r="M426" s="24">
        <v>9130000</v>
      </c>
      <c r="N426" s="39">
        <v>45627</v>
      </c>
    </row>
    <row r="427" spans="1:14" s="5" customFormat="1" outlineLevel="1">
      <c r="A427" s="42" t="s">
        <v>141</v>
      </c>
      <c r="B427" s="43"/>
      <c r="C427" s="44"/>
      <c r="D427" s="43"/>
      <c r="E427" s="45">
        <v>6326142252</v>
      </c>
      <c r="F427" s="46"/>
      <c r="G427" s="45"/>
      <c r="H427" s="47"/>
      <c r="I427" s="46"/>
      <c r="J427" s="46"/>
      <c r="K427" s="45"/>
      <c r="L427" s="45">
        <v>2286862</v>
      </c>
      <c r="M427" s="45">
        <v>6226829940</v>
      </c>
      <c r="N427" s="46"/>
    </row>
    <row r="428" spans="1:14" s="5" customFormat="1" outlineLevel="2">
      <c r="A428" s="39" t="s">
        <v>142</v>
      </c>
      <c r="B428" s="40" t="s">
        <v>16</v>
      </c>
      <c r="C428" s="41" t="s">
        <v>143</v>
      </c>
      <c r="D428" s="40" t="s">
        <v>144</v>
      </c>
      <c r="E428" s="24">
        <v>38000000</v>
      </c>
      <c r="F428" s="39">
        <v>43762</v>
      </c>
      <c r="G428" s="24">
        <v>38000000</v>
      </c>
      <c r="H428" s="23">
        <v>5.0000000000000001E-3</v>
      </c>
      <c r="I428" s="39">
        <v>44531</v>
      </c>
      <c r="J428" s="39">
        <v>44561</v>
      </c>
      <c r="K428" s="24">
        <v>31</v>
      </c>
      <c r="L428" s="24">
        <v>16137</v>
      </c>
      <c r="M428" s="24">
        <v>38000000</v>
      </c>
      <c r="N428" s="39">
        <v>45588</v>
      </c>
    </row>
    <row r="429" spans="1:14" s="5" customFormat="1" outlineLevel="2">
      <c r="A429" s="39" t="s">
        <v>142</v>
      </c>
      <c r="B429" s="40" t="s">
        <v>19</v>
      </c>
      <c r="C429" s="41" t="s">
        <v>60</v>
      </c>
      <c r="D429" s="40" t="s">
        <v>61</v>
      </c>
      <c r="E429" s="24">
        <v>110000000</v>
      </c>
      <c r="F429" s="39">
        <v>43913</v>
      </c>
      <c r="G429" s="24">
        <v>110000000</v>
      </c>
      <c r="H429" s="23">
        <v>5.0000000000000001E-3</v>
      </c>
      <c r="I429" s="39">
        <v>44531</v>
      </c>
      <c r="J429" s="39">
        <v>44561</v>
      </c>
      <c r="K429" s="24">
        <v>31</v>
      </c>
      <c r="L429" s="24">
        <v>46712</v>
      </c>
      <c r="M429" s="24">
        <v>110000000</v>
      </c>
      <c r="N429" s="39">
        <v>45738</v>
      </c>
    </row>
    <row r="430" spans="1:14" s="5" customFormat="1" outlineLevel="2">
      <c r="A430" s="39" t="s">
        <v>142</v>
      </c>
      <c r="B430" s="40" t="s">
        <v>145</v>
      </c>
      <c r="C430" s="41" t="s">
        <v>146</v>
      </c>
      <c r="D430" s="40" t="s">
        <v>147</v>
      </c>
      <c r="E430" s="24">
        <v>5000000</v>
      </c>
      <c r="F430" s="39">
        <v>44204</v>
      </c>
      <c r="G430" s="24">
        <v>5000000</v>
      </c>
      <c r="H430" s="23">
        <v>5.0000000000000001E-3</v>
      </c>
      <c r="I430" s="39">
        <v>44531</v>
      </c>
      <c r="J430" s="39">
        <v>44561</v>
      </c>
      <c r="K430" s="24">
        <v>31</v>
      </c>
      <c r="L430" s="24">
        <v>2123</v>
      </c>
      <c r="M430" s="24">
        <v>5000000</v>
      </c>
      <c r="N430" s="39">
        <v>46029</v>
      </c>
    </row>
    <row r="431" spans="1:14" s="5" customFormat="1" outlineLevel="2">
      <c r="A431" s="39" t="s">
        <v>142</v>
      </c>
      <c r="B431" s="40" t="s">
        <v>148</v>
      </c>
      <c r="C431" s="41" t="s">
        <v>149</v>
      </c>
      <c r="D431" s="40" t="s">
        <v>150</v>
      </c>
      <c r="E431" s="24">
        <v>3528000</v>
      </c>
      <c r="F431" s="39">
        <v>44207</v>
      </c>
      <c r="G431" s="24">
        <v>3528000</v>
      </c>
      <c r="H431" s="23">
        <v>5.0000000000000001E-3</v>
      </c>
      <c r="I431" s="39">
        <v>44531</v>
      </c>
      <c r="J431" s="39">
        <v>44561</v>
      </c>
      <c r="K431" s="24">
        <v>31</v>
      </c>
      <c r="L431" s="24">
        <v>1498</v>
      </c>
      <c r="M431" s="24">
        <v>3528000</v>
      </c>
      <c r="N431" s="39">
        <v>46032</v>
      </c>
    </row>
    <row r="432" spans="1:14" s="5" customFormat="1" outlineLevel="2">
      <c r="A432" s="39" t="s">
        <v>142</v>
      </c>
      <c r="B432" s="40" t="s">
        <v>151</v>
      </c>
      <c r="C432" s="41" t="s">
        <v>149</v>
      </c>
      <c r="D432" s="40" t="s">
        <v>150</v>
      </c>
      <c r="E432" s="24">
        <v>2520000</v>
      </c>
      <c r="F432" s="39">
        <v>44207</v>
      </c>
      <c r="G432" s="24">
        <v>2520000</v>
      </c>
      <c r="H432" s="23">
        <v>5.0000000000000001E-3</v>
      </c>
      <c r="I432" s="39">
        <v>44531</v>
      </c>
      <c r="J432" s="39">
        <v>44561</v>
      </c>
      <c r="K432" s="24">
        <v>31</v>
      </c>
      <c r="L432" s="24">
        <v>1070</v>
      </c>
      <c r="M432" s="24">
        <v>2520000</v>
      </c>
      <c r="N432" s="39">
        <v>46032</v>
      </c>
    </row>
    <row r="433" spans="1:14" s="5" customFormat="1" outlineLevel="2">
      <c r="A433" s="39" t="s">
        <v>142</v>
      </c>
      <c r="B433" s="40" t="s">
        <v>152</v>
      </c>
      <c r="C433" s="41" t="s">
        <v>149</v>
      </c>
      <c r="D433" s="40" t="s">
        <v>150</v>
      </c>
      <c r="E433" s="24">
        <v>4368000</v>
      </c>
      <c r="F433" s="39">
        <v>44210</v>
      </c>
      <c r="G433" s="24">
        <v>4368000</v>
      </c>
      <c r="H433" s="23">
        <v>5.0000000000000001E-3</v>
      </c>
      <c r="I433" s="39">
        <v>44531</v>
      </c>
      <c r="J433" s="39">
        <v>44561</v>
      </c>
      <c r="K433" s="24">
        <v>31</v>
      </c>
      <c r="L433" s="24">
        <v>1855</v>
      </c>
      <c r="M433" s="24">
        <v>4368000</v>
      </c>
      <c r="N433" s="39">
        <v>46035</v>
      </c>
    </row>
    <row r="434" spans="1:14" s="5" customFormat="1" outlineLevel="2">
      <c r="A434" s="39" t="s">
        <v>142</v>
      </c>
      <c r="B434" s="40" t="s">
        <v>153</v>
      </c>
      <c r="C434" s="41" t="s">
        <v>149</v>
      </c>
      <c r="D434" s="40" t="s">
        <v>150</v>
      </c>
      <c r="E434" s="24">
        <v>95583736</v>
      </c>
      <c r="F434" s="39">
        <v>44225</v>
      </c>
      <c r="G434" s="24">
        <v>95583736</v>
      </c>
      <c r="H434" s="23">
        <v>5.0000000000000001E-3</v>
      </c>
      <c r="I434" s="39">
        <v>44531</v>
      </c>
      <c r="J434" s="39">
        <v>44561</v>
      </c>
      <c r="K434" s="24">
        <v>31</v>
      </c>
      <c r="L434" s="24">
        <v>40590</v>
      </c>
      <c r="M434" s="24">
        <v>95583736</v>
      </c>
      <c r="N434" s="39">
        <v>46050</v>
      </c>
    </row>
    <row r="435" spans="1:14" s="5" customFormat="1" outlineLevel="2">
      <c r="A435" s="39" t="s">
        <v>142</v>
      </c>
      <c r="B435" s="40" t="s">
        <v>154</v>
      </c>
      <c r="C435" s="41" t="s">
        <v>155</v>
      </c>
      <c r="D435" s="40" t="s">
        <v>156</v>
      </c>
      <c r="E435" s="24">
        <v>200000000</v>
      </c>
      <c r="F435" s="39">
        <v>44211</v>
      </c>
      <c r="G435" s="24">
        <v>200000000</v>
      </c>
      <c r="H435" s="23">
        <v>5.0000000000000001E-3</v>
      </c>
      <c r="I435" s="39">
        <v>44531</v>
      </c>
      <c r="J435" s="39">
        <v>44561</v>
      </c>
      <c r="K435" s="24">
        <v>31</v>
      </c>
      <c r="L435" s="24">
        <v>84932</v>
      </c>
      <c r="M435" s="24">
        <v>200000000</v>
      </c>
      <c r="N435" s="39">
        <v>46036</v>
      </c>
    </row>
    <row r="436" spans="1:14" s="5" customFormat="1" outlineLevel="2">
      <c r="A436" s="39" t="s">
        <v>142</v>
      </c>
      <c r="B436" s="40" t="s">
        <v>157</v>
      </c>
      <c r="C436" s="41" t="s">
        <v>125</v>
      </c>
      <c r="D436" s="40" t="s">
        <v>126</v>
      </c>
      <c r="E436" s="24">
        <v>3000000</v>
      </c>
      <c r="F436" s="39">
        <v>44216</v>
      </c>
      <c r="G436" s="24">
        <v>3000000</v>
      </c>
      <c r="H436" s="23">
        <v>5.0000000000000001E-3</v>
      </c>
      <c r="I436" s="39">
        <v>44531</v>
      </c>
      <c r="J436" s="39">
        <v>44561</v>
      </c>
      <c r="K436" s="24">
        <v>31</v>
      </c>
      <c r="L436" s="24">
        <v>1274</v>
      </c>
      <c r="M436" s="24">
        <v>3000000</v>
      </c>
      <c r="N436" s="39">
        <v>46041</v>
      </c>
    </row>
    <row r="437" spans="1:14" s="5" customFormat="1" outlineLevel="2">
      <c r="A437" s="39" t="s">
        <v>142</v>
      </c>
      <c r="B437" s="40" t="s">
        <v>158</v>
      </c>
      <c r="C437" s="41" t="s">
        <v>125</v>
      </c>
      <c r="D437" s="40" t="s">
        <v>126</v>
      </c>
      <c r="E437" s="24">
        <v>10000000</v>
      </c>
      <c r="F437" s="39">
        <v>44216</v>
      </c>
      <c r="G437" s="24">
        <v>10000000</v>
      </c>
      <c r="H437" s="23">
        <v>5.0000000000000001E-3</v>
      </c>
      <c r="I437" s="39">
        <v>44531</v>
      </c>
      <c r="J437" s="39">
        <v>44561</v>
      </c>
      <c r="K437" s="24">
        <v>31</v>
      </c>
      <c r="L437" s="24">
        <v>4247</v>
      </c>
      <c r="M437" s="24">
        <v>10000000</v>
      </c>
      <c r="N437" s="39">
        <v>46041</v>
      </c>
    </row>
    <row r="438" spans="1:14" s="5" customFormat="1" outlineLevel="2">
      <c r="A438" s="39" t="s">
        <v>142</v>
      </c>
      <c r="B438" s="40" t="s">
        <v>159</v>
      </c>
      <c r="C438" s="41" t="s">
        <v>87</v>
      </c>
      <c r="D438" s="40" t="s">
        <v>88</v>
      </c>
      <c r="E438" s="24">
        <v>14776161</v>
      </c>
      <c r="F438" s="39">
        <v>44221</v>
      </c>
      <c r="G438" s="24">
        <v>14776161</v>
      </c>
      <c r="H438" s="23">
        <v>5.0000000000000001E-3</v>
      </c>
      <c r="I438" s="39">
        <v>44531</v>
      </c>
      <c r="J438" s="39">
        <v>44561</v>
      </c>
      <c r="K438" s="24">
        <v>31</v>
      </c>
      <c r="L438" s="24">
        <v>6275</v>
      </c>
      <c r="M438" s="24">
        <v>14776161</v>
      </c>
      <c r="N438" s="39">
        <v>46046</v>
      </c>
    </row>
    <row r="439" spans="1:14" s="5" customFormat="1" outlineLevel="2">
      <c r="A439" s="39" t="s">
        <v>142</v>
      </c>
      <c r="B439" s="40" t="s">
        <v>320</v>
      </c>
      <c r="C439" s="41" t="s">
        <v>143</v>
      </c>
      <c r="D439" s="40" t="s">
        <v>144</v>
      </c>
      <c r="E439" s="24">
        <v>4100000</v>
      </c>
      <c r="F439" s="39">
        <v>44228</v>
      </c>
      <c r="G439" s="24">
        <v>4100000</v>
      </c>
      <c r="H439" s="23">
        <v>5.0000000000000001E-3</v>
      </c>
      <c r="I439" s="39">
        <v>44531</v>
      </c>
      <c r="J439" s="39">
        <v>44561</v>
      </c>
      <c r="K439" s="24">
        <v>31</v>
      </c>
      <c r="L439" s="24">
        <v>1741</v>
      </c>
      <c r="M439" s="24">
        <v>4100000</v>
      </c>
      <c r="N439" s="39">
        <v>46053</v>
      </c>
    </row>
    <row r="440" spans="1:14" s="5" customFormat="1" outlineLevel="2">
      <c r="A440" s="39" t="s">
        <v>142</v>
      </c>
      <c r="B440" s="40" t="s">
        <v>22</v>
      </c>
      <c r="C440" s="41" t="s">
        <v>149</v>
      </c>
      <c r="D440" s="40" t="s">
        <v>150</v>
      </c>
      <c r="E440" s="24">
        <v>95655336</v>
      </c>
      <c r="F440" s="39">
        <v>43951</v>
      </c>
      <c r="G440" s="24">
        <v>95655336</v>
      </c>
      <c r="H440" s="23">
        <v>5.0000000000000001E-3</v>
      </c>
      <c r="I440" s="39">
        <v>44531</v>
      </c>
      <c r="J440" s="39">
        <v>44561</v>
      </c>
      <c r="K440" s="24">
        <v>31</v>
      </c>
      <c r="L440" s="24">
        <v>40621</v>
      </c>
      <c r="M440" s="24">
        <v>95655336</v>
      </c>
      <c r="N440" s="39">
        <v>45776</v>
      </c>
    </row>
    <row r="441" spans="1:14" s="5" customFormat="1" outlineLevel="2">
      <c r="A441" s="39" t="s">
        <v>142</v>
      </c>
      <c r="B441" s="40" t="s">
        <v>319</v>
      </c>
      <c r="C441" s="41" t="s">
        <v>149</v>
      </c>
      <c r="D441" s="40" t="s">
        <v>150</v>
      </c>
      <c r="E441" s="24">
        <v>13843200</v>
      </c>
      <c r="F441" s="39">
        <v>44232</v>
      </c>
      <c r="G441" s="24">
        <v>13843200</v>
      </c>
      <c r="H441" s="23">
        <v>5.0000000000000001E-3</v>
      </c>
      <c r="I441" s="39">
        <v>44531</v>
      </c>
      <c r="J441" s="39">
        <v>44561</v>
      </c>
      <c r="K441" s="24">
        <v>31</v>
      </c>
      <c r="L441" s="24">
        <v>5879</v>
      </c>
      <c r="M441" s="24">
        <v>13843200</v>
      </c>
      <c r="N441" s="39">
        <v>46057</v>
      </c>
    </row>
    <row r="442" spans="1:14" s="5" customFormat="1" outlineLevel="2">
      <c r="A442" s="39" t="s">
        <v>142</v>
      </c>
      <c r="B442" s="40" t="s">
        <v>318</v>
      </c>
      <c r="C442" s="41" t="s">
        <v>149</v>
      </c>
      <c r="D442" s="40" t="s">
        <v>150</v>
      </c>
      <c r="E442" s="24">
        <v>7056000</v>
      </c>
      <c r="F442" s="39">
        <v>44235</v>
      </c>
      <c r="G442" s="24">
        <v>7056000</v>
      </c>
      <c r="H442" s="23">
        <v>5.0000000000000001E-3</v>
      </c>
      <c r="I442" s="39">
        <v>44531</v>
      </c>
      <c r="J442" s="39">
        <v>44561</v>
      </c>
      <c r="K442" s="24">
        <v>31</v>
      </c>
      <c r="L442" s="24">
        <v>2996</v>
      </c>
      <c r="M442" s="24">
        <v>7056000</v>
      </c>
      <c r="N442" s="39">
        <v>46060</v>
      </c>
    </row>
    <row r="443" spans="1:14" s="5" customFormat="1" outlineLevel="2">
      <c r="A443" s="39" t="s">
        <v>142</v>
      </c>
      <c r="B443" s="40" t="s">
        <v>317</v>
      </c>
      <c r="C443" s="41" t="s">
        <v>149</v>
      </c>
      <c r="D443" s="40" t="s">
        <v>150</v>
      </c>
      <c r="E443" s="24">
        <v>2184000</v>
      </c>
      <c r="F443" s="39">
        <v>44235</v>
      </c>
      <c r="G443" s="24">
        <v>2184000</v>
      </c>
      <c r="H443" s="23">
        <v>5.0000000000000001E-3</v>
      </c>
      <c r="I443" s="39">
        <v>44531</v>
      </c>
      <c r="J443" s="39">
        <v>44561</v>
      </c>
      <c r="K443" s="24">
        <v>31</v>
      </c>
      <c r="L443" s="24">
        <v>927</v>
      </c>
      <c r="M443" s="24">
        <v>2184000</v>
      </c>
      <c r="N443" s="39">
        <v>46060</v>
      </c>
    </row>
    <row r="444" spans="1:14" s="5" customFormat="1" outlineLevel="2">
      <c r="A444" s="39" t="s">
        <v>142</v>
      </c>
      <c r="B444" s="40" t="s">
        <v>316</v>
      </c>
      <c r="C444" s="41" t="s">
        <v>149</v>
      </c>
      <c r="D444" s="40" t="s">
        <v>150</v>
      </c>
      <c r="E444" s="24">
        <v>5040000</v>
      </c>
      <c r="F444" s="39">
        <v>44235</v>
      </c>
      <c r="G444" s="24">
        <v>5040000</v>
      </c>
      <c r="H444" s="23">
        <v>5.0000000000000001E-3</v>
      </c>
      <c r="I444" s="39">
        <v>44531</v>
      </c>
      <c r="J444" s="39">
        <v>44561</v>
      </c>
      <c r="K444" s="24">
        <v>31</v>
      </c>
      <c r="L444" s="24">
        <v>2140</v>
      </c>
      <c r="M444" s="24">
        <v>5040000</v>
      </c>
      <c r="N444" s="39">
        <v>46060</v>
      </c>
    </row>
    <row r="445" spans="1:14" s="5" customFormat="1" outlineLevel="2">
      <c r="A445" s="39" t="s">
        <v>142</v>
      </c>
      <c r="B445" s="40" t="s">
        <v>315</v>
      </c>
      <c r="C445" s="41" t="s">
        <v>149</v>
      </c>
      <c r="D445" s="40" t="s">
        <v>150</v>
      </c>
      <c r="E445" s="24">
        <v>8316000</v>
      </c>
      <c r="F445" s="39">
        <v>44244</v>
      </c>
      <c r="G445" s="24">
        <v>8316000</v>
      </c>
      <c r="H445" s="23">
        <v>5.0000000000000001E-3</v>
      </c>
      <c r="I445" s="39">
        <v>44531</v>
      </c>
      <c r="J445" s="39">
        <v>44561</v>
      </c>
      <c r="K445" s="24">
        <v>31</v>
      </c>
      <c r="L445" s="24">
        <v>3531</v>
      </c>
      <c r="M445" s="24">
        <v>8316000</v>
      </c>
      <c r="N445" s="39">
        <v>46069</v>
      </c>
    </row>
    <row r="446" spans="1:14" s="5" customFormat="1" outlineLevel="2">
      <c r="A446" s="39" t="s">
        <v>142</v>
      </c>
      <c r="B446" s="40" t="s">
        <v>314</v>
      </c>
      <c r="C446" s="41" t="s">
        <v>149</v>
      </c>
      <c r="D446" s="40" t="s">
        <v>150</v>
      </c>
      <c r="E446" s="24">
        <v>8547840</v>
      </c>
      <c r="F446" s="39">
        <v>44244</v>
      </c>
      <c r="G446" s="24">
        <v>8547840</v>
      </c>
      <c r="H446" s="23">
        <v>5.0000000000000001E-3</v>
      </c>
      <c r="I446" s="39">
        <v>44531</v>
      </c>
      <c r="J446" s="39">
        <v>44561</v>
      </c>
      <c r="K446" s="24">
        <v>31</v>
      </c>
      <c r="L446" s="24">
        <v>3630</v>
      </c>
      <c r="M446" s="24">
        <v>8547840</v>
      </c>
      <c r="N446" s="39">
        <v>46069</v>
      </c>
    </row>
    <row r="447" spans="1:14" s="5" customFormat="1" outlineLevel="2">
      <c r="A447" s="39" t="s">
        <v>142</v>
      </c>
      <c r="B447" s="40" t="s">
        <v>313</v>
      </c>
      <c r="C447" s="41" t="s">
        <v>149</v>
      </c>
      <c r="D447" s="40" t="s">
        <v>150</v>
      </c>
      <c r="E447" s="24">
        <v>6384000</v>
      </c>
      <c r="F447" s="39">
        <v>44244</v>
      </c>
      <c r="G447" s="24">
        <v>6384000</v>
      </c>
      <c r="H447" s="23">
        <v>5.0000000000000001E-3</v>
      </c>
      <c r="I447" s="39">
        <v>44531</v>
      </c>
      <c r="J447" s="39">
        <v>44561</v>
      </c>
      <c r="K447" s="24">
        <v>31</v>
      </c>
      <c r="L447" s="24">
        <v>2711</v>
      </c>
      <c r="M447" s="24">
        <v>6384000</v>
      </c>
      <c r="N447" s="39">
        <v>46069</v>
      </c>
    </row>
    <row r="448" spans="1:14" s="5" customFormat="1" outlineLevel="2">
      <c r="A448" s="39" t="s">
        <v>142</v>
      </c>
      <c r="B448" s="40" t="s">
        <v>312</v>
      </c>
      <c r="C448" s="41" t="s">
        <v>149</v>
      </c>
      <c r="D448" s="40" t="s">
        <v>150</v>
      </c>
      <c r="E448" s="24">
        <v>226800</v>
      </c>
      <c r="F448" s="39">
        <v>44244</v>
      </c>
      <c r="G448" s="24">
        <v>226800</v>
      </c>
      <c r="H448" s="23">
        <v>5.0000000000000001E-3</v>
      </c>
      <c r="I448" s="39">
        <v>44531</v>
      </c>
      <c r="J448" s="39">
        <v>44561</v>
      </c>
      <c r="K448" s="24">
        <v>31</v>
      </c>
      <c r="L448" s="24">
        <v>96</v>
      </c>
      <c r="M448" s="24">
        <v>226800</v>
      </c>
      <c r="N448" s="39">
        <v>46069</v>
      </c>
    </row>
    <row r="449" spans="1:14" s="5" customFormat="1" outlineLevel="2">
      <c r="A449" s="39" t="s">
        <v>142</v>
      </c>
      <c r="B449" s="40" t="s">
        <v>311</v>
      </c>
      <c r="C449" s="41" t="s">
        <v>155</v>
      </c>
      <c r="D449" s="40" t="s">
        <v>156</v>
      </c>
      <c r="E449" s="24">
        <v>100000000</v>
      </c>
      <c r="F449" s="39">
        <v>44236</v>
      </c>
      <c r="G449" s="24">
        <v>100000000</v>
      </c>
      <c r="H449" s="23">
        <v>5.0000000000000001E-3</v>
      </c>
      <c r="I449" s="39">
        <v>44531</v>
      </c>
      <c r="J449" s="39">
        <v>44561</v>
      </c>
      <c r="K449" s="24">
        <v>31</v>
      </c>
      <c r="L449" s="24">
        <v>42466</v>
      </c>
      <c r="M449" s="24">
        <v>100000000</v>
      </c>
      <c r="N449" s="39">
        <v>46061</v>
      </c>
    </row>
    <row r="450" spans="1:14" s="5" customFormat="1" outlineLevel="2">
      <c r="A450" s="39" t="s">
        <v>142</v>
      </c>
      <c r="B450" s="40" t="s">
        <v>310</v>
      </c>
      <c r="C450" s="41" t="s">
        <v>155</v>
      </c>
      <c r="D450" s="40" t="s">
        <v>156</v>
      </c>
      <c r="E450" s="24">
        <v>200000000</v>
      </c>
      <c r="F450" s="39">
        <v>44244</v>
      </c>
      <c r="G450" s="24">
        <v>200000000</v>
      </c>
      <c r="H450" s="23">
        <v>5.0000000000000001E-3</v>
      </c>
      <c r="I450" s="39">
        <v>44531</v>
      </c>
      <c r="J450" s="39">
        <v>44561</v>
      </c>
      <c r="K450" s="24">
        <v>31</v>
      </c>
      <c r="L450" s="24">
        <v>84932</v>
      </c>
      <c r="M450" s="24">
        <v>200000000</v>
      </c>
      <c r="N450" s="39">
        <v>46069</v>
      </c>
    </row>
    <row r="451" spans="1:14" s="5" customFormat="1" outlineLevel="2">
      <c r="A451" s="39" t="s">
        <v>142</v>
      </c>
      <c r="B451" s="40" t="s">
        <v>25</v>
      </c>
      <c r="C451" s="41" t="s">
        <v>143</v>
      </c>
      <c r="D451" s="40" t="s">
        <v>144</v>
      </c>
      <c r="E451" s="24">
        <v>38000000</v>
      </c>
      <c r="F451" s="39">
        <v>43962</v>
      </c>
      <c r="G451" s="24">
        <v>38000000</v>
      </c>
      <c r="H451" s="23">
        <v>5.0000000000000001E-3</v>
      </c>
      <c r="I451" s="39">
        <v>44531</v>
      </c>
      <c r="J451" s="39">
        <v>44561</v>
      </c>
      <c r="K451" s="24">
        <v>31</v>
      </c>
      <c r="L451" s="24">
        <v>16137</v>
      </c>
      <c r="M451" s="24">
        <v>38000000</v>
      </c>
      <c r="N451" s="39">
        <v>45787</v>
      </c>
    </row>
    <row r="452" spans="1:14" s="5" customFormat="1" outlineLevel="2">
      <c r="A452" s="39" t="s">
        <v>142</v>
      </c>
      <c r="B452" s="40" t="s">
        <v>309</v>
      </c>
      <c r="C452" s="41" t="s">
        <v>219</v>
      </c>
      <c r="D452" s="40" t="s">
        <v>220</v>
      </c>
      <c r="E452" s="24">
        <v>20000000</v>
      </c>
      <c r="F452" s="39">
        <v>44251</v>
      </c>
      <c r="G452" s="24">
        <v>20000000</v>
      </c>
      <c r="H452" s="23">
        <v>5.0000000000000001E-3</v>
      </c>
      <c r="I452" s="39">
        <v>44531</v>
      </c>
      <c r="J452" s="39">
        <v>44561</v>
      </c>
      <c r="K452" s="24">
        <v>31</v>
      </c>
      <c r="L452" s="24">
        <v>8493</v>
      </c>
      <c r="M452" s="24">
        <v>20000000</v>
      </c>
      <c r="N452" s="39">
        <v>46076</v>
      </c>
    </row>
    <row r="453" spans="1:14" s="5" customFormat="1" outlineLevel="2">
      <c r="A453" s="39" t="s">
        <v>142</v>
      </c>
      <c r="B453" s="40" t="s">
        <v>308</v>
      </c>
      <c r="C453" s="41" t="s">
        <v>125</v>
      </c>
      <c r="D453" s="40" t="s">
        <v>126</v>
      </c>
      <c r="E453" s="24">
        <v>5000000</v>
      </c>
      <c r="F453" s="39">
        <v>44251</v>
      </c>
      <c r="G453" s="24">
        <v>5000000</v>
      </c>
      <c r="H453" s="23">
        <v>5.0000000000000001E-3</v>
      </c>
      <c r="I453" s="39">
        <v>44531</v>
      </c>
      <c r="J453" s="39">
        <v>44561</v>
      </c>
      <c r="K453" s="24">
        <v>31</v>
      </c>
      <c r="L453" s="24">
        <v>2123</v>
      </c>
      <c r="M453" s="24">
        <v>5000000</v>
      </c>
      <c r="N453" s="39">
        <v>46076</v>
      </c>
    </row>
    <row r="454" spans="1:14" s="5" customFormat="1" outlineLevel="2">
      <c r="A454" s="39" t="s">
        <v>142</v>
      </c>
      <c r="B454" s="40" t="s">
        <v>307</v>
      </c>
      <c r="C454" s="41" t="s">
        <v>89</v>
      </c>
      <c r="D454" s="40" t="s">
        <v>90</v>
      </c>
      <c r="E454" s="24">
        <v>80000000</v>
      </c>
      <c r="F454" s="39">
        <v>44253</v>
      </c>
      <c r="G454" s="24">
        <v>80000000</v>
      </c>
      <c r="H454" s="23">
        <v>5.0000000000000001E-3</v>
      </c>
      <c r="I454" s="39">
        <v>44531</v>
      </c>
      <c r="J454" s="39">
        <v>44561</v>
      </c>
      <c r="K454" s="24">
        <v>31</v>
      </c>
      <c r="L454" s="24">
        <v>33973</v>
      </c>
      <c r="M454" s="24">
        <v>80000000</v>
      </c>
      <c r="N454" s="39">
        <v>46078</v>
      </c>
    </row>
    <row r="455" spans="1:14" s="5" customFormat="1" outlineLevel="2">
      <c r="A455" s="39" t="s">
        <v>142</v>
      </c>
      <c r="B455" s="40" t="s">
        <v>335</v>
      </c>
      <c r="C455" s="41" t="s">
        <v>143</v>
      </c>
      <c r="D455" s="40" t="s">
        <v>144</v>
      </c>
      <c r="E455" s="24">
        <v>1350000</v>
      </c>
      <c r="F455" s="39">
        <v>44257</v>
      </c>
      <c r="G455" s="24">
        <v>1350000</v>
      </c>
      <c r="H455" s="23">
        <v>5.0000000000000001E-3</v>
      </c>
      <c r="I455" s="39">
        <v>44531</v>
      </c>
      <c r="J455" s="39">
        <v>44561</v>
      </c>
      <c r="K455" s="24">
        <v>31</v>
      </c>
      <c r="L455" s="24">
        <v>573</v>
      </c>
      <c r="M455" s="24">
        <v>1350000</v>
      </c>
      <c r="N455" s="39">
        <v>46082</v>
      </c>
    </row>
    <row r="456" spans="1:14" s="5" customFormat="1" outlineLevel="2">
      <c r="A456" s="39" t="s">
        <v>142</v>
      </c>
      <c r="B456" s="40" t="s">
        <v>334</v>
      </c>
      <c r="C456" s="41" t="s">
        <v>143</v>
      </c>
      <c r="D456" s="40" t="s">
        <v>144</v>
      </c>
      <c r="E456" s="24">
        <v>3000000</v>
      </c>
      <c r="F456" s="39">
        <v>44286</v>
      </c>
      <c r="G456" s="24">
        <v>3000000</v>
      </c>
      <c r="H456" s="23">
        <v>5.0000000000000001E-3</v>
      </c>
      <c r="I456" s="39">
        <v>44531</v>
      </c>
      <c r="J456" s="39">
        <v>44561</v>
      </c>
      <c r="K456" s="24">
        <v>31</v>
      </c>
      <c r="L456" s="24">
        <v>1274</v>
      </c>
      <c r="M456" s="24">
        <v>3000000</v>
      </c>
      <c r="N456" s="39">
        <v>46111</v>
      </c>
    </row>
    <row r="457" spans="1:14" s="5" customFormat="1" outlineLevel="2">
      <c r="A457" s="39" t="s">
        <v>142</v>
      </c>
      <c r="B457" s="40" t="s">
        <v>333</v>
      </c>
      <c r="C457" s="41" t="s">
        <v>143</v>
      </c>
      <c r="D457" s="40" t="s">
        <v>144</v>
      </c>
      <c r="E457" s="24">
        <v>12800000</v>
      </c>
      <c r="F457" s="39">
        <v>44286</v>
      </c>
      <c r="G457" s="24">
        <v>12800000</v>
      </c>
      <c r="H457" s="23">
        <v>5.0000000000000001E-3</v>
      </c>
      <c r="I457" s="39">
        <v>44531</v>
      </c>
      <c r="J457" s="39">
        <v>44561</v>
      </c>
      <c r="K457" s="24">
        <v>31</v>
      </c>
      <c r="L457" s="24">
        <v>5436</v>
      </c>
      <c r="M457" s="24">
        <v>12800000</v>
      </c>
      <c r="N457" s="39">
        <v>46111</v>
      </c>
    </row>
    <row r="458" spans="1:14" s="5" customFormat="1" outlineLevel="2">
      <c r="A458" s="39" t="s">
        <v>142</v>
      </c>
      <c r="B458" s="40" t="s">
        <v>332</v>
      </c>
      <c r="C458" s="41" t="s">
        <v>125</v>
      </c>
      <c r="D458" s="40" t="s">
        <v>126</v>
      </c>
      <c r="E458" s="24">
        <v>29000000</v>
      </c>
      <c r="F458" s="39">
        <v>44257</v>
      </c>
      <c r="G458" s="24">
        <v>29000000</v>
      </c>
      <c r="H458" s="23">
        <v>5.0000000000000001E-3</v>
      </c>
      <c r="I458" s="39">
        <v>44531</v>
      </c>
      <c r="J458" s="39">
        <v>44561</v>
      </c>
      <c r="K458" s="24">
        <v>31</v>
      </c>
      <c r="L458" s="24">
        <v>12315</v>
      </c>
      <c r="M458" s="24">
        <v>29000000</v>
      </c>
      <c r="N458" s="39">
        <v>46082</v>
      </c>
    </row>
    <row r="459" spans="1:14" s="5" customFormat="1" outlineLevel="2">
      <c r="A459" s="39" t="s">
        <v>142</v>
      </c>
      <c r="B459" s="40" t="s">
        <v>331</v>
      </c>
      <c r="C459" s="41" t="s">
        <v>125</v>
      </c>
      <c r="D459" s="40" t="s">
        <v>126</v>
      </c>
      <c r="E459" s="24">
        <v>5000000</v>
      </c>
      <c r="F459" s="39">
        <v>44279</v>
      </c>
      <c r="G459" s="24">
        <v>5000000</v>
      </c>
      <c r="H459" s="23">
        <v>5.0000000000000001E-3</v>
      </c>
      <c r="I459" s="39">
        <v>44531</v>
      </c>
      <c r="J459" s="39">
        <v>44561</v>
      </c>
      <c r="K459" s="24">
        <v>31</v>
      </c>
      <c r="L459" s="24">
        <v>2123</v>
      </c>
      <c r="M459" s="24">
        <v>5000000</v>
      </c>
      <c r="N459" s="39">
        <v>46104</v>
      </c>
    </row>
    <row r="460" spans="1:14" s="5" customFormat="1" outlineLevel="2">
      <c r="A460" s="39" t="s">
        <v>142</v>
      </c>
      <c r="B460" s="40" t="s">
        <v>330</v>
      </c>
      <c r="C460" s="41" t="s">
        <v>125</v>
      </c>
      <c r="D460" s="40" t="s">
        <v>126</v>
      </c>
      <c r="E460" s="24">
        <v>5000000</v>
      </c>
      <c r="F460" s="39">
        <v>44286</v>
      </c>
      <c r="G460" s="24">
        <v>5000000</v>
      </c>
      <c r="H460" s="23">
        <v>5.0000000000000001E-3</v>
      </c>
      <c r="I460" s="39">
        <v>44531</v>
      </c>
      <c r="J460" s="39">
        <v>44561</v>
      </c>
      <c r="K460" s="24">
        <v>31</v>
      </c>
      <c r="L460" s="24">
        <v>2123</v>
      </c>
      <c r="M460" s="24">
        <v>5000000</v>
      </c>
      <c r="N460" s="39">
        <v>46111</v>
      </c>
    </row>
    <row r="461" spans="1:14" s="5" customFormat="1" outlineLevel="2">
      <c r="A461" s="39" t="s">
        <v>142</v>
      </c>
      <c r="B461" s="40" t="s">
        <v>329</v>
      </c>
      <c r="C461" s="41" t="s">
        <v>149</v>
      </c>
      <c r="D461" s="40" t="s">
        <v>150</v>
      </c>
      <c r="E461" s="24">
        <v>1176000</v>
      </c>
      <c r="F461" s="39">
        <v>44270</v>
      </c>
      <c r="G461" s="24">
        <v>1176000</v>
      </c>
      <c r="H461" s="23">
        <v>5.0000000000000001E-3</v>
      </c>
      <c r="I461" s="39">
        <v>44531</v>
      </c>
      <c r="J461" s="39">
        <v>44561</v>
      </c>
      <c r="K461" s="24">
        <v>31</v>
      </c>
      <c r="L461" s="24">
        <v>499</v>
      </c>
      <c r="M461" s="24">
        <v>1176000</v>
      </c>
      <c r="N461" s="39">
        <v>46095</v>
      </c>
    </row>
    <row r="462" spans="1:14" s="5" customFormat="1" outlineLevel="2">
      <c r="A462" s="39" t="s">
        <v>142</v>
      </c>
      <c r="B462" s="40" t="s">
        <v>26</v>
      </c>
      <c r="C462" s="41" t="s">
        <v>143</v>
      </c>
      <c r="D462" s="40" t="s">
        <v>144</v>
      </c>
      <c r="E462" s="24">
        <v>10500000</v>
      </c>
      <c r="F462" s="39">
        <v>43962</v>
      </c>
      <c r="G462" s="24">
        <v>10500000</v>
      </c>
      <c r="H462" s="23">
        <v>5.0000000000000001E-3</v>
      </c>
      <c r="I462" s="39">
        <v>44531</v>
      </c>
      <c r="J462" s="39">
        <v>44561</v>
      </c>
      <c r="K462" s="24">
        <v>31</v>
      </c>
      <c r="L462" s="24">
        <v>4459</v>
      </c>
      <c r="M462" s="24">
        <v>10500000</v>
      </c>
      <c r="N462" s="39">
        <v>45787</v>
      </c>
    </row>
    <row r="463" spans="1:14" s="5" customFormat="1" outlineLevel="2">
      <c r="A463" s="39" t="s">
        <v>142</v>
      </c>
      <c r="B463" s="40" t="s">
        <v>328</v>
      </c>
      <c r="C463" s="41" t="s">
        <v>149</v>
      </c>
      <c r="D463" s="40" t="s">
        <v>150</v>
      </c>
      <c r="E463" s="24">
        <v>840000</v>
      </c>
      <c r="F463" s="39">
        <v>44270</v>
      </c>
      <c r="G463" s="24">
        <v>840000</v>
      </c>
      <c r="H463" s="23">
        <v>5.0000000000000001E-3</v>
      </c>
      <c r="I463" s="39">
        <v>44531</v>
      </c>
      <c r="J463" s="39">
        <v>44561</v>
      </c>
      <c r="K463" s="24">
        <v>31</v>
      </c>
      <c r="L463" s="24">
        <v>357</v>
      </c>
      <c r="M463" s="24">
        <v>840000</v>
      </c>
      <c r="N463" s="39">
        <v>46095</v>
      </c>
    </row>
    <row r="464" spans="1:14" s="5" customFormat="1" outlineLevel="2">
      <c r="A464" s="39" t="s">
        <v>142</v>
      </c>
      <c r="B464" s="40" t="s">
        <v>327</v>
      </c>
      <c r="C464" s="41" t="s">
        <v>187</v>
      </c>
      <c r="D464" s="40" t="s">
        <v>188</v>
      </c>
      <c r="E464" s="24">
        <v>190400000</v>
      </c>
      <c r="F464" s="39">
        <v>44273</v>
      </c>
      <c r="G464" s="24">
        <v>190400000</v>
      </c>
      <c r="H464" s="23">
        <v>5.0000000000000001E-3</v>
      </c>
      <c r="I464" s="39">
        <v>44531</v>
      </c>
      <c r="J464" s="39">
        <v>44561</v>
      </c>
      <c r="K464" s="24">
        <v>31</v>
      </c>
      <c r="L464" s="24">
        <v>80855</v>
      </c>
      <c r="M464" s="24">
        <v>190400000</v>
      </c>
      <c r="N464" s="39">
        <v>46098</v>
      </c>
    </row>
    <row r="465" spans="1:14" s="5" customFormat="1" outlineLevel="2">
      <c r="A465" s="39" t="s">
        <v>142</v>
      </c>
      <c r="B465" s="40" t="s">
        <v>326</v>
      </c>
      <c r="C465" s="41" t="s">
        <v>121</v>
      </c>
      <c r="D465" s="40" t="s">
        <v>122</v>
      </c>
      <c r="E465" s="24">
        <v>54000000</v>
      </c>
      <c r="F465" s="39">
        <v>44278</v>
      </c>
      <c r="G465" s="24">
        <v>54000000</v>
      </c>
      <c r="H465" s="23">
        <v>5.0000000000000001E-3</v>
      </c>
      <c r="I465" s="39">
        <v>44531</v>
      </c>
      <c r="J465" s="39">
        <v>44561</v>
      </c>
      <c r="K465" s="24">
        <v>31</v>
      </c>
      <c r="L465" s="24">
        <v>22932</v>
      </c>
      <c r="M465" s="24">
        <v>54000000</v>
      </c>
      <c r="N465" s="39">
        <v>46103</v>
      </c>
    </row>
    <row r="466" spans="1:14" s="5" customFormat="1" outlineLevel="2">
      <c r="A466" s="39" t="s">
        <v>142</v>
      </c>
      <c r="B466" s="40" t="s">
        <v>325</v>
      </c>
      <c r="C466" s="41" t="s">
        <v>165</v>
      </c>
      <c r="D466" s="40" t="s">
        <v>166</v>
      </c>
      <c r="E466" s="24">
        <v>24800000</v>
      </c>
      <c r="F466" s="39">
        <v>44284</v>
      </c>
      <c r="G466" s="24">
        <v>24800000</v>
      </c>
      <c r="H466" s="23">
        <v>5.0000000000000001E-3</v>
      </c>
      <c r="I466" s="39">
        <v>44531</v>
      </c>
      <c r="J466" s="39">
        <v>44561</v>
      </c>
      <c r="K466" s="24">
        <v>31</v>
      </c>
      <c r="L466" s="24">
        <v>10532</v>
      </c>
      <c r="M466" s="24">
        <v>24800000</v>
      </c>
      <c r="N466" s="39">
        <v>45379</v>
      </c>
    </row>
    <row r="467" spans="1:14" s="5" customFormat="1" outlineLevel="2">
      <c r="A467" s="39" t="s">
        <v>142</v>
      </c>
      <c r="B467" s="40" t="s">
        <v>361</v>
      </c>
      <c r="C467" s="41" t="s">
        <v>85</v>
      </c>
      <c r="D467" s="40" t="s">
        <v>86</v>
      </c>
      <c r="E467" s="24">
        <v>2500000</v>
      </c>
      <c r="F467" s="39">
        <v>44287</v>
      </c>
      <c r="G467" s="24">
        <v>2500000</v>
      </c>
      <c r="H467" s="23">
        <v>5.0000000000000001E-3</v>
      </c>
      <c r="I467" s="39">
        <v>44531</v>
      </c>
      <c r="J467" s="39">
        <v>44561</v>
      </c>
      <c r="K467" s="24">
        <v>31</v>
      </c>
      <c r="L467" s="24">
        <v>1062</v>
      </c>
      <c r="M467" s="24">
        <v>2500000</v>
      </c>
      <c r="N467" s="39">
        <v>46112</v>
      </c>
    </row>
    <row r="468" spans="1:14" s="5" customFormat="1" outlineLevel="2">
      <c r="A468" s="39" t="s">
        <v>142</v>
      </c>
      <c r="B468" s="40" t="s">
        <v>360</v>
      </c>
      <c r="C468" s="41" t="s">
        <v>85</v>
      </c>
      <c r="D468" s="40" t="s">
        <v>86</v>
      </c>
      <c r="E468" s="24">
        <v>7500000</v>
      </c>
      <c r="F468" s="39">
        <v>44287</v>
      </c>
      <c r="G468" s="24">
        <v>7500000</v>
      </c>
      <c r="H468" s="23">
        <v>5.0000000000000001E-3</v>
      </c>
      <c r="I468" s="39">
        <v>44531</v>
      </c>
      <c r="J468" s="39">
        <v>44561</v>
      </c>
      <c r="K468" s="24">
        <v>31</v>
      </c>
      <c r="L468" s="24">
        <v>3185</v>
      </c>
      <c r="M468" s="24">
        <v>7500000</v>
      </c>
      <c r="N468" s="39">
        <v>46112</v>
      </c>
    </row>
    <row r="469" spans="1:14" s="5" customFormat="1" outlineLevel="2">
      <c r="A469" s="39" t="s">
        <v>142</v>
      </c>
      <c r="B469" s="40" t="s">
        <v>359</v>
      </c>
      <c r="C469" s="41" t="s">
        <v>85</v>
      </c>
      <c r="D469" s="40" t="s">
        <v>86</v>
      </c>
      <c r="E469" s="24">
        <v>4975000</v>
      </c>
      <c r="F469" s="39">
        <v>44306</v>
      </c>
      <c r="G469" s="24">
        <v>4975000</v>
      </c>
      <c r="H469" s="23">
        <v>5.0000000000000001E-3</v>
      </c>
      <c r="I469" s="39">
        <v>44531</v>
      </c>
      <c r="J469" s="39">
        <v>44561</v>
      </c>
      <c r="K469" s="24">
        <v>31</v>
      </c>
      <c r="L469" s="24">
        <v>2113</v>
      </c>
      <c r="M469" s="24">
        <v>4975000</v>
      </c>
      <c r="N469" s="39">
        <v>46131</v>
      </c>
    </row>
    <row r="470" spans="1:14" s="5" customFormat="1" outlineLevel="2">
      <c r="A470" s="39" t="s">
        <v>142</v>
      </c>
      <c r="B470" s="40" t="s">
        <v>358</v>
      </c>
      <c r="C470" s="41" t="s">
        <v>85</v>
      </c>
      <c r="D470" s="40" t="s">
        <v>86</v>
      </c>
      <c r="E470" s="24">
        <v>14925000</v>
      </c>
      <c r="F470" s="39">
        <v>44306</v>
      </c>
      <c r="G470" s="24">
        <v>14925000</v>
      </c>
      <c r="H470" s="23">
        <v>5.0000000000000001E-3</v>
      </c>
      <c r="I470" s="39">
        <v>44531</v>
      </c>
      <c r="J470" s="39">
        <v>44561</v>
      </c>
      <c r="K470" s="24">
        <v>31</v>
      </c>
      <c r="L470" s="24">
        <v>6338</v>
      </c>
      <c r="M470" s="24">
        <v>14925000</v>
      </c>
      <c r="N470" s="39">
        <v>46131</v>
      </c>
    </row>
    <row r="471" spans="1:14" s="5" customFormat="1" outlineLevel="2">
      <c r="A471" s="39" t="s">
        <v>142</v>
      </c>
      <c r="B471" s="40" t="s">
        <v>357</v>
      </c>
      <c r="C471" s="41" t="s">
        <v>149</v>
      </c>
      <c r="D471" s="40" t="s">
        <v>150</v>
      </c>
      <c r="E471" s="24">
        <v>1663200</v>
      </c>
      <c r="F471" s="39">
        <v>44294</v>
      </c>
      <c r="G471" s="24">
        <v>1663200</v>
      </c>
      <c r="H471" s="23">
        <v>5.0000000000000001E-3</v>
      </c>
      <c r="I471" s="39">
        <v>44531</v>
      </c>
      <c r="J471" s="39">
        <v>44561</v>
      </c>
      <c r="K471" s="24">
        <v>31</v>
      </c>
      <c r="L471" s="24">
        <v>706</v>
      </c>
      <c r="M471" s="24">
        <v>1663200</v>
      </c>
      <c r="N471" s="39">
        <v>46119</v>
      </c>
    </row>
    <row r="472" spans="1:14" s="5" customFormat="1" outlineLevel="2">
      <c r="A472" s="39" t="s">
        <v>142</v>
      </c>
      <c r="B472" s="40" t="s">
        <v>356</v>
      </c>
      <c r="C472" s="41" t="s">
        <v>149</v>
      </c>
      <c r="D472" s="40" t="s">
        <v>150</v>
      </c>
      <c r="E472" s="24">
        <v>3528000</v>
      </c>
      <c r="F472" s="39">
        <v>44300</v>
      </c>
      <c r="G472" s="24">
        <v>3528000</v>
      </c>
      <c r="H472" s="23">
        <v>5.0000000000000001E-3</v>
      </c>
      <c r="I472" s="39">
        <v>44531</v>
      </c>
      <c r="J472" s="39">
        <v>44561</v>
      </c>
      <c r="K472" s="24">
        <v>31</v>
      </c>
      <c r="L472" s="24">
        <v>1498</v>
      </c>
      <c r="M472" s="24">
        <v>3528000</v>
      </c>
      <c r="N472" s="39">
        <v>46125</v>
      </c>
    </row>
    <row r="473" spans="1:14" s="5" customFormat="1" outlineLevel="2">
      <c r="A473" s="39" t="s">
        <v>142</v>
      </c>
      <c r="B473" s="40" t="s">
        <v>29</v>
      </c>
      <c r="C473" s="41" t="s">
        <v>123</v>
      </c>
      <c r="D473" s="40" t="s">
        <v>124</v>
      </c>
      <c r="E473" s="24">
        <v>160000000</v>
      </c>
      <c r="F473" s="39">
        <v>43970</v>
      </c>
      <c r="G473" s="24">
        <v>160000000</v>
      </c>
      <c r="H473" s="23">
        <v>5.0000000000000001E-3</v>
      </c>
      <c r="I473" s="39">
        <v>44531</v>
      </c>
      <c r="J473" s="39">
        <v>44561</v>
      </c>
      <c r="K473" s="24">
        <v>31</v>
      </c>
      <c r="L473" s="24">
        <v>67945</v>
      </c>
      <c r="M473" s="24">
        <v>160000000</v>
      </c>
      <c r="N473" s="39">
        <v>45795</v>
      </c>
    </row>
    <row r="474" spans="1:14" s="5" customFormat="1" outlineLevel="2">
      <c r="A474" s="39" t="s">
        <v>142</v>
      </c>
      <c r="B474" s="40" t="s">
        <v>355</v>
      </c>
      <c r="C474" s="41" t="s">
        <v>149</v>
      </c>
      <c r="D474" s="40" t="s">
        <v>150</v>
      </c>
      <c r="E474" s="24">
        <v>12213027</v>
      </c>
      <c r="F474" s="39">
        <v>44307</v>
      </c>
      <c r="G474" s="24">
        <v>12213027</v>
      </c>
      <c r="H474" s="23">
        <v>5.0000000000000001E-3</v>
      </c>
      <c r="I474" s="39">
        <v>44531</v>
      </c>
      <c r="J474" s="39">
        <v>44561</v>
      </c>
      <c r="K474" s="24">
        <v>31</v>
      </c>
      <c r="L474" s="24">
        <v>5186</v>
      </c>
      <c r="M474" s="24">
        <v>12213027</v>
      </c>
      <c r="N474" s="39">
        <v>46132</v>
      </c>
    </row>
    <row r="475" spans="1:14" s="5" customFormat="1" outlineLevel="2">
      <c r="A475" s="39" t="s">
        <v>142</v>
      </c>
      <c r="B475" s="40" t="s">
        <v>354</v>
      </c>
      <c r="C475" s="41" t="s">
        <v>149</v>
      </c>
      <c r="D475" s="40" t="s">
        <v>150</v>
      </c>
      <c r="E475" s="24">
        <v>11337919</v>
      </c>
      <c r="F475" s="39">
        <v>44314</v>
      </c>
      <c r="G475" s="24">
        <v>11337919</v>
      </c>
      <c r="H475" s="23">
        <v>5.0000000000000001E-3</v>
      </c>
      <c r="I475" s="39">
        <v>44531</v>
      </c>
      <c r="J475" s="39">
        <v>44561</v>
      </c>
      <c r="K475" s="24">
        <v>31</v>
      </c>
      <c r="L475" s="24">
        <v>4815</v>
      </c>
      <c r="M475" s="24">
        <v>11337919</v>
      </c>
      <c r="N475" s="39">
        <v>46139</v>
      </c>
    </row>
    <row r="476" spans="1:14" s="5" customFormat="1" outlineLevel="2">
      <c r="A476" s="39" t="s">
        <v>142</v>
      </c>
      <c r="B476" s="40" t="s">
        <v>353</v>
      </c>
      <c r="C476" s="41" t="s">
        <v>219</v>
      </c>
      <c r="D476" s="40" t="s">
        <v>220</v>
      </c>
      <c r="E476" s="24">
        <v>20000000</v>
      </c>
      <c r="F476" s="39">
        <v>44308</v>
      </c>
      <c r="G476" s="24">
        <v>20000000</v>
      </c>
      <c r="H476" s="23">
        <v>5.0000000000000001E-3</v>
      </c>
      <c r="I476" s="39">
        <v>44531</v>
      </c>
      <c r="J476" s="39">
        <v>44561</v>
      </c>
      <c r="K476" s="24">
        <v>31</v>
      </c>
      <c r="L476" s="24">
        <v>8493</v>
      </c>
      <c r="M476" s="24">
        <v>20000000</v>
      </c>
      <c r="N476" s="39">
        <v>46133</v>
      </c>
    </row>
    <row r="477" spans="1:14" s="5" customFormat="1" outlineLevel="2">
      <c r="A477" s="39" t="s">
        <v>142</v>
      </c>
      <c r="B477" s="40" t="s">
        <v>352</v>
      </c>
      <c r="C477" s="41" t="s">
        <v>351</v>
      </c>
      <c r="D477" s="40" t="s">
        <v>350</v>
      </c>
      <c r="E477" s="24">
        <v>9800000</v>
      </c>
      <c r="F477" s="39">
        <v>44313</v>
      </c>
      <c r="G477" s="24">
        <v>9800000</v>
      </c>
      <c r="H477" s="23">
        <v>5.0000000000000001E-3</v>
      </c>
      <c r="I477" s="39">
        <v>44531</v>
      </c>
      <c r="J477" s="39">
        <v>44561</v>
      </c>
      <c r="K477" s="24">
        <v>31</v>
      </c>
      <c r="L477" s="24">
        <v>4162</v>
      </c>
      <c r="M477" s="24">
        <v>9800000</v>
      </c>
      <c r="N477" s="39">
        <v>46138</v>
      </c>
    </row>
    <row r="478" spans="1:14" s="5" customFormat="1" outlineLevel="2">
      <c r="A478" s="39" t="s">
        <v>142</v>
      </c>
      <c r="B478" s="40" t="s">
        <v>349</v>
      </c>
      <c r="C478" s="41" t="s">
        <v>345</v>
      </c>
      <c r="D478" s="40" t="s">
        <v>344</v>
      </c>
      <c r="E478" s="24">
        <v>37000000</v>
      </c>
      <c r="F478" s="39">
        <v>44314</v>
      </c>
      <c r="G478" s="24">
        <v>37000000</v>
      </c>
      <c r="H478" s="23">
        <v>5.0000000000000001E-3</v>
      </c>
      <c r="I478" s="39">
        <v>44531</v>
      </c>
      <c r="J478" s="39">
        <v>44561</v>
      </c>
      <c r="K478" s="24">
        <v>31</v>
      </c>
      <c r="L478" s="24">
        <v>15712</v>
      </c>
      <c r="M478" s="24">
        <v>37000000</v>
      </c>
      <c r="N478" s="39">
        <v>46139</v>
      </c>
    </row>
    <row r="479" spans="1:14" s="5" customFormat="1" outlineLevel="2">
      <c r="A479" s="39" t="s">
        <v>142</v>
      </c>
      <c r="B479" s="40" t="s">
        <v>348</v>
      </c>
      <c r="C479" s="41" t="s">
        <v>163</v>
      </c>
      <c r="D479" s="40" t="s">
        <v>164</v>
      </c>
      <c r="E479" s="24">
        <v>70000000</v>
      </c>
      <c r="F479" s="39">
        <v>44315</v>
      </c>
      <c r="G479" s="24">
        <v>65545452</v>
      </c>
      <c r="H479" s="23">
        <v>5.0000000000000001E-3</v>
      </c>
      <c r="I479" s="39">
        <v>44531</v>
      </c>
      <c r="J479" s="39">
        <v>44544</v>
      </c>
      <c r="K479" s="24">
        <v>14</v>
      </c>
      <c r="L479" s="24">
        <v>12570</v>
      </c>
      <c r="M479" s="24">
        <v>64909088</v>
      </c>
      <c r="N479" s="39">
        <v>46140</v>
      </c>
    </row>
    <row r="480" spans="1:14" s="5" customFormat="1" outlineLevel="2">
      <c r="A480" s="39" t="s">
        <v>142</v>
      </c>
      <c r="B480" s="40" t="s">
        <v>348</v>
      </c>
      <c r="C480" s="41" t="s">
        <v>163</v>
      </c>
      <c r="D480" s="40"/>
      <c r="E480" s="24"/>
      <c r="F480" s="39"/>
      <c r="G480" s="24">
        <v>64909088</v>
      </c>
      <c r="H480" s="23">
        <v>5.0000000000000001E-3</v>
      </c>
      <c r="I480" s="39">
        <v>44545</v>
      </c>
      <c r="J480" s="39">
        <v>44561</v>
      </c>
      <c r="K480" s="24">
        <v>17</v>
      </c>
      <c r="L480" s="24">
        <v>15116</v>
      </c>
      <c r="M480" s="24"/>
      <c r="N480" s="39">
        <v>46140</v>
      </c>
    </row>
    <row r="481" spans="1:14" s="5" customFormat="1" outlineLevel="2">
      <c r="A481" s="39" t="s">
        <v>142</v>
      </c>
      <c r="B481" s="40" t="s">
        <v>347</v>
      </c>
      <c r="C481" s="41" t="s">
        <v>163</v>
      </c>
      <c r="D481" s="40" t="s">
        <v>164</v>
      </c>
      <c r="E481" s="24">
        <v>10000000</v>
      </c>
      <c r="F481" s="39">
        <v>44315</v>
      </c>
      <c r="G481" s="24">
        <v>9166664</v>
      </c>
      <c r="H481" s="23">
        <v>5.0000000000000001E-3</v>
      </c>
      <c r="I481" s="39">
        <v>44531</v>
      </c>
      <c r="J481" s="39">
        <v>44544</v>
      </c>
      <c r="K481" s="24">
        <v>14</v>
      </c>
      <c r="L481" s="24">
        <v>1758</v>
      </c>
      <c r="M481" s="24">
        <v>9047616</v>
      </c>
      <c r="N481" s="39">
        <v>46140</v>
      </c>
    </row>
    <row r="482" spans="1:14" s="5" customFormat="1" outlineLevel="2">
      <c r="A482" s="39" t="s">
        <v>142</v>
      </c>
      <c r="B482" s="40" t="s">
        <v>347</v>
      </c>
      <c r="C482" s="41" t="s">
        <v>163</v>
      </c>
      <c r="D482" s="40"/>
      <c r="E482" s="24"/>
      <c r="F482" s="39"/>
      <c r="G482" s="24">
        <v>9047616</v>
      </c>
      <c r="H482" s="23">
        <v>5.0000000000000001E-3</v>
      </c>
      <c r="I482" s="39">
        <v>44545</v>
      </c>
      <c r="J482" s="39">
        <v>44561</v>
      </c>
      <c r="K482" s="24">
        <v>17</v>
      </c>
      <c r="L482" s="24">
        <v>2107</v>
      </c>
      <c r="M482" s="24"/>
      <c r="N482" s="39">
        <v>46140</v>
      </c>
    </row>
    <row r="483" spans="1:14" s="5" customFormat="1" outlineLevel="2">
      <c r="A483" s="39" t="s">
        <v>142</v>
      </c>
      <c r="B483" s="40" t="s">
        <v>346</v>
      </c>
      <c r="C483" s="41" t="s">
        <v>163</v>
      </c>
      <c r="D483" s="40" t="s">
        <v>164</v>
      </c>
      <c r="E483" s="24">
        <v>40000000</v>
      </c>
      <c r="F483" s="39">
        <v>44315</v>
      </c>
      <c r="G483" s="24">
        <v>36666670</v>
      </c>
      <c r="H483" s="23">
        <v>5.0000000000000001E-3</v>
      </c>
      <c r="I483" s="39">
        <v>44531</v>
      </c>
      <c r="J483" s="39">
        <v>44544</v>
      </c>
      <c r="K483" s="24">
        <v>14</v>
      </c>
      <c r="L483" s="24">
        <v>7032</v>
      </c>
      <c r="M483" s="24">
        <v>36190480</v>
      </c>
      <c r="N483" s="39">
        <v>46140</v>
      </c>
    </row>
    <row r="484" spans="1:14" s="5" customFormat="1" outlineLevel="2">
      <c r="A484" s="39" t="s">
        <v>142</v>
      </c>
      <c r="B484" s="40" t="s">
        <v>346</v>
      </c>
      <c r="C484" s="41" t="s">
        <v>163</v>
      </c>
      <c r="D484" s="40"/>
      <c r="E484" s="24"/>
      <c r="F484" s="39"/>
      <c r="G484" s="24">
        <v>36190480</v>
      </c>
      <c r="H484" s="23">
        <v>5.0000000000000001E-3</v>
      </c>
      <c r="I484" s="39">
        <v>44545</v>
      </c>
      <c r="J484" s="39">
        <v>44561</v>
      </c>
      <c r="K484" s="24">
        <v>17</v>
      </c>
      <c r="L484" s="24">
        <v>8428</v>
      </c>
      <c r="M484" s="24"/>
      <c r="N484" s="39">
        <v>46140</v>
      </c>
    </row>
    <row r="485" spans="1:14" s="5" customFormat="1" outlineLevel="2">
      <c r="A485" s="39" t="s">
        <v>142</v>
      </c>
      <c r="B485" s="40" t="s">
        <v>373</v>
      </c>
      <c r="C485" s="41" t="s">
        <v>149</v>
      </c>
      <c r="D485" s="40" t="s">
        <v>150</v>
      </c>
      <c r="E485" s="24">
        <v>10752000</v>
      </c>
      <c r="F485" s="39">
        <v>44320</v>
      </c>
      <c r="G485" s="24">
        <v>10752000</v>
      </c>
      <c r="H485" s="23">
        <v>5.0000000000000001E-3</v>
      </c>
      <c r="I485" s="39">
        <v>44531</v>
      </c>
      <c r="J485" s="39">
        <v>44561</v>
      </c>
      <c r="K485" s="24">
        <v>31</v>
      </c>
      <c r="L485" s="24">
        <v>4566</v>
      </c>
      <c r="M485" s="24">
        <v>10752000</v>
      </c>
      <c r="N485" s="39">
        <v>46145</v>
      </c>
    </row>
    <row r="486" spans="1:14" s="5" customFormat="1" outlineLevel="2">
      <c r="A486" s="39" t="s">
        <v>142</v>
      </c>
      <c r="B486" s="40" t="s">
        <v>372</v>
      </c>
      <c r="C486" s="41" t="s">
        <v>149</v>
      </c>
      <c r="D486" s="40" t="s">
        <v>150</v>
      </c>
      <c r="E486" s="24">
        <v>4200000</v>
      </c>
      <c r="F486" s="39">
        <v>44320</v>
      </c>
      <c r="G486" s="24">
        <v>4200000</v>
      </c>
      <c r="H486" s="23">
        <v>5.0000000000000001E-3</v>
      </c>
      <c r="I486" s="39">
        <v>44531</v>
      </c>
      <c r="J486" s="39">
        <v>44561</v>
      </c>
      <c r="K486" s="24">
        <v>31</v>
      </c>
      <c r="L486" s="24">
        <v>1784</v>
      </c>
      <c r="M486" s="24">
        <v>4200000</v>
      </c>
      <c r="N486" s="39">
        <v>46145</v>
      </c>
    </row>
    <row r="487" spans="1:14" s="5" customFormat="1" outlineLevel="2">
      <c r="A487" s="39" t="s">
        <v>142</v>
      </c>
      <c r="B487" s="40" t="s">
        <v>32</v>
      </c>
      <c r="C487" s="41" t="s">
        <v>149</v>
      </c>
      <c r="D487" s="40" t="s">
        <v>150</v>
      </c>
      <c r="E487" s="24">
        <v>13104000</v>
      </c>
      <c r="F487" s="39">
        <v>43979</v>
      </c>
      <c r="G487" s="24">
        <v>13104000</v>
      </c>
      <c r="H487" s="23">
        <v>5.0000000000000001E-3</v>
      </c>
      <c r="I487" s="39">
        <v>44531</v>
      </c>
      <c r="J487" s="39">
        <v>44561</v>
      </c>
      <c r="K487" s="24">
        <v>31</v>
      </c>
      <c r="L487" s="24">
        <v>5565</v>
      </c>
      <c r="M487" s="24">
        <v>13104000</v>
      </c>
      <c r="N487" s="39">
        <v>45804</v>
      </c>
    </row>
    <row r="488" spans="1:14" s="5" customFormat="1" outlineLevel="2">
      <c r="A488" s="39" t="s">
        <v>142</v>
      </c>
      <c r="B488" s="40" t="s">
        <v>371</v>
      </c>
      <c r="C488" s="41" t="s">
        <v>149</v>
      </c>
      <c r="D488" s="40" t="s">
        <v>150</v>
      </c>
      <c r="E488" s="24">
        <v>4200000</v>
      </c>
      <c r="F488" s="39">
        <v>44320</v>
      </c>
      <c r="G488" s="24">
        <v>4200000</v>
      </c>
      <c r="H488" s="23">
        <v>5.0000000000000001E-3</v>
      </c>
      <c r="I488" s="39">
        <v>44531</v>
      </c>
      <c r="J488" s="39">
        <v>44561</v>
      </c>
      <c r="K488" s="24">
        <v>31</v>
      </c>
      <c r="L488" s="24">
        <v>1784</v>
      </c>
      <c r="M488" s="24">
        <v>4200000</v>
      </c>
      <c r="N488" s="39">
        <v>46145</v>
      </c>
    </row>
    <row r="489" spans="1:14" s="5" customFormat="1" outlineLevel="2">
      <c r="A489" s="39" t="s">
        <v>142</v>
      </c>
      <c r="B489" s="40" t="s">
        <v>370</v>
      </c>
      <c r="C489" s="41" t="s">
        <v>351</v>
      </c>
      <c r="D489" s="40" t="s">
        <v>350</v>
      </c>
      <c r="E489" s="24">
        <v>5100000</v>
      </c>
      <c r="F489" s="39">
        <v>44330</v>
      </c>
      <c r="G489" s="24">
        <v>5100000</v>
      </c>
      <c r="H489" s="23">
        <v>5.0000000000000001E-3</v>
      </c>
      <c r="I489" s="39">
        <v>44531</v>
      </c>
      <c r="J489" s="39">
        <v>44561</v>
      </c>
      <c r="K489" s="24">
        <v>31</v>
      </c>
      <c r="L489" s="24">
        <v>2166</v>
      </c>
      <c r="M489" s="24">
        <v>5100000</v>
      </c>
      <c r="N489" s="39">
        <v>46155</v>
      </c>
    </row>
    <row r="490" spans="1:14" s="5" customFormat="1" outlineLevel="2">
      <c r="A490" s="39" t="s">
        <v>142</v>
      </c>
      <c r="B490" s="40" t="s">
        <v>369</v>
      </c>
      <c r="C490" s="41" t="s">
        <v>149</v>
      </c>
      <c r="D490" s="40" t="s">
        <v>150</v>
      </c>
      <c r="E490" s="24">
        <v>100000000</v>
      </c>
      <c r="F490" s="39">
        <v>44335</v>
      </c>
      <c r="G490" s="24">
        <v>100000000</v>
      </c>
      <c r="H490" s="23">
        <v>5.0000000000000001E-3</v>
      </c>
      <c r="I490" s="39">
        <v>44531</v>
      </c>
      <c r="J490" s="39">
        <v>44561</v>
      </c>
      <c r="K490" s="24">
        <v>31</v>
      </c>
      <c r="L490" s="24">
        <v>42466</v>
      </c>
      <c r="M490" s="24">
        <v>100000000</v>
      </c>
      <c r="N490" s="39">
        <v>46160</v>
      </c>
    </row>
    <row r="491" spans="1:14" s="5" customFormat="1" outlineLevel="2">
      <c r="A491" s="39" t="s">
        <v>142</v>
      </c>
      <c r="B491" s="40" t="s">
        <v>368</v>
      </c>
      <c r="C491" s="41" t="s">
        <v>87</v>
      </c>
      <c r="D491" s="40" t="s">
        <v>88</v>
      </c>
      <c r="E491" s="24">
        <v>9464321</v>
      </c>
      <c r="F491" s="39">
        <v>44337</v>
      </c>
      <c r="G491" s="24">
        <v>9464321</v>
      </c>
      <c r="H491" s="23">
        <v>5.0000000000000001E-3</v>
      </c>
      <c r="I491" s="39">
        <v>44531</v>
      </c>
      <c r="J491" s="39">
        <v>44561</v>
      </c>
      <c r="K491" s="24">
        <v>31</v>
      </c>
      <c r="L491" s="24">
        <v>4019</v>
      </c>
      <c r="M491" s="24">
        <v>9464321</v>
      </c>
      <c r="N491" s="39">
        <v>46162</v>
      </c>
    </row>
    <row r="492" spans="1:14" s="5" customFormat="1" outlineLevel="2">
      <c r="A492" s="39" t="s">
        <v>142</v>
      </c>
      <c r="B492" s="40" t="s">
        <v>388</v>
      </c>
      <c r="C492" s="41" t="s">
        <v>149</v>
      </c>
      <c r="D492" s="40" t="s">
        <v>150</v>
      </c>
      <c r="E492" s="24">
        <v>3360000</v>
      </c>
      <c r="F492" s="39">
        <v>44350</v>
      </c>
      <c r="G492" s="24">
        <v>3360000</v>
      </c>
      <c r="H492" s="23">
        <v>5.0000000000000001E-3</v>
      </c>
      <c r="I492" s="39">
        <v>44531</v>
      </c>
      <c r="J492" s="39">
        <v>44561</v>
      </c>
      <c r="K492" s="24">
        <v>31</v>
      </c>
      <c r="L492" s="24">
        <v>1427</v>
      </c>
      <c r="M492" s="24">
        <v>3360000</v>
      </c>
      <c r="N492" s="39">
        <v>46175</v>
      </c>
    </row>
    <row r="493" spans="1:14" s="5" customFormat="1" outlineLevel="2">
      <c r="A493" s="39" t="s">
        <v>142</v>
      </c>
      <c r="B493" s="40" t="s">
        <v>387</v>
      </c>
      <c r="C493" s="41" t="s">
        <v>149</v>
      </c>
      <c r="D493" s="40" t="s">
        <v>150</v>
      </c>
      <c r="E493" s="24">
        <v>3360000</v>
      </c>
      <c r="F493" s="39">
        <v>44350</v>
      </c>
      <c r="G493" s="24">
        <v>3360000</v>
      </c>
      <c r="H493" s="23">
        <v>5.0000000000000001E-3</v>
      </c>
      <c r="I493" s="39">
        <v>44531</v>
      </c>
      <c r="J493" s="39">
        <v>44561</v>
      </c>
      <c r="K493" s="24">
        <v>31</v>
      </c>
      <c r="L493" s="24">
        <v>1427</v>
      </c>
      <c r="M493" s="24">
        <v>3360000</v>
      </c>
      <c r="N493" s="39">
        <v>46175</v>
      </c>
    </row>
    <row r="494" spans="1:14" s="5" customFormat="1" outlineLevel="2">
      <c r="A494" s="39" t="s">
        <v>142</v>
      </c>
      <c r="B494" s="40" t="s">
        <v>386</v>
      </c>
      <c r="C494" s="41" t="s">
        <v>149</v>
      </c>
      <c r="D494" s="40" t="s">
        <v>150</v>
      </c>
      <c r="E494" s="24">
        <v>3326400</v>
      </c>
      <c r="F494" s="39">
        <v>44351</v>
      </c>
      <c r="G494" s="24">
        <v>3326400</v>
      </c>
      <c r="H494" s="23">
        <v>5.0000000000000001E-3</v>
      </c>
      <c r="I494" s="39">
        <v>44531</v>
      </c>
      <c r="J494" s="39">
        <v>44561</v>
      </c>
      <c r="K494" s="24">
        <v>31</v>
      </c>
      <c r="L494" s="24">
        <v>1413</v>
      </c>
      <c r="M494" s="24">
        <v>3326400</v>
      </c>
      <c r="N494" s="39">
        <v>46176</v>
      </c>
    </row>
    <row r="495" spans="1:14" s="5" customFormat="1" outlineLevel="2">
      <c r="A495" s="39" t="s">
        <v>142</v>
      </c>
      <c r="B495" s="40" t="s">
        <v>385</v>
      </c>
      <c r="C495" s="41" t="s">
        <v>149</v>
      </c>
      <c r="D495" s="40" t="s">
        <v>150</v>
      </c>
      <c r="E495" s="24">
        <v>150000000</v>
      </c>
      <c r="F495" s="39">
        <v>44354</v>
      </c>
      <c r="G495" s="24">
        <v>150000000</v>
      </c>
      <c r="H495" s="23">
        <v>5.0000000000000001E-3</v>
      </c>
      <c r="I495" s="39">
        <v>44531</v>
      </c>
      <c r="J495" s="39">
        <v>44561</v>
      </c>
      <c r="K495" s="24">
        <v>31</v>
      </c>
      <c r="L495" s="24">
        <v>63699</v>
      </c>
      <c r="M495" s="24">
        <v>150000000</v>
      </c>
      <c r="N495" s="39">
        <v>46179</v>
      </c>
    </row>
    <row r="496" spans="1:14" s="5" customFormat="1" outlineLevel="2">
      <c r="A496" s="39" t="s">
        <v>142</v>
      </c>
      <c r="B496" s="40" t="s">
        <v>384</v>
      </c>
      <c r="C496" s="41" t="s">
        <v>149</v>
      </c>
      <c r="D496" s="40" t="s">
        <v>150</v>
      </c>
      <c r="E496" s="24">
        <v>1663200</v>
      </c>
      <c r="F496" s="39">
        <v>44356</v>
      </c>
      <c r="G496" s="24">
        <v>1663200</v>
      </c>
      <c r="H496" s="23">
        <v>5.0000000000000001E-3</v>
      </c>
      <c r="I496" s="39">
        <v>44531</v>
      </c>
      <c r="J496" s="39">
        <v>44561</v>
      </c>
      <c r="K496" s="24">
        <v>31</v>
      </c>
      <c r="L496" s="24">
        <v>706</v>
      </c>
      <c r="M496" s="24">
        <v>1663200</v>
      </c>
      <c r="N496" s="39">
        <v>46181</v>
      </c>
    </row>
    <row r="497" spans="1:14" s="5" customFormat="1" outlineLevel="2">
      <c r="A497" s="39" t="s">
        <v>142</v>
      </c>
      <c r="B497" s="40" t="s">
        <v>383</v>
      </c>
      <c r="C497" s="41" t="s">
        <v>149</v>
      </c>
      <c r="D497" s="40" t="s">
        <v>150</v>
      </c>
      <c r="E497" s="24">
        <v>312002</v>
      </c>
      <c r="F497" s="39">
        <v>44358</v>
      </c>
      <c r="G497" s="24">
        <v>312002</v>
      </c>
      <c r="H497" s="23">
        <v>5.0000000000000001E-3</v>
      </c>
      <c r="I497" s="39">
        <v>44531</v>
      </c>
      <c r="J497" s="39">
        <v>44561</v>
      </c>
      <c r="K497" s="24">
        <v>31</v>
      </c>
      <c r="L497" s="24">
        <v>132</v>
      </c>
      <c r="M497" s="24">
        <v>312002</v>
      </c>
      <c r="N497" s="39">
        <v>46183</v>
      </c>
    </row>
    <row r="498" spans="1:14" s="5" customFormat="1" outlineLevel="2">
      <c r="A498" s="39" t="s">
        <v>142</v>
      </c>
      <c r="B498" s="40" t="s">
        <v>33</v>
      </c>
      <c r="C498" s="41" t="s">
        <v>89</v>
      </c>
      <c r="D498" s="40" t="s">
        <v>90</v>
      </c>
      <c r="E498" s="24">
        <v>6550000</v>
      </c>
      <c r="F498" s="39">
        <v>43993</v>
      </c>
      <c r="G498" s="24">
        <v>6550000</v>
      </c>
      <c r="H498" s="23">
        <v>5.0000000000000001E-3</v>
      </c>
      <c r="I498" s="39">
        <v>44531</v>
      </c>
      <c r="J498" s="39">
        <v>44561</v>
      </c>
      <c r="K498" s="24">
        <v>31</v>
      </c>
      <c r="L498" s="24">
        <v>2782</v>
      </c>
      <c r="M498" s="24">
        <v>6550000</v>
      </c>
      <c r="N498" s="39">
        <v>45818</v>
      </c>
    </row>
    <row r="499" spans="1:14" s="5" customFormat="1" outlineLevel="2">
      <c r="A499" s="39" t="s">
        <v>142</v>
      </c>
      <c r="B499" s="40" t="s">
        <v>382</v>
      </c>
      <c r="C499" s="41" t="s">
        <v>149</v>
      </c>
      <c r="D499" s="40" t="s">
        <v>150</v>
      </c>
      <c r="E499" s="24">
        <v>478800</v>
      </c>
      <c r="F499" s="39">
        <v>44358</v>
      </c>
      <c r="G499" s="24">
        <v>478800</v>
      </c>
      <c r="H499" s="23">
        <v>5.0000000000000001E-3</v>
      </c>
      <c r="I499" s="39">
        <v>44531</v>
      </c>
      <c r="J499" s="39">
        <v>44561</v>
      </c>
      <c r="K499" s="24">
        <v>31</v>
      </c>
      <c r="L499" s="24">
        <v>203</v>
      </c>
      <c r="M499" s="24">
        <v>478800</v>
      </c>
      <c r="N499" s="39">
        <v>46183</v>
      </c>
    </row>
    <row r="500" spans="1:14" s="5" customFormat="1" outlineLevel="2">
      <c r="A500" s="39" t="s">
        <v>142</v>
      </c>
      <c r="B500" s="40" t="s">
        <v>381</v>
      </c>
      <c r="C500" s="41" t="s">
        <v>149</v>
      </c>
      <c r="D500" s="40" t="s">
        <v>150</v>
      </c>
      <c r="E500" s="24">
        <v>70000000</v>
      </c>
      <c r="F500" s="39">
        <v>44362</v>
      </c>
      <c r="G500" s="24">
        <v>70000000</v>
      </c>
      <c r="H500" s="23">
        <v>5.0000000000000001E-3</v>
      </c>
      <c r="I500" s="39">
        <v>44531</v>
      </c>
      <c r="J500" s="39">
        <v>44561</v>
      </c>
      <c r="K500" s="24">
        <v>31</v>
      </c>
      <c r="L500" s="24">
        <v>29726</v>
      </c>
      <c r="M500" s="24">
        <v>70000000</v>
      </c>
      <c r="N500" s="39">
        <v>46187</v>
      </c>
    </row>
    <row r="501" spans="1:14" s="5" customFormat="1" outlineLevel="2">
      <c r="A501" s="39" t="s">
        <v>142</v>
      </c>
      <c r="B501" s="40" t="s">
        <v>380</v>
      </c>
      <c r="C501" s="41" t="s">
        <v>149</v>
      </c>
      <c r="D501" s="40" t="s">
        <v>150</v>
      </c>
      <c r="E501" s="24">
        <v>806400</v>
      </c>
      <c r="F501" s="39">
        <v>44376</v>
      </c>
      <c r="G501" s="24">
        <v>806400</v>
      </c>
      <c r="H501" s="23">
        <v>5.0000000000000001E-3</v>
      </c>
      <c r="I501" s="39">
        <v>44531</v>
      </c>
      <c r="J501" s="39">
        <v>44561</v>
      </c>
      <c r="K501" s="24">
        <v>31</v>
      </c>
      <c r="L501" s="24">
        <v>342</v>
      </c>
      <c r="M501" s="24">
        <v>806400</v>
      </c>
      <c r="N501" s="39">
        <v>46201</v>
      </c>
    </row>
    <row r="502" spans="1:14" s="5" customFormat="1" outlineLevel="2">
      <c r="A502" s="39" t="s">
        <v>142</v>
      </c>
      <c r="B502" s="40" t="s">
        <v>379</v>
      </c>
      <c r="C502" s="41" t="s">
        <v>89</v>
      </c>
      <c r="D502" s="40" t="s">
        <v>90</v>
      </c>
      <c r="E502" s="24">
        <v>34000000</v>
      </c>
      <c r="F502" s="39">
        <v>44369</v>
      </c>
      <c r="G502" s="24">
        <v>34000000</v>
      </c>
      <c r="H502" s="23">
        <v>5.0000000000000001E-3</v>
      </c>
      <c r="I502" s="39">
        <v>44531</v>
      </c>
      <c r="J502" s="39">
        <v>44561</v>
      </c>
      <c r="K502" s="24">
        <v>31</v>
      </c>
      <c r="L502" s="24">
        <v>14438</v>
      </c>
      <c r="M502" s="24">
        <v>34000000</v>
      </c>
      <c r="N502" s="39">
        <v>46194</v>
      </c>
    </row>
    <row r="503" spans="1:14" s="5" customFormat="1" outlineLevel="2">
      <c r="A503" s="39" t="s">
        <v>142</v>
      </c>
      <c r="B503" s="40" t="s">
        <v>378</v>
      </c>
      <c r="C503" s="41" t="s">
        <v>89</v>
      </c>
      <c r="D503" s="40" t="s">
        <v>90</v>
      </c>
      <c r="E503" s="24">
        <v>34000000</v>
      </c>
      <c r="F503" s="39">
        <v>44369</v>
      </c>
      <c r="G503" s="24">
        <v>34000000</v>
      </c>
      <c r="H503" s="23">
        <v>5.0000000000000001E-3</v>
      </c>
      <c r="I503" s="39">
        <v>44531</v>
      </c>
      <c r="J503" s="39">
        <v>44561</v>
      </c>
      <c r="K503" s="24">
        <v>31</v>
      </c>
      <c r="L503" s="24">
        <v>14438</v>
      </c>
      <c r="M503" s="24">
        <v>34000000</v>
      </c>
      <c r="N503" s="39">
        <v>46194</v>
      </c>
    </row>
    <row r="504" spans="1:14" s="5" customFormat="1" outlineLevel="2">
      <c r="A504" s="39" t="s">
        <v>142</v>
      </c>
      <c r="B504" s="40" t="s">
        <v>377</v>
      </c>
      <c r="C504" s="41" t="s">
        <v>219</v>
      </c>
      <c r="D504" s="40" t="s">
        <v>220</v>
      </c>
      <c r="E504" s="24">
        <v>35000000</v>
      </c>
      <c r="F504" s="39">
        <v>44371</v>
      </c>
      <c r="G504" s="24">
        <v>35000000</v>
      </c>
      <c r="H504" s="23">
        <v>5.0000000000000001E-3</v>
      </c>
      <c r="I504" s="39">
        <v>44531</v>
      </c>
      <c r="J504" s="39">
        <v>44561</v>
      </c>
      <c r="K504" s="24">
        <v>31</v>
      </c>
      <c r="L504" s="24">
        <v>14863</v>
      </c>
      <c r="M504" s="24">
        <v>35000000</v>
      </c>
      <c r="N504" s="39">
        <v>46196</v>
      </c>
    </row>
    <row r="505" spans="1:14" s="5" customFormat="1" outlineLevel="2">
      <c r="A505" s="39" t="s">
        <v>142</v>
      </c>
      <c r="B505" s="40" t="s">
        <v>376</v>
      </c>
      <c r="C505" s="41" t="s">
        <v>87</v>
      </c>
      <c r="D505" s="40" t="s">
        <v>88</v>
      </c>
      <c r="E505" s="24">
        <v>13481921</v>
      </c>
      <c r="F505" s="39">
        <v>44372</v>
      </c>
      <c r="G505" s="24">
        <v>13481921</v>
      </c>
      <c r="H505" s="23">
        <v>5.0000000000000001E-3</v>
      </c>
      <c r="I505" s="39">
        <v>44531</v>
      </c>
      <c r="J505" s="39">
        <v>44561</v>
      </c>
      <c r="K505" s="24">
        <v>31</v>
      </c>
      <c r="L505" s="24">
        <v>5725</v>
      </c>
      <c r="M505" s="24">
        <v>13481921</v>
      </c>
      <c r="N505" s="39">
        <v>46197</v>
      </c>
    </row>
    <row r="506" spans="1:14" s="5" customFormat="1" outlineLevel="2">
      <c r="A506" s="39" t="s">
        <v>142</v>
      </c>
      <c r="B506" s="40" t="s">
        <v>375</v>
      </c>
      <c r="C506" s="41" t="s">
        <v>87</v>
      </c>
      <c r="D506" s="40" t="s">
        <v>88</v>
      </c>
      <c r="E506" s="24">
        <v>21053378</v>
      </c>
      <c r="F506" s="39">
        <v>44372</v>
      </c>
      <c r="G506" s="24">
        <v>21053378</v>
      </c>
      <c r="H506" s="23">
        <v>5.0000000000000001E-3</v>
      </c>
      <c r="I506" s="39">
        <v>44531</v>
      </c>
      <c r="J506" s="39">
        <v>44561</v>
      </c>
      <c r="K506" s="24">
        <v>31</v>
      </c>
      <c r="L506" s="24">
        <v>8940</v>
      </c>
      <c r="M506" s="24">
        <v>21053378</v>
      </c>
      <c r="N506" s="39">
        <v>46197</v>
      </c>
    </row>
    <row r="507" spans="1:14" s="5" customFormat="1" outlineLevel="2">
      <c r="A507" s="39" t="s">
        <v>142</v>
      </c>
      <c r="B507" s="40" t="s">
        <v>396</v>
      </c>
      <c r="C507" s="41" t="s">
        <v>187</v>
      </c>
      <c r="D507" s="40" t="s">
        <v>188</v>
      </c>
      <c r="E507" s="24">
        <v>66500000</v>
      </c>
      <c r="F507" s="39">
        <v>44379</v>
      </c>
      <c r="G507" s="24">
        <v>66500000</v>
      </c>
      <c r="H507" s="23">
        <v>5.0000000000000001E-3</v>
      </c>
      <c r="I507" s="39">
        <v>44531</v>
      </c>
      <c r="J507" s="39">
        <v>44561</v>
      </c>
      <c r="K507" s="24">
        <v>31</v>
      </c>
      <c r="L507" s="24">
        <v>28240</v>
      </c>
      <c r="M507" s="24">
        <v>66500000</v>
      </c>
      <c r="N507" s="39">
        <v>46204</v>
      </c>
    </row>
    <row r="508" spans="1:14" s="5" customFormat="1" outlineLevel="2">
      <c r="A508" s="39" t="s">
        <v>142</v>
      </c>
      <c r="B508" s="40" t="s">
        <v>395</v>
      </c>
      <c r="C508" s="41" t="s">
        <v>149</v>
      </c>
      <c r="D508" s="40" t="s">
        <v>150</v>
      </c>
      <c r="E508" s="24">
        <v>840000</v>
      </c>
      <c r="F508" s="39">
        <v>44379</v>
      </c>
      <c r="G508" s="24">
        <v>840000</v>
      </c>
      <c r="H508" s="23">
        <v>5.0000000000000001E-3</v>
      </c>
      <c r="I508" s="39">
        <v>44531</v>
      </c>
      <c r="J508" s="39">
        <v>44561</v>
      </c>
      <c r="K508" s="24">
        <v>31</v>
      </c>
      <c r="L508" s="24">
        <v>357</v>
      </c>
      <c r="M508" s="24">
        <v>840000</v>
      </c>
      <c r="N508" s="39">
        <v>46204</v>
      </c>
    </row>
    <row r="509" spans="1:14" s="5" customFormat="1" outlineLevel="2">
      <c r="A509" s="39" t="s">
        <v>142</v>
      </c>
      <c r="B509" s="40" t="s">
        <v>34</v>
      </c>
      <c r="C509" s="41" t="s">
        <v>89</v>
      </c>
      <c r="D509" s="40" t="s">
        <v>90</v>
      </c>
      <c r="E509" s="24">
        <v>19710000</v>
      </c>
      <c r="F509" s="39">
        <v>43993</v>
      </c>
      <c r="G509" s="24">
        <v>19710000</v>
      </c>
      <c r="H509" s="23">
        <v>5.0000000000000001E-3</v>
      </c>
      <c r="I509" s="39">
        <v>44531</v>
      </c>
      <c r="J509" s="39">
        <v>44561</v>
      </c>
      <c r="K509" s="24">
        <v>31</v>
      </c>
      <c r="L509" s="24">
        <v>8370</v>
      </c>
      <c r="M509" s="24">
        <v>19710000</v>
      </c>
      <c r="N509" s="39">
        <v>45818</v>
      </c>
    </row>
    <row r="510" spans="1:14" s="5" customFormat="1" outlineLevel="2">
      <c r="A510" s="39" t="s">
        <v>142</v>
      </c>
      <c r="B510" s="40" t="s">
        <v>394</v>
      </c>
      <c r="C510" s="41" t="s">
        <v>149</v>
      </c>
      <c r="D510" s="40" t="s">
        <v>150</v>
      </c>
      <c r="E510" s="24">
        <v>840000</v>
      </c>
      <c r="F510" s="39">
        <v>44379</v>
      </c>
      <c r="G510" s="24">
        <v>840000</v>
      </c>
      <c r="H510" s="23">
        <v>5.0000000000000001E-3</v>
      </c>
      <c r="I510" s="39">
        <v>44531</v>
      </c>
      <c r="J510" s="39">
        <v>44561</v>
      </c>
      <c r="K510" s="24">
        <v>31</v>
      </c>
      <c r="L510" s="24">
        <v>357</v>
      </c>
      <c r="M510" s="24">
        <v>840000</v>
      </c>
      <c r="N510" s="39">
        <v>46204</v>
      </c>
    </row>
    <row r="511" spans="1:14" s="5" customFormat="1" outlineLevel="2">
      <c r="A511" s="39" t="s">
        <v>142</v>
      </c>
      <c r="B511" s="40" t="s">
        <v>393</v>
      </c>
      <c r="C511" s="41" t="s">
        <v>149</v>
      </c>
      <c r="D511" s="40" t="s">
        <v>150</v>
      </c>
      <c r="E511" s="24">
        <v>1646400</v>
      </c>
      <c r="F511" s="39">
        <v>44384</v>
      </c>
      <c r="G511" s="24">
        <v>1646400</v>
      </c>
      <c r="H511" s="23">
        <v>5.0000000000000001E-3</v>
      </c>
      <c r="I511" s="39">
        <v>44531</v>
      </c>
      <c r="J511" s="39">
        <v>44561</v>
      </c>
      <c r="K511" s="24">
        <v>31</v>
      </c>
      <c r="L511" s="24">
        <v>699</v>
      </c>
      <c r="M511" s="24">
        <v>1646400</v>
      </c>
      <c r="N511" s="39">
        <v>46209</v>
      </c>
    </row>
    <row r="512" spans="1:14" s="5" customFormat="1" outlineLevel="2">
      <c r="A512" s="39" t="s">
        <v>142</v>
      </c>
      <c r="B512" s="40" t="s">
        <v>392</v>
      </c>
      <c r="C512" s="41" t="s">
        <v>149</v>
      </c>
      <c r="D512" s="40" t="s">
        <v>150</v>
      </c>
      <c r="E512" s="24">
        <v>1092000</v>
      </c>
      <c r="F512" s="39">
        <v>44407</v>
      </c>
      <c r="G512" s="24">
        <v>1092000</v>
      </c>
      <c r="H512" s="23">
        <v>5.0000000000000001E-3</v>
      </c>
      <c r="I512" s="39">
        <v>44531</v>
      </c>
      <c r="J512" s="39">
        <v>44561</v>
      </c>
      <c r="K512" s="24">
        <v>31</v>
      </c>
      <c r="L512" s="24">
        <v>464</v>
      </c>
      <c r="M512" s="24">
        <v>1092000</v>
      </c>
      <c r="N512" s="39">
        <v>46232</v>
      </c>
    </row>
    <row r="513" spans="1:14" s="5" customFormat="1" outlineLevel="2">
      <c r="A513" s="39" t="s">
        <v>142</v>
      </c>
      <c r="B513" s="40" t="s">
        <v>391</v>
      </c>
      <c r="C513" s="41" t="s">
        <v>149</v>
      </c>
      <c r="D513" s="40" t="s">
        <v>150</v>
      </c>
      <c r="E513" s="24">
        <v>430080</v>
      </c>
      <c r="F513" s="39">
        <v>44407</v>
      </c>
      <c r="G513" s="24">
        <v>430080</v>
      </c>
      <c r="H513" s="23">
        <v>5.0000000000000001E-3</v>
      </c>
      <c r="I513" s="39">
        <v>44531</v>
      </c>
      <c r="J513" s="39">
        <v>44561</v>
      </c>
      <c r="K513" s="24">
        <v>31</v>
      </c>
      <c r="L513" s="24">
        <v>183</v>
      </c>
      <c r="M513" s="24">
        <v>430080</v>
      </c>
      <c r="N513" s="39">
        <v>46232</v>
      </c>
    </row>
    <row r="514" spans="1:14" s="5" customFormat="1" outlineLevel="2">
      <c r="A514" s="39" t="s">
        <v>142</v>
      </c>
      <c r="B514" s="40" t="s">
        <v>390</v>
      </c>
      <c r="C514" s="41" t="s">
        <v>125</v>
      </c>
      <c r="D514" s="40" t="s">
        <v>126</v>
      </c>
      <c r="E514" s="24">
        <v>7000000</v>
      </c>
      <c r="F514" s="39">
        <v>44389</v>
      </c>
      <c r="G514" s="24">
        <v>7000000</v>
      </c>
      <c r="H514" s="23">
        <v>5.0000000000000001E-3</v>
      </c>
      <c r="I514" s="39">
        <v>44531</v>
      </c>
      <c r="J514" s="39">
        <v>44561</v>
      </c>
      <c r="K514" s="24">
        <v>31</v>
      </c>
      <c r="L514" s="24">
        <v>2973</v>
      </c>
      <c r="M514" s="24">
        <v>7000000</v>
      </c>
      <c r="N514" s="39">
        <v>46214</v>
      </c>
    </row>
    <row r="515" spans="1:14" s="5" customFormat="1" outlineLevel="2">
      <c r="A515" s="39" t="s">
        <v>142</v>
      </c>
      <c r="B515" s="40" t="s">
        <v>389</v>
      </c>
      <c r="C515" s="41" t="s">
        <v>87</v>
      </c>
      <c r="D515" s="40" t="s">
        <v>88</v>
      </c>
      <c r="E515" s="24">
        <v>13481921</v>
      </c>
      <c r="F515" s="39">
        <v>44403</v>
      </c>
      <c r="G515" s="24">
        <v>13481921</v>
      </c>
      <c r="H515" s="23">
        <v>5.0000000000000001E-3</v>
      </c>
      <c r="I515" s="39">
        <v>44531</v>
      </c>
      <c r="J515" s="39">
        <v>44561</v>
      </c>
      <c r="K515" s="24">
        <v>31</v>
      </c>
      <c r="L515" s="24">
        <v>5725</v>
      </c>
      <c r="M515" s="24">
        <v>13481921</v>
      </c>
      <c r="N515" s="39">
        <v>46228</v>
      </c>
    </row>
    <row r="516" spans="1:14" s="5" customFormat="1" outlineLevel="2">
      <c r="A516" s="39" t="s">
        <v>142</v>
      </c>
      <c r="B516" s="40" t="s">
        <v>402</v>
      </c>
      <c r="C516" s="41" t="s">
        <v>149</v>
      </c>
      <c r="D516" s="40" t="s">
        <v>150</v>
      </c>
      <c r="E516" s="24">
        <v>40666</v>
      </c>
      <c r="F516" s="39">
        <v>44417</v>
      </c>
      <c r="G516" s="24">
        <v>40666</v>
      </c>
      <c r="H516" s="23">
        <v>5.0000000000000001E-3</v>
      </c>
      <c r="I516" s="39">
        <v>44531</v>
      </c>
      <c r="J516" s="39">
        <v>44561</v>
      </c>
      <c r="K516" s="24">
        <v>31</v>
      </c>
      <c r="L516" s="24">
        <v>17</v>
      </c>
      <c r="M516" s="24">
        <v>40666</v>
      </c>
      <c r="N516" s="39">
        <v>46242</v>
      </c>
    </row>
    <row r="517" spans="1:14" s="5" customFormat="1" outlineLevel="2">
      <c r="A517" s="39" t="s">
        <v>142</v>
      </c>
      <c r="B517" s="40" t="s">
        <v>401</v>
      </c>
      <c r="C517" s="41" t="s">
        <v>149</v>
      </c>
      <c r="D517" s="40" t="s">
        <v>150</v>
      </c>
      <c r="E517" s="24">
        <v>160704</v>
      </c>
      <c r="F517" s="39">
        <v>44435</v>
      </c>
      <c r="G517" s="24">
        <v>160704</v>
      </c>
      <c r="H517" s="23">
        <v>5.0000000000000001E-3</v>
      </c>
      <c r="I517" s="39">
        <v>44531</v>
      </c>
      <c r="J517" s="39">
        <v>44561</v>
      </c>
      <c r="K517" s="24">
        <v>31</v>
      </c>
      <c r="L517" s="24">
        <v>68</v>
      </c>
      <c r="M517" s="24">
        <v>160704</v>
      </c>
      <c r="N517" s="39">
        <v>46260</v>
      </c>
    </row>
    <row r="518" spans="1:14" s="5" customFormat="1" outlineLevel="2">
      <c r="A518" s="39" t="s">
        <v>142</v>
      </c>
      <c r="B518" s="40" t="s">
        <v>400</v>
      </c>
      <c r="C518" s="41" t="s">
        <v>149</v>
      </c>
      <c r="D518" s="40" t="s">
        <v>150</v>
      </c>
      <c r="E518" s="24">
        <v>1302000</v>
      </c>
      <c r="F518" s="39">
        <v>44438</v>
      </c>
      <c r="G518" s="24">
        <v>1302000</v>
      </c>
      <c r="H518" s="23">
        <v>5.0000000000000001E-3</v>
      </c>
      <c r="I518" s="39">
        <v>44531</v>
      </c>
      <c r="J518" s="39">
        <v>44561</v>
      </c>
      <c r="K518" s="24">
        <v>31</v>
      </c>
      <c r="L518" s="24">
        <v>553</v>
      </c>
      <c r="M518" s="24">
        <v>1302000</v>
      </c>
      <c r="N518" s="39">
        <v>46263</v>
      </c>
    </row>
    <row r="519" spans="1:14" s="5" customFormat="1" outlineLevel="2">
      <c r="A519" s="39" t="s">
        <v>142</v>
      </c>
      <c r="B519" s="40" t="s">
        <v>399</v>
      </c>
      <c r="C519" s="41" t="s">
        <v>219</v>
      </c>
      <c r="D519" s="40" t="s">
        <v>220</v>
      </c>
      <c r="E519" s="24">
        <v>40000000</v>
      </c>
      <c r="F519" s="39">
        <v>44432</v>
      </c>
      <c r="G519" s="24">
        <v>40000000</v>
      </c>
      <c r="H519" s="23">
        <v>5.0000000000000001E-3</v>
      </c>
      <c r="I519" s="39">
        <v>44531</v>
      </c>
      <c r="J519" s="39">
        <v>44561</v>
      </c>
      <c r="K519" s="24">
        <v>31</v>
      </c>
      <c r="L519" s="24">
        <v>16986</v>
      </c>
      <c r="M519" s="24">
        <v>40000000</v>
      </c>
      <c r="N519" s="39">
        <v>46257</v>
      </c>
    </row>
    <row r="520" spans="1:14" s="5" customFormat="1" outlineLevel="2">
      <c r="A520" s="39" t="s">
        <v>142</v>
      </c>
      <c r="B520" s="40" t="s">
        <v>35</v>
      </c>
      <c r="C520" s="41" t="s">
        <v>89</v>
      </c>
      <c r="D520" s="40" t="s">
        <v>90</v>
      </c>
      <c r="E520" s="24">
        <v>16860000</v>
      </c>
      <c r="F520" s="39">
        <v>43993</v>
      </c>
      <c r="G520" s="24">
        <v>16860000</v>
      </c>
      <c r="H520" s="23">
        <v>5.0000000000000001E-3</v>
      </c>
      <c r="I520" s="39">
        <v>44531</v>
      </c>
      <c r="J520" s="39">
        <v>44561</v>
      </c>
      <c r="K520" s="24">
        <v>31</v>
      </c>
      <c r="L520" s="24">
        <v>7160</v>
      </c>
      <c r="M520" s="24">
        <v>16860000</v>
      </c>
      <c r="N520" s="39">
        <v>45818</v>
      </c>
    </row>
    <row r="521" spans="1:14" s="5" customFormat="1" outlineLevel="2">
      <c r="A521" s="39" t="s">
        <v>142</v>
      </c>
      <c r="B521" s="40" t="s">
        <v>420</v>
      </c>
      <c r="C521" s="41" t="s">
        <v>149</v>
      </c>
      <c r="D521" s="40" t="s">
        <v>150</v>
      </c>
      <c r="E521" s="24">
        <v>78606</v>
      </c>
      <c r="F521" s="39">
        <v>44450</v>
      </c>
      <c r="G521" s="24">
        <v>78606</v>
      </c>
      <c r="H521" s="23">
        <v>5.0000000000000001E-3</v>
      </c>
      <c r="I521" s="39">
        <v>44531</v>
      </c>
      <c r="J521" s="39">
        <v>44561</v>
      </c>
      <c r="K521" s="24">
        <v>31</v>
      </c>
      <c r="L521" s="24">
        <v>33</v>
      </c>
      <c r="M521" s="24">
        <v>78606</v>
      </c>
      <c r="N521" s="39">
        <v>46275</v>
      </c>
    </row>
    <row r="522" spans="1:14" s="5" customFormat="1" outlineLevel="2">
      <c r="A522" s="39" t="s">
        <v>142</v>
      </c>
      <c r="B522" s="40" t="s">
        <v>419</v>
      </c>
      <c r="C522" s="41" t="s">
        <v>149</v>
      </c>
      <c r="D522" s="40" t="s">
        <v>150</v>
      </c>
      <c r="E522" s="24">
        <v>160332</v>
      </c>
      <c r="F522" s="39">
        <v>44454</v>
      </c>
      <c r="G522" s="24">
        <v>160332</v>
      </c>
      <c r="H522" s="23">
        <v>5.0000000000000001E-3</v>
      </c>
      <c r="I522" s="39">
        <v>44531</v>
      </c>
      <c r="J522" s="39">
        <v>44561</v>
      </c>
      <c r="K522" s="24">
        <v>31</v>
      </c>
      <c r="L522" s="24">
        <v>68</v>
      </c>
      <c r="M522" s="24">
        <v>160332</v>
      </c>
      <c r="N522" s="39">
        <v>46279</v>
      </c>
    </row>
    <row r="523" spans="1:14" s="5" customFormat="1" outlineLevel="2">
      <c r="A523" s="39" t="s">
        <v>142</v>
      </c>
      <c r="B523" s="40" t="s">
        <v>418</v>
      </c>
      <c r="C523" s="41" t="s">
        <v>149</v>
      </c>
      <c r="D523" s="40" t="s">
        <v>150</v>
      </c>
      <c r="E523" s="24">
        <v>2016000</v>
      </c>
      <c r="F523" s="39">
        <v>44463</v>
      </c>
      <c r="G523" s="24">
        <v>2016000</v>
      </c>
      <c r="H523" s="23">
        <v>5.0000000000000001E-3</v>
      </c>
      <c r="I523" s="39">
        <v>44531</v>
      </c>
      <c r="J523" s="39">
        <v>44561</v>
      </c>
      <c r="K523" s="24">
        <v>31</v>
      </c>
      <c r="L523" s="24">
        <v>856</v>
      </c>
      <c r="M523" s="24">
        <v>2016000</v>
      </c>
      <c r="N523" s="39">
        <v>46288</v>
      </c>
    </row>
    <row r="524" spans="1:14" s="5" customFormat="1" outlineLevel="2">
      <c r="A524" s="39" t="s">
        <v>142</v>
      </c>
      <c r="B524" s="40" t="s">
        <v>417</v>
      </c>
      <c r="C524" s="41" t="s">
        <v>219</v>
      </c>
      <c r="D524" s="40" t="s">
        <v>220</v>
      </c>
      <c r="E524" s="24">
        <v>40000000</v>
      </c>
      <c r="F524" s="39">
        <v>44462</v>
      </c>
      <c r="G524" s="24">
        <v>40000000</v>
      </c>
      <c r="H524" s="23">
        <v>5.0000000000000001E-3</v>
      </c>
      <c r="I524" s="39">
        <v>44531</v>
      </c>
      <c r="J524" s="39">
        <v>44561</v>
      </c>
      <c r="K524" s="24">
        <v>31</v>
      </c>
      <c r="L524" s="24">
        <v>16986</v>
      </c>
      <c r="M524" s="24">
        <v>40000000</v>
      </c>
      <c r="N524" s="39">
        <v>46287</v>
      </c>
    </row>
    <row r="525" spans="1:14" s="5" customFormat="1" outlineLevel="2">
      <c r="A525" s="39" t="s">
        <v>142</v>
      </c>
      <c r="B525" s="40" t="s">
        <v>416</v>
      </c>
      <c r="C525" s="41" t="s">
        <v>87</v>
      </c>
      <c r="D525" s="40" t="s">
        <v>88</v>
      </c>
      <c r="E525" s="24">
        <v>22231681</v>
      </c>
      <c r="F525" s="39">
        <v>44466</v>
      </c>
      <c r="G525" s="24">
        <v>22231681</v>
      </c>
      <c r="H525" s="23">
        <v>5.0000000000000001E-3</v>
      </c>
      <c r="I525" s="39">
        <v>44531</v>
      </c>
      <c r="J525" s="39">
        <v>44561</v>
      </c>
      <c r="K525" s="24">
        <v>31</v>
      </c>
      <c r="L525" s="24">
        <v>9441</v>
      </c>
      <c r="M525" s="24">
        <v>22231681</v>
      </c>
      <c r="N525" s="39">
        <v>46291</v>
      </c>
    </row>
    <row r="526" spans="1:14" s="5" customFormat="1" outlineLevel="2">
      <c r="A526" s="39" t="s">
        <v>142</v>
      </c>
      <c r="B526" s="40" t="s">
        <v>415</v>
      </c>
      <c r="C526" s="41" t="s">
        <v>165</v>
      </c>
      <c r="D526" s="40" t="s">
        <v>166</v>
      </c>
      <c r="E526" s="24">
        <v>8010000</v>
      </c>
      <c r="F526" s="39">
        <v>44468</v>
      </c>
      <c r="G526" s="24">
        <v>8010000</v>
      </c>
      <c r="H526" s="23">
        <v>5.0000000000000001E-3</v>
      </c>
      <c r="I526" s="39">
        <v>44531</v>
      </c>
      <c r="J526" s="39">
        <v>44561</v>
      </c>
      <c r="K526" s="24">
        <v>31</v>
      </c>
      <c r="L526" s="24">
        <v>3402</v>
      </c>
      <c r="M526" s="24">
        <v>8010000</v>
      </c>
      <c r="N526" s="39">
        <v>45563</v>
      </c>
    </row>
    <row r="527" spans="1:14" s="5" customFormat="1" outlineLevel="2">
      <c r="A527" s="39" t="s">
        <v>142</v>
      </c>
      <c r="B527" s="40" t="s">
        <v>440</v>
      </c>
      <c r="C527" s="41" t="s">
        <v>149</v>
      </c>
      <c r="D527" s="40" t="s">
        <v>150</v>
      </c>
      <c r="E527" s="24">
        <v>3988404</v>
      </c>
      <c r="F527" s="39">
        <v>44477</v>
      </c>
      <c r="G527" s="24">
        <v>3988404</v>
      </c>
      <c r="H527" s="23">
        <v>5.0000000000000001E-3</v>
      </c>
      <c r="I527" s="39">
        <v>44531</v>
      </c>
      <c r="J527" s="39">
        <v>44561</v>
      </c>
      <c r="K527" s="24">
        <v>31</v>
      </c>
      <c r="L527" s="24">
        <v>1694</v>
      </c>
      <c r="M527" s="24">
        <v>3988404</v>
      </c>
      <c r="N527" s="39">
        <v>46302</v>
      </c>
    </row>
    <row r="528" spans="1:14" s="5" customFormat="1" outlineLevel="2">
      <c r="A528" s="39" t="s">
        <v>142</v>
      </c>
      <c r="B528" s="40" t="s">
        <v>439</v>
      </c>
      <c r="C528" s="41" t="s">
        <v>149</v>
      </c>
      <c r="D528" s="40" t="s">
        <v>150</v>
      </c>
      <c r="E528" s="24">
        <v>94885</v>
      </c>
      <c r="F528" s="39">
        <v>44498</v>
      </c>
      <c r="G528" s="24">
        <v>94885</v>
      </c>
      <c r="H528" s="23">
        <v>5.0000000000000001E-3</v>
      </c>
      <c r="I528" s="39">
        <v>44531</v>
      </c>
      <c r="J528" s="39">
        <v>44561</v>
      </c>
      <c r="K528" s="24">
        <v>31</v>
      </c>
      <c r="L528" s="24">
        <v>40</v>
      </c>
      <c r="M528" s="24">
        <v>94885</v>
      </c>
      <c r="N528" s="39">
        <v>46323</v>
      </c>
    </row>
    <row r="529" spans="1:14" s="5" customFormat="1" outlineLevel="2">
      <c r="A529" s="39" t="s">
        <v>142</v>
      </c>
      <c r="B529" s="40" t="s">
        <v>438</v>
      </c>
      <c r="C529" s="41" t="s">
        <v>149</v>
      </c>
      <c r="D529" s="40" t="s">
        <v>150</v>
      </c>
      <c r="E529" s="24">
        <v>255360</v>
      </c>
      <c r="F529" s="39">
        <v>44498</v>
      </c>
      <c r="G529" s="24">
        <v>255360</v>
      </c>
      <c r="H529" s="23">
        <v>5.0000000000000001E-3</v>
      </c>
      <c r="I529" s="39">
        <v>44531</v>
      </c>
      <c r="J529" s="39">
        <v>44561</v>
      </c>
      <c r="K529" s="24">
        <v>31</v>
      </c>
      <c r="L529" s="24">
        <v>108</v>
      </c>
      <c r="M529" s="24">
        <v>255360</v>
      </c>
      <c r="N529" s="39">
        <v>46323</v>
      </c>
    </row>
    <row r="530" spans="1:14" s="5" customFormat="1" outlineLevel="2">
      <c r="A530" s="39" t="s">
        <v>142</v>
      </c>
      <c r="B530" s="40" t="s">
        <v>437</v>
      </c>
      <c r="C530" s="41" t="s">
        <v>87</v>
      </c>
      <c r="D530" s="40" t="s">
        <v>88</v>
      </c>
      <c r="E530" s="24">
        <v>13481920</v>
      </c>
      <c r="F530" s="39">
        <v>44494</v>
      </c>
      <c r="G530" s="24">
        <v>13481920</v>
      </c>
      <c r="H530" s="23">
        <v>5.0000000000000001E-3</v>
      </c>
      <c r="I530" s="39">
        <v>44531</v>
      </c>
      <c r="J530" s="39">
        <v>44561</v>
      </c>
      <c r="K530" s="24">
        <v>31</v>
      </c>
      <c r="L530" s="24">
        <v>5725</v>
      </c>
      <c r="M530" s="24">
        <v>13481920</v>
      </c>
      <c r="N530" s="39">
        <v>46319</v>
      </c>
    </row>
    <row r="531" spans="1:14" s="5" customFormat="1" outlineLevel="2">
      <c r="A531" s="39" t="s">
        <v>142</v>
      </c>
      <c r="B531" s="40" t="s">
        <v>36</v>
      </c>
      <c r="C531" s="41" t="s">
        <v>161</v>
      </c>
      <c r="D531" s="40" t="s">
        <v>162</v>
      </c>
      <c r="E531" s="24">
        <v>240000000</v>
      </c>
      <c r="F531" s="39">
        <v>44000</v>
      </c>
      <c r="G531" s="24">
        <v>240000000</v>
      </c>
      <c r="H531" s="23">
        <v>5.0000000000000001E-3</v>
      </c>
      <c r="I531" s="39">
        <v>44531</v>
      </c>
      <c r="J531" s="39">
        <v>44561</v>
      </c>
      <c r="K531" s="24">
        <v>31</v>
      </c>
      <c r="L531" s="24">
        <v>101918</v>
      </c>
      <c r="M531" s="24">
        <v>240000000</v>
      </c>
      <c r="N531" s="39">
        <v>45825</v>
      </c>
    </row>
    <row r="532" spans="1:14" s="5" customFormat="1" outlineLevel="2">
      <c r="A532" s="39" t="s">
        <v>142</v>
      </c>
      <c r="B532" s="40" t="s">
        <v>436</v>
      </c>
      <c r="C532" s="41" t="s">
        <v>294</v>
      </c>
      <c r="D532" s="40" t="s">
        <v>295</v>
      </c>
      <c r="E532" s="24">
        <v>1000000000</v>
      </c>
      <c r="F532" s="39">
        <v>44495</v>
      </c>
      <c r="G532" s="24">
        <v>1000000000</v>
      </c>
      <c r="H532" s="23">
        <v>3.0000000000000001E-3</v>
      </c>
      <c r="I532" s="39">
        <v>44531</v>
      </c>
      <c r="J532" s="39">
        <v>44561</v>
      </c>
      <c r="K532" s="24">
        <v>31</v>
      </c>
      <c r="L532" s="24">
        <v>254795</v>
      </c>
      <c r="M532" s="24">
        <v>1000000000</v>
      </c>
      <c r="N532" s="39">
        <v>45590</v>
      </c>
    </row>
    <row r="533" spans="1:14" s="5" customFormat="1" outlineLevel="2">
      <c r="A533" s="39" t="s">
        <v>142</v>
      </c>
      <c r="B533" s="40" t="s">
        <v>435</v>
      </c>
      <c r="C533" s="41" t="s">
        <v>414</v>
      </c>
      <c r="D533" s="40" t="s">
        <v>413</v>
      </c>
      <c r="E533" s="24">
        <v>105700000</v>
      </c>
      <c r="F533" s="39">
        <v>44495</v>
      </c>
      <c r="G533" s="24">
        <v>105700000</v>
      </c>
      <c r="H533" s="23">
        <v>5.0000000000000001E-3</v>
      </c>
      <c r="I533" s="39">
        <v>44531</v>
      </c>
      <c r="J533" s="39">
        <v>44561</v>
      </c>
      <c r="K533" s="24">
        <v>31</v>
      </c>
      <c r="L533" s="24">
        <v>44886</v>
      </c>
      <c r="M533" s="24">
        <v>105700000</v>
      </c>
      <c r="N533" s="39">
        <v>45590</v>
      </c>
    </row>
    <row r="534" spans="1:14" s="5" customFormat="1" outlineLevel="2">
      <c r="A534" s="39" t="s">
        <v>142</v>
      </c>
      <c r="B534" s="40" t="s">
        <v>434</v>
      </c>
      <c r="C534" s="41" t="s">
        <v>97</v>
      </c>
      <c r="D534" s="40" t="s">
        <v>98</v>
      </c>
      <c r="E534" s="24">
        <v>102800000</v>
      </c>
      <c r="F534" s="39">
        <v>44497</v>
      </c>
      <c r="G534" s="24">
        <v>102800000</v>
      </c>
      <c r="H534" s="23">
        <v>5.0000000000000001E-3</v>
      </c>
      <c r="I534" s="39">
        <v>44531</v>
      </c>
      <c r="J534" s="39">
        <v>44561</v>
      </c>
      <c r="K534" s="24">
        <v>31</v>
      </c>
      <c r="L534" s="24">
        <v>43655</v>
      </c>
      <c r="M534" s="24">
        <v>102800000</v>
      </c>
      <c r="N534" s="39">
        <v>46322</v>
      </c>
    </row>
    <row r="535" spans="1:14" s="5" customFormat="1" outlineLevel="2">
      <c r="A535" s="39" t="s">
        <v>142</v>
      </c>
      <c r="B535" s="40" t="s">
        <v>433</v>
      </c>
      <c r="C535" s="41" t="s">
        <v>432</v>
      </c>
      <c r="D535" s="40" t="s">
        <v>431</v>
      </c>
      <c r="E535" s="24">
        <v>110000000</v>
      </c>
      <c r="F535" s="39">
        <v>44497</v>
      </c>
      <c r="G535" s="24">
        <v>110000000</v>
      </c>
      <c r="H535" s="23">
        <v>5.0000000000000001E-3</v>
      </c>
      <c r="I535" s="39">
        <v>44531</v>
      </c>
      <c r="J535" s="39">
        <v>44561</v>
      </c>
      <c r="K535" s="24">
        <v>31</v>
      </c>
      <c r="L535" s="24">
        <v>46712</v>
      </c>
      <c r="M535" s="24">
        <v>110000000</v>
      </c>
      <c r="N535" s="39">
        <v>45592</v>
      </c>
    </row>
    <row r="536" spans="1:14" s="5" customFormat="1" outlineLevel="2">
      <c r="A536" s="39" t="s">
        <v>142</v>
      </c>
      <c r="B536" s="40" t="s">
        <v>458</v>
      </c>
      <c r="C536" s="41" t="s">
        <v>89</v>
      </c>
      <c r="D536" s="40" t="s">
        <v>90</v>
      </c>
      <c r="E536" s="24">
        <v>1000000</v>
      </c>
      <c r="F536" s="39">
        <v>44505</v>
      </c>
      <c r="G536" s="24">
        <v>1000000</v>
      </c>
      <c r="H536" s="23">
        <v>5.0000000000000001E-3</v>
      </c>
      <c r="I536" s="39">
        <v>44531</v>
      </c>
      <c r="J536" s="39">
        <v>44561</v>
      </c>
      <c r="K536" s="24">
        <v>31</v>
      </c>
      <c r="L536" s="24">
        <v>425</v>
      </c>
      <c r="M536" s="24">
        <v>1000000</v>
      </c>
      <c r="N536" s="39">
        <v>45600</v>
      </c>
    </row>
    <row r="537" spans="1:14" s="5" customFormat="1" outlineLevel="2">
      <c r="A537" s="39" t="s">
        <v>142</v>
      </c>
      <c r="B537" s="40" t="s">
        <v>457</v>
      </c>
      <c r="C537" s="41" t="s">
        <v>149</v>
      </c>
      <c r="D537" s="40" t="s">
        <v>150</v>
      </c>
      <c r="E537" s="24">
        <v>410270</v>
      </c>
      <c r="F537" s="39">
        <v>44511</v>
      </c>
      <c r="G537" s="24">
        <v>410270</v>
      </c>
      <c r="H537" s="23">
        <v>5.0000000000000001E-3</v>
      </c>
      <c r="I537" s="39">
        <v>44531</v>
      </c>
      <c r="J537" s="39">
        <v>44561</v>
      </c>
      <c r="K537" s="24">
        <v>31</v>
      </c>
      <c r="L537" s="24">
        <v>174</v>
      </c>
      <c r="M537" s="24">
        <v>410270</v>
      </c>
      <c r="N537" s="39">
        <v>46336</v>
      </c>
    </row>
    <row r="538" spans="1:14" s="5" customFormat="1" outlineLevel="2">
      <c r="A538" s="39" t="s">
        <v>142</v>
      </c>
      <c r="B538" s="40" t="s">
        <v>456</v>
      </c>
      <c r="C538" s="41" t="s">
        <v>149</v>
      </c>
      <c r="D538" s="40" t="s">
        <v>150</v>
      </c>
      <c r="E538" s="24">
        <v>840000</v>
      </c>
      <c r="F538" s="39">
        <v>44516</v>
      </c>
      <c r="G538" s="24">
        <v>840000</v>
      </c>
      <c r="H538" s="23">
        <v>5.0000000000000001E-3</v>
      </c>
      <c r="I538" s="39">
        <v>44531</v>
      </c>
      <c r="J538" s="39">
        <v>44561</v>
      </c>
      <c r="K538" s="24">
        <v>31</v>
      </c>
      <c r="L538" s="24">
        <v>357</v>
      </c>
      <c r="M538" s="24">
        <v>840000</v>
      </c>
      <c r="N538" s="39">
        <v>46341</v>
      </c>
    </row>
    <row r="539" spans="1:14" s="5" customFormat="1" outlineLevel="2">
      <c r="A539" s="39" t="s">
        <v>142</v>
      </c>
      <c r="B539" s="40" t="s">
        <v>455</v>
      </c>
      <c r="C539" s="41" t="s">
        <v>149</v>
      </c>
      <c r="D539" s="40" t="s">
        <v>150</v>
      </c>
      <c r="E539" s="24">
        <v>1290240</v>
      </c>
      <c r="F539" s="39">
        <v>44529</v>
      </c>
      <c r="G539" s="24">
        <v>1290240</v>
      </c>
      <c r="H539" s="23">
        <v>5.0000000000000001E-3</v>
      </c>
      <c r="I539" s="39">
        <v>44531</v>
      </c>
      <c r="J539" s="39">
        <v>44561</v>
      </c>
      <c r="K539" s="24">
        <v>31</v>
      </c>
      <c r="L539" s="24">
        <v>548</v>
      </c>
      <c r="M539" s="24">
        <v>1290240</v>
      </c>
      <c r="N539" s="39">
        <v>46354</v>
      </c>
    </row>
    <row r="540" spans="1:14" s="5" customFormat="1" outlineLevel="2">
      <c r="A540" s="39" t="s">
        <v>142</v>
      </c>
      <c r="B540" s="40" t="s">
        <v>454</v>
      </c>
      <c r="C540" s="41" t="s">
        <v>163</v>
      </c>
      <c r="D540" s="40" t="s">
        <v>164</v>
      </c>
      <c r="E540" s="24">
        <v>6000000</v>
      </c>
      <c r="F540" s="39">
        <v>44512</v>
      </c>
      <c r="G540" s="24">
        <v>6000000</v>
      </c>
      <c r="H540" s="23">
        <v>5.0000000000000001E-3</v>
      </c>
      <c r="I540" s="39">
        <v>44531</v>
      </c>
      <c r="J540" s="39">
        <v>44544</v>
      </c>
      <c r="K540" s="24">
        <v>14</v>
      </c>
      <c r="L540" s="24">
        <v>1151</v>
      </c>
      <c r="M540" s="24">
        <v>5922078</v>
      </c>
      <c r="N540" s="39">
        <v>46337</v>
      </c>
    </row>
    <row r="541" spans="1:14" s="5" customFormat="1" outlineLevel="2">
      <c r="A541" s="39" t="s">
        <v>142</v>
      </c>
      <c r="B541" s="40" t="s">
        <v>454</v>
      </c>
      <c r="C541" s="41" t="s">
        <v>163</v>
      </c>
      <c r="D541" s="40"/>
      <c r="E541" s="24"/>
      <c r="F541" s="39"/>
      <c r="G541" s="24">
        <v>5922078</v>
      </c>
      <c r="H541" s="23">
        <v>5.0000000000000001E-3</v>
      </c>
      <c r="I541" s="39">
        <v>44545</v>
      </c>
      <c r="J541" s="39">
        <v>44561</v>
      </c>
      <c r="K541" s="24">
        <v>17</v>
      </c>
      <c r="L541" s="24">
        <v>1379</v>
      </c>
      <c r="M541" s="24"/>
      <c r="N541" s="39">
        <v>46337</v>
      </c>
    </row>
    <row r="542" spans="1:14" s="5" customFormat="1" outlineLevel="2">
      <c r="A542" s="39" t="s">
        <v>142</v>
      </c>
      <c r="B542" s="40" t="s">
        <v>453</v>
      </c>
      <c r="C542" s="41" t="s">
        <v>452</v>
      </c>
      <c r="D542" s="40" t="s">
        <v>451</v>
      </c>
      <c r="E542" s="24">
        <v>60000000</v>
      </c>
      <c r="F542" s="39">
        <v>44515</v>
      </c>
      <c r="G542" s="24">
        <v>60000000</v>
      </c>
      <c r="H542" s="23">
        <v>5.0000000000000001E-3</v>
      </c>
      <c r="I542" s="39">
        <v>44531</v>
      </c>
      <c r="J542" s="39">
        <v>44561</v>
      </c>
      <c r="K542" s="24">
        <v>31</v>
      </c>
      <c r="L542" s="24">
        <v>25479</v>
      </c>
      <c r="M542" s="24">
        <v>60000000</v>
      </c>
      <c r="N542" s="39">
        <v>45610</v>
      </c>
    </row>
    <row r="543" spans="1:14" s="5" customFormat="1" outlineLevel="2">
      <c r="A543" s="39" t="s">
        <v>142</v>
      </c>
      <c r="B543" s="40" t="s">
        <v>39</v>
      </c>
      <c r="C543" s="41" t="s">
        <v>143</v>
      </c>
      <c r="D543" s="40" t="s">
        <v>144</v>
      </c>
      <c r="E543" s="24">
        <v>57000000</v>
      </c>
      <c r="F543" s="39">
        <v>43822</v>
      </c>
      <c r="G543" s="24">
        <v>57000000</v>
      </c>
      <c r="H543" s="23">
        <v>5.0000000000000001E-3</v>
      </c>
      <c r="I543" s="39">
        <v>44531</v>
      </c>
      <c r="J543" s="39">
        <v>44561</v>
      </c>
      <c r="K543" s="24">
        <v>31</v>
      </c>
      <c r="L543" s="24">
        <v>24205</v>
      </c>
      <c r="M543" s="24">
        <v>57000000</v>
      </c>
      <c r="N543" s="39">
        <v>45648</v>
      </c>
    </row>
    <row r="544" spans="1:14" s="5" customFormat="1" outlineLevel="2">
      <c r="A544" s="39" t="s">
        <v>142</v>
      </c>
      <c r="B544" s="40" t="s">
        <v>40</v>
      </c>
      <c r="C544" s="41" t="s">
        <v>123</v>
      </c>
      <c r="D544" s="40" t="s">
        <v>124</v>
      </c>
      <c r="E544" s="24">
        <v>55000000</v>
      </c>
      <c r="F544" s="39">
        <v>44001</v>
      </c>
      <c r="G544" s="24">
        <v>55000000</v>
      </c>
      <c r="H544" s="23">
        <v>5.0000000000000001E-3</v>
      </c>
      <c r="I544" s="39">
        <v>44531</v>
      </c>
      <c r="J544" s="39">
        <v>44561</v>
      </c>
      <c r="K544" s="24">
        <v>31</v>
      </c>
      <c r="L544" s="24">
        <v>23356</v>
      </c>
      <c r="M544" s="24">
        <v>55000000</v>
      </c>
      <c r="N544" s="39">
        <v>45826</v>
      </c>
    </row>
    <row r="545" spans="1:14" s="5" customFormat="1" outlineLevel="2">
      <c r="A545" s="39" t="s">
        <v>142</v>
      </c>
      <c r="B545" s="40" t="s">
        <v>468</v>
      </c>
      <c r="C545" s="41" t="s">
        <v>149</v>
      </c>
      <c r="D545" s="40" t="s">
        <v>150</v>
      </c>
      <c r="E545" s="24">
        <v>430080</v>
      </c>
      <c r="F545" s="39">
        <v>44532</v>
      </c>
      <c r="G545" s="24">
        <v>430080</v>
      </c>
      <c r="H545" s="23">
        <v>5.0000000000000001E-3</v>
      </c>
      <c r="I545" s="39">
        <v>44532</v>
      </c>
      <c r="J545" s="39">
        <v>44561</v>
      </c>
      <c r="K545" s="24">
        <v>30</v>
      </c>
      <c r="L545" s="24">
        <v>177</v>
      </c>
      <c r="M545" s="24">
        <v>430080</v>
      </c>
      <c r="N545" s="39">
        <v>46357</v>
      </c>
    </row>
    <row r="546" spans="1:14" s="5" customFormat="1" outlineLevel="2">
      <c r="A546" s="39" t="s">
        <v>142</v>
      </c>
      <c r="B546" s="40" t="s">
        <v>467</v>
      </c>
      <c r="C546" s="41" t="s">
        <v>149</v>
      </c>
      <c r="D546" s="40" t="s">
        <v>150</v>
      </c>
      <c r="E546" s="24">
        <v>3192000</v>
      </c>
      <c r="F546" s="39">
        <v>44559</v>
      </c>
      <c r="G546" s="24">
        <v>3192000</v>
      </c>
      <c r="H546" s="23">
        <v>5.0000000000000001E-3</v>
      </c>
      <c r="I546" s="39">
        <v>44559</v>
      </c>
      <c r="J546" s="39">
        <v>44561</v>
      </c>
      <c r="K546" s="24">
        <v>3</v>
      </c>
      <c r="L546" s="24">
        <v>131</v>
      </c>
      <c r="M546" s="24">
        <v>3192000</v>
      </c>
      <c r="N546" s="39">
        <v>46384</v>
      </c>
    </row>
    <row r="547" spans="1:14" s="5" customFormat="1" outlineLevel="2">
      <c r="A547" s="39" t="s">
        <v>142</v>
      </c>
      <c r="B547" s="40" t="s">
        <v>466</v>
      </c>
      <c r="C547" s="41" t="s">
        <v>87</v>
      </c>
      <c r="D547" s="40" t="s">
        <v>88</v>
      </c>
      <c r="E547" s="24">
        <v>10041307</v>
      </c>
      <c r="F547" s="39">
        <v>44537</v>
      </c>
      <c r="G547" s="24">
        <v>10041307</v>
      </c>
      <c r="H547" s="23">
        <v>5.0000000000000001E-3</v>
      </c>
      <c r="I547" s="39">
        <v>44537</v>
      </c>
      <c r="J547" s="39">
        <v>44561</v>
      </c>
      <c r="K547" s="24">
        <v>25</v>
      </c>
      <c r="L547" s="24">
        <v>3439</v>
      </c>
      <c r="M547" s="24">
        <v>10041307</v>
      </c>
      <c r="N547" s="39">
        <v>46362</v>
      </c>
    </row>
    <row r="548" spans="1:14" s="5" customFormat="1" outlineLevel="2">
      <c r="A548" s="39" t="s">
        <v>142</v>
      </c>
      <c r="B548" s="40" t="s">
        <v>465</v>
      </c>
      <c r="C548" s="41" t="s">
        <v>87</v>
      </c>
      <c r="D548" s="40" t="s">
        <v>88</v>
      </c>
      <c r="E548" s="24">
        <v>61666606</v>
      </c>
      <c r="F548" s="39">
        <v>44554</v>
      </c>
      <c r="G548" s="24">
        <v>61666606</v>
      </c>
      <c r="H548" s="23">
        <v>5.0000000000000001E-3</v>
      </c>
      <c r="I548" s="39">
        <v>44554</v>
      </c>
      <c r="J548" s="39">
        <v>44561</v>
      </c>
      <c r="K548" s="24">
        <v>8</v>
      </c>
      <c r="L548" s="24">
        <v>6758</v>
      </c>
      <c r="M548" s="24">
        <v>61666606</v>
      </c>
      <c r="N548" s="39">
        <v>46379</v>
      </c>
    </row>
    <row r="549" spans="1:14" s="5" customFormat="1" outlineLevel="2">
      <c r="A549" s="39" t="s">
        <v>142</v>
      </c>
      <c r="B549" s="40" t="s">
        <v>464</v>
      </c>
      <c r="C549" s="41" t="s">
        <v>351</v>
      </c>
      <c r="D549" s="40" t="s">
        <v>350</v>
      </c>
      <c r="E549" s="24">
        <v>21000000</v>
      </c>
      <c r="F549" s="39">
        <v>44550</v>
      </c>
      <c r="G549" s="24">
        <v>21000000</v>
      </c>
      <c r="H549" s="23">
        <v>5.0000000000000001E-3</v>
      </c>
      <c r="I549" s="39">
        <v>44550</v>
      </c>
      <c r="J549" s="39">
        <v>44561</v>
      </c>
      <c r="K549" s="24">
        <v>12</v>
      </c>
      <c r="L549" s="24">
        <v>3452</v>
      </c>
      <c r="M549" s="24">
        <v>21000000</v>
      </c>
      <c r="N549" s="39">
        <v>46375</v>
      </c>
    </row>
    <row r="550" spans="1:14" s="5" customFormat="1" outlineLevel="2">
      <c r="A550" s="39" t="s">
        <v>142</v>
      </c>
      <c r="B550" s="40" t="s">
        <v>463</v>
      </c>
      <c r="C550" s="41" t="s">
        <v>462</v>
      </c>
      <c r="D550" s="40" t="s">
        <v>461</v>
      </c>
      <c r="E550" s="24">
        <v>2163000</v>
      </c>
      <c r="F550" s="39">
        <v>44552</v>
      </c>
      <c r="G550" s="24">
        <v>2163000</v>
      </c>
      <c r="H550" s="23">
        <v>5.0000000000000001E-3</v>
      </c>
      <c r="I550" s="39">
        <v>44552</v>
      </c>
      <c r="J550" s="39">
        <v>44561</v>
      </c>
      <c r="K550" s="24">
        <v>10</v>
      </c>
      <c r="L550" s="24">
        <v>296</v>
      </c>
      <c r="M550" s="24">
        <v>2163000</v>
      </c>
      <c r="N550" s="39">
        <v>45647</v>
      </c>
    </row>
    <row r="551" spans="1:14" s="5" customFormat="1" outlineLevel="2">
      <c r="A551" s="39" t="s">
        <v>142</v>
      </c>
      <c r="B551" s="40" t="s">
        <v>460</v>
      </c>
      <c r="C551" s="41" t="s">
        <v>219</v>
      </c>
      <c r="D551" s="40" t="s">
        <v>220</v>
      </c>
      <c r="E551" s="24">
        <v>23000000</v>
      </c>
      <c r="F551" s="39">
        <v>44553</v>
      </c>
      <c r="G551" s="24">
        <v>23000000</v>
      </c>
      <c r="H551" s="23">
        <v>5.0000000000000001E-3</v>
      </c>
      <c r="I551" s="39">
        <v>44553</v>
      </c>
      <c r="J551" s="39">
        <v>44561</v>
      </c>
      <c r="K551" s="24">
        <v>9</v>
      </c>
      <c r="L551" s="24">
        <v>2836</v>
      </c>
      <c r="M551" s="24">
        <v>23000000</v>
      </c>
      <c r="N551" s="39">
        <v>46378</v>
      </c>
    </row>
    <row r="552" spans="1:14" s="5" customFormat="1" outlineLevel="2">
      <c r="A552" s="39" t="s">
        <v>142</v>
      </c>
      <c r="B552" s="40" t="s">
        <v>459</v>
      </c>
      <c r="C552" s="41" t="s">
        <v>165</v>
      </c>
      <c r="D552" s="40" t="s">
        <v>166</v>
      </c>
      <c r="E552" s="24">
        <v>10000000</v>
      </c>
      <c r="F552" s="39">
        <v>44558</v>
      </c>
      <c r="G552" s="24">
        <v>10000000</v>
      </c>
      <c r="H552" s="23">
        <v>5.0000000000000001E-3</v>
      </c>
      <c r="I552" s="39">
        <v>44558</v>
      </c>
      <c r="J552" s="39">
        <v>44561</v>
      </c>
      <c r="K552" s="24">
        <v>4</v>
      </c>
      <c r="L552" s="24">
        <v>548</v>
      </c>
      <c r="M552" s="24">
        <v>10000000</v>
      </c>
      <c r="N552" s="39">
        <v>45653</v>
      </c>
    </row>
    <row r="553" spans="1:14" s="5" customFormat="1" outlineLevel="2">
      <c r="A553" s="39" t="s">
        <v>142</v>
      </c>
      <c r="B553" s="40" t="s">
        <v>41</v>
      </c>
      <c r="C553" s="41" t="s">
        <v>87</v>
      </c>
      <c r="D553" s="40" t="s">
        <v>88</v>
      </c>
      <c r="E553" s="24">
        <v>8907064</v>
      </c>
      <c r="F553" s="39">
        <v>44006</v>
      </c>
      <c r="G553" s="24">
        <v>8907064</v>
      </c>
      <c r="H553" s="23">
        <v>5.0000000000000001E-3</v>
      </c>
      <c r="I553" s="39">
        <v>44531</v>
      </c>
      <c r="J553" s="39">
        <v>44561</v>
      </c>
      <c r="K553" s="24">
        <v>31</v>
      </c>
      <c r="L553" s="24">
        <v>3782</v>
      </c>
      <c r="M553" s="24">
        <v>8907064</v>
      </c>
      <c r="N553" s="39">
        <v>45831</v>
      </c>
    </row>
    <row r="554" spans="1:14" s="5" customFormat="1" outlineLevel="2">
      <c r="A554" s="39" t="s">
        <v>142</v>
      </c>
      <c r="B554" s="40" t="s">
        <v>42</v>
      </c>
      <c r="C554" s="41" t="s">
        <v>149</v>
      </c>
      <c r="D554" s="40" t="s">
        <v>150</v>
      </c>
      <c r="E554" s="24">
        <v>7560000</v>
      </c>
      <c r="F554" s="39">
        <v>44018</v>
      </c>
      <c r="G554" s="24">
        <v>7560000</v>
      </c>
      <c r="H554" s="23">
        <v>5.0000000000000001E-3</v>
      </c>
      <c r="I554" s="39">
        <v>44531</v>
      </c>
      <c r="J554" s="39">
        <v>44561</v>
      </c>
      <c r="K554" s="24">
        <v>31</v>
      </c>
      <c r="L554" s="24">
        <v>3210</v>
      </c>
      <c r="M554" s="24">
        <v>7560000</v>
      </c>
      <c r="N554" s="39">
        <v>45843</v>
      </c>
    </row>
    <row r="555" spans="1:14" s="5" customFormat="1" outlineLevel="2">
      <c r="A555" s="39" t="s">
        <v>142</v>
      </c>
      <c r="B555" s="40" t="s">
        <v>43</v>
      </c>
      <c r="C555" s="41" t="s">
        <v>143</v>
      </c>
      <c r="D555" s="40" t="s">
        <v>144</v>
      </c>
      <c r="E555" s="24">
        <v>38000000</v>
      </c>
      <c r="F555" s="39">
        <v>44022</v>
      </c>
      <c r="G555" s="24">
        <v>38000000</v>
      </c>
      <c r="H555" s="23">
        <v>5.0000000000000001E-3</v>
      </c>
      <c r="I555" s="39">
        <v>44531</v>
      </c>
      <c r="J555" s="39">
        <v>44561</v>
      </c>
      <c r="K555" s="24">
        <v>31</v>
      </c>
      <c r="L555" s="24">
        <v>16137</v>
      </c>
      <c r="M555" s="24">
        <v>38000000</v>
      </c>
      <c r="N555" s="39">
        <v>45847</v>
      </c>
    </row>
    <row r="556" spans="1:14" s="5" customFormat="1" outlineLevel="2">
      <c r="A556" s="39" t="s">
        <v>142</v>
      </c>
      <c r="B556" s="40" t="s">
        <v>44</v>
      </c>
      <c r="C556" s="41" t="s">
        <v>143</v>
      </c>
      <c r="D556" s="40" t="s">
        <v>144</v>
      </c>
      <c r="E556" s="24">
        <v>10500000</v>
      </c>
      <c r="F556" s="39">
        <v>44022</v>
      </c>
      <c r="G556" s="24">
        <v>10500000</v>
      </c>
      <c r="H556" s="23">
        <v>5.0000000000000001E-3</v>
      </c>
      <c r="I556" s="39">
        <v>44531</v>
      </c>
      <c r="J556" s="39">
        <v>44561</v>
      </c>
      <c r="K556" s="24">
        <v>31</v>
      </c>
      <c r="L556" s="24">
        <v>4459</v>
      </c>
      <c r="M556" s="24">
        <v>10500000</v>
      </c>
      <c r="N556" s="39">
        <v>45847</v>
      </c>
    </row>
    <row r="557" spans="1:14" s="5" customFormat="1" outlineLevel="2">
      <c r="A557" s="39" t="s">
        <v>142</v>
      </c>
      <c r="B557" s="40" t="s">
        <v>47</v>
      </c>
      <c r="C557" s="41" t="s">
        <v>163</v>
      </c>
      <c r="D557" s="40" t="s">
        <v>164</v>
      </c>
      <c r="E557" s="24">
        <v>72000000</v>
      </c>
      <c r="F557" s="39">
        <v>44025</v>
      </c>
      <c r="G557" s="24">
        <v>62319328</v>
      </c>
      <c r="H557" s="23">
        <v>5.0000000000000001E-3</v>
      </c>
      <c r="I557" s="39">
        <v>44531</v>
      </c>
      <c r="J557" s="39">
        <v>44544</v>
      </c>
      <c r="K557" s="24">
        <v>14</v>
      </c>
      <c r="L557" s="24">
        <v>11952</v>
      </c>
      <c r="M557" s="24">
        <v>61714286</v>
      </c>
      <c r="N557" s="39">
        <v>45850</v>
      </c>
    </row>
    <row r="558" spans="1:14" s="5" customFormat="1" outlineLevel="2">
      <c r="A558" s="39" t="s">
        <v>142</v>
      </c>
      <c r="B558" s="40" t="s">
        <v>47</v>
      </c>
      <c r="C558" s="41" t="s">
        <v>163</v>
      </c>
      <c r="D558" s="40"/>
      <c r="E558" s="24"/>
      <c r="F558" s="39"/>
      <c r="G558" s="24">
        <v>61714286</v>
      </c>
      <c r="H558" s="23">
        <v>5.0000000000000001E-3</v>
      </c>
      <c r="I558" s="39">
        <v>44545</v>
      </c>
      <c r="J558" s="39">
        <v>44561</v>
      </c>
      <c r="K558" s="24">
        <v>17</v>
      </c>
      <c r="L558" s="24">
        <v>14372</v>
      </c>
      <c r="M558" s="24"/>
      <c r="N558" s="39">
        <v>45850</v>
      </c>
    </row>
    <row r="559" spans="1:14" s="5" customFormat="1" outlineLevel="2">
      <c r="A559" s="39" t="s">
        <v>142</v>
      </c>
      <c r="B559" s="40" t="s">
        <v>50</v>
      </c>
      <c r="C559" s="41" t="s">
        <v>97</v>
      </c>
      <c r="D559" s="40" t="s">
        <v>98</v>
      </c>
      <c r="E559" s="24">
        <v>87500000</v>
      </c>
      <c r="F559" s="39">
        <v>44027</v>
      </c>
      <c r="G559" s="24">
        <v>87500000</v>
      </c>
      <c r="H559" s="23">
        <v>5.0000000000000001E-3</v>
      </c>
      <c r="I559" s="39">
        <v>44531</v>
      </c>
      <c r="J559" s="39">
        <v>44561</v>
      </c>
      <c r="K559" s="24">
        <v>31</v>
      </c>
      <c r="L559" s="24">
        <v>37158</v>
      </c>
      <c r="M559" s="24">
        <v>87500000</v>
      </c>
      <c r="N559" s="39">
        <v>45852</v>
      </c>
    </row>
    <row r="560" spans="1:14" s="5" customFormat="1" outlineLevel="2">
      <c r="A560" s="39" t="s">
        <v>142</v>
      </c>
      <c r="B560" s="40" t="s">
        <v>51</v>
      </c>
      <c r="C560" s="41" t="s">
        <v>165</v>
      </c>
      <c r="D560" s="40" t="s">
        <v>166</v>
      </c>
      <c r="E560" s="24">
        <v>84000000</v>
      </c>
      <c r="F560" s="39">
        <v>44027</v>
      </c>
      <c r="G560" s="24">
        <v>70000000</v>
      </c>
      <c r="H560" s="23">
        <v>5.0000000000000001E-3</v>
      </c>
      <c r="I560" s="39">
        <v>44531</v>
      </c>
      <c r="J560" s="39">
        <v>44544</v>
      </c>
      <c r="K560" s="24">
        <v>14</v>
      </c>
      <c r="L560" s="24">
        <v>13425</v>
      </c>
      <c r="M560" s="24">
        <v>66500000</v>
      </c>
      <c r="N560" s="39">
        <v>45121</v>
      </c>
    </row>
    <row r="561" spans="1:14" s="5" customFormat="1" outlineLevel="2">
      <c r="A561" s="39" t="s">
        <v>142</v>
      </c>
      <c r="B561" s="40" t="s">
        <v>51</v>
      </c>
      <c r="C561" s="41" t="s">
        <v>165</v>
      </c>
      <c r="D561" s="40"/>
      <c r="E561" s="24"/>
      <c r="F561" s="39"/>
      <c r="G561" s="24">
        <v>66500000</v>
      </c>
      <c r="H561" s="23">
        <v>5.0000000000000001E-3</v>
      </c>
      <c r="I561" s="39">
        <v>44545</v>
      </c>
      <c r="J561" s="39">
        <v>44561</v>
      </c>
      <c r="K561" s="24">
        <v>17</v>
      </c>
      <c r="L561" s="24">
        <v>15486</v>
      </c>
      <c r="M561" s="24"/>
      <c r="N561" s="39">
        <v>45121</v>
      </c>
    </row>
    <row r="562" spans="1:14" s="5" customFormat="1" outlineLevel="2">
      <c r="A562" s="39" t="s">
        <v>142</v>
      </c>
      <c r="B562" s="40" t="s">
        <v>52</v>
      </c>
      <c r="C562" s="41" t="s">
        <v>30</v>
      </c>
      <c r="D562" s="40" t="s">
        <v>31</v>
      </c>
      <c r="E562" s="24">
        <v>12230000</v>
      </c>
      <c r="F562" s="39">
        <v>44034</v>
      </c>
      <c r="G562" s="24">
        <v>12230000</v>
      </c>
      <c r="H562" s="23">
        <v>5.0000000000000001E-3</v>
      </c>
      <c r="I562" s="39">
        <v>44531</v>
      </c>
      <c r="J562" s="39">
        <v>44561</v>
      </c>
      <c r="K562" s="24">
        <v>31</v>
      </c>
      <c r="L562" s="24">
        <v>5194</v>
      </c>
      <c r="M562" s="24">
        <v>12230000</v>
      </c>
      <c r="N562" s="39">
        <v>45859</v>
      </c>
    </row>
    <row r="563" spans="1:14" s="5" customFormat="1" outlineLevel="2">
      <c r="A563" s="39" t="s">
        <v>142</v>
      </c>
      <c r="B563" s="40" t="s">
        <v>53</v>
      </c>
      <c r="C563" s="41" t="s">
        <v>123</v>
      </c>
      <c r="D563" s="40" t="s">
        <v>124</v>
      </c>
      <c r="E563" s="24">
        <v>40000000</v>
      </c>
      <c r="F563" s="39">
        <v>44040</v>
      </c>
      <c r="G563" s="24">
        <v>40000000</v>
      </c>
      <c r="H563" s="23">
        <v>5.0000000000000001E-3</v>
      </c>
      <c r="I563" s="39">
        <v>44531</v>
      </c>
      <c r="J563" s="39">
        <v>44561</v>
      </c>
      <c r="K563" s="24">
        <v>31</v>
      </c>
      <c r="L563" s="24">
        <v>16986</v>
      </c>
      <c r="M563" s="24">
        <v>40000000</v>
      </c>
      <c r="N563" s="39">
        <v>45865</v>
      </c>
    </row>
    <row r="564" spans="1:14" s="5" customFormat="1" outlineLevel="2">
      <c r="A564" s="39" t="s">
        <v>142</v>
      </c>
      <c r="B564" s="40" t="s">
        <v>54</v>
      </c>
      <c r="C564" s="41" t="s">
        <v>121</v>
      </c>
      <c r="D564" s="40" t="s">
        <v>122</v>
      </c>
      <c r="E564" s="24">
        <v>171000000</v>
      </c>
      <c r="F564" s="39">
        <v>43822</v>
      </c>
      <c r="G564" s="24">
        <v>171000000</v>
      </c>
      <c r="H564" s="23">
        <v>5.0000000000000001E-3</v>
      </c>
      <c r="I564" s="39">
        <v>44531</v>
      </c>
      <c r="J564" s="39">
        <v>44561</v>
      </c>
      <c r="K564" s="24">
        <v>31</v>
      </c>
      <c r="L564" s="24">
        <v>72616</v>
      </c>
      <c r="M564" s="24">
        <v>171000000</v>
      </c>
      <c r="N564" s="39">
        <v>45648</v>
      </c>
    </row>
    <row r="565" spans="1:14" s="5" customFormat="1" outlineLevel="2">
      <c r="A565" s="39" t="s">
        <v>142</v>
      </c>
      <c r="B565" s="40" t="s">
        <v>57</v>
      </c>
      <c r="C565" s="41" t="s">
        <v>167</v>
      </c>
      <c r="D565" s="40" t="s">
        <v>168</v>
      </c>
      <c r="E565" s="24">
        <v>18000000</v>
      </c>
      <c r="F565" s="39">
        <v>44043</v>
      </c>
      <c r="G565" s="24">
        <v>16500000</v>
      </c>
      <c r="H565" s="23">
        <v>5.0000000000000001E-3</v>
      </c>
      <c r="I565" s="39">
        <v>44531</v>
      </c>
      <c r="J565" s="39">
        <v>44544</v>
      </c>
      <c r="K565" s="24">
        <v>14</v>
      </c>
      <c r="L565" s="24">
        <v>3164</v>
      </c>
      <c r="M565" s="24">
        <v>16125000</v>
      </c>
      <c r="N565" s="39">
        <v>45868</v>
      </c>
    </row>
    <row r="566" spans="1:14" s="5" customFormat="1" outlineLevel="2">
      <c r="A566" s="39" t="s">
        <v>142</v>
      </c>
      <c r="B566" s="40" t="s">
        <v>57</v>
      </c>
      <c r="C566" s="41" t="s">
        <v>167</v>
      </c>
      <c r="D566" s="40"/>
      <c r="E566" s="24"/>
      <c r="F566" s="39"/>
      <c r="G566" s="24">
        <v>16125000</v>
      </c>
      <c r="H566" s="23">
        <v>5.0000000000000001E-3</v>
      </c>
      <c r="I566" s="39">
        <v>44545</v>
      </c>
      <c r="J566" s="39">
        <v>44561</v>
      </c>
      <c r="K566" s="24">
        <v>17</v>
      </c>
      <c r="L566" s="24">
        <v>3755</v>
      </c>
      <c r="M566" s="24"/>
      <c r="N566" s="39">
        <v>45868</v>
      </c>
    </row>
    <row r="567" spans="1:14" s="5" customFormat="1" outlineLevel="2">
      <c r="A567" s="39" t="s">
        <v>142</v>
      </c>
      <c r="B567" s="40" t="s">
        <v>58</v>
      </c>
      <c r="C567" s="41" t="s">
        <v>167</v>
      </c>
      <c r="D567" s="40" t="s">
        <v>168</v>
      </c>
      <c r="E567" s="24">
        <v>21000000</v>
      </c>
      <c r="F567" s="39">
        <v>44043</v>
      </c>
      <c r="G567" s="24">
        <v>19250000</v>
      </c>
      <c r="H567" s="23">
        <v>5.0000000000000001E-3</v>
      </c>
      <c r="I567" s="39">
        <v>44531</v>
      </c>
      <c r="J567" s="39">
        <v>44544</v>
      </c>
      <c r="K567" s="24">
        <v>14</v>
      </c>
      <c r="L567" s="24">
        <v>3692</v>
      </c>
      <c r="M567" s="24">
        <v>18812500</v>
      </c>
      <c r="N567" s="39">
        <v>45868</v>
      </c>
    </row>
    <row r="568" spans="1:14" s="5" customFormat="1" outlineLevel="2">
      <c r="A568" s="39" t="s">
        <v>142</v>
      </c>
      <c r="B568" s="40" t="s">
        <v>58</v>
      </c>
      <c r="C568" s="41" t="s">
        <v>167</v>
      </c>
      <c r="D568" s="40"/>
      <c r="E568" s="24"/>
      <c r="F568" s="39"/>
      <c r="G568" s="24">
        <v>18812500</v>
      </c>
      <c r="H568" s="23">
        <v>5.0000000000000001E-3</v>
      </c>
      <c r="I568" s="39">
        <v>44545</v>
      </c>
      <c r="J568" s="39">
        <v>44561</v>
      </c>
      <c r="K568" s="24">
        <v>17</v>
      </c>
      <c r="L568" s="24">
        <v>4381</v>
      </c>
      <c r="M568" s="24"/>
      <c r="N568" s="39">
        <v>45868</v>
      </c>
    </row>
    <row r="569" spans="1:14" s="5" customFormat="1" outlineLevel="2">
      <c r="A569" s="39" t="s">
        <v>142</v>
      </c>
      <c r="B569" s="40" t="s">
        <v>99</v>
      </c>
      <c r="C569" s="41" t="s">
        <v>167</v>
      </c>
      <c r="D569" s="40" t="s">
        <v>168</v>
      </c>
      <c r="E569" s="24">
        <v>13600000</v>
      </c>
      <c r="F569" s="39">
        <v>44043</v>
      </c>
      <c r="G569" s="24">
        <v>12466668</v>
      </c>
      <c r="H569" s="23">
        <v>5.0000000000000001E-3</v>
      </c>
      <c r="I569" s="39">
        <v>44531</v>
      </c>
      <c r="J569" s="39">
        <v>44544</v>
      </c>
      <c r="K569" s="24">
        <v>14</v>
      </c>
      <c r="L569" s="24">
        <v>2391</v>
      </c>
      <c r="M569" s="24">
        <v>12183335</v>
      </c>
      <c r="N569" s="39">
        <v>45868</v>
      </c>
    </row>
    <row r="570" spans="1:14" s="5" customFormat="1" outlineLevel="2">
      <c r="A570" s="39" t="s">
        <v>142</v>
      </c>
      <c r="B570" s="40" t="s">
        <v>99</v>
      </c>
      <c r="C570" s="41" t="s">
        <v>167</v>
      </c>
      <c r="D570" s="40"/>
      <c r="E570" s="24"/>
      <c r="F570" s="39"/>
      <c r="G570" s="24">
        <v>12183335</v>
      </c>
      <c r="H570" s="23">
        <v>5.0000000000000001E-3</v>
      </c>
      <c r="I570" s="39">
        <v>44545</v>
      </c>
      <c r="J570" s="39">
        <v>44561</v>
      </c>
      <c r="K570" s="24">
        <v>17</v>
      </c>
      <c r="L570" s="24">
        <v>2837</v>
      </c>
      <c r="M570" s="24"/>
      <c r="N570" s="39">
        <v>45868</v>
      </c>
    </row>
    <row r="571" spans="1:14" s="5" customFormat="1" outlineLevel="2">
      <c r="A571" s="39" t="s">
        <v>142</v>
      </c>
      <c r="B571" s="40" t="s">
        <v>100</v>
      </c>
      <c r="C571" s="41" t="s">
        <v>143</v>
      </c>
      <c r="D571" s="40" t="s">
        <v>144</v>
      </c>
      <c r="E571" s="24">
        <v>28000000</v>
      </c>
      <c r="F571" s="39">
        <v>44046</v>
      </c>
      <c r="G571" s="24">
        <v>28000000</v>
      </c>
      <c r="H571" s="23">
        <v>5.0000000000000001E-3</v>
      </c>
      <c r="I571" s="39">
        <v>44531</v>
      </c>
      <c r="J571" s="39">
        <v>44561</v>
      </c>
      <c r="K571" s="24">
        <v>31</v>
      </c>
      <c r="L571" s="24">
        <v>11890</v>
      </c>
      <c r="M571" s="24">
        <v>28000000</v>
      </c>
      <c r="N571" s="39">
        <v>45871</v>
      </c>
    </row>
    <row r="572" spans="1:14" s="5" customFormat="1" outlineLevel="2">
      <c r="A572" s="39" t="s">
        <v>142</v>
      </c>
      <c r="B572" s="40" t="s">
        <v>101</v>
      </c>
      <c r="C572" s="41" t="s">
        <v>143</v>
      </c>
      <c r="D572" s="40" t="s">
        <v>144</v>
      </c>
      <c r="E572" s="24">
        <v>2700000</v>
      </c>
      <c r="F572" s="39">
        <v>44056</v>
      </c>
      <c r="G572" s="24">
        <v>2700000</v>
      </c>
      <c r="H572" s="23">
        <v>5.0000000000000001E-3</v>
      </c>
      <c r="I572" s="39">
        <v>44531</v>
      </c>
      <c r="J572" s="39">
        <v>44561</v>
      </c>
      <c r="K572" s="24">
        <v>31</v>
      </c>
      <c r="L572" s="24">
        <v>1147</v>
      </c>
      <c r="M572" s="24">
        <v>2700000</v>
      </c>
      <c r="N572" s="39">
        <v>45881</v>
      </c>
    </row>
    <row r="573" spans="1:14" s="5" customFormat="1" outlineLevel="2">
      <c r="A573" s="39" t="s">
        <v>142</v>
      </c>
      <c r="B573" s="40" t="s">
        <v>102</v>
      </c>
      <c r="C573" s="41" t="s">
        <v>143</v>
      </c>
      <c r="D573" s="40" t="s">
        <v>144</v>
      </c>
      <c r="E573" s="24">
        <v>29500000</v>
      </c>
      <c r="F573" s="39">
        <v>44074</v>
      </c>
      <c r="G573" s="24">
        <v>29500000</v>
      </c>
      <c r="H573" s="23">
        <v>5.0000000000000001E-3</v>
      </c>
      <c r="I573" s="39">
        <v>44531</v>
      </c>
      <c r="J573" s="39">
        <v>44561</v>
      </c>
      <c r="K573" s="24">
        <v>31</v>
      </c>
      <c r="L573" s="24">
        <v>12527</v>
      </c>
      <c r="M573" s="24">
        <v>29500000</v>
      </c>
      <c r="N573" s="39">
        <v>45899</v>
      </c>
    </row>
    <row r="574" spans="1:14" s="5" customFormat="1" outlineLevel="2">
      <c r="A574" s="39" t="s">
        <v>142</v>
      </c>
      <c r="B574" s="40" t="s">
        <v>103</v>
      </c>
      <c r="C574" s="41" t="s">
        <v>79</v>
      </c>
      <c r="D574" s="40" t="s">
        <v>80</v>
      </c>
      <c r="E574" s="24">
        <v>120000000</v>
      </c>
      <c r="F574" s="39">
        <v>44046</v>
      </c>
      <c r="G574" s="24">
        <v>120000000</v>
      </c>
      <c r="H574" s="23">
        <v>5.0000000000000001E-3</v>
      </c>
      <c r="I574" s="39">
        <v>44531</v>
      </c>
      <c r="J574" s="39">
        <v>44561</v>
      </c>
      <c r="K574" s="24">
        <v>31</v>
      </c>
      <c r="L574" s="24">
        <v>50959</v>
      </c>
      <c r="M574" s="24">
        <v>120000000</v>
      </c>
      <c r="N574" s="39">
        <v>45871</v>
      </c>
    </row>
    <row r="575" spans="1:14" s="5" customFormat="1" outlineLevel="2">
      <c r="A575" s="39" t="s">
        <v>142</v>
      </c>
      <c r="B575" s="40" t="s">
        <v>104</v>
      </c>
      <c r="C575" s="41" t="s">
        <v>149</v>
      </c>
      <c r="D575" s="40" t="s">
        <v>150</v>
      </c>
      <c r="E575" s="24">
        <v>8736000</v>
      </c>
      <c r="F575" s="39">
        <v>44047</v>
      </c>
      <c r="G575" s="24">
        <v>8736000</v>
      </c>
      <c r="H575" s="23">
        <v>5.0000000000000001E-3</v>
      </c>
      <c r="I575" s="39">
        <v>44531</v>
      </c>
      <c r="J575" s="39">
        <v>44561</v>
      </c>
      <c r="K575" s="24">
        <v>31</v>
      </c>
      <c r="L575" s="24">
        <v>3710</v>
      </c>
      <c r="M575" s="24">
        <v>8736000</v>
      </c>
      <c r="N575" s="39">
        <v>45872</v>
      </c>
    </row>
    <row r="576" spans="1:14" s="5" customFormat="1" outlineLevel="2">
      <c r="A576" s="39" t="s">
        <v>142</v>
      </c>
      <c r="B576" s="40" t="s">
        <v>105</v>
      </c>
      <c r="C576" s="41" t="s">
        <v>149</v>
      </c>
      <c r="D576" s="40" t="s">
        <v>150</v>
      </c>
      <c r="E576" s="24">
        <v>8988000</v>
      </c>
      <c r="F576" s="39">
        <v>44067</v>
      </c>
      <c r="G576" s="24">
        <v>8988000</v>
      </c>
      <c r="H576" s="23">
        <v>5.0000000000000001E-3</v>
      </c>
      <c r="I576" s="39">
        <v>44531</v>
      </c>
      <c r="J576" s="39">
        <v>44561</v>
      </c>
      <c r="K576" s="24">
        <v>31</v>
      </c>
      <c r="L576" s="24">
        <v>3817</v>
      </c>
      <c r="M576" s="24">
        <v>8988000</v>
      </c>
      <c r="N576" s="39">
        <v>45892</v>
      </c>
    </row>
    <row r="577" spans="1:14" s="5" customFormat="1" outlineLevel="2">
      <c r="A577" s="39" t="s">
        <v>142</v>
      </c>
      <c r="B577" s="40" t="s">
        <v>106</v>
      </c>
      <c r="C577" s="41" t="s">
        <v>149</v>
      </c>
      <c r="D577" s="40" t="s">
        <v>150</v>
      </c>
      <c r="E577" s="24">
        <v>34608000</v>
      </c>
      <c r="F577" s="39">
        <v>44070</v>
      </c>
      <c r="G577" s="24">
        <v>34608000</v>
      </c>
      <c r="H577" s="23">
        <v>5.0000000000000001E-3</v>
      </c>
      <c r="I577" s="39">
        <v>44531</v>
      </c>
      <c r="J577" s="39">
        <v>44561</v>
      </c>
      <c r="K577" s="24">
        <v>31</v>
      </c>
      <c r="L577" s="24">
        <v>14697</v>
      </c>
      <c r="M577" s="24">
        <v>34608000</v>
      </c>
      <c r="N577" s="39">
        <v>45895</v>
      </c>
    </row>
    <row r="578" spans="1:14" s="5" customFormat="1" outlineLevel="2">
      <c r="A578" s="39" t="s">
        <v>142</v>
      </c>
      <c r="B578" s="40" t="s">
        <v>59</v>
      </c>
      <c r="C578" s="41" t="s">
        <v>143</v>
      </c>
      <c r="D578" s="40" t="s">
        <v>144</v>
      </c>
      <c r="E578" s="24">
        <v>38000000</v>
      </c>
      <c r="F578" s="39">
        <v>43850</v>
      </c>
      <c r="G578" s="24">
        <v>38000000</v>
      </c>
      <c r="H578" s="23">
        <v>5.0000000000000001E-3</v>
      </c>
      <c r="I578" s="39">
        <v>44531</v>
      </c>
      <c r="J578" s="39">
        <v>44561</v>
      </c>
      <c r="K578" s="24">
        <v>31</v>
      </c>
      <c r="L578" s="24">
        <v>16137</v>
      </c>
      <c r="M578" s="24">
        <v>38000000</v>
      </c>
      <c r="N578" s="39">
        <v>45676</v>
      </c>
    </row>
    <row r="579" spans="1:14" s="5" customFormat="1" outlineLevel="2">
      <c r="A579" s="39" t="s">
        <v>142</v>
      </c>
      <c r="B579" s="40" t="s">
        <v>136</v>
      </c>
      <c r="C579" s="41" t="s">
        <v>146</v>
      </c>
      <c r="D579" s="40" t="s">
        <v>147</v>
      </c>
      <c r="E579" s="24">
        <v>13000000</v>
      </c>
      <c r="F579" s="39">
        <v>44047</v>
      </c>
      <c r="G579" s="24">
        <v>13000000</v>
      </c>
      <c r="H579" s="23">
        <v>5.0000000000000001E-3</v>
      </c>
      <c r="I579" s="39">
        <v>44531</v>
      </c>
      <c r="J579" s="39">
        <v>44561</v>
      </c>
      <c r="K579" s="24">
        <v>31</v>
      </c>
      <c r="L579" s="24">
        <v>5521</v>
      </c>
      <c r="M579" s="24">
        <v>13000000</v>
      </c>
      <c r="N579" s="39">
        <v>45872</v>
      </c>
    </row>
    <row r="580" spans="1:14" s="5" customFormat="1" outlineLevel="2">
      <c r="A580" s="39" t="s">
        <v>142</v>
      </c>
      <c r="B580" s="40" t="s">
        <v>137</v>
      </c>
      <c r="C580" s="41" t="s">
        <v>146</v>
      </c>
      <c r="D580" s="40" t="s">
        <v>147</v>
      </c>
      <c r="E580" s="24">
        <v>5000000</v>
      </c>
      <c r="F580" s="39">
        <v>44053</v>
      </c>
      <c r="G580" s="24">
        <v>5000000</v>
      </c>
      <c r="H580" s="23">
        <v>5.0000000000000001E-3</v>
      </c>
      <c r="I580" s="39">
        <v>44531</v>
      </c>
      <c r="J580" s="39">
        <v>44561</v>
      </c>
      <c r="K580" s="24">
        <v>31</v>
      </c>
      <c r="L580" s="24">
        <v>2123</v>
      </c>
      <c r="M580" s="24">
        <v>5000000</v>
      </c>
      <c r="N580" s="39">
        <v>45878</v>
      </c>
    </row>
    <row r="581" spans="1:14" s="5" customFormat="1" outlineLevel="2">
      <c r="A581" s="39" t="s">
        <v>142</v>
      </c>
      <c r="B581" s="40" t="s">
        <v>138</v>
      </c>
      <c r="C581" s="41" t="s">
        <v>163</v>
      </c>
      <c r="D581" s="40" t="s">
        <v>164</v>
      </c>
      <c r="E581" s="24">
        <v>5300000</v>
      </c>
      <c r="F581" s="39">
        <v>44050</v>
      </c>
      <c r="G581" s="24">
        <v>4626275</v>
      </c>
      <c r="H581" s="23">
        <v>5.0000000000000001E-3</v>
      </c>
      <c r="I581" s="39">
        <v>44531</v>
      </c>
      <c r="J581" s="39">
        <v>44544</v>
      </c>
      <c r="K581" s="24">
        <v>14</v>
      </c>
      <c r="L581" s="24">
        <v>887</v>
      </c>
      <c r="M581" s="24">
        <v>4581360</v>
      </c>
      <c r="N581" s="39">
        <v>45875</v>
      </c>
    </row>
    <row r="582" spans="1:14" s="5" customFormat="1" outlineLevel="2">
      <c r="A582" s="39" t="s">
        <v>142</v>
      </c>
      <c r="B582" s="40" t="s">
        <v>138</v>
      </c>
      <c r="C582" s="41" t="s">
        <v>163</v>
      </c>
      <c r="D582" s="40"/>
      <c r="E582" s="24"/>
      <c r="F582" s="39"/>
      <c r="G582" s="24">
        <v>4581360</v>
      </c>
      <c r="H582" s="23">
        <v>5.0000000000000001E-3</v>
      </c>
      <c r="I582" s="39">
        <v>44545</v>
      </c>
      <c r="J582" s="39">
        <v>44561</v>
      </c>
      <c r="K582" s="24">
        <v>17</v>
      </c>
      <c r="L582" s="24">
        <v>1067</v>
      </c>
      <c r="M582" s="24"/>
      <c r="N582" s="39">
        <v>45875</v>
      </c>
    </row>
    <row r="583" spans="1:14" s="5" customFormat="1" outlineLevel="2">
      <c r="A583" s="39" t="s">
        <v>142</v>
      </c>
      <c r="B583" s="40" t="s">
        <v>139</v>
      </c>
      <c r="C583" s="41" t="s">
        <v>117</v>
      </c>
      <c r="D583" s="40" t="s">
        <v>118</v>
      </c>
      <c r="E583" s="24">
        <v>40000000</v>
      </c>
      <c r="F583" s="39">
        <v>44060</v>
      </c>
      <c r="G583" s="24">
        <v>40000000</v>
      </c>
      <c r="H583" s="23">
        <v>5.0000000000000001E-3</v>
      </c>
      <c r="I583" s="39">
        <v>44531</v>
      </c>
      <c r="J583" s="39">
        <v>44561</v>
      </c>
      <c r="K583" s="24">
        <v>31</v>
      </c>
      <c r="L583" s="24">
        <v>16986</v>
      </c>
      <c r="M583" s="24">
        <v>40000000</v>
      </c>
      <c r="N583" s="39">
        <v>45885</v>
      </c>
    </row>
    <row r="584" spans="1:14" s="5" customFormat="1" outlineLevel="2">
      <c r="A584" s="39" t="s">
        <v>142</v>
      </c>
      <c r="B584" s="40" t="s">
        <v>140</v>
      </c>
      <c r="C584" s="41" t="s">
        <v>45</v>
      </c>
      <c r="D584" s="40" t="s">
        <v>46</v>
      </c>
      <c r="E584" s="24">
        <v>10000000</v>
      </c>
      <c r="F584" s="39">
        <v>44067</v>
      </c>
      <c r="G584" s="24">
        <v>10000000</v>
      </c>
      <c r="H584" s="23">
        <v>5.0000000000000001E-3</v>
      </c>
      <c r="I584" s="39">
        <v>44531</v>
      </c>
      <c r="J584" s="39">
        <v>44561</v>
      </c>
      <c r="K584" s="24">
        <v>31</v>
      </c>
      <c r="L584" s="24">
        <v>4247</v>
      </c>
      <c r="M584" s="24">
        <v>10000000</v>
      </c>
      <c r="N584" s="39">
        <v>45892</v>
      </c>
    </row>
    <row r="585" spans="1:14" s="5" customFormat="1" outlineLevel="2">
      <c r="A585" s="39" t="s">
        <v>142</v>
      </c>
      <c r="B585" s="40" t="s">
        <v>169</v>
      </c>
      <c r="C585" s="41" t="s">
        <v>79</v>
      </c>
      <c r="D585" s="40" t="s">
        <v>80</v>
      </c>
      <c r="E585" s="24">
        <v>125000000</v>
      </c>
      <c r="F585" s="39">
        <v>44075</v>
      </c>
      <c r="G585" s="24">
        <v>125000000</v>
      </c>
      <c r="H585" s="23">
        <v>5.0000000000000001E-3</v>
      </c>
      <c r="I585" s="39">
        <v>44531</v>
      </c>
      <c r="J585" s="39">
        <v>44561</v>
      </c>
      <c r="K585" s="24">
        <v>31</v>
      </c>
      <c r="L585" s="24">
        <v>53082</v>
      </c>
      <c r="M585" s="24">
        <v>125000000</v>
      </c>
      <c r="N585" s="39">
        <v>45900</v>
      </c>
    </row>
    <row r="586" spans="1:14" s="5" customFormat="1" outlineLevel="2">
      <c r="A586" s="39" t="s">
        <v>142</v>
      </c>
      <c r="B586" s="40" t="s">
        <v>170</v>
      </c>
      <c r="C586" s="41" t="s">
        <v>79</v>
      </c>
      <c r="D586" s="40" t="s">
        <v>80</v>
      </c>
      <c r="E586" s="24">
        <v>105000000</v>
      </c>
      <c r="F586" s="39">
        <v>44104</v>
      </c>
      <c r="G586" s="24">
        <v>105000000</v>
      </c>
      <c r="H586" s="23">
        <v>5.0000000000000001E-3</v>
      </c>
      <c r="I586" s="39">
        <v>44531</v>
      </c>
      <c r="J586" s="39">
        <v>44561</v>
      </c>
      <c r="K586" s="24">
        <v>31</v>
      </c>
      <c r="L586" s="24">
        <v>44589</v>
      </c>
      <c r="M586" s="24">
        <v>105000000</v>
      </c>
      <c r="N586" s="39">
        <v>45929</v>
      </c>
    </row>
    <row r="587" spans="1:14" s="5" customFormat="1" outlineLevel="2">
      <c r="A587" s="39" t="s">
        <v>142</v>
      </c>
      <c r="B587" s="40" t="s">
        <v>171</v>
      </c>
      <c r="C587" s="41" t="s">
        <v>146</v>
      </c>
      <c r="D587" s="40" t="s">
        <v>147</v>
      </c>
      <c r="E587" s="24">
        <v>13000000</v>
      </c>
      <c r="F587" s="39">
        <v>44077</v>
      </c>
      <c r="G587" s="24">
        <v>13000000</v>
      </c>
      <c r="H587" s="23">
        <v>5.0000000000000001E-3</v>
      </c>
      <c r="I587" s="39">
        <v>44531</v>
      </c>
      <c r="J587" s="39">
        <v>44561</v>
      </c>
      <c r="K587" s="24">
        <v>31</v>
      </c>
      <c r="L587" s="24">
        <v>5521</v>
      </c>
      <c r="M587" s="24">
        <v>13000000</v>
      </c>
      <c r="N587" s="39">
        <v>45902</v>
      </c>
    </row>
    <row r="588" spans="1:14" s="5" customFormat="1" outlineLevel="2">
      <c r="A588" s="39" t="s">
        <v>142</v>
      </c>
      <c r="B588" s="40" t="s">
        <v>172</v>
      </c>
      <c r="C588" s="41" t="s">
        <v>146</v>
      </c>
      <c r="D588" s="40" t="s">
        <v>147</v>
      </c>
      <c r="E588" s="24">
        <v>5800000</v>
      </c>
      <c r="F588" s="39">
        <v>44083</v>
      </c>
      <c r="G588" s="24">
        <v>5800000</v>
      </c>
      <c r="H588" s="23">
        <v>5.0000000000000001E-3</v>
      </c>
      <c r="I588" s="39">
        <v>44531</v>
      </c>
      <c r="J588" s="39">
        <v>44561</v>
      </c>
      <c r="K588" s="24">
        <v>31</v>
      </c>
      <c r="L588" s="24">
        <v>2463</v>
      </c>
      <c r="M588" s="24">
        <v>5800000</v>
      </c>
      <c r="N588" s="39">
        <v>45908</v>
      </c>
    </row>
    <row r="589" spans="1:14" s="5" customFormat="1" outlineLevel="2">
      <c r="A589" s="39" t="s">
        <v>142</v>
      </c>
      <c r="B589" s="40" t="s">
        <v>173</v>
      </c>
      <c r="C589" s="41" t="s">
        <v>149</v>
      </c>
      <c r="D589" s="40" t="s">
        <v>150</v>
      </c>
      <c r="E589" s="24">
        <v>4989600</v>
      </c>
      <c r="F589" s="39">
        <v>44088</v>
      </c>
      <c r="G589" s="24">
        <v>4989600</v>
      </c>
      <c r="H589" s="23">
        <v>5.0000000000000001E-3</v>
      </c>
      <c r="I589" s="39">
        <v>44531</v>
      </c>
      <c r="J589" s="39">
        <v>44561</v>
      </c>
      <c r="K589" s="24">
        <v>31</v>
      </c>
      <c r="L589" s="24">
        <v>2119</v>
      </c>
      <c r="M589" s="24">
        <v>4989600</v>
      </c>
      <c r="N589" s="39">
        <v>45913</v>
      </c>
    </row>
    <row r="590" spans="1:14" s="5" customFormat="1" outlineLevel="2">
      <c r="A590" s="39" t="s">
        <v>142</v>
      </c>
      <c r="B590" s="40" t="s">
        <v>62</v>
      </c>
      <c r="C590" s="41" t="s">
        <v>143</v>
      </c>
      <c r="D590" s="40" t="s">
        <v>144</v>
      </c>
      <c r="E590" s="24">
        <v>10000000</v>
      </c>
      <c r="F590" s="39">
        <v>43850</v>
      </c>
      <c r="G590" s="24">
        <v>10000000</v>
      </c>
      <c r="H590" s="23">
        <v>5.0000000000000001E-3</v>
      </c>
      <c r="I590" s="39">
        <v>44531</v>
      </c>
      <c r="J590" s="39">
        <v>44561</v>
      </c>
      <c r="K590" s="24">
        <v>31</v>
      </c>
      <c r="L590" s="24">
        <v>4247</v>
      </c>
      <c r="M590" s="24">
        <v>10000000</v>
      </c>
      <c r="N590" s="39">
        <v>45676</v>
      </c>
    </row>
    <row r="591" spans="1:14" s="5" customFormat="1" outlineLevel="2">
      <c r="A591" s="39" t="s">
        <v>142</v>
      </c>
      <c r="B591" s="40" t="s">
        <v>174</v>
      </c>
      <c r="C591" s="41" t="s">
        <v>66</v>
      </c>
      <c r="D591" s="40" t="s">
        <v>67</v>
      </c>
      <c r="E591" s="24">
        <v>96000000</v>
      </c>
      <c r="F591" s="39">
        <v>44089</v>
      </c>
      <c r="G591" s="24">
        <v>96000000</v>
      </c>
      <c r="H591" s="23">
        <v>5.0000000000000001E-3</v>
      </c>
      <c r="I591" s="39">
        <v>44531</v>
      </c>
      <c r="J591" s="39">
        <v>44561</v>
      </c>
      <c r="K591" s="24">
        <v>31</v>
      </c>
      <c r="L591" s="24">
        <v>40767</v>
      </c>
      <c r="M591" s="24">
        <v>96000000</v>
      </c>
      <c r="N591" s="39">
        <v>45914</v>
      </c>
    </row>
    <row r="592" spans="1:14" s="5" customFormat="1" outlineLevel="2">
      <c r="A592" s="39" t="s">
        <v>142</v>
      </c>
      <c r="B592" s="40" t="s">
        <v>175</v>
      </c>
      <c r="C592" s="41" t="s">
        <v>66</v>
      </c>
      <c r="D592" s="40" t="s">
        <v>67</v>
      </c>
      <c r="E592" s="24">
        <v>16000000</v>
      </c>
      <c r="F592" s="39">
        <v>44089</v>
      </c>
      <c r="G592" s="24">
        <v>16000000</v>
      </c>
      <c r="H592" s="23">
        <v>5.0000000000000001E-3</v>
      </c>
      <c r="I592" s="39">
        <v>44531</v>
      </c>
      <c r="J592" s="39">
        <v>44561</v>
      </c>
      <c r="K592" s="24">
        <v>31</v>
      </c>
      <c r="L592" s="24">
        <v>6795</v>
      </c>
      <c r="M592" s="24">
        <v>16000000</v>
      </c>
      <c r="N592" s="39">
        <v>45914</v>
      </c>
    </row>
    <row r="593" spans="1:14" s="5" customFormat="1" outlineLevel="2">
      <c r="A593" s="39" t="s">
        <v>142</v>
      </c>
      <c r="B593" s="40" t="s">
        <v>176</v>
      </c>
      <c r="C593" s="41" t="s">
        <v>143</v>
      </c>
      <c r="D593" s="40" t="s">
        <v>144</v>
      </c>
      <c r="E593" s="24">
        <v>21600000</v>
      </c>
      <c r="F593" s="39">
        <v>44095</v>
      </c>
      <c r="G593" s="24">
        <v>21600000</v>
      </c>
      <c r="H593" s="23">
        <v>5.0000000000000001E-3</v>
      </c>
      <c r="I593" s="39">
        <v>44531</v>
      </c>
      <c r="J593" s="39">
        <v>44561</v>
      </c>
      <c r="K593" s="24">
        <v>31</v>
      </c>
      <c r="L593" s="24">
        <v>9173</v>
      </c>
      <c r="M593" s="24">
        <v>21600000</v>
      </c>
      <c r="N593" s="39">
        <v>45920</v>
      </c>
    </row>
    <row r="594" spans="1:14" s="5" customFormat="1" outlineLevel="2">
      <c r="A594" s="39" t="s">
        <v>142</v>
      </c>
      <c r="B594" s="40" t="s">
        <v>177</v>
      </c>
      <c r="C594" s="41" t="s">
        <v>123</v>
      </c>
      <c r="D594" s="40" t="s">
        <v>124</v>
      </c>
      <c r="E594" s="24">
        <v>40000000</v>
      </c>
      <c r="F594" s="39">
        <v>44100</v>
      </c>
      <c r="G594" s="24">
        <v>40000000</v>
      </c>
      <c r="H594" s="23">
        <v>5.0000000000000001E-3</v>
      </c>
      <c r="I594" s="39">
        <v>44531</v>
      </c>
      <c r="J594" s="39">
        <v>44561</v>
      </c>
      <c r="K594" s="24">
        <v>31</v>
      </c>
      <c r="L594" s="24">
        <v>16986</v>
      </c>
      <c r="M594" s="24">
        <v>40000000</v>
      </c>
      <c r="N594" s="39">
        <v>45925</v>
      </c>
    </row>
    <row r="595" spans="1:14" s="5" customFormat="1" outlineLevel="2">
      <c r="A595" s="39" t="s">
        <v>142</v>
      </c>
      <c r="B595" s="40" t="s">
        <v>178</v>
      </c>
      <c r="C595" s="41" t="s">
        <v>125</v>
      </c>
      <c r="D595" s="40" t="s">
        <v>126</v>
      </c>
      <c r="E595" s="24">
        <v>2000000</v>
      </c>
      <c r="F595" s="39">
        <v>44103</v>
      </c>
      <c r="G595" s="24">
        <v>2000000</v>
      </c>
      <c r="H595" s="23">
        <v>5.0000000000000001E-3</v>
      </c>
      <c r="I595" s="39">
        <v>44531</v>
      </c>
      <c r="J595" s="39">
        <v>44561</v>
      </c>
      <c r="K595" s="24">
        <v>31</v>
      </c>
      <c r="L595" s="24">
        <v>849</v>
      </c>
      <c r="M595" s="24">
        <v>2000000</v>
      </c>
      <c r="N595" s="39">
        <v>45928</v>
      </c>
    </row>
    <row r="596" spans="1:14" s="5" customFormat="1" outlineLevel="2">
      <c r="A596" s="39" t="s">
        <v>142</v>
      </c>
      <c r="B596" s="40" t="s">
        <v>179</v>
      </c>
      <c r="C596" s="41" t="s">
        <v>146</v>
      </c>
      <c r="D596" s="40" t="s">
        <v>147</v>
      </c>
      <c r="E596" s="24">
        <v>13200000</v>
      </c>
      <c r="F596" s="39">
        <v>44109</v>
      </c>
      <c r="G596" s="24">
        <v>13200000</v>
      </c>
      <c r="H596" s="23">
        <v>5.0000000000000001E-3</v>
      </c>
      <c r="I596" s="39">
        <v>44531</v>
      </c>
      <c r="J596" s="39">
        <v>44561</v>
      </c>
      <c r="K596" s="24">
        <v>31</v>
      </c>
      <c r="L596" s="24">
        <v>5605</v>
      </c>
      <c r="M596" s="24">
        <v>13200000</v>
      </c>
      <c r="N596" s="39">
        <v>45934</v>
      </c>
    </row>
    <row r="597" spans="1:14" s="5" customFormat="1" outlineLevel="2">
      <c r="A597" s="39" t="s">
        <v>142</v>
      </c>
      <c r="B597" s="40" t="s">
        <v>180</v>
      </c>
      <c r="C597" s="41" t="s">
        <v>146</v>
      </c>
      <c r="D597" s="40" t="s">
        <v>147</v>
      </c>
      <c r="E597" s="24">
        <v>3000000</v>
      </c>
      <c r="F597" s="39">
        <v>44116</v>
      </c>
      <c r="G597" s="24">
        <v>3000000</v>
      </c>
      <c r="H597" s="23">
        <v>5.0000000000000001E-3</v>
      </c>
      <c r="I597" s="39">
        <v>44531</v>
      </c>
      <c r="J597" s="39">
        <v>44561</v>
      </c>
      <c r="K597" s="24">
        <v>31</v>
      </c>
      <c r="L597" s="24">
        <v>1274</v>
      </c>
      <c r="M597" s="24">
        <v>3000000</v>
      </c>
      <c r="N597" s="39">
        <v>45941</v>
      </c>
    </row>
    <row r="598" spans="1:14" s="5" customFormat="1" outlineLevel="2">
      <c r="A598" s="39" t="s">
        <v>142</v>
      </c>
      <c r="B598" s="40" t="s">
        <v>181</v>
      </c>
      <c r="C598" s="41" t="s">
        <v>149</v>
      </c>
      <c r="D598" s="40" t="s">
        <v>150</v>
      </c>
      <c r="E598" s="24">
        <v>8736000</v>
      </c>
      <c r="F598" s="39">
        <v>44109</v>
      </c>
      <c r="G598" s="24">
        <v>8736000</v>
      </c>
      <c r="H598" s="23">
        <v>5.0000000000000001E-3</v>
      </c>
      <c r="I598" s="39">
        <v>44531</v>
      </c>
      <c r="J598" s="39">
        <v>44561</v>
      </c>
      <c r="K598" s="24">
        <v>31</v>
      </c>
      <c r="L598" s="24">
        <v>3710</v>
      </c>
      <c r="M598" s="24">
        <v>8736000</v>
      </c>
      <c r="N598" s="39">
        <v>45934</v>
      </c>
    </row>
    <row r="599" spans="1:14" s="5" customFormat="1" outlineLevel="2">
      <c r="A599" s="39" t="s">
        <v>142</v>
      </c>
      <c r="B599" s="40" t="s">
        <v>182</v>
      </c>
      <c r="C599" s="41" t="s">
        <v>149</v>
      </c>
      <c r="D599" s="40" t="s">
        <v>150</v>
      </c>
      <c r="E599" s="24">
        <v>4273920</v>
      </c>
      <c r="F599" s="39">
        <v>44111</v>
      </c>
      <c r="G599" s="24">
        <v>4273920</v>
      </c>
      <c r="H599" s="23">
        <v>5.0000000000000001E-3</v>
      </c>
      <c r="I599" s="39">
        <v>44531</v>
      </c>
      <c r="J599" s="39">
        <v>44561</v>
      </c>
      <c r="K599" s="24">
        <v>31</v>
      </c>
      <c r="L599" s="24">
        <v>1815</v>
      </c>
      <c r="M599" s="24">
        <v>4273920</v>
      </c>
      <c r="N599" s="39">
        <v>45936</v>
      </c>
    </row>
    <row r="600" spans="1:14" s="5" customFormat="1" outlineLevel="2">
      <c r="A600" s="39" t="s">
        <v>142</v>
      </c>
      <c r="B600" s="40" t="s">
        <v>183</v>
      </c>
      <c r="C600" s="41" t="s">
        <v>149</v>
      </c>
      <c r="D600" s="40" t="s">
        <v>150</v>
      </c>
      <c r="E600" s="24">
        <v>4368000</v>
      </c>
      <c r="F600" s="39">
        <v>44132</v>
      </c>
      <c r="G600" s="24">
        <v>4368000</v>
      </c>
      <c r="H600" s="23">
        <v>5.0000000000000001E-3</v>
      </c>
      <c r="I600" s="39">
        <v>44531</v>
      </c>
      <c r="J600" s="39">
        <v>44561</v>
      </c>
      <c r="K600" s="24">
        <v>31</v>
      </c>
      <c r="L600" s="24">
        <v>1855</v>
      </c>
      <c r="M600" s="24">
        <v>4368000</v>
      </c>
      <c r="N600" s="39">
        <v>45957</v>
      </c>
    </row>
    <row r="601" spans="1:14" s="5" customFormat="1" outlineLevel="2">
      <c r="A601" s="39" t="s">
        <v>142</v>
      </c>
      <c r="B601" s="40" t="s">
        <v>63</v>
      </c>
      <c r="C601" s="41" t="s">
        <v>149</v>
      </c>
      <c r="D601" s="40" t="s">
        <v>150</v>
      </c>
      <c r="E601" s="24">
        <v>96176976</v>
      </c>
      <c r="F601" s="39">
        <v>43861</v>
      </c>
      <c r="G601" s="24">
        <v>96176976</v>
      </c>
      <c r="H601" s="23">
        <v>5.0000000000000001E-3</v>
      </c>
      <c r="I601" s="39">
        <v>44531</v>
      </c>
      <c r="J601" s="39">
        <v>44561</v>
      </c>
      <c r="K601" s="24">
        <v>31</v>
      </c>
      <c r="L601" s="24">
        <v>40842</v>
      </c>
      <c r="M601" s="24">
        <v>96176976</v>
      </c>
      <c r="N601" s="39">
        <v>45687</v>
      </c>
    </row>
    <row r="602" spans="1:14" s="5" customFormat="1" outlineLevel="2">
      <c r="A602" s="39" t="s">
        <v>142</v>
      </c>
      <c r="B602" s="40" t="s">
        <v>184</v>
      </c>
      <c r="C602" s="41" t="s">
        <v>149</v>
      </c>
      <c r="D602" s="40" t="s">
        <v>150</v>
      </c>
      <c r="E602" s="24">
        <v>8064000</v>
      </c>
      <c r="F602" s="39">
        <v>44133</v>
      </c>
      <c r="G602" s="24">
        <v>8064000</v>
      </c>
      <c r="H602" s="23">
        <v>5.0000000000000001E-3</v>
      </c>
      <c r="I602" s="39">
        <v>44531</v>
      </c>
      <c r="J602" s="39">
        <v>44561</v>
      </c>
      <c r="K602" s="24">
        <v>31</v>
      </c>
      <c r="L602" s="24">
        <v>3424</v>
      </c>
      <c r="M602" s="24">
        <v>8064000</v>
      </c>
      <c r="N602" s="39">
        <v>45958</v>
      </c>
    </row>
    <row r="603" spans="1:14" s="5" customFormat="1" outlineLevel="2">
      <c r="A603" s="39" t="s">
        <v>142</v>
      </c>
      <c r="B603" s="40" t="s">
        <v>185</v>
      </c>
      <c r="C603" s="41" t="s">
        <v>149</v>
      </c>
      <c r="D603" s="40" t="s">
        <v>150</v>
      </c>
      <c r="E603" s="24">
        <v>113400</v>
      </c>
      <c r="F603" s="39">
        <v>44133</v>
      </c>
      <c r="G603" s="24">
        <v>113400</v>
      </c>
      <c r="H603" s="23">
        <v>5.0000000000000001E-3</v>
      </c>
      <c r="I603" s="39">
        <v>44531</v>
      </c>
      <c r="J603" s="39">
        <v>44561</v>
      </c>
      <c r="K603" s="24">
        <v>31</v>
      </c>
      <c r="L603" s="24">
        <v>48</v>
      </c>
      <c r="M603" s="24">
        <v>113400</v>
      </c>
      <c r="N603" s="39">
        <v>45958</v>
      </c>
    </row>
    <row r="604" spans="1:14" s="5" customFormat="1" outlineLevel="2">
      <c r="A604" s="39" t="s">
        <v>142</v>
      </c>
      <c r="B604" s="40" t="s">
        <v>186</v>
      </c>
      <c r="C604" s="41" t="s">
        <v>187</v>
      </c>
      <c r="D604" s="40" t="s">
        <v>188</v>
      </c>
      <c r="E604" s="24">
        <v>93700000</v>
      </c>
      <c r="F604" s="39">
        <v>44109</v>
      </c>
      <c r="G604" s="24">
        <v>93700000</v>
      </c>
      <c r="H604" s="23">
        <v>5.0000000000000001E-3</v>
      </c>
      <c r="I604" s="39">
        <v>44531</v>
      </c>
      <c r="J604" s="39">
        <v>44561</v>
      </c>
      <c r="K604" s="24">
        <v>31</v>
      </c>
      <c r="L604" s="24">
        <v>39790</v>
      </c>
      <c r="M604" s="24">
        <v>93700000</v>
      </c>
      <c r="N604" s="39">
        <v>45934</v>
      </c>
    </row>
    <row r="605" spans="1:14" s="5" customFormat="1" outlineLevel="2">
      <c r="A605" s="39" t="s">
        <v>142</v>
      </c>
      <c r="B605" s="40" t="s">
        <v>189</v>
      </c>
      <c r="C605" s="41" t="s">
        <v>187</v>
      </c>
      <c r="D605" s="40" t="s">
        <v>188</v>
      </c>
      <c r="E605" s="24">
        <v>21400000</v>
      </c>
      <c r="F605" s="39">
        <v>44109</v>
      </c>
      <c r="G605" s="24">
        <v>21400000</v>
      </c>
      <c r="H605" s="23">
        <v>5.0000000000000001E-3</v>
      </c>
      <c r="I605" s="39">
        <v>44531</v>
      </c>
      <c r="J605" s="39">
        <v>44561</v>
      </c>
      <c r="K605" s="24">
        <v>31</v>
      </c>
      <c r="L605" s="24">
        <v>9088</v>
      </c>
      <c r="M605" s="24">
        <v>21400000</v>
      </c>
      <c r="N605" s="39">
        <v>45934</v>
      </c>
    </row>
    <row r="606" spans="1:14" s="5" customFormat="1" outlineLevel="2">
      <c r="A606" s="39" t="s">
        <v>142</v>
      </c>
      <c r="B606" s="40" t="s">
        <v>190</v>
      </c>
      <c r="C606" s="41" t="s">
        <v>143</v>
      </c>
      <c r="D606" s="40" t="s">
        <v>144</v>
      </c>
      <c r="E606" s="24">
        <v>7150000</v>
      </c>
      <c r="F606" s="39">
        <v>44119</v>
      </c>
      <c r="G606" s="24">
        <v>7150000</v>
      </c>
      <c r="H606" s="23">
        <v>5.0000000000000001E-3</v>
      </c>
      <c r="I606" s="39">
        <v>44531</v>
      </c>
      <c r="J606" s="39">
        <v>44561</v>
      </c>
      <c r="K606" s="24">
        <v>31</v>
      </c>
      <c r="L606" s="24">
        <v>3036</v>
      </c>
      <c r="M606" s="24">
        <v>7150000</v>
      </c>
      <c r="N606" s="39">
        <v>45944</v>
      </c>
    </row>
    <row r="607" spans="1:14" s="5" customFormat="1" outlineLevel="2">
      <c r="A607" s="39" t="s">
        <v>142</v>
      </c>
      <c r="B607" s="40" t="s">
        <v>191</v>
      </c>
      <c r="C607" s="41" t="s">
        <v>143</v>
      </c>
      <c r="D607" s="40" t="s">
        <v>144</v>
      </c>
      <c r="E607" s="24">
        <v>14400000</v>
      </c>
      <c r="F607" s="39">
        <v>44124</v>
      </c>
      <c r="G607" s="24">
        <v>14400000</v>
      </c>
      <c r="H607" s="23">
        <v>5.0000000000000001E-3</v>
      </c>
      <c r="I607" s="39">
        <v>44531</v>
      </c>
      <c r="J607" s="39">
        <v>44561</v>
      </c>
      <c r="K607" s="24">
        <v>31</v>
      </c>
      <c r="L607" s="24">
        <v>6115</v>
      </c>
      <c r="M607" s="24">
        <v>14400000</v>
      </c>
      <c r="N607" s="39">
        <v>45949</v>
      </c>
    </row>
    <row r="608" spans="1:14" s="5" customFormat="1" outlineLevel="2">
      <c r="A608" s="39" t="s">
        <v>142</v>
      </c>
      <c r="B608" s="40" t="s">
        <v>192</v>
      </c>
      <c r="C608" s="41" t="s">
        <v>125</v>
      </c>
      <c r="D608" s="40" t="s">
        <v>126</v>
      </c>
      <c r="E608" s="24">
        <v>24000000</v>
      </c>
      <c r="F608" s="39">
        <v>44120</v>
      </c>
      <c r="G608" s="24">
        <v>24000000</v>
      </c>
      <c r="H608" s="23">
        <v>5.0000000000000001E-3</v>
      </c>
      <c r="I608" s="39">
        <v>44531</v>
      </c>
      <c r="J608" s="39">
        <v>44561</v>
      </c>
      <c r="K608" s="24">
        <v>31</v>
      </c>
      <c r="L608" s="24">
        <v>10192</v>
      </c>
      <c r="M608" s="24">
        <v>24000000</v>
      </c>
      <c r="N608" s="39">
        <v>45945</v>
      </c>
    </row>
    <row r="609" spans="1:14" s="5" customFormat="1" outlineLevel="2">
      <c r="A609" s="39" t="s">
        <v>142</v>
      </c>
      <c r="B609" s="40" t="s">
        <v>193</v>
      </c>
      <c r="C609" s="41" t="s">
        <v>125</v>
      </c>
      <c r="D609" s="40" t="s">
        <v>126</v>
      </c>
      <c r="E609" s="24">
        <v>24000000</v>
      </c>
      <c r="F609" s="39">
        <v>44127</v>
      </c>
      <c r="G609" s="24">
        <v>24000000</v>
      </c>
      <c r="H609" s="23">
        <v>5.0000000000000001E-3</v>
      </c>
      <c r="I609" s="39">
        <v>44531</v>
      </c>
      <c r="J609" s="39">
        <v>44561</v>
      </c>
      <c r="K609" s="24">
        <v>31</v>
      </c>
      <c r="L609" s="24">
        <v>10192</v>
      </c>
      <c r="M609" s="24">
        <v>24000000</v>
      </c>
      <c r="N609" s="39">
        <v>45952</v>
      </c>
    </row>
    <row r="610" spans="1:14" s="5" customFormat="1" outlineLevel="2">
      <c r="A610" s="39" t="s">
        <v>142</v>
      </c>
      <c r="B610" s="40" t="s">
        <v>194</v>
      </c>
      <c r="C610" s="41" t="s">
        <v>123</v>
      </c>
      <c r="D610" s="40" t="s">
        <v>124</v>
      </c>
      <c r="E610" s="24">
        <v>5000000</v>
      </c>
      <c r="F610" s="39">
        <v>44134</v>
      </c>
      <c r="G610" s="24">
        <v>5000000</v>
      </c>
      <c r="H610" s="23">
        <v>5.0000000000000001E-3</v>
      </c>
      <c r="I610" s="39">
        <v>44531</v>
      </c>
      <c r="J610" s="39">
        <v>44561</v>
      </c>
      <c r="K610" s="24">
        <v>31</v>
      </c>
      <c r="L610" s="24">
        <v>2123</v>
      </c>
      <c r="M610" s="24">
        <v>5000000</v>
      </c>
      <c r="N610" s="39">
        <v>45959</v>
      </c>
    </row>
    <row r="611" spans="1:14" s="5" customFormat="1" outlineLevel="2">
      <c r="A611" s="39" t="s">
        <v>142</v>
      </c>
      <c r="B611" s="40" t="s">
        <v>195</v>
      </c>
      <c r="C611" s="41" t="s">
        <v>146</v>
      </c>
      <c r="D611" s="40" t="s">
        <v>147</v>
      </c>
      <c r="E611" s="24">
        <v>16000000</v>
      </c>
      <c r="F611" s="39">
        <v>44139</v>
      </c>
      <c r="G611" s="24">
        <v>16000000</v>
      </c>
      <c r="H611" s="23">
        <v>5.0000000000000001E-3</v>
      </c>
      <c r="I611" s="39">
        <v>44531</v>
      </c>
      <c r="J611" s="39">
        <v>44561</v>
      </c>
      <c r="K611" s="24">
        <v>31</v>
      </c>
      <c r="L611" s="24">
        <v>6795</v>
      </c>
      <c r="M611" s="24">
        <v>16000000</v>
      </c>
      <c r="N611" s="39">
        <v>45964</v>
      </c>
    </row>
    <row r="612" spans="1:14" s="5" customFormat="1" outlineLevel="2">
      <c r="A612" s="39" t="s">
        <v>142</v>
      </c>
      <c r="B612" s="40" t="s">
        <v>64</v>
      </c>
      <c r="C612" s="41" t="s">
        <v>143</v>
      </c>
      <c r="D612" s="40" t="s">
        <v>144</v>
      </c>
      <c r="E612" s="24">
        <v>1800000</v>
      </c>
      <c r="F612" s="39">
        <v>43876</v>
      </c>
      <c r="G612" s="24">
        <v>1800000</v>
      </c>
      <c r="H612" s="23">
        <v>5.0000000000000001E-3</v>
      </c>
      <c r="I612" s="39">
        <v>44531</v>
      </c>
      <c r="J612" s="39">
        <v>44561</v>
      </c>
      <c r="K612" s="24">
        <v>31</v>
      </c>
      <c r="L612" s="24">
        <v>764</v>
      </c>
      <c r="M612" s="24">
        <v>1800000</v>
      </c>
      <c r="N612" s="39">
        <v>45702</v>
      </c>
    </row>
    <row r="613" spans="1:14" s="5" customFormat="1" outlineLevel="2">
      <c r="A613" s="39" t="s">
        <v>142</v>
      </c>
      <c r="B613" s="40" t="s">
        <v>196</v>
      </c>
      <c r="C613" s="41" t="s">
        <v>146</v>
      </c>
      <c r="D613" s="40" t="s">
        <v>147</v>
      </c>
      <c r="E613" s="24">
        <v>6000000</v>
      </c>
      <c r="F613" s="39">
        <v>44145</v>
      </c>
      <c r="G613" s="24">
        <v>6000000</v>
      </c>
      <c r="H613" s="23">
        <v>5.0000000000000001E-3</v>
      </c>
      <c r="I613" s="39">
        <v>44531</v>
      </c>
      <c r="J613" s="39">
        <v>44561</v>
      </c>
      <c r="K613" s="24">
        <v>31</v>
      </c>
      <c r="L613" s="24">
        <v>2548</v>
      </c>
      <c r="M613" s="24">
        <v>6000000</v>
      </c>
      <c r="N613" s="39">
        <v>45970</v>
      </c>
    </row>
    <row r="614" spans="1:14" s="5" customFormat="1" outlineLevel="2">
      <c r="A614" s="39" t="s">
        <v>142</v>
      </c>
      <c r="B614" s="40" t="s">
        <v>197</v>
      </c>
      <c r="C614" s="41" t="s">
        <v>143</v>
      </c>
      <c r="D614" s="40" t="s">
        <v>144</v>
      </c>
      <c r="E614" s="24">
        <v>19000000</v>
      </c>
      <c r="F614" s="39">
        <v>44140</v>
      </c>
      <c r="G614" s="24">
        <v>19000000</v>
      </c>
      <c r="H614" s="23">
        <v>5.0000000000000001E-3</v>
      </c>
      <c r="I614" s="39">
        <v>44531</v>
      </c>
      <c r="J614" s="39">
        <v>44561</v>
      </c>
      <c r="K614" s="24">
        <v>31</v>
      </c>
      <c r="L614" s="24">
        <v>8068</v>
      </c>
      <c r="M614" s="24">
        <v>19000000</v>
      </c>
      <c r="N614" s="39">
        <v>45965</v>
      </c>
    </row>
    <row r="615" spans="1:14" s="5" customFormat="1" outlineLevel="2">
      <c r="A615" s="39" t="s">
        <v>142</v>
      </c>
      <c r="B615" s="40" t="s">
        <v>198</v>
      </c>
      <c r="C615" s="41" t="s">
        <v>143</v>
      </c>
      <c r="D615" s="40" t="s">
        <v>144</v>
      </c>
      <c r="E615" s="24">
        <v>1800000</v>
      </c>
      <c r="F615" s="39">
        <v>44165</v>
      </c>
      <c r="G615" s="24">
        <v>1800000</v>
      </c>
      <c r="H615" s="23">
        <v>5.0000000000000001E-3</v>
      </c>
      <c r="I615" s="39">
        <v>44531</v>
      </c>
      <c r="J615" s="39">
        <v>44561</v>
      </c>
      <c r="K615" s="24">
        <v>31</v>
      </c>
      <c r="L615" s="24">
        <v>764</v>
      </c>
      <c r="M615" s="24">
        <v>1800000</v>
      </c>
      <c r="N615" s="39">
        <v>45990</v>
      </c>
    </row>
    <row r="616" spans="1:14" s="5" customFormat="1" outlineLevel="2">
      <c r="A616" s="39" t="s">
        <v>142</v>
      </c>
      <c r="B616" s="40" t="s">
        <v>199</v>
      </c>
      <c r="C616" s="41" t="s">
        <v>143</v>
      </c>
      <c r="D616" s="40" t="s">
        <v>144</v>
      </c>
      <c r="E616" s="24">
        <v>5500000</v>
      </c>
      <c r="F616" s="39">
        <v>44165</v>
      </c>
      <c r="G616" s="24">
        <v>5500000</v>
      </c>
      <c r="H616" s="23">
        <v>5.0000000000000001E-3</v>
      </c>
      <c r="I616" s="39">
        <v>44531</v>
      </c>
      <c r="J616" s="39">
        <v>44561</v>
      </c>
      <c r="K616" s="24">
        <v>31</v>
      </c>
      <c r="L616" s="24">
        <v>2336</v>
      </c>
      <c r="M616" s="24">
        <v>5500000</v>
      </c>
      <c r="N616" s="39">
        <v>45990</v>
      </c>
    </row>
    <row r="617" spans="1:14" s="5" customFormat="1" outlineLevel="2">
      <c r="A617" s="39" t="s">
        <v>142</v>
      </c>
      <c r="B617" s="40" t="s">
        <v>200</v>
      </c>
      <c r="C617" s="41" t="s">
        <v>143</v>
      </c>
      <c r="D617" s="40" t="s">
        <v>144</v>
      </c>
      <c r="E617" s="24">
        <v>8600000</v>
      </c>
      <c r="F617" s="39">
        <v>44165</v>
      </c>
      <c r="G617" s="24">
        <v>8600000</v>
      </c>
      <c r="H617" s="23">
        <v>5.0000000000000001E-3</v>
      </c>
      <c r="I617" s="39">
        <v>44531</v>
      </c>
      <c r="J617" s="39">
        <v>44561</v>
      </c>
      <c r="K617" s="24">
        <v>31</v>
      </c>
      <c r="L617" s="24">
        <v>3652</v>
      </c>
      <c r="M617" s="24">
        <v>8600000</v>
      </c>
      <c r="N617" s="39">
        <v>45990</v>
      </c>
    </row>
    <row r="618" spans="1:14" s="5" customFormat="1" outlineLevel="2">
      <c r="A618" s="39" t="s">
        <v>142</v>
      </c>
      <c r="B618" s="40" t="s">
        <v>201</v>
      </c>
      <c r="C618" s="41" t="s">
        <v>161</v>
      </c>
      <c r="D618" s="40" t="s">
        <v>162</v>
      </c>
      <c r="E618" s="24">
        <v>150000000</v>
      </c>
      <c r="F618" s="39">
        <v>44144</v>
      </c>
      <c r="G618" s="24">
        <v>150000000</v>
      </c>
      <c r="H618" s="23">
        <v>5.0000000000000001E-3</v>
      </c>
      <c r="I618" s="39">
        <v>44531</v>
      </c>
      <c r="J618" s="39">
        <v>44561</v>
      </c>
      <c r="K618" s="24">
        <v>31</v>
      </c>
      <c r="L618" s="24">
        <v>63699</v>
      </c>
      <c r="M618" s="24">
        <v>150000000</v>
      </c>
      <c r="N618" s="39">
        <v>45969</v>
      </c>
    </row>
    <row r="619" spans="1:14" s="5" customFormat="1" outlineLevel="2">
      <c r="A619" s="39" t="s">
        <v>142</v>
      </c>
      <c r="B619" s="40" t="s">
        <v>202</v>
      </c>
      <c r="C619" s="41" t="s">
        <v>125</v>
      </c>
      <c r="D619" s="40" t="s">
        <v>126</v>
      </c>
      <c r="E619" s="24">
        <v>2500000</v>
      </c>
      <c r="F619" s="39">
        <v>44147</v>
      </c>
      <c r="G619" s="24">
        <v>2500000</v>
      </c>
      <c r="H619" s="23">
        <v>5.0000000000000001E-3</v>
      </c>
      <c r="I619" s="39">
        <v>44531</v>
      </c>
      <c r="J619" s="39">
        <v>44561</v>
      </c>
      <c r="K619" s="24">
        <v>31</v>
      </c>
      <c r="L619" s="24">
        <v>1062</v>
      </c>
      <c r="M619" s="24">
        <v>2500000</v>
      </c>
      <c r="N619" s="39">
        <v>45972</v>
      </c>
    </row>
    <row r="620" spans="1:14" s="5" customFormat="1" outlineLevel="2">
      <c r="A620" s="39" t="s">
        <v>142</v>
      </c>
      <c r="B620" s="40" t="s">
        <v>203</v>
      </c>
      <c r="C620" s="41" t="s">
        <v>125</v>
      </c>
      <c r="D620" s="40" t="s">
        <v>126</v>
      </c>
      <c r="E620" s="24">
        <v>18000000</v>
      </c>
      <c r="F620" s="39">
        <v>44158</v>
      </c>
      <c r="G620" s="24">
        <v>18000000</v>
      </c>
      <c r="H620" s="23">
        <v>5.0000000000000001E-3</v>
      </c>
      <c r="I620" s="39">
        <v>44531</v>
      </c>
      <c r="J620" s="39">
        <v>44561</v>
      </c>
      <c r="K620" s="24">
        <v>31</v>
      </c>
      <c r="L620" s="24">
        <v>7644</v>
      </c>
      <c r="M620" s="24">
        <v>18000000</v>
      </c>
      <c r="N620" s="39">
        <v>45983</v>
      </c>
    </row>
    <row r="621" spans="1:14" s="5" customFormat="1" outlineLevel="2">
      <c r="A621" s="39" t="s">
        <v>142</v>
      </c>
      <c r="B621" s="40" t="s">
        <v>204</v>
      </c>
      <c r="C621" s="41" t="s">
        <v>149</v>
      </c>
      <c r="D621" s="40" t="s">
        <v>150</v>
      </c>
      <c r="E621" s="24">
        <v>1764000</v>
      </c>
      <c r="F621" s="39">
        <v>44147</v>
      </c>
      <c r="G621" s="24">
        <v>1764000</v>
      </c>
      <c r="H621" s="23">
        <v>5.0000000000000001E-3</v>
      </c>
      <c r="I621" s="39">
        <v>44531</v>
      </c>
      <c r="J621" s="39">
        <v>44561</v>
      </c>
      <c r="K621" s="24">
        <v>31</v>
      </c>
      <c r="L621" s="24">
        <v>749</v>
      </c>
      <c r="M621" s="24">
        <v>1764000</v>
      </c>
      <c r="N621" s="39">
        <v>45972</v>
      </c>
    </row>
    <row r="622" spans="1:14" s="5" customFormat="1" outlineLevel="2">
      <c r="A622" s="39" t="s">
        <v>142</v>
      </c>
      <c r="B622" s="40" t="s">
        <v>205</v>
      </c>
      <c r="C622" s="41" t="s">
        <v>163</v>
      </c>
      <c r="D622" s="40" t="s">
        <v>164</v>
      </c>
      <c r="E622" s="24">
        <v>15000000</v>
      </c>
      <c r="F622" s="39">
        <v>44153</v>
      </c>
      <c r="G622" s="24">
        <v>13434780</v>
      </c>
      <c r="H622" s="23">
        <v>5.0000000000000001E-3</v>
      </c>
      <c r="I622" s="39">
        <v>44531</v>
      </c>
      <c r="J622" s="39">
        <v>44544</v>
      </c>
      <c r="K622" s="24">
        <v>14</v>
      </c>
      <c r="L622" s="24">
        <v>2577</v>
      </c>
      <c r="M622" s="24">
        <v>13304345</v>
      </c>
      <c r="N622" s="39">
        <v>45978</v>
      </c>
    </row>
    <row r="623" spans="1:14" s="5" customFormat="1" outlineLevel="2">
      <c r="A623" s="39" t="s">
        <v>142</v>
      </c>
      <c r="B623" s="40" t="s">
        <v>205</v>
      </c>
      <c r="C623" s="41" t="s">
        <v>163</v>
      </c>
      <c r="D623" s="40"/>
      <c r="E623" s="24"/>
      <c r="F623" s="39"/>
      <c r="G623" s="24">
        <v>13304345</v>
      </c>
      <c r="H623" s="23">
        <v>5.0000000000000001E-3</v>
      </c>
      <c r="I623" s="39">
        <v>44545</v>
      </c>
      <c r="J623" s="39">
        <v>44561</v>
      </c>
      <c r="K623" s="24">
        <v>17</v>
      </c>
      <c r="L623" s="24">
        <v>3098</v>
      </c>
      <c r="M623" s="24"/>
      <c r="N623" s="39">
        <v>45978</v>
      </c>
    </row>
    <row r="624" spans="1:14" s="5" customFormat="1" outlineLevel="2">
      <c r="A624" s="39" t="s">
        <v>142</v>
      </c>
      <c r="B624" s="40" t="s">
        <v>65</v>
      </c>
      <c r="C624" s="41" t="s">
        <v>117</v>
      </c>
      <c r="D624" s="40" t="s">
        <v>118</v>
      </c>
      <c r="E624" s="24">
        <v>30000000</v>
      </c>
      <c r="F624" s="39">
        <v>43906</v>
      </c>
      <c r="G624" s="24">
        <v>30000000</v>
      </c>
      <c r="H624" s="23">
        <v>5.0000000000000001E-3</v>
      </c>
      <c r="I624" s="39">
        <v>44531</v>
      </c>
      <c r="J624" s="39">
        <v>44561</v>
      </c>
      <c r="K624" s="24">
        <v>31</v>
      </c>
      <c r="L624" s="24">
        <v>12740</v>
      </c>
      <c r="M624" s="24">
        <v>30000000</v>
      </c>
      <c r="N624" s="39">
        <v>45731</v>
      </c>
    </row>
    <row r="625" spans="1:14" s="5" customFormat="1" outlineLevel="2">
      <c r="A625" s="39" t="s">
        <v>142</v>
      </c>
      <c r="B625" s="40" t="s">
        <v>206</v>
      </c>
      <c r="C625" s="41" t="s">
        <v>87</v>
      </c>
      <c r="D625" s="40" t="s">
        <v>88</v>
      </c>
      <c r="E625" s="24">
        <v>13481921</v>
      </c>
      <c r="F625" s="39">
        <v>44158</v>
      </c>
      <c r="G625" s="24">
        <v>13481921</v>
      </c>
      <c r="H625" s="23">
        <v>5.0000000000000001E-3</v>
      </c>
      <c r="I625" s="39">
        <v>44531</v>
      </c>
      <c r="J625" s="39">
        <v>44561</v>
      </c>
      <c r="K625" s="24">
        <v>31</v>
      </c>
      <c r="L625" s="24">
        <v>5725</v>
      </c>
      <c r="M625" s="24">
        <v>13481921</v>
      </c>
      <c r="N625" s="39">
        <v>45983</v>
      </c>
    </row>
    <row r="626" spans="1:14" s="5" customFormat="1" outlineLevel="2">
      <c r="A626" s="39" t="s">
        <v>142</v>
      </c>
      <c r="B626" s="40" t="s">
        <v>207</v>
      </c>
      <c r="C626" s="41" t="s">
        <v>85</v>
      </c>
      <c r="D626" s="40" t="s">
        <v>86</v>
      </c>
      <c r="E626" s="24">
        <v>2682500</v>
      </c>
      <c r="F626" s="39">
        <v>44165</v>
      </c>
      <c r="G626" s="24">
        <v>2682500</v>
      </c>
      <c r="H626" s="23">
        <v>5.0000000000000001E-3</v>
      </c>
      <c r="I626" s="39">
        <v>44531</v>
      </c>
      <c r="J626" s="39">
        <v>44561</v>
      </c>
      <c r="K626" s="24">
        <v>31</v>
      </c>
      <c r="L626" s="24">
        <v>1139</v>
      </c>
      <c r="M626" s="24">
        <v>2682500</v>
      </c>
      <c r="N626" s="39">
        <v>45990</v>
      </c>
    </row>
    <row r="627" spans="1:14" s="5" customFormat="1" outlineLevel="2">
      <c r="A627" s="39" t="s">
        <v>142</v>
      </c>
      <c r="B627" s="40" t="s">
        <v>208</v>
      </c>
      <c r="C627" s="41" t="s">
        <v>85</v>
      </c>
      <c r="D627" s="40" t="s">
        <v>86</v>
      </c>
      <c r="E627" s="24">
        <v>8047500</v>
      </c>
      <c r="F627" s="39">
        <v>44165</v>
      </c>
      <c r="G627" s="24">
        <v>8047500</v>
      </c>
      <c r="H627" s="23">
        <v>5.0000000000000001E-3</v>
      </c>
      <c r="I627" s="39">
        <v>44531</v>
      </c>
      <c r="J627" s="39">
        <v>44561</v>
      </c>
      <c r="K627" s="24">
        <v>31</v>
      </c>
      <c r="L627" s="24">
        <v>3417</v>
      </c>
      <c r="M627" s="24">
        <v>8047500</v>
      </c>
      <c r="N627" s="39">
        <v>45990</v>
      </c>
    </row>
    <row r="628" spans="1:14" s="5" customFormat="1" outlineLevel="2">
      <c r="A628" s="39" t="s">
        <v>142</v>
      </c>
      <c r="B628" s="40" t="s">
        <v>209</v>
      </c>
      <c r="C628" s="41" t="s">
        <v>146</v>
      </c>
      <c r="D628" s="40" t="s">
        <v>147</v>
      </c>
      <c r="E628" s="24">
        <v>15600000</v>
      </c>
      <c r="F628" s="39">
        <v>44168</v>
      </c>
      <c r="G628" s="24">
        <v>15600000</v>
      </c>
      <c r="H628" s="23">
        <v>5.0000000000000001E-3</v>
      </c>
      <c r="I628" s="39">
        <v>44531</v>
      </c>
      <c r="J628" s="39">
        <v>44561</v>
      </c>
      <c r="K628" s="24">
        <v>31</v>
      </c>
      <c r="L628" s="24">
        <v>6625</v>
      </c>
      <c r="M628" s="24">
        <v>15600000</v>
      </c>
      <c r="N628" s="39">
        <v>45993</v>
      </c>
    </row>
    <row r="629" spans="1:14" s="5" customFormat="1" outlineLevel="2">
      <c r="A629" s="39" t="s">
        <v>142</v>
      </c>
      <c r="B629" s="40" t="s">
        <v>210</v>
      </c>
      <c r="C629" s="41" t="s">
        <v>146</v>
      </c>
      <c r="D629" s="40" t="s">
        <v>147</v>
      </c>
      <c r="E629" s="24">
        <v>4400000</v>
      </c>
      <c r="F629" s="39">
        <v>44173</v>
      </c>
      <c r="G629" s="24">
        <v>4400000</v>
      </c>
      <c r="H629" s="23">
        <v>5.0000000000000001E-3</v>
      </c>
      <c r="I629" s="39">
        <v>44531</v>
      </c>
      <c r="J629" s="39">
        <v>44561</v>
      </c>
      <c r="K629" s="24">
        <v>31</v>
      </c>
      <c r="L629" s="24">
        <v>1868</v>
      </c>
      <c r="M629" s="24">
        <v>4400000</v>
      </c>
      <c r="N629" s="39">
        <v>45998</v>
      </c>
    </row>
    <row r="630" spans="1:14" s="5" customFormat="1" outlineLevel="2">
      <c r="A630" s="39" t="s">
        <v>142</v>
      </c>
      <c r="B630" s="40" t="s">
        <v>211</v>
      </c>
      <c r="C630" s="41" t="s">
        <v>187</v>
      </c>
      <c r="D630" s="40" t="s">
        <v>188</v>
      </c>
      <c r="E630" s="24">
        <v>88900000</v>
      </c>
      <c r="F630" s="39">
        <v>44169</v>
      </c>
      <c r="G630" s="24">
        <v>88900000</v>
      </c>
      <c r="H630" s="23">
        <v>5.0000000000000001E-3</v>
      </c>
      <c r="I630" s="39">
        <v>44531</v>
      </c>
      <c r="J630" s="39">
        <v>44561</v>
      </c>
      <c r="K630" s="24">
        <v>31</v>
      </c>
      <c r="L630" s="24">
        <v>37752</v>
      </c>
      <c r="M630" s="24">
        <v>88900000</v>
      </c>
      <c r="N630" s="39">
        <v>45994</v>
      </c>
    </row>
    <row r="631" spans="1:14" s="5" customFormat="1" outlineLevel="2">
      <c r="A631" s="39" t="s">
        <v>142</v>
      </c>
      <c r="B631" s="40" t="s">
        <v>212</v>
      </c>
      <c r="C631" s="41" t="s">
        <v>163</v>
      </c>
      <c r="D631" s="40" t="s">
        <v>164</v>
      </c>
      <c r="E631" s="24">
        <v>7300000</v>
      </c>
      <c r="F631" s="39">
        <v>44173</v>
      </c>
      <c r="G631" s="24">
        <v>6595615</v>
      </c>
      <c r="H631" s="23">
        <v>5.0000000000000001E-3</v>
      </c>
      <c r="I631" s="39">
        <v>44531</v>
      </c>
      <c r="J631" s="39">
        <v>44544</v>
      </c>
      <c r="K631" s="24">
        <v>14</v>
      </c>
      <c r="L631" s="24">
        <v>1265</v>
      </c>
      <c r="M631" s="24">
        <v>6531580</v>
      </c>
      <c r="N631" s="39">
        <v>45998</v>
      </c>
    </row>
    <row r="632" spans="1:14" s="5" customFormat="1" outlineLevel="2">
      <c r="A632" s="39" t="s">
        <v>142</v>
      </c>
      <c r="B632" s="40" t="s">
        <v>212</v>
      </c>
      <c r="C632" s="41" t="s">
        <v>163</v>
      </c>
      <c r="D632" s="40"/>
      <c r="E632" s="24"/>
      <c r="F632" s="39"/>
      <c r="G632" s="24">
        <v>6531580</v>
      </c>
      <c r="H632" s="23">
        <v>5.0000000000000001E-3</v>
      </c>
      <c r="I632" s="39">
        <v>44545</v>
      </c>
      <c r="J632" s="39">
        <v>44561</v>
      </c>
      <c r="K632" s="24">
        <v>17</v>
      </c>
      <c r="L632" s="24">
        <v>1521</v>
      </c>
      <c r="M632" s="24"/>
      <c r="N632" s="39">
        <v>45998</v>
      </c>
    </row>
    <row r="633" spans="1:14" s="5" customFormat="1" outlineLevel="2">
      <c r="A633" s="39" t="s">
        <v>142</v>
      </c>
      <c r="B633" s="40" t="s">
        <v>213</v>
      </c>
      <c r="C633" s="41" t="s">
        <v>149</v>
      </c>
      <c r="D633" s="40" t="s">
        <v>150</v>
      </c>
      <c r="E633" s="24">
        <v>2184000</v>
      </c>
      <c r="F633" s="39">
        <v>44174</v>
      </c>
      <c r="G633" s="24">
        <v>2184000</v>
      </c>
      <c r="H633" s="23">
        <v>5.0000000000000001E-3</v>
      </c>
      <c r="I633" s="39">
        <v>44531</v>
      </c>
      <c r="J633" s="39">
        <v>44561</v>
      </c>
      <c r="K633" s="24">
        <v>31</v>
      </c>
      <c r="L633" s="24">
        <v>927</v>
      </c>
      <c r="M633" s="24">
        <v>2184000</v>
      </c>
      <c r="N633" s="39">
        <v>45999</v>
      </c>
    </row>
    <row r="634" spans="1:14" s="5" customFormat="1" outlineLevel="2">
      <c r="A634" s="39" t="s">
        <v>142</v>
      </c>
      <c r="B634" s="40" t="s">
        <v>214</v>
      </c>
      <c r="C634" s="41" t="s">
        <v>149</v>
      </c>
      <c r="D634" s="40" t="s">
        <v>150</v>
      </c>
      <c r="E634" s="24">
        <v>20764000</v>
      </c>
      <c r="F634" s="39">
        <v>44176</v>
      </c>
      <c r="G634" s="24">
        <v>20764000</v>
      </c>
      <c r="H634" s="23">
        <v>5.0000000000000001E-3</v>
      </c>
      <c r="I634" s="39">
        <v>44531</v>
      </c>
      <c r="J634" s="39">
        <v>44561</v>
      </c>
      <c r="K634" s="24">
        <v>31</v>
      </c>
      <c r="L634" s="24">
        <v>8818</v>
      </c>
      <c r="M634" s="24">
        <v>20764000</v>
      </c>
      <c r="N634" s="39">
        <v>46001</v>
      </c>
    </row>
    <row r="635" spans="1:14" s="5" customFormat="1" outlineLevel="2">
      <c r="A635" s="39" t="s">
        <v>142</v>
      </c>
      <c r="B635" s="40" t="s">
        <v>215</v>
      </c>
      <c r="C635" s="41" t="s">
        <v>149</v>
      </c>
      <c r="D635" s="40" t="s">
        <v>150</v>
      </c>
      <c r="E635" s="24">
        <v>2423030</v>
      </c>
      <c r="F635" s="39">
        <v>44190</v>
      </c>
      <c r="G635" s="24">
        <v>2423030</v>
      </c>
      <c r="H635" s="23">
        <v>5.0000000000000001E-3</v>
      </c>
      <c r="I635" s="39">
        <v>44531</v>
      </c>
      <c r="J635" s="39">
        <v>44561</v>
      </c>
      <c r="K635" s="24">
        <v>31</v>
      </c>
      <c r="L635" s="24">
        <v>1029</v>
      </c>
      <c r="M635" s="24">
        <v>2423030</v>
      </c>
      <c r="N635" s="39">
        <v>46015</v>
      </c>
    </row>
    <row r="636" spans="1:14" s="5" customFormat="1" outlineLevel="2">
      <c r="A636" s="39" t="s">
        <v>142</v>
      </c>
      <c r="B636" s="40" t="s">
        <v>68</v>
      </c>
      <c r="C636" s="41" t="s">
        <v>117</v>
      </c>
      <c r="D636" s="40" t="s">
        <v>118</v>
      </c>
      <c r="E636" s="24">
        <v>50000000</v>
      </c>
      <c r="F636" s="39">
        <v>43908</v>
      </c>
      <c r="G636" s="24">
        <v>50000000</v>
      </c>
      <c r="H636" s="23">
        <v>5.0000000000000001E-3</v>
      </c>
      <c r="I636" s="39">
        <v>44531</v>
      </c>
      <c r="J636" s="39">
        <v>44561</v>
      </c>
      <c r="K636" s="24">
        <v>31</v>
      </c>
      <c r="L636" s="24">
        <v>21233</v>
      </c>
      <c r="M636" s="24">
        <v>50000000</v>
      </c>
      <c r="N636" s="39">
        <v>45733</v>
      </c>
    </row>
    <row r="637" spans="1:14" s="5" customFormat="1" outlineLevel="2">
      <c r="A637" s="39" t="s">
        <v>142</v>
      </c>
      <c r="B637" s="40" t="s">
        <v>216</v>
      </c>
      <c r="C637" s="41" t="s">
        <v>149</v>
      </c>
      <c r="D637" s="40" t="s">
        <v>150</v>
      </c>
      <c r="E637" s="24">
        <v>5653738</v>
      </c>
      <c r="F637" s="39">
        <v>44196</v>
      </c>
      <c r="G637" s="24">
        <v>5653738</v>
      </c>
      <c r="H637" s="23">
        <v>5.0000000000000001E-3</v>
      </c>
      <c r="I637" s="39">
        <v>44531</v>
      </c>
      <c r="J637" s="39">
        <v>44561</v>
      </c>
      <c r="K637" s="24">
        <v>31</v>
      </c>
      <c r="L637" s="24">
        <v>2401</v>
      </c>
      <c r="M637" s="24">
        <v>5653738</v>
      </c>
      <c r="N637" s="39">
        <v>46021</v>
      </c>
    </row>
    <row r="638" spans="1:14" s="5" customFormat="1" outlineLevel="2">
      <c r="A638" s="39" t="s">
        <v>142</v>
      </c>
      <c r="B638" s="40" t="s">
        <v>217</v>
      </c>
      <c r="C638" s="41" t="s">
        <v>155</v>
      </c>
      <c r="D638" s="40" t="s">
        <v>156</v>
      </c>
      <c r="E638" s="24">
        <v>200000000</v>
      </c>
      <c r="F638" s="39">
        <v>44190</v>
      </c>
      <c r="G638" s="24">
        <v>200000000</v>
      </c>
      <c r="H638" s="23">
        <v>5.0000000000000001E-3</v>
      </c>
      <c r="I638" s="39">
        <v>44531</v>
      </c>
      <c r="J638" s="39">
        <v>44561</v>
      </c>
      <c r="K638" s="24">
        <v>31</v>
      </c>
      <c r="L638" s="24">
        <v>84932</v>
      </c>
      <c r="M638" s="24">
        <v>200000000</v>
      </c>
      <c r="N638" s="39">
        <v>46015</v>
      </c>
    </row>
    <row r="639" spans="1:14" s="5" customFormat="1" outlineLevel="2">
      <c r="A639" s="39" t="s">
        <v>142</v>
      </c>
      <c r="B639" s="40" t="s">
        <v>218</v>
      </c>
      <c r="C639" s="41" t="s">
        <v>219</v>
      </c>
      <c r="D639" s="40" t="s">
        <v>220</v>
      </c>
      <c r="E639" s="24">
        <v>14160000</v>
      </c>
      <c r="F639" s="39">
        <v>44190</v>
      </c>
      <c r="G639" s="24">
        <v>14160000</v>
      </c>
      <c r="H639" s="23">
        <v>5.0000000000000001E-3</v>
      </c>
      <c r="I639" s="39">
        <v>44531</v>
      </c>
      <c r="J639" s="39">
        <v>44561</v>
      </c>
      <c r="K639" s="24">
        <v>31</v>
      </c>
      <c r="L639" s="24">
        <v>6013</v>
      </c>
      <c r="M639" s="24">
        <v>14160000</v>
      </c>
      <c r="N639" s="39">
        <v>46015</v>
      </c>
    </row>
    <row r="640" spans="1:14" s="5" customFormat="1" outlineLevel="2">
      <c r="A640" s="39" t="s">
        <v>142</v>
      </c>
      <c r="B640" s="40" t="s">
        <v>221</v>
      </c>
      <c r="C640" s="41" t="s">
        <v>87</v>
      </c>
      <c r="D640" s="40" t="s">
        <v>88</v>
      </c>
      <c r="E640" s="24">
        <v>13481921</v>
      </c>
      <c r="F640" s="39">
        <v>44190</v>
      </c>
      <c r="G640" s="24">
        <v>13481921</v>
      </c>
      <c r="H640" s="23">
        <v>5.0000000000000001E-3</v>
      </c>
      <c r="I640" s="39">
        <v>44531</v>
      </c>
      <c r="J640" s="39">
        <v>44561</v>
      </c>
      <c r="K640" s="24">
        <v>31</v>
      </c>
      <c r="L640" s="24">
        <v>5725</v>
      </c>
      <c r="M640" s="24">
        <v>13481921</v>
      </c>
      <c r="N640" s="39">
        <v>46015</v>
      </c>
    </row>
    <row r="641" spans="1:14" s="5" customFormat="1" outlineLevel="2">
      <c r="A641" s="39" t="s">
        <v>142</v>
      </c>
      <c r="B641" s="40" t="s">
        <v>222</v>
      </c>
      <c r="C641" s="41" t="s">
        <v>143</v>
      </c>
      <c r="D641" s="40" t="s">
        <v>144</v>
      </c>
      <c r="E641" s="24">
        <v>1800000</v>
      </c>
      <c r="F641" s="39">
        <v>44190</v>
      </c>
      <c r="G641" s="24">
        <v>1800000</v>
      </c>
      <c r="H641" s="23">
        <v>5.0000000000000001E-3</v>
      </c>
      <c r="I641" s="39">
        <v>44531</v>
      </c>
      <c r="J641" s="39">
        <v>44561</v>
      </c>
      <c r="K641" s="24">
        <v>31</v>
      </c>
      <c r="L641" s="24">
        <v>764</v>
      </c>
      <c r="M641" s="24">
        <v>1800000</v>
      </c>
      <c r="N641" s="39">
        <v>46015</v>
      </c>
    </row>
    <row r="642" spans="1:14" s="5" customFormat="1" outlineLevel="2">
      <c r="A642" s="39" t="s">
        <v>142</v>
      </c>
      <c r="B642" s="40" t="s">
        <v>223</v>
      </c>
      <c r="C642" s="41" t="s">
        <v>143</v>
      </c>
      <c r="D642" s="40" t="s">
        <v>144</v>
      </c>
      <c r="E642" s="24">
        <v>8300000</v>
      </c>
      <c r="F642" s="39">
        <v>44196</v>
      </c>
      <c r="G642" s="24">
        <v>8300000</v>
      </c>
      <c r="H642" s="23">
        <v>5.0000000000000001E-3</v>
      </c>
      <c r="I642" s="39">
        <v>44531</v>
      </c>
      <c r="J642" s="39">
        <v>44561</v>
      </c>
      <c r="K642" s="24">
        <v>31</v>
      </c>
      <c r="L642" s="24">
        <v>3525</v>
      </c>
      <c r="M642" s="24">
        <v>8300000</v>
      </c>
      <c r="N642" s="39">
        <v>46021</v>
      </c>
    </row>
    <row r="643" spans="1:14" s="5" customFormat="1" outlineLevel="2">
      <c r="A643" s="39" t="s">
        <v>142</v>
      </c>
      <c r="B643" s="40" t="s">
        <v>224</v>
      </c>
      <c r="C643" s="41" t="s">
        <v>165</v>
      </c>
      <c r="D643" s="40" t="s">
        <v>166</v>
      </c>
      <c r="E643" s="24">
        <v>39740000</v>
      </c>
      <c r="F643" s="39">
        <v>44195</v>
      </c>
      <c r="G643" s="24">
        <v>39740000</v>
      </c>
      <c r="H643" s="23">
        <v>5.0000000000000001E-3</v>
      </c>
      <c r="I643" s="39">
        <v>44531</v>
      </c>
      <c r="J643" s="39">
        <v>44561</v>
      </c>
      <c r="K643" s="24">
        <v>31</v>
      </c>
      <c r="L643" s="24">
        <v>16876</v>
      </c>
      <c r="M643" s="24">
        <v>39740000</v>
      </c>
      <c r="N643" s="39">
        <v>45289</v>
      </c>
    </row>
    <row r="644" spans="1:14" s="5" customFormat="1" outlineLevel="2">
      <c r="A644" s="39" t="s">
        <v>142</v>
      </c>
      <c r="B644" s="40" t="s">
        <v>225</v>
      </c>
      <c r="C644" s="41" t="s">
        <v>85</v>
      </c>
      <c r="D644" s="40" t="s">
        <v>86</v>
      </c>
      <c r="E644" s="24">
        <v>4842500</v>
      </c>
      <c r="F644" s="39">
        <v>44202</v>
      </c>
      <c r="G644" s="24">
        <v>4842500</v>
      </c>
      <c r="H644" s="23">
        <v>5.0000000000000001E-3</v>
      </c>
      <c r="I644" s="39">
        <v>44531</v>
      </c>
      <c r="J644" s="39">
        <v>44561</v>
      </c>
      <c r="K644" s="24">
        <v>31</v>
      </c>
      <c r="L644" s="24">
        <v>2056</v>
      </c>
      <c r="M644" s="24">
        <v>4842500</v>
      </c>
      <c r="N644" s="39">
        <v>46027</v>
      </c>
    </row>
    <row r="645" spans="1:14" s="5" customFormat="1" outlineLevel="2">
      <c r="A645" s="39" t="s">
        <v>142</v>
      </c>
      <c r="B645" s="40" t="s">
        <v>226</v>
      </c>
      <c r="C645" s="41" t="s">
        <v>85</v>
      </c>
      <c r="D645" s="40" t="s">
        <v>86</v>
      </c>
      <c r="E645" s="24">
        <v>14527500</v>
      </c>
      <c r="F645" s="39">
        <v>44202</v>
      </c>
      <c r="G645" s="24">
        <v>14527500</v>
      </c>
      <c r="H645" s="23">
        <v>5.0000000000000001E-3</v>
      </c>
      <c r="I645" s="39">
        <v>44531</v>
      </c>
      <c r="J645" s="39">
        <v>44561</v>
      </c>
      <c r="K645" s="24">
        <v>31</v>
      </c>
      <c r="L645" s="24">
        <v>6169</v>
      </c>
      <c r="M645" s="24">
        <v>14527500</v>
      </c>
      <c r="N645" s="39">
        <v>46027</v>
      </c>
    </row>
    <row r="646" spans="1:14" s="5" customFormat="1" outlineLevel="2">
      <c r="A646" s="39" t="s">
        <v>142</v>
      </c>
      <c r="B646" s="40" t="s">
        <v>227</v>
      </c>
      <c r="C646" s="41" t="s">
        <v>143</v>
      </c>
      <c r="D646" s="40" t="s">
        <v>144</v>
      </c>
      <c r="E646" s="24">
        <v>4600000</v>
      </c>
      <c r="F646" s="39">
        <v>44204</v>
      </c>
      <c r="G646" s="24">
        <v>4600000</v>
      </c>
      <c r="H646" s="23">
        <v>5.0000000000000001E-3</v>
      </c>
      <c r="I646" s="39">
        <v>44531</v>
      </c>
      <c r="J646" s="39">
        <v>44561</v>
      </c>
      <c r="K646" s="24">
        <v>31</v>
      </c>
      <c r="L646" s="24">
        <v>1953</v>
      </c>
      <c r="M646" s="24">
        <v>4600000</v>
      </c>
      <c r="N646" s="39">
        <v>46029</v>
      </c>
    </row>
    <row r="647" spans="1:14" s="5" customFormat="1" outlineLevel="1">
      <c r="A647" s="42" t="s">
        <v>228</v>
      </c>
      <c r="B647" s="43"/>
      <c r="C647" s="44"/>
      <c r="D647" s="43"/>
      <c r="E647" s="45">
        <v>6974357673</v>
      </c>
      <c r="F647" s="46"/>
      <c r="G647" s="45"/>
      <c r="H647" s="47"/>
      <c r="I647" s="46"/>
      <c r="J647" s="46"/>
      <c r="K647" s="45"/>
      <c r="L647" s="45">
        <v>2735247</v>
      </c>
      <c r="M647" s="45">
        <v>6927979341</v>
      </c>
      <c r="N647" s="46"/>
    </row>
    <row r="648" spans="1:14" s="5" customFormat="1" outlineLevel="2">
      <c r="A648" s="39" t="s">
        <v>229</v>
      </c>
      <c r="B648" s="40" t="s">
        <v>16</v>
      </c>
      <c r="C648" s="41" t="s">
        <v>117</v>
      </c>
      <c r="D648" s="40" t="s">
        <v>118</v>
      </c>
      <c r="E648" s="24">
        <v>1210000</v>
      </c>
      <c r="F648" s="39">
        <v>44061</v>
      </c>
      <c r="G648" s="24">
        <v>1210000</v>
      </c>
      <c r="H648" s="23">
        <v>5.0000000000000001E-3</v>
      </c>
      <c r="I648" s="39">
        <v>44531</v>
      </c>
      <c r="J648" s="39">
        <v>44561</v>
      </c>
      <c r="K648" s="24">
        <v>31</v>
      </c>
      <c r="L648" s="24">
        <v>514</v>
      </c>
      <c r="M648" s="24">
        <v>1210000</v>
      </c>
      <c r="N648" s="39">
        <v>45886</v>
      </c>
    </row>
    <row r="649" spans="1:14" s="5" customFormat="1" outlineLevel="2">
      <c r="A649" s="39" t="s">
        <v>229</v>
      </c>
      <c r="B649" s="40" t="s">
        <v>39</v>
      </c>
      <c r="C649" s="41" t="s">
        <v>117</v>
      </c>
      <c r="D649" s="40" t="s">
        <v>118</v>
      </c>
      <c r="E649" s="24">
        <v>27550000</v>
      </c>
      <c r="F649" s="39">
        <v>44393</v>
      </c>
      <c r="G649" s="24">
        <v>27550000</v>
      </c>
      <c r="H649" s="23">
        <v>5.0000000000000001E-3</v>
      </c>
      <c r="I649" s="39">
        <v>44531</v>
      </c>
      <c r="J649" s="39">
        <v>44561</v>
      </c>
      <c r="K649" s="24">
        <v>31</v>
      </c>
      <c r="L649" s="24">
        <v>11699</v>
      </c>
      <c r="M649" s="24">
        <v>27550000</v>
      </c>
      <c r="N649" s="39">
        <v>46218</v>
      </c>
    </row>
    <row r="650" spans="1:14" s="5" customFormat="1" outlineLevel="2">
      <c r="A650" s="39" t="s">
        <v>229</v>
      </c>
      <c r="B650" s="40" t="s">
        <v>54</v>
      </c>
      <c r="C650" s="41" t="s">
        <v>219</v>
      </c>
      <c r="D650" s="40" t="s">
        <v>220</v>
      </c>
      <c r="E650" s="24">
        <v>35340000</v>
      </c>
      <c r="F650" s="39">
        <v>44442</v>
      </c>
      <c r="G650" s="24">
        <v>33573000</v>
      </c>
      <c r="H650" s="23">
        <v>5.0000000000000001E-3</v>
      </c>
      <c r="I650" s="39">
        <v>44531</v>
      </c>
      <c r="J650" s="39">
        <v>44544</v>
      </c>
      <c r="K650" s="24">
        <v>14</v>
      </c>
      <c r="L650" s="24">
        <v>6439</v>
      </c>
      <c r="M650" s="24">
        <v>32984000</v>
      </c>
      <c r="N650" s="39">
        <v>45537</v>
      </c>
    </row>
    <row r="651" spans="1:14" s="5" customFormat="1" outlineLevel="2">
      <c r="A651" s="39" t="s">
        <v>229</v>
      </c>
      <c r="B651" s="40" t="s">
        <v>54</v>
      </c>
      <c r="C651" s="41" t="s">
        <v>219</v>
      </c>
      <c r="D651" s="40"/>
      <c r="E651" s="24"/>
      <c r="F651" s="39"/>
      <c r="G651" s="24">
        <v>32984000</v>
      </c>
      <c r="H651" s="23">
        <v>5.0000000000000001E-3</v>
      </c>
      <c r="I651" s="39">
        <v>44545</v>
      </c>
      <c r="J651" s="39">
        <v>44561</v>
      </c>
      <c r="K651" s="24">
        <v>17</v>
      </c>
      <c r="L651" s="24">
        <v>7681</v>
      </c>
      <c r="M651" s="24"/>
      <c r="N651" s="39">
        <v>45537</v>
      </c>
    </row>
    <row r="652" spans="1:14" s="5" customFormat="1" outlineLevel="2">
      <c r="A652" s="39" t="s">
        <v>229</v>
      </c>
      <c r="B652" s="40" t="s">
        <v>59</v>
      </c>
      <c r="C652" s="41" t="s">
        <v>117</v>
      </c>
      <c r="D652" s="40" t="s">
        <v>118</v>
      </c>
      <c r="E652" s="24">
        <v>21240000</v>
      </c>
      <c r="F652" s="39">
        <v>44448</v>
      </c>
      <c r="G652" s="24">
        <v>21240000</v>
      </c>
      <c r="H652" s="23">
        <v>5.0000000000000001E-3</v>
      </c>
      <c r="I652" s="39">
        <v>44531</v>
      </c>
      <c r="J652" s="39">
        <v>44561</v>
      </c>
      <c r="K652" s="24">
        <v>31</v>
      </c>
      <c r="L652" s="24">
        <v>9020</v>
      </c>
      <c r="M652" s="24">
        <v>21240000</v>
      </c>
      <c r="N652" s="39">
        <v>46273</v>
      </c>
    </row>
    <row r="653" spans="1:14" s="5" customFormat="1" outlineLevel="2">
      <c r="A653" s="39" t="s">
        <v>229</v>
      </c>
      <c r="B653" s="40" t="s">
        <v>62</v>
      </c>
      <c r="C653" s="41" t="s">
        <v>414</v>
      </c>
      <c r="D653" s="40" t="s">
        <v>413</v>
      </c>
      <c r="E653" s="24">
        <v>88000000</v>
      </c>
      <c r="F653" s="39">
        <v>44463</v>
      </c>
      <c r="G653" s="24">
        <v>88000000</v>
      </c>
      <c r="H653" s="23">
        <v>5.0000000000000001E-3</v>
      </c>
      <c r="I653" s="39">
        <v>44531</v>
      </c>
      <c r="J653" s="39">
        <v>44561</v>
      </c>
      <c r="K653" s="24">
        <v>31</v>
      </c>
      <c r="L653" s="24">
        <v>37370</v>
      </c>
      <c r="M653" s="24">
        <v>88000000</v>
      </c>
      <c r="N653" s="39">
        <v>45558</v>
      </c>
    </row>
    <row r="654" spans="1:14" s="5" customFormat="1" outlineLevel="2">
      <c r="A654" s="39" t="s">
        <v>229</v>
      </c>
      <c r="B654" s="40" t="s">
        <v>63</v>
      </c>
      <c r="C654" s="41" t="s">
        <v>414</v>
      </c>
      <c r="D654" s="40" t="s">
        <v>413</v>
      </c>
      <c r="E654" s="24">
        <v>6700000</v>
      </c>
      <c r="F654" s="39">
        <v>44463</v>
      </c>
      <c r="G654" s="24">
        <v>6700000</v>
      </c>
      <c r="H654" s="23">
        <v>5.0000000000000001E-3</v>
      </c>
      <c r="I654" s="39">
        <v>44531</v>
      </c>
      <c r="J654" s="39">
        <v>44561</v>
      </c>
      <c r="K654" s="24">
        <v>31</v>
      </c>
      <c r="L654" s="24">
        <v>2845</v>
      </c>
      <c r="M654" s="24">
        <v>6700000</v>
      </c>
      <c r="N654" s="39">
        <v>45558</v>
      </c>
    </row>
    <row r="655" spans="1:14" s="5" customFormat="1" outlineLevel="2">
      <c r="A655" s="39" t="s">
        <v>229</v>
      </c>
      <c r="B655" s="40" t="s">
        <v>64</v>
      </c>
      <c r="C655" s="41" t="s">
        <v>430</v>
      </c>
      <c r="D655" s="40" t="s">
        <v>220</v>
      </c>
      <c r="E655" s="24">
        <v>17951000</v>
      </c>
      <c r="F655" s="39">
        <v>44497</v>
      </c>
      <c r="G655" s="24">
        <v>17641500</v>
      </c>
      <c r="H655" s="23">
        <v>5.0000000000000001E-3</v>
      </c>
      <c r="I655" s="39">
        <v>44531</v>
      </c>
      <c r="J655" s="39">
        <v>44544</v>
      </c>
      <c r="K655" s="24">
        <v>14</v>
      </c>
      <c r="L655" s="24">
        <v>3383</v>
      </c>
      <c r="M655" s="24">
        <v>17332000</v>
      </c>
      <c r="N655" s="39">
        <v>45592</v>
      </c>
    </row>
    <row r="656" spans="1:14" s="5" customFormat="1" outlineLevel="2">
      <c r="A656" s="39" t="s">
        <v>229</v>
      </c>
      <c r="B656" s="40" t="s">
        <v>64</v>
      </c>
      <c r="C656" s="41" t="s">
        <v>430</v>
      </c>
      <c r="D656" s="40"/>
      <c r="E656" s="24"/>
      <c r="F656" s="39"/>
      <c r="G656" s="24">
        <v>17332000</v>
      </c>
      <c r="H656" s="23">
        <v>5.0000000000000001E-3</v>
      </c>
      <c r="I656" s="39">
        <v>44545</v>
      </c>
      <c r="J656" s="39">
        <v>44561</v>
      </c>
      <c r="K656" s="24">
        <v>17</v>
      </c>
      <c r="L656" s="24">
        <v>4036</v>
      </c>
      <c r="M656" s="24"/>
      <c r="N656" s="39">
        <v>45592</v>
      </c>
    </row>
    <row r="657" spans="1:14" s="5" customFormat="1" outlineLevel="2">
      <c r="A657" s="39" t="s">
        <v>229</v>
      </c>
      <c r="B657" s="40" t="s">
        <v>65</v>
      </c>
      <c r="C657" s="41" t="s">
        <v>306</v>
      </c>
      <c r="D657" s="40" t="s">
        <v>305</v>
      </c>
      <c r="E657" s="24">
        <v>90000000</v>
      </c>
      <c r="F657" s="39">
        <v>44552</v>
      </c>
      <c r="G657" s="24">
        <v>90000000</v>
      </c>
      <c r="H657" s="23">
        <v>3.0000000000000001E-3</v>
      </c>
      <c r="I657" s="39">
        <v>44552</v>
      </c>
      <c r="J657" s="39">
        <v>44561</v>
      </c>
      <c r="K657" s="24">
        <v>10</v>
      </c>
      <c r="L657" s="24">
        <v>7397</v>
      </c>
      <c r="M657" s="24">
        <v>90000000</v>
      </c>
      <c r="N657" s="39">
        <v>45647</v>
      </c>
    </row>
    <row r="658" spans="1:14" s="5" customFormat="1" outlineLevel="2">
      <c r="A658" s="39" t="s">
        <v>229</v>
      </c>
      <c r="B658" s="40" t="s">
        <v>68</v>
      </c>
      <c r="C658" s="41" t="s">
        <v>219</v>
      </c>
      <c r="D658" s="40" t="s">
        <v>220</v>
      </c>
      <c r="E658" s="24">
        <v>22400000</v>
      </c>
      <c r="F658" s="39">
        <v>44553</v>
      </c>
      <c r="G658" s="24">
        <v>22400000</v>
      </c>
      <c r="H658" s="23">
        <v>5.0000000000000001E-3</v>
      </c>
      <c r="I658" s="39">
        <v>44553</v>
      </c>
      <c r="J658" s="39">
        <v>44561</v>
      </c>
      <c r="K658" s="24">
        <v>9</v>
      </c>
      <c r="L658" s="24">
        <v>2762</v>
      </c>
      <c r="M658" s="24">
        <v>22400000</v>
      </c>
      <c r="N658" s="39">
        <v>45648</v>
      </c>
    </row>
    <row r="659" spans="1:14" s="5" customFormat="1" outlineLevel="1">
      <c r="A659" s="42" t="s">
        <v>230</v>
      </c>
      <c r="B659" s="43"/>
      <c r="C659" s="44"/>
      <c r="D659" s="43"/>
      <c r="E659" s="45">
        <v>310391000</v>
      </c>
      <c r="F659" s="46"/>
      <c r="G659" s="45"/>
      <c r="H659" s="47"/>
      <c r="I659" s="46"/>
      <c r="J659" s="46"/>
      <c r="K659" s="45"/>
      <c r="L659" s="45">
        <v>93146</v>
      </c>
      <c r="M659" s="45">
        <v>307416000</v>
      </c>
      <c r="N659" s="46"/>
    </row>
    <row r="660" spans="1:14" s="5" customFormat="1" outlineLevel="2">
      <c r="A660" s="39" t="s">
        <v>231</v>
      </c>
      <c r="B660" s="40" t="s">
        <v>16</v>
      </c>
      <c r="C660" s="41" t="s">
        <v>17</v>
      </c>
      <c r="D660" s="40" t="s">
        <v>18</v>
      </c>
      <c r="E660" s="24">
        <v>150000000</v>
      </c>
      <c r="F660" s="39">
        <v>43829</v>
      </c>
      <c r="G660" s="24">
        <v>92500000</v>
      </c>
      <c r="H660" s="23">
        <v>5.0000000000000001E-3</v>
      </c>
      <c r="I660" s="39">
        <v>44531</v>
      </c>
      <c r="J660" s="39">
        <v>44544</v>
      </c>
      <c r="K660" s="24">
        <v>14</v>
      </c>
      <c r="L660" s="24">
        <v>17740</v>
      </c>
      <c r="M660" s="24">
        <v>90000000</v>
      </c>
      <c r="N660" s="39">
        <v>45655</v>
      </c>
    </row>
    <row r="661" spans="1:14" s="5" customFormat="1" outlineLevel="2">
      <c r="A661" s="39" t="s">
        <v>231</v>
      </c>
      <c r="B661" s="40" t="s">
        <v>16</v>
      </c>
      <c r="C661" s="41" t="s">
        <v>17</v>
      </c>
      <c r="D661" s="40"/>
      <c r="E661" s="24"/>
      <c r="F661" s="39"/>
      <c r="G661" s="24">
        <v>90000000</v>
      </c>
      <c r="H661" s="23">
        <v>5.0000000000000001E-3</v>
      </c>
      <c r="I661" s="39">
        <v>44545</v>
      </c>
      <c r="J661" s="39">
        <v>44561</v>
      </c>
      <c r="K661" s="24">
        <v>17</v>
      </c>
      <c r="L661" s="24">
        <v>20959</v>
      </c>
      <c r="M661" s="24"/>
      <c r="N661" s="39">
        <v>45655</v>
      </c>
    </row>
    <row r="662" spans="1:14" s="5" customFormat="1" outlineLevel="2">
      <c r="A662" s="39" t="s">
        <v>231</v>
      </c>
      <c r="B662" s="40" t="s">
        <v>19</v>
      </c>
      <c r="C662" s="41" t="s">
        <v>17</v>
      </c>
      <c r="D662" s="40" t="s">
        <v>18</v>
      </c>
      <c r="E662" s="24">
        <v>9460000</v>
      </c>
      <c r="F662" s="39">
        <v>43990</v>
      </c>
      <c r="G662" s="24">
        <v>6364000</v>
      </c>
      <c r="H662" s="23">
        <v>5.0000000000000001E-3</v>
      </c>
      <c r="I662" s="39">
        <v>44531</v>
      </c>
      <c r="J662" s="39">
        <v>44544</v>
      </c>
      <c r="K662" s="24">
        <v>14</v>
      </c>
      <c r="L662" s="24">
        <v>1220</v>
      </c>
      <c r="M662" s="24">
        <v>6192000</v>
      </c>
      <c r="N662" s="39">
        <v>45815</v>
      </c>
    </row>
    <row r="663" spans="1:14" s="5" customFormat="1" outlineLevel="2">
      <c r="A663" s="39" t="s">
        <v>231</v>
      </c>
      <c r="B663" s="40" t="s">
        <v>19</v>
      </c>
      <c r="C663" s="41" t="s">
        <v>17</v>
      </c>
      <c r="D663" s="40"/>
      <c r="E663" s="24"/>
      <c r="F663" s="39"/>
      <c r="G663" s="24">
        <v>6192000</v>
      </c>
      <c r="H663" s="23">
        <v>5.0000000000000001E-3</v>
      </c>
      <c r="I663" s="39">
        <v>44545</v>
      </c>
      <c r="J663" s="39">
        <v>44561</v>
      </c>
      <c r="K663" s="24">
        <v>17</v>
      </c>
      <c r="L663" s="24">
        <v>1442</v>
      </c>
      <c r="M663" s="24"/>
      <c r="N663" s="39">
        <v>45815</v>
      </c>
    </row>
    <row r="664" spans="1:14" s="5" customFormat="1" outlineLevel="2">
      <c r="A664" s="39" t="s">
        <v>231</v>
      </c>
      <c r="B664" s="40" t="s">
        <v>22</v>
      </c>
      <c r="C664" s="41" t="s">
        <v>45</v>
      </c>
      <c r="D664" s="40" t="s">
        <v>46</v>
      </c>
      <c r="E664" s="24">
        <v>5000000</v>
      </c>
      <c r="F664" s="39">
        <v>44046</v>
      </c>
      <c r="G664" s="24">
        <v>5000000</v>
      </c>
      <c r="H664" s="23">
        <v>5.0000000000000001E-3</v>
      </c>
      <c r="I664" s="39">
        <v>44531</v>
      </c>
      <c r="J664" s="39">
        <v>44561</v>
      </c>
      <c r="K664" s="24">
        <v>31</v>
      </c>
      <c r="L664" s="24">
        <v>2123</v>
      </c>
      <c r="M664" s="24">
        <v>5000000</v>
      </c>
      <c r="N664" s="39">
        <v>45871</v>
      </c>
    </row>
    <row r="665" spans="1:14" s="5" customFormat="1" outlineLevel="2">
      <c r="A665" s="39" t="s">
        <v>231</v>
      </c>
      <c r="B665" s="40" t="s">
        <v>25</v>
      </c>
      <c r="C665" s="41" t="s">
        <v>143</v>
      </c>
      <c r="D665" s="40" t="s">
        <v>144</v>
      </c>
      <c r="E665" s="24">
        <v>20000000</v>
      </c>
      <c r="F665" s="39">
        <v>44155</v>
      </c>
      <c r="G665" s="24">
        <v>20000000</v>
      </c>
      <c r="H665" s="23">
        <v>5.0000000000000001E-3</v>
      </c>
      <c r="I665" s="39">
        <v>44531</v>
      </c>
      <c r="J665" s="39">
        <v>44561</v>
      </c>
      <c r="K665" s="24">
        <v>31</v>
      </c>
      <c r="L665" s="24">
        <v>8493</v>
      </c>
      <c r="M665" s="24">
        <v>20000000</v>
      </c>
      <c r="N665" s="39">
        <v>45980</v>
      </c>
    </row>
    <row r="666" spans="1:14" s="5" customFormat="1" outlineLevel="2">
      <c r="A666" s="39" t="s">
        <v>231</v>
      </c>
      <c r="B666" s="40" t="s">
        <v>26</v>
      </c>
      <c r="C666" s="41" t="s">
        <v>232</v>
      </c>
      <c r="D666" s="40" t="s">
        <v>233</v>
      </c>
      <c r="E666" s="24">
        <v>125000000</v>
      </c>
      <c r="F666" s="39">
        <v>44193</v>
      </c>
      <c r="G666" s="24">
        <v>125000000</v>
      </c>
      <c r="H666" s="23">
        <v>5.0000000000000001E-3</v>
      </c>
      <c r="I666" s="39">
        <v>44531</v>
      </c>
      <c r="J666" s="39">
        <v>44561</v>
      </c>
      <c r="K666" s="24">
        <v>31</v>
      </c>
      <c r="L666" s="24">
        <v>53082</v>
      </c>
      <c r="M666" s="24">
        <v>125000000</v>
      </c>
      <c r="N666" s="39">
        <v>46018</v>
      </c>
    </row>
    <row r="667" spans="1:14" s="5" customFormat="1" outlineLevel="2">
      <c r="A667" s="39" t="s">
        <v>231</v>
      </c>
      <c r="B667" s="40" t="s">
        <v>29</v>
      </c>
      <c r="C667" s="41" t="s">
        <v>143</v>
      </c>
      <c r="D667" s="40" t="s">
        <v>144</v>
      </c>
      <c r="E667" s="24">
        <v>20000000</v>
      </c>
      <c r="F667" s="39">
        <v>44194</v>
      </c>
      <c r="G667" s="24">
        <v>20000000</v>
      </c>
      <c r="H667" s="23">
        <v>5.0000000000000001E-3</v>
      </c>
      <c r="I667" s="39">
        <v>44531</v>
      </c>
      <c r="J667" s="39">
        <v>44561</v>
      </c>
      <c r="K667" s="24">
        <v>31</v>
      </c>
      <c r="L667" s="24">
        <v>8493</v>
      </c>
      <c r="M667" s="24">
        <v>20000000</v>
      </c>
      <c r="N667" s="39">
        <v>46019</v>
      </c>
    </row>
    <row r="668" spans="1:14" s="5" customFormat="1" outlineLevel="2">
      <c r="A668" s="39" t="s">
        <v>231</v>
      </c>
      <c r="B668" s="40" t="s">
        <v>32</v>
      </c>
      <c r="C668" s="41" t="s">
        <v>30</v>
      </c>
      <c r="D668" s="40" t="s">
        <v>31</v>
      </c>
      <c r="E668" s="24">
        <v>120000000</v>
      </c>
      <c r="F668" s="39">
        <v>44214</v>
      </c>
      <c r="G668" s="24">
        <v>120000000</v>
      </c>
      <c r="H668" s="23">
        <v>5.0000000000000001E-3</v>
      </c>
      <c r="I668" s="39">
        <v>44531</v>
      </c>
      <c r="J668" s="39">
        <v>44561</v>
      </c>
      <c r="K668" s="24">
        <v>31</v>
      </c>
      <c r="L668" s="24">
        <v>50959</v>
      </c>
      <c r="M668" s="24">
        <v>120000000</v>
      </c>
      <c r="N668" s="39">
        <v>46039</v>
      </c>
    </row>
    <row r="669" spans="1:14" s="5" customFormat="1" outlineLevel="2">
      <c r="A669" s="39" t="s">
        <v>231</v>
      </c>
      <c r="B669" s="40" t="s">
        <v>33</v>
      </c>
      <c r="C669" s="41" t="s">
        <v>143</v>
      </c>
      <c r="D669" s="40" t="s">
        <v>144</v>
      </c>
      <c r="E669" s="24">
        <v>20000000</v>
      </c>
      <c r="F669" s="39">
        <v>44225</v>
      </c>
      <c r="G669" s="24">
        <v>20000000</v>
      </c>
      <c r="H669" s="23">
        <v>5.0000000000000001E-3</v>
      </c>
      <c r="I669" s="39">
        <v>44531</v>
      </c>
      <c r="J669" s="39">
        <v>44561</v>
      </c>
      <c r="K669" s="24">
        <v>31</v>
      </c>
      <c r="L669" s="24">
        <v>8493</v>
      </c>
      <c r="M669" s="24">
        <v>20000000</v>
      </c>
      <c r="N669" s="39">
        <v>46050</v>
      </c>
    </row>
    <row r="670" spans="1:14" s="5" customFormat="1" outlineLevel="2">
      <c r="A670" s="39" t="s">
        <v>231</v>
      </c>
      <c r="B670" s="40" t="s">
        <v>34</v>
      </c>
      <c r="C670" s="41" t="s">
        <v>280</v>
      </c>
      <c r="D670" s="40" t="s">
        <v>281</v>
      </c>
      <c r="E670" s="24">
        <v>250000000</v>
      </c>
      <c r="F670" s="39">
        <v>44228</v>
      </c>
      <c r="G670" s="24">
        <v>250000000</v>
      </c>
      <c r="H670" s="23">
        <v>3.0000000000000001E-3</v>
      </c>
      <c r="I670" s="39">
        <v>44531</v>
      </c>
      <c r="J670" s="39">
        <v>44561</v>
      </c>
      <c r="K670" s="24">
        <v>31</v>
      </c>
      <c r="L670" s="24">
        <v>63699</v>
      </c>
      <c r="M670" s="24">
        <v>250000000</v>
      </c>
      <c r="N670" s="39">
        <v>46053</v>
      </c>
    </row>
    <row r="671" spans="1:14" s="5" customFormat="1" outlineLevel="2">
      <c r="A671" s="39" t="s">
        <v>231</v>
      </c>
      <c r="B671" s="40" t="s">
        <v>35</v>
      </c>
      <c r="C671" s="41" t="s">
        <v>143</v>
      </c>
      <c r="D671" s="40" t="s">
        <v>144</v>
      </c>
      <c r="E671" s="24">
        <v>20000000</v>
      </c>
      <c r="F671" s="39">
        <v>44253</v>
      </c>
      <c r="G671" s="24">
        <v>20000000</v>
      </c>
      <c r="H671" s="23">
        <v>5.0000000000000001E-3</v>
      </c>
      <c r="I671" s="39">
        <v>44531</v>
      </c>
      <c r="J671" s="39">
        <v>44561</v>
      </c>
      <c r="K671" s="24">
        <v>31</v>
      </c>
      <c r="L671" s="24">
        <v>8493</v>
      </c>
      <c r="M671" s="24">
        <v>20000000</v>
      </c>
      <c r="N671" s="39">
        <v>46078</v>
      </c>
    </row>
    <row r="672" spans="1:14" s="5" customFormat="1" outlineLevel="2">
      <c r="A672" s="39" t="s">
        <v>231</v>
      </c>
      <c r="B672" s="40" t="s">
        <v>36</v>
      </c>
      <c r="C672" s="41" t="s">
        <v>280</v>
      </c>
      <c r="D672" s="40" t="s">
        <v>281</v>
      </c>
      <c r="E672" s="24">
        <v>160000000</v>
      </c>
      <c r="F672" s="39">
        <v>44286</v>
      </c>
      <c r="G672" s="24">
        <v>160000000</v>
      </c>
      <c r="H672" s="23">
        <v>3.0000000000000001E-3</v>
      </c>
      <c r="I672" s="39">
        <v>44531</v>
      </c>
      <c r="J672" s="39">
        <v>44561</v>
      </c>
      <c r="K672" s="24">
        <v>31</v>
      </c>
      <c r="L672" s="24">
        <v>40767</v>
      </c>
      <c r="M672" s="24">
        <v>160000000</v>
      </c>
      <c r="N672" s="39">
        <v>46111</v>
      </c>
    </row>
    <row r="673" spans="1:14" s="5" customFormat="1" outlineLevel="2">
      <c r="A673" s="39" t="s">
        <v>231</v>
      </c>
      <c r="B673" s="40" t="s">
        <v>39</v>
      </c>
      <c r="C673" s="41" t="s">
        <v>17</v>
      </c>
      <c r="D673" s="40" t="s">
        <v>18</v>
      </c>
      <c r="E673" s="24">
        <v>32900000</v>
      </c>
      <c r="F673" s="39">
        <v>43829</v>
      </c>
      <c r="G673" s="24">
        <v>20288341</v>
      </c>
      <c r="H673" s="23">
        <v>5.0000000000000001E-3</v>
      </c>
      <c r="I673" s="39">
        <v>44531</v>
      </c>
      <c r="J673" s="39">
        <v>44544</v>
      </c>
      <c r="K673" s="24">
        <v>14</v>
      </c>
      <c r="L673" s="24">
        <v>3891</v>
      </c>
      <c r="M673" s="24">
        <v>19740008</v>
      </c>
      <c r="N673" s="39">
        <v>45655</v>
      </c>
    </row>
    <row r="674" spans="1:14" s="5" customFormat="1" outlineLevel="2">
      <c r="A674" s="39" t="s">
        <v>231</v>
      </c>
      <c r="B674" s="40" t="s">
        <v>39</v>
      </c>
      <c r="C674" s="41" t="s">
        <v>17</v>
      </c>
      <c r="D674" s="40"/>
      <c r="E674" s="24"/>
      <c r="F674" s="39"/>
      <c r="G674" s="24">
        <v>19740008</v>
      </c>
      <c r="H674" s="23">
        <v>5.0000000000000001E-3</v>
      </c>
      <c r="I674" s="39">
        <v>44545</v>
      </c>
      <c r="J674" s="39">
        <v>44561</v>
      </c>
      <c r="K674" s="24">
        <v>17</v>
      </c>
      <c r="L674" s="24">
        <v>4597</v>
      </c>
      <c r="M674" s="24"/>
      <c r="N674" s="39">
        <v>45655</v>
      </c>
    </row>
    <row r="675" spans="1:14" s="5" customFormat="1" outlineLevel="2">
      <c r="A675" s="39" t="s">
        <v>231</v>
      </c>
      <c r="B675" s="40" t="s">
        <v>40</v>
      </c>
      <c r="C675" s="41" t="s">
        <v>246</v>
      </c>
      <c r="D675" s="40" t="s">
        <v>247</v>
      </c>
      <c r="E675" s="24">
        <v>3400000</v>
      </c>
      <c r="F675" s="39">
        <v>44294</v>
      </c>
      <c r="G675" s="24">
        <v>3400000</v>
      </c>
      <c r="H675" s="23">
        <v>5.0000000000000001E-3</v>
      </c>
      <c r="I675" s="39">
        <v>44531</v>
      </c>
      <c r="J675" s="39">
        <v>44561</v>
      </c>
      <c r="K675" s="24">
        <v>31</v>
      </c>
      <c r="L675" s="24">
        <v>1444</v>
      </c>
      <c r="M675" s="24">
        <v>3400000</v>
      </c>
      <c r="N675" s="39">
        <v>46119</v>
      </c>
    </row>
    <row r="676" spans="1:14" s="5" customFormat="1" outlineLevel="2">
      <c r="A676" s="39" t="s">
        <v>231</v>
      </c>
      <c r="B676" s="40" t="s">
        <v>41</v>
      </c>
      <c r="C676" s="41" t="s">
        <v>280</v>
      </c>
      <c r="D676" s="40" t="s">
        <v>281</v>
      </c>
      <c r="E676" s="24">
        <v>500000000</v>
      </c>
      <c r="F676" s="39">
        <v>44376</v>
      </c>
      <c r="G676" s="24">
        <v>500000000</v>
      </c>
      <c r="H676" s="23">
        <v>3.0000000000000001E-3</v>
      </c>
      <c r="I676" s="39">
        <v>44531</v>
      </c>
      <c r="J676" s="39">
        <v>44561</v>
      </c>
      <c r="K676" s="24">
        <v>31</v>
      </c>
      <c r="L676" s="24">
        <v>127397</v>
      </c>
      <c r="M676" s="24">
        <v>500000000</v>
      </c>
      <c r="N676" s="39">
        <v>46201</v>
      </c>
    </row>
    <row r="677" spans="1:14" s="5" customFormat="1" outlineLevel="2">
      <c r="A677" s="39" t="s">
        <v>231</v>
      </c>
      <c r="B677" s="40" t="s">
        <v>42</v>
      </c>
      <c r="C677" s="41" t="s">
        <v>89</v>
      </c>
      <c r="D677" s="40" t="s">
        <v>90</v>
      </c>
      <c r="E677" s="24">
        <v>40000000</v>
      </c>
      <c r="F677" s="39">
        <v>44424</v>
      </c>
      <c r="G677" s="24">
        <v>40000000</v>
      </c>
      <c r="H677" s="23">
        <v>5.0000000000000001E-3</v>
      </c>
      <c r="I677" s="39">
        <v>44531</v>
      </c>
      <c r="J677" s="39">
        <v>44561</v>
      </c>
      <c r="K677" s="24">
        <v>31</v>
      </c>
      <c r="L677" s="24">
        <v>16986</v>
      </c>
      <c r="M677" s="24">
        <v>40000000</v>
      </c>
      <c r="N677" s="39">
        <v>46249</v>
      </c>
    </row>
    <row r="678" spans="1:14" s="5" customFormat="1" outlineLevel="2">
      <c r="A678" s="39" t="s">
        <v>231</v>
      </c>
      <c r="B678" s="40" t="s">
        <v>43</v>
      </c>
      <c r="C678" s="41" t="s">
        <v>429</v>
      </c>
      <c r="D678" s="40" t="s">
        <v>428</v>
      </c>
      <c r="E678" s="24">
        <v>24800000</v>
      </c>
      <c r="F678" s="39">
        <v>44484</v>
      </c>
      <c r="G678" s="24">
        <v>24800000</v>
      </c>
      <c r="H678" s="23">
        <v>5.0000000000000001E-3</v>
      </c>
      <c r="I678" s="39">
        <v>44531</v>
      </c>
      <c r="J678" s="39">
        <v>44561</v>
      </c>
      <c r="K678" s="24">
        <v>31</v>
      </c>
      <c r="L678" s="24">
        <v>10532</v>
      </c>
      <c r="M678" s="24">
        <v>24800000</v>
      </c>
      <c r="N678" s="39">
        <v>45579</v>
      </c>
    </row>
    <row r="679" spans="1:14" s="5" customFormat="1" outlineLevel="2">
      <c r="A679" s="39" t="s">
        <v>231</v>
      </c>
      <c r="B679" s="40" t="s">
        <v>44</v>
      </c>
      <c r="C679" s="41" t="s">
        <v>30</v>
      </c>
      <c r="D679" s="40" t="s">
        <v>31</v>
      </c>
      <c r="E679" s="24">
        <v>50000000</v>
      </c>
      <c r="F679" s="39">
        <v>44295</v>
      </c>
      <c r="G679" s="24">
        <v>50000000</v>
      </c>
      <c r="H679" s="23">
        <v>5.0000000000000001E-3</v>
      </c>
      <c r="I679" s="39">
        <v>44531</v>
      </c>
      <c r="J679" s="39">
        <v>44561</v>
      </c>
      <c r="K679" s="24">
        <v>31</v>
      </c>
      <c r="L679" s="24">
        <v>21233</v>
      </c>
      <c r="M679" s="24">
        <v>50000000</v>
      </c>
      <c r="N679" s="39">
        <v>46120</v>
      </c>
    </row>
    <row r="680" spans="1:14" s="5" customFormat="1" outlineLevel="2">
      <c r="A680" s="39" t="s">
        <v>231</v>
      </c>
      <c r="B680" s="40" t="s">
        <v>47</v>
      </c>
      <c r="C680" s="41" t="s">
        <v>363</v>
      </c>
      <c r="D680" s="40" t="s">
        <v>362</v>
      </c>
      <c r="E680" s="24">
        <v>1670000</v>
      </c>
      <c r="F680" s="39">
        <v>44502</v>
      </c>
      <c r="G680" s="24">
        <v>1670000</v>
      </c>
      <c r="H680" s="23">
        <v>3.0000000000000001E-3</v>
      </c>
      <c r="I680" s="39">
        <v>44531</v>
      </c>
      <c r="J680" s="39">
        <v>44561</v>
      </c>
      <c r="K680" s="24">
        <v>31</v>
      </c>
      <c r="L680" s="24">
        <v>426</v>
      </c>
      <c r="M680" s="24">
        <v>1670000</v>
      </c>
      <c r="N680" s="39">
        <v>45597</v>
      </c>
    </row>
    <row r="681" spans="1:14" s="5" customFormat="1" outlineLevel="2">
      <c r="A681" s="39" t="s">
        <v>231</v>
      </c>
      <c r="B681" s="40" t="s">
        <v>50</v>
      </c>
      <c r="C681" s="41" t="s">
        <v>246</v>
      </c>
      <c r="D681" s="40" t="s">
        <v>247</v>
      </c>
      <c r="E681" s="24">
        <v>146600000</v>
      </c>
      <c r="F681" s="39">
        <v>44558</v>
      </c>
      <c r="G681" s="24">
        <v>146600000</v>
      </c>
      <c r="H681" s="23">
        <v>5.0000000000000001E-3</v>
      </c>
      <c r="I681" s="39">
        <v>44558</v>
      </c>
      <c r="J681" s="39">
        <v>44561</v>
      </c>
      <c r="K681" s="24">
        <v>4</v>
      </c>
      <c r="L681" s="24">
        <v>8033</v>
      </c>
      <c r="M681" s="24">
        <v>146600000</v>
      </c>
      <c r="N681" s="39">
        <v>46383</v>
      </c>
    </row>
    <row r="682" spans="1:14" s="5" customFormat="1" outlineLevel="2">
      <c r="A682" s="39" t="s">
        <v>231</v>
      </c>
      <c r="B682" s="40" t="s">
        <v>54</v>
      </c>
      <c r="C682" s="41" t="s">
        <v>17</v>
      </c>
      <c r="D682" s="40" t="s">
        <v>18</v>
      </c>
      <c r="E682" s="24">
        <v>2790000</v>
      </c>
      <c r="F682" s="39">
        <v>43921</v>
      </c>
      <c r="G682" s="24">
        <v>1811060</v>
      </c>
      <c r="H682" s="23">
        <v>5.0000000000000001E-3</v>
      </c>
      <c r="I682" s="39">
        <v>44531</v>
      </c>
      <c r="J682" s="39">
        <v>44544</v>
      </c>
      <c r="K682" s="24">
        <v>14</v>
      </c>
      <c r="L682" s="24">
        <v>347</v>
      </c>
      <c r="M682" s="24">
        <v>1762113</v>
      </c>
      <c r="N682" s="39">
        <v>45746</v>
      </c>
    </row>
    <row r="683" spans="1:14" s="5" customFormat="1" outlineLevel="2">
      <c r="A683" s="39" t="s">
        <v>231</v>
      </c>
      <c r="B683" s="40" t="s">
        <v>54</v>
      </c>
      <c r="C683" s="41" t="s">
        <v>17</v>
      </c>
      <c r="D683" s="40"/>
      <c r="E683" s="24"/>
      <c r="F683" s="39"/>
      <c r="G683" s="24">
        <v>1762113</v>
      </c>
      <c r="H683" s="23">
        <v>5.0000000000000001E-3</v>
      </c>
      <c r="I683" s="39">
        <v>44545</v>
      </c>
      <c r="J683" s="39">
        <v>44561</v>
      </c>
      <c r="K683" s="24">
        <v>17</v>
      </c>
      <c r="L683" s="24">
        <v>410</v>
      </c>
      <c r="M683" s="24"/>
      <c r="N683" s="39">
        <v>45746</v>
      </c>
    </row>
    <row r="684" spans="1:14" s="5" customFormat="1" outlineLevel="2">
      <c r="A684" s="39" t="s">
        <v>231</v>
      </c>
      <c r="B684" s="40" t="s">
        <v>59</v>
      </c>
      <c r="C684" s="41" t="s">
        <v>55</v>
      </c>
      <c r="D684" s="40" t="s">
        <v>56</v>
      </c>
      <c r="E684" s="24">
        <v>12000000</v>
      </c>
      <c r="F684" s="39">
        <v>43948</v>
      </c>
      <c r="G684" s="24">
        <v>8200000</v>
      </c>
      <c r="H684" s="23">
        <v>5.0000000000000001E-3</v>
      </c>
      <c r="I684" s="39">
        <v>44531</v>
      </c>
      <c r="J684" s="39">
        <v>44544</v>
      </c>
      <c r="K684" s="24">
        <v>14</v>
      </c>
      <c r="L684" s="24">
        <v>1573</v>
      </c>
      <c r="M684" s="24">
        <v>8000000</v>
      </c>
      <c r="N684" s="39">
        <v>45773</v>
      </c>
    </row>
    <row r="685" spans="1:14" s="5" customFormat="1" outlineLevel="2">
      <c r="A685" s="39" t="s">
        <v>231</v>
      </c>
      <c r="B685" s="40" t="s">
        <v>59</v>
      </c>
      <c r="C685" s="41" t="s">
        <v>55</v>
      </c>
      <c r="D685" s="40"/>
      <c r="E685" s="24"/>
      <c r="F685" s="39"/>
      <c r="G685" s="24">
        <v>8000000</v>
      </c>
      <c r="H685" s="23">
        <v>5.0000000000000001E-3</v>
      </c>
      <c r="I685" s="39">
        <v>44545</v>
      </c>
      <c r="J685" s="39">
        <v>44561</v>
      </c>
      <c r="K685" s="24">
        <v>17</v>
      </c>
      <c r="L685" s="24">
        <v>1863</v>
      </c>
      <c r="M685" s="24"/>
      <c r="N685" s="39">
        <v>45773</v>
      </c>
    </row>
    <row r="686" spans="1:14" s="5" customFormat="1" outlineLevel="2">
      <c r="A686" s="39" t="s">
        <v>231</v>
      </c>
      <c r="B686" s="40" t="s">
        <v>62</v>
      </c>
      <c r="C686" s="41" t="s">
        <v>30</v>
      </c>
      <c r="D686" s="40" t="s">
        <v>31</v>
      </c>
      <c r="E686" s="24">
        <v>71750000</v>
      </c>
      <c r="F686" s="39">
        <v>43955</v>
      </c>
      <c r="G686" s="24">
        <v>71750000</v>
      </c>
      <c r="H686" s="23">
        <v>5.0000000000000001E-3</v>
      </c>
      <c r="I686" s="39">
        <v>44531</v>
      </c>
      <c r="J686" s="39">
        <v>44561</v>
      </c>
      <c r="K686" s="24">
        <v>31</v>
      </c>
      <c r="L686" s="24">
        <v>30469</v>
      </c>
      <c r="M686" s="24">
        <v>71750000</v>
      </c>
      <c r="N686" s="39">
        <v>45780</v>
      </c>
    </row>
    <row r="687" spans="1:14" s="5" customFormat="1" outlineLevel="2">
      <c r="A687" s="39" t="s">
        <v>231</v>
      </c>
      <c r="B687" s="40" t="s">
        <v>63</v>
      </c>
      <c r="C687" s="41" t="s">
        <v>55</v>
      </c>
      <c r="D687" s="40" t="s">
        <v>56</v>
      </c>
      <c r="E687" s="24">
        <v>10000000</v>
      </c>
      <c r="F687" s="39">
        <v>43963</v>
      </c>
      <c r="G687" s="24">
        <v>6833345</v>
      </c>
      <c r="H687" s="23">
        <v>5.0000000000000001E-3</v>
      </c>
      <c r="I687" s="39">
        <v>44531</v>
      </c>
      <c r="J687" s="39">
        <v>44544</v>
      </c>
      <c r="K687" s="24">
        <v>14</v>
      </c>
      <c r="L687" s="24">
        <v>1311</v>
      </c>
      <c r="M687" s="24">
        <v>6666679</v>
      </c>
      <c r="N687" s="39">
        <v>45788</v>
      </c>
    </row>
    <row r="688" spans="1:14" s="5" customFormat="1" outlineLevel="2">
      <c r="A688" s="39" t="s">
        <v>231</v>
      </c>
      <c r="B688" s="40" t="s">
        <v>63</v>
      </c>
      <c r="C688" s="41" t="s">
        <v>55</v>
      </c>
      <c r="D688" s="40"/>
      <c r="E688" s="24"/>
      <c r="F688" s="39"/>
      <c r="G688" s="24">
        <v>6666679</v>
      </c>
      <c r="H688" s="23">
        <v>5.0000000000000001E-3</v>
      </c>
      <c r="I688" s="39">
        <v>44545</v>
      </c>
      <c r="J688" s="39">
        <v>44561</v>
      </c>
      <c r="K688" s="24">
        <v>17</v>
      </c>
      <c r="L688" s="24">
        <v>1553</v>
      </c>
      <c r="M688" s="24"/>
      <c r="N688" s="39">
        <v>45788</v>
      </c>
    </row>
    <row r="689" spans="1:14" s="5" customFormat="1" outlineLevel="2">
      <c r="A689" s="39" t="s">
        <v>231</v>
      </c>
      <c r="B689" s="40" t="s">
        <v>64</v>
      </c>
      <c r="C689" s="41" t="s">
        <v>55</v>
      </c>
      <c r="D689" s="40" t="s">
        <v>56</v>
      </c>
      <c r="E689" s="24">
        <v>4000000</v>
      </c>
      <c r="F689" s="39">
        <v>43970</v>
      </c>
      <c r="G689" s="24">
        <v>2779672</v>
      </c>
      <c r="H689" s="23">
        <v>5.0000000000000001E-3</v>
      </c>
      <c r="I689" s="39">
        <v>44531</v>
      </c>
      <c r="J689" s="39">
        <v>44544</v>
      </c>
      <c r="K689" s="24">
        <v>14</v>
      </c>
      <c r="L689" s="24">
        <v>533</v>
      </c>
      <c r="M689" s="24">
        <v>2711876</v>
      </c>
      <c r="N689" s="39">
        <v>45795</v>
      </c>
    </row>
    <row r="690" spans="1:14" s="5" customFormat="1" outlineLevel="2">
      <c r="A690" s="39" t="s">
        <v>231</v>
      </c>
      <c r="B690" s="40" t="s">
        <v>64</v>
      </c>
      <c r="C690" s="41" t="s">
        <v>55</v>
      </c>
      <c r="D690" s="40"/>
      <c r="E690" s="24"/>
      <c r="F690" s="39"/>
      <c r="G690" s="24">
        <v>2711876</v>
      </c>
      <c r="H690" s="23">
        <v>5.0000000000000001E-3</v>
      </c>
      <c r="I690" s="39">
        <v>44545</v>
      </c>
      <c r="J690" s="39">
        <v>44561</v>
      </c>
      <c r="K690" s="24">
        <v>17</v>
      </c>
      <c r="L690" s="24">
        <v>632</v>
      </c>
      <c r="M690" s="24"/>
      <c r="N690" s="39">
        <v>45795</v>
      </c>
    </row>
    <row r="691" spans="1:14" s="5" customFormat="1" outlineLevel="2">
      <c r="A691" s="39" t="s">
        <v>231</v>
      </c>
      <c r="B691" s="40" t="s">
        <v>65</v>
      </c>
      <c r="C691" s="41" t="s">
        <v>55</v>
      </c>
      <c r="D691" s="40" t="s">
        <v>56</v>
      </c>
      <c r="E691" s="24">
        <v>18000000</v>
      </c>
      <c r="F691" s="39">
        <v>43977</v>
      </c>
      <c r="G691" s="24">
        <v>12508488</v>
      </c>
      <c r="H691" s="23">
        <v>5.0000000000000001E-3</v>
      </c>
      <c r="I691" s="39">
        <v>44531</v>
      </c>
      <c r="J691" s="39">
        <v>44544</v>
      </c>
      <c r="K691" s="24">
        <v>14</v>
      </c>
      <c r="L691" s="24">
        <v>2399</v>
      </c>
      <c r="M691" s="24">
        <v>12203404</v>
      </c>
      <c r="N691" s="39">
        <v>45802</v>
      </c>
    </row>
    <row r="692" spans="1:14" s="5" customFormat="1" outlineLevel="2">
      <c r="A692" s="39" t="s">
        <v>231</v>
      </c>
      <c r="B692" s="40" t="s">
        <v>65</v>
      </c>
      <c r="C692" s="41" t="s">
        <v>55</v>
      </c>
      <c r="D692" s="40"/>
      <c r="E692" s="24"/>
      <c r="F692" s="39"/>
      <c r="G692" s="24">
        <v>12203404</v>
      </c>
      <c r="H692" s="23">
        <v>5.0000000000000001E-3</v>
      </c>
      <c r="I692" s="39">
        <v>44545</v>
      </c>
      <c r="J692" s="39">
        <v>44561</v>
      </c>
      <c r="K692" s="24">
        <v>17</v>
      </c>
      <c r="L692" s="24">
        <v>2842</v>
      </c>
      <c r="M692" s="24"/>
      <c r="N692" s="39">
        <v>45802</v>
      </c>
    </row>
    <row r="693" spans="1:14" s="5" customFormat="1" outlineLevel="2">
      <c r="A693" s="39" t="s">
        <v>231</v>
      </c>
      <c r="B693" s="40" t="s">
        <v>68</v>
      </c>
      <c r="C693" s="41" t="s">
        <v>55</v>
      </c>
      <c r="D693" s="40" t="s">
        <v>56</v>
      </c>
      <c r="E693" s="24">
        <v>6000000</v>
      </c>
      <c r="F693" s="39">
        <v>43984</v>
      </c>
      <c r="G693" s="24">
        <v>4169508</v>
      </c>
      <c r="H693" s="23">
        <v>5.0000000000000001E-3</v>
      </c>
      <c r="I693" s="39">
        <v>44531</v>
      </c>
      <c r="J693" s="39">
        <v>44544</v>
      </c>
      <c r="K693" s="24">
        <v>14</v>
      </c>
      <c r="L693" s="24">
        <v>800</v>
      </c>
      <c r="M693" s="24">
        <v>4067814</v>
      </c>
      <c r="N693" s="39">
        <v>45809</v>
      </c>
    </row>
    <row r="694" spans="1:14" s="5" customFormat="1" outlineLevel="2">
      <c r="A694" s="39" t="s">
        <v>231</v>
      </c>
      <c r="B694" s="40" t="s">
        <v>68</v>
      </c>
      <c r="C694" s="41" t="s">
        <v>55</v>
      </c>
      <c r="D694" s="40"/>
      <c r="E694" s="24"/>
      <c r="F694" s="39"/>
      <c r="G694" s="24">
        <v>4067814</v>
      </c>
      <c r="H694" s="23">
        <v>5.0000000000000001E-3</v>
      </c>
      <c r="I694" s="39">
        <v>44545</v>
      </c>
      <c r="J694" s="39">
        <v>44561</v>
      </c>
      <c r="K694" s="24">
        <v>17</v>
      </c>
      <c r="L694" s="24">
        <v>947</v>
      </c>
      <c r="M694" s="24"/>
      <c r="N694" s="39">
        <v>45809</v>
      </c>
    </row>
    <row r="695" spans="1:14" s="5" customFormat="1" outlineLevel="1">
      <c r="A695" s="42" t="s">
        <v>234</v>
      </c>
      <c r="B695" s="43"/>
      <c r="C695" s="44"/>
      <c r="D695" s="43"/>
      <c r="E695" s="45">
        <v>1823370000</v>
      </c>
      <c r="F695" s="46"/>
      <c r="G695" s="45"/>
      <c r="H695" s="47"/>
      <c r="I695" s="46"/>
      <c r="J695" s="46"/>
      <c r="K695" s="45"/>
      <c r="L695" s="45">
        <v>526181</v>
      </c>
      <c r="M695" s="45">
        <v>1729563894</v>
      </c>
      <c r="N695" s="46"/>
    </row>
    <row r="696" spans="1:14" s="5" customFormat="1" outlineLevel="2">
      <c r="A696" s="39" t="s">
        <v>235</v>
      </c>
      <c r="B696" s="40" t="s">
        <v>16</v>
      </c>
      <c r="C696" s="41" t="s">
        <v>17</v>
      </c>
      <c r="D696" s="40" t="s">
        <v>18</v>
      </c>
      <c r="E696" s="24">
        <v>50000000</v>
      </c>
      <c r="F696" s="39">
        <v>43829</v>
      </c>
      <c r="G696" s="24">
        <v>31666652</v>
      </c>
      <c r="H696" s="23">
        <v>5.0000000000000001E-3</v>
      </c>
      <c r="I696" s="39">
        <v>44531</v>
      </c>
      <c r="J696" s="39">
        <v>44561</v>
      </c>
      <c r="K696" s="24">
        <v>31</v>
      </c>
      <c r="L696" s="24">
        <v>13447</v>
      </c>
      <c r="M696" s="24">
        <v>31666652</v>
      </c>
      <c r="N696" s="39">
        <v>45655</v>
      </c>
    </row>
    <row r="697" spans="1:14" s="5" customFormat="1" outlineLevel="2">
      <c r="A697" s="39" t="s">
        <v>235</v>
      </c>
      <c r="B697" s="40" t="s">
        <v>19</v>
      </c>
      <c r="C697" s="41" t="s">
        <v>427</v>
      </c>
      <c r="D697" s="40" t="s">
        <v>426</v>
      </c>
      <c r="E697" s="24">
        <v>2060000</v>
      </c>
      <c r="F697" s="39">
        <v>44494</v>
      </c>
      <c r="G697" s="24">
        <v>2060000</v>
      </c>
      <c r="H697" s="23">
        <v>5.0000000000000001E-3</v>
      </c>
      <c r="I697" s="39">
        <v>44531</v>
      </c>
      <c r="J697" s="39">
        <v>44561</v>
      </c>
      <c r="K697" s="24">
        <v>31</v>
      </c>
      <c r="L697" s="24">
        <v>875</v>
      </c>
      <c r="M697" s="24">
        <v>2060000</v>
      </c>
      <c r="N697" s="39">
        <v>45589</v>
      </c>
    </row>
    <row r="698" spans="1:14" s="5" customFormat="1" outlineLevel="2">
      <c r="A698" s="39" t="s">
        <v>235</v>
      </c>
      <c r="B698" s="40" t="s">
        <v>22</v>
      </c>
      <c r="C698" s="41" t="s">
        <v>427</v>
      </c>
      <c r="D698" s="40" t="s">
        <v>426</v>
      </c>
      <c r="E698" s="24">
        <v>21980000</v>
      </c>
      <c r="F698" s="39">
        <v>44494</v>
      </c>
      <c r="G698" s="24">
        <v>21980000</v>
      </c>
      <c r="H698" s="23">
        <v>5.0000000000000001E-3</v>
      </c>
      <c r="I698" s="39">
        <v>44531</v>
      </c>
      <c r="J698" s="39">
        <v>44561</v>
      </c>
      <c r="K698" s="24">
        <v>31</v>
      </c>
      <c r="L698" s="24">
        <v>9334</v>
      </c>
      <c r="M698" s="24">
        <v>21980000</v>
      </c>
      <c r="N698" s="39">
        <v>45589</v>
      </c>
    </row>
    <row r="699" spans="1:14" s="5" customFormat="1" outlineLevel="2">
      <c r="A699" s="39" t="s">
        <v>235</v>
      </c>
      <c r="B699" s="40" t="s">
        <v>25</v>
      </c>
      <c r="C699" s="41" t="s">
        <v>427</v>
      </c>
      <c r="D699" s="40" t="s">
        <v>426</v>
      </c>
      <c r="E699" s="24">
        <v>62960000</v>
      </c>
      <c r="F699" s="39">
        <v>44494</v>
      </c>
      <c r="G699" s="24">
        <v>62960000</v>
      </c>
      <c r="H699" s="23">
        <v>5.0000000000000001E-3</v>
      </c>
      <c r="I699" s="39">
        <v>44531</v>
      </c>
      <c r="J699" s="39">
        <v>44561</v>
      </c>
      <c r="K699" s="24">
        <v>31</v>
      </c>
      <c r="L699" s="24">
        <v>26736</v>
      </c>
      <c r="M699" s="24">
        <v>62960000</v>
      </c>
      <c r="N699" s="39">
        <v>45589</v>
      </c>
    </row>
    <row r="700" spans="1:14" s="5" customFormat="1" outlineLevel="2">
      <c r="A700" s="39" t="s">
        <v>235</v>
      </c>
      <c r="B700" s="40" t="s">
        <v>26</v>
      </c>
      <c r="C700" s="41" t="s">
        <v>414</v>
      </c>
      <c r="D700" s="40" t="s">
        <v>413</v>
      </c>
      <c r="E700" s="24">
        <v>122700000</v>
      </c>
      <c r="F700" s="39">
        <v>44495</v>
      </c>
      <c r="G700" s="24">
        <v>122700000</v>
      </c>
      <c r="H700" s="23">
        <v>5.0000000000000001E-3</v>
      </c>
      <c r="I700" s="39">
        <v>44531</v>
      </c>
      <c r="J700" s="39">
        <v>44561</v>
      </c>
      <c r="K700" s="24">
        <v>31</v>
      </c>
      <c r="L700" s="24">
        <v>52105</v>
      </c>
      <c r="M700" s="24">
        <v>122700000</v>
      </c>
      <c r="N700" s="39">
        <v>45590</v>
      </c>
    </row>
    <row r="701" spans="1:14" s="5" customFormat="1" outlineLevel="2">
      <c r="A701" s="39" t="s">
        <v>235</v>
      </c>
      <c r="B701" s="40" t="s">
        <v>29</v>
      </c>
      <c r="C701" s="41" t="s">
        <v>425</v>
      </c>
      <c r="D701" s="40" t="s">
        <v>424</v>
      </c>
      <c r="E701" s="24">
        <v>10000000</v>
      </c>
      <c r="F701" s="39">
        <v>44515</v>
      </c>
      <c r="G701" s="24">
        <v>10000000</v>
      </c>
      <c r="H701" s="23">
        <v>5.0000000000000001E-3</v>
      </c>
      <c r="I701" s="39">
        <v>44531</v>
      </c>
      <c r="J701" s="39">
        <v>44561</v>
      </c>
      <c r="K701" s="24">
        <v>31</v>
      </c>
      <c r="L701" s="24">
        <v>4247</v>
      </c>
      <c r="M701" s="24">
        <v>10000000</v>
      </c>
      <c r="N701" s="39">
        <v>45610</v>
      </c>
    </row>
    <row r="702" spans="1:14" s="5" customFormat="1" outlineLevel="2">
      <c r="A702" s="39" t="s">
        <v>235</v>
      </c>
      <c r="B702" s="40" t="s">
        <v>39</v>
      </c>
      <c r="C702" s="41" t="s">
        <v>17</v>
      </c>
      <c r="D702" s="40" t="s">
        <v>18</v>
      </c>
      <c r="E702" s="24">
        <v>25200000</v>
      </c>
      <c r="F702" s="39">
        <v>43829</v>
      </c>
      <c r="G702" s="24">
        <v>15960000</v>
      </c>
      <c r="H702" s="23">
        <v>5.0000000000000001E-3</v>
      </c>
      <c r="I702" s="39">
        <v>44531</v>
      </c>
      <c r="J702" s="39">
        <v>44561</v>
      </c>
      <c r="K702" s="24">
        <v>31</v>
      </c>
      <c r="L702" s="24">
        <v>6778</v>
      </c>
      <c r="M702" s="24">
        <v>15960000</v>
      </c>
      <c r="N702" s="39">
        <v>45655</v>
      </c>
    </row>
    <row r="703" spans="1:14" s="5" customFormat="1" outlineLevel="2">
      <c r="A703" s="39" t="s">
        <v>235</v>
      </c>
      <c r="B703" s="40" t="s">
        <v>54</v>
      </c>
      <c r="C703" s="41" t="s">
        <v>17</v>
      </c>
      <c r="D703" s="40" t="s">
        <v>18</v>
      </c>
      <c r="E703" s="24">
        <v>11310000</v>
      </c>
      <c r="F703" s="39">
        <v>43920</v>
      </c>
      <c r="G703" s="24">
        <v>7540001</v>
      </c>
      <c r="H703" s="23">
        <v>5.0000000000000001E-3</v>
      </c>
      <c r="I703" s="39">
        <v>44531</v>
      </c>
      <c r="J703" s="39">
        <v>44561</v>
      </c>
      <c r="K703" s="24">
        <v>31</v>
      </c>
      <c r="L703" s="24">
        <v>3202</v>
      </c>
      <c r="M703" s="24">
        <v>7540001</v>
      </c>
      <c r="N703" s="39">
        <v>45745</v>
      </c>
    </row>
    <row r="704" spans="1:14" s="5" customFormat="1" outlineLevel="2">
      <c r="A704" s="39" t="s">
        <v>235</v>
      </c>
      <c r="B704" s="40" t="s">
        <v>59</v>
      </c>
      <c r="C704" s="41" t="s">
        <v>17</v>
      </c>
      <c r="D704" s="40" t="s">
        <v>18</v>
      </c>
      <c r="E704" s="24">
        <v>6050000</v>
      </c>
      <c r="F704" s="39">
        <v>43990</v>
      </c>
      <c r="G704" s="24">
        <v>4180000</v>
      </c>
      <c r="H704" s="23">
        <v>5.0000000000000001E-3</v>
      </c>
      <c r="I704" s="39">
        <v>44531</v>
      </c>
      <c r="J704" s="39">
        <v>44561</v>
      </c>
      <c r="K704" s="24">
        <v>31</v>
      </c>
      <c r="L704" s="24">
        <v>1775</v>
      </c>
      <c r="M704" s="24">
        <v>4180000</v>
      </c>
      <c r="N704" s="39">
        <v>45815</v>
      </c>
    </row>
    <row r="705" spans="1:14" s="5" customFormat="1" outlineLevel="2">
      <c r="A705" s="39" t="s">
        <v>235</v>
      </c>
      <c r="B705" s="40" t="s">
        <v>62</v>
      </c>
      <c r="C705" s="41" t="s">
        <v>17</v>
      </c>
      <c r="D705" s="40" t="s">
        <v>18</v>
      </c>
      <c r="E705" s="24">
        <v>7541000</v>
      </c>
      <c r="F705" s="39">
        <v>44074</v>
      </c>
      <c r="G705" s="24">
        <v>5510734</v>
      </c>
      <c r="H705" s="23">
        <v>5.0000000000000001E-3</v>
      </c>
      <c r="I705" s="39">
        <v>44531</v>
      </c>
      <c r="J705" s="39">
        <v>44561</v>
      </c>
      <c r="K705" s="24">
        <v>31</v>
      </c>
      <c r="L705" s="24">
        <v>2340</v>
      </c>
      <c r="M705" s="24">
        <v>5510734</v>
      </c>
      <c r="N705" s="39">
        <v>45899</v>
      </c>
    </row>
    <row r="706" spans="1:14" s="5" customFormat="1" outlineLevel="2">
      <c r="A706" s="39" t="s">
        <v>235</v>
      </c>
      <c r="B706" s="40" t="s">
        <v>63</v>
      </c>
      <c r="C706" s="41" t="s">
        <v>17</v>
      </c>
      <c r="D706" s="40" t="s">
        <v>18</v>
      </c>
      <c r="E706" s="24">
        <v>8986000</v>
      </c>
      <c r="F706" s="39">
        <v>44160</v>
      </c>
      <c r="G706" s="24">
        <v>6968732</v>
      </c>
      <c r="H706" s="23">
        <v>5.0000000000000001E-3</v>
      </c>
      <c r="I706" s="39">
        <v>44531</v>
      </c>
      <c r="J706" s="39">
        <v>44561</v>
      </c>
      <c r="K706" s="24">
        <v>31</v>
      </c>
      <c r="L706" s="24">
        <v>2959</v>
      </c>
      <c r="M706" s="24">
        <v>6968732</v>
      </c>
      <c r="N706" s="39">
        <v>45985</v>
      </c>
    </row>
    <row r="707" spans="1:14" s="5" customFormat="1" outlineLevel="2">
      <c r="A707" s="39" t="s">
        <v>235</v>
      </c>
      <c r="B707" s="40" t="s">
        <v>64</v>
      </c>
      <c r="C707" s="41" t="s">
        <v>17</v>
      </c>
      <c r="D707" s="40" t="s">
        <v>18</v>
      </c>
      <c r="E707" s="24">
        <v>2534784</v>
      </c>
      <c r="F707" s="39">
        <v>44334</v>
      </c>
      <c r="G707" s="24">
        <v>2240039</v>
      </c>
      <c r="H707" s="23">
        <v>5.0000000000000001E-3</v>
      </c>
      <c r="I707" s="39">
        <v>44531</v>
      </c>
      <c r="J707" s="39">
        <v>44561</v>
      </c>
      <c r="K707" s="24">
        <v>31</v>
      </c>
      <c r="L707" s="24">
        <v>951</v>
      </c>
      <c r="M707" s="24">
        <v>2240039</v>
      </c>
      <c r="N707" s="39">
        <v>46159</v>
      </c>
    </row>
    <row r="708" spans="1:14" s="5" customFormat="1" outlineLevel="2">
      <c r="A708" s="39" t="s">
        <v>235</v>
      </c>
      <c r="B708" s="40" t="s">
        <v>65</v>
      </c>
      <c r="C708" s="41" t="s">
        <v>410</v>
      </c>
      <c r="D708" s="40" t="s">
        <v>409</v>
      </c>
      <c r="E708" s="24">
        <v>1000000</v>
      </c>
      <c r="F708" s="39">
        <v>44484</v>
      </c>
      <c r="G708" s="24">
        <v>1000000</v>
      </c>
      <c r="H708" s="23">
        <v>5.0000000000000001E-3</v>
      </c>
      <c r="I708" s="39">
        <v>44531</v>
      </c>
      <c r="J708" s="39">
        <v>44561</v>
      </c>
      <c r="K708" s="24">
        <v>31</v>
      </c>
      <c r="L708" s="24">
        <v>425</v>
      </c>
      <c r="M708" s="24">
        <v>1000000</v>
      </c>
      <c r="N708" s="39">
        <v>45579</v>
      </c>
    </row>
    <row r="709" spans="1:14" s="5" customFormat="1" outlineLevel="2">
      <c r="A709" s="39" t="s">
        <v>235</v>
      </c>
      <c r="B709" s="40" t="s">
        <v>68</v>
      </c>
      <c r="C709" s="41" t="s">
        <v>425</v>
      </c>
      <c r="D709" s="40" t="s">
        <v>424</v>
      </c>
      <c r="E709" s="24">
        <v>365000000</v>
      </c>
      <c r="F709" s="39">
        <v>44484</v>
      </c>
      <c r="G709" s="24">
        <v>365000000</v>
      </c>
      <c r="H709" s="23">
        <v>5.0000000000000001E-3</v>
      </c>
      <c r="I709" s="39">
        <v>44531</v>
      </c>
      <c r="J709" s="39">
        <v>44561</v>
      </c>
      <c r="K709" s="24">
        <v>31</v>
      </c>
      <c r="L709" s="24">
        <v>155000</v>
      </c>
      <c r="M709" s="24">
        <v>365000000</v>
      </c>
      <c r="N709" s="39">
        <v>45579</v>
      </c>
    </row>
    <row r="710" spans="1:14" s="5" customFormat="1" outlineLevel="1">
      <c r="A710" s="42" t="s">
        <v>236</v>
      </c>
      <c r="B710" s="43"/>
      <c r="C710" s="44"/>
      <c r="D710" s="43"/>
      <c r="E710" s="45">
        <v>697321784</v>
      </c>
      <c r="F710" s="46"/>
      <c r="G710" s="45"/>
      <c r="H710" s="47"/>
      <c r="I710" s="46"/>
      <c r="J710" s="46"/>
      <c r="K710" s="45"/>
      <c r="L710" s="45">
        <v>280174</v>
      </c>
      <c r="M710" s="45">
        <v>659766158</v>
      </c>
      <c r="N710" s="46"/>
    </row>
    <row r="711" spans="1:14" s="5" customFormat="1" outlineLevel="2">
      <c r="A711" s="39" t="s">
        <v>237</v>
      </c>
      <c r="B711" s="40" t="s">
        <v>16</v>
      </c>
      <c r="C711" s="41" t="s">
        <v>45</v>
      </c>
      <c r="D711" s="40" t="s">
        <v>46</v>
      </c>
      <c r="E711" s="24">
        <v>4300000</v>
      </c>
      <c r="F711" s="39">
        <v>43966</v>
      </c>
      <c r="G711" s="24">
        <v>4300000</v>
      </c>
      <c r="H711" s="23">
        <v>5.0000000000000001E-3</v>
      </c>
      <c r="I711" s="39">
        <v>44531</v>
      </c>
      <c r="J711" s="39">
        <v>44561</v>
      </c>
      <c r="K711" s="24">
        <v>31</v>
      </c>
      <c r="L711" s="24">
        <v>1826</v>
      </c>
      <c r="M711" s="24">
        <v>4300000</v>
      </c>
      <c r="N711" s="39">
        <v>45791</v>
      </c>
    </row>
    <row r="712" spans="1:14" s="5" customFormat="1" outlineLevel="2">
      <c r="A712" s="39" t="s">
        <v>237</v>
      </c>
      <c r="B712" s="40" t="s">
        <v>39</v>
      </c>
      <c r="C712" s="41" t="s">
        <v>66</v>
      </c>
      <c r="D712" s="40" t="s">
        <v>67</v>
      </c>
      <c r="E712" s="24">
        <v>120000000</v>
      </c>
      <c r="F712" s="39">
        <v>44060</v>
      </c>
      <c r="G712" s="24">
        <v>120000000</v>
      </c>
      <c r="H712" s="23">
        <v>5.0000000000000001E-3</v>
      </c>
      <c r="I712" s="39">
        <v>44531</v>
      </c>
      <c r="J712" s="39">
        <v>44561</v>
      </c>
      <c r="K712" s="24">
        <v>31</v>
      </c>
      <c r="L712" s="24">
        <v>50959</v>
      </c>
      <c r="M712" s="24">
        <v>120000000</v>
      </c>
      <c r="N712" s="39">
        <v>45885</v>
      </c>
    </row>
    <row r="713" spans="1:14" s="5" customFormat="1" outlineLevel="1">
      <c r="A713" s="42" t="s">
        <v>238</v>
      </c>
      <c r="B713" s="43"/>
      <c r="C713" s="44"/>
      <c r="D713" s="43"/>
      <c r="E713" s="45">
        <v>124300000</v>
      </c>
      <c r="F713" s="46"/>
      <c r="G713" s="45"/>
      <c r="H713" s="47"/>
      <c r="I713" s="46"/>
      <c r="J713" s="46"/>
      <c r="K713" s="45"/>
      <c r="L713" s="45">
        <v>52785</v>
      </c>
      <c r="M713" s="45">
        <v>124300000</v>
      </c>
      <c r="N713" s="46"/>
    </row>
    <row r="714" spans="1:14" s="5" customFormat="1" outlineLevel="2">
      <c r="A714" s="39" t="s">
        <v>239</v>
      </c>
      <c r="B714" s="40" t="s">
        <v>16</v>
      </c>
      <c r="C714" s="41" t="s">
        <v>109</v>
      </c>
      <c r="D714" s="40" t="s">
        <v>110</v>
      </c>
      <c r="E714" s="24">
        <v>38650000</v>
      </c>
      <c r="F714" s="39">
        <v>43986</v>
      </c>
      <c r="G714" s="24">
        <v>38650000</v>
      </c>
      <c r="H714" s="23">
        <v>5.0000000000000001E-3</v>
      </c>
      <c r="I714" s="39">
        <v>44531</v>
      </c>
      <c r="J714" s="39">
        <v>44561</v>
      </c>
      <c r="K714" s="24">
        <v>31</v>
      </c>
      <c r="L714" s="24">
        <v>16413</v>
      </c>
      <c r="M714" s="24">
        <v>38650000</v>
      </c>
      <c r="N714" s="39">
        <v>45811</v>
      </c>
    </row>
    <row r="715" spans="1:14" s="5" customFormat="1" outlineLevel="2">
      <c r="A715" s="39" t="s">
        <v>239</v>
      </c>
      <c r="B715" s="40" t="s">
        <v>19</v>
      </c>
      <c r="C715" s="41" t="s">
        <v>125</v>
      </c>
      <c r="D715" s="40" t="s">
        <v>126</v>
      </c>
      <c r="E715" s="24">
        <v>23000000</v>
      </c>
      <c r="F715" s="39">
        <v>44155</v>
      </c>
      <c r="G715" s="24">
        <v>23000000</v>
      </c>
      <c r="H715" s="23">
        <v>5.0000000000000001E-3</v>
      </c>
      <c r="I715" s="39">
        <v>44531</v>
      </c>
      <c r="J715" s="39">
        <v>44561</v>
      </c>
      <c r="K715" s="24">
        <v>31</v>
      </c>
      <c r="L715" s="24">
        <v>9767</v>
      </c>
      <c r="M715" s="24">
        <v>23000000</v>
      </c>
      <c r="N715" s="39">
        <v>45980</v>
      </c>
    </row>
    <row r="716" spans="1:14" s="5" customFormat="1" outlineLevel="2">
      <c r="A716" s="39" t="s">
        <v>239</v>
      </c>
      <c r="B716" s="40" t="s">
        <v>22</v>
      </c>
      <c r="C716" s="41" t="s">
        <v>125</v>
      </c>
      <c r="D716" s="40" t="s">
        <v>126</v>
      </c>
      <c r="E716" s="24">
        <v>1000000</v>
      </c>
      <c r="F716" s="39">
        <v>44160</v>
      </c>
      <c r="G716" s="24">
        <v>1000000</v>
      </c>
      <c r="H716" s="23">
        <v>5.0000000000000001E-3</v>
      </c>
      <c r="I716" s="39">
        <v>44531</v>
      </c>
      <c r="J716" s="39">
        <v>44561</v>
      </c>
      <c r="K716" s="24">
        <v>31</v>
      </c>
      <c r="L716" s="24">
        <v>425</v>
      </c>
      <c r="M716" s="24">
        <v>1000000</v>
      </c>
      <c r="N716" s="39">
        <v>45985</v>
      </c>
    </row>
    <row r="717" spans="1:14" s="5" customFormat="1" outlineLevel="2">
      <c r="A717" s="39" t="s">
        <v>239</v>
      </c>
      <c r="B717" s="40" t="s">
        <v>25</v>
      </c>
      <c r="C717" s="41" t="s">
        <v>95</v>
      </c>
      <c r="D717" s="40" t="s">
        <v>96</v>
      </c>
      <c r="E717" s="24">
        <v>6030000</v>
      </c>
      <c r="F717" s="39">
        <v>44145</v>
      </c>
      <c r="G717" s="24">
        <v>6030000</v>
      </c>
      <c r="H717" s="23">
        <v>5.0000000000000001E-3</v>
      </c>
      <c r="I717" s="39">
        <v>44531</v>
      </c>
      <c r="J717" s="39">
        <v>44561</v>
      </c>
      <c r="K717" s="24">
        <v>31</v>
      </c>
      <c r="L717" s="24">
        <v>2561</v>
      </c>
      <c r="M717" s="24">
        <v>6030000</v>
      </c>
      <c r="N717" s="39">
        <v>45970</v>
      </c>
    </row>
    <row r="718" spans="1:14" s="5" customFormat="1" outlineLevel="2">
      <c r="A718" s="39" t="s">
        <v>239</v>
      </c>
      <c r="B718" s="40" t="s">
        <v>26</v>
      </c>
      <c r="C718" s="41" t="s">
        <v>240</v>
      </c>
      <c r="D718" s="40" t="s">
        <v>241</v>
      </c>
      <c r="E718" s="24">
        <v>16018839</v>
      </c>
      <c r="F718" s="39">
        <v>44188</v>
      </c>
      <c r="G718" s="24">
        <v>16018839</v>
      </c>
      <c r="H718" s="23">
        <v>5.0000000000000001E-3</v>
      </c>
      <c r="I718" s="39">
        <v>44531</v>
      </c>
      <c r="J718" s="39">
        <v>44561</v>
      </c>
      <c r="K718" s="24">
        <v>31</v>
      </c>
      <c r="L718" s="24">
        <v>6803</v>
      </c>
      <c r="M718" s="24">
        <v>16018839</v>
      </c>
      <c r="N718" s="39">
        <v>46013</v>
      </c>
    </row>
    <row r="719" spans="1:14" s="5" customFormat="1" outlineLevel="2">
      <c r="A719" s="39" t="s">
        <v>239</v>
      </c>
      <c r="B719" s="40" t="s">
        <v>29</v>
      </c>
      <c r="C719" s="41" t="s">
        <v>240</v>
      </c>
      <c r="D719" s="40" t="s">
        <v>241</v>
      </c>
      <c r="E719" s="24">
        <v>31481161</v>
      </c>
      <c r="F719" s="39">
        <v>44188</v>
      </c>
      <c r="G719" s="24">
        <v>31481161</v>
      </c>
      <c r="H719" s="23">
        <v>5.0000000000000001E-3</v>
      </c>
      <c r="I719" s="39">
        <v>44531</v>
      </c>
      <c r="J719" s="39">
        <v>44561</v>
      </c>
      <c r="K719" s="24">
        <v>31</v>
      </c>
      <c r="L719" s="24">
        <v>13369</v>
      </c>
      <c r="M719" s="24">
        <v>31481161</v>
      </c>
      <c r="N719" s="39">
        <v>46013</v>
      </c>
    </row>
    <row r="720" spans="1:14" s="5" customFormat="1" outlineLevel="2">
      <c r="A720" s="39" t="s">
        <v>239</v>
      </c>
      <c r="B720" s="40" t="s">
        <v>32</v>
      </c>
      <c r="C720" s="41" t="s">
        <v>242</v>
      </c>
      <c r="D720" s="40" t="s">
        <v>243</v>
      </c>
      <c r="E720" s="24">
        <v>10000000</v>
      </c>
      <c r="F720" s="39">
        <v>44172</v>
      </c>
      <c r="G720" s="24">
        <v>10000000</v>
      </c>
      <c r="H720" s="23">
        <v>5.0000000000000001E-3</v>
      </c>
      <c r="I720" s="39">
        <v>44531</v>
      </c>
      <c r="J720" s="39">
        <v>44561</v>
      </c>
      <c r="K720" s="24">
        <v>31</v>
      </c>
      <c r="L720" s="24">
        <v>4247</v>
      </c>
      <c r="M720" s="24">
        <v>10000000</v>
      </c>
      <c r="N720" s="39">
        <v>45997</v>
      </c>
    </row>
    <row r="721" spans="1:14" s="5" customFormat="1" outlineLevel="2">
      <c r="A721" s="39" t="s">
        <v>239</v>
      </c>
      <c r="B721" s="40" t="s">
        <v>33</v>
      </c>
      <c r="C721" s="41" t="s">
        <v>242</v>
      </c>
      <c r="D721" s="40" t="s">
        <v>243</v>
      </c>
      <c r="E721" s="24">
        <v>10000000</v>
      </c>
      <c r="F721" s="39">
        <v>44181</v>
      </c>
      <c r="G721" s="24">
        <v>10000000</v>
      </c>
      <c r="H721" s="23">
        <v>5.0000000000000001E-3</v>
      </c>
      <c r="I721" s="39">
        <v>44531</v>
      </c>
      <c r="J721" s="39">
        <v>44561</v>
      </c>
      <c r="K721" s="24">
        <v>31</v>
      </c>
      <c r="L721" s="24">
        <v>4247</v>
      </c>
      <c r="M721" s="24">
        <v>10000000</v>
      </c>
      <c r="N721" s="39">
        <v>46006</v>
      </c>
    </row>
    <row r="722" spans="1:14" s="5" customFormat="1" outlineLevel="2">
      <c r="A722" s="39" t="s">
        <v>239</v>
      </c>
      <c r="B722" s="40" t="s">
        <v>34</v>
      </c>
      <c r="C722" s="41" t="s">
        <v>244</v>
      </c>
      <c r="D722" s="40" t="s">
        <v>245</v>
      </c>
      <c r="E722" s="24">
        <v>210000000</v>
      </c>
      <c r="F722" s="39">
        <v>44172</v>
      </c>
      <c r="G722" s="24">
        <v>210000000</v>
      </c>
      <c r="H722" s="23">
        <v>5.0000000000000001E-3</v>
      </c>
      <c r="I722" s="39">
        <v>44531</v>
      </c>
      <c r="J722" s="39">
        <v>44561</v>
      </c>
      <c r="K722" s="24">
        <v>31</v>
      </c>
      <c r="L722" s="24">
        <v>89178</v>
      </c>
      <c r="M722" s="24">
        <v>210000000</v>
      </c>
      <c r="N722" s="39">
        <v>45997</v>
      </c>
    </row>
    <row r="723" spans="1:14" s="5" customFormat="1" outlineLevel="2">
      <c r="A723" s="39" t="s">
        <v>239</v>
      </c>
      <c r="B723" s="40" t="s">
        <v>35</v>
      </c>
      <c r="C723" s="41" t="s">
        <v>246</v>
      </c>
      <c r="D723" s="40" t="s">
        <v>247</v>
      </c>
      <c r="E723" s="24">
        <v>3000000</v>
      </c>
      <c r="F723" s="39">
        <v>44167</v>
      </c>
      <c r="G723" s="24">
        <v>3000000</v>
      </c>
      <c r="H723" s="23">
        <v>5.0000000000000001E-3</v>
      </c>
      <c r="I723" s="39">
        <v>44531</v>
      </c>
      <c r="J723" s="39">
        <v>44561</v>
      </c>
      <c r="K723" s="24">
        <v>31</v>
      </c>
      <c r="L723" s="24">
        <v>1274</v>
      </c>
      <c r="M723" s="24">
        <v>3000000</v>
      </c>
      <c r="N723" s="39">
        <v>45992</v>
      </c>
    </row>
    <row r="724" spans="1:14" s="5" customFormat="1" outlineLevel="2">
      <c r="A724" s="39" t="s">
        <v>239</v>
      </c>
      <c r="B724" s="40" t="s">
        <v>36</v>
      </c>
      <c r="C724" s="41" t="s">
        <v>95</v>
      </c>
      <c r="D724" s="40" t="s">
        <v>96</v>
      </c>
      <c r="E724" s="24">
        <v>5530000</v>
      </c>
      <c r="F724" s="39">
        <v>44168</v>
      </c>
      <c r="G724" s="24">
        <v>5530000</v>
      </c>
      <c r="H724" s="23">
        <v>5.0000000000000001E-3</v>
      </c>
      <c r="I724" s="39">
        <v>44531</v>
      </c>
      <c r="J724" s="39">
        <v>44561</v>
      </c>
      <c r="K724" s="24">
        <v>31</v>
      </c>
      <c r="L724" s="24">
        <v>2348</v>
      </c>
      <c r="M724" s="24">
        <v>5530000</v>
      </c>
      <c r="N724" s="39">
        <v>45993</v>
      </c>
    </row>
    <row r="725" spans="1:14" s="5" customFormat="1" outlineLevel="2">
      <c r="A725" s="39" t="s">
        <v>239</v>
      </c>
      <c r="B725" s="40" t="s">
        <v>39</v>
      </c>
      <c r="C725" s="41" t="s">
        <v>248</v>
      </c>
      <c r="D725" s="40" t="s">
        <v>249</v>
      </c>
      <c r="E725" s="24">
        <v>23530000</v>
      </c>
      <c r="F725" s="39">
        <v>44013</v>
      </c>
      <c r="G725" s="24">
        <v>23530000</v>
      </c>
      <c r="H725" s="23">
        <v>5.0000000000000001E-3</v>
      </c>
      <c r="I725" s="39">
        <v>44531</v>
      </c>
      <c r="J725" s="39">
        <v>44561</v>
      </c>
      <c r="K725" s="24">
        <v>31</v>
      </c>
      <c r="L725" s="24">
        <v>9992</v>
      </c>
      <c r="M725" s="24">
        <v>23530000</v>
      </c>
      <c r="N725" s="39">
        <v>45838</v>
      </c>
    </row>
    <row r="726" spans="1:14" s="5" customFormat="1" outlineLevel="2">
      <c r="A726" s="39" t="s">
        <v>239</v>
      </c>
      <c r="B726" s="40" t="s">
        <v>40</v>
      </c>
      <c r="C726" s="41" t="s">
        <v>242</v>
      </c>
      <c r="D726" s="40" t="s">
        <v>243</v>
      </c>
      <c r="E726" s="24">
        <v>10000000</v>
      </c>
      <c r="F726" s="39">
        <v>44208</v>
      </c>
      <c r="G726" s="24">
        <v>10000000</v>
      </c>
      <c r="H726" s="23">
        <v>5.0000000000000001E-3</v>
      </c>
      <c r="I726" s="39">
        <v>44531</v>
      </c>
      <c r="J726" s="39">
        <v>44561</v>
      </c>
      <c r="K726" s="24">
        <v>31</v>
      </c>
      <c r="L726" s="24">
        <v>4247</v>
      </c>
      <c r="M726" s="24">
        <v>10000000</v>
      </c>
      <c r="N726" s="39">
        <v>46033</v>
      </c>
    </row>
    <row r="727" spans="1:14" s="5" customFormat="1" outlineLevel="2">
      <c r="A727" s="39" t="s">
        <v>239</v>
      </c>
      <c r="B727" s="40" t="s">
        <v>41</v>
      </c>
      <c r="C727" s="41" t="s">
        <v>125</v>
      </c>
      <c r="D727" s="40" t="s">
        <v>126</v>
      </c>
      <c r="E727" s="24">
        <v>28000000</v>
      </c>
      <c r="F727" s="39">
        <v>44217</v>
      </c>
      <c r="G727" s="24">
        <v>28000000</v>
      </c>
      <c r="H727" s="23">
        <v>5.0000000000000001E-3</v>
      </c>
      <c r="I727" s="39">
        <v>44531</v>
      </c>
      <c r="J727" s="39">
        <v>44561</v>
      </c>
      <c r="K727" s="24">
        <v>31</v>
      </c>
      <c r="L727" s="24">
        <v>11890</v>
      </c>
      <c r="M727" s="24">
        <v>28000000</v>
      </c>
      <c r="N727" s="39">
        <v>46042</v>
      </c>
    </row>
    <row r="728" spans="1:14" s="5" customFormat="1" outlineLevel="2">
      <c r="A728" s="39" t="s">
        <v>239</v>
      </c>
      <c r="B728" s="40" t="s">
        <v>42</v>
      </c>
      <c r="C728" s="41" t="s">
        <v>250</v>
      </c>
      <c r="D728" s="40" t="s">
        <v>251</v>
      </c>
      <c r="E728" s="24">
        <v>22500000</v>
      </c>
      <c r="F728" s="39">
        <v>44215</v>
      </c>
      <c r="G728" s="24">
        <v>18750000</v>
      </c>
      <c r="H728" s="23">
        <v>5.0000000000000001E-3</v>
      </c>
      <c r="I728" s="39">
        <v>44531</v>
      </c>
      <c r="J728" s="39">
        <v>44544</v>
      </c>
      <c r="K728" s="24">
        <v>14</v>
      </c>
      <c r="L728" s="24">
        <v>3596</v>
      </c>
      <c r="M728" s="24">
        <v>18375000</v>
      </c>
      <c r="N728" s="39">
        <v>46040</v>
      </c>
    </row>
    <row r="729" spans="1:14" s="5" customFormat="1" outlineLevel="2">
      <c r="A729" s="39" t="s">
        <v>239</v>
      </c>
      <c r="B729" s="40" t="s">
        <v>42</v>
      </c>
      <c r="C729" s="41" t="s">
        <v>250</v>
      </c>
      <c r="D729" s="40"/>
      <c r="E729" s="24"/>
      <c r="F729" s="39"/>
      <c r="G729" s="24">
        <v>18375000</v>
      </c>
      <c r="H729" s="23">
        <v>5.0000000000000001E-3</v>
      </c>
      <c r="I729" s="39">
        <v>44545</v>
      </c>
      <c r="J729" s="39">
        <v>44561</v>
      </c>
      <c r="K729" s="24">
        <v>17</v>
      </c>
      <c r="L729" s="24">
        <v>4279</v>
      </c>
      <c r="M729" s="24"/>
      <c r="N729" s="39">
        <v>46040</v>
      </c>
    </row>
    <row r="730" spans="1:14" s="5" customFormat="1" outlineLevel="2">
      <c r="A730" s="39" t="s">
        <v>239</v>
      </c>
      <c r="B730" s="40" t="s">
        <v>43</v>
      </c>
      <c r="C730" s="41" t="s">
        <v>250</v>
      </c>
      <c r="D730" s="40" t="s">
        <v>251</v>
      </c>
      <c r="E730" s="24">
        <v>4950000</v>
      </c>
      <c r="F730" s="39">
        <v>44215</v>
      </c>
      <c r="G730" s="24">
        <v>4125000</v>
      </c>
      <c r="H730" s="23">
        <v>5.0000000000000001E-3</v>
      </c>
      <c r="I730" s="39">
        <v>44531</v>
      </c>
      <c r="J730" s="39">
        <v>44544</v>
      </c>
      <c r="K730" s="24">
        <v>14</v>
      </c>
      <c r="L730" s="24">
        <v>791</v>
      </c>
      <c r="M730" s="24">
        <v>4042500</v>
      </c>
      <c r="N730" s="39">
        <v>46040</v>
      </c>
    </row>
    <row r="731" spans="1:14" s="5" customFormat="1" outlineLevel="2">
      <c r="A731" s="39" t="s">
        <v>239</v>
      </c>
      <c r="B731" s="40" t="s">
        <v>43</v>
      </c>
      <c r="C731" s="41" t="s">
        <v>250</v>
      </c>
      <c r="D731" s="40"/>
      <c r="E731" s="24"/>
      <c r="F731" s="39"/>
      <c r="G731" s="24">
        <v>4042500</v>
      </c>
      <c r="H731" s="23">
        <v>5.0000000000000001E-3</v>
      </c>
      <c r="I731" s="39">
        <v>44545</v>
      </c>
      <c r="J731" s="39">
        <v>44561</v>
      </c>
      <c r="K731" s="24">
        <v>17</v>
      </c>
      <c r="L731" s="24">
        <v>941</v>
      </c>
      <c r="M731" s="24"/>
      <c r="N731" s="39">
        <v>46040</v>
      </c>
    </row>
    <row r="732" spans="1:14" s="5" customFormat="1" outlineLevel="2">
      <c r="A732" s="39" t="s">
        <v>239</v>
      </c>
      <c r="B732" s="40" t="s">
        <v>44</v>
      </c>
      <c r="C732" s="41" t="s">
        <v>242</v>
      </c>
      <c r="D732" s="40" t="s">
        <v>243</v>
      </c>
      <c r="E732" s="24">
        <v>10000000</v>
      </c>
      <c r="F732" s="39">
        <v>44244</v>
      </c>
      <c r="G732" s="24">
        <v>10000000</v>
      </c>
      <c r="H732" s="23">
        <v>5.0000000000000001E-3</v>
      </c>
      <c r="I732" s="39">
        <v>44531</v>
      </c>
      <c r="J732" s="39">
        <v>44561</v>
      </c>
      <c r="K732" s="24">
        <v>31</v>
      </c>
      <c r="L732" s="24">
        <v>4247</v>
      </c>
      <c r="M732" s="24">
        <v>10000000</v>
      </c>
      <c r="N732" s="39">
        <v>46069</v>
      </c>
    </row>
    <row r="733" spans="1:14" s="5" customFormat="1" outlineLevel="2">
      <c r="A733" s="39" t="s">
        <v>239</v>
      </c>
      <c r="B733" s="40" t="s">
        <v>47</v>
      </c>
      <c r="C733" s="41" t="s">
        <v>242</v>
      </c>
      <c r="D733" s="40" t="s">
        <v>243</v>
      </c>
      <c r="E733" s="24">
        <v>4000000</v>
      </c>
      <c r="F733" s="39">
        <v>44249</v>
      </c>
      <c r="G733" s="24">
        <v>4000000</v>
      </c>
      <c r="H733" s="23">
        <v>5.0000000000000001E-3</v>
      </c>
      <c r="I733" s="39">
        <v>44531</v>
      </c>
      <c r="J733" s="39">
        <v>44561</v>
      </c>
      <c r="K733" s="24">
        <v>31</v>
      </c>
      <c r="L733" s="24">
        <v>1699</v>
      </c>
      <c r="M733" s="24">
        <v>4000000</v>
      </c>
      <c r="N733" s="39">
        <v>46074</v>
      </c>
    </row>
    <row r="734" spans="1:14" s="5" customFormat="1" outlineLevel="2">
      <c r="A734" s="39" t="s">
        <v>239</v>
      </c>
      <c r="B734" s="40" t="s">
        <v>50</v>
      </c>
      <c r="C734" s="41" t="s">
        <v>306</v>
      </c>
      <c r="D734" s="40" t="s">
        <v>305</v>
      </c>
      <c r="E734" s="24">
        <v>23949000</v>
      </c>
      <c r="F734" s="39">
        <v>44251</v>
      </c>
      <c r="G734" s="24">
        <v>23949000</v>
      </c>
      <c r="H734" s="23">
        <v>5.0000000000000001E-3</v>
      </c>
      <c r="I734" s="39">
        <v>44531</v>
      </c>
      <c r="J734" s="39">
        <v>44561</v>
      </c>
      <c r="K734" s="24">
        <v>31</v>
      </c>
      <c r="L734" s="24">
        <v>10170</v>
      </c>
      <c r="M734" s="24">
        <v>23949000</v>
      </c>
      <c r="N734" s="39">
        <v>46076</v>
      </c>
    </row>
    <row r="735" spans="1:14" s="5" customFormat="1" outlineLevel="2">
      <c r="A735" s="39" t="s">
        <v>239</v>
      </c>
      <c r="B735" s="40" t="s">
        <v>51</v>
      </c>
      <c r="C735" s="41" t="s">
        <v>66</v>
      </c>
      <c r="D735" s="40" t="s">
        <v>67</v>
      </c>
      <c r="E735" s="24">
        <v>40000000</v>
      </c>
      <c r="F735" s="39">
        <v>44235</v>
      </c>
      <c r="G735" s="24">
        <v>40000000</v>
      </c>
      <c r="H735" s="23">
        <v>5.0000000000000001E-3</v>
      </c>
      <c r="I735" s="39">
        <v>44531</v>
      </c>
      <c r="J735" s="39">
        <v>44561</v>
      </c>
      <c r="K735" s="24">
        <v>31</v>
      </c>
      <c r="L735" s="24">
        <v>16986</v>
      </c>
      <c r="M735" s="24">
        <v>40000000</v>
      </c>
      <c r="N735" s="39">
        <v>46060</v>
      </c>
    </row>
    <row r="736" spans="1:14" s="5" customFormat="1" outlineLevel="2">
      <c r="A736" s="39" t="s">
        <v>239</v>
      </c>
      <c r="B736" s="40" t="s">
        <v>52</v>
      </c>
      <c r="C736" s="41" t="s">
        <v>244</v>
      </c>
      <c r="D736" s="40" t="s">
        <v>245</v>
      </c>
      <c r="E736" s="24">
        <v>64000000</v>
      </c>
      <c r="F736" s="39">
        <v>44228</v>
      </c>
      <c r="G736" s="24">
        <v>64000000</v>
      </c>
      <c r="H736" s="23">
        <v>5.0000000000000001E-3</v>
      </c>
      <c r="I736" s="39">
        <v>44531</v>
      </c>
      <c r="J736" s="39">
        <v>44561</v>
      </c>
      <c r="K736" s="24">
        <v>31</v>
      </c>
      <c r="L736" s="24">
        <v>27178</v>
      </c>
      <c r="M736" s="24">
        <v>64000000</v>
      </c>
      <c r="N736" s="39">
        <v>46053</v>
      </c>
    </row>
    <row r="737" spans="1:14" s="5" customFormat="1" outlineLevel="2">
      <c r="A737" s="39" t="s">
        <v>239</v>
      </c>
      <c r="B737" s="40" t="s">
        <v>53</v>
      </c>
      <c r="C737" s="41" t="s">
        <v>246</v>
      </c>
      <c r="D737" s="40" t="s">
        <v>247</v>
      </c>
      <c r="E737" s="24">
        <v>100000000</v>
      </c>
      <c r="F737" s="39">
        <v>44251</v>
      </c>
      <c r="G737" s="24">
        <v>100000000</v>
      </c>
      <c r="H737" s="23">
        <v>5.0000000000000001E-3</v>
      </c>
      <c r="I737" s="39">
        <v>44531</v>
      </c>
      <c r="J737" s="39">
        <v>44561</v>
      </c>
      <c r="K737" s="24">
        <v>31</v>
      </c>
      <c r="L737" s="24">
        <v>42466</v>
      </c>
      <c r="M737" s="24">
        <v>100000000</v>
      </c>
      <c r="N737" s="39">
        <v>46076</v>
      </c>
    </row>
    <row r="738" spans="1:14" s="5" customFormat="1" outlineLevel="2">
      <c r="A738" s="39" t="s">
        <v>239</v>
      </c>
      <c r="B738" s="40" t="s">
        <v>54</v>
      </c>
      <c r="C738" s="41" t="s">
        <v>248</v>
      </c>
      <c r="D738" s="40" t="s">
        <v>249</v>
      </c>
      <c r="E738" s="24">
        <v>47470000</v>
      </c>
      <c r="F738" s="39">
        <v>44013</v>
      </c>
      <c r="G738" s="24">
        <v>47470000</v>
      </c>
      <c r="H738" s="23">
        <v>5.0000000000000001E-3</v>
      </c>
      <c r="I738" s="39">
        <v>44531</v>
      </c>
      <c r="J738" s="39">
        <v>44561</v>
      </c>
      <c r="K738" s="24">
        <v>31</v>
      </c>
      <c r="L738" s="24">
        <v>20158</v>
      </c>
      <c r="M738" s="24">
        <v>47470000</v>
      </c>
      <c r="N738" s="39">
        <v>45838</v>
      </c>
    </row>
    <row r="739" spans="1:14" s="5" customFormat="1" outlineLevel="2">
      <c r="A739" s="39" t="s">
        <v>239</v>
      </c>
      <c r="B739" s="40" t="s">
        <v>57</v>
      </c>
      <c r="C739" s="41" t="s">
        <v>246</v>
      </c>
      <c r="D739" s="40" t="s">
        <v>247</v>
      </c>
      <c r="E739" s="24">
        <v>93000000</v>
      </c>
      <c r="F739" s="39">
        <v>44251</v>
      </c>
      <c r="G739" s="24">
        <v>93000000</v>
      </c>
      <c r="H739" s="23">
        <v>5.0000000000000001E-3</v>
      </c>
      <c r="I739" s="39">
        <v>44531</v>
      </c>
      <c r="J739" s="39">
        <v>44561</v>
      </c>
      <c r="K739" s="24">
        <v>31</v>
      </c>
      <c r="L739" s="24">
        <v>39493</v>
      </c>
      <c r="M739" s="24">
        <v>93000000</v>
      </c>
      <c r="N739" s="39">
        <v>46076</v>
      </c>
    </row>
    <row r="740" spans="1:14" s="5" customFormat="1" outlineLevel="2">
      <c r="A740" s="39" t="s">
        <v>239</v>
      </c>
      <c r="B740" s="40" t="s">
        <v>99</v>
      </c>
      <c r="C740" s="41" t="s">
        <v>95</v>
      </c>
      <c r="D740" s="40" t="s">
        <v>96</v>
      </c>
      <c r="E740" s="24">
        <v>4840000</v>
      </c>
      <c r="F740" s="39">
        <v>44235</v>
      </c>
      <c r="G740" s="24">
        <v>4840000</v>
      </c>
      <c r="H740" s="23">
        <v>5.0000000000000001E-3</v>
      </c>
      <c r="I740" s="39">
        <v>44531</v>
      </c>
      <c r="J740" s="39">
        <v>44561</v>
      </c>
      <c r="K740" s="24">
        <v>31</v>
      </c>
      <c r="L740" s="24">
        <v>2055</v>
      </c>
      <c r="M740" s="24">
        <v>4840000</v>
      </c>
      <c r="N740" s="39">
        <v>46060</v>
      </c>
    </row>
    <row r="741" spans="1:14" s="5" customFormat="1" outlineLevel="2">
      <c r="A741" s="39" t="s">
        <v>239</v>
      </c>
      <c r="B741" s="40" t="s">
        <v>100</v>
      </c>
      <c r="C741" s="41" t="s">
        <v>130</v>
      </c>
      <c r="D741" s="40" t="s">
        <v>131</v>
      </c>
      <c r="E741" s="24">
        <v>10000000</v>
      </c>
      <c r="F741" s="39">
        <v>44284</v>
      </c>
      <c r="G741" s="24">
        <v>5000000</v>
      </c>
      <c r="H741" s="23">
        <v>5.0000000000000001E-3</v>
      </c>
      <c r="I741" s="39">
        <v>44531</v>
      </c>
      <c r="J741" s="39">
        <v>44561</v>
      </c>
      <c r="K741" s="24">
        <v>31</v>
      </c>
      <c r="L741" s="24">
        <v>2123</v>
      </c>
      <c r="M741" s="24">
        <v>5000000</v>
      </c>
      <c r="N741" s="39">
        <v>46109</v>
      </c>
    </row>
    <row r="742" spans="1:14" s="5" customFormat="1" outlineLevel="2">
      <c r="A742" s="39" t="s">
        <v>239</v>
      </c>
      <c r="B742" s="40" t="s">
        <v>101</v>
      </c>
      <c r="C742" s="41" t="s">
        <v>244</v>
      </c>
      <c r="D742" s="40" t="s">
        <v>245</v>
      </c>
      <c r="E742" s="24">
        <v>70000000</v>
      </c>
      <c r="F742" s="39">
        <v>44260</v>
      </c>
      <c r="G742" s="24">
        <v>70000000</v>
      </c>
      <c r="H742" s="23">
        <v>5.0000000000000001E-3</v>
      </c>
      <c r="I742" s="39">
        <v>44531</v>
      </c>
      <c r="J742" s="39">
        <v>44561</v>
      </c>
      <c r="K742" s="24">
        <v>31</v>
      </c>
      <c r="L742" s="24">
        <v>29726</v>
      </c>
      <c r="M742" s="24">
        <v>70000000</v>
      </c>
      <c r="N742" s="39">
        <v>46085</v>
      </c>
    </row>
    <row r="743" spans="1:14" s="5" customFormat="1" outlineLevel="2">
      <c r="A743" s="39" t="s">
        <v>239</v>
      </c>
      <c r="B743" s="40" t="s">
        <v>102</v>
      </c>
      <c r="C743" s="41" t="s">
        <v>125</v>
      </c>
      <c r="D743" s="40" t="s">
        <v>126</v>
      </c>
      <c r="E743" s="24">
        <v>5000000</v>
      </c>
      <c r="F743" s="39">
        <v>44259</v>
      </c>
      <c r="G743" s="24">
        <v>5000000</v>
      </c>
      <c r="H743" s="23">
        <v>5.0000000000000001E-3</v>
      </c>
      <c r="I743" s="39">
        <v>44531</v>
      </c>
      <c r="J743" s="39">
        <v>44561</v>
      </c>
      <c r="K743" s="24">
        <v>31</v>
      </c>
      <c r="L743" s="24">
        <v>2123</v>
      </c>
      <c r="M743" s="24">
        <v>5000000</v>
      </c>
      <c r="N743" s="39">
        <v>46084</v>
      </c>
    </row>
    <row r="744" spans="1:14" s="5" customFormat="1" outlineLevel="2">
      <c r="A744" s="39" t="s">
        <v>239</v>
      </c>
      <c r="B744" s="40" t="s">
        <v>103</v>
      </c>
      <c r="C744" s="41" t="s">
        <v>66</v>
      </c>
      <c r="D744" s="40" t="s">
        <v>67</v>
      </c>
      <c r="E744" s="24">
        <v>49780000</v>
      </c>
      <c r="F744" s="39">
        <v>44306</v>
      </c>
      <c r="G744" s="24">
        <v>49780000</v>
      </c>
      <c r="H744" s="23">
        <v>5.0000000000000001E-3</v>
      </c>
      <c r="I744" s="39">
        <v>44531</v>
      </c>
      <c r="J744" s="39">
        <v>44561</v>
      </c>
      <c r="K744" s="24">
        <v>31</v>
      </c>
      <c r="L744" s="24">
        <v>21139</v>
      </c>
      <c r="M744" s="24">
        <v>49780000</v>
      </c>
      <c r="N744" s="39">
        <v>46131</v>
      </c>
    </row>
    <row r="745" spans="1:14" s="5" customFormat="1" outlineLevel="2">
      <c r="A745" s="39" t="s">
        <v>239</v>
      </c>
      <c r="B745" s="40" t="s">
        <v>104</v>
      </c>
      <c r="C745" s="41" t="s">
        <v>244</v>
      </c>
      <c r="D745" s="40" t="s">
        <v>245</v>
      </c>
      <c r="E745" s="24">
        <v>39000000</v>
      </c>
      <c r="F745" s="39">
        <v>44295</v>
      </c>
      <c r="G745" s="24">
        <v>39000000</v>
      </c>
      <c r="H745" s="23">
        <v>5.0000000000000001E-3</v>
      </c>
      <c r="I745" s="39">
        <v>44531</v>
      </c>
      <c r="J745" s="39">
        <v>44561</v>
      </c>
      <c r="K745" s="24">
        <v>31</v>
      </c>
      <c r="L745" s="24">
        <v>16562</v>
      </c>
      <c r="M745" s="24">
        <v>39000000</v>
      </c>
      <c r="N745" s="39">
        <v>46120</v>
      </c>
    </row>
    <row r="746" spans="1:14" s="5" customFormat="1" outlineLevel="2">
      <c r="A746" s="39" t="s">
        <v>239</v>
      </c>
      <c r="B746" s="40" t="s">
        <v>105</v>
      </c>
      <c r="C746" s="41" t="s">
        <v>95</v>
      </c>
      <c r="D746" s="40" t="s">
        <v>96</v>
      </c>
      <c r="E746" s="24">
        <v>2600000</v>
      </c>
      <c r="F746" s="39">
        <v>44314</v>
      </c>
      <c r="G746" s="24">
        <v>2600000</v>
      </c>
      <c r="H746" s="23">
        <v>5.0000000000000001E-3</v>
      </c>
      <c r="I746" s="39">
        <v>44531</v>
      </c>
      <c r="J746" s="39">
        <v>44561</v>
      </c>
      <c r="K746" s="24">
        <v>31</v>
      </c>
      <c r="L746" s="24">
        <v>1104</v>
      </c>
      <c r="M746" s="24">
        <v>2600000</v>
      </c>
      <c r="N746" s="39">
        <v>46139</v>
      </c>
    </row>
    <row r="747" spans="1:14" s="5" customFormat="1" outlineLevel="2">
      <c r="A747" s="39" t="s">
        <v>239</v>
      </c>
      <c r="B747" s="40" t="s">
        <v>106</v>
      </c>
      <c r="C747" s="41" t="s">
        <v>339</v>
      </c>
      <c r="D747" s="40" t="s">
        <v>338</v>
      </c>
      <c r="E747" s="24">
        <v>1000000</v>
      </c>
      <c r="F747" s="39">
        <v>44292</v>
      </c>
      <c r="G747" s="24">
        <v>1000000</v>
      </c>
      <c r="H747" s="23">
        <v>5.0000000000000001E-3</v>
      </c>
      <c r="I747" s="39">
        <v>44531</v>
      </c>
      <c r="J747" s="39">
        <v>44561</v>
      </c>
      <c r="K747" s="24">
        <v>31</v>
      </c>
      <c r="L747" s="24">
        <v>425</v>
      </c>
      <c r="M747" s="24">
        <v>1000000</v>
      </c>
      <c r="N747" s="39">
        <v>46117</v>
      </c>
    </row>
    <row r="748" spans="1:14" s="5" customFormat="1" outlineLevel="2">
      <c r="A748" s="39" t="s">
        <v>239</v>
      </c>
      <c r="B748" s="40" t="s">
        <v>59</v>
      </c>
      <c r="C748" s="41" t="s">
        <v>240</v>
      </c>
      <c r="D748" s="40" t="s">
        <v>241</v>
      </c>
      <c r="E748" s="24">
        <v>6665394</v>
      </c>
      <c r="F748" s="39">
        <v>44029</v>
      </c>
      <c r="G748" s="24">
        <v>6665394</v>
      </c>
      <c r="H748" s="23">
        <v>5.0000000000000001E-3</v>
      </c>
      <c r="I748" s="39">
        <v>44531</v>
      </c>
      <c r="J748" s="39">
        <v>44561</v>
      </c>
      <c r="K748" s="24">
        <v>31</v>
      </c>
      <c r="L748" s="24">
        <v>2831</v>
      </c>
      <c r="M748" s="24">
        <v>6665394</v>
      </c>
      <c r="N748" s="39">
        <v>45854</v>
      </c>
    </row>
    <row r="749" spans="1:14" s="5" customFormat="1" outlineLevel="2">
      <c r="A749" s="39" t="s">
        <v>239</v>
      </c>
      <c r="B749" s="40" t="s">
        <v>136</v>
      </c>
      <c r="C749" s="41" t="s">
        <v>345</v>
      </c>
      <c r="D749" s="40" t="s">
        <v>344</v>
      </c>
      <c r="E749" s="24">
        <v>10000000</v>
      </c>
      <c r="F749" s="39">
        <v>44315</v>
      </c>
      <c r="G749" s="24">
        <v>10000000</v>
      </c>
      <c r="H749" s="23">
        <v>3.0000000000000001E-3</v>
      </c>
      <c r="I749" s="39">
        <v>44531</v>
      </c>
      <c r="J749" s="39">
        <v>44561</v>
      </c>
      <c r="K749" s="24">
        <v>31</v>
      </c>
      <c r="L749" s="24">
        <v>2548</v>
      </c>
      <c r="M749" s="24">
        <v>10000000</v>
      </c>
      <c r="N749" s="39">
        <v>46140</v>
      </c>
    </row>
    <row r="750" spans="1:14" s="5" customFormat="1" outlineLevel="2">
      <c r="A750" s="39" t="s">
        <v>239</v>
      </c>
      <c r="B750" s="40" t="s">
        <v>137</v>
      </c>
      <c r="C750" s="41" t="s">
        <v>244</v>
      </c>
      <c r="D750" s="40" t="s">
        <v>245</v>
      </c>
      <c r="E750" s="24">
        <v>67000000</v>
      </c>
      <c r="F750" s="39">
        <v>44321</v>
      </c>
      <c r="G750" s="24">
        <v>67000000</v>
      </c>
      <c r="H750" s="23">
        <v>5.0000000000000001E-3</v>
      </c>
      <c r="I750" s="39">
        <v>44531</v>
      </c>
      <c r="J750" s="39">
        <v>44561</v>
      </c>
      <c r="K750" s="24">
        <v>31</v>
      </c>
      <c r="L750" s="24">
        <v>28452</v>
      </c>
      <c r="M750" s="24">
        <v>67000000</v>
      </c>
      <c r="N750" s="39">
        <v>46146</v>
      </c>
    </row>
    <row r="751" spans="1:14" s="5" customFormat="1" outlineLevel="2">
      <c r="A751" s="39" t="s">
        <v>239</v>
      </c>
      <c r="B751" s="40" t="s">
        <v>138</v>
      </c>
      <c r="C751" s="41" t="s">
        <v>232</v>
      </c>
      <c r="D751" s="40" t="s">
        <v>233</v>
      </c>
      <c r="E751" s="24">
        <v>287705120</v>
      </c>
      <c r="F751" s="39">
        <v>44327</v>
      </c>
      <c r="G751" s="24">
        <v>287705120</v>
      </c>
      <c r="H751" s="23">
        <v>5.0000000000000001E-3</v>
      </c>
      <c r="I751" s="39">
        <v>44531</v>
      </c>
      <c r="J751" s="39">
        <v>44561</v>
      </c>
      <c r="K751" s="24">
        <v>31</v>
      </c>
      <c r="L751" s="24">
        <v>122176</v>
      </c>
      <c r="M751" s="24">
        <v>287705120</v>
      </c>
      <c r="N751" s="39">
        <v>46152</v>
      </c>
    </row>
    <row r="752" spans="1:14" s="5" customFormat="1" outlineLevel="2">
      <c r="A752" s="39" t="s">
        <v>239</v>
      </c>
      <c r="B752" s="40" t="s">
        <v>139</v>
      </c>
      <c r="C752" s="41" t="s">
        <v>367</v>
      </c>
      <c r="D752" s="40" t="s">
        <v>366</v>
      </c>
      <c r="E752" s="24">
        <v>14000000</v>
      </c>
      <c r="F752" s="39">
        <v>44336</v>
      </c>
      <c r="G752" s="24">
        <v>14000000</v>
      </c>
      <c r="H752" s="23">
        <v>5.0000000000000001E-3</v>
      </c>
      <c r="I752" s="39">
        <v>44531</v>
      </c>
      <c r="J752" s="39">
        <v>44561</v>
      </c>
      <c r="K752" s="24">
        <v>31</v>
      </c>
      <c r="L752" s="24">
        <v>5945</v>
      </c>
      <c r="M752" s="24">
        <v>14000000</v>
      </c>
      <c r="N752" s="39">
        <v>46161</v>
      </c>
    </row>
    <row r="753" spans="1:14" s="5" customFormat="1" outlineLevel="2">
      <c r="A753" s="39" t="s">
        <v>239</v>
      </c>
      <c r="B753" s="40" t="s">
        <v>140</v>
      </c>
      <c r="C753" s="41" t="s">
        <v>244</v>
      </c>
      <c r="D753" s="40" t="s">
        <v>245</v>
      </c>
      <c r="E753" s="24">
        <v>64000000</v>
      </c>
      <c r="F753" s="39">
        <v>44354</v>
      </c>
      <c r="G753" s="24">
        <v>64000000</v>
      </c>
      <c r="H753" s="23">
        <v>5.0000000000000001E-3</v>
      </c>
      <c r="I753" s="39">
        <v>44531</v>
      </c>
      <c r="J753" s="39">
        <v>44561</v>
      </c>
      <c r="K753" s="24">
        <v>31</v>
      </c>
      <c r="L753" s="24">
        <v>27178</v>
      </c>
      <c r="M753" s="24">
        <v>64000000</v>
      </c>
      <c r="N753" s="39">
        <v>46179</v>
      </c>
    </row>
    <row r="754" spans="1:14" s="5" customFormat="1" outlineLevel="2">
      <c r="A754" s="39" t="s">
        <v>239</v>
      </c>
      <c r="B754" s="40" t="s">
        <v>169</v>
      </c>
      <c r="C754" s="41" t="s">
        <v>250</v>
      </c>
      <c r="D754" s="40" t="s">
        <v>251</v>
      </c>
      <c r="E754" s="24">
        <v>33500000</v>
      </c>
      <c r="F754" s="39">
        <v>44362</v>
      </c>
      <c r="G754" s="24">
        <v>30454545</v>
      </c>
      <c r="H754" s="23">
        <v>5.0000000000000001E-3</v>
      </c>
      <c r="I754" s="39">
        <v>44531</v>
      </c>
      <c r="J754" s="39">
        <v>44544</v>
      </c>
      <c r="K754" s="24">
        <v>14</v>
      </c>
      <c r="L754" s="24">
        <v>5841</v>
      </c>
      <c r="M754" s="24">
        <v>29845454</v>
      </c>
      <c r="N754" s="39">
        <v>46187</v>
      </c>
    </row>
    <row r="755" spans="1:14" s="5" customFormat="1" outlineLevel="2">
      <c r="A755" s="39" t="s">
        <v>239</v>
      </c>
      <c r="B755" s="40" t="s">
        <v>169</v>
      </c>
      <c r="C755" s="41" t="s">
        <v>250</v>
      </c>
      <c r="D755" s="40"/>
      <c r="E755" s="24"/>
      <c r="F755" s="39"/>
      <c r="G755" s="24">
        <v>29845454</v>
      </c>
      <c r="H755" s="23">
        <v>5.0000000000000001E-3</v>
      </c>
      <c r="I755" s="39">
        <v>44545</v>
      </c>
      <c r="J755" s="39">
        <v>44561</v>
      </c>
      <c r="K755" s="24">
        <v>17</v>
      </c>
      <c r="L755" s="24">
        <v>6950</v>
      </c>
      <c r="M755" s="24"/>
      <c r="N755" s="39">
        <v>46187</v>
      </c>
    </row>
    <row r="756" spans="1:14" s="5" customFormat="1" outlineLevel="2">
      <c r="A756" s="39" t="s">
        <v>239</v>
      </c>
      <c r="B756" s="40" t="s">
        <v>170</v>
      </c>
      <c r="C756" s="41" t="s">
        <v>250</v>
      </c>
      <c r="D756" s="40" t="s">
        <v>251</v>
      </c>
      <c r="E756" s="24">
        <v>7400000</v>
      </c>
      <c r="F756" s="39">
        <v>44362</v>
      </c>
      <c r="G756" s="24">
        <v>6727270</v>
      </c>
      <c r="H756" s="23">
        <v>5.0000000000000001E-3</v>
      </c>
      <c r="I756" s="39">
        <v>44531</v>
      </c>
      <c r="J756" s="39">
        <v>44544</v>
      </c>
      <c r="K756" s="24">
        <v>14</v>
      </c>
      <c r="L756" s="24">
        <v>1290</v>
      </c>
      <c r="M756" s="24">
        <v>6592724</v>
      </c>
      <c r="N756" s="39">
        <v>46187</v>
      </c>
    </row>
    <row r="757" spans="1:14" s="5" customFormat="1" outlineLevel="2">
      <c r="A757" s="39" t="s">
        <v>239</v>
      </c>
      <c r="B757" s="40" t="s">
        <v>170</v>
      </c>
      <c r="C757" s="41" t="s">
        <v>250</v>
      </c>
      <c r="D757" s="40"/>
      <c r="E757" s="24"/>
      <c r="F757" s="39"/>
      <c r="G757" s="24">
        <v>6592724</v>
      </c>
      <c r="H757" s="23">
        <v>5.0000000000000001E-3</v>
      </c>
      <c r="I757" s="39">
        <v>44545</v>
      </c>
      <c r="J757" s="39">
        <v>44561</v>
      </c>
      <c r="K757" s="24">
        <v>17</v>
      </c>
      <c r="L757" s="24">
        <v>1535</v>
      </c>
      <c r="M757" s="24"/>
      <c r="N757" s="39">
        <v>46187</v>
      </c>
    </row>
    <row r="758" spans="1:14" s="5" customFormat="1" outlineLevel="2">
      <c r="A758" s="39" t="s">
        <v>239</v>
      </c>
      <c r="B758" s="40" t="s">
        <v>171</v>
      </c>
      <c r="C758" s="41" t="s">
        <v>66</v>
      </c>
      <c r="D758" s="40" t="s">
        <v>67</v>
      </c>
      <c r="E758" s="24">
        <v>35910000</v>
      </c>
      <c r="F758" s="39">
        <v>44400</v>
      </c>
      <c r="G758" s="24">
        <v>35910000</v>
      </c>
      <c r="H758" s="23">
        <v>5.0000000000000001E-3</v>
      </c>
      <c r="I758" s="39">
        <v>44531</v>
      </c>
      <c r="J758" s="39">
        <v>44561</v>
      </c>
      <c r="K758" s="24">
        <v>31</v>
      </c>
      <c r="L758" s="24">
        <v>15249</v>
      </c>
      <c r="M758" s="24">
        <v>35910000</v>
      </c>
      <c r="N758" s="39">
        <v>46225</v>
      </c>
    </row>
    <row r="759" spans="1:14" s="5" customFormat="1" outlineLevel="2">
      <c r="A759" s="39" t="s">
        <v>239</v>
      </c>
      <c r="B759" s="40" t="s">
        <v>172</v>
      </c>
      <c r="C759" s="41" t="s">
        <v>367</v>
      </c>
      <c r="D759" s="40" t="s">
        <v>366</v>
      </c>
      <c r="E759" s="24">
        <v>6552000</v>
      </c>
      <c r="F759" s="39">
        <v>44386</v>
      </c>
      <c r="G759" s="24">
        <v>6552000</v>
      </c>
      <c r="H759" s="23">
        <v>5.0000000000000001E-3</v>
      </c>
      <c r="I759" s="39">
        <v>44531</v>
      </c>
      <c r="J759" s="39">
        <v>44561</v>
      </c>
      <c r="K759" s="24">
        <v>31</v>
      </c>
      <c r="L759" s="24">
        <v>2782</v>
      </c>
      <c r="M759" s="24">
        <v>6552000</v>
      </c>
      <c r="N759" s="39">
        <v>46211</v>
      </c>
    </row>
    <row r="760" spans="1:14" s="5" customFormat="1" outlineLevel="2">
      <c r="A760" s="39" t="s">
        <v>239</v>
      </c>
      <c r="B760" s="40" t="s">
        <v>173</v>
      </c>
      <c r="C760" s="41" t="s">
        <v>367</v>
      </c>
      <c r="D760" s="40" t="s">
        <v>366</v>
      </c>
      <c r="E760" s="24">
        <v>7062000</v>
      </c>
      <c r="F760" s="39">
        <v>44405</v>
      </c>
      <c r="G760" s="24">
        <v>7062000</v>
      </c>
      <c r="H760" s="23">
        <v>5.0000000000000001E-3</v>
      </c>
      <c r="I760" s="39">
        <v>44531</v>
      </c>
      <c r="J760" s="39">
        <v>44561</v>
      </c>
      <c r="K760" s="24">
        <v>31</v>
      </c>
      <c r="L760" s="24">
        <v>2999</v>
      </c>
      <c r="M760" s="24">
        <v>7062000</v>
      </c>
      <c r="N760" s="39">
        <v>46230</v>
      </c>
    </row>
    <row r="761" spans="1:14" s="5" customFormat="1" outlineLevel="2">
      <c r="A761" s="39" t="s">
        <v>239</v>
      </c>
      <c r="B761" s="40" t="s">
        <v>62</v>
      </c>
      <c r="C761" s="41" t="s">
        <v>240</v>
      </c>
      <c r="D761" s="40" t="s">
        <v>241</v>
      </c>
      <c r="E761" s="24">
        <v>12334606</v>
      </c>
      <c r="F761" s="39">
        <v>44029</v>
      </c>
      <c r="G761" s="24">
        <v>12334606</v>
      </c>
      <c r="H761" s="23">
        <v>5.0000000000000001E-3</v>
      </c>
      <c r="I761" s="39">
        <v>44531</v>
      </c>
      <c r="J761" s="39">
        <v>44561</v>
      </c>
      <c r="K761" s="24">
        <v>31</v>
      </c>
      <c r="L761" s="24">
        <v>5238</v>
      </c>
      <c r="M761" s="24">
        <v>12334606</v>
      </c>
      <c r="N761" s="39">
        <v>45854</v>
      </c>
    </row>
    <row r="762" spans="1:14" s="5" customFormat="1" outlineLevel="2">
      <c r="A762" s="39" t="s">
        <v>239</v>
      </c>
      <c r="B762" s="40" t="s">
        <v>174</v>
      </c>
      <c r="C762" s="41" t="s">
        <v>367</v>
      </c>
      <c r="D762" s="40" t="s">
        <v>366</v>
      </c>
      <c r="E762" s="24">
        <v>8000000</v>
      </c>
      <c r="F762" s="39">
        <v>44428</v>
      </c>
      <c r="G762" s="24">
        <v>8000000</v>
      </c>
      <c r="H762" s="23">
        <v>5.0000000000000001E-3</v>
      </c>
      <c r="I762" s="39">
        <v>44531</v>
      </c>
      <c r="J762" s="39">
        <v>44561</v>
      </c>
      <c r="K762" s="24">
        <v>31</v>
      </c>
      <c r="L762" s="24">
        <v>3397</v>
      </c>
      <c r="M762" s="24">
        <v>8000000</v>
      </c>
      <c r="N762" s="39">
        <v>46253</v>
      </c>
    </row>
    <row r="763" spans="1:14" s="5" customFormat="1" outlineLevel="2">
      <c r="A763" s="39" t="s">
        <v>239</v>
      </c>
      <c r="B763" s="40" t="s">
        <v>175</v>
      </c>
      <c r="C763" s="41" t="s">
        <v>244</v>
      </c>
      <c r="D763" s="40" t="s">
        <v>245</v>
      </c>
      <c r="E763" s="24">
        <v>100000000</v>
      </c>
      <c r="F763" s="39">
        <v>44468</v>
      </c>
      <c r="G763" s="24">
        <v>100000000</v>
      </c>
      <c r="H763" s="23">
        <v>5.0000000000000001E-3</v>
      </c>
      <c r="I763" s="39">
        <v>44531</v>
      </c>
      <c r="J763" s="39">
        <v>44561</v>
      </c>
      <c r="K763" s="24">
        <v>31</v>
      </c>
      <c r="L763" s="24">
        <v>42466</v>
      </c>
      <c r="M763" s="24">
        <v>100000000</v>
      </c>
      <c r="N763" s="39">
        <v>46293</v>
      </c>
    </row>
    <row r="764" spans="1:14" s="5" customFormat="1" outlineLevel="2">
      <c r="A764" s="39" t="s">
        <v>239</v>
      </c>
      <c r="B764" s="40" t="s">
        <v>176</v>
      </c>
      <c r="C764" s="41" t="s">
        <v>339</v>
      </c>
      <c r="D764" s="40" t="s">
        <v>338</v>
      </c>
      <c r="E764" s="24">
        <v>50000000</v>
      </c>
      <c r="F764" s="39">
        <v>44469</v>
      </c>
      <c r="G764" s="24">
        <v>50000000</v>
      </c>
      <c r="H764" s="23">
        <v>5.0000000000000001E-3</v>
      </c>
      <c r="I764" s="39">
        <v>44531</v>
      </c>
      <c r="J764" s="39">
        <v>44561</v>
      </c>
      <c r="K764" s="24">
        <v>31</v>
      </c>
      <c r="L764" s="24">
        <v>21233</v>
      </c>
      <c r="M764" s="24">
        <v>50000000</v>
      </c>
      <c r="N764" s="39">
        <v>46294</v>
      </c>
    </row>
    <row r="765" spans="1:14" s="5" customFormat="1" outlineLevel="2">
      <c r="A765" s="39" t="s">
        <v>239</v>
      </c>
      <c r="B765" s="40" t="s">
        <v>177</v>
      </c>
      <c r="C765" s="41" t="s">
        <v>412</v>
      </c>
      <c r="D765" s="40" t="s">
        <v>411</v>
      </c>
      <c r="E765" s="24">
        <v>7700000</v>
      </c>
      <c r="F765" s="39">
        <v>44453</v>
      </c>
      <c r="G765" s="24">
        <v>7700000</v>
      </c>
      <c r="H765" s="23">
        <v>5.0000000000000001E-3</v>
      </c>
      <c r="I765" s="39">
        <v>44531</v>
      </c>
      <c r="J765" s="39">
        <v>44561</v>
      </c>
      <c r="K765" s="24">
        <v>31</v>
      </c>
      <c r="L765" s="24">
        <v>3270</v>
      </c>
      <c r="M765" s="24">
        <v>7700000</v>
      </c>
      <c r="N765" s="39">
        <v>45548</v>
      </c>
    </row>
    <row r="766" spans="1:14" s="5" customFormat="1" outlineLevel="2">
      <c r="A766" s="39" t="s">
        <v>239</v>
      </c>
      <c r="B766" s="40" t="s">
        <v>178</v>
      </c>
      <c r="C766" s="41" t="s">
        <v>412</v>
      </c>
      <c r="D766" s="40" t="s">
        <v>411</v>
      </c>
      <c r="E766" s="24">
        <v>2800000</v>
      </c>
      <c r="F766" s="39">
        <v>44454</v>
      </c>
      <c r="G766" s="24">
        <v>2800000</v>
      </c>
      <c r="H766" s="23">
        <v>5.0000000000000001E-3</v>
      </c>
      <c r="I766" s="39">
        <v>44531</v>
      </c>
      <c r="J766" s="39">
        <v>44561</v>
      </c>
      <c r="K766" s="24">
        <v>31</v>
      </c>
      <c r="L766" s="24">
        <v>1189</v>
      </c>
      <c r="M766" s="24">
        <v>2800000</v>
      </c>
      <c r="N766" s="39">
        <v>45549</v>
      </c>
    </row>
    <row r="767" spans="1:14" s="5" customFormat="1" outlineLevel="2">
      <c r="A767" s="39" t="s">
        <v>239</v>
      </c>
      <c r="B767" s="40" t="s">
        <v>179</v>
      </c>
      <c r="C767" s="41" t="s">
        <v>412</v>
      </c>
      <c r="D767" s="40" t="s">
        <v>411</v>
      </c>
      <c r="E767" s="24">
        <v>1700000</v>
      </c>
      <c r="F767" s="39">
        <v>44453</v>
      </c>
      <c r="G767" s="24">
        <v>1700000</v>
      </c>
      <c r="H767" s="23">
        <v>5.0000000000000001E-3</v>
      </c>
      <c r="I767" s="39">
        <v>44531</v>
      </c>
      <c r="J767" s="39">
        <v>44561</v>
      </c>
      <c r="K767" s="24">
        <v>31</v>
      </c>
      <c r="L767" s="24">
        <v>722</v>
      </c>
      <c r="M767" s="24">
        <v>1700000</v>
      </c>
      <c r="N767" s="39">
        <v>45548</v>
      </c>
    </row>
    <row r="768" spans="1:14" s="5" customFormat="1" outlineLevel="2">
      <c r="A768" s="39" t="s">
        <v>239</v>
      </c>
      <c r="B768" s="40" t="s">
        <v>180</v>
      </c>
      <c r="C768" s="41" t="s">
        <v>412</v>
      </c>
      <c r="D768" s="40" t="s">
        <v>411</v>
      </c>
      <c r="E768" s="24">
        <v>400000</v>
      </c>
      <c r="F768" s="39">
        <v>44453</v>
      </c>
      <c r="G768" s="24">
        <v>400000</v>
      </c>
      <c r="H768" s="23">
        <v>5.0000000000000001E-3</v>
      </c>
      <c r="I768" s="39">
        <v>44531</v>
      </c>
      <c r="J768" s="39">
        <v>44561</v>
      </c>
      <c r="K768" s="24">
        <v>31</v>
      </c>
      <c r="L768" s="24">
        <v>170</v>
      </c>
      <c r="M768" s="24">
        <v>400000</v>
      </c>
      <c r="N768" s="39">
        <v>45548</v>
      </c>
    </row>
    <row r="769" spans="1:14" s="5" customFormat="1" outlineLevel="2">
      <c r="A769" s="39" t="s">
        <v>239</v>
      </c>
      <c r="B769" s="40" t="s">
        <v>181</v>
      </c>
      <c r="C769" s="41" t="s">
        <v>280</v>
      </c>
      <c r="D769" s="40" t="s">
        <v>281</v>
      </c>
      <c r="E769" s="24">
        <v>300000000</v>
      </c>
      <c r="F769" s="39">
        <v>44468</v>
      </c>
      <c r="G769" s="24">
        <v>300000000</v>
      </c>
      <c r="H769" s="23">
        <v>3.0000000000000001E-3</v>
      </c>
      <c r="I769" s="39">
        <v>44531</v>
      </c>
      <c r="J769" s="39">
        <v>44561</v>
      </c>
      <c r="K769" s="24">
        <v>31</v>
      </c>
      <c r="L769" s="24">
        <v>76438</v>
      </c>
      <c r="M769" s="24">
        <v>300000000</v>
      </c>
      <c r="N769" s="39">
        <v>45563</v>
      </c>
    </row>
    <row r="770" spans="1:14" s="5" customFormat="1" outlineLevel="2">
      <c r="A770" s="39" t="s">
        <v>239</v>
      </c>
      <c r="B770" s="40" t="s">
        <v>182</v>
      </c>
      <c r="C770" s="41" t="s">
        <v>240</v>
      </c>
      <c r="D770" s="40" t="s">
        <v>241</v>
      </c>
      <c r="E770" s="24">
        <v>57441016</v>
      </c>
      <c r="F770" s="39">
        <v>44489</v>
      </c>
      <c r="G770" s="24">
        <v>57441016</v>
      </c>
      <c r="H770" s="23">
        <v>5.0000000000000001E-3</v>
      </c>
      <c r="I770" s="39">
        <v>44531</v>
      </c>
      <c r="J770" s="39">
        <v>44561</v>
      </c>
      <c r="K770" s="24">
        <v>31</v>
      </c>
      <c r="L770" s="24">
        <v>24393</v>
      </c>
      <c r="M770" s="24">
        <v>57441016</v>
      </c>
      <c r="N770" s="39">
        <v>46314</v>
      </c>
    </row>
    <row r="771" spans="1:14" s="5" customFormat="1" outlineLevel="2">
      <c r="A771" s="39" t="s">
        <v>239</v>
      </c>
      <c r="B771" s="40" t="s">
        <v>183</v>
      </c>
      <c r="C771" s="41" t="s">
        <v>240</v>
      </c>
      <c r="D771" s="40" t="s">
        <v>241</v>
      </c>
      <c r="E771" s="24">
        <v>48558984</v>
      </c>
      <c r="F771" s="39">
        <v>44489</v>
      </c>
      <c r="G771" s="24">
        <v>48558984</v>
      </c>
      <c r="H771" s="23">
        <v>5.0000000000000001E-3</v>
      </c>
      <c r="I771" s="39">
        <v>44531</v>
      </c>
      <c r="J771" s="39">
        <v>44561</v>
      </c>
      <c r="K771" s="24">
        <v>31</v>
      </c>
      <c r="L771" s="24">
        <v>20621</v>
      </c>
      <c r="M771" s="24">
        <v>48558984</v>
      </c>
      <c r="N771" s="39">
        <v>46314</v>
      </c>
    </row>
    <row r="772" spans="1:14" s="5" customFormat="1" outlineLevel="2">
      <c r="A772" s="39" t="s">
        <v>239</v>
      </c>
      <c r="B772" s="40" t="s">
        <v>63</v>
      </c>
      <c r="C772" s="41" t="s">
        <v>252</v>
      </c>
      <c r="D772" s="40" t="s">
        <v>253</v>
      </c>
      <c r="E772" s="24">
        <v>131500000</v>
      </c>
      <c r="F772" s="39">
        <v>44089</v>
      </c>
      <c r="G772" s="24">
        <v>131500000</v>
      </c>
      <c r="H772" s="23">
        <v>5.0000000000000001E-3</v>
      </c>
      <c r="I772" s="39">
        <v>44531</v>
      </c>
      <c r="J772" s="39">
        <v>44561</v>
      </c>
      <c r="K772" s="24">
        <v>31</v>
      </c>
      <c r="L772" s="24">
        <v>55842</v>
      </c>
      <c r="M772" s="24">
        <v>131500000</v>
      </c>
      <c r="N772" s="39">
        <v>45914</v>
      </c>
    </row>
    <row r="773" spans="1:14" s="5" customFormat="1" outlineLevel="2">
      <c r="A773" s="39" t="s">
        <v>239</v>
      </c>
      <c r="B773" s="40" t="s">
        <v>184</v>
      </c>
      <c r="C773" s="41" t="s">
        <v>306</v>
      </c>
      <c r="D773" s="40" t="s">
        <v>305</v>
      </c>
      <c r="E773" s="24">
        <v>69161000</v>
      </c>
      <c r="F773" s="39">
        <v>44487</v>
      </c>
      <c r="G773" s="24">
        <v>69161000</v>
      </c>
      <c r="H773" s="23">
        <v>5.0000000000000001E-3</v>
      </c>
      <c r="I773" s="39">
        <v>44531</v>
      </c>
      <c r="J773" s="39">
        <v>44561</v>
      </c>
      <c r="K773" s="24">
        <v>31</v>
      </c>
      <c r="L773" s="24">
        <v>29370</v>
      </c>
      <c r="M773" s="24">
        <v>69161000</v>
      </c>
      <c r="N773" s="39">
        <v>46312</v>
      </c>
    </row>
    <row r="774" spans="1:14" s="5" customFormat="1" outlineLevel="2">
      <c r="A774" s="39" t="s">
        <v>239</v>
      </c>
      <c r="B774" s="40" t="s">
        <v>185</v>
      </c>
      <c r="C774" s="41" t="s">
        <v>367</v>
      </c>
      <c r="D774" s="40" t="s">
        <v>366</v>
      </c>
      <c r="E774" s="24">
        <v>12392000</v>
      </c>
      <c r="F774" s="39">
        <v>44477</v>
      </c>
      <c r="G774" s="24">
        <v>12392000</v>
      </c>
      <c r="H774" s="23">
        <v>5.0000000000000001E-3</v>
      </c>
      <c r="I774" s="39">
        <v>44531</v>
      </c>
      <c r="J774" s="39">
        <v>44561</v>
      </c>
      <c r="K774" s="24">
        <v>31</v>
      </c>
      <c r="L774" s="24">
        <v>5262</v>
      </c>
      <c r="M774" s="24">
        <v>12392000</v>
      </c>
      <c r="N774" s="39">
        <v>46302</v>
      </c>
    </row>
    <row r="775" spans="1:14" s="5" customFormat="1" outlineLevel="2">
      <c r="A775" s="39" t="s">
        <v>239</v>
      </c>
      <c r="B775" s="40" t="s">
        <v>186</v>
      </c>
      <c r="C775" s="41" t="s">
        <v>294</v>
      </c>
      <c r="D775" s="40" t="s">
        <v>295</v>
      </c>
      <c r="E775" s="24">
        <v>450000000</v>
      </c>
      <c r="F775" s="39">
        <v>44473</v>
      </c>
      <c r="G775" s="24">
        <v>450000000</v>
      </c>
      <c r="H775" s="23">
        <v>5.0000000000000001E-3</v>
      </c>
      <c r="I775" s="39">
        <v>44531</v>
      </c>
      <c r="J775" s="39">
        <v>44561</v>
      </c>
      <c r="K775" s="24">
        <v>31</v>
      </c>
      <c r="L775" s="24">
        <v>191096</v>
      </c>
      <c r="M775" s="24">
        <v>450000000</v>
      </c>
      <c r="N775" s="39">
        <v>45568</v>
      </c>
    </row>
    <row r="776" spans="1:14" s="5" customFormat="1" outlineLevel="2">
      <c r="A776" s="39" t="s">
        <v>239</v>
      </c>
      <c r="B776" s="40" t="s">
        <v>189</v>
      </c>
      <c r="C776" s="41" t="s">
        <v>412</v>
      </c>
      <c r="D776" s="40" t="s">
        <v>411</v>
      </c>
      <c r="E776" s="24">
        <v>25000000</v>
      </c>
      <c r="F776" s="39">
        <v>44484</v>
      </c>
      <c r="G776" s="24">
        <v>25000000</v>
      </c>
      <c r="H776" s="23">
        <v>5.0000000000000001E-3</v>
      </c>
      <c r="I776" s="39">
        <v>44531</v>
      </c>
      <c r="J776" s="39">
        <v>44561</v>
      </c>
      <c r="K776" s="24">
        <v>31</v>
      </c>
      <c r="L776" s="24">
        <v>10616</v>
      </c>
      <c r="M776" s="24">
        <v>25000000</v>
      </c>
      <c r="N776" s="39">
        <v>45579</v>
      </c>
    </row>
    <row r="777" spans="1:14" s="5" customFormat="1" outlineLevel="2">
      <c r="A777" s="39" t="s">
        <v>239</v>
      </c>
      <c r="B777" s="40" t="s">
        <v>190</v>
      </c>
      <c r="C777" s="41" t="s">
        <v>294</v>
      </c>
      <c r="D777" s="40" t="s">
        <v>295</v>
      </c>
      <c r="E777" s="24">
        <v>750000000</v>
      </c>
      <c r="F777" s="39">
        <v>44473</v>
      </c>
      <c r="G777" s="24">
        <v>750000000</v>
      </c>
      <c r="H777" s="23">
        <v>3.0000000000000001E-3</v>
      </c>
      <c r="I777" s="39">
        <v>44531</v>
      </c>
      <c r="J777" s="39">
        <v>44561</v>
      </c>
      <c r="K777" s="24">
        <v>31</v>
      </c>
      <c r="L777" s="24">
        <v>191096</v>
      </c>
      <c r="M777" s="24">
        <v>750000000</v>
      </c>
      <c r="N777" s="39">
        <v>45568</v>
      </c>
    </row>
    <row r="778" spans="1:14" s="5" customFormat="1" outlineLevel="2">
      <c r="A778" s="39" t="s">
        <v>239</v>
      </c>
      <c r="B778" s="40" t="s">
        <v>191</v>
      </c>
      <c r="C778" s="41" t="s">
        <v>244</v>
      </c>
      <c r="D778" s="40" t="s">
        <v>245</v>
      </c>
      <c r="E778" s="24">
        <v>100000000</v>
      </c>
      <c r="F778" s="39">
        <v>44504</v>
      </c>
      <c r="G778" s="24">
        <v>100000000</v>
      </c>
      <c r="H778" s="23">
        <v>5.0000000000000001E-3</v>
      </c>
      <c r="I778" s="39">
        <v>44531</v>
      </c>
      <c r="J778" s="39">
        <v>44561</v>
      </c>
      <c r="K778" s="24">
        <v>31</v>
      </c>
      <c r="L778" s="24">
        <v>42466</v>
      </c>
      <c r="M778" s="24">
        <v>100000000</v>
      </c>
      <c r="N778" s="39">
        <v>46329</v>
      </c>
    </row>
    <row r="779" spans="1:14" s="5" customFormat="1" outlineLevel="2">
      <c r="A779" s="39" t="s">
        <v>239</v>
      </c>
      <c r="B779" s="40" t="s">
        <v>192</v>
      </c>
      <c r="C779" s="41" t="s">
        <v>450</v>
      </c>
      <c r="D779" s="40" t="s">
        <v>449</v>
      </c>
      <c r="E779" s="24">
        <v>490980</v>
      </c>
      <c r="F779" s="39">
        <v>44519</v>
      </c>
      <c r="G779" s="24">
        <v>490980</v>
      </c>
      <c r="H779" s="23">
        <v>5.0000000000000001E-3</v>
      </c>
      <c r="I779" s="39">
        <v>44531</v>
      </c>
      <c r="J779" s="39">
        <v>44561</v>
      </c>
      <c r="K779" s="24">
        <v>31</v>
      </c>
      <c r="L779" s="24">
        <v>208</v>
      </c>
      <c r="M779" s="24">
        <v>490980</v>
      </c>
      <c r="N779" s="39">
        <v>45614</v>
      </c>
    </row>
    <row r="780" spans="1:14" s="5" customFormat="1" outlineLevel="2">
      <c r="A780" s="39" t="s">
        <v>239</v>
      </c>
      <c r="B780" s="40" t="s">
        <v>193</v>
      </c>
      <c r="C780" s="41" t="s">
        <v>244</v>
      </c>
      <c r="D780" s="40" t="s">
        <v>245</v>
      </c>
      <c r="E780" s="24">
        <v>70000000</v>
      </c>
      <c r="F780" s="39">
        <v>44559</v>
      </c>
      <c r="G780" s="24">
        <v>70000000</v>
      </c>
      <c r="H780" s="23">
        <v>5.0000000000000001E-3</v>
      </c>
      <c r="I780" s="39">
        <v>44559</v>
      </c>
      <c r="J780" s="39">
        <v>44561</v>
      </c>
      <c r="K780" s="24">
        <v>3</v>
      </c>
      <c r="L780" s="24">
        <v>2877</v>
      </c>
      <c r="M780" s="24">
        <v>70000000</v>
      </c>
      <c r="N780" s="39">
        <v>46384</v>
      </c>
    </row>
    <row r="781" spans="1:14" s="5" customFormat="1" outlineLevel="2">
      <c r="A781" s="39" t="s">
        <v>239</v>
      </c>
      <c r="B781" s="40" t="s">
        <v>194</v>
      </c>
      <c r="C781" s="41" t="s">
        <v>244</v>
      </c>
      <c r="D781" s="40" t="s">
        <v>245</v>
      </c>
      <c r="E781" s="24">
        <v>56000000</v>
      </c>
      <c r="F781" s="39">
        <v>44559</v>
      </c>
      <c r="G781" s="24">
        <v>56000000</v>
      </c>
      <c r="H781" s="23">
        <v>5.0000000000000001E-3</v>
      </c>
      <c r="I781" s="39">
        <v>44559</v>
      </c>
      <c r="J781" s="39">
        <v>44561</v>
      </c>
      <c r="K781" s="24">
        <v>3</v>
      </c>
      <c r="L781" s="24">
        <v>2301</v>
      </c>
      <c r="M781" s="24">
        <v>56000000</v>
      </c>
      <c r="N781" s="39">
        <v>46384</v>
      </c>
    </row>
    <row r="782" spans="1:14" s="5" customFormat="1" outlineLevel="2">
      <c r="A782" s="39" t="s">
        <v>239</v>
      </c>
      <c r="B782" s="40" t="s">
        <v>195</v>
      </c>
      <c r="C782" s="41" t="s">
        <v>367</v>
      </c>
      <c r="D782" s="40" t="s">
        <v>366</v>
      </c>
      <c r="E782" s="24">
        <v>24548000</v>
      </c>
      <c r="F782" s="39">
        <v>44540</v>
      </c>
      <c r="G782" s="24">
        <v>24548000</v>
      </c>
      <c r="H782" s="23">
        <v>5.0000000000000001E-3</v>
      </c>
      <c r="I782" s="39">
        <v>44540</v>
      </c>
      <c r="J782" s="39">
        <v>44561</v>
      </c>
      <c r="K782" s="24">
        <v>22</v>
      </c>
      <c r="L782" s="24">
        <v>7398</v>
      </c>
      <c r="M782" s="24">
        <v>24548000</v>
      </c>
      <c r="N782" s="39">
        <v>46365</v>
      </c>
    </row>
    <row r="783" spans="1:14" s="5" customFormat="1" outlineLevel="2">
      <c r="A783" s="39" t="s">
        <v>239</v>
      </c>
      <c r="B783" s="40" t="s">
        <v>64</v>
      </c>
      <c r="C783" s="41" t="s">
        <v>109</v>
      </c>
      <c r="D783" s="40" t="s">
        <v>110</v>
      </c>
      <c r="E783" s="24">
        <v>10400000</v>
      </c>
      <c r="F783" s="39">
        <v>44096</v>
      </c>
      <c r="G783" s="24">
        <v>10400000</v>
      </c>
      <c r="H783" s="23">
        <v>5.0000000000000001E-3</v>
      </c>
      <c r="I783" s="39">
        <v>44531</v>
      </c>
      <c r="J783" s="39">
        <v>44561</v>
      </c>
      <c r="K783" s="24">
        <v>31</v>
      </c>
      <c r="L783" s="24">
        <v>4416</v>
      </c>
      <c r="M783" s="24">
        <v>10400000</v>
      </c>
      <c r="N783" s="39">
        <v>45921</v>
      </c>
    </row>
    <row r="784" spans="1:14" s="5" customFormat="1" outlineLevel="2">
      <c r="A784" s="39" t="s">
        <v>239</v>
      </c>
      <c r="B784" s="40" t="s">
        <v>196</v>
      </c>
      <c r="C784" s="41" t="s">
        <v>109</v>
      </c>
      <c r="D784" s="40" t="s">
        <v>110</v>
      </c>
      <c r="E784" s="24">
        <v>45000000</v>
      </c>
      <c r="F784" s="39">
        <v>44550</v>
      </c>
      <c r="G784" s="24">
        <v>45000000</v>
      </c>
      <c r="H784" s="23">
        <v>5.0000000000000001E-3</v>
      </c>
      <c r="I784" s="39">
        <v>44550</v>
      </c>
      <c r="J784" s="39">
        <v>44561</v>
      </c>
      <c r="K784" s="24">
        <v>12</v>
      </c>
      <c r="L784" s="24">
        <v>7397</v>
      </c>
      <c r="M784" s="24">
        <v>45000000</v>
      </c>
      <c r="N784" s="39">
        <v>46375</v>
      </c>
    </row>
    <row r="785" spans="1:14" s="5" customFormat="1" outlineLevel="2">
      <c r="A785" s="39" t="s">
        <v>239</v>
      </c>
      <c r="B785" s="40" t="s">
        <v>65</v>
      </c>
      <c r="C785" s="41" t="s">
        <v>242</v>
      </c>
      <c r="D785" s="40" t="s">
        <v>243</v>
      </c>
      <c r="E785" s="24">
        <v>10000000</v>
      </c>
      <c r="F785" s="39">
        <v>44139</v>
      </c>
      <c r="G785" s="24">
        <v>10000000</v>
      </c>
      <c r="H785" s="23">
        <v>5.0000000000000001E-3</v>
      </c>
      <c r="I785" s="39">
        <v>44531</v>
      </c>
      <c r="J785" s="39">
        <v>44561</v>
      </c>
      <c r="K785" s="24">
        <v>31</v>
      </c>
      <c r="L785" s="24">
        <v>4247</v>
      </c>
      <c r="M785" s="24">
        <v>10000000</v>
      </c>
      <c r="N785" s="39">
        <v>45964</v>
      </c>
    </row>
    <row r="786" spans="1:14" s="5" customFormat="1" outlineLevel="2">
      <c r="A786" s="39" t="s">
        <v>239</v>
      </c>
      <c r="B786" s="40" t="s">
        <v>68</v>
      </c>
      <c r="C786" s="41" t="s">
        <v>242</v>
      </c>
      <c r="D786" s="40" t="s">
        <v>243</v>
      </c>
      <c r="E786" s="24">
        <v>10000000</v>
      </c>
      <c r="F786" s="39">
        <v>44152</v>
      </c>
      <c r="G786" s="24">
        <v>10000000</v>
      </c>
      <c r="H786" s="23">
        <v>5.0000000000000001E-3</v>
      </c>
      <c r="I786" s="39">
        <v>44531</v>
      </c>
      <c r="J786" s="39">
        <v>44561</v>
      </c>
      <c r="K786" s="24">
        <v>31</v>
      </c>
      <c r="L786" s="24">
        <v>4247</v>
      </c>
      <c r="M786" s="24">
        <v>10000000</v>
      </c>
      <c r="N786" s="39">
        <v>45977</v>
      </c>
    </row>
    <row r="787" spans="1:14" s="5" customFormat="1" outlineLevel="1">
      <c r="A787" s="42" t="s">
        <v>254</v>
      </c>
      <c r="B787" s="43"/>
      <c r="C787" s="44"/>
      <c r="D787" s="43"/>
      <c r="E787" s="45">
        <v>3901550100</v>
      </c>
      <c r="F787" s="46"/>
      <c r="G787" s="45"/>
      <c r="H787" s="47"/>
      <c r="I787" s="46"/>
      <c r="J787" s="46"/>
      <c r="K787" s="45"/>
      <c r="L787" s="45">
        <v>1407774</v>
      </c>
      <c r="M787" s="45">
        <v>3887055778</v>
      </c>
      <c r="N787" s="46"/>
    </row>
    <row r="788" spans="1:14" s="5" customFormat="1" outlineLevel="2">
      <c r="A788" s="39" t="s">
        <v>255</v>
      </c>
      <c r="B788" s="40" t="s">
        <v>16</v>
      </c>
      <c r="C788" s="41" t="s">
        <v>20</v>
      </c>
      <c r="D788" s="40" t="s">
        <v>21</v>
      </c>
      <c r="E788" s="24">
        <v>330000000</v>
      </c>
      <c r="F788" s="39">
        <v>43915</v>
      </c>
      <c r="G788" s="24">
        <v>330000000</v>
      </c>
      <c r="H788" s="23">
        <v>5.0000000000000001E-3</v>
      </c>
      <c r="I788" s="39">
        <v>44531</v>
      </c>
      <c r="J788" s="39">
        <v>44561</v>
      </c>
      <c r="K788" s="24">
        <v>31</v>
      </c>
      <c r="L788" s="24">
        <v>140137</v>
      </c>
      <c r="M788" s="24">
        <v>330000000</v>
      </c>
      <c r="N788" s="39">
        <v>45740</v>
      </c>
    </row>
    <row r="789" spans="1:14" s="5" customFormat="1" outlineLevel="2">
      <c r="A789" s="39" t="s">
        <v>255</v>
      </c>
      <c r="B789" s="40" t="s">
        <v>39</v>
      </c>
      <c r="C789" s="41" t="s">
        <v>20</v>
      </c>
      <c r="D789" s="40" t="s">
        <v>21</v>
      </c>
      <c r="E789" s="24">
        <v>93600000</v>
      </c>
      <c r="F789" s="39">
        <v>43955</v>
      </c>
      <c r="G789" s="24">
        <v>93600000</v>
      </c>
      <c r="H789" s="23">
        <v>5.0000000000000001E-3</v>
      </c>
      <c r="I789" s="39">
        <v>44531</v>
      </c>
      <c r="J789" s="39">
        <v>44561</v>
      </c>
      <c r="K789" s="24">
        <v>31</v>
      </c>
      <c r="L789" s="24">
        <v>39748</v>
      </c>
      <c r="M789" s="24">
        <v>93600000</v>
      </c>
      <c r="N789" s="39">
        <v>45780</v>
      </c>
    </row>
    <row r="790" spans="1:14" s="5" customFormat="1" outlineLevel="2">
      <c r="A790" s="39" t="s">
        <v>255</v>
      </c>
      <c r="B790" s="40" t="s">
        <v>54</v>
      </c>
      <c r="C790" s="41" t="s">
        <v>20</v>
      </c>
      <c r="D790" s="40" t="s">
        <v>21</v>
      </c>
      <c r="E790" s="24">
        <v>576400000</v>
      </c>
      <c r="F790" s="39">
        <v>44013</v>
      </c>
      <c r="G790" s="24">
        <v>576400000</v>
      </c>
      <c r="H790" s="23">
        <v>5.0000000000000001E-3</v>
      </c>
      <c r="I790" s="39">
        <v>44531</v>
      </c>
      <c r="J790" s="39">
        <v>44561</v>
      </c>
      <c r="K790" s="24">
        <v>31</v>
      </c>
      <c r="L790" s="24">
        <v>244773</v>
      </c>
      <c r="M790" s="24">
        <v>576400000</v>
      </c>
      <c r="N790" s="39">
        <v>45838</v>
      </c>
    </row>
    <row r="791" spans="1:14" s="5" customFormat="1" outlineLevel="1">
      <c r="A791" s="42" t="s">
        <v>256</v>
      </c>
      <c r="B791" s="43"/>
      <c r="C791" s="44"/>
      <c r="D791" s="43"/>
      <c r="E791" s="45">
        <v>1000000000</v>
      </c>
      <c r="F791" s="46"/>
      <c r="G791" s="45"/>
      <c r="H791" s="47"/>
      <c r="I791" s="46"/>
      <c r="J791" s="46"/>
      <c r="K791" s="45"/>
      <c r="L791" s="45">
        <v>424658</v>
      </c>
      <c r="M791" s="45">
        <v>1000000000</v>
      </c>
      <c r="N791" s="46"/>
    </row>
    <row r="792" spans="1:14" s="5" customFormat="1" outlineLevel="2">
      <c r="A792" s="39" t="s">
        <v>257</v>
      </c>
      <c r="B792" s="40" t="s">
        <v>16</v>
      </c>
      <c r="C792" s="41" t="s">
        <v>262</v>
      </c>
      <c r="D792" s="40" t="s">
        <v>259</v>
      </c>
      <c r="E792" s="24">
        <v>3400000</v>
      </c>
      <c r="F792" s="39">
        <v>43927</v>
      </c>
      <c r="G792" s="24">
        <v>3400000</v>
      </c>
      <c r="H792" s="23">
        <v>5.0000000000000001E-3</v>
      </c>
      <c r="I792" s="39">
        <v>44531</v>
      </c>
      <c r="J792" s="39">
        <v>44561</v>
      </c>
      <c r="K792" s="24">
        <v>31</v>
      </c>
      <c r="L792" s="24">
        <v>1444</v>
      </c>
      <c r="M792" s="24">
        <v>3400000</v>
      </c>
      <c r="N792" s="39">
        <v>45752</v>
      </c>
    </row>
    <row r="793" spans="1:14" s="5" customFormat="1" outlineLevel="2">
      <c r="A793" s="39" t="s">
        <v>257</v>
      </c>
      <c r="B793" s="40" t="s">
        <v>19</v>
      </c>
      <c r="C793" s="41" t="s">
        <v>260</v>
      </c>
      <c r="D793" s="40" t="s">
        <v>261</v>
      </c>
      <c r="E793" s="24">
        <v>620000</v>
      </c>
      <c r="F793" s="39">
        <v>44148</v>
      </c>
      <c r="G793" s="24">
        <v>450000</v>
      </c>
      <c r="H793" s="23">
        <v>5.0000000000000001E-3</v>
      </c>
      <c r="I793" s="39">
        <v>44531</v>
      </c>
      <c r="J793" s="39">
        <v>44544</v>
      </c>
      <c r="K793" s="24">
        <v>14</v>
      </c>
      <c r="L793" s="24">
        <v>86</v>
      </c>
      <c r="M793" s="24">
        <v>440000</v>
      </c>
      <c r="N793" s="39">
        <v>45973</v>
      </c>
    </row>
    <row r="794" spans="1:14" s="5" customFormat="1" outlineLevel="2">
      <c r="A794" s="39" t="s">
        <v>257</v>
      </c>
      <c r="B794" s="40" t="s">
        <v>19</v>
      </c>
      <c r="C794" s="41" t="s">
        <v>260</v>
      </c>
      <c r="D794" s="40"/>
      <c r="E794" s="24"/>
      <c r="F794" s="39"/>
      <c r="G794" s="24">
        <v>440000</v>
      </c>
      <c r="H794" s="23">
        <v>5.0000000000000001E-3</v>
      </c>
      <c r="I794" s="39">
        <v>44545</v>
      </c>
      <c r="J794" s="39">
        <v>44561</v>
      </c>
      <c r="K794" s="24">
        <v>17</v>
      </c>
      <c r="L794" s="24">
        <v>102</v>
      </c>
      <c r="M794" s="24"/>
      <c r="N794" s="39">
        <v>45973</v>
      </c>
    </row>
    <row r="795" spans="1:14" s="5" customFormat="1" outlineLevel="2">
      <c r="A795" s="39" t="s">
        <v>257</v>
      </c>
      <c r="B795" s="40" t="s">
        <v>22</v>
      </c>
      <c r="C795" s="41" t="s">
        <v>260</v>
      </c>
      <c r="D795" s="40" t="s">
        <v>261</v>
      </c>
      <c r="E795" s="24">
        <v>3910000</v>
      </c>
      <c r="F795" s="39">
        <v>44165</v>
      </c>
      <c r="G795" s="24">
        <v>3060000</v>
      </c>
      <c r="H795" s="23">
        <v>5.0000000000000001E-3</v>
      </c>
      <c r="I795" s="39">
        <v>44531</v>
      </c>
      <c r="J795" s="39">
        <v>44544</v>
      </c>
      <c r="K795" s="24">
        <v>14</v>
      </c>
      <c r="L795" s="24">
        <v>587</v>
      </c>
      <c r="M795" s="24">
        <v>2992000</v>
      </c>
      <c r="N795" s="39">
        <v>45990</v>
      </c>
    </row>
    <row r="796" spans="1:14" s="5" customFormat="1" outlineLevel="2">
      <c r="A796" s="39" t="s">
        <v>257</v>
      </c>
      <c r="B796" s="40" t="s">
        <v>22</v>
      </c>
      <c r="C796" s="41" t="s">
        <v>260</v>
      </c>
      <c r="D796" s="40"/>
      <c r="E796" s="24"/>
      <c r="F796" s="39"/>
      <c r="G796" s="24">
        <v>2992000</v>
      </c>
      <c r="H796" s="23">
        <v>5.0000000000000001E-3</v>
      </c>
      <c r="I796" s="39">
        <v>44545</v>
      </c>
      <c r="J796" s="39">
        <v>44561</v>
      </c>
      <c r="K796" s="24">
        <v>17</v>
      </c>
      <c r="L796" s="24">
        <v>697</v>
      </c>
      <c r="M796" s="24"/>
      <c r="N796" s="39">
        <v>45990</v>
      </c>
    </row>
    <row r="797" spans="1:14" s="5" customFormat="1" outlineLevel="2">
      <c r="A797" s="39" t="s">
        <v>257</v>
      </c>
      <c r="B797" s="40" t="s">
        <v>25</v>
      </c>
      <c r="C797" s="41" t="s">
        <v>260</v>
      </c>
      <c r="D797" s="40" t="s">
        <v>261</v>
      </c>
      <c r="E797" s="24">
        <v>4030000</v>
      </c>
      <c r="F797" s="39">
        <v>44165</v>
      </c>
      <c r="G797" s="24">
        <v>3150000</v>
      </c>
      <c r="H797" s="23">
        <v>5.0000000000000001E-3</v>
      </c>
      <c r="I797" s="39">
        <v>44531</v>
      </c>
      <c r="J797" s="39">
        <v>44544</v>
      </c>
      <c r="K797" s="24">
        <v>14</v>
      </c>
      <c r="L797" s="24">
        <v>604</v>
      </c>
      <c r="M797" s="24">
        <v>3080000</v>
      </c>
      <c r="N797" s="39">
        <v>45990</v>
      </c>
    </row>
    <row r="798" spans="1:14" s="5" customFormat="1" outlineLevel="2">
      <c r="A798" s="39" t="s">
        <v>257</v>
      </c>
      <c r="B798" s="40" t="s">
        <v>25</v>
      </c>
      <c r="C798" s="41" t="s">
        <v>260</v>
      </c>
      <c r="D798" s="40"/>
      <c r="E798" s="24"/>
      <c r="F798" s="39"/>
      <c r="G798" s="24">
        <v>3080000</v>
      </c>
      <c r="H798" s="23">
        <v>5.0000000000000001E-3</v>
      </c>
      <c r="I798" s="39">
        <v>44545</v>
      </c>
      <c r="J798" s="39">
        <v>44561</v>
      </c>
      <c r="K798" s="24">
        <v>17</v>
      </c>
      <c r="L798" s="24">
        <v>717</v>
      </c>
      <c r="M798" s="24"/>
      <c r="N798" s="39">
        <v>45990</v>
      </c>
    </row>
    <row r="799" spans="1:14" s="5" customFormat="1" outlineLevel="2">
      <c r="A799" s="39" t="s">
        <v>257</v>
      </c>
      <c r="B799" s="40" t="s">
        <v>26</v>
      </c>
      <c r="C799" s="41" t="s">
        <v>260</v>
      </c>
      <c r="D799" s="40" t="s">
        <v>261</v>
      </c>
      <c r="E799" s="24">
        <v>570000</v>
      </c>
      <c r="F799" s="39">
        <v>44155</v>
      </c>
      <c r="G799" s="24">
        <v>570000</v>
      </c>
      <c r="H799" s="23">
        <v>5.0000000000000001E-3</v>
      </c>
      <c r="I799" s="39">
        <v>44531</v>
      </c>
      <c r="J799" s="39">
        <v>44544</v>
      </c>
      <c r="K799" s="24">
        <v>14</v>
      </c>
      <c r="L799" s="24">
        <v>109</v>
      </c>
      <c r="M799" s="24">
        <v>560900</v>
      </c>
      <c r="N799" s="39">
        <v>45980</v>
      </c>
    </row>
    <row r="800" spans="1:14" s="5" customFormat="1" outlineLevel="2">
      <c r="A800" s="39" t="s">
        <v>257</v>
      </c>
      <c r="B800" s="40" t="s">
        <v>26</v>
      </c>
      <c r="C800" s="41" t="s">
        <v>260</v>
      </c>
      <c r="D800" s="40"/>
      <c r="E800" s="24"/>
      <c r="F800" s="39"/>
      <c r="G800" s="24">
        <v>560900</v>
      </c>
      <c r="H800" s="23">
        <v>5.0000000000000001E-3</v>
      </c>
      <c r="I800" s="39">
        <v>44545</v>
      </c>
      <c r="J800" s="39">
        <v>44561</v>
      </c>
      <c r="K800" s="24">
        <v>17</v>
      </c>
      <c r="L800" s="24">
        <v>131</v>
      </c>
      <c r="M800" s="24"/>
      <c r="N800" s="39">
        <v>45980</v>
      </c>
    </row>
    <row r="801" spans="1:14" s="5" customFormat="1" outlineLevel="2">
      <c r="A801" s="39" t="s">
        <v>257</v>
      </c>
      <c r="B801" s="40" t="s">
        <v>29</v>
      </c>
      <c r="C801" s="41" t="s">
        <v>260</v>
      </c>
      <c r="D801" s="40" t="s">
        <v>261</v>
      </c>
      <c r="E801" s="24">
        <v>6000000</v>
      </c>
      <c r="F801" s="39">
        <v>44155</v>
      </c>
      <c r="G801" s="24">
        <v>6000000</v>
      </c>
      <c r="H801" s="23">
        <v>5.0000000000000001E-3</v>
      </c>
      <c r="I801" s="39">
        <v>44531</v>
      </c>
      <c r="J801" s="39">
        <v>44544</v>
      </c>
      <c r="K801" s="24">
        <v>14</v>
      </c>
      <c r="L801" s="24">
        <v>1151</v>
      </c>
      <c r="M801" s="24">
        <v>5893000</v>
      </c>
      <c r="N801" s="39">
        <v>45980</v>
      </c>
    </row>
    <row r="802" spans="1:14" s="5" customFormat="1" outlineLevel="2">
      <c r="A802" s="39" t="s">
        <v>257</v>
      </c>
      <c r="B802" s="40" t="s">
        <v>29</v>
      </c>
      <c r="C802" s="41" t="s">
        <v>260</v>
      </c>
      <c r="D802" s="40"/>
      <c r="E802" s="24"/>
      <c r="F802" s="39"/>
      <c r="G802" s="24">
        <v>5893000</v>
      </c>
      <c r="H802" s="23">
        <v>5.0000000000000001E-3</v>
      </c>
      <c r="I802" s="39">
        <v>44545</v>
      </c>
      <c r="J802" s="39">
        <v>44561</v>
      </c>
      <c r="K802" s="24">
        <v>17</v>
      </c>
      <c r="L802" s="24">
        <v>1372</v>
      </c>
      <c r="M802" s="24"/>
      <c r="N802" s="39">
        <v>45980</v>
      </c>
    </row>
    <row r="803" spans="1:14" s="5" customFormat="1" outlineLevel="2">
      <c r="A803" s="39" t="s">
        <v>257</v>
      </c>
      <c r="B803" s="40" t="s">
        <v>32</v>
      </c>
      <c r="C803" s="41" t="s">
        <v>260</v>
      </c>
      <c r="D803" s="40" t="s">
        <v>261</v>
      </c>
      <c r="E803" s="24">
        <v>270000</v>
      </c>
      <c r="F803" s="39">
        <v>44181</v>
      </c>
      <c r="G803" s="24">
        <v>180000</v>
      </c>
      <c r="H803" s="23">
        <v>5.0000000000000001E-3</v>
      </c>
      <c r="I803" s="39">
        <v>44531</v>
      </c>
      <c r="J803" s="39">
        <v>44544</v>
      </c>
      <c r="K803" s="24">
        <v>14</v>
      </c>
      <c r="L803" s="24">
        <v>35</v>
      </c>
      <c r="M803" s="24">
        <v>176000</v>
      </c>
      <c r="N803" s="39">
        <v>46006</v>
      </c>
    </row>
    <row r="804" spans="1:14" s="5" customFormat="1" outlineLevel="2">
      <c r="A804" s="39" t="s">
        <v>257</v>
      </c>
      <c r="B804" s="40" t="s">
        <v>32</v>
      </c>
      <c r="C804" s="41" t="s">
        <v>260</v>
      </c>
      <c r="D804" s="40"/>
      <c r="E804" s="24"/>
      <c r="F804" s="39"/>
      <c r="G804" s="24">
        <v>176000</v>
      </c>
      <c r="H804" s="23">
        <v>5.0000000000000001E-3</v>
      </c>
      <c r="I804" s="39">
        <v>44545</v>
      </c>
      <c r="J804" s="39">
        <v>44561</v>
      </c>
      <c r="K804" s="24">
        <v>17</v>
      </c>
      <c r="L804" s="24">
        <v>41</v>
      </c>
      <c r="M804" s="24"/>
      <c r="N804" s="39">
        <v>46006</v>
      </c>
    </row>
    <row r="805" spans="1:14" s="5" customFormat="1" outlineLevel="2">
      <c r="A805" s="39" t="s">
        <v>257</v>
      </c>
      <c r="B805" s="40" t="s">
        <v>33</v>
      </c>
      <c r="C805" s="41" t="s">
        <v>260</v>
      </c>
      <c r="D805" s="40" t="s">
        <v>261</v>
      </c>
      <c r="E805" s="24">
        <v>2400000</v>
      </c>
      <c r="F805" s="39">
        <v>44181</v>
      </c>
      <c r="G805" s="24">
        <v>2400000</v>
      </c>
      <c r="H805" s="23">
        <v>5.0000000000000001E-3</v>
      </c>
      <c r="I805" s="39">
        <v>44531</v>
      </c>
      <c r="J805" s="39">
        <v>44544</v>
      </c>
      <c r="K805" s="24">
        <v>14</v>
      </c>
      <c r="L805" s="24">
        <v>460</v>
      </c>
      <c r="M805" s="24">
        <v>2343000</v>
      </c>
      <c r="N805" s="39">
        <v>46006</v>
      </c>
    </row>
    <row r="806" spans="1:14" s="5" customFormat="1" outlineLevel="2">
      <c r="A806" s="39" t="s">
        <v>257</v>
      </c>
      <c r="B806" s="40" t="s">
        <v>33</v>
      </c>
      <c r="C806" s="41" t="s">
        <v>260</v>
      </c>
      <c r="D806" s="40"/>
      <c r="E806" s="24"/>
      <c r="F806" s="39"/>
      <c r="G806" s="24">
        <v>2343000</v>
      </c>
      <c r="H806" s="23">
        <v>5.0000000000000001E-3</v>
      </c>
      <c r="I806" s="39">
        <v>44545</v>
      </c>
      <c r="J806" s="39">
        <v>44561</v>
      </c>
      <c r="K806" s="24">
        <v>17</v>
      </c>
      <c r="L806" s="24">
        <v>546</v>
      </c>
      <c r="M806" s="24"/>
      <c r="N806" s="39">
        <v>46006</v>
      </c>
    </row>
    <row r="807" spans="1:14" s="5" customFormat="1" outlineLevel="2">
      <c r="A807" s="39" t="s">
        <v>257</v>
      </c>
      <c r="B807" s="40" t="s">
        <v>34</v>
      </c>
      <c r="C807" s="41" t="s">
        <v>260</v>
      </c>
      <c r="D807" s="40" t="s">
        <v>261</v>
      </c>
      <c r="E807" s="24">
        <v>11000000</v>
      </c>
      <c r="F807" s="39">
        <v>44181</v>
      </c>
      <c r="G807" s="24">
        <v>11000000</v>
      </c>
      <c r="H807" s="23">
        <v>5.0000000000000001E-3</v>
      </c>
      <c r="I807" s="39">
        <v>44531</v>
      </c>
      <c r="J807" s="39">
        <v>44544</v>
      </c>
      <c r="K807" s="24">
        <v>14</v>
      </c>
      <c r="L807" s="24">
        <v>2110</v>
      </c>
      <c r="M807" s="24">
        <v>10792000</v>
      </c>
      <c r="N807" s="39">
        <v>46006</v>
      </c>
    </row>
    <row r="808" spans="1:14" s="5" customFormat="1" outlineLevel="2">
      <c r="A808" s="39" t="s">
        <v>257</v>
      </c>
      <c r="B808" s="40" t="s">
        <v>34</v>
      </c>
      <c r="C808" s="41" t="s">
        <v>260</v>
      </c>
      <c r="D808" s="40"/>
      <c r="E808" s="24"/>
      <c r="F808" s="39"/>
      <c r="G808" s="24">
        <v>10792000</v>
      </c>
      <c r="H808" s="23">
        <v>5.0000000000000001E-3</v>
      </c>
      <c r="I808" s="39">
        <v>44545</v>
      </c>
      <c r="J808" s="39">
        <v>44561</v>
      </c>
      <c r="K808" s="24">
        <v>17</v>
      </c>
      <c r="L808" s="24">
        <v>2513</v>
      </c>
      <c r="M808" s="24"/>
      <c r="N808" s="39">
        <v>46006</v>
      </c>
    </row>
    <row r="809" spans="1:14" s="5" customFormat="1" outlineLevel="2">
      <c r="A809" s="39" t="s">
        <v>257</v>
      </c>
      <c r="B809" s="40" t="s">
        <v>35</v>
      </c>
      <c r="C809" s="41" t="s">
        <v>260</v>
      </c>
      <c r="D809" s="40" t="s">
        <v>261</v>
      </c>
      <c r="E809" s="24">
        <v>220000</v>
      </c>
      <c r="F809" s="39">
        <v>44215</v>
      </c>
      <c r="G809" s="24">
        <v>180000</v>
      </c>
      <c r="H809" s="23">
        <v>5.0000000000000001E-3</v>
      </c>
      <c r="I809" s="39">
        <v>44531</v>
      </c>
      <c r="J809" s="39">
        <v>44544</v>
      </c>
      <c r="K809" s="24">
        <v>14</v>
      </c>
      <c r="L809" s="24">
        <v>35</v>
      </c>
      <c r="M809" s="24">
        <v>176000</v>
      </c>
      <c r="N809" s="39">
        <v>46040</v>
      </c>
    </row>
    <row r="810" spans="1:14" s="5" customFormat="1" outlineLevel="2">
      <c r="A810" s="39" t="s">
        <v>257</v>
      </c>
      <c r="B810" s="40" t="s">
        <v>35</v>
      </c>
      <c r="C810" s="41" t="s">
        <v>260</v>
      </c>
      <c r="D810" s="40"/>
      <c r="E810" s="24"/>
      <c r="F810" s="39"/>
      <c r="G810" s="24">
        <v>176000</v>
      </c>
      <c r="H810" s="23">
        <v>5.0000000000000001E-3</v>
      </c>
      <c r="I810" s="39">
        <v>44545</v>
      </c>
      <c r="J810" s="39">
        <v>44561</v>
      </c>
      <c r="K810" s="24">
        <v>17</v>
      </c>
      <c r="L810" s="24">
        <v>41</v>
      </c>
      <c r="M810" s="24"/>
      <c r="N810" s="39">
        <v>46040</v>
      </c>
    </row>
    <row r="811" spans="1:14" s="5" customFormat="1" outlineLevel="2">
      <c r="A811" s="39" t="s">
        <v>257</v>
      </c>
      <c r="B811" s="40" t="s">
        <v>36</v>
      </c>
      <c r="C811" s="41" t="s">
        <v>260</v>
      </c>
      <c r="D811" s="40" t="s">
        <v>261</v>
      </c>
      <c r="E811" s="24">
        <v>1000000</v>
      </c>
      <c r="F811" s="39">
        <v>44215</v>
      </c>
      <c r="G811" s="24">
        <v>810000</v>
      </c>
      <c r="H811" s="23">
        <v>5.0000000000000001E-3</v>
      </c>
      <c r="I811" s="39">
        <v>44531</v>
      </c>
      <c r="J811" s="39">
        <v>44544</v>
      </c>
      <c r="K811" s="24">
        <v>14</v>
      </c>
      <c r="L811" s="24">
        <v>155</v>
      </c>
      <c r="M811" s="24">
        <v>792000</v>
      </c>
      <c r="N811" s="39">
        <v>46040</v>
      </c>
    </row>
    <row r="812" spans="1:14" s="5" customFormat="1" outlineLevel="2">
      <c r="A812" s="39" t="s">
        <v>257</v>
      </c>
      <c r="B812" s="40" t="s">
        <v>36</v>
      </c>
      <c r="C812" s="41" t="s">
        <v>260</v>
      </c>
      <c r="D812" s="40"/>
      <c r="E812" s="24"/>
      <c r="F812" s="39"/>
      <c r="G812" s="24">
        <v>792000</v>
      </c>
      <c r="H812" s="23">
        <v>5.0000000000000001E-3</v>
      </c>
      <c r="I812" s="39">
        <v>44545</v>
      </c>
      <c r="J812" s="39">
        <v>44561</v>
      </c>
      <c r="K812" s="24">
        <v>17</v>
      </c>
      <c r="L812" s="24">
        <v>184</v>
      </c>
      <c r="M812" s="24"/>
      <c r="N812" s="39">
        <v>46040</v>
      </c>
    </row>
    <row r="813" spans="1:14" s="5" customFormat="1" outlineLevel="2">
      <c r="A813" s="39" t="s">
        <v>257</v>
      </c>
      <c r="B813" s="40" t="s">
        <v>39</v>
      </c>
      <c r="C813" s="41" t="s">
        <v>262</v>
      </c>
      <c r="D813" s="40" t="s">
        <v>259</v>
      </c>
      <c r="E813" s="24">
        <v>70440000</v>
      </c>
      <c r="F813" s="39">
        <v>43951</v>
      </c>
      <c r="G813" s="24">
        <v>70440000</v>
      </c>
      <c r="H813" s="23">
        <v>5.0000000000000001E-3</v>
      </c>
      <c r="I813" s="39">
        <v>44531</v>
      </c>
      <c r="J813" s="39">
        <v>44561</v>
      </c>
      <c r="K813" s="24">
        <v>31</v>
      </c>
      <c r="L813" s="24">
        <v>29913</v>
      </c>
      <c r="M813" s="24">
        <v>70440000</v>
      </c>
      <c r="N813" s="39">
        <v>45776</v>
      </c>
    </row>
    <row r="814" spans="1:14" s="5" customFormat="1" outlineLevel="2">
      <c r="A814" s="39" t="s">
        <v>257</v>
      </c>
      <c r="B814" s="40" t="s">
        <v>40</v>
      </c>
      <c r="C814" s="41" t="s">
        <v>262</v>
      </c>
      <c r="D814" s="40" t="s">
        <v>259</v>
      </c>
      <c r="E814" s="24">
        <v>54250000</v>
      </c>
      <c r="F814" s="39">
        <v>44228</v>
      </c>
      <c r="G814" s="24">
        <v>54250000</v>
      </c>
      <c r="H814" s="23">
        <v>5.0000000000000001E-3</v>
      </c>
      <c r="I814" s="39">
        <v>44531</v>
      </c>
      <c r="J814" s="39">
        <v>44561</v>
      </c>
      <c r="K814" s="24">
        <v>31</v>
      </c>
      <c r="L814" s="24">
        <v>23038</v>
      </c>
      <c r="M814" s="24">
        <v>54250000</v>
      </c>
      <c r="N814" s="39">
        <v>46053</v>
      </c>
    </row>
    <row r="815" spans="1:14" s="5" customFormat="1" outlineLevel="2">
      <c r="A815" s="39" t="s">
        <v>257</v>
      </c>
      <c r="B815" s="40" t="s">
        <v>41</v>
      </c>
      <c r="C815" s="41" t="s">
        <v>304</v>
      </c>
      <c r="D815" s="40" t="s">
        <v>303</v>
      </c>
      <c r="E815" s="24">
        <v>40000000</v>
      </c>
      <c r="F815" s="39">
        <v>44229</v>
      </c>
      <c r="G815" s="24">
        <v>40000000</v>
      </c>
      <c r="H815" s="23">
        <v>5.0000000000000001E-3</v>
      </c>
      <c r="I815" s="39">
        <v>44531</v>
      </c>
      <c r="J815" s="39">
        <v>44561</v>
      </c>
      <c r="K815" s="24">
        <v>31</v>
      </c>
      <c r="L815" s="24">
        <v>16986</v>
      </c>
      <c r="M815" s="24">
        <v>40000000</v>
      </c>
      <c r="N815" s="39">
        <v>46054</v>
      </c>
    </row>
    <row r="816" spans="1:14" s="5" customFormat="1" outlineLevel="2">
      <c r="A816" s="39" t="s">
        <v>257</v>
      </c>
      <c r="B816" s="40" t="s">
        <v>42</v>
      </c>
      <c r="C816" s="41" t="s">
        <v>304</v>
      </c>
      <c r="D816" s="40" t="s">
        <v>303</v>
      </c>
      <c r="E816" s="24">
        <v>38000000</v>
      </c>
      <c r="F816" s="39">
        <v>44245</v>
      </c>
      <c r="G816" s="24">
        <v>38000000</v>
      </c>
      <c r="H816" s="23">
        <v>5.0000000000000001E-3</v>
      </c>
      <c r="I816" s="39">
        <v>44531</v>
      </c>
      <c r="J816" s="39">
        <v>44561</v>
      </c>
      <c r="K816" s="24">
        <v>31</v>
      </c>
      <c r="L816" s="24">
        <v>16137</v>
      </c>
      <c r="M816" s="24">
        <v>38000000</v>
      </c>
      <c r="N816" s="39">
        <v>46070</v>
      </c>
    </row>
    <row r="817" spans="1:14" s="5" customFormat="1" outlineLevel="2">
      <c r="A817" s="39" t="s">
        <v>257</v>
      </c>
      <c r="B817" s="40" t="s">
        <v>43</v>
      </c>
      <c r="C817" s="41" t="s">
        <v>89</v>
      </c>
      <c r="D817" s="40" t="s">
        <v>90</v>
      </c>
      <c r="E817" s="24">
        <v>66000000</v>
      </c>
      <c r="F817" s="39">
        <v>44270</v>
      </c>
      <c r="G817" s="24">
        <v>66000000</v>
      </c>
      <c r="H817" s="23">
        <v>5.0000000000000001E-3</v>
      </c>
      <c r="I817" s="39">
        <v>44531</v>
      </c>
      <c r="J817" s="39">
        <v>44561</v>
      </c>
      <c r="K817" s="24">
        <v>31</v>
      </c>
      <c r="L817" s="24">
        <v>28027</v>
      </c>
      <c r="M817" s="24">
        <v>66000000</v>
      </c>
      <c r="N817" s="39">
        <v>46095</v>
      </c>
    </row>
    <row r="818" spans="1:14" s="5" customFormat="1" outlineLevel="2">
      <c r="A818" s="39" t="s">
        <v>257</v>
      </c>
      <c r="B818" s="40" t="s">
        <v>44</v>
      </c>
      <c r="C818" s="41" t="s">
        <v>260</v>
      </c>
      <c r="D818" s="40" t="s">
        <v>261</v>
      </c>
      <c r="E818" s="24">
        <v>10800000</v>
      </c>
      <c r="F818" s="39">
        <v>44273</v>
      </c>
      <c r="G818" s="24">
        <v>10800000</v>
      </c>
      <c r="H818" s="23">
        <v>5.0000000000000001E-3</v>
      </c>
      <c r="I818" s="39">
        <v>44531</v>
      </c>
      <c r="J818" s="39">
        <v>44544</v>
      </c>
      <c r="K818" s="24">
        <v>14</v>
      </c>
      <c r="L818" s="24">
        <v>2071</v>
      </c>
      <c r="M818" s="24">
        <v>10650000</v>
      </c>
      <c r="N818" s="39">
        <v>46098</v>
      </c>
    </row>
    <row r="819" spans="1:14" s="5" customFormat="1" outlineLevel="2">
      <c r="A819" s="39" t="s">
        <v>257</v>
      </c>
      <c r="B819" s="40" t="s">
        <v>44</v>
      </c>
      <c r="C819" s="41" t="s">
        <v>260</v>
      </c>
      <c r="D819" s="40"/>
      <c r="E819" s="24"/>
      <c r="F819" s="39"/>
      <c r="G819" s="24">
        <v>10650000</v>
      </c>
      <c r="H819" s="23">
        <v>5.0000000000000001E-3</v>
      </c>
      <c r="I819" s="39">
        <v>44545</v>
      </c>
      <c r="J819" s="39">
        <v>44561</v>
      </c>
      <c r="K819" s="24">
        <v>17</v>
      </c>
      <c r="L819" s="24">
        <v>2480</v>
      </c>
      <c r="M819" s="24"/>
      <c r="N819" s="39">
        <v>46098</v>
      </c>
    </row>
    <row r="820" spans="1:14" s="5" customFormat="1" outlineLevel="2">
      <c r="A820" s="39" t="s">
        <v>257</v>
      </c>
      <c r="B820" s="40" t="s">
        <v>47</v>
      </c>
      <c r="C820" s="41" t="s">
        <v>260</v>
      </c>
      <c r="D820" s="40" t="s">
        <v>261</v>
      </c>
      <c r="E820" s="24">
        <v>1720000</v>
      </c>
      <c r="F820" s="39">
        <v>44285</v>
      </c>
      <c r="G820" s="24">
        <v>1720000</v>
      </c>
      <c r="H820" s="23">
        <v>5.0000000000000001E-3</v>
      </c>
      <c r="I820" s="39">
        <v>44531</v>
      </c>
      <c r="J820" s="39">
        <v>44544</v>
      </c>
      <c r="K820" s="24">
        <v>14</v>
      </c>
      <c r="L820" s="24">
        <v>330</v>
      </c>
      <c r="M820" s="24">
        <v>1668500</v>
      </c>
      <c r="N820" s="39">
        <v>46110</v>
      </c>
    </row>
    <row r="821" spans="1:14" s="5" customFormat="1" outlineLevel="2">
      <c r="A821" s="39" t="s">
        <v>257</v>
      </c>
      <c r="B821" s="40" t="s">
        <v>47</v>
      </c>
      <c r="C821" s="41" t="s">
        <v>260</v>
      </c>
      <c r="D821" s="40"/>
      <c r="E821" s="24"/>
      <c r="F821" s="39"/>
      <c r="G821" s="24">
        <v>1668500</v>
      </c>
      <c r="H821" s="23">
        <v>5.0000000000000001E-3</v>
      </c>
      <c r="I821" s="39">
        <v>44545</v>
      </c>
      <c r="J821" s="39">
        <v>44561</v>
      </c>
      <c r="K821" s="24">
        <v>17</v>
      </c>
      <c r="L821" s="24">
        <v>389</v>
      </c>
      <c r="M821" s="24"/>
      <c r="N821" s="39">
        <v>46110</v>
      </c>
    </row>
    <row r="822" spans="1:14" s="5" customFormat="1" outlineLevel="2">
      <c r="A822" s="39" t="s">
        <v>257</v>
      </c>
      <c r="B822" s="40" t="s">
        <v>50</v>
      </c>
      <c r="C822" s="41" t="s">
        <v>324</v>
      </c>
      <c r="D822" s="40" t="s">
        <v>323</v>
      </c>
      <c r="E822" s="24">
        <v>28800000</v>
      </c>
      <c r="F822" s="39">
        <v>44271</v>
      </c>
      <c r="G822" s="24">
        <v>26880000</v>
      </c>
      <c r="H822" s="23">
        <v>5.0000000000000001E-3</v>
      </c>
      <c r="I822" s="39">
        <v>44531</v>
      </c>
      <c r="J822" s="39">
        <v>44544</v>
      </c>
      <c r="K822" s="24">
        <v>14</v>
      </c>
      <c r="L822" s="24">
        <v>5155</v>
      </c>
      <c r="M822" s="24">
        <v>26640000</v>
      </c>
      <c r="N822" s="39">
        <v>46096</v>
      </c>
    </row>
    <row r="823" spans="1:14" s="5" customFormat="1" outlineLevel="2">
      <c r="A823" s="39" t="s">
        <v>257</v>
      </c>
      <c r="B823" s="40" t="s">
        <v>50</v>
      </c>
      <c r="C823" s="41" t="s">
        <v>324</v>
      </c>
      <c r="D823" s="40"/>
      <c r="E823" s="24"/>
      <c r="F823" s="39"/>
      <c r="G823" s="24">
        <v>26640000</v>
      </c>
      <c r="H823" s="23">
        <v>5.0000000000000001E-3</v>
      </c>
      <c r="I823" s="39">
        <v>44545</v>
      </c>
      <c r="J823" s="39">
        <v>44561</v>
      </c>
      <c r="K823" s="24">
        <v>17</v>
      </c>
      <c r="L823" s="24">
        <v>6204</v>
      </c>
      <c r="M823" s="24"/>
      <c r="N823" s="39">
        <v>46096</v>
      </c>
    </row>
    <row r="824" spans="1:14" s="5" customFormat="1" outlineLevel="2">
      <c r="A824" s="39" t="s">
        <v>257</v>
      </c>
      <c r="B824" s="40" t="s">
        <v>51</v>
      </c>
      <c r="C824" s="41" t="s">
        <v>324</v>
      </c>
      <c r="D824" s="40" t="s">
        <v>323</v>
      </c>
      <c r="E824" s="24">
        <v>45270000</v>
      </c>
      <c r="F824" s="39">
        <v>44271</v>
      </c>
      <c r="G824" s="24">
        <v>42252000</v>
      </c>
      <c r="H824" s="23">
        <v>5.0000000000000001E-3</v>
      </c>
      <c r="I824" s="39">
        <v>44531</v>
      </c>
      <c r="J824" s="39">
        <v>44544</v>
      </c>
      <c r="K824" s="24">
        <v>14</v>
      </c>
      <c r="L824" s="24">
        <v>8103</v>
      </c>
      <c r="M824" s="24">
        <v>41874750</v>
      </c>
      <c r="N824" s="39">
        <v>46096</v>
      </c>
    </row>
    <row r="825" spans="1:14" s="5" customFormat="1" outlineLevel="2">
      <c r="A825" s="39" t="s">
        <v>257</v>
      </c>
      <c r="B825" s="40" t="s">
        <v>51</v>
      </c>
      <c r="C825" s="41" t="s">
        <v>324</v>
      </c>
      <c r="D825" s="40"/>
      <c r="E825" s="24"/>
      <c r="F825" s="39"/>
      <c r="G825" s="24">
        <v>41874750</v>
      </c>
      <c r="H825" s="23">
        <v>5.0000000000000001E-3</v>
      </c>
      <c r="I825" s="39">
        <v>44545</v>
      </c>
      <c r="J825" s="39">
        <v>44561</v>
      </c>
      <c r="K825" s="24">
        <v>17</v>
      </c>
      <c r="L825" s="24">
        <v>9752</v>
      </c>
      <c r="M825" s="24"/>
      <c r="N825" s="39">
        <v>46096</v>
      </c>
    </row>
    <row r="826" spans="1:14" s="5" customFormat="1" outlineLevel="2">
      <c r="A826" s="39" t="s">
        <v>257</v>
      </c>
      <c r="B826" s="40" t="s">
        <v>52</v>
      </c>
      <c r="C826" s="41" t="s">
        <v>324</v>
      </c>
      <c r="D826" s="40" t="s">
        <v>323</v>
      </c>
      <c r="E826" s="24">
        <v>32000000</v>
      </c>
      <c r="F826" s="39">
        <v>44271</v>
      </c>
      <c r="G826" s="24">
        <v>28952384</v>
      </c>
      <c r="H826" s="23">
        <v>5.0000000000000001E-3</v>
      </c>
      <c r="I826" s="39">
        <v>44531</v>
      </c>
      <c r="J826" s="39">
        <v>44544</v>
      </c>
      <c r="K826" s="24">
        <v>14</v>
      </c>
      <c r="L826" s="24">
        <v>5553</v>
      </c>
      <c r="M826" s="24">
        <v>28571432</v>
      </c>
      <c r="N826" s="39">
        <v>46096</v>
      </c>
    </row>
    <row r="827" spans="1:14" s="5" customFormat="1" outlineLevel="2">
      <c r="A827" s="39" t="s">
        <v>257</v>
      </c>
      <c r="B827" s="40" t="s">
        <v>52</v>
      </c>
      <c r="C827" s="41" t="s">
        <v>324</v>
      </c>
      <c r="D827" s="40"/>
      <c r="E827" s="24"/>
      <c r="F827" s="39"/>
      <c r="G827" s="24">
        <v>28571432</v>
      </c>
      <c r="H827" s="23">
        <v>5.0000000000000001E-3</v>
      </c>
      <c r="I827" s="39">
        <v>44545</v>
      </c>
      <c r="J827" s="39">
        <v>44561</v>
      </c>
      <c r="K827" s="24">
        <v>17</v>
      </c>
      <c r="L827" s="24">
        <v>6654</v>
      </c>
      <c r="M827" s="24"/>
      <c r="N827" s="39">
        <v>46096</v>
      </c>
    </row>
    <row r="828" spans="1:14" s="5" customFormat="1" outlineLevel="2">
      <c r="A828" s="39" t="s">
        <v>257</v>
      </c>
      <c r="B828" s="40" t="s">
        <v>53</v>
      </c>
      <c r="C828" s="41" t="s">
        <v>262</v>
      </c>
      <c r="D828" s="40" t="s">
        <v>259</v>
      </c>
      <c r="E828" s="24">
        <v>21700000</v>
      </c>
      <c r="F828" s="39">
        <v>44287</v>
      </c>
      <c r="G828" s="24">
        <v>21700000</v>
      </c>
      <c r="H828" s="23">
        <v>5.0000000000000001E-3</v>
      </c>
      <c r="I828" s="39">
        <v>44531</v>
      </c>
      <c r="J828" s="39">
        <v>44561</v>
      </c>
      <c r="K828" s="24">
        <v>31</v>
      </c>
      <c r="L828" s="24">
        <v>9215</v>
      </c>
      <c r="M828" s="24">
        <v>21700000</v>
      </c>
      <c r="N828" s="39">
        <v>46112</v>
      </c>
    </row>
    <row r="829" spans="1:14" s="5" customFormat="1" outlineLevel="2">
      <c r="A829" s="39" t="s">
        <v>257</v>
      </c>
      <c r="B829" s="40" t="s">
        <v>54</v>
      </c>
      <c r="C829" s="41" t="s">
        <v>248</v>
      </c>
      <c r="D829" s="40" t="s">
        <v>249</v>
      </c>
      <c r="E829" s="24">
        <v>182300000</v>
      </c>
      <c r="F829" s="39">
        <v>43959</v>
      </c>
      <c r="G829" s="24">
        <v>164450000</v>
      </c>
      <c r="H829" s="23">
        <v>5.0000000000000001E-3</v>
      </c>
      <c r="I829" s="39">
        <v>44531</v>
      </c>
      <c r="J829" s="39">
        <v>44544</v>
      </c>
      <c r="K829" s="24">
        <v>14</v>
      </c>
      <c r="L829" s="24">
        <v>31538</v>
      </c>
      <c r="M829" s="24">
        <v>161920000</v>
      </c>
      <c r="N829" s="39">
        <v>45784</v>
      </c>
    </row>
    <row r="830" spans="1:14" s="5" customFormat="1" outlineLevel="2">
      <c r="A830" s="39" t="s">
        <v>257</v>
      </c>
      <c r="B830" s="40" t="s">
        <v>54</v>
      </c>
      <c r="C830" s="41" t="s">
        <v>248</v>
      </c>
      <c r="D830" s="40"/>
      <c r="E830" s="24"/>
      <c r="F830" s="39"/>
      <c r="G830" s="24">
        <v>161920000</v>
      </c>
      <c r="H830" s="23">
        <v>5.0000000000000001E-3</v>
      </c>
      <c r="I830" s="39">
        <v>44545</v>
      </c>
      <c r="J830" s="39">
        <v>44561</v>
      </c>
      <c r="K830" s="24">
        <v>17</v>
      </c>
      <c r="L830" s="24">
        <v>37707</v>
      </c>
      <c r="M830" s="24"/>
      <c r="N830" s="39">
        <v>45784</v>
      </c>
    </row>
    <row r="831" spans="1:14" s="5" customFormat="1" outlineLevel="2">
      <c r="A831" s="39" t="s">
        <v>257</v>
      </c>
      <c r="B831" s="40" t="s">
        <v>57</v>
      </c>
      <c r="C831" s="41" t="s">
        <v>260</v>
      </c>
      <c r="D831" s="40" t="s">
        <v>261</v>
      </c>
      <c r="E831" s="24">
        <v>20900000</v>
      </c>
      <c r="F831" s="39">
        <v>44300</v>
      </c>
      <c r="G831" s="24">
        <v>17550000</v>
      </c>
      <c r="H831" s="23">
        <v>5.0000000000000001E-3</v>
      </c>
      <c r="I831" s="39">
        <v>44531</v>
      </c>
      <c r="J831" s="39">
        <v>44544</v>
      </c>
      <c r="K831" s="24">
        <v>14</v>
      </c>
      <c r="L831" s="24">
        <v>3366</v>
      </c>
      <c r="M831" s="24">
        <v>17160000</v>
      </c>
      <c r="N831" s="39">
        <v>46125</v>
      </c>
    </row>
    <row r="832" spans="1:14" s="5" customFormat="1" outlineLevel="2">
      <c r="A832" s="39" t="s">
        <v>257</v>
      </c>
      <c r="B832" s="40" t="s">
        <v>57</v>
      </c>
      <c r="C832" s="41" t="s">
        <v>260</v>
      </c>
      <c r="D832" s="40"/>
      <c r="E832" s="24"/>
      <c r="F832" s="39"/>
      <c r="G832" s="24">
        <v>17160000</v>
      </c>
      <c r="H832" s="23">
        <v>5.0000000000000001E-3</v>
      </c>
      <c r="I832" s="39">
        <v>44545</v>
      </c>
      <c r="J832" s="39">
        <v>44561</v>
      </c>
      <c r="K832" s="24">
        <v>17</v>
      </c>
      <c r="L832" s="24">
        <v>3996</v>
      </c>
      <c r="M832" s="24"/>
      <c r="N832" s="39">
        <v>46125</v>
      </c>
    </row>
    <row r="833" spans="1:14" s="5" customFormat="1" outlineLevel="2">
      <c r="A833" s="39" t="s">
        <v>257</v>
      </c>
      <c r="B833" s="40" t="s">
        <v>58</v>
      </c>
      <c r="C833" s="41" t="s">
        <v>262</v>
      </c>
      <c r="D833" s="40" t="s">
        <v>259</v>
      </c>
      <c r="E833" s="24">
        <v>21700000</v>
      </c>
      <c r="F833" s="39">
        <v>44319</v>
      </c>
      <c r="G833" s="24">
        <v>21700000</v>
      </c>
      <c r="H833" s="23">
        <v>5.0000000000000001E-3</v>
      </c>
      <c r="I833" s="39">
        <v>44531</v>
      </c>
      <c r="J833" s="39">
        <v>44561</v>
      </c>
      <c r="K833" s="24">
        <v>31</v>
      </c>
      <c r="L833" s="24">
        <v>9215</v>
      </c>
      <c r="M833" s="24">
        <v>21700000</v>
      </c>
      <c r="N833" s="39">
        <v>46144</v>
      </c>
    </row>
    <row r="834" spans="1:14" s="5" customFormat="1" outlineLevel="2">
      <c r="A834" s="39" t="s">
        <v>257</v>
      </c>
      <c r="B834" s="40" t="s">
        <v>99</v>
      </c>
      <c r="C834" s="41" t="s">
        <v>262</v>
      </c>
      <c r="D834" s="40" t="s">
        <v>259</v>
      </c>
      <c r="E834" s="24">
        <v>21700000</v>
      </c>
      <c r="F834" s="39">
        <v>44333</v>
      </c>
      <c r="G834" s="24">
        <v>21700000</v>
      </c>
      <c r="H834" s="23">
        <v>5.0000000000000001E-3</v>
      </c>
      <c r="I834" s="39">
        <v>44531</v>
      </c>
      <c r="J834" s="39">
        <v>44561</v>
      </c>
      <c r="K834" s="24">
        <v>31</v>
      </c>
      <c r="L834" s="24">
        <v>9215</v>
      </c>
      <c r="M834" s="24">
        <v>21700000</v>
      </c>
      <c r="N834" s="39">
        <v>46158</v>
      </c>
    </row>
    <row r="835" spans="1:14" s="5" customFormat="1" outlineLevel="2">
      <c r="A835" s="39" t="s">
        <v>257</v>
      </c>
      <c r="B835" s="40" t="s">
        <v>100</v>
      </c>
      <c r="C835" s="41" t="s">
        <v>260</v>
      </c>
      <c r="D835" s="40" t="s">
        <v>261</v>
      </c>
      <c r="E835" s="24">
        <v>12860000</v>
      </c>
      <c r="F835" s="39">
        <v>44326</v>
      </c>
      <c r="G835" s="24">
        <v>11115000</v>
      </c>
      <c r="H835" s="23">
        <v>5.0000000000000001E-3</v>
      </c>
      <c r="I835" s="39">
        <v>44531</v>
      </c>
      <c r="J835" s="39">
        <v>44544</v>
      </c>
      <c r="K835" s="24">
        <v>14</v>
      </c>
      <c r="L835" s="24">
        <v>2132</v>
      </c>
      <c r="M835" s="24">
        <v>10868000</v>
      </c>
      <c r="N835" s="39">
        <v>46151</v>
      </c>
    </row>
    <row r="836" spans="1:14" s="5" customFormat="1" outlineLevel="2">
      <c r="A836" s="39" t="s">
        <v>257</v>
      </c>
      <c r="B836" s="40" t="s">
        <v>100</v>
      </c>
      <c r="C836" s="41" t="s">
        <v>260</v>
      </c>
      <c r="D836" s="40"/>
      <c r="E836" s="24"/>
      <c r="F836" s="39"/>
      <c r="G836" s="24">
        <v>10868000</v>
      </c>
      <c r="H836" s="23">
        <v>5.0000000000000001E-3</v>
      </c>
      <c r="I836" s="39">
        <v>44545</v>
      </c>
      <c r="J836" s="39">
        <v>44561</v>
      </c>
      <c r="K836" s="24">
        <v>17</v>
      </c>
      <c r="L836" s="24">
        <v>2531</v>
      </c>
      <c r="M836" s="24"/>
      <c r="N836" s="39">
        <v>46151</v>
      </c>
    </row>
    <row r="837" spans="1:14" s="5" customFormat="1" outlineLevel="2">
      <c r="A837" s="39" t="s">
        <v>257</v>
      </c>
      <c r="B837" s="40" t="s">
        <v>101</v>
      </c>
      <c r="C837" s="41" t="s">
        <v>304</v>
      </c>
      <c r="D837" s="40" t="s">
        <v>303</v>
      </c>
      <c r="E837" s="24">
        <v>37500000</v>
      </c>
      <c r="F837" s="39">
        <v>44377</v>
      </c>
      <c r="G837" s="24">
        <v>37500000</v>
      </c>
      <c r="H837" s="23">
        <v>5.0000000000000001E-3</v>
      </c>
      <c r="I837" s="39">
        <v>44531</v>
      </c>
      <c r="J837" s="39">
        <v>44561</v>
      </c>
      <c r="K837" s="24">
        <v>31</v>
      </c>
      <c r="L837" s="24">
        <v>15925</v>
      </c>
      <c r="M837" s="24">
        <v>37500000</v>
      </c>
      <c r="N837" s="39">
        <v>46202</v>
      </c>
    </row>
    <row r="838" spans="1:14" s="5" customFormat="1" outlineLevel="2">
      <c r="A838" s="39" t="s">
        <v>257</v>
      </c>
      <c r="B838" s="40" t="s">
        <v>102</v>
      </c>
      <c r="C838" s="41" t="s">
        <v>260</v>
      </c>
      <c r="D838" s="40" t="s">
        <v>261</v>
      </c>
      <c r="E838" s="24">
        <v>3350000</v>
      </c>
      <c r="F838" s="39">
        <v>44355</v>
      </c>
      <c r="G838" s="24">
        <v>2925000</v>
      </c>
      <c r="H838" s="23">
        <v>5.0000000000000001E-3</v>
      </c>
      <c r="I838" s="39">
        <v>44531</v>
      </c>
      <c r="J838" s="39">
        <v>44544</v>
      </c>
      <c r="K838" s="24">
        <v>14</v>
      </c>
      <c r="L838" s="24">
        <v>561</v>
      </c>
      <c r="M838" s="24">
        <v>2860000</v>
      </c>
      <c r="N838" s="39">
        <v>46180</v>
      </c>
    </row>
    <row r="839" spans="1:14" s="5" customFormat="1" outlineLevel="2">
      <c r="A839" s="39" t="s">
        <v>257</v>
      </c>
      <c r="B839" s="40" t="s">
        <v>102</v>
      </c>
      <c r="C839" s="41" t="s">
        <v>260</v>
      </c>
      <c r="D839" s="40"/>
      <c r="E839" s="24"/>
      <c r="F839" s="39"/>
      <c r="G839" s="24">
        <v>2860000</v>
      </c>
      <c r="H839" s="23">
        <v>5.0000000000000001E-3</v>
      </c>
      <c r="I839" s="39">
        <v>44545</v>
      </c>
      <c r="J839" s="39">
        <v>44561</v>
      </c>
      <c r="K839" s="24">
        <v>17</v>
      </c>
      <c r="L839" s="24">
        <v>666</v>
      </c>
      <c r="M839" s="24"/>
      <c r="N839" s="39">
        <v>46180</v>
      </c>
    </row>
    <row r="840" spans="1:14" s="5" customFormat="1" outlineLevel="2">
      <c r="A840" s="39" t="s">
        <v>257</v>
      </c>
      <c r="B840" s="40" t="s">
        <v>103</v>
      </c>
      <c r="C840" s="41" t="s">
        <v>262</v>
      </c>
      <c r="D840" s="40" t="s">
        <v>259</v>
      </c>
      <c r="E840" s="24">
        <v>680000</v>
      </c>
      <c r="F840" s="39">
        <v>44364</v>
      </c>
      <c r="G840" s="24">
        <v>680000</v>
      </c>
      <c r="H840" s="23">
        <v>5.0000000000000001E-3</v>
      </c>
      <c r="I840" s="39">
        <v>44531</v>
      </c>
      <c r="J840" s="39">
        <v>44561</v>
      </c>
      <c r="K840" s="24">
        <v>31</v>
      </c>
      <c r="L840" s="24">
        <v>289</v>
      </c>
      <c r="M840" s="24">
        <v>680000</v>
      </c>
      <c r="N840" s="39">
        <v>46189</v>
      </c>
    </row>
    <row r="841" spans="1:14" s="5" customFormat="1" outlineLevel="2">
      <c r="A841" s="39" t="s">
        <v>257</v>
      </c>
      <c r="B841" s="40" t="s">
        <v>104</v>
      </c>
      <c r="C841" s="41" t="s">
        <v>262</v>
      </c>
      <c r="D841" s="40" t="s">
        <v>259</v>
      </c>
      <c r="E841" s="24">
        <v>18080000</v>
      </c>
      <c r="F841" s="39">
        <v>44364</v>
      </c>
      <c r="G841" s="24">
        <v>18080000</v>
      </c>
      <c r="H841" s="23">
        <v>5.0000000000000001E-3</v>
      </c>
      <c r="I841" s="39">
        <v>44531</v>
      </c>
      <c r="J841" s="39">
        <v>44561</v>
      </c>
      <c r="K841" s="24">
        <v>31</v>
      </c>
      <c r="L841" s="24">
        <v>7678</v>
      </c>
      <c r="M841" s="24">
        <v>18080000</v>
      </c>
      <c r="N841" s="39">
        <v>46189</v>
      </c>
    </row>
    <row r="842" spans="1:14" s="5" customFormat="1" outlineLevel="2">
      <c r="A842" s="39" t="s">
        <v>257</v>
      </c>
      <c r="B842" s="40" t="s">
        <v>105</v>
      </c>
      <c r="C842" s="41" t="s">
        <v>262</v>
      </c>
      <c r="D842" s="40" t="s">
        <v>259</v>
      </c>
      <c r="E842" s="24">
        <v>5790000</v>
      </c>
      <c r="F842" s="39">
        <v>44364</v>
      </c>
      <c r="G842" s="24">
        <v>5790000</v>
      </c>
      <c r="H842" s="23">
        <v>5.0000000000000001E-3</v>
      </c>
      <c r="I842" s="39">
        <v>44531</v>
      </c>
      <c r="J842" s="39">
        <v>44561</v>
      </c>
      <c r="K842" s="24">
        <v>31</v>
      </c>
      <c r="L842" s="24">
        <v>2459</v>
      </c>
      <c r="M842" s="24">
        <v>5790000</v>
      </c>
      <c r="N842" s="39">
        <v>46189</v>
      </c>
    </row>
    <row r="843" spans="1:14" s="5" customFormat="1" outlineLevel="2">
      <c r="A843" s="39" t="s">
        <v>257</v>
      </c>
      <c r="B843" s="40" t="s">
        <v>106</v>
      </c>
      <c r="C843" s="41" t="s">
        <v>248</v>
      </c>
      <c r="D843" s="40" t="s">
        <v>249</v>
      </c>
      <c r="E843" s="24">
        <v>120000000</v>
      </c>
      <c r="F843" s="39">
        <v>44399</v>
      </c>
      <c r="G843" s="24">
        <v>114240000</v>
      </c>
      <c r="H843" s="23">
        <v>5.0000000000000001E-3</v>
      </c>
      <c r="I843" s="39">
        <v>44531</v>
      </c>
      <c r="J843" s="39">
        <v>44544</v>
      </c>
      <c r="K843" s="24">
        <v>14</v>
      </c>
      <c r="L843" s="24">
        <v>21909</v>
      </c>
      <c r="M843" s="24">
        <v>112812000</v>
      </c>
      <c r="N843" s="39">
        <v>46224</v>
      </c>
    </row>
    <row r="844" spans="1:14" s="5" customFormat="1" outlineLevel="2">
      <c r="A844" s="39" t="s">
        <v>257</v>
      </c>
      <c r="B844" s="40" t="s">
        <v>106</v>
      </c>
      <c r="C844" s="41" t="s">
        <v>248</v>
      </c>
      <c r="D844" s="40"/>
      <c r="E844" s="24"/>
      <c r="F844" s="39"/>
      <c r="G844" s="24">
        <v>112812000</v>
      </c>
      <c r="H844" s="23">
        <v>5.0000000000000001E-3</v>
      </c>
      <c r="I844" s="39">
        <v>44545</v>
      </c>
      <c r="J844" s="39">
        <v>44561</v>
      </c>
      <c r="K844" s="24">
        <v>17</v>
      </c>
      <c r="L844" s="24">
        <v>26271</v>
      </c>
      <c r="M844" s="24"/>
      <c r="N844" s="39">
        <v>46224</v>
      </c>
    </row>
    <row r="845" spans="1:14" s="5" customFormat="1" outlineLevel="2">
      <c r="A845" s="39" t="s">
        <v>257</v>
      </c>
      <c r="B845" s="40" t="s">
        <v>59</v>
      </c>
      <c r="C845" s="41" t="s">
        <v>260</v>
      </c>
      <c r="D845" s="40" t="s">
        <v>261</v>
      </c>
      <c r="E845" s="24">
        <v>610000</v>
      </c>
      <c r="F845" s="39">
        <v>44085</v>
      </c>
      <c r="G845" s="24">
        <v>450000</v>
      </c>
      <c r="H845" s="23">
        <v>5.0000000000000001E-3</v>
      </c>
      <c r="I845" s="39">
        <v>44531</v>
      </c>
      <c r="J845" s="39">
        <v>44544</v>
      </c>
      <c r="K845" s="24">
        <v>14</v>
      </c>
      <c r="L845" s="24">
        <v>86</v>
      </c>
      <c r="M845" s="24">
        <v>440000</v>
      </c>
      <c r="N845" s="39">
        <v>45910</v>
      </c>
    </row>
    <row r="846" spans="1:14" s="5" customFormat="1" outlineLevel="2">
      <c r="A846" s="39" t="s">
        <v>257</v>
      </c>
      <c r="B846" s="40" t="s">
        <v>59</v>
      </c>
      <c r="C846" s="41" t="s">
        <v>260</v>
      </c>
      <c r="D846" s="40"/>
      <c r="E846" s="24"/>
      <c r="F846" s="39"/>
      <c r="G846" s="24">
        <v>440000</v>
      </c>
      <c r="H846" s="23">
        <v>5.0000000000000001E-3</v>
      </c>
      <c r="I846" s="39">
        <v>44545</v>
      </c>
      <c r="J846" s="39">
        <v>44561</v>
      </c>
      <c r="K846" s="24">
        <v>17</v>
      </c>
      <c r="L846" s="24">
        <v>102</v>
      </c>
      <c r="M846" s="24"/>
      <c r="N846" s="39">
        <v>45910</v>
      </c>
    </row>
    <row r="847" spans="1:14" s="5" customFormat="1" outlineLevel="2">
      <c r="A847" s="39" t="s">
        <v>257</v>
      </c>
      <c r="B847" s="40" t="s">
        <v>136</v>
      </c>
      <c r="C847" s="41" t="s">
        <v>262</v>
      </c>
      <c r="D847" s="40" t="s">
        <v>259</v>
      </c>
      <c r="E847" s="24">
        <v>39000000</v>
      </c>
      <c r="F847" s="39">
        <v>44425</v>
      </c>
      <c r="G847" s="24">
        <v>37050000</v>
      </c>
      <c r="H847" s="23">
        <v>5.0000000000000001E-3</v>
      </c>
      <c r="I847" s="39">
        <v>44531</v>
      </c>
      <c r="J847" s="39">
        <v>44544</v>
      </c>
      <c r="K847" s="24">
        <v>14</v>
      </c>
      <c r="L847" s="24">
        <v>7105</v>
      </c>
      <c r="M847" s="24">
        <v>36400000</v>
      </c>
      <c r="N847" s="39">
        <v>46250</v>
      </c>
    </row>
    <row r="848" spans="1:14" s="5" customFormat="1" outlineLevel="2">
      <c r="A848" s="39" t="s">
        <v>257</v>
      </c>
      <c r="B848" s="40" t="s">
        <v>136</v>
      </c>
      <c r="C848" s="41" t="s">
        <v>262</v>
      </c>
      <c r="D848" s="40"/>
      <c r="E848" s="24"/>
      <c r="F848" s="39"/>
      <c r="G848" s="24">
        <v>36400000</v>
      </c>
      <c r="H848" s="23">
        <v>5.0000000000000001E-3</v>
      </c>
      <c r="I848" s="39">
        <v>44545</v>
      </c>
      <c r="J848" s="39">
        <v>44561</v>
      </c>
      <c r="K848" s="24">
        <v>17</v>
      </c>
      <c r="L848" s="24">
        <v>8477</v>
      </c>
      <c r="M848" s="24"/>
      <c r="N848" s="39">
        <v>46250</v>
      </c>
    </row>
    <row r="849" spans="1:14" s="5" customFormat="1" outlineLevel="2">
      <c r="A849" s="39" t="s">
        <v>257</v>
      </c>
      <c r="B849" s="40" t="s">
        <v>137</v>
      </c>
      <c r="C849" s="41" t="s">
        <v>262</v>
      </c>
      <c r="D849" s="40" t="s">
        <v>259</v>
      </c>
      <c r="E849" s="24">
        <v>18080000</v>
      </c>
      <c r="F849" s="39">
        <v>44425</v>
      </c>
      <c r="G849" s="24">
        <v>18080000</v>
      </c>
      <c r="H849" s="23">
        <v>5.0000000000000001E-3</v>
      </c>
      <c r="I849" s="39">
        <v>44531</v>
      </c>
      <c r="J849" s="39">
        <v>44561</v>
      </c>
      <c r="K849" s="24">
        <v>31</v>
      </c>
      <c r="L849" s="24">
        <v>7678</v>
      </c>
      <c r="M849" s="24">
        <v>18080000</v>
      </c>
      <c r="N849" s="39">
        <v>46250</v>
      </c>
    </row>
    <row r="850" spans="1:14" s="5" customFormat="1" outlineLevel="2">
      <c r="A850" s="39" t="s">
        <v>257</v>
      </c>
      <c r="B850" s="40" t="s">
        <v>138</v>
      </c>
      <c r="C850" s="41" t="s">
        <v>398</v>
      </c>
      <c r="D850" s="40" t="s">
        <v>397</v>
      </c>
      <c r="E850" s="24">
        <v>2920000</v>
      </c>
      <c r="F850" s="39">
        <v>44439</v>
      </c>
      <c r="G850" s="24">
        <v>2847001</v>
      </c>
      <c r="H850" s="23">
        <v>5.0000000000000001E-3</v>
      </c>
      <c r="I850" s="39">
        <v>44531</v>
      </c>
      <c r="J850" s="39">
        <v>44544</v>
      </c>
      <c r="K850" s="24">
        <v>14</v>
      </c>
      <c r="L850" s="24">
        <v>546</v>
      </c>
      <c r="M850" s="24">
        <v>2822668</v>
      </c>
      <c r="N850" s="39">
        <v>46264</v>
      </c>
    </row>
    <row r="851" spans="1:14" s="5" customFormat="1" outlineLevel="2">
      <c r="A851" s="39" t="s">
        <v>257</v>
      </c>
      <c r="B851" s="40" t="s">
        <v>138</v>
      </c>
      <c r="C851" s="41" t="s">
        <v>398</v>
      </c>
      <c r="D851" s="40"/>
      <c r="E851" s="24"/>
      <c r="F851" s="39"/>
      <c r="G851" s="24">
        <v>2822668</v>
      </c>
      <c r="H851" s="23">
        <v>5.0000000000000001E-3</v>
      </c>
      <c r="I851" s="39">
        <v>44545</v>
      </c>
      <c r="J851" s="39">
        <v>44561</v>
      </c>
      <c r="K851" s="24">
        <v>17</v>
      </c>
      <c r="L851" s="24">
        <v>657</v>
      </c>
      <c r="M851" s="24"/>
      <c r="N851" s="39">
        <v>46264</v>
      </c>
    </row>
    <row r="852" spans="1:14" s="5" customFormat="1" outlineLevel="2">
      <c r="A852" s="39" t="s">
        <v>257</v>
      </c>
      <c r="B852" s="40" t="s">
        <v>139</v>
      </c>
      <c r="C852" s="41" t="s">
        <v>398</v>
      </c>
      <c r="D852" s="40" t="s">
        <v>397</v>
      </c>
      <c r="E852" s="24">
        <v>4770000</v>
      </c>
      <c r="F852" s="39">
        <v>44439</v>
      </c>
      <c r="G852" s="24">
        <v>4599642</v>
      </c>
      <c r="H852" s="23">
        <v>5.0000000000000001E-3</v>
      </c>
      <c r="I852" s="39">
        <v>44531</v>
      </c>
      <c r="J852" s="39">
        <v>44544</v>
      </c>
      <c r="K852" s="24">
        <v>14</v>
      </c>
      <c r="L852" s="24">
        <v>882</v>
      </c>
      <c r="M852" s="24">
        <v>4542856</v>
      </c>
      <c r="N852" s="39">
        <v>46264</v>
      </c>
    </row>
    <row r="853" spans="1:14" s="5" customFormat="1" outlineLevel="2">
      <c r="A853" s="39" t="s">
        <v>257</v>
      </c>
      <c r="B853" s="40" t="s">
        <v>139</v>
      </c>
      <c r="C853" s="41" t="s">
        <v>398</v>
      </c>
      <c r="D853" s="40"/>
      <c r="E853" s="24"/>
      <c r="F853" s="39"/>
      <c r="G853" s="24">
        <v>4542856</v>
      </c>
      <c r="H853" s="23">
        <v>5.0000000000000001E-3</v>
      </c>
      <c r="I853" s="39">
        <v>44545</v>
      </c>
      <c r="J853" s="39">
        <v>44561</v>
      </c>
      <c r="K853" s="24">
        <v>17</v>
      </c>
      <c r="L853" s="24">
        <v>1058</v>
      </c>
      <c r="M853" s="24"/>
      <c r="N853" s="39">
        <v>46264</v>
      </c>
    </row>
    <row r="854" spans="1:14" s="5" customFormat="1" outlineLevel="2">
      <c r="A854" s="39" t="s">
        <v>257</v>
      </c>
      <c r="B854" s="40" t="s">
        <v>140</v>
      </c>
      <c r="C854" s="41" t="s">
        <v>260</v>
      </c>
      <c r="D854" s="40" t="s">
        <v>261</v>
      </c>
      <c r="E854" s="24">
        <v>1930000</v>
      </c>
      <c r="F854" s="39">
        <v>44427</v>
      </c>
      <c r="G854" s="24">
        <v>1930000</v>
      </c>
      <c r="H854" s="23">
        <v>5.0000000000000001E-3</v>
      </c>
      <c r="I854" s="39">
        <v>44531</v>
      </c>
      <c r="J854" s="39">
        <v>44544</v>
      </c>
      <c r="K854" s="24">
        <v>14</v>
      </c>
      <c r="L854" s="24">
        <v>370</v>
      </c>
      <c r="M854" s="24">
        <v>1846000</v>
      </c>
      <c r="N854" s="39">
        <v>46252</v>
      </c>
    </row>
    <row r="855" spans="1:14" s="5" customFormat="1" outlineLevel="2">
      <c r="A855" s="39" t="s">
        <v>257</v>
      </c>
      <c r="B855" s="40" t="s">
        <v>140</v>
      </c>
      <c r="C855" s="41" t="s">
        <v>260</v>
      </c>
      <c r="D855" s="40"/>
      <c r="E855" s="24"/>
      <c r="F855" s="39"/>
      <c r="G855" s="24">
        <v>1846000</v>
      </c>
      <c r="H855" s="23">
        <v>5.0000000000000001E-3</v>
      </c>
      <c r="I855" s="39">
        <v>44545</v>
      </c>
      <c r="J855" s="39">
        <v>44561</v>
      </c>
      <c r="K855" s="24">
        <v>17</v>
      </c>
      <c r="L855" s="24">
        <v>430</v>
      </c>
      <c r="M855" s="24"/>
      <c r="N855" s="39">
        <v>46252</v>
      </c>
    </row>
    <row r="856" spans="1:14" s="5" customFormat="1" outlineLevel="2">
      <c r="A856" s="39" t="s">
        <v>257</v>
      </c>
      <c r="B856" s="40" t="s">
        <v>169</v>
      </c>
      <c r="C856" s="41" t="s">
        <v>262</v>
      </c>
      <c r="D856" s="40" t="s">
        <v>259</v>
      </c>
      <c r="E856" s="24">
        <v>4800000</v>
      </c>
      <c r="F856" s="39">
        <v>44454</v>
      </c>
      <c r="G856" s="24">
        <v>4800000</v>
      </c>
      <c r="H856" s="23">
        <v>5.0000000000000001E-3</v>
      </c>
      <c r="I856" s="39">
        <v>44531</v>
      </c>
      <c r="J856" s="39">
        <v>44561</v>
      </c>
      <c r="K856" s="24">
        <v>31</v>
      </c>
      <c r="L856" s="24">
        <v>2038</v>
      </c>
      <c r="M856" s="24">
        <v>4800000</v>
      </c>
      <c r="N856" s="39">
        <v>46279</v>
      </c>
    </row>
    <row r="857" spans="1:14" s="5" customFormat="1" outlineLevel="2">
      <c r="A857" s="39" t="s">
        <v>257</v>
      </c>
      <c r="B857" s="40" t="s">
        <v>170</v>
      </c>
      <c r="C857" s="41" t="s">
        <v>262</v>
      </c>
      <c r="D857" s="40" t="s">
        <v>259</v>
      </c>
      <c r="E857" s="24">
        <v>1200000</v>
      </c>
      <c r="F857" s="39">
        <v>44454</v>
      </c>
      <c r="G857" s="24">
        <v>1122000</v>
      </c>
      <c r="H857" s="23">
        <v>5.0000000000000001E-3</v>
      </c>
      <c r="I857" s="39">
        <v>44531</v>
      </c>
      <c r="J857" s="39">
        <v>44544</v>
      </c>
      <c r="K857" s="24">
        <v>14</v>
      </c>
      <c r="L857" s="24">
        <v>215</v>
      </c>
      <c r="M857" s="24">
        <v>1089000</v>
      </c>
      <c r="N857" s="39">
        <v>45549</v>
      </c>
    </row>
    <row r="858" spans="1:14" s="5" customFormat="1" outlineLevel="2">
      <c r="A858" s="39" t="s">
        <v>257</v>
      </c>
      <c r="B858" s="40" t="s">
        <v>170</v>
      </c>
      <c r="C858" s="41" t="s">
        <v>262</v>
      </c>
      <c r="D858" s="40"/>
      <c r="E858" s="24"/>
      <c r="F858" s="39"/>
      <c r="G858" s="24">
        <v>1089000</v>
      </c>
      <c r="H858" s="23">
        <v>5.0000000000000001E-3</v>
      </c>
      <c r="I858" s="39">
        <v>44545</v>
      </c>
      <c r="J858" s="39">
        <v>44561</v>
      </c>
      <c r="K858" s="24">
        <v>17</v>
      </c>
      <c r="L858" s="24">
        <v>254</v>
      </c>
      <c r="M858" s="24"/>
      <c r="N858" s="39">
        <v>45549</v>
      </c>
    </row>
    <row r="859" spans="1:14" s="5" customFormat="1" outlineLevel="2">
      <c r="A859" s="39" t="s">
        <v>257</v>
      </c>
      <c r="B859" s="40" t="s">
        <v>171</v>
      </c>
      <c r="C859" s="41" t="s">
        <v>262</v>
      </c>
      <c r="D859" s="40" t="s">
        <v>259</v>
      </c>
      <c r="E859" s="24">
        <v>10700000</v>
      </c>
      <c r="F859" s="39">
        <v>44454</v>
      </c>
      <c r="G859" s="24">
        <v>10700000</v>
      </c>
      <c r="H859" s="23">
        <v>5.0000000000000001E-3</v>
      </c>
      <c r="I859" s="39">
        <v>44531</v>
      </c>
      <c r="J859" s="39">
        <v>44561</v>
      </c>
      <c r="K859" s="24">
        <v>31</v>
      </c>
      <c r="L859" s="24">
        <v>4544</v>
      </c>
      <c r="M859" s="24">
        <v>10700000</v>
      </c>
      <c r="N859" s="39">
        <v>46279</v>
      </c>
    </row>
    <row r="860" spans="1:14" s="5" customFormat="1" outlineLevel="2">
      <c r="A860" s="39" t="s">
        <v>257</v>
      </c>
      <c r="B860" s="40" t="s">
        <v>172</v>
      </c>
      <c r="C860" s="41" t="s">
        <v>262</v>
      </c>
      <c r="D860" s="40" t="s">
        <v>259</v>
      </c>
      <c r="E860" s="24">
        <v>14460000</v>
      </c>
      <c r="F860" s="39">
        <v>44456</v>
      </c>
      <c r="G860" s="24">
        <v>14460000</v>
      </c>
      <c r="H860" s="23">
        <v>5.0000000000000001E-3</v>
      </c>
      <c r="I860" s="39">
        <v>44531</v>
      </c>
      <c r="J860" s="39">
        <v>44561</v>
      </c>
      <c r="K860" s="24">
        <v>31</v>
      </c>
      <c r="L860" s="24">
        <v>6141</v>
      </c>
      <c r="M860" s="24">
        <v>14460000</v>
      </c>
      <c r="N860" s="39">
        <v>46281</v>
      </c>
    </row>
    <row r="861" spans="1:14" s="5" customFormat="1" outlineLevel="2">
      <c r="A861" s="39" t="s">
        <v>257</v>
      </c>
      <c r="B861" s="40" t="s">
        <v>173</v>
      </c>
      <c r="C861" s="41" t="s">
        <v>262</v>
      </c>
      <c r="D861" s="40" t="s">
        <v>259</v>
      </c>
      <c r="E861" s="24">
        <v>7200000</v>
      </c>
      <c r="F861" s="39">
        <v>44456</v>
      </c>
      <c r="G861" s="24">
        <v>7200000</v>
      </c>
      <c r="H861" s="23">
        <v>5.0000000000000001E-3</v>
      </c>
      <c r="I861" s="39">
        <v>44531</v>
      </c>
      <c r="J861" s="39">
        <v>44561</v>
      </c>
      <c r="K861" s="24">
        <v>31</v>
      </c>
      <c r="L861" s="24">
        <v>3058</v>
      </c>
      <c r="M861" s="24">
        <v>7200000</v>
      </c>
      <c r="N861" s="39">
        <v>46281</v>
      </c>
    </row>
    <row r="862" spans="1:14" s="5" customFormat="1" outlineLevel="2">
      <c r="A862" s="39" t="s">
        <v>257</v>
      </c>
      <c r="B862" s="40" t="s">
        <v>62</v>
      </c>
      <c r="C862" s="41" t="s">
        <v>262</v>
      </c>
      <c r="D862" s="40" t="s">
        <v>259</v>
      </c>
      <c r="E862" s="24">
        <v>18080000</v>
      </c>
      <c r="F862" s="39">
        <v>44102</v>
      </c>
      <c r="G862" s="24">
        <v>18080000</v>
      </c>
      <c r="H862" s="23">
        <v>5.0000000000000001E-3</v>
      </c>
      <c r="I862" s="39">
        <v>44531</v>
      </c>
      <c r="J862" s="39">
        <v>44561</v>
      </c>
      <c r="K862" s="24">
        <v>31</v>
      </c>
      <c r="L862" s="24">
        <v>7678</v>
      </c>
      <c r="M862" s="24">
        <v>18080000</v>
      </c>
      <c r="N862" s="39">
        <v>45927</v>
      </c>
    </row>
    <row r="863" spans="1:14" s="5" customFormat="1" outlineLevel="2">
      <c r="A863" s="39" t="s">
        <v>257</v>
      </c>
      <c r="B863" s="40" t="s">
        <v>174</v>
      </c>
      <c r="C863" s="41" t="s">
        <v>262</v>
      </c>
      <c r="D863" s="40" t="s">
        <v>259</v>
      </c>
      <c r="E863" s="24">
        <v>8680000</v>
      </c>
      <c r="F863" s="39">
        <v>44456</v>
      </c>
      <c r="G863" s="24">
        <v>8680000</v>
      </c>
      <c r="H863" s="23">
        <v>5.0000000000000001E-3</v>
      </c>
      <c r="I863" s="39">
        <v>44531</v>
      </c>
      <c r="J863" s="39">
        <v>44561</v>
      </c>
      <c r="K863" s="24">
        <v>31</v>
      </c>
      <c r="L863" s="24">
        <v>3686</v>
      </c>
      <c r="M863" s="24">
        <v>8680000</v>
      </c>
      <c r="N863" s="39">
        <v>46281</v>
      </c>
    </row>
    <row r="864" spans="1:14" s="5" customFormat="1" outlineLevel="2">
      <c r="A864" s="39" t="s">
        <v>257</v>
      </c>
      <c r="B864" s="40" t="s">
        <v>175</v>
      </c>
      <c r="C864" s="41" t="s">
        <v>398</v>
      </c>
      <c r="D864" s="40" t="s">
        <v>397</v>
      </c>
      <c r="E864" s="24">
        <v>153080000</v>
      </c>
      <c r="F864" s="39">
        <v>44466</v>
      </c>
      <c r="G864" s="24">
        <v>150528666</v>
      </c>
      <c r="H864" s="23">
        <v>5.0000000000000001E-3</v>
      </c>
      <c r="I864" s="39">
        <v>44531</v>
      </c>
      <c r="J864" s="39">
        <v>44544</v>
      </c>
      <c r="K864" s="24">
        <v>14</v>
      </c>
      <c r="L864" s="24">
        <v>28869</v>
      </c>
      <c r="M864" s="24">
        <v>149252999</v>
      </c>
      <c r="N864" s="39">
        <v>46291</v>
      </c>
    </row>
    <row r="865" spans="1:14" s="5" customFormat="1" outlineLevel="2">
      <c r="A865" s="39" t="s">
        <v>257</v>
      </c>
      <c r="B865" s="40" t="s">
        <v>175</v>
      </c>
      <c r="C865" s="41" t="s">
        <v>398</v>
      </c>
      <c r="D865" s="40"/>
      <c r="E865" s="24"/>
      <c r="F865" s="39"/>
      <c r="G865" s="24">
        <v>149252999</v>
      </c>
      <c r="H865" s="23">
        <v>5.0000000000000001E-3</v>
      </c>
      <c r="I865" s="39">
        <v>44545</v>
      </c>
      <c r="J865" s="39">
        <v>44561</v>
      </c>
      <c r="K865" s="24">
        <v>17</v>
      </c>
      <c r="L865" s="24">
        <v>34758</v>
      </c>
      <c r="M865" s="24"/>
      <c r="N865" s="39">
        <v>46291</v>
      </c>
    </row>
    <row r="866" spans="1:14" s="5" customFormat="1" outlineLevel="2">
      <c r="A866" s="39" t="s">
        <v>257</v>
      </c>
      <c r="B866" s="40" t="s">
        <v>176</v>
      </c>
      <c r="C866" s="41" t="s">
        <v>260</v>
      </c>
      <c r="D866" s="40" t="s">
        <v>261</v>
      </c>
      <c r="E866" s="24">
        <v>50510000</v>
      </c>
      <c r="F866" s="39">
        <v>44469</v>
      </c>
      <c r="G866" s="24">
        <v>48330000</v>
      </c>
      <c r="H866" s="23">
        <v>5.0000000000000001E-3</v>
      </c>
      <c r="I866" s="39">
        <v>44531</v>
      </c>
      <c r="J866" s="39">
        <v>44544</v>
      </c>
      <c r="K866" s="24">
        <v>14</v>
      </c>
      <c r="L866" s="24">
        <v>9269</v>
      </c>
      <c r="M866" s="24">
        <v>47256000</v>
      </c>
      <c r="N866" s="39">
        <v>46294</v>
      </c>
    </row>
    <row r="867" spans="1:14" s="5" customFormat="1" outlineLevel="2">
      <c r="A867" s="39" t="s">
        <v>257</v>
      </c>
      <c r="B867" s="40" t="s">
        <v>176</v>
      </c>
      <c r="C867" s="41" t="s">
        <v>260</v>
      </c>
      <c r="D867" s="40"/>
      <c r="E867" s="24"/>
      <c r="F867" s="39"/>
      <c r="G867" s="24">
        <v>47256000</v>
      </c>
      <c r="H867" s="23">
        <v>5.0000000000000001E-3</v>
      </c>
      <c r="I867" s="39">
        <v>44545</v>
      </c>
      <c r="J867" s="39">
        <v>44561</v>
      </c>
      <c r="K867" s="24">
        <v>17</v>
      </c>
      <c r="L867" s="24">
        <v>11005</v>
      </c>
      <c r="M867" s="24"/>
      <c r="N867" s="39">
        <v>46294</v>
      </c>
    </row>
    <row r="868" spans="1:14" s="5" customFormat="1" outlineLevel="2">
      <c r="A868" s="39" t="s">
        <v>257</v>
      </c>
      <c r="B868" s="40" t="s">
        <v>177</v>
      </c>
      <c r="C868" s="41" t="s">
        <v>304</v>
      </c>
      <c r="D868" s="40" t="s">
        <v>303</v>
      </c>
      <c r="E868" s="24">
        <v>48000000</v>
      </c>
      <c r="F868" s="39">
        <v>44484</v>
      </c>
      <c r="G868" s="24">
        <v>48000000</v>
      </c>
      <c r="H868" s="23">
        <v>5.0000000000000001E-3</v>
      </c>
      <c r="I868" s="39">
        <v>44531</v>
      </c>
      <c r="J868" s="39">
        <v>44561</v>
      </c>
      <c r="K868" s="24">
        <v>31</v>
      </c>
      <c r="L868" s="24">
        <v>20384</v>
      </c>
      <c r="M868" s="24">
        <v>48000000</v>
      </c>
      <c r="N868" s="39">
        <v>46309</v>
      </c>
    </row>
    <row r="869" spans="1:14" s="5" customFormat="1" outlineLevel="2">
      <c r="A869" s="39" t="s">
        <v>257</v>
      </c>
      <c r="B869" s="40" t="s">
        <v>178</v>
      </c>
      <c r="C869" s="41" t="s">
        <v>89</v>
      </c>
      <c r="D869" s="40" t="s">
        <v>90</v>
      </c>
      <c r="E869" s="24">
        <v>50000000</v>
      </c>
      <c r="F869" s="39">
        <v>44498</v>
      </c>
      <c r="G869" s="24">
        <v>50000000</v>
      </c>
      <c r="H869" s="23">
        <v>5.0000000000000001E-3</v>
      </c>
      <c r="I869" s="39">
        <v>44531</v>
      </c>
      <c r="J869" s="39">
        <v>44561</v>
      </c>
      <c r="K869" s="24">
        <v>31</v>
      </c>
      <c r="L869" s="24">
        <v>21233</v>
      </c>
      <c r="M869" s="24">
        <v>50000000</v>
      </c>
      <c r="N869" s="39">
        <v>46323</v>
      </c>
    </row>
    <row r="870" spans="1:14" s="5" customFormat="1" outlineLevel="2">
      <c r="A870" s="39" t="s">
        <v>257</v>
      </c>
      <c r="B870" s="40" t="s">
        <v>179</v>
      </c>
      <c r="C870" s="41" t="s">
        <v>398</v>
      </c>
      <c r="D870" s="40" t="s">
        <v>397</v>
      </c>
      <c r="E870" s="24">
        <v>1670000</v>
      </c>
      <c r="F870" s="39">
        <v>44487</v>
      </c>
      <c r="G870" s="24">
        <v>1649634</v>
      </c>
      <c r="H870" s="23">
        <v>5.0000000000000001E-3</v>
      </c>
      <c r="I870" s="39">
        <v>44531</v>
      </c>
      <c r="J870" s="39">
        <v>44544</v>
      </c>
      <c r="K870" s="24">
        <v>14</v>
      </c>
      <c r="L870" s="24">
        <v>316</v>
      </c>
      <c r="M870" s="24">
        <v>1629268</v>
      </c>
      <c r="N870" s="39">
        <v>46312</v>
      </c>
    </row>
    <row r="871" spans="1:14" s="5" customFormat="1" outlineLevel="2">
      <c r="A871" s="39" t="s">
        <v>257</v>
      </c>
      <c r="B871" s="40" t="s">
        <v>179</v>
      </c>
      <c r="C871" s="41" t="s">
        <v>398</v>
      </c>
      <c r="D871" s="40"/>
      <c r="E871" s="24"/>
      <c r="F871" s="39"/>
      <c r="G871" s="24">
        <v>1629268</v>
      </c>
      <c r="H871" s="23">
        <v>5.0000000000000001E-3</v>
      </c>
      <c r="I871" s="39">
        <v>44545</v>
      </c>
      <c r="J871" s="39">
        <v>44561</v>
      </c>
      <c r="K871" s="24">
        <v>17</v>
      </c>
      <c r="L871" s="24">
        <v>379</v>
      </c>
      <c r="M871" s="24"/>
      <c r="N871" s="39">
        <v>46312</v>
      </c>
    </row>
    <row r="872" spans="1:14" s="5" customFormat="1" outlineLevel="2">
      <c r="A872" s="39" t="s">
        <v>257</v>
      </c>
      <c r="B872" s="40" t="s">
        <v>180</v>
      </c>
      <c r="C872" s="41" t="s">
        <v>398</v>
      </c>
      <c r="D872" s="40" t="s">
        <v>397</v>
      </c>
      <c r="E872" s="24">
        <v>11480000</v>
      </c>
      <c r="F872" s="39">
        <v>44487</v>
      </c>
      <c r="G872" s="24">
        <v>11383529</v>
      </c>
      <c r="H872" s="23">
        <v>5.0000000000000001E-3</v>
      </c>
      <c r="I872" s="39">
        <v>44531</v>
      </c>
      <c r="J872" s="39">
        <v>44544</v>
      </c>
      <c r="K872" s="24">
        <v>14</v>
      </c>
      <c r="L872" s="24">
        <v>2183</v>
      </c>
      <c r="M872" s="24">
        <v>11287058</v>
      </c>
      <c r="N872" s="39">
        <v>46312</v>
      </c>
    </row>
    <row r="873" spans="1:14" s="5" customFormat="1" outlineLevel="2">
      <c r="A873" s="39" t="s">
        <v>257</v>
      </c>
      <c r="B873" s="40" t="s">
        <v>180</v>
      </c>
      <c r="C873" s="41" t="s">
        <v>398</v>
      </c>
      <c r="D873" s="40"/>
      <c r="E873" s="24"/>
      <c r="F873" s="39"/>
      <c r="G873" s="24">
        <v>11287058</v>
      </c>
      <c r="H873" s="23">
        <v>5.0000000000000001E-3</v>
      </c>
      <c r="I873" s="39">
        <v>44545</v>
      </c>
      <c r="J873" s="39">
        <v>44561</v>
      </c>
      <c r="K873" s="24">
        <v>17</v>
      </c>
      <c r="L873" s="24">
        <v>2628</v>
      </c>
      <c r="M873" s="24"/>
      <c r="N873" s="39">
        <v>46312</v>
      </c>
    </row>
    <row r="874" spans="1:14" s="5" customFormat="1" outlineLevel="2">
      <c r="A874" s="39" t="s">
        <v>257</v>
      </c>
      <c r="B874" s="40" t="s">
        <v>181</v>
      </c>
      <c r="C874" s="41" t="s">
        <v>248</v>
      </c>
      <c r="D874" s="40" t="s">
        <v>249</v>
      </c>
      <c r="E874" s="24">
        <v>30000000</v>
      </c>
      <c r="F874" s="39">
        <v>44489</v>
      </c>
      <c r="G874" s="24">
        <v>30000000</v>
      </c>
      <c r="H874" s="23">
        <v>5.0000000000000001E-3</v>
      </c>
      <c r="I874" s="39">
        <v>44531</v>
      </c>
      <c r="J874" s="39">
        <v>44561</v>
      </c>
      <c r="K874" s="24">
        <v>31</v>
      </c>
      <c r="L874" s="24">
        <v>12740</v>
      </c>
      <c r="M874" s="24">
        <v>30000000</v>
      </c>
      <c r="N874" s="39">
        <v>46314</v>
      </c>
    </row>
    <row r="875" spans="1:14" s="5" customFormat="1" outlineLevel="2">
      <c r="A875" s="39" t="s">
        <v>257</v>
      </c>
      <c r="B875" s="40" t="s">
        <v>182</v>
      </c>
      <c r="C875" s="41" t="s">
        <v>448</v>
      </c>
      <c r="D875" s="40" t="s">
        <v>249</v>
      </c>
      <c r="E875" s="24">
        <v>20000000</v>
      </c>
      <c r="F875" s="39">
        <v>44515</v>
      </c>
      <c r="G875" s="24">
        <v>20000000</v>
      </c>
      <c r="H875" s="23">
        <v>5.0000000000000001E-3</v>
      </c>
      <c r="I875" s="39">
        <v>44531</v>
      </c>
      <c r="J875" s="39">
        <v>44561</v>
      </c>
      <c r="K875" s="24">
        <v>31</v>
      </c>
      <c r="L875" s="24">
        <v>8493</v>
      </c>
      <c r="M875" s="24">
        <v>20000000</v>
      </c>
      <c r="N875" s="39">
        <v>46340</v>
      </c>
    </row>
    <row r="876" spans="1:14" s="5" customFormat="1" outlineLevel="2">
      <c r="A876" s="39" t="s">
        <v>257</v>
      </c>
      <c r="B876" s="40" t="s">
        <v>183</v>
      </c>
      <c r="C876" s="41" t="s">
        <v>262</v>
      </c>
      <c r="D876" s="40" t="s">
        <v>259</v>
      </c>
      <c r="E876" s="24">
        <v>21000000</v>
      </c>
      <c r="F876" s="39">
        <v>44517</v>
      </c>
      <c r="G876" s="24">
        <v>21000000</v>
      </c>
      <c r="H876" s="23">
        <v>5.0000000000000001E-3</v>
      </c>
      <c r="I876" s="39">
        <v>44531</v>
      </c>
      <c r="J876" s="39">
        <v>44544</v>
      </c>
      <c r="K876" s="24">
        <v>14</v>
      </c>
      <c r="L876" s="24">
        <v>4027</v>
      </c>
      <c r="M876" s="24">
        <v>20631520</v>
      </c>
      <c r="N876" s="39">
        <v>46342</v>
      </c>
    </row>
    <row r="877" spans="1:14" s="5" customFormat="1" outlineLevel="2">
      <c r="A877" s="39" t="s">
        <v>257</v>
      </c>
      <c r="B877" s="40" t="s">
        <v>183</v>
      </c>
      <c r="C877" s="41" t="s">
        <v>262</v>
      </c>
      <c r="D877" s="40"/>
      <c r="E877" s="24"/>
      <c r="F877" s="39"/>
      <c r="G877" s="24">
        <v>20631520</v>
      </c>
      <c r="H877" s="23">
        <v>5.0000000000000001E-3</v>
      </c>
      <c r="I877" s="39">
        <v>44545</v>
      </c>
      <c r="J877" s="39">
        <v>44561</v>
      </c>
      <c r="K877" s="24">
        <v>17</v>
      </c>
      <c r="L877" s="24">
        <v>4805</v>
      </c>
      <c r="M877" s="24"/>
      <c r="N877" s="39">
        <v>46342</v>
      </c>
    </row>
    <row r="878" spans="1:14" s="5" customFormat="1" outlineLevel="2">
      <c r="A878" s="39" t="s">
        <v>257</v>
      </c>
      <c r="B878" s="40" t="s">
        <v>63</v>
      </c>
      <c r="C878" s="41" t="s">
        <v>262</v>
      </c>
      <c r="D878" s="40" t="s">
        <v>259</v>
      </c>
      <c r="E878" s="24">
        <v>50630000</v>
      </c>
      <c r="F878" s="39">
        <v>44131</v>
      </c>
      <c r="G878" s="24">
        <v>50630000</v>
      </c>
      <c r="H878" s="23">
        <v>5.0000000000000001E-3</v>
      </c>
      <c r="I878" s="39">
        <v>44531</v>
      </c>
      <c r="J878" s="39">
        <v>44561</v>
      </c>
      <c r="K878" s="24">
        <v>31</v>
      </c>
      <c r="L878" s="24">
        <v>21500</v>
      </c>
      <c r="M878" s="24">
        <v>50630000</v>
      </c>
      <c r="N878" s="39">
        <v>45956</v>
      </c>
    </row>
    <row r="879" spans="1:14" s="5" customFormat="1" outlineLevel="2">
      <c r="A879" s="39" t="s">
        <v>257</v>
      </c>
      <c r="B879" s="40" t="s">
        <v>184</v>
      </c>
      <c r="C879" s="41" t="s">
        <v>398</v>
      </c>
      <c r="D879" s="40" t="s">
        <v>397</v>
      </c>
      <c r="E879" s="24">
        <v>65600000</v>
      </c>
      <c r="F879" s="39">
        <v>44504</v>
      </c>
      <c r="G879" s="24">
        <v>65600000</v>
      </c>
      <c r="H879" s="23">
        <v>5.0000000000000001E-3</v>
      </c>
      <c r="I879" s="39">
        <v>44531</v>
      </c>
      <c r="J879" s="39">
        <v>44544</v>
      </c>
      <c r="K879" s="24">
        <v>14</v>
      </c>
      <c r="L879" s="24">
        <v>12581</v>
      </c>
      <c r="M879" s="24">
        <v>64809639</v>
      </c>
      <c r="N879" s="39">
        <v>46329</v>
      </c>
    </row>
    <row r="880" spans="1:14" s="5" customFormat="1" outlineLevel="2">
      <c r="A880" s="39" t="s">
        <v>257</v>
      </c>
      <c r="B880" s="40" t="s">
        <v>184</v>
      </c>
      <c r="C880" s="41" t="s">
        <v>398</v>
      </c>
      <c r="D880" s="40"/>
      <c r="E880" s="24"/>
      <c r="F880" s="39"/>
      <c r="G880" s="24">
        <v>64809639</v>
      </c>
      <c r="H880" s="23">
        <v>5.0000000000000001E-3</v>
      </c>
      <c r="I880" s="39">
        <v>44545</v>
      </c>
      <c r="J880" s="39">
        <v>44561</v>
      </c>
      <c r="K880" s="24">
        <v>17</v>
      </c>
      <c r="L880" s="24">
        <v>15093</v>
      </c>
      <c r="M880" s="24"/>
      <c r="N880" s="39">
        <v>46329</v>
      </c>
    </row>
    <row r="881" spans="1:14" s="5" customFormat="1" outlineLevel="2">
      <c r="A881" s="39" t="s">
        <v>257</v>
      </c>
      <c r="B881" s="40" t="s">
        <v>185</v>
      </c>
      <c r="C881" s="41" t="s">
        <v>398</v>
      </c>
      <c r="D881" s="40" t="s">
        <v>397</v>
      </c>
      <c r="E881" s="24">
        <v>30610000</v>
      </c>
      <c r="F881" s="39">
        <v>44504</v>
      </c>
      <c r="G881" s="24">
        <v>30610000</v>
      </c>
      <c r="H881" s="23">
        <v>5.0000000000000001E-3</v>
      </c>
      <c r="I881" s="39">
        <v>44531</v>
      </c>
      <c r="J881" s="39">
        <v>44544</v>
      </c>
      <c r="K881" s="24">
        <v>14</v>
      </c>
      <c r="L881" s="24">
        <v>5870</v>
      </c>
      <c r="M881" s="24">
        <v>30350593</v>
      </c>
      <c r="N881" s="39">
        <v>46329</v>
      </c>
    </row>
    <row r="882" spans="1:14" s="5" customFormat="1" outlineLevel="2">
      <c r="A882" s="39" t="s">
        <v>257</v>
      </c>
      <c r="B882" s="40" t="s">
        <v>185</v>
      </c>
      <c r="C882" s="41" t="s">
        <v>398</v>
      </c>
      <c r="D882" s="40"/>
      <c r="E882" s="24"/>
      <c r="F882" s="39"/>
      <c r="G882" s="24">
        <v>30350593</v>
      </c>
      <c r="H882" s="23">
        <v>5.0000000000000001E-3</v>
      </c>
      <c r="I882" s="39">
        <v>44545</v>
      </c>
      <c r="J882" s="39">
        <v>44561</v>
      </c>
      <c r="K882" s="24">
        <v>17</v>
      </c>
      <c r="L882" s="24">
        <v>7068</v>
      </c>
      <c r="M882" s="24"/>
      <c r="N882" s="39">
        <v>46329</v>
      </c>
    </row>
    <row r="883" spans="1:14" s="5" customFormat="1" outlineLevel="2">
      <c r="A883" s="39" t="s">
        <v>257</v>
      </c>
      <c r="B883" s="40" t="s">
        <v>186</v>
      </c>
      <c r="C883" s="41" t="s">
        <v>447</v>
      </c>
      <c r="D883" s="40" t="s">
        <v>446</v>
      </c>
      <c r="E883" s="24">
        <v>74400000</v>
      </c>
      <c r="F883" s="39">
        <v>44505</v>
      </c>
      <c r="G883" s="24">
        <v>74400000</v>
      </c>
      <c r="H883" s="23">
        <v>5.0000000000000001E-3</v>
      </c>
      <c r="I883" s="39">
        <v>44531</v>
      </c>
      <c r="J883" s="39">
        <v>44561</v>
      </c>
      <c r="K883" s="24">
        <v>31</v>
      </c>
      <c r="L883" s="24">
        <v>31595</v>
      </c>
      <c r="M883" s="24">
        <v>74400000</v>
      </c>
      <c r="N883" s="39">
        <v>45600</v>
      </c>
    </row>
    <row r="884" spans="1:14" s="5" customFormat="1" outlineLevel="2">
      <c r="A884" s="39" t="s">
        <v>257</v>
      </c>
      <c r="B884" s="40" t="s">
        <v>189</v>
      </c>
      <c r="C884" s="41" t="s">
        <v>447</v>
      </c>
      <c r="D884" s="40" t="s">
        <v>446</v>
      </c>
      <c r="E884" s="24">
        <v>16000000</v>
      </c>
      <c r="F884" s="39">
        <v>44505</v>
      </c>
      <c r="G884" s="24">
        <v>16000000</v>
      </c>
      <c r="H884" s="23">
        <v>5.0000000000000001E-3</v>
      </c>
      <c r="I884" s="39">
        <v>44531</v>
      </c>
      <c r="J884" s="39">
        <v>44561</v>
      </c>
      <c r="K884" s="24">
        <v>31</v>
      </c>
      <c r="L884" s="24">
        <v>6795</v>
      </c>
      <c r="M884" s="24">
        <v>16000000</v>
      </c>
      <c r="N884" s="39">
        <v>45600</v>
      </c>
    </row>
    <row r="885" spans="1:14" s="5" customFormat="1" outlineLevel="2">
      <c r="A885" s="39" t="s">
        <v>257</v>
      </c>
      <c r="B885" s="40" t="s">
        <v>190</v>
      </c>
      <c r="C885" s="41" t="s">
        <v>262</v>
      </c>
      <c r="D885" s="40" t="s">
        <v>259</v>
      </c>
      <c r="E885" s="24">
        <v>11580000</v>
      </c>
      <c r="F885" s="39">
        <v>44545</v>
      </c>
      <c r="G885" s="24">
        <v>11580000</v>
      </c>
      <c r="H885" s="23">
        <v>5.0000000000000001E-3</v>
      </c>
      <c r="I885" s="39">
        <v>44545</v>
      </c>
      <c r="J885" s="39">
        <v>44561</v>
      </c>
      <c r="K885" s="24">
        <v>17</v>
      </c>
      <c r="L885" s="24">
        <v>2697</v>
      </c>
      <c r="M885" s="24">
        <v>11580000</v>
      </c>
      <c r="N885" s="39">
        <v>46370</v>
      </c>
    </row>
    <row r="886" spans="1:14" s="5" customFormat="1" outlineLevel="2">
      <c r="A886" s="39" t="s">
        <v>257</v>
      </c>
      <c r="B886" s="40" t="s">
        <v>191</v>
      </c>
      <c r="C886" s="41" t="s">
        <v>262</v>
      </c>
      <c r="D886" s="40" t="s">
        <v>259</v>
      </c>
      <c r="E886" s="24">
        <v>31150000</v>
      </c>
      <c r="F886" s="39">
        <v>44558</v>
      </c>
      <c r="G886" s="24">
        <v>31150000</v>
      </c>
      <c r="H886" s="23">
        <v>5.0000000000000001E-3</v>
      </c>
      <c r="I886" s="39">
        <v>44558</v>
      </c>
      <c r="J886" s="39">
        <v>44561</v>
      </c>
      <c r="K886" s="24">
        <v>4</v>
      </c>
      <c r="L886" s="24">
        <v>1707</v>
      </c>
      <c r="M886" s="24">
        <v>31150000</v>
      </c>
      <c r="N886" s="39">
        <v>46383</v>
      </c>
    </row>
    <row r="887" spans="1:14" s="5" customFormat="1" outlineLevel="2">
      <c r="A887" s="39" t="s">
        <v>257</v>
      </c>
      <c r="B887" s="40" t="s">
        <v>192</v>
      </c>
      <c r="C887" s="41" t="s">
        <v>447</v>
      </c>
      <c r="D887" s="40" t="s">
        <v>446</v>
      </c>
      <c r="E887" s="24">
        <v>16000000</v>
      </c>
      <c r="F887" s="39">
        <v>44531</v>
      </c>
      <c r="G887" s="24">
        <v>16000000</v>
      </c>
      <c r="H887" s="23">
        <v>5.0000000000000001E-3</v>
      </c>
      <c r="I887" s="39">
        <v>44531</v>
      </c>
      <c r="J887" s="39">
        <v>44561</v>
      </c>
      <c r="K887" s="24">
        <v>31</v>
      </c>
      <c r="L887" s="24">
        <v>6795</v>
      </c>
      <c r="M887" s="24">
        <v>16000000</v>
      </c>
      <c r="N887" s="39">
        <v>45626</v>
      </c>
    </row>
    <row r="888" spans="1:14" s="5" customFormat="1" outlineLevel="2">
      <c r="A888" s="39" t="s">
        <v>257</v>
      </c>
      <c r="B888" s="40" t="s">
        <v>64</v>
      </c>
      <c r="C888" s="41" t="s">
        <v>260</v>
      </c>
      <c r="D888" s="40" t="s">
        <v>261</v>
      </c>
      <c r="E888" s="24">
        <v>710000</v>
      </c>
      <c r="F888" s="39">
        <v>44110</v>
      </c>
      <c r="G888" s="24">
        <v>540000</v>
      </c>
      <c r="H888" s="23">
        <v>5.0000000000000001E-3</v>
      </c>
      <c r="I888" s="39">
        <v>44531</v>
      </c>
      <c r="J888" s="39">
        <v>44544</v>
      </c>
      <c r="K888" s="24">
        <v>14</v>
      </c>
      <c r="L888" s="24">
        <v>104</v>
      </c>
      <c r="M888" s="24">
        <v>528000</v>
      </c>
      <c r="N888" s="39">
        <v>45935</v>
      </c>
    </row>
    <row r="889" spans="1:14" s="5" customFormat="1" outlineLevel="2">
      <c r="A889" s="39" t="s">
        <v>257</v>
      </c>
      <c r="B889" s="40" t="s">
        <v>64</v>
      </c>
      <c r="C889" s="41" t="s">
        <v>260</v>
      </c>
      <c r="D889" s="40"/>
      <c r="E889" s="24"/>
      <c r="F889" s="39"/>
      <c r="G889" s="24">
        <v>528000</v>
      </c>
      <c r="H889" s="23">
        <v>5.0000000000000001E-3</v>
      </c>
      <c r="I889" s="39">
        <v>44545</v>
      </c>
      <c r="J889" s="39">
        <v>44561</v>
      </c>
      <c r="K889" s="24">
        <v>17</v>
      </c>
      <c r="L889" s="24">
        <v>123</v>
      </c>
      <c r="M889" s="24"/>
      <c r="N889" s="39">
        <v>45935</v>
      </c>
    </row>
    <row r="890" spans="1:14" s="5" customFormat="1" outlineLevel="2">
      <c r="A890" s="39" t="s">
        <v>257</v>
      </c>
      <c r="B890" s="40" t="s">
        <v>65</v>
      </c>
      <c r="C890" s="41" t="s">
        <v>260</v>
      </c>
      <c r="D890" s="40" t="s">
        <v>261</v>
      </c>
      <c r="E890" s="24">
        <v>830000</v>
      </c>
      <c r="F890" s="39">
        <v>44137</v>
      </c>
      <c r="G890" s="24">
        <v>630000</v>
      </c>
      <c r="H890" s="23">
        <v>5.0000000000000001E-3</v>
      </c>
      <c r="I890" s="39">
        <v>44531</v>
      </c>
      <c r="J890" s="39">
        <v>44544</v>
      </c>
      <c r="K890" s="24">
        <v>14</v>
      </c>
      <c r="L890" s="24">
        <v>121</v>
      </c>
      <c r="M890" s="24">
        <v>616000</v>
      </c>
      <c r="N890" s="39">
        <v>45962</v>
      </c>
    </row>
    <row r="891" spans="1:14" s="5" customFormat="1" outlineLevel="2">
      <c r="A891" s="39" t="s">
        <v>257</v>
      </c>
      <c r="B891" s="40" t="s">
        <v>65</v>
      </c>
      <c r="C891" s="41" t="s">
        <v>260</v>
      </c>
      <c r="D891" s="40"/>
      <c r="E891" s="24"/>
      <c r="F891" s="39"/>
      <c r="G891" s="24">
        <v>616000</v>
      </c>
      <c r="H891" s="23">
        <v>5.0000000000000001E-3</v>
      </c>
      <c r="I891" s="39">
        <v>44545</v>
      </c>
      <c r="J891" s="39">
        <v>44561</v>
      </c>
      <c r="K891" s="24">
        <v>17</v>
      </c>
      <c r="L891" s="24">
        <v>143</v>
      </c>
      <c r="M891" s="24"/>
      <c r="N891" s="39">
        <v>45962</v>
      </c>
    </row>
    <row r="892" spans="1:14" s="5" customFormat="1" outlineLevel="2">
      <c r="A892" s="39" t="s">
        <v>257</v>
      </c>
      <c r="B892" s="40" t="s">
        <v>68</v>
      </c>
      <c r="C892" s="41" t="s">
        <v>260</v>
      </c>
      <c r="D892" s="40" t="s">
        <v>261</v>
      </c>
      <c r="E892" s="24">
        <v>180000</v>
      </c>
      <c r="F892" s="39">
        <v>44141</v>
      </c>
      <c r="G892" s="24">
        <v>135000</v>
      </c>
      <c r="H892" s="23">
        <v>5.0000000000000001E-3</v>
      </c>
      <c r="I892" s="39">
        <v>44531</v>
      </c>
      <c r="J892" s="39">
        <v>44544</v>
      </c>
      <c r="K892" s="24">
        <v>14</v>
      </c>
      <c r="L892" s="24">
        <v>26</v>
      </c>
      <c r="M892" s="24">
        <v>132000</v>
      </c>
      <c r="N892" s="39">
        <v>45966</v>
      </c>
    </row>
    <row r="893" spans="1:14" s="5" customFormat="1" outlineLevel="2">
      <c r="A893" s="39" t="s">
        <v>257</v>
      </c>
      <c r="B893" s="40" t="s">
        <v>68</v>
      </c>
      <c r="C893" s="41" t="s">
        <v>260</v>
      </c>
      <c r="D893" s="40"/>
      <c r="E893" s="24"/>
      <c r="F893" s="39"/>
      <c r="G893" s="24">
        <v>132000</v>
      </c>
      <c r="H893" s="23">
        <v>5.0000000000000001E-3</v>
      </c>
      <c r="I893" s="39">
        <v>44545</v>
      </c>
      <c r="J893" s="39">
        <v>44561</v>
      </c>
      <c r="K893" s="24">
        <v>17</v>
      </c>
      <c r="L893" s="24">
        <v>31</v>
      </c>
      <c r="M893" s="24"/>
      <c r="N893" s="39">
        <v>45966</v>
      </c>
    </row>
    <row r="894" spans="1:14" s="5" customFormat="1" outlineLevel="1">
      <c r="A894" s="42" t="s">
        <v>263</v>
      </c>
      <c r="B894" s="43"/>
      <c r="C894" s="44"/>
      <c r="D894" s="43"/>
      <c r="E894" s="45">
        <v>1703120000</v>
      </c>
      <c r="F894" s="46"/>
      <c r="G894" s="45"/>
      <c r="H894" s="47"/>
      <c r="I894" s="46"/>
      <c r="J894" s="46"/>
      <c r="K894" s="45"/>
      <c r="L894" s="45">
        <v>686928</v>
      </c>
      <c r="M894" s="45">
        <v>1644903183</v>
      </c>
      <c r="N894" s="46"/>
    </row>
    <row r="895" spans="1:14" s="5" customFormat="1" outlineLevel="2">
      <c r="A895" s="39" t="s">
        <v>264</v>
      </c>
      <c r="B895" s="40" t="s">
        <v>16</v>
      </c>
      <c r="C895" s="41" t="s">
        <v>27</v>
      </c>
      <c r="D895" s="40" t="s">
        <v>28</v>
      </c>
      <c r="E895" s="24">
        <v>26000000</v>
      </c>
      <c r="F895" s="39">
        <v>44140</v>
      </c>
      <c r="G895" s="24">
        <v>26000000</v>
      </c>
      <c r="H895" s="23">
        <v>5.0000000000000001E-3</v>
      </c>
      <c r="I895" s="39">
        <v>44531</v>
      </c>
      <c r="J895" s="39">
        <v>44561</v>
      </c>
      <c r="K895" s="24">
        <v>31</v>
      </c>
      <c r="L895" s="24">
        <v>11041</v>
      </c>
      <c r="M895" s="24">
        <v>26000000</v>
      </c>
      <c r="N895" s="39">
        <v>45965</v>
      </c>
    </row>
    <row r="896" spans="1:14" s="5" customFormat="1" outlineLevel="2">
      <c r="A896" s="39" t="s">
        <v>264</v>
      </c>
      <c r="B896" s="40" t="s">
        <v>39</v>
      </c>
      <c r="C896" s="41" t="s">
        <v>27</v>
      </c>
      <c r="D896" s="40" t="s">
        <v>28</v>
      </c>
      <c r="E896" s="24">
        <v>10250000</v>
      </c>
      <c r="F896" s="39">
        <v>44140</v>
      </c>
      <c r="G896" s="24">
        <v>10250000</v>
      </c>
      <c r="H896" s="23">
        <v>5.0000000000000001E-3</v>
      </c>
      <c r="I896" s="39">
        <v>44531</v>
      </c>
      <c r="J896" s="39">
        <v>44561</v>
      </c>
      <c r="K896" s="24">
        <v>31</v>
      </c>
      <c r="L896" s="24">
        <v>4353</v>
      </c>
      <c r="M896" s="24">
        <v>10250000</v>
      </c>
      <c r="N896" s="39">
        <v>45965</v>
      </c>
    </row>
    <row r="897" spans="1:14" s="5" customFormat="1" outlineLevel="2">
      <c r="A897" s="39" t="s">
        <v>264</v>
      </c>
      <c r="B897" s="40" t="s">
        <v>54</v>
      </c>
      <c r="C897" s="41" t="s">
        <v>27</v>
      </c>
      <c r="D897" s="40" t="s">
        <v>28</v>
      </c>
      <c r="E897" s="24">
        <v>3960000</v>
      </c>
      <c r="F897" s="39">
        <v>44148</v>
      </c>
      <c r="G897" s="24">
        <v>3960000</v>
      </c>
      <c r="H897" s="23">
        <v>5.0000000000000001E-3</v>
      </c>
      <c r="I897" s="39">
        <v>44531</v>
      </c>
      <c r="J897" s="39">
        <v>44561</v>
      </c>
      <c r="K897" s="24">
        <v>31</v>
      </c>
      <c r="L897" s="24">
        <v>1682</v>
      </c>
      <c r="M897" s="24">
        <v>3960000</v>
      </c>
      <c r="N897" s="39">
        <v>45973</v>
      </c>
    </row>
    <row r="898" spans="1:14" s="5" customFormat="1" outlineLevel="2">
      <c r="A898" s="39" t="s">
        <v>264</v>
      </c>
      <c r="B898" s="40" t="s">
        <v>59</v>
      </c>
      <c r="C898" s="41" t="s">
        <v>27</v>
      </c>
      <c r="D898" s="40" t="s">
        <v>28</v>
      </c>
      <c r="E898" s="24">
        <v>8000000</v>
      </c>
      <c r="F898" s="39">
        <v>44244</v>
      </c>
      <c r="G898" s="24">
        <v>8000000</v>
      </c>
      <c r="H898" s="23">
        <v>5.0000000000000001E-3</v>
      </c>
      <c r="I898" s="39">
        <v>44531</v>
      </c>
      <c r="J898" s="39">
        <v>44561</v>
      </c>
      <c r="K898" s="24">
        <v>31</v>
      </c>
      <c r="L898" s="24">
        <v>3397</v>
      </c>
      <c r="M898" s="24">
        <v>8000000</v>
      </c>
      <c r="N898" s="39">
        <v>46069</v>
      </c>
    </row>
    <row r="899" spans="1:14" s="5" customFormat="1" outlineLevel="2">
      <c r="A899" s="39" t="s">
        <v>264</v>
      </c>
      <c r="B899" s="40" t="s">
        <v>62</v>
      </c>
      <c r="C899" s="41" t="s">
        <v>27</v>
      </c>
      <c r="D899" s="40" t="s">
        <v>28</v>
      </c>
      <c r="E899" s="24">
        <v>28560000</v>
      </c>
      <c r="F899" s="39">
        <v>44403</v>
      </c>
      <c r="G899" s="24">
        <v>28560000</v>
      </c>
      <c r="H899" s="23">
        <v>5.0000000000000001E-3</v>
      </c>
      <c r="I899" s="39">
        <v>44531</v>
      </c>
      <c r="J899" s="39">
        <v>44561</v>
      </c>
      <c r="K899" s="24">
        <v>31</v>
      </c>
      <c r="L899" s="24">
        <v>12128</v>
      </c>
      <c r="M899" s="24">
        <v>28560000</v>
      </c>
      <c r="N899" s="39">
        <v>46228</v>
      </c>
    </row>
    <row r="900" spans="1:14" s="5" customFormat="1" outlineLevel="2">
      <c r="A900" s="39" t="s">
        <v>264</v>
      </c>
      <c r="B900" s="40" t="s">
        <v>63</v>
      </c>
      <c r="C900" s="41" t="s">
        <v>27</v>
      </c>
      <c r="D900" s="40" t="s">
        <v>28</v>
      </c>
      <c r="E900" s="24">
        <v>9110000</v>
      </c>
      <c r="F900" s="39">
        <v>44501</v>
      </c>
      <c r="G900" s="24">
        <v>9110000</v>
      </c>
      <c r="H900" s="23">
        <v>5.0000000000000001E-3</v>
      </c>
      <c r="I900" s="39">
        <v>44531</v>
      </c>
      <c r="J900" s="39">
        <v>44561</v>
      </c>
      <c r="K900" s="24">
        <v>31</v>
      </c>
      <c r="L900" s="24">
        <v>3869</v>
      </c>
      <c r="M900" s="24">
        <v>9110000</v>
      </c>
      <c r="N900" s="39">
        <v>46326</v>
      </c>
    </row>
    <row r="901" spans="1:14" s="5" customFormat="1" outlineLevel="2">
      <c r="A901" s="39" t="s">
        <v>264</v>
      </c>
      <c r="B901" s="40" t="s">
        <v>64</v>
      </c>
      <c r="C901" s="41" t="s">
        <v>27</v>
      </c>
      <c r="D901" s="40" t="s">
        <v>28</v>
      </c>
      <c r="E901" s="24">
        <v>19650000</v>
      </c>
      <c r="F901" s="39">
        <v>44508</v>
      </c>
      <c r="G901" s="24">
        <v>19650000</v>
      </c>
      <c r="H901" s="23">
        <v>5.0000000000000001E-3</v>
      </c>
      <c r="I901" s="39">
        <v>44531</v>
      </c>
      <c r="J901" s="39">
        <v>44561</v>
      </c>
      <c r="K901" s="24">
        <v>31</v>
      </c>
      <c r="L901" s="24">
        <v>8345</v>
      </c>
      <c r="M901" s="24">
        <v>19650000</v>
      </c>
      <c r="N901" s="39">
        <v>46333</v>
      </c>
    </row>
    <row r="902" spans="1:14" s="5" customFormat="1" outlineLevel="2">
      <c r="A902" s="39" t="s">
        <v>264</v>
      </c>
      <c r="B902" s="40" t="s">
        <v>65</v>
      </c>
      <c r="C902" s="41" t="s">
        <v>27</v>
      </c>
      <c r="D902" s="40" t="s">
        <v>28</v>
      </c>
      <c r="E902" s="24">
        <v>3960000</v>
      </c>
      <c r="F902" s="39">
        <v>44508</v>
      </c>
      <c r="G902" s="24">
        <v>3960000</v>
      </c>
      <c r="H902" s="23">
        <v>5.0000000000000001E-3</v>
      </c>
      <c r="I902" s="39">
        <v>44531</v>
      </c>
      <c r="J902" s="39">
        <v>44561</v>
      </c>
      <c r="K902" s="24">
        <v>31</v>
      </c>
      <c r="L902" s="24">
        <v>1682</v>
      </c>
      <c r="M902" s="24">
        <v>3960000</v>
      </c>
      <c r="N902" s="39">
        <v>46333</v>
      </c>
    </row>
    <row r="903" spans="1:14" s="5" customFormat="1" outlineLevel="2">
      <c r="A903" s="39" t="s">
        <v>264</v>
      </c>
      <c r="B903" s="40" t="s">
        <v>68</v>
      </c>
      <c r="C903" s="41" t="s">
        <v>27</v>
      </c>
      <c r="D903" s="40" t="s">
        <v>28</v>
      </c>
      <c r="E903" s="24">
        <v>9110000</v>
      </c>
      <c r="F903" s="39">
        <v>44515</v>
      </c>
      <c r="G903" s="24">
        <v>9110000</v>
      </c>
      <c r="H903" s="23">
        <v>5.0000000000000001E-3</v>
      </c>
      <c r="I903" s="39">
        <v>44531</v>
      </c>
      <c r="J903" s="39">
        <v>44561</v>
      </c>
      <c r="K903" s="24">
        <v>31</v>
      </c>
      <c r="L903" s="24">
        <v>3869</v>
      </c>
      <c r="M903" s="24">
        <v>9110000</v>
      </c>
      <c r="N903" s="39">
        <v>46340</v>
      </c>
    </row>
    <row r="904" spans="1:14" s="5" customFormat="1" outlineLevel="1">
      <c r="A904" s="42" t="s">
        <v>265</v>
      </c>
      <c r="B904" s="43"/>
      <c r="C904" s="44"/>
      <c r="D904" s="43"/>
      <c r="E904" s="45">
        <v>118600000</v>
      </c>
      <c r="F904" s="46"/>
      <c r="G904" s="45"/>
      <c r="H904" s="47"/>
      <c r="I904" s="46"/>
      <c r="J904" s="46"/>
      <c r="K904" s="45"/>
      <c r="L904" s="45">
        <v>50366</v>
      </c>
      <c r="M904" s="45">
        <v>118600000</v>
      </c>
      <c r="N904" s="46"/>
    </row>
    <row r="905" spans="1:14" s="5" customFormat="1" outlineLevel="2">
      <c r="A905" s="39" t="s">
        <v>266</v>
      </c>
      <c r="B905" s="40" t="s">
        <v>16</v>
      </c>
      <c r="C905" s="41" t="s">
        <v>128</v>
      </c>
      <c r="D905" s="40" t="s">
        <v>129</v>
      </c>
      <c r="E905" s="24">
        <v>50000000</v>
      </c>
      <c r="F905" s="39">
        <v>44099</v>
      </c>
      <c r="G905" s="24">
        <v>50000000</v>
      </c>
      <c r="H905" s="23">
        <v>5.0000000000000001E-3</v>
      </c>
      <c r="I905" s="39">
        <v>44531</v>
      </c>
      <c r="J905" s="39">
        <v>44561</v>
      </c>
      <c r="K905" s="24">
        <v>31</v>
      </c>
      <c r="L905" s="24">
        <v>21233</v>
      </c>
      <c r="M905" s="24">
        <v>50000000</v>
      </c>
      <c r="N905" s="39">
        <v>45924</v>
      </c>
    </row>
    <row r="906" spans="1:14" s="5" customFormat="1" outlineLevel="2">
      <c r="A906" s="39" t="s">
        <v>266</v>
      </c>
      <c r="B906" s="40" t="s">
        <v>39</v>
      </c>
      <c r="C906" s="41" t="s">
        <v>128</v>
      </c>
      <c r="D906" s="40" t="s">
        <v>129</v>
      </c>
      <c r="E906" s="24">
        <v>30000000</v>
      </c>
      <c r="F906" s="39">
        <v>44232</v>
      </c>
      <c r="G906" s="24">
        <v>30000000</v>
      </c>
      <c r="H906" s="23">
        <v>5.0000000000000001E-3</v>
      </c>
      <c r="I906" s="39">
        <v>44531</v>
      </c>
      <c r="J906" s="39">
        <v>44561</v>
      </c>
      <c r="K906" s="24">
        <v>31</v>
      </c>
      <c r="L906" s="24">
        <v>12740</v>
      </c>
      <c r="M906" s="24">
        <v>30000000</v>
      </c>
      <c r="N906" s="39">
        <v>46057</v>
      </c>
    </row>
    <row r="907" spans="1:14" s="5" customFormat="1" outlineLevel="2">
      <c r="A907" s="39" t="s">
        <v>266</v>
      </c>
      <c r="B907" s="40" t="s">
        <v>54</v>
      </c>
      <c r="C907" s="41" t="s">
        <v>128</v>
      </c>
      <c r="D907" s="40" t="s">
        <v>129</v>
      </c>
      <c r="E907" s="24">
        <v>34000000</v>
      </c>
      <c r="F907" s="39">
        <v>44484</v>
      </c>
      <c r="G907" s="24">
        <v>34000000</v>
      </c>
      <c r="H907" s="23">
        <v>5.0000000000000001E-3</v>
      </c>
      <c r="I907" s="39">
        <v>44531</v>
      </c>
      <c r="J907" s="39">
        <v>44561</v>
      </c>
      <c r="K907" s="24">
        <v>31</v>
      </c>
      <c r="L907" s="24">
        <v>14438</v>
      </c>
      <c r="M907" s="24">
        <v>34000000</v>
      </c>
      <c r="N907" s="39">
        <v>46309</v>
      </c>
    </row>
    <row r="908" spans="1:14" s="5" customFormat="1" outlineLevel="1">
      <c r="A908" s="42" t="s">
        <v>267</v>
      </c>
      <c r="B908" s="43"/>
      <c r="C908" s="44"/>
      <c r="D908" s="43"/>
      <c r="E908" s="45">
        <v>114000000</v>
      </c>
      <c r="F908" s="46"/>
      <c r="G908" s="45"/>
      <c r="H908" s="47"/>
      <c r="I908" s="46"/>
      <c r="J908" s="46"/>
      <c r="K908" s="45"/>
      <c r="L908" s="45">
        <v>48411</v>
      </c>
      <c r="M908" s="45">
        <v>114000000</v>
      </c>
      <c r="N908" s="46"/>
    </row>
    <row r="909" spans="1:14" s="5" customFormat="1" outlineLevel="2">
      <c r="A909" s="39" t="s">
        <v>268</v>
      </c>
      <c r="B909" s="40" t="s">
        <v>16</v>
      </c>
      <c r="C909" s="41" t="s">
        <v>20</v>
      </c>
      <c r="D909" s="40" t="s">
        <v>21</v>
      </c>
      <c r="E909" s="24">
        <v>43200000</v>
      </c>
      <c r="F909" s="39">
        <v>43937</v>
      </c>
      <c r="G909" s="24">
        <v>43200000</v>
      </c>
      <c r="H909" s="23">
        <v>3.0000000000000001E-3</v>
      </c>
      <c r="I909" s="39">
        <v>44531</v>
      </c>
      <c r="J909" s="39">
        <v>44561</v>
      </c>
      <c r="K909" s="24">
        <v>31</v>
      </c>
      <c r="L909" s="24">
        <v>11007</v>
      </c>
      <c r="M909" s="24">
        <v>43200000</v>
      </c>
      <c r="N909" s="39">
        <v>45762</v>
      </c>
    </row>
    <row r="910" spans="1:14" s="5" customFormat="1" outlineLevel="2">
      <c r="A910" s="39" t="s">
        <v>268</v>
      </c>
      <c r="B910" s="40" t="s">
        <v>39</v>
      </c>
      <c r="C910" s="41" t="s">
        <v>20</v>
      </c>
      <c r="D910" s="40" t="s">
        <v>21</v>
      </c>
      <c r="E910" s="24">
        <v>330000000</v>
      </c>
      <c r="F910" s="39">
        <v>44013</v>
      </c>
      <c r="G910" s="24">
        <v>330000000</v>
      </c>
      <c r="H910" s="23">
        <v>3.0000000000000001E-3</v>
      </c>
      <c r="I910" s="39">
        <v>44531</v>
      </c>
      <c r="J910" s="39">
        <v>44561</v>
      </c>
      <c r="K910" s="24">
        <v>31</v>
      </c>
      <c r="L910" s="24">
        <v>84082</v>
      </c>
      <c r="M910" s="24">
        <v>330000000</v>
      </c>
      <c r="N910" s="39">
        <v>45838</v>
      </c>
    </row>
    <row r="911" spans="1:14" s="5" customFormat="1" outlineLevel="2">
      <c r="A911" s="39" t="s">
        <v>268</v>
      </c>
      <c r="B911" s="40" t="s">
        <v>54</v>
      </c>
      <c r="C911" s="41" t="s">
        <v>20</v>
      </c>
      <c r="D911" s="40" t="s">
        <v>21</v>
      </c>
      <c r="E911" s="24">
        <v>120000000</v>
      </c>
      <c r="F911" s="39">
        <v>44049</v>
      </c>
      <c r="G911" s="24">
        <v>120000000</v>
      </c>
      <c r="H911" s="23">
        <v>3.0000000000000001E-3</v>
      </c>
      <c r="I911" s="39">
        <v>44531</v>
      </c>
      <c r="J911" s="39">
        <v>44561</v>
      </c>
      <c r="K911" s="24">
        <v>31</v>
      </c>
      <c r="L911" s="24">
        <v>30575</v>
      </c>
      <c r="M911" s="24">
        <v>120000000</v>
      </c>
      <c r="N911" s="39">
        <v>45874</v>
      </c>
    </row>
    <row r="912" spans="1:14" s="5" customFormat="1" outlineLevel="2">
      <c r="A912" s="39" t="s">
        <v>268</v>
      </c>
      <c r="B912" s="40" t="s">
        <v>59</v>
      </c>
      <c r="C912" s="41" t="s">
        <v>20</v>
      </c>
      <c r="D912" s="40" t="s">
        <v>21</v>
      </c>
      <c r="E912" s="24">
        <v>39840000</v>
      </c>
      <c r="F912" s="39">
        <v>44111</v>
      </c>
      <c r="G912" s="24">
        <v>39840000</v>
      </c>
      <c r="H912" s="23">
        <v>3.0000000000000001E-3</v>
      </c>
      <c r="I912" s="39">
        <v>44531</v>
      </c>
      <c r="J912" s="39">
        <v>44561</v>
      </c>
      <c r="K912" s="24">
        <v>31</v>
      </c>
      <c r="L912" s="24">
        <v>10151</v>
      </c>
      <c r="M912" s="24">
        <v>39840000</v>
      </c>
      <c r="N912" s="39">
        <v>45936</v>
      </c>
    </row>
    <row r="913" spans="1:14" s="5" customFormat="1" outlineLevel="2">
      <c r="A913" s="39" t="s">
        <v>268</v>
      </c>
      <c r="B913" s="40" t="s">
        <v>62</v>
      </c>
      <c r="C913" s="41" t="s">
        <v>20</v>
      </c>
      <c r="D913" s="40" t="s">
        <v>21</v>
      </c>
      <c r="E913" s="24">
        <v>252000000</v>
      </c>
      <c r="F913" s="39">
        <v>44231</v>
      </c>
      <c r="G913" s="24">
        <v>252000000</v>
      </c>
      <c r="H913" s="23">
        <v>3.0000000000000001E-3</v>
      </c>
      <c r="I913" s="39">
        <v>44531</v>
      </c>
      <c r="J913" s="39">
        <v>44561</v>
      </c>
      <c r="K913" s="24">
        <v>31</v>
      </c>
      <c r="L913" s="24">
        <v>64208</v>
      </c>
      <c r="M913" s="24">
        <v>252000000</v>
      </c>
      <c r="N913" s="39">
        <v>46056</v>
      </c>
    </row>
    <row r="914" spans="1:14" s="5" customFormat="1" outlineLevel="2">
      <c r="A914" s="39" t="s">
        <v>268</v>
      </c>
      <c r="B914" s="40" t="s">
        <v>63</v>
      </c>
      <c r="C914" s="41" t="s">
        <v>280</v>
      </c>
      <c r="D914" s="40" t="s">
        <v>281</v>
      </c>
      <c r="E914" s="24">
        <v>250000000</v>
      </c>
      <c r="F914" s="39">
        <v>44228</v>
      </c>
      <c r="G914" s="24">
        <v>250000000</v>
      </c>
      <c r="H914" s="23">
        <v>3.0000000000000001E-3</v>
      </c>
      <c r="I914" s="39">
        <v>44531</v>
      </c>
      <c r="J914" s="39">
        <v>44561</v>
      </c>
      <c r="K914" s="24">
        <v>31</v>
      </c>
      <c r="L914" s="24">
        <v>63699</v>
      </c>
      <c r="M914" s="24">
        <v>250000000</v>
      </c>
      <c r="N914" s="39">
        <v>46053</v>
      </c>
    </row>
    <row r="915" spans="1:14" s="5" customFormat="1" outlineLevel="2">
      <c r="A915" s="39" t="s">
        <v>268</v>
      </c>
      <c r="B915" s="40" t="s">
        <v>64</v>
      </c>
      <c r="C915" s="41" t="s">
        <v>280</v>
      </c>
      <c r="D915" s="40" t="s">
        <v>281</v>
      </c>
      <c r="E915" s="24">
        <v>50000000</v>
      </c>
      <c r="F915" s="39">
        <v>44347</v>
      </c>
      <c r="G915" s="24">
        <v>50000000</v>
      </c>
      <c r="H915" s="23">
        <v>3.0000000000000001E-3</v>
      </c>
      <c r="I915" s="39">
        <v>44531</v>
      </c>
      <c r="J915" s="39">
        <v>44561</v>
      </c>
      <c r="K915" s="24">
        <v>31</v>
      </c>
      <c r="L915" s="24">
        <v>12740</v>
      </c>
      <c r="M915" s="24">
        <v>50000000</v>
      </c>
      <c r="N915" s="39">
        <v>45807</v>
      </c>
    </row>
    <row r="916" spans="1:14" s="5" customFormat="1" outlineLevel="2">
      <c r="A916" s="39" t="s">
        <v>268</v>
      </c>
      <c r="B916" s="40" t="s">
        <v>65</v>
      </c>
      <c r="C916" s="41" t="s">
        <v>20</v>
      </c>
      <c r="D916" s="40" t="s">
        <v>21</v>
      </c>
      <c r="E916" s="24">
        <v>19920000</v>
      </c>
      <c r="F916" s="39">
        <v>44504</v>
      </c>
      <c r="G916" s="24">
        <v>19920000</v>
      </c>
      <c r="H916" s="23">
        <v>3.0000000000000001E-3</v>
      </c>
      <c r="I916" s="39">
        <v>44531</v>
      </c>
      <c r="J916" s="39">
        <v>44561</v>
      </c>
      <c r="K916" s="24">
        <v>31</v>
      </c>
      <c r="L916" s="24">
        <v>5076</v>
      </c>
      <c r="M916" s="24">
        <v>19920000</v>
      </c>
      <c r="N916" s="39">
        <v>46329</v>
      </c>
    </row>
    <row r="917" spans="1:14" s="5" customFormat="1" outlineLevel="1">
      <c r="A917" s="42" t="s">
        <v>269</v>
      </c>
      <c r="B917" s="43"/>
      <c r="C917" s="44"/>
      <c r="D917" s="43"/>
      <c r="E917" s="45">
        <v>1104960000</v>
      </c>
      <c r="F917" s="46"/>
      <c r="G917" s="45"/>
      <c r="H917" s="47"/>
      <c r="I917" s="46"/>
      <c r="J917" s="46"/>
      <c r="K917" s="45"/>
      <c r="L917" s="45">
        <v>281538</v>
      </c>
      <c r="M917" s="45">
        <v>1104960000</v>
      </c>
      <c r="N917" s="46"/>
    </row>
    <row r="918" spans="1:14" s="5" customFormat="1" outlineLevel="2">
      <c r="A918" s="39" t="s">
        <v>343</v>
      </c>
      <c r="B918" s="40" t="s">
        <v>16</v>
      </c>
      <c r="C918" s="41" t="s">
        <v>246</v>
      </c>
      <c r="D918" s="40" t="s">
        <v>247</v>
      </c>
      <c r="E918" s="24">
        <v>1230000</v>
      </c>
      <c r="F918" s="39">
        <v>44308</v>
      </c>
      <c r="G918" s="24">
        <v>1230000</v>
      </c>
      <c r="H918" s="23">
        <v>5.0000000000000001E-3</v>
      </c>
      <c r="I918" s="39">
        <v>44531</v>
      </c>
      <c r="J918" s="39">
        <v>44561</v>
      </c>
      <c r="K918" s="24">
        <v>31</v>
      </c>
      <c r="L918" s="24">
        <v>522</v>
      </c>
      <c r="M918" s="24">
        <v>1230000</v>
      </c>
      <c r="N918" s="39">
        <v>46133</v>
      </c>
    </row>
    <row r="919" spans="1:14" s="5" customFormat="1" outlineLevel="2">
      <c r="A919" s="39" t="s">
        <v>343</v>
      </c>
      <c r="B919" s="40" t="s">
        <v>39</v>
      </c>
      <c r="C919" s="41" t="s">
        <v>246</v>
      </c>
      <c r="D919" s="40" t="s">
        <v>247</v>
      </c>
      <c r="E919" s="24">
        <v>298770000</v>
      </c>
      <c r="F919" s="39">
        <v>44455</v>
      </c>
      <c r="G919" s="24">
        <v>298770000</v>
      </c>
      <c r="H919" s="23">
        <v>5.0000000000000001E-3</v>
      </c>
      <c r="I919" s="39">
        <v>44531</v>
      </c>
      <c r="J919" s="39">
        <v>44561</v>
      </c>
      <c r="K919" s="24">
        <v>31</v>
      </c>
      <c r="L919" s="24">
        <v>126875</v>
      </c>
      <c r="M919" s="24">
        <v>298770000</v>
      </c>
      <c r="N919" s="39">
        <v>46280</v>
      </c>
    </row>
    <row r="920" spans="1:14" s="5" customFormat="1" outlineLevel="1">
      <c r="A920" s="42" t="s">
        <v>342</v>
      </c>
      <c r="B920" s="43"/>
      <c r="C920" s="44"/>
      <c r="D920" s="43"/>
      <c r="E920" s="45">
        <v>300000000</v>
      </c>
      <c r="F920" s="46"/>
      <c r="G920" s="45"/>
      <c r="H920" s="47"/>
      <c r="I920" s="46"/>
      <c r="J920" s="46"/>
      <c r="K920" s="45"/>
      <c r="L920" s="45">
        <v>127397</v>
      </c>
      <c r="M920" s="45">
        <v>300000000</v>
      </c>
      <c r="N920" s="46"/>
    </row>
    <row r="921" spans="1:14" s="5" customFormat="1" outlineLevel="2">
      <c r="A921" s="39" t="s">
        <v>270</v>
      </c>
      <c r="B921" s="40" t="s">
        <v>16</v>
      </c>
      <c r="C921" s="41" t="s">
        <v>273</v>
      </c>
      <c r="D921" s="40" t="s">
        <v>272</v>
      </c>
      <c r="E921" s="24">
        <v>126000000</v>
      </c>
      <c r="F921" s="39">
        <v>43804</v>
      </c>
      <c r="G921" s="24">
        <v>126000000</v>
      </c>
      <c r="H921" s="23">
        <v>5.0000000000000001E-3</v>
      </c>
      <c r="I921" s="39">
        <v>44531</v>
      </c>
      <c r="J921" s="39">
        <v>44561</v>
      </c>
      <c r="K921" s="24">
        <v>31</v>
      </c>
      <c r="L921" s="24">
        <v>53507</v>
      </c>
      <c r="M921" s="24">
        <v>126000000</v>
      </c>
      <c r="N921" s="39">
        <v>45630</v>
      </c>
    </row>
    <row r="922" spans="1:14" s="5" customFormat="1" outlineLevel="2">
      <c r="A922" s="39" t="s">
        <v>270</v>
      </c>
      <c r="B922" s="40" t="s">
        <v>19</v>
      </c>
      <c r="C922" s="41" t="s">
        <v>273</v>
      </c>
      <c r="D922" s="40" t="s">
        <v>272</v>
      </c>
      <c r="E922" s="24">
        <v>46600000</v>
      </c>
      <c r="F922" s="39">
        <v>43866</v>
      </c>
      <c r="G922" s="24">
        <v>46600000</v>
      </c>
      <c r="H922" s="23">
        <v>5.0000000000000001E-3</v>
      </c>
      <c r="I922" s="39">
        <v>44531</v>
      </c>
      <c r="J922" s="39">
        <v>44561</v>
      </c>
      <c r="K922" s="24">
        <v>31</v>
      </c>
      <c r="L922" s="24">
        <v>19789</v>
      </c>
      <c r="M922" s="24">
        <v>46600000</v>
      </c>
      <c r="N922" s="39">
        <v>45692</v>
      </c>
    </row>
    <row r="923" spans="1:14" s="5" customFormat="1" outlineLevel="2">
      <c r="A923" s="39" t="s">
        <v>270</v>
      </c>
      <c r="B923" s="40" t="s">
        <v>145</v>
      </c>
      <c r="C923" s="41" t="s">
        <v>115</v>
      </c>
      <c r="D923" s="40" t="s">
        <v>116</v>
      </c>
      <c r="E923" s="24">
        <v>41000000</v>
      </c>
      <c r="F923" s="39">
        <v>44337</v>
      </c>
      <c r="G923" s="24">
        <v>41000000</v>
      </c>
      <c r="H923" s="23">
        <v>5.0000000000000001E-3</v>
      </c>
      <c r="I923" s="39">
        <v>44531</v>
      </c>
      <c r="J923" s="39">
        <v>44561</v>
      </c>
      <c r="K923" s="24">
        <v>31</v>
      </c>
      <c r="L923" s="24">
        <v>17411</v>
      </c>
      <c r="M923" s="24">
        <v>41000000</v>
      </c>
      <c r="N923" s="39">
        <v>46162</v>
      </c>
    </row>
    <row r="924" spans="1:14" s="5" customFormat="1" outlineLevel="2">
      <c r="A924" s="39" t="s">
        <v>270</v>
      </c>
      <c r="B924" s="40" t="s">
        <v>148</v>
      </c>
      <c r="C924" s="41" t="s">
        <v>143</v>
      </c>
      <c r="D924" s="40" t="s">
        <v>144</v>
      </c>
      <c r="E924" s="24">
        <v>2900000</v>
      </c>
      <c r="F924" s="39">
        <v>44319</v>
      </c>
      <c r="G924" s="24">
        <v>2900000</v>
      </c>
      <c r="H924" s="23">
        <v>5.0000000000000001E-3</v>
      </c>
      <c r="I924" s="39">
        <v>44531</v>
      </c>
      <c r="J924" s="39">
        <v>44561</v>
      </c>
      <c r="K924" s="24">
        <v>31</v>
      </c>
      <c r="L924" s="24">
        <v>1232</v>
      </c>
      <c r="M924" s="24">
        <v>2900000</v>
      </c>
      <c r="N924" s="39">
        <v>46144</v>
      </c>
    </row>
    <row r="925" spans="1:14" s="5" customFormat="1" outlineLevel="2">
      <c r="A925" s="39" t="s">
        <v>270</v>
      </c>
      <c r="B925" s="40" t="s">
        <v>151</v>
      </c>
      <c r="C925" s="41" t="s">
        <v>143</v>
      </c>
      <c r="D925" s="40" t="s">
        <v>144</v>
      </c>
      <c r="E925" s="24">
        <v>6800000</v>
      </c>
      <c r="F925" s="39">
        <v>44327</v>
      </c>
      <c r="G925" s="24">
        <v>6800000</v>
      </c>
      <c r="H925" s="23">
        <v>5.0000000000000001E-3</v>
      </c>
      <c r="I925" s="39">
        <v>44531</v>
      </c>
      <c r="J925" s="39">
        <v>44561</v>
      </c>
      <c r="K925" s="24">
        <v>31</v>
      </c>
      <c r="L925" s="24">
        <v>2888</v>
      </c>
      <c r="M925" s="24">
        <v>6800000</v>
      </c>
      <c r="N925" s="39">
        <v>46152</v>
      </c>
    </row>
    <row r="926" spans="1:14" s="5" customFormat="1" outlineLevel="2">
      <c r="A926" s="39" t="s">
        <v>270</v>
      </c>
      <c r="B926" s="40" t="s">
        <v>152</v>
      </c>
      <c r="C926" s="41" t="s">
        <v>143</v>
      </c>
      <c r="D926" s="40" t="s">
        <v>144</v>
      </c>
      <c r="E926" s="24">
        <v>1620000</v>
      </c>
      <c r="F926" s="39">
        <v>44347</v>
      </c>
      <c r="G926" s="24">
        <v>1620000</v>
      </c>
      <c r="H926" s="23">
        <v>5.0000000000000001E-3</v>
      </c>
      <c r="I926" s="39">
        <v>44531</v>
      </c>
      <c r="J926" s="39">
        <v>44561</v>
      </c>
      <c r="K926" s="24">
        <v>31</v>
      </c>
      <c r="L926" s="24">
        <v>688</v>
      </c>
      <c r="M926" s="24">
        <v>1620000</v>
      </c>
      <c r="N926" s="39">
        <v>46172</v>
      </c>
    </row>
    <row r="927" spans="1:14" s="5" customFormat="1" outlineLevel="2">
      <c r="A927" s="39" t="s">
        <v>270</v>
      </c>
      <c r="B927" s="40" t="s">
        <v>153</v>
      </c>
      <c r="C927" s="41" t="s">
        <v>273</v>
      </c>
      <c r="D927" s="40" t="s">
        <v>272</v>
      </c>
      <c r="E927" s="24">
        <v>1500000</v>
      </c>
      <c r="F927" s="39">
        <v>44321</v>
      </c>
      <c r="G927" s="24">
        <v>1500000</v>
      </c>
      <c r="H927" s="23">
        <v>5.0000000000000001E-3</v>
      </c>
      <c r="I927" s="39">
        <v>44531</v>
      </c>
      <c r="J927" s="39">
        <v>44561</v>
      </c>
      <c r="K927" s="24">
        <v>31</v>
      </c>
      <c r="L927" s="24">
        <v>637</v>
      </c>
      <c r="M927" s="24">
        <v>1500000</v>
      </c>
      <c r="N927" s="39">
        <v>46146</v>
      </c>
    </row>
    <row r="928" spans="1:14" s="5" customFormat="1" outlineLevel="2">
      <c r="A928" s="39" t="s">
        <v>270</v>
      </c>
      <c r="B928" s="40" t="s">
        <v>154</v>
      </c>
      <c r="C928" s="41" t="s">
        <v>273</v>
      </c>
      <c r="D928" s="40" t="s">
        <v>272</v>
      </c>
      <c r="E928" s="24">
        <v>18000000</v>
      </c>
      <c r="F928" s="39">
        <v>44321</v>
      </c>
      <c r="G928" s="24">
        <v>18000000</v>
      </c>
      <c r="H928" s="23">
        <v>5.0000000000000001E-3</v>
      </c>
      <c r="I928" s="39">
        <v>44531</v>
      </c>
      <c r="J928" s="39">
        <v>44561</v>
      </c>
      <c r="K928" s="24">
        <v>31</v>
      </c>
      <c r="L928" s="24">
        <v>7644</v>
      </c>
      <c r="M928" s="24">
        <v>18000000</v>
      </c>
      <c r="N928" s="39">
        <v>46146</v>
      </c>
    </row>
    <row r="929" spans="1:14" s="5" customFormat="1" outlineLevel="2">
      <c r="A929" s="39" t="s">
        <v>270</v>
      </c>
      <c r="B929" s="40" t="s">
        <v>157</v>
      </c>
      <c r="C929" s="41" t="s">
        <v>75</v>
      </c>
      <c r="D929" s="40" t="s">
        <v>76</v>
      </c>
      <c r="E929" s="24">
        <v>38590000</v>
      </c>
      <c r="F929" s="39">
        <v>44321</v>
      </c>
      <c r="G929" s="24">
        <v>38590000</v>
      </c>
      <c r="H929" s="23">
        <v>5.0000000000000001E-3</v>
      </c>
      <c r="I929" s="39">
        <v>44531</v>
      </c>
      <c r="J929" s="39">
        <v>44561</v>
      </c>
      <c r="K929" s="24">
        <v>31</v>
      </c>
      <c r="L929" s="24">
        <v>16388</v>
      </c>
      <c r="M929" s="24">
        <v>38590000</v>
      </c>
      <c r="N929" s="39">
        <v>46146</v>
      </c>
    </row>
    <row r="930" spans="1:14" s="5" customFormat="1" outlineLevel="2">
      <c r="A930" s="39" t="s">
        <v>270</v>
      </c>
      <c r="B930" s="40" t="s">
        <v>158</v>
      </c>
      <c r="C930" s="41" t="s">
        <v>322</v>
      </c>
      <c r="D930" s="40" t="s">
        <v>321</v>
      </c>
      <c r="E930" s="24">
        <v>4163250</v>
      </c>
      <c r="F930" s="39">
        <v>44377</v>
      </c>
      <c r="G930" s="24">
        <v>4163250</v>
      </c>
      <c r="H930" s="23">
        <v>5.0000000000000001E-3</v>
      </c>
      <c r="I930" s="39">
        <v>44531</v>
      </c>
      <c r="J930" s="39">
        <v>44561</v>
      </c>
      <c r="K930" s="24">
        <v>31</v>
      </c>
      <c r="L930" s="24">
        <v>1768</v>
      </c>
      <c r="M930" s="24">
        <v>4163250</v>
      </c>
      <c r="N930" s="39">
        <v>46202</v>
      </c>
    </row>
    <row r="931" spans="1:14" s="5" customFormat="1" outlineLevel="2">
      <c r="A931" s="39" t="s">
        <v>270</v>
      </c>
      <c r="B931" s="40" t="s">
        <v>159</v>
      </c>
      <c r="C931" s="41" t="s">
        <v>274</v>
      </c>
      <c r="D931" s="40" t="s">
        <v>275</v>
      </c>
      <c r="E931" s="24">
        <v>18388440</v>
      </c>
      <c r="F931" s="39">
        <v>44356</v>
      </c>
      <c r="G931" s="24">
        <v>18388440</v>
      </c>
      <c r="H931" s="23">
        <v>5.0000000000000001E-3</v>
      </c>
      <c r="I931" s="39">
        <v>44531</v>
      </c>
      <c r="J931" s="39">
        <v>44561</v>
      </c>
      <c r="K931" s="24">
        <v>31</v>
      </c>
      <c r="L931" s="24">
        <v>7809</v>
      </c>
      <c r="M931" s="24">
        <v>18388440</v>
      </c>
      <c r="N931" s="39">
        <v>46181</v>
      </c>
    </row>
    <row r="932" spans="1:14" s="5" customFormat="1" outlineLevel="2">
      <c r="A932" s="39" t="s">
        <v>270</v>
      </c>
      <c r="B932" s="40" t="s">
        <v>320</v>
      </c>
      <c r="C932" s="41" t="s">
        <v>274</v>
      </c>
      <c r="D932" s="40" t="s">
        <v>275</v>
      </c>
      <c r="E932" s="24">
        <v>21892380</v>
      </c>
      <c r="F932" s="39">
        <v>44356</v>
      </c>
      <c r="G932" s="24">
        <v>21892380</v>
      </c>
      <c r="H932" s="23">
        <v>5.0000000000000001E-3</v>
      </c>
      <c r="I932" s="39">
        <v>44531</v>
      </c>
      <c r="J932" s="39">
        <v>44561</v>
      </c>
      <c r="K932" s="24">
        <v>31</v>
      </c>
      <c r="L932" s="24">
        <v>9297</v>
      </c>
      <c r="M932" s="24">
        <v>21892380</v>
      </c>
      <c r="N932" s="39">
        <v>46181</v>
      </c>
    </row>
    <row r="933" spans="1:14" s="5" customFormat="1" outlineLevel="2">
      <c r="A933" s="39" t="s">
        <v>270</v>
      </c>
      <c r="B933" s="40" t="s">
        <v>22</v>
      </c>
      <c r="C933" s="41" t="s">
        <v>273</v>
      </c>
      <c r="D933" s="40" t="s">
        <v>272</v>
      </c>
      <c r="E933" s="24">
        <v>1300000</v>
      </c>
      <c r="F933" s="39">
        <v>43866</v>
      </c>
      <c r="G933" s="24">
        <v>1300000</v>
      </c>
      <c r="H933" s="23">
        <v>5.0000000000000001E-3</v>
      </c>
      <c r="I933" s="39">
        <v>44531</v>
      </c>
      <c r="J933" s="39">
        <v>44561</v>
      </c>
      <c r="K933" s="24">
        <v>31</v>
      </c>
      <c r="L933" s="24">
        <v>552</v>
      </c>
      <c r="M933" s="24">
        <v>1300000</v>
      </c>
      <c r="N933" s="39">
        <v>45692</v>
      </c>
    </row>
    <row r="934" spans="1:14" s="5" customFormat="1" outlineLevel="2">
      <c r="A934" s="39" t="s">
        <v>270</v>
      </c>
      <c r="B934" s="40" t="s">
        <v>319</v>
      </c>
      <c r="C934" s="41" t="s">
        <v>143</v>
      </c>
      <c r="D934" s="40" t="s">
        <v>144</v>
      </c>
      <c r="E934" s="24">
        <v>900000</v>
      </c>
      <c r="F934" s="39">
        <v>44368</v>
      </c>
      <c r="G934" s="24">
        <v>900000</v>
      </c>
      <c r="H934" s="23">
        <v>5.0000000000000001E-3</v>
      </c>
      <c r="I934" s="39">
        <v>44531</v>
      </c>
      <c r="J934" s="39">
        <v>44561</v>
      </c>
      <c r="K934" s="24">
        <v>31</v>
      </c>
      <c r="L934" s="24">
        <v>382</v>
      </c>
      <c r="M934" s="24">
        <v>900000</v>
      </c>
      <c r="N934" s="39">
        <v>46193</v>
      </c>
    </row>
    <row r="935" spans="1:14" s="5" customFormat="1" outlineLevel="2">
      <c r="A935" s="39" t="s">
        <v>270</v>
      </c>
      <c r="B935" s="40" t="s">
        <v>318</v>
      </c>
      <c r="C935" s="41" t="s">
        <v>273</v>
      </c>
      <c r="D935" s="40" t="s">
        <v>272</v>
      </c>
      <c r="E935" s="24">
        <v>13700000</v>
      </c>
      <c r="F935" s="39">
        <v>44351</v>
      </c>
      <c r="G935" s="24">
        <v>13700000</v>
      </c>
      <c r="H935" s="23">
        <v>5.0000000000000001E-3</v>
      </c>
      <c r="I935" s="39">
        <v>44531</v>
      </c>
      <c r="J935" s="39">
        <v>44561</v>
      </c>
      <c r="K935" s="24">
        <v>31</v>
      </c>
      <c r="L935" s="24">
        <v>5818</v>
      </c>
      <c r="M935" s="24">
        <v>13700000</v>
      </c>
      <c r="N935" s="39">
        <v>46176</v>
      </c>
    </row>
    <row r="936" spans="1:14" s="5" customFormat="1" outlineLevel="2">
      <c r="A936" s="39" t="s">
        <v>270</v>
      </c>
      <c r="B936" s="40" t="s">
        <v>317</v>
      </c>
      <c r="C936" s="41" t="s">
        <v>274</v>
      </c>
      <c r="D936" s="40" t="s">
        <v>275</v>
      </c>
      <c r="E936" s="24">
        <v>21892380</v>
      </c>
      <c r="F936" s="39">
        <v>44391</v>
      </c>
      <c r="G936" s="24">
        <v>21892380</v>
      </c>
      <c r="H936" s="23">
        <v>5.0000000000000001E-3</v>
      </c>
      <c r="I936" s="39">
        <v>44531</v>
      </c>
      <c r="J936" s="39">
        <v>44561</v>
      </c>
      <c r="K936" s="24">
        <v>31</v>
      </c>
      <c r="L936" s="24">
        <v>9297</v>
      </c>
      <c r="M936" s="24">
        <v>21892380</v>
      </c>
      <c r="N936" s="39">
        <v>46216</v>
      </c>
    </row>
    <row r="937" spans="1:14" s="5" customFormat="1" outlineLevel="2">
      <c r="A937" s="39" t="s">
        <v>270</v>
      </c>
      <c r="B937" s="40" t="s">
        <v>316</v>
      </c>
      <c r="C937" s="41" t="s">
        <v>274</v>
      </c>
      <c r="D937" s="40" t="s">
        <v>275</v>
      </c>
      <c r="E937" s="24">
        <v>14303880</v>
      </c>
      <c r="F937" s="39">
        <v>44391</v>
      </c>
      <c r="G937" s="24">
        <v>14303880</v>
      </c>
      <c r="H937" s="23">
        <v>5.0000000000000001E-3</v>
      </c>
      <c r="I937" s="39">
        <v>44531</v>
      </c>
      <c r="J937" s="39">
        <v>44561</v>
      </c>
      <c r="K937" s="24">
        <v>31</v>
      </c>
      <c r="L937" s="24">
        <v>6074</v>
      </c>
      <c r="M937" s="24">
        <v>14303880</v>
      </c>
      <c r="N937" s="39">
        <v>46216</v>
      </c>
    </row>
    <row r="938" spans="1:14" s="5" customFormat="1" outlineLevel="2">
      <c r="A938" s="39" t="s">
        <v>270</v>
      </c>
      <c r="B938" s="40" t="s">
        <v>315</v>
      </c>
      <c r="C938" s="41" t="s">
        <v>115</v>
      </c>
      <c r="D938" s="40" t="s">
        <v>116</v>
      </c>
      <c r="E938" s="24">
        <v>18650000</v>
      </c>
      <c r="F938" s="39">
        <v>44384</v>
      </c>
      <c r="G938" s="24">
        <v>18650000</v>
      </c>
      <c r="H938" s="23">
        <v>5.0000000000000001E-3</v>
      </c>
      <c r="I938" s="39">
        <v>44531</v>
      </c>
      <c r="J938" s="39">
        <v>44561</v>
      </c>
      <c r="K938" s="24">
        <v>31</v>
      </c>
      <c r="L938" s="24">
        <v>7920</v>
      </c>
      <c r="M938" s="24">
        <v>18650000</v>
      </c>
      <c r="N938" s="39">
        <v>46209</v>
      </c>
    </row>
    <row r="939" spans="1:14" s="5" customFormat="1" outlineLevel="2">
      <c r="A939" s="39" t="s">
        <v>270</v>
      </c>
      <c r="B939" s="40" t="s">
        <v>314</v>
      </c>
      <c r="C939" s="41" t="s">
        <v>273</v>
      </c>
      <c r="D939" s="40" t="s">
        <v>272</v>
      </c>
      <c r="E939" s="24">
        <v>16800000</v>
      </c>
      <c r="F939" s="39">
        <v>44382</v>
      </c>
      <c r="G939" s="24">
        <v>16800000</v>
      </c>
      <c r="H939" s="23">
        <v>5.0000000000000001E-3</v>
      </c>
      <c r="I939" s="39">
        <v>44531</v>
      </c>
      <c r="J939" s="39">
        <v>44561</v>
      </c>
      <c r="K939" s="24">
        <v>31</v>
      </c>
      <c r="L939" s="24">
        <v>7134</v>
      </c>
      <c r="M939" s="24">
        <v>16800000</v>
      </c>
      <c r="N939" s="39">
        <v>46207</v>
      </c>
    </row>
    <row r="940" spans="1:14" s="5" customFormat="1" outlineLevel="2">
      <c r="A940" s="39" t="s">
        <v>270</v>
      </c>
      <c r="B940" s="40" t="s">
        <v>313</v>
      </c>
      <c r="C940" s="41" t="s">
        <v>273</v>
      </c>
      <c r="D940" s="40" t="s">
        <v>272</v>
      </c>
      <c r="E940" s="24">
        <v>8400000</v>
      </c>
      <c r="F940" s="39">
        <v>44382</v>
      </c>
      <c r="G940" s="24">
        <v>8400000</v>
      </c>
      <c r="H940" s="23">
        <v>5.0000000000000001E-3</v>
      </c>
      <c r="I940" s="39">
        <v>44531</v>
      </c>
      <c r="J940" s="39">
        <v>44561</v>
      </c>
      <c r="K940" s="24">
        <v>31</v>
      </c>
      <c r="L940" s="24">
        <v>3567</v>
      </c>
      <c r="M940" s="24">
        <v>8400000</v>
      </c>
      <c r="N940" s="39">
        <v>46207</v>
      </c>
    </row>
    <row r="941" spans="1:14" s="5" customFormat="1" outlineLevel="2">
      <c r="A941" s="39" t="s">
        <v>270</v>
      </c>
      <c r="B941" s="40" t="s">
        <v>312</v>
      </c>
      <c r="C941" s="41" t="s">
        <v>273</v>
      </c>
      <c r="D941" s="40" t="s">
        <v>272</v>
      </c>
      <c r="E941" s="24">
        <v>14100000</v>
      </c>
      <c r="F941" s="39">
        <v>44382</v>
      </c>
      <c r="G941" s="24">
        <v>14100000</v>
      </c>
      <c r="H941" s="23">
        <v>5.0000000000000001E-3</v>
      </c>
      <c r="I941" s="39">
        <v>44531</v>
      </c>
      <c r="J941" s="39">
        <v>44561</v>
      </c>
      <c r="K941" s="24">
        <v>31</v>
      </c>
      <c r="L941" s="24">
        <v>5988</v>
      </c>
      <c r="M941" s="24">
        <v>14100000</v>
      </c>
      <c r="N941" s="39">
        <v>46207</v>
      </c>
    </row>
    <row r="942" spans="1:14" s="5" customFormat="1" outlineLevel="2">
      <c r="A942" s="39" t="s">
        <v>270</v>
      </c>
      <c r="B942" s="40" t="s">
        <v>311</v>
      </c>
      <c r="C942" s="41" t="s">
        <v>75</v>
      </c>
      <c r="D942" s="40" t="s">
        <v>76</v>
      </c>
      <c r="E942" s="24">
        <v>44280000</v>
      </c>
      <c r="F942" s="39">
        <v>44378</v>
      </c>
      <c r="G942" s="24">
        <v>44280000</v>
      </c>
      <c r="H942" s="23">
        <v>5.0000000000000001E-3</v>
      </c>
      <c r="I942" s="39">
        <v>44531</v>
      </c>
      <c r="J942" s="39">
        <v>44561</v>
      </c>
      <c r="K942" s="24">
        <v>31</v>
      </c>
      <c r="L942" s="24">
        <v>18804</v>
      </c>
      <c r="M942" s="24">
        <v>44280000</v>
      </c>
      <c r="N942" s="39">
        <v>46203</v>
      </c>
    </row>
    <row r="943" spans="1:14" s="5" customFormat="1" outlineLevel="2">
      <c r="A943" s="39" t="s">
        <v>270</v>
      </c>
      <c r="B943" s="40" t="s">
        <v>310</v>
      </c>
      <c r="C943" s="41" t="s">
        <v>302</v>
      </c>
      <c r="D943" s="40" t="s">
        <v>301</v>
      </c>
      <c r="E943" s="24">
        <v>20206000</v>
      </c>
      <c r="F943" s="39">
        <v>44431</v>
      </c>
      <c r="G943" s="24">
        <v>20206000</v>
      </c>
      <c r="H943" s="23">
        <v>5.0000000000000001E-3</v>
      </c>
      <c r="I943" s="39">
        <v>44531</v>
      </c>
      <c r="J943" s="39">
        <v>44561</v>
      </c>
      <c r="K943" s="24">
        <v>31</v>
      </c>
      <c r="L943" s="24">
        <v>8581</v>
      </c>
      <c r="M943" s="24">
        <v>20206000</v>
      </c>
      <c r="N943" s="39">
        <v>46256</v>
      </c>
    </row>
    <row r="944" spans="1:14" s="5" customFormat="1" outlineLevel="2">
      <c r="A944" s="39" t="s">
        <v>270</v>
      </c>
      <c r="B944" s="40" t="s">
        <v>25</v>
      </c>
      <c r="C944" s="41" t="s">
        <v>274</v>
      </c>
      <c r="D944" s="40" t="s">
        <v>275</v>
      </c>
      <c r="E944" s="24">
        <v>9087600</v>
      </c>
      <c r="F944" s="39">
        <v>43901</v>
      </c>
      <c r="G944" s="24">
        <v>9087600</v>
      </c>
      <c r="H944" s="23">
        <v>5.0000000000000001E-3</v>
      </c>
      <c r="I944" s="39">
        <v>44531</v>
      </c>
      <c r="J944" s="39">
        <v>44561</v>
      </c>
      <c r="K944" s="24">
        <v>31</v>
      </c>
      <c r="L944" s="24">
        <v>3859</v>
      </c>
      <c r="M944" s="24">
        <v>9087600</v>
      </c>
      <c r="N944" s="39">
        <v>45726</v>
      </c>
    </row>
    <row r="945" spans="1:14" s="5" customFormat="1" outlineLevel="2">
      <c r="A945" s="39" t="s">
        <v>270</v>
      </c>
      <c r="B945" s="40" t="s">
        <v>309</v>
      </c>
      <c r="C945" s="41" t="s">
        <v>322</v>
      </c>
      <c r="D945" s="40" t="s">
        <v>321</v>
      </c>
      <c r="E945" s="24">
        <v>3202500</v>
      </c>
      <c r="F945" s="39">
        <v>44410</v>
      </c>
      <c r="G945" s="24">
        <v>3202500</v>
      </c>
      <c r="H945" s="23">
        <v>5.0000000000000001E-3</v>
      </c>
      <c r="I945" s="39">
        <v>44531</v>
      </c>
      <c r="J945" s="39">
        <v>44561</v>
      </c>
      <c r="K945" s="24">
        <v>31</v>
      </c>
      <c r="L945" s="24">
        <v>1360</v>
      </c>
      <c r="M945" s="24">
        <v>3202500</v>
      </c>
      <c r="N945" s="39">
        <v>46235</v>
      </c>
    </row>
    <row r="946" spans="1:14" s="5" customFormat="1" outlineLevel="2">
      <c r="A946" s="39" t="s">
        <v>270</v>
      </c>
      <c r="B946" s="40" t="s">
        <v>308</v>
      </c>
      <c r="C946" s="41" t="s">
        <v>322</v>
      </c>
      <c r="D946" s="40" t="s">
        <v>321</v>
      </c>
      <c r="E946" s="24">
        <v>3202500</v>
      </c>
      <c r="F946" s="39">
        <v>44439</v>
      </c>
      <c r="G946" s="24">
        <v>3202500</v>
      </c>
      <c r="H946" s="23">
        <v>5.0000000000000001E-3</v>
      </c>
      <c r="I946" s="39">
        <v>44531</v>
      </c>
      <c r="J946" s="39">
        <v>44561</v>
      </c>
      <c r="K946" s="24">
        <v>31</v>
      </c>
      <c r="L946" s="24">
        <v>1360</v>
      </c>
      <c r="M946" s="24">
        <v>3202500</v>
      </c>
      <c r="N946" s="39">
        <v>46264</v>
      </c>
    </row>
    <row r="947" spans="1:14" s="5" customFormat="1" outlineLevel="2">
      <c r="A947" s="39" t="s">
        <v>270</v>
      </c>
      <c r="B947" s="40" t="s">
        <v>307</v>
      </c>
      <c r="C947" s="41" t="s">
        <v>274</v>
      </c>
      <c r="D947" s="40" t="s">
        <v>275</v>
      </c>
      <c r="E947" s="24">
        <v>14303880</v>
      </c>
      <c r="F947" s="39">
        <v>44419</v>
      </c>
      <c r="G947" s="24">
        <v>14303880</v>
      </c>
      <c r="H947" s="23">
        <v>5.0000000000000001E-3</v>
      </c>
      <c r="I947" s="39">
        <v>44531</v>
      </c>
      <c r="J947" s="39">
        <v>44561</v>
      </c>
      <c r="K947" s="24">
        <v>31</v>
      </c>
      <c r="L947" s="24">
        <v>6074</v>
      </c>
      <c r="M947" s="24">
        <v>14303880</v>
      </c>
      <c r="N947" s="39">
        <v>46244</v>
      </c>
    </row>
    <row r="948" spans="1:14" s="5" customFormat="1" outlineLevel="2">
      <c r="A948" s="39" t="s">
        <v>270</v>
      </c>
      <c r="B948" s="40" t="s">
        <v>335</v>
      </c>
      <c r="C948" s="41" t="s">
        <v>274</v>
      </c>
      <c r="D948" s="40" t="s">
        <v>275</v>
      </c>
      <c r="E948" s="24">
        <v>18035040</v>
      </c>
      <c r="F948" s="39">
        <v>44419</v>
      </c>
      <c r="G948" s="24">
        <v>18035040</v>
      </c>
      <c r="H948" s="23">
        <v>5.0000000000000001E-3</v>
      </c>
      <c r="I948" s="39">
        <v>44531</v>
      </c>
      <c r="J948" s="39">
        <v>44561</v>
      </c>
      <c r="K948" s="24">
        <v>31</v>
      </c>
      <c r="L948" s="24">
        <v>7659</v>
      </c>
      <c r="M948" s="24">
        <v>18035040</v>
      </c>
      <c r="N948" s="39">
        <v>46244</v>
      </c>
    </row>
    <row r="949" spans="1:14" s="5" customFormat="1" outlineLevel="2">
      <c r="A949" s="39" t="s">
        <v>270</v>
      </c>
      <c r="B949" s="40" t="s">
        <v>334</v>
      </c>
      <c r="C949" s="41" t="s">
        <v>252</v>
      </c>
      <c r="D949" s="40" t="s">
        <v>253</v>
      </c>
      <c r="E949" s="24">
        <v>54300000</v>
      </c>
      <c r="F949" s="39">
        <v>44414</v>
      </c>
      <c r="G949" s="24">
        <v>54300000</v>
      </c>
      <c r="H949" s="23">
        <v>5.0000000000000001E-3</v>
      </c>
      <c r="I949" s="39">
        <v>44531</v>
      </c>
      <c r="J949" s="39">
        <v>44561</v>
      </c>
      <c r="K949" s="24">
        <v>31</v>
      </c>
      <c r="L949" s="24">
        <v>23059</v>
      </c>
      <c r="M949" s="24">
        <v>54300000</v>
      </c>
      <c r="N949" s="39">
        <v>46239</v>
      </c>
    </row>
    <row r="950" spans="1:14" s="5" customFormat="1" outlineLevel="2">
      <c r="A950" s="39" t="s">
        <v>270</v>
      </c>
      <c r="B950" s="40" t="s">
        <v>333</v>
      </c>
      <c r="C950" s="41" t="s">
        <v>143</v>
      </c>
      <c r="D950" s="40" t="s">
        <v>144</v>
      </c>
      <c r="E950" s="24">
        <v>10000000</v>
      </c>
      <c r="F950" s="39">
        <v>44410</v>
      </c>
      <c r="G950" s="24">
        <v>10000000</v>
      </c>
      <c r="H950" s="23">
        <v>5.0000000000000001E-3</v>
      </c>
      <c r="I950" s="39">
        <v>44531</v>
      </c>
      <c r="J950" s="39">
        <v>44561</v>
      </c>
      <c r="K950" s="24">
        <v>31</v>
      </c>
      <c r="L950" s="24">
        <v>4247</v>
      </c>
      <c r="M950" s="24">
        <v>10000000</v>
      </c>
      <c r="N950" s="39">
        <v>46235</v>
      </c>
    </row>
    <row r="951" spans="1:14" s="5" customFormat="1" outlineLevel="2">
      <c r="A951" s="39" t="s">
        <v>270</v>
      </c>
      <c r="B951" s="40" t="s">
        <v>332</v>
      </c>
      <c r="C951" s="41" t="s">
        <v>143</v>
      </c>
      <c r="D951" s="40" t="s">
        <v>144</v>
      </c>
      <c r="E951" s="24">
        <v>5990000</v>
      </c>
      <c r="F951" s="39">
        <v>44439</v>
      </c>
      <c r="G951" s="24">
        <v>5990000</v>
      </c>
      <c r="H951" s="23">
        <v>5.0000000000000001E-3</v>
      </c>
      <c r="I951" s="39">
        <v>44531</v>
      </c>
      <c r="J951" s="39">
        <v>44561</v>
      </c>
      <c r="K951" s="24">
        <v>31</v>
      </c>
      <c r="L951" s="24">
        <v>2544</v>
      </c>
      <c r="M951" s="24">
        <v>5990000</v>
      </c>
      <c r="N951" s="39">
        <v>46264</v>
      </c>
    </row>
    <row r="952" spans="1:14" s="5" customFormat="1" outlineLevel="2">
      <c r="A952" s="39" t="s">
        <v>270</v>
      </c>
      <c r="B952" s="40" t="s">
        <v>331</v>
      </c>
      <c r="C952" s="41" t="s">
        <v>273</v>
      </c>
      <c r="D952" s="40" t="s">
        <v>272</v>
      </c>
      <c r="E952" s="24">
        <v>10700000</v>
      </c>
      <c r="F952" s="39">
        <v>44413</v>
      </c>
      <c r="G952" s="24">
        <v>10700000</v>
      </c>
      <c r="H952" s="23">
        <v>5.0000000000000001E-3</v>
      </c>
      <c r="I952" s="39">
        <v>44531</v>
      </c>
      <c r="J952" s="39">
        <v>44561</v>
      </c>
      <c r="K952" s="24">
        <v>31</v>
      </c>
      <c r="L952" s="24">
        <v>4544</v>
      </c>
      <c r="M952" s="24">
        <v>10700000</v>
      </c>
      <c r="N952" s="39">
        <v>46238</v>
      </c>
    </row>
    <row r="953" spans="1:14" s="5" customFormat="1" outlineLevel="2">
      <c r="A953" s="39" t="s">
        <v>270</v>
      </c>
      <c r="B953" s="40" t="s">
        <v>330</v>
      </c>
      <c r="C953" s="41" t="s">
        <v>273</v>
      </c>
      <c r="D953" s="40" t="s">
        <v>272</v>
      </c>
      <c r="E953" s="24">
        <v>11600000</v>
      </c>
      <c r="F953" s="39">
        <v>44413</v>
      </c>
      <c r="G953" s="24">
        <v>11600000</v>
      </c>
      <c r="H953" s="23">
        <v>5.0000000000000001E-3</v>
      </c>
      <c r="I953" s="39">
        <v>44531</v>
      </c>
      <c r="J953" s="39">
        <v>44561</v>
      </c>
      <c r="K953" s="24">
        <v>31</v>
      </c>
      <c r="L953" s="24">
        <v>4926</v>
      </c>
      <c r="M953" s="24">
        <v>11600000</v>
      </c>
      <c r="N953" s="39">
        <v>46238</v>
      </c>
    </row>
    <row r="954" spans="1:14" s="5" customFormat="1" outlineLevel="2">
      <c r="A954" s="39" t="s">
        <v>270</v>
      </c>
      <c r="B954" s="40" t="s">
        <v>329</v>
      </c>
      <c r="C954" s="41" t="s">
        <v>273</v>
      </c>
      <c r="D954" s="40" t="s">
        <v>272</v>
      </c>
      <c r="E954" s="24">
        <v>4400000</v>
      </c>
      <c r="F954" s="39">
        <v>44413</v>
      </c>
      <c r="G954" s="24">
        <v>4400000</v>
      </c>
      <c r="H954" s="23">
        <v>5.0000000000000001E-3</v>
      </c>
      <c r="I954" s="39">
        <v>44531</v>
      </c>
      <c r="J954" s="39">
        <v>44561</v>
      </c>
      <c r="K954" s="24">
        <v>31</v>
      </c>
      <c r="L954" s="24">
        <v>1868</v>
      </c>
      <c r="M954" s="24">
        <v>4400000</v>
      </c>
      <c r="N954" s="39">
        <v>46238</v>
      </c>
    </row>
    <row r="955" spans="1:14" s="5" customFormat="1" outlineLevel="2">
      <c r="A955" s="39" t="s">
        <v>270</v>
      </c>
      <c r="B955" s="40" t="s">
        <v>26</v>
      </c>
      <c r="C955" s="41" t="s">
        <v>274</v>
      </c>
      <c r="D955" s="40" t="s">
        <v>275</v>
      </c>
      <c r="E955" s="24">
        <v>7270080</v>
      </c>
      <c r="F955" s="39">
        <v>43901</v>
      </c>
      <c r="G955" s="24">
        <v>7270080</v>
      </c>
      <c r="H955" s="23">
        <v>5.0000000000000001E-3</v>
      </c>
      <c r="I955" s="39">
        <v>44531</v>
      </c>
      <c r="J955" s="39">
        <v>44561</v>
      </c>
      <c r="K955" s="24">
        <v>31</v>
      </c>
      <c r="L955" s="24">
        <v>3087</v>
      </c>
      <c r="M955" s="24">
        <v>7270080</v>
      </c>
      <c r="N955" s="39">
        <v>45726</v>
      </c>
    </row>
    <row r="956" spans="1:14" s="5" customFormat="1" outlineLevel="2">
      <c r="A956" s="39" t="s">
        <v>270</v>
      </c>
      <c r="B956" s="40" t="s">
        <v>328</v>
      </c>
      <c r="C956" s="41" t="s">
        <v>363</v>
      </c>
      <c r="D956" s="40" t="s">
        <v>362</v>
      </c>
      <c r="E956" s="24">
        <v>5700000</v>
      </c>
      <c r="F956" s="39">
        <v>44438</v>
      </c>
      <c r="G956" s="24">
        <v>5700000</v>
      </c>
      <c r="H956" s="23">
        <v>5.0000000000000001E-3</v>
      </c>
      <c r="I956" s="39">
        <v>44531</v>
      </c>
      <c r="J956" s="39">
        <v>44561</v>
      </c>
      <c r="K956" s="24">
        <v>31</v>
      </c>
      <c r="L956" s="24">
        <v>2421</v>
      </c>
      <c r="M956" s="24">
        <v>5700000</v>
      </c>
      <c r="N956" s="39">
        <v>45533</v>
      </c>
    </row>
    <row r="957" spans="1:14" s="5" customFormat="1" outlineLevel="2">
      <c r="A957" s="39" t="s">
        <v>270</v>
      </c>
      <c r="B957" s="40" t="s">
        <v>327</v>
      </c>
      <c r="C957" s="41" t="s">
        <v>410</v>
      </c>
      <c r="D957" s="40" t="s">
        <v>409</v>
      </c>
      <c r="E957" s="24">
        <v>1470000</v>
      </c>
      <c r="F957" s="39">
        <v>44468</v>
      </c>
      <c r="G957" s="24">
        <v>1470000</v>
      </c>
      <c r="H957" s="23">
        <v>5.0000000000000001E-3</v>
      </c>
      <c r="I957" s="39">
        <v>44531</v>
      </c>
      <c r="J957" s="39">
        <v>44561</v>
      </c>
      <c r="K957" s="24">
        <v>31</v>
      </c>
      <c r="L957" s="24">
        <v>624</v>
      </c>
      <c r="M957" s="24">
        <v>1470000</v>
      </c>
      <c r="N957" s="39">
        <v>45563</v>
      </c>
    </row>
    <row r="958" spans="1:14" s="5" customFormat="1" outlineLevel="2">
      <c r="A958" s="39" t="s">
        <v>270</v>
      </c>
      <c r="B958" s="40" t="s">
        <v>326</v>
      </c>
      <c r="C958" s="41" t="s">
        <v>294</v>
      </c>
      <c r="D958" s="40" t="s">
        <v>295</v>
      </c>
      <c r="E958" s="24">
        <v>135260000</v>
      </c>
      <c r="F958" s="39">
        <v>44467</v>
      </c>
      <c r="G958" s="24">
        <v>135260000</v>
      </c>
      <c r="H958" s="23">
        <v>3.0000000000000001E-3</v>
      </c>
      <c r="I958" s="39">
        <v>44531</v>
      </c>
      <c r="J958" s="39">
        <v>44561</v>
      </c>
      <c r="K958" s="24">
        <v>31</v>
      </c>
      <c r="L958" s="24">
        <v>34464</v>
      </c>
      <c r="M958" s="24">
        <v>135260000</v>
      </c>
      <c r="N958" s="39">
        <v>45562</v>
      </c>
    </row>
    <row r="959" spans="1:14" s="5" customFormat="1" outlineLevel="2">
      <c r="A959" s="39" t="s">
        <v>270</v>
      </c>
      <c r="B959" s="40" t="s">
        <v>325</v>
      </c>
      <c r="C959" s="41" t="s">
        <v>302</v>
      </c>
      <c r="D959" s="40" t="s">
        <v>301</v>
      </c>
      <c r="E959" s="24">
        <v>32320000</v>
      </c>
      <c r="F959" s="39">
        <v>44446</v>
      </c>
      <c r="G959" s="24">
        <v>32320000</v>
      </c>
      <c r="H959" s="23">
        <v>5.0000000000000001E-3</v>
      </c>
      <c r="I959" s="39">
        <v>44531</v>
      </c>
      <c r="J959" s="39">
        <v>44561</v>
      </c>
      <c r="K959" s="24">
        <v>31</v>
      </c>
      <c r="L959" s="24">
        <v>13725</v>
      </c>
      <c r="M959" s="24">
        <v>32320000</v>
      </c>
      <c r="N959" s="39">
        <v>46271</v>
      </c>
    </row>
    <row r="960" spans="1:14" s="5" customFormat="1" outlineLevel="2">
      <c r="A960" s="39" t="s">
        <v>270</v>
      </c>
      <c r="B960" s="40" t="s">
        <v>361</v>
      </c>
      <c r="C960" s="41" t="s">
        <v>322</v>
      </c>
      <c r="D960" s="40" t="s">
        <v>321</v>
      </c>
      <c r="E960" s="24">
        <v>3202500</v>
      </c>
      <c r="F960" s="39">
        <v>44469</v>
      </c>
      <c r="G960" s="24">
        <v>3202500</v>
      </c>
      <c r="H960" s="23">
        <v>5.0000000000000001E-3</v>
      </c>
      <c r="I960" s="39">
        <v>44531</v>
      </c>
      <c r="J960" s="39">
        <v>44561</v>
      </c>
      <c r="K960" s="24">
        <v>31</v>
      </c>
      <c r="L960" s="24">
        <v>1360</v>
      </c>
      <c r="M960" s="24">
        <v>3202500</v>
      </c>
      <c r="N960" s="39">
        <v>46294</v>
      </c>
    </row>
    <row r="961" spans="1:14" s="5" customFormat="1" outlineLevel="2">
      <c r="A961" s="39" t="s">
        <v>270</v>
      </c>
      <c r="B961" s="40" t="s">
        <v>360</v>
      </c>
      <c r="C961" s="41" t="s">
        <v>408</v>
      </c>
      <c r="D961" s="40" t="s">
        <v>407</v>
      </c>
      <c r="E961" s="24">
        <v>63000000</v>
      </c>
      <c r="F961" s="39">
        <v>44442</v>
      </c>
      <c r="G961" s="24">
        <v>63000000</v>
      </c>
      <c r="H961" s="23">
        <v>5.0000000000000001E-3</v>
      </c>
      <c r="I961" s="39">
        <v>44531</v>
      </c>
      <c r="J961" s="39">
        <v>44561</v>
      </c>
      <c r="K961" s="24">
        <v>31</v>
      </c>
      <c r="L961" s="24">
        <v>26753</v>
      </c>
      <c r="M961" s="24">
        <v>63000000</v>
      </c>
      <c r="N961" s="39">
        <v>45537</v>
      </c>
    </row>
    <row r="962" spans="1:14" s="5" customFormat="1" outlineLevel="2">
      <c r="A962" s="39" t="s">
        <v>270</v>
      </c>
      <c r="B962" s="40" t="s">
        <v>359</v>
      </c>
      <c r="C962" s="41" t="s">
        <v>274</v>
      </c>
      <c r="D962" s="40" t="s">
        <v>275</v>
      </c>
      <c r="E962" s="24">
        <v>18035040</v>
      </c>
      <c r="F962" s="39">
        <v>44447</v>
      </c>
      <c r="G962" s="24">
        <v>18035040</v>
      </c>
      <c r="H962" s="23">
        <v>5.0000000000000001E-3</v>
      </c>
      <c r="I962" s="39">
        <v>44531</v>
      </c>
      <c r="J962" s="39">
        <v>44561</v>
      </c>
      <c r="K962" s="24">
        <v>31</v>
      </c>
      <c r="L962" s="24">
        <v>7659</v>
      </c>
      <c r="M962" s="24">
        <v>18035040</v>
      </c>
      <c r="N962" s="39">
        <v>46272</v>
      </c>
    </row>
    <row r="963" spans="1:14" s="5" customFormat="1" outlineLevel="2">
      <c r="A963" s="39" t="s">
        <v>270</v>
      </c>
      <c r="B963" s="40" t="s">
        <v>358</v>
      </c>
      <c r="C963" s="41" t="s">
        <v>274</v>
      </c>
      <c r="D963" s="40" t="s">
        <v>275</v>
      </c>
      <c r="E963" s="24">
        <v>9909960</v>
      </c>
      <c r="F963" s="39">
        <v>44447</v>
      </c>
      <c r="G963" s="24">
        <v>9909960</v>
      </c>
      <c r="H963" s="23">
        <v>5.0000000000000001E-3</v>
      </c>
      <c r="I963" s="39">
        <v>44531</v>
      </c>
      <c r="J963" s="39">
        <v>44561</v>
      </c>
      <c r="K963" s="24">
        <v>31</v>
      </c>
      <c r="L963" s="24">
        <v>4208</v>
      </c>
      <c r="M963" s="24">
        <v>9909960</v>
      </c>
      <c r="N963" s="39">
        <v>46272</v>
      </c>
    </row>
    <row r="964" spans="1:14" s="5" customFormat="1" outlineLevel="2">
      <c r="A964" s="39" t="s">
        <v>270</v>
      </c>
      <c r="B964" s="40" t="s">
        <v>357</v>
      </c>
      <c r="C964" s="41" t="s">
        <v>143</v>
      </c>
      <c r="D964" s="40" t="s">
        <v>144</v>
      </c>
      <c r="E964" s="24">
        <v>1840000</v>
      </c>
      <c r="F964" s="39">
        <v>44469</v>
      </c>
      <c r="G964" s="24">
        <v>1840000</v>
      </c>
      <c r="H964" s="23">
        <v>5.0000000000000001E-3</v>
      </c>
      <c r="I964" s="39">
        <v>44531</v>
      </c>
      <c r="J964" s="39">
        <v>44561</v>
      </c>
      <c r="K964" s="24">
        <v>31</v>
      </c>
      <c r="L964" s="24">
        <v>781</v>
      </c>
      <c r="M964" s="24">
        <v>1840000</v>
      </c>
      <c r="N964" s="39">
        <v>46294</v>
      </c>
    </row>
    <row r="965" spans="1:14" s="5" customFormat="1" outlineLevel="2">
      <c r="A965" s="39" t="s">
        <v>270</v>
      </c>
      <c r="B965" s="40" t="s">
        <v>356</v>
      </c>
      <c r="C965" s="41" t="s">
        <v>273</v>
      </c>
      <c r="D965" s="40" t="s">
        <v>272</v>
      </c>
      <c r="E965" s="24">
        <v>8600000</v>
      </c>
      <c r="F965" s="39">
        <v>44442</v>
      </c>
      <c r="G965" s="24">
        <v>8600000</v>
      </c>
      <c r="H965" s="23">
        <v>5.0000000000000001E-3</v>
      </c>
      <c r="I965" s="39">
        <v>44531</v>
      </c>
      <c r="J965" s="39">
        <v>44561</v>
      </c>
      <c r="K965" s="24">
        <v>31</v>
      </c>
      <c r="L965" s="24">
        <v>3652</v>
      </c>
      <c r="M965" s="24">
        <v>8600000</v>
      </c>
      <c r="N965" s="39">
        <v>46267</v>
      </c>
    </row>
    <row r="966" spans="1:14" s="5" customFormat="1" outlineLevel="2">
      <c r="A966" s="39" t="s">
        <v>270</v>
      </c>
      <c r="B966" s="40" t="s">
        <v>29</v>
      </c>
      <c r="C966" s="41" t="s">
        <v>273</v>
      </c>
      <c r="D966" s="40" t="s">
        <v>272</v>
      </c>
      <c r="E966" s="24">
        <v>99400000</v>
      </c>
      <c r="F966" s="39">
        <v>43917</v>
      </c>
      <c r="G966" s="24">
        <v>99400000</v>
      </c>
      <c r="H966" s="23">
        <v>5.0000000000000001E-3</v>
      </c>
      <c r="I966" s="39">
        <v>44531</v>
      </c>
      <c r="J966" s="39">
        <v>44561</v>
      </c>
      <c r="K966" s="24">
        <v>31</v>
      </c>
      <c r="L966" s="24">
        <v>42211</v>
      </c>
      <c r="M966" s="24">
        <v>99400000</v>
      </c>
      <c r="N966" s="39">
        <v>45742</v>
      </c>
    </row>
    <row r="967" spans="1:14" s="5" customFormat="1" outlineLevel="2">
      <c r="A967" s="39" t="s">
        <v>270</v>
      </c>
      <c r="B967" s="40" t="s">
        <v>355</v>
      </c>
      <c r="C967" s="41" t="s">
        <v>273</v>
      </c>
      <c r="D967" s="40" t="s">
        <v>272</v>
      </c>
      <c r="E967" s="24">
        <v>2400000</v>
      </c>
      <c r="F967" s="39">
        <v>44442</v>
      </c>
      <c r="G967" s="24">
        <v>2400000</v>
      </c>
      <c r="H967" s="23">
        <v>5.0000000000000001E-3</v>
      </c>
      <c r="I967" s="39">
        <v>44531</v>
      </c>
      <c r="J967" s="39">
        <v>44561</v>
      </c>
      <c r="K967" s="24">
        <v>31</v>
      </c>
      <c r="L967" s="24">
        <v>1019</v>
      </c>
      <c r="M967" s="24">
        <v>2400000</v>
      </c>
      <c r="N967" s="39">
        <v>46267</v>
      </c>
    </row>
    <row r="968" spans="1:14" s="5" customFormat="1" outlineLevel="2">
      <c r="A968" s="39" t="s">
        <v>270</v>
      </c>
      <c r="B968" s="40" t="s">
        <v>354</v>
      </c>
      <c r="C968" s="41" t="s">
        <v>294</v>
      </c>
      <c r="D968" s="40" t="s">
        <v>295</v>
      </c>
      <c r="E968" s="24">
        <v>136110000</v>
      </c>
      <c r="F968" s="39">
        <v>44495</v>
      </c>
      <c r="G968" s="24">
        <v>136110000</v>
      </c>
      <c r="H968" s="23">
        <v>3.0000000000000001E-3</v>
      </c>
      <c r="I968" s="39">
        <v>44531</v>
      </c>
      <c r="J968" s="39">
        <v>44561</v>
      </c>
      <c r="K968" s="24">
        <v>31</v>
      </c>
      <c r="L968" s="24">
        <v>34680</v>
      </c>
      <c r="M968" s="24">
        <v>136110000</v>
      </c>
      <c r="N968" s="39">
        <v>45590</v>
      </c>
    </row>
    <row r="969" spans="1:14" s="5" customFormat="1" outlineLevel="2">
      <c r="A969" s="39" t="s">
        <v>270</v>
      </c>
      <c r="B969" s="40" t="s">
        <v>353</v>
      </c>
      <c r="C969" s="41" t="s">
        <v>408</v>
      </c>
      <c r="D969" s="40" t="s">
        <v>407</v>
      </c>
      <c r="E969" s="24">
        <v>50000000</v>
      </c>
      <c r="F969" s="39">
        <v>44473</v>
      </c>
      <c r="G969" s="24">
        <v>50000000</v>
      </c>
      <c r="H969" s="23">
        <v>5.0000000000000001E-3</v>
      </c>
      <c r="I969" s="39">
        <v>44531</v>
      </c>
      <c r="J969" s="39">
        <v>44561</v>
      </c>
      <c r="K969" s="24">
        <v>31</v>
      </c>
      <c r="L969" s="24">
        <v>21233</v>
      </c>
      <c r="M969" s="24">
        <v>50000000</v>
      </c>
      <c r="N969" s="39">
        <v>45568</v>
      </c>
    </row>
    <row r="970" spans="1:14" s="5" customFormat="1" outlineLevel="2">
      <c r="A970" s="39" t="s">
        <v>270</v>
      </c>
      <c r="B970" s="40" t="s">
        <v>352</v>
      </c>
      <c r="C970" s="41" t="s">
        <v>274</v>
      </c>
      <c r="D970" s="40" t="s">
        <v>275</v>
      </c>
      <c r="E970" s="24">
        <v>9909960</v>
      </c>
      <c r="F970" s="39">
        <v>44482</v>
      </c>
      <c r="G970" s="24">
        <v>9909960</v>
      </c>
      <c r="H970" s="23">
        <v>5.0000000000000001E-3</v>
      </c>
      <c r="I970" s="39">
        <v>44531</v>
      </c>
      <c r="J970" s="39">
        <v>44561</v>
      </c>
      <c r="K970" s="24">
        <v>31</v>
      </c>
      <c r="L970" s="24">
        <v>4208</v>
      </c>
      <c r="M970" s="24">
        <v>9909960</v>
      </c>
      <c r="N970" s="39">
        <v>46307</v>
      </c>
    </row>
    <row r="971" spans="1:14" s="5" customFormat="1" outlineLevel="2">
      <c r="A971" s="39" t="s">
        <v>270</v>
      </c>
      <c r="B971" s="40" t="s">
        <v>349</v>
      </c>
      <c r="C971" s="41" t="s">
        <v>274</v>
      </c>
      <c r="D971" s="40" t="s">
        <v>275</v>
      </c>
      <c r="E971" s="24">
        <v>6913320</v>
      </c>
      <c r="F971" s="39">
        <v>44482</v>
      </c>
      <c r="G971" s="24">
        <v>6913320</v>
      </c>
      <c r="H971" s="23">
        <v>5.0000000000000001E-3</v>
      </c>
      <c r="I971" s="39">
        <v>44531</v>
      </c>
      <c r="J971" s="39">
        <v>44561</v>
      </c>
      <c r="K971" s="24">
        <v>31</v>
      </c>
      <c r="L971" s="24">
        <v>2936</v>
      </c>
      <c r="M971" s="24">
        <v>6913320</v>
      </c>
      <c r="N971" s="39">
        <v>46307</v>
      </c>
    </row>
    <row r="972" spans="1:14" s="5" customFormat="1" outlineLevel="2">
      <c r="A972" s="39" t="s">
        <v>270</v>
      </c>
      <c r="B972" s="40" t="s">
        <v>348</v>
      </c>
      <c r="C972" s="41" t="s">
        <v>274</v>
      </c>
      <c r="D972" s="40" t="s">
        <v>275</v>
      </c>
      <c r="E972" s="24">
        <v>19920000</v>
      </c>
      <c r="F972" s="39">
        <v>44482</v>
      </c>
      <c r="G972" s="24">
        <v>19920000</v>
      </c>
      <c r="H972" s="23">
        <v>5.0000000000000001E-3</v>
      </c>
      <c r="I972" s="39">
        <v>44531</v>
      </c>
      <c r="J972" s="39">
        <v>44561</v>
      </c>
      <c r="K972" s="24">
        <v>31</v>
      </c>
      <c r="L972" s="24">
        <v>8459</v>
      </c>
      <c r="M972" s="24">
        <v>19920000</v>
      </c>
      <c r="N972" s="39">
        <v>46307</v>
      </c>
    </row>
    <row r="973" spans="1:14" s="5" customFormat="1" outlineLevel="2">
      <c r="A973" s="39" t="s">
        <v>270</v>
      </c>
      <c r="B973" s="40" t="s">
        <v>347</v>
      </c>
      <c r="C973" s="41" t="s">
        <v>274</v>
      </c>
      <c r="D973" s="40" t="s">
        <v>275</v>
      </c>
      <c r="E973" s="24">
        <v>1305264</v>
      </c>
      <c r="F973" s="39">
        <v>44482</v>
      </c>
      <c r="G973" s="24">
        <v>1305264</v>
      </c>
      <c r="H973" s="23">
        <v>5.0000000000000001E-3</v>
      </c>
      <c r="I973" s="39">
        <v>44531</v>
      </c>
      <c r="J973" s="39">
        <v>44561</v>
      </c>
      <c r="K973" s="24">
        <v>31</v>
      </c>
      <c r="L973" s="24">
        <v>554</v>
      </c>
      <c r="M973" s="24">
        <v>1305264</v>
      </c>
      <c r="N973" s="39">
        <v>46307</v>
      </c>
    </row>
    <row r="974" spans="1:14" s="5" customFormat="1" outlineLevel="2">
      <c r="A974" s="39" t="s">
        <v>270</v>
      </c>
      <c r="B974" s="40" t="s">
        <v>346</v>
      </c>
      <c r="C974" s="41" t="s">
        <v>79</v>
      </c>
      <c r="D974" s="40" t="s">
        <v>80</v>
      </c>
      <c r="E974" s="24">
        <v>1700000</v>
      </c>
      <c r="F974" s="39">
        <v>44498</v>
      </c>
      <c r="G974" s="24">
        <v>1700000</v>
      </c>
      <c r="H974" s="23">
        <v>5.0000000000000001E-3</v>
      </c>
      <c r="I974" s="39">
        <v>44531</v>
      </c>
      <c r="J974" s="39">
        <v>44561</v>
      </c>
      <c r="K974" s="24">
        <v>31</v>
      </c>
      <c r="L974" s="24">
        <v>722</v>
      </c>
      <c r="M974" s="24">
        <v>1700000</v>
      </c>
      <c r="N974" s="39">
        <v>45593</v>
      </c>
    </row>
    <row r="975" spans="1:14" s="5" customFormat="1" outlineLevel="2">
      <c r="A975" s="39" t="s">
        <v>270</v>
      </c>
      <c r="B975" s="40" t="s">
        <v>373</v>
      </c>
      <c r="C975" s="41" t="s">
        <v>273</v>
      </c>
      <c r="D975" s="40" t="s">
        <v>272</v>
      </c>
      <c r="E975" s="24">
        <v>2200000</v>
      </c>
      <c r="F975" s="39">
        <v>44474</v>
      </c>
      <c r="G975" s="24">
        <v>2200000</v>
      </c>
      <c r="H975" s="23">
        <v>5.0000000000000001E-3</v>
      </c>
      <c r="I975" s="39">
        <v>44531</v>
      </c>
      <c r="J975" s="39">
        <v>44561</v>
      </c>
      <c r="K975" s="24">
        <v>31</v>
      </c>
      <c r="L975" s="24">
        <v>934</v>
      </c>
      <c r="M975" s="24">
        <v>2200000</v>
      </c>
      <c r="N975" s="39">
        <v>46299</v>
      </c>
    </row>
    <row r="976" spans="1:14" s="5" customFormat="1" outlineLevel="2">
      <c r="A976" s="39" t="s">
        <v>270</v>
      </c>
      <c r="B976" s="40" t="s">
        <v>372</v>
      </c>
      <c r="C976" s="41" t="s">
        <v>273</v>
      </c>
      <c r="D976" s="40" t="s">
        <v>272</v>
      </c>
      <c r="E976" s="24">
        <v>9000000</v>
      </c>
      <c r="F976" s="39">
        <v>44474</v>
      </c>
      <c r="G976" s="24">
        <v>9000000</v>
      </c>
      <c r="H976" s="23">
        <v>5.0000000000000001E-3</v>
      </c>
      <c r="I976" s="39">
        <v>44531</v>
      </c>
      <c r="J976" s="39">
        <v>44561</v>
      </c>
      <c r="K976" s="24">
        <v>31</v>
      </c>
      <c r="L976" s="24">
        <v>3822</v>
      </c>
      <c r="M976" s="24">
        <v>9000000</v>
      </c>
      <c r="N976" s="39">
        <v>46299</v>
      </c>
    </row>
    <row r="977" spans="1:14" s="5" customFormat="1" outlineLevel="2">
      <c r="A977" s="39" t="s">
        <v>270</v>
      </c>
      <c r="B977" s="40" t="s">
        <v>32</v>
      </c>
      <c r="C977" s="41" t="s">
        <v>274</v>
      </c>
      <c r="D977" s="40" t="s">
        <v>275</v>
      </c>
      <c r="E977" s="24">
        <v>9087600</v>
      </c>
      <c r="F977" s="39">
        <v>43929</v>
      </c>
      <c r="G977" s="24">
        <v>9087600</v>
      </c>
      <c r="H977" s="23">
        <v>5.0000000000000001E-3</v>
      </c>
      <c r="I977" s="39">
        <v>44531</v>
      </c>
      <c r="J977" s="39">
        <v>44561</v>
      </c>
      <c r="K977" s="24">
        <v>31</v>
      </c>
      <c r="L977" s="24">
        <v>3859</v>
      </c>
      <c r="M977" s="24">
        <v>9087600</v>
      </c>
      <c r="N977" s="39">
        <v>45754</v>
      </c>
    </row>
    <row r="978" spans="1:14" s="5" customFormat="1" outlineLevel="2">
      <c r="A978" s="39" t="s">
        <v>270</v>
      </c>
      <c r="B978" s="40" t="s">
        <v>371</v>
      </c>
      <c r="C978" s="41" t="s">
        <v>273</v>
      </c>
      <c r="D978" s="40" t="s">
        <v>272</v>
      </c>
      <c r="E978" s="24">
        <v>2000000</v>
      </c>
      <c r="F978" s="39">
        <v>44474</v>
      </c>
      <c r="G978" s="24">
        <v>2000000</v>
      </c>
      <c r="H978" s="23">
        <v>5.0000000000000001E-3</v>
      </c>
      <c r="I978" s="39">
        <v>44531</v>
      </c>
      <c r="J978" s="39">
        <v>44561</v>
      </c>
      <c r="K978" s="24">
        <v>31</v>
      </c>
      <c r="L978" s="24">
        <v>849</v>
      </c>
      <c r="M978" s="24">
        <v>2000000</v>
      </c>
      <c r="N978" s="39">
        <v>46299</v>
      </c>
    </row>
    <row r="979" spans="1:14" s="5" customFormat="1" outlineLevel="2">
      <c r="A979" s="39" t="s">
        <v>270</v>
      </c>
      <c r="B979" s="40" t="s">
        <v>370</v>
      </c>
      <c r="C979" s="41" t="s">
        <v>30</v>
      </c>
      <c r="D979" s="40" t="s">
        <v>31</v>
      </c>
      <c r="E979" s="24">
        <v>70000000</v>
      </c>
      <c r="F979" s="39">
        <v>44475</v>
      </c>
      <c r="G979" s="24">
        <v>70000000</v>
      </c>
      <c r="H979" s="23">
        <v>5.0000000000000001E-3</v>
      </c>
      <c r="I979" s="39">
        <v>44531</v>
      </c>
      <c r="J979" s="39">
        <v>44561</v>
      </c>
      <c r="K979" s="24">
        <v>31</v>
      </c>
      <c r="L979" s="24">
        <v>29726</v>
      </c>
      <c r="M979" s="24">
        <v>70000000</v>
      </c>
      <c r="N979" s="39">
        <v>46300</v>
      </c>
    </row>
    <row r="980" spans="1:14" s="5" customFormat="1" outlineLevel="2">
      <c r="A980" s="39" t="s">
        <v>270</v>
      </c>
      <c r="B980" s="40" t="s">
        <v>369</v>
      </c>
      <c r="C980" s="41" t="s">
        <v>429</v>
      </c>
      <c r="D980" s="40" t="s">
        <v>428</v>
      </c>
      <c r="E980" s="24">
        <v>10000000</v>
      </c>
      <c r="F980" s="39">
        <v>44505</v>
      </c>
      <c r="G980" s="24">
        <v>10000000</v>
      </c>
      <c r="H980" s="23">
        <v>5.0000000000000001E-3</v>
      </c>
      <c r="I980" s="39">
        <v>44531</v>
      </c>
      <c r="J980" s="39">
        <v>44561</v>
      </c>
      <c r="K980" s="24">
        <v>31</v>
      </c>
      <c r="L980" s="24">
        <v>4247</v>
      </c>
      <c r="M980" s="24">
        <v>10000000</v>
      </c>
      <c r="N980" s="39">
        <v>45600</v>
      </c>
    </row>
    <row r="981" spans="1:14" s="5" customFormat="1" outlineLevel="2">
      <c r="A981" s="39" t="s">
        <v>270</v>
      </c>
      <c r="B981" s="40" t="s">
        <v>368</v>
      </c>
      <c r="C981" s="41" t="s">
        <v>294</v>
      </c>
      <c r="D981" s="40" t="s">
        <v>295</v>
      </c>
      <c r="E981" s="24">
        <v>118590000</v>
      </c>
      <c r="F981" s="39">
        <v>44525</v>
      </c>
      <c r="G981" s="24">
        <v>118590000</v>
      </c>
      <c r="H981" s="23">
        <v>3.0000000000000001E-3</v>
      </c>
      <c r="I981" s="39">
        <v>44531</v>
      </c>
      <c r="J981" s="39">
        <v>44561</v>
      </c>
      <c r="K981" s="24">
        <v>31</v>
      </c>
      <c r="L981" s="24">
        <v>30216</v>
      </c>
      <c r="M981" s="24">
        <v>118590000</v>
      </c>
      <c r="N981" s="39">
        <v>45620</v>
      </c>
    </row>
    <row r="982" spans="1:14" s="5" customFormat="1" outlineLevel="2">
      <c r="A982" s="39" t="s">
        <v>270</v>
      </c>
      <c r="B982" s="40" t="s">
        <v>388</v>
      </c>
      <c r="C982" s="41" t="s">
        <v>322</v>
      </c>
      <c r="D982" s="40" t="s">
        <v>321</v>
      </c>
      <c r="E982" s="24">
        <v>3202500</v>
      </c>
      <c r="F982" s="39">
        <v>44501</v>
      </c>
      <c r="G982" s="24">
        <v>3202500</v>
      </c>
      <c r="H982" s="23">
        <v>5.0000000000000001E-3</v>
      </c>
      <c r="I982" s="39">
        <v>44531</v>
      </c>
      <c r="J982" s="39">
        <v>44561</v>
      </c>
      <c r="K982" s="24">
        <v>31</v>
      </c>
      <c r="L982" s="24">
        <v>1360</v>
      </c>
      <c r="M982" s="24">
        <v>3202500</v>
      </c>
      <c r="N982" s="39">
        <v>46326</v>
      </c>
    </row>
    <row r="983" spans="1:14" s="5" customFormat="1" outlineLevel="2">
      <c r="A983" s="39" t="s">
        <v>270</v>
      </c>
      <c r="B983" s="40" t="s">
        <v>387</v>
      </c>
      <c r="C983" s="41" t="s">
        <v>322</v>
      </c>
      <c r="D983" s="40" t="s">
        <v>321</v>
      </c>
      <c r="E983" s="24">
        <v>3202500</v>
      </c>
      <c r="F983" s="39">
        <v>44530</v>
      </c>
      <c r="G983" s="24">
        <v>3202500</v>
      </c>
      <c r="H983" s="23">
        <v>5.0000000000000001E-3</v>
      </c>
      <c r="I983" s="39">
        <v>44531</v>
      </c>
      <c r="J983" s="39">
        <v>44561</v>
      </c>
      <c r="K983" s="24">
        <v>31</v>
      </c>
      <c r="L983" s="24">
        <v>1360</v>
      </c>
      <c r="M983" s="24">
        <v>3202500</v>
      </c>
      <c r="N983" s="39">
        <v>46355</v>
      </c>
    </row>
    <row r="984" spans="1:14" s="5" customFormat="1" outlineLevel="2">
      <c r="A984" s="39" t="s">
        <v>270</v>
      </c>
      <c r="B984" s="40" t="s">
        <v>386</v>
      </c>
      <c r="C984" s="41" t="s">
        <v>445</v>
      </c>
      <c r="D984" s="40" t="s">
        <v>444</v>
      </c>
      <c r="E984" s="24">
        <v>581700000</v>
      </c>
      <c r="F984" s="39">
        <v>44508</v>
      </c>
      <c r="G984" s="24">
        <v>581700000</v>
      </c>
      <c r="H984" s="23">
        <v>5.0000000000000001E-3</v>
      </c>
      <c r="I984" s="39">
        <v>44531</v>
      </c>
      <c r="J984" s="39">
        <v>44561</v>
      </c>
      <c r="K984" s="24">
        <v>31</v>
      </c>
      <c r="L984" s="24">
        <v>247023</v>
      </c>
      <c r="M984" s="24">
        <v>581700000</v>
      </c>
      <c r="N984" s="39">
        <v>45603</v>
      </c>
    </row>
    <row r="985" spans="1:14" s="5" customFormat="1" outlineLevel="2">
      <c r="A985" s="39" t="s">
        <v>270</v>
      </c>
      <c r="B985" s="40" t="s">
        <v>385</v>
      </c>
      <c r="C985" s="41" t="s">
        <v>274</v>
      </c>
      <c r="D985" s="40" t="s">
        <v>275</v>
      </c>
      <c r="E985" s="24">
        <v>1207216</v>
      </c>
      <c r="F985" s="39">
        <v>44510</v>
      </c>
      <c r="G985" s="24">
        <v>1207216</v>
      </c>
      <c r="H985" s="23">
        <v>5.0000000000000001E-3</v>
      </c>
      <c r="I985" s="39">
        <v>44531</v>
      </c>
      <c r="J985" s="39">
        <v>44561</v>
      </c>
      <c r="K985" s="24">
        <v>31</v>
      </c>
      <c r="L985" s="24">
        <v>513</v>
      </c>
      <c r="M985" s="24">
        <v>1207216</v>
      </c>
      <c r="N985" s="39">
        <v>46335</v>
      </c>
    </row>
    <row r="986" spans="1:14" s="5" customFormat="1" outlineLevel="2">
      <c r="A986" s="39" t="s">
        <v>270</v>
      </c>
      <c r="B986" s="40" t="s">
        <v>384</v>
      </c>
      <c r="C986" s="41" t="s">
        <v>274</v>
      </c>
      <c r="D986" s="40" t="s">
        <v>275</v>
      </c>
      <c r="E986" s="24">
        <v>1305264</v>
      </c>
      <c r="F986" s="39">
        <v>44510</v>
      </c>
      <c r="G986" s="24">
        <v>1305264</v>
      </c>
      <c r="H986" s="23">
        <v>5.0000000000000001E-3</v>
      </c>
      <c r="I986" s="39">
        <v>44531</v>
      </c>
      <c r="J986" s="39">
        <v>44561</v>
      </c>
      <c r="K986" s="24">
        <v>31</v>
      </c>
      <c r="L986" s="24">
        <v>554</v>
      </c>
      <c r="M986" s="24">
        <v>1305264</v>
      </c>
      <c r="N986" s="39">
        <v>46335</v>
      </c>
    </row>
    <row r="987" spans="1:14" s="5" customFormat="1" outlineLevel="2">
      <c r="A987" s="39" t="s">
        <v>270</v>
      </c>
      <c r="B987" s="40" t="s">
        <v>383</v>
      </c>
      <c r="C987" s="41" t="s">
        <v>274</v>
      </c>
      <c r="D987" s="40" t="s">
        <v>275</v>
      </c>
      <c r="E987" s="24">
        <v>6913320</v>
      </c>
      <c r="F987" s="39">
        <v>44510</v>
      </c>
      <c r="G987" s="24">
        <v>6913320</v>
      </c>
      <c r="H987" s="23">
        <v>5.0000000000000001E-3</v>
      </c>
      <c r="I987" s="39">
        <v>44531</v>
      </c>
      <c r="J987" s="39">
        <v>44561</v>
      </c>
      <c r="K987" s="24">
        <v>31</v>
      </c>
      <c r="L987" s="24">
        <v>2936</v>
      </c>
      <c r="M987" s="24">
        <v>6913320</v>
      </c>
      <c r="N987" s="39">
        <v>46335</v>
      </c>
    </row>
    <row r="988" spans="1:14" s="5" customFormat="1" outlineLevel="2">
      <c r="A988" s="39" t="s">
        <v>270</v>
      </c>
      <c r="B988" s="40" t="s">
        <v>33</v>
      </c>
      <c r="C988" s="41" t="s">
        <v>274</v>
      </c>
      <c r="D988" s="40" t="s">
        <v>275</v>
      </c>
      <c r="E988" s="24">
        <v>13007640</v>
      </c>
      <c r="F988" s="39">
        <v>43929</v>
      </c>
      <c r="G988" s="24">
        <v>13007640</v>
      </c>
      <c r="H988" s="23">
        <v>5.0000000000000001E-3</v>
      </c>
      <c r="I988" s="39">
        <v>44531</v>
      </c>
      <c r="J988" s="39">
        <v>44561</v>
      </c>
      <c r="K988" s="24">
        <v>31</v>
      </c>
      <c r="L988" s="24">
        <v>5524</v>
      </c>
      <c r="M988" s="24">
        <v>13007640</v>
      </c>
      <c r="N988" s="39">
        <v>45754</v>
      </c>
    </row>
    <row r="989" spans="1:14" s="5" customFormat="1" outlineLevel="2">
      <c r="A989" s="39" t="s">
        <v>270</v>
      </c>
      <c r="B989" s="40" t="s">
        <v>382</v>
      </c>
      <c r="C989" s="41" t="s">
        <v>274</v>
      </c>
      <c r="D989" s="40" t="s">
        <v>275</v>
      </c>
      <c r="E989" s="24">
        <v>2918400</v>
      </c>
      <c r="F989" s="39">
        <v>44510</v>
      </c>
      <c r="G989" s="24">
        <v>2918400</v>
      </c>
      <c r="H989" s="23">
        <v>5.0000000000000001E-3</v>
      </c>
      <c r="I989" s="39">
        <v>44531</v>
      </c>
      <c r="J989" s="39">
        <v>44561</v>
      </c>
      <c r="K989" s="24">
        <v>31</v>
      </c>
      <c r="L989" s="24">
        <v>1239</v>
      </c>
      <c r="M989" s="24">
        <v>2918400</v>
      </c>
      <c r="N989" s="39">
        <v>46335</v>
      </c>
    </row>
    <row r="990" spans="1:14" s="5" customFormat="1" outlineLevel="2">
      <c r="A990" s="39" t="s">
        <v>270</v>
      </c>
      <c r="B990" s="40" t="s">
        <v>381</v>
      </c>
      <c r="C990" s="41" t="s">
        <v>143</v>
      </c>
      <c r="D990" s="40" t="s">
        <v>144</v>
      </c>
      <c r="E990" s="24">
        <v>1200000</v>
      </c>
      <c r="F990" s="39">
        <v>44501</v>
      </c>
      <c r="G990" s="24">
        <v>1200000</v>
      </c>
      <c r="H990" s="23">
        <v>5.0000000000000001E-3</v>
      </c>
      <c r="I990" s="39">
        <v>44531</v>
      </c>
      <c r="J990" s="39">
        <v>44561</v>
      </c>
      <c r="K990" s="24">
        <v>31</v>
      </c>
      <c r="L990" s="24">
        <v>510</v>
      </c>
      <c r="M990" s="24">
        <v>1200000</v>
      </c>
      <c r="N990" s="39">
        <v>46326</v>
      </c>
    </row>
    <row r="991" spans="1:14" s="5" customFormat="1" outlineLevel="2">
      <c r="A991" s="39" t="s">
        <v>270</v>
      </c>
      <c r="B991" s="40" t="s">
        <v>380</v>
      </c>
      <c r="C991" s="41" t="s">
        <v>143</v>
      </c>
      <c r="D991" s="40" t="s">
        <v>144</v>
      </c>
      <c r="E991" s="24">
        <v>6780000</v>
      </c>
      <c r="F991" s="39">
        <v>44522</v>
      </c>
      <c r="G991" s="24">
        <v>6780000</v>
      </c>
      <c r="H991" s="23">
        <v>5.0000000000000001E-3</v>
      </c>
      <c r="I991" s="39">
        <v>44531</v>
      </c>
      <c r="J991" s="39">
        <v>44561</v>
      </c>
      <c r="K991" s="24">
        <v>31</v>
      </c>
      <c r="L991" s="24">
        <v>2879</v>
      </c>
      <c r="M991" s="24">
        <v>6780000</v>
      </c>
      <c r="N991" s="39">
        <v>46347</v>
      </c>
    </row>
    <row r="992" spans="1:14" s="5" customFormat="1" outlineLevel="2">
      <c r="A992" s="39" t="s">
        <v>270</v>
      </c>
      <c r="B992" s="40" t="s">
        <v>379</v>
      </c>
      <c r="C992" s="41" t="s">
        <v>143</v>
      </c>
      <c r="D992" s="40" t="s">
        <v>144</v>
      </c>
      <c r="E992" s="24">
        <v>810000</v>
      </c>
      <c r="F992" s="39">
        <v>44530</v>
      </c>
      <c r="G992" s="24">
        <v>810000</v>
      </c>
      <c r="H992" s="23">
        <v>5.0000000000000001E-3</v>
      </c>
      <c r="I992" s="39">
        <v>44531</v>
      </c>
      <c r="J992" s="39">
        <v>44561</v>
      </c>
      <c r="K992" s="24">
        <v>31</v>
      </c>
      <c r="L992" s="24">
        <v>344</v>
      </c>
      <c r="M992" s="24">
        <v>810000</v>
      </c>
      <c r="N992" s="39">
        <v>46355</v>
      </c>
    </row>
    <row r="993" spans="1:14" s="5" customFormat="1" outlineLevel="2">
      <c r="A993" s="39" t="s">
        <v>270</v>
      </c>
      <c r="B993" s="40" t="s">
        <v>378</v>
      </c>
      <c r="C993" s="41" t="s">
        <v>273</v>
      </c>
      <c r="D993" s="40" t="s">
        <v>272</v>
      </c>
      <c r="E993" s="24">
        <v>8200000</v>
      </c>
      <c r="F993" s="39">
        <v>44505</v>
      </c>
      <c r="G993" s="24">
        <v>8200000</v>
      </c>
      <c r="H993" s="23">
        <v>5.0000000000000001E-3</v>
      </c>
      <c r="I993" s="39">
        <v>44531</v>
      </c>
      <c r="J993" s="39">
        <v>44561</v>
      </c>
      <c r="K993" s="24">
        <v>31</v>
      </c>
      <c r="L993" s="24">
        <v>3482</v>
      </c>
      <c r="M993" s="24">
        <v>8200000</v>
      </c>
      <c r="N993" s="39">
        <v>46330</v>
      </c>
    </row>
    <row r="994" spans="1:14" s="5" customFormat="1" outlineLevel="2">
      <c r="A994" s="39" t="s">
        <v>270</v>
      </c>
      <c r="B994" s="40" t="s">
        <v>377</v>
      </c>
      <c r="C994" s="41" t="s">
        <v>273</v>
      </c>
      <c r="D994" s="40" t="s">
        <v>272</v>
      </c>
      <c r="E994" s="24">
        <v>15200000</v>
      </c>
      <c r="F994" s="39">
        <v>44505</v>
      </c>
      <c r="G994" s="24">
        <v>15200000</v>
      </c>
      <c r="H994" s="23">
        <v>5.0000000000000001E-3</v>
      </c>
      <c r="I994" s="39">
        <v>44531</v>
      </c>
      <c r="J994" s="39">
        <v>44561</v>
      </c>
      <c r="K994" s="24">
        <v>31</v>
      </c>
      <c r="L994" s="24">
        <v>6455</v>
      </c>
      <c r="M994" s="24">
        <v>15200000</v>
      </c>
      <c r="N994" s="39">
        <v>46330</v>
      </c>
    </row>
    <row r="995" spans="1:14" s="5" customFormat="1" outlineLevel="2">
      <c r="A995" s="39" t="s">
        <v>270</v>
      </c>
      <c r="B995" s="40" t="s">
        <v>376</v>
      </c>
      <c r="C995" s="41" t="s">
        <v>273</v>
      </c>
      <c r="D995" s="40" t="s">
        <v>272</v>
      </c>
      <c r="E995" s="24">
        <v>5800000</v>
      </c>
      <c r="F995" s="39">
        <v>44505</v>
      </c>
      <c r="G995" s="24">
        <v>5800000</v>
      </c>
      <c r="H995" s="23">
        <v>5.0000000000000001E-3</v>
      </c>
      <c r="I995" s="39">
        <v>44531</v>
      </c>
      <c r="J995" s="39">
        <v>44561</v>
      </c>
      <c r="K995" s="24">
        <v>31</v>
      </c>
      <c r="L995" s="24">
        <v>2463</v>
      </c>
      <c r="M995" s="24">
        <v>5800000</v>
      </c>
      <c r="N995" s="39">
        <v>46330</v>
      </c>
    </row>
    <row r="996" spans="1:14" s="5" customFormat="1" outlineLevel="2">
      <c r="A996" s="39" t="s">
        <v>270</v>
      </c>
      <c r="B996" s="40" t="s">
        <v>375</v>
      </c>
      <c r="C996" s="41" t="s">
        <v>294</v>
      </c>
      <c r="D996" s="40" t="s">
        <v>295</v>
      </c>
      <c r="E996" s="24">
        <v>117440000</v>
      </c>
      <c r="F996" s="39">
        <v>44554</v>
      </c>
      <c r="G996" s="24">
        <v>117440000</v>
      </c>
      <c r="H996" s="23">
        <v>3.0000000000000001E-3</v>
      </c>
      <c r="I996" s="39">
        <v>44554</v>
      </c>
      <c r="J996" s="39">
        <v>44561</v>
      </c>
      <c r="K996" s="24">
        <v>8</v>
      </c>
      <c r="L996" s="24">
        <v>7722</v>
      </c>
      <c r="M996" s="24">
        <v>117440000</v>
      </c>
      <c r="N996" s="39">
        <v>45649</v>
      </c>
    </row>
    <row r="997" spans="1:14" s="5" customFormat="1" outlineLevel="2">
      <c r="A997" s="39" t="s">
        <v>270</v>
      </c>
      <c r="B997" s="40" t="s">
        <v>396</v>
      </c>
      <c r="C997" s="41" t="s">
        <v>322</v>
      </c>
      <c r="D997" s="40" t="s">
        <v>321</v>
      </c>
      <c r="E997" s="24">
        <v>4785000</v>
      </c>
      <c r="F997" s="39">
        <v>44560</v>
      </c>
      <c r="G997" s="24">
        <v>4785000</v>
      </c>
      <c r="H997" s="23">
        <v>5.0000000000000001E-3</v>
      </c>
      <c r="I997" s="39">
        <v>44560</v>
      </c>
      <c r="J997" s="39">
        <v>44561</v>
      </c>
      <c r="K997" s="24">
        <v>2</v>
      </c>
      <c r="L997" s="24">
        <v>131</v>
      </c>
      <c r="M997" s="24">
        <v>4785000</v>
      </c>
      <c r="N997" s="39">
        <v>46385</v>
      </c>
    </row>
    <row r="998" spans="1:14" s="5" customFormat="1" outlineLevel="2">
      <c r="A998" s="39" t="s">
        <v>270</v>
      </c>
      <c r="B998" s="40" t="s">
        <v>395</v>
      </c>
      <c r="C998" s="41" t="s">
        <v>408</v>
      </c>
      <c r="D998" s="40" t="s">
        <v>407</v>
      </c>
      <c r="E998" s="24">
        <v>30000000</v>
      </c>
      <c r="F998" s="39">
        <v>44536</v>
      </c>
      <c r="G998" s="24">
        <v>30000000</v>
      </c>
      <c r="H998" s="23">
        <v>5.0000000000000001E-3</v>
      </c>
      <c r="I998" s="39">
        <v>44536</v>
      </c>
      <c r="J998" s="39">
        <v>44561</v>
      </c>
      <c r="K998" s="24">
        <v>26</v>
      </c>
      <c r="L998" s="24">
        <v>10685</v>
      </c>
      <c r="M998" s="24">
        <v>30000000</v>
      </c>
      <c r="N998" s="39">
        <v>45631</v>
      </c>
    </row>
    <row r="999" spans="1:14" s="5" customFormat="1" outlineLevel="2">
      <c r="A999" s="39" t="s">
        <v>270</v>
      </c>
      <c r="B999" s="40" t="s">
        <v>34</v>
      </c>
      <c r="C999" s="41" t="s">
        <v>276</v>
      </c>
      <c r="D999" s="40" t="s">
        <v>277</v>
      </c>
      <c r="E999" s="24">
        <v>61668037</v>
      </c>
      <c r="F999" s="39">
        <v>43949</v>
      </c>
      <c r="G999" s="24">
        <v>61668037</v>
      </c>
      <c r="H999" s="23">
        <v>5.0000000000000001E-3</v>
      </c>
      <c r="I999" s="39">
        <v>44531</v>
      </c>
      <c r="J999" s="39">
        <v>44561</v>
      </c>
      <c r="K999" s="24">
        <v>31</v>
      </c>
      <c r="L999" s="24">
        <v>26188</v>
      </c>
      <c r="M999" s="24">
        <v>61668037</v>
      </c>
      <c r="N999" s="39">
        <v>45774</v>
      </c>
    </row>
    <row r="1000" spans="1:14" s="5" customFormat="1" outlineLevel="2">
      <c r="A1000" s="39" t="s">
        <v>270</v>
      </c>
      <c r="B1000" s="40" t="s">
        <v>394</v>
      </c>
      <c r="C1000" s="41" t="s">
        <v>274</v>
      </c>
      <c r="D1000" s="40" t="s">
        <v>275</v>
      </c>
      <c r="E1000" s="24">
        <v>3481920</v>
      </c>
      <c r="F1000" s="39">
        <v>44538</v>
      </c>
      <c r="G1000" s="24">
        <v>3481920</v>
      </c>
      <c r="H1000" s="23">
        <v>5.0000000000000001E-3</v>
      </c>
      <c r="I1000" s="39">
        <v>44538</v>
      </c>
      <c r="J1000" s="39">
        <v>44561</v>
      </c>
      <c r="K1000" s="24">
        <v>24</v>
      </c>
      <c r="L1000" s="24">
        <v>1145</v>
      </c>
      <c r="M1000" s="24">
        <v>3481920</v>
      </c>
      <c r="N1000" s="39">
        <v>46363</v>
      </c>
    </row>
    <row r="1001" spans="1:14" s="5" customFormat="1" outlineLevel="2">
      <c r="A1001" s="39" t="s">
        <v>270</v>
      </c>
      <c r="B1001" s="40" t="s">
        <v>393</v>
      </c>
      <c r="C1001" s="41" t="s">
        <v>274</v>
      </c>
      <c r="D1001" s="40" t="s">
        <v>275</v>
      </c>
      <c r="E1001" s="24">
        <v>2918400</v>
      </c>
      <c r="F1001" s="39">
        <v>44538</v>
      </c>
      <c r="G1001" s="24">
        <v>2918400</v>
      </c>
      <c r="H1001" s="23">
        <v>5.0000000000000001E-3</v>
      </c>
      <c r="I1001" s="39">
        <v>44538</v>
      </c>
      <c r="J1001" s="39">
        <v>44561</v>
      </c>
      <c r="K1001" s="24">
        <v>24</v>
      </c>
      <c r="L1001" s="24">
        <v>959</v>
      </c>
      <c r="M1001" s="24">
        <v>2918400</v>
      </c>
      <c r="N1001" s="39">
        <v>46363</v>
      </c>
    </row>
    <row r="1002" spans="1:14" s="5" customFormat="1" outlineLevel="2">
      <c r="A1002" s="39" t="s">
        <v>270</v>
      </c>
      <c r="B1002" s="40" t="s">
        <v>392</v>
      </c>
      <c r="C1002" s="41" t="s">
        <v>274</v>
      </c>
      <c r="D1002" s="40" t="s">
        <v>275</v>
      </c>
      <c r="E1002" s="24">
        <v>1207216</v>
      </c>
      <c r="F1002" s="39">
        <v>44538</v>
      </c>
      <c r="G1002" s="24">
        <v>1207216</v>
      </c>
      <c r="H1002" s="23">
        <v>5.0000000000000001E-3</v>
      </c>
      <c r="I1002" s="39">
        <v>44538</v>
      </c>
      <c r="J1002" s="39">
        <v>44561</v>
      </c>
      <c r="K1002" s="24">
        <v>24</v>
      </c>
      <c r="L1002" s="24">
        <v>397</v>
      </c>
      <c r="M1002" s="24">
        <v>1207216</v>
      </c>
      <c r="N1002" s="39">
        <v>46363</v>
      </c>
    </row>
    <row r="1003" spans="1:14" s="5" customFormat="1" outlineLevel="2">
      <c r="A1003" s="39" t="s">
        <v>270</v>
      </c>
      <c r="B1003" s="40" t="s">
        <v>391</v>
      </c>
      <c r="C1003" s="41" t="s">
        <v>79</v>
      </c>
      <c r="D1003" s="40" t="s">
        <v>80</v>
      </c>
      <c r="E1003" s="24">
        <v>19200000</v>
      </c>
      <c r="F1003" s="39">
        <v>44554</v>
      </c>
      <c r="G1003" s="24">
        <v>19200000</v>
      </c>
      <c r="H1003" s="23">
        <v>5.0000000000000001E-3</v>
      </c>
      <c r="I1003" s="39">
        <v>44554</v>
      </c>
      <c r="J1003" s="39">
        <v>44561</v>
      </c>
      <c r="K1003" s="24">
        <v>8</v>
      </c>
      <c r="L1003" s="24">
        <v>2104</v>
      </c>
      <c r="M1003" s="24">
        <v>19200000</v>
      </c>
      <c r="N1003" s="39">
        <v>45649</v>
      </c>
    </row>
    <row r="1004" spans="1:14" s="5" customFormat="1" outlineLevel="2">
      <c r="A1004" s="39" t="s">
        <v>270</v>
      </c>
      <c r="B1004" s="40" t="s">
        <v>390</v>
      </c>
      <c r="C1004" s="41" t="s">
        <v>273</v>
      </c>
      <c r="D1004" s="40" t="s">
        <v>272</v>
      </c>
      <c r="E1004" s="24">
        <v>1800000</v>
      </c>
      <c r="F1004" s="39">
        <v>44533</v>
      </c>
      <c r="G1004" s="24">
        <v>1800000</v>
      </c>
      <c r="H1004" s="23">
        <v>5.0000000000000001E-3</v>
      </c>
      <c r="I1004" s="39">
        <v>44533</v>
      </c>
      <c r="J1004" s="39">
        <v>44561</v>
      </c>
      <c r="K1004" s="24">
        <v>29</v>
      </c>
      <c r="L1004" s="24">
        <v>715</v>
      </c>
      <c r="M1004" s="24">
        <v>1800000</v>
      </c>
      <c r="N1004" s="39">
        <v>46358</v>
      </c>
    </row>
    <row r="1005" spans="1:14" s="5" customFormat="1" outlineLevel="2">
      <c r="A1005" s="39" t="s">
        <v>270</v>
      </c>
      <c r="B1005" s="40" t="s">
        <v>389</v>
      </c>
      <c r="C1005" s="41" t="s">
        <v>273</v>
      </c>
      <c r="D1005" s="40" t="s">
        <v>272</v>
      </c>
      <c r="E1005" s="24">
        <v>3500000</v>
      </c>
      <c r="F1005" s="39">
        <v>44533</v>
      </c>
      <c r="G1005" s="24">
        <v>3500000</v>
      </c>
      <c r="H1005" s="23">
        <v>5.0000000000000001E-3</v>
      </c>
      <c r="I1005" s="39">
        <v>44533</v>
      </c>
      <c r="J1005" s="39">
        <v>44561</v>
      </c>
      <c r="K1005" s="24">
        <v>29</v>
      </c>
      <c r="L1005" s="24">
        <v>1390</v>
      </c>
      <c r="M1005" s="24">
        <v>3500000</v>
      </c>
      <c r="N1005" s="39">
        <v>46358</v>
      </c>
    </row>
    <row r="1006" spans="1:14" s="5" customFormat="1" outlineLevel="2">
      <c r="A1006" s="39" t="s">
        <v>270</v>
      </c>
      <c r="B1006" s="40" t="s">
        <v>402</v>
      </c>
      <c r="C1006" s="41" t="s">
        <v>273</v>
      </c>
      <c r="D1006" s="40" t="s">
        <v>272</v>
      </c>
      <c r="E1006" s="24">
        <v>7300000</v>
      </c>
      <c r="F1006" s="39">
        <v>44533</v>
      </c>
      <c r="G1006" s="24">
        <v>7300000</v>
      </c>
      <c r="H1006" s="23">
        <v>5.0000000000000001E-3</v>
      </c>
      <c r="I1006" s="39">
        <v>44533</v>
      </c>
      <c r="J1006" s="39">
        <v>44561</v>
      </c>
      <c r="K1006" s="24">
        <v>29</v>
      </c>
      <c r="L1006" s="24">
        <v>2900</v>
      </c>
      <c r="M1006" s="24">
        <v>7300000</v>
      </c>
      <c r="N1006" s="39">
        <v>46358</v>
      </c>
    </row>
    <row r="1007" spans="1:14" s="5" customFormat="1" outlineLevel="2">
      <c r="A1007" s="39" t="s">
        <v>270</v>
      </c>
      <c r="B1007" s="40" t="s">
        <v>35</v>
      </c>
      <c r="C1007" s="41" t="s">
        <v>274</v>
      </c>
      <c r="D1007" s="40" t="s">
        <v>275</v>
      </c>
      <c r="E1007" s="24">
        <v>13007640</v>
      </c>
      <c r="F1007" s="39">
        <v>43964</v>
      </c>
      <c r="G1007" s="24">
        <v>13007640</v>
      </c>
      <c r="H1007" s="23">
        <v>5.0000000000000001E-3</v>
      </c>
      <c r="I1007" s="39">
        <v>44531</v>
      </c>
      <c r="J1007" s="39">
        <v>44561</v>
      </c>
      <c r="K1007" s="24">
        <v>31</v>
      </c>
      <c r="L1007" s="24">
        <v>5524</v>
      </c>
      <c r="M1007" s="24">
        <v>13007640</v>
      </c>
      <c r="N1007" s="39">
        <v>45789</v>
      </c>
    </row>
    <row r="1008" spans="1:14" s="5" customFormat="1" outlineLevel="2">
      <c r="A1008" s="39" t="s">
        <v>270</v>
      </c>
      <c r="B1008" s="40" t="s">
        <v>36</v>
      </c>
      <c r="C1008" s="41" t="s">
        <v>274</v>
      </c>
      <c r="D1008" s="40" t="s">
        <v>275</v>
      </c>
      <c r="E1008" s="24">
        <v>6361320</v>
      </c>
      <c r="F1008" s="39">
        <v>43964</v>
      </c>
      <c r="G1008" s="24">
        <v>6361320</v>
      </c>
      <c r="H1008" s="23">
        <v>5.0000000000000001E-3</v>
      </c>
      <c r="I1008" s="39">
        <v>44531</v>
      </c>
      <c r="J1008" s="39">
        <v>44561</v>
      </c>
      <c r="K1008" s="24">
        <v>31</v>
      </c>
      <c r="L1008" s="24">
        <v>2701</v>
      </c>
      <c r="M1008" s="24">
        <v>6361320</v>
      </c>
      <c r="N1008" s="39">
        <v>45789</v>
      </c>
    </row>
    <row r="1009" spans="1:14" s="5" customFormat="1" outlineLevel="2">
      <c r="A1009" s="39" t="s">
        <v>270</v>
      </c>
      <c r="B1009" s="40" t="s">
        <v>39</v>
      </c>
      <c r="C1009" s="41" t="s">
        <v>274</v>
      </c>
      <c r="D1009" s="40" t="s">
        <v>275</v>
      </c>
      <c r="E1009" s="24">
        <v>5452560</v>
      </c>
      <c r="F1009" s="39">
        <v>43810</v>
      </c>
      <c r="G1009" s="24">
        <v>5452560</v>
      </c>
      <c r="H1009" s="23">
        <v>5.0000000000000001E-3</v>
      </c>
      <c r="I1009" s="39">
        <v>44531</v>
      </c>
      <c r="J1009" s="39">
        <v>44561</v>
      </c>
      <c r="K1009" s="24">
        <v>31</v>
      </c>
      <c r="L1009" s="24">
        <v>2315</v>
      </c>
      <c r="M1009" s="24">
        <v>5452560</v>
      </c>
      <c r="N1009" s="39">
        <v>45636</v>
      </c>
    </row>
    <row r="1010" spans="1:14" s="5" customFormat="1" outlineLevel="2">
      <c r="A1010" s="39" t="s">
        <v>270</v>
      </c>
      <c r="B1010" s="40" t="s">
        <v>40</v>
      </c>
      <c r="C1010" s="41" t="s">
        <v>273</v>
      </c>
      <c r="D1010" s="40" t="s">
        <v>272</v>
      </c>
      <c r="E1010" s="24">
        <v>69800000</v>
      </c>
      <c r="F1010" s="39">
        <v>43956</v>
      </c>
      <c r="G1010" s="24">
        <v>69800000</v>
      </c>
      <c r="H1010" s="23">
        <v>5.0000000000000001E-3</v>
      </c>
      <c r="I1010" s="39">
        <v>44531</v>
      </c>
      <c r="J1010" s="39">
        <v>44561</v>
      </c>
      <c r="K1010" s="24">
        <v>31</v>
      </c>
      <c r="L1010" s="24">
        <v>29641</v>
      </c>
      <c r="M1010" s="24">
        <v>69800000</v>
      </c>
      <c r="N1010" s="39">
        <v>45781</v>
      </c>
    </row>
    <row r="1011" spans="1:14" s="5" customFormat="1" outlineLevel="2">
      <c r="A1011" s="39" t="s">
        <v>270</v>
      </c>
      <c r="B1011" s="40" t="s">
        <v>41</v>
      </c>
      <c r="C1011" s="41" t="s">
        <v>273</v>
      </c>
      <c r="D1011" s="40" t="s">
        <v>272</v>
      </c>
      <c r="E1011" s="24">
        <v>1500000</v>
      </c>
      <c r="F1011" s="39">
        <v>43956</v>
      </c>
      <c r="G1011" s="24">
        <v>1500000</v>
      </c>
      <c r="H1011" s="23">
        <v>5.0000000000000001E-3</v>
      </c>
      <c r="I1011" s="39">
        <v>44531</v>
      </c>
      <c r="J1011" s="39">
        <v>44561</v>
      </c>
      <c r="K1011" s="24">
        <v>31</v>
      </c>
      <c r="L1011" s="24">
        <v>637</v>
      </c>
      <c r="M1011" s="24">
        <v>1500000</v>
      </c>
      <c r="N1011" s="39">
        <v>45781</v>
      </c>
    </row>
    <row r="1012" spans="1:14" s="5" customFormat="1" outlineLevel="2">
      <c r="A1012" s="39" t="s">
        <v>270</v>
      </c>
      <c r="B1012" s="40" t="s">
        <v>42</v>
      </c>
      <c r="C1012" s="41" t="s">
        <v>30</v>
      </c>
      <c r="D1012" s="40" t="s">
        <v>31</v>
      </c>
      <c r="E1012" s="24">
        <v>50000000</v>
      </c>
      <c r="F1012" s="39">
        <v>43976</v>
      </c>
      <c r="G1012" s="24">
        <v>50000000</v>
      </c>
      <c r="H1012" s="23">
        <v>5.0000000000000001E-3</v>
      </c>
      <c r="I1012" s="39">
        <v>44531</v>
      </c>
      <c r="J1012" s="39">
        <v>44561</v>
      </c>
      <c r="K1012" s="24">
        <v>31</v>
      </c>
      <c r="L1012" s="24">
        <v>21233</v>
      </c>
      <c r="M1012" s="24">
        <v>50000000</v>
      </c>
      <c r="N1012" s="39">
        <v>45801</v>
      </c>
    </row>
    <row r="1013" spans="1:14" s="5" customFormat="1" outlineLevel="2">
      <c r="A1013" s="39" t="s">
        <v>270</v>
      </c>
      <c r="B1013" s="40" t="s">
        <v>43</v>
      </c>
      <c r="C1013" s="41" t="s">
        <v>274</v>
      </c>
      <c r="D1013" s="40" t="s">
        <v>275</v>
      </c>
      <c r="E1013" s="24">
        <v>6657720</v>
      </c>
      <c r="F1013" s="39">
        <v>43992</v>
      </c>
      <c r="G1013" s="24">
        <v>6657720</v>
      </c>
      <c r="H1013" s="23">
        <v>5.0000000000000001E-3</v>
      </c>
      <c r="I1013" s="39">
        <v>44531</v>
      </c>
      <c r="J1013" s="39">
        <v>44561</v>
      </c>
      <c r="K1013" s="24">
        <v>31</v>
      </c>
      <c r="L1013" s="24">
        <v>2827</v>
      </c>
      <c r="M1013" s="24">
        <v>6657720</v>
      </c>
      <c r="N1013" s="39">
        <v>45817</v>
      </c>
    </row>
    <row r="1014" spans="1:14" s="5" customFormat="1" outlineLevel="2">
      <c r="A1014" s="39" t="s">
        <v>270</v>
      </c>
      <c r="B1014" s="40" t="s">
        <v>44</v>
      </c>
      <c r="C1014" s="41" t="s">
        <v>274</v>
      </c>
      <c r="D1014" s="40" t="s">
        <v>275</v>
      </c>
      <c r="E1014" s="24">
        <v>6361320</v>
      </c>
      <c r="F1014" s="39">
        <v>43992</v>
      </c>
      <c r="G1014" s="24">
        <v>6361320</v>
      </c>
      <c r="H1014" s="23">
        <v>5.0000000000000001E-3</v>
      </c>
      <c r="I1014" s="39">
        <v>44531</v>
      </c>
      <c r="J1014" s="39">
        <v>44561</v>
      </c>
      <c r="K1014" s="24">
        <v>31</v>
      </c>
      <c r="L1014" s="24">
        <v>2701</v>
      </c>
      <c r="M1014" s="24">
        <v>6361320</v>
      </c>
      <c r="N1014" s="39">
        <v>45817</v>
      </c>
    </row>
    <row r="1015" spans="1:14" s="5" customFormat="1" outlineLevel="2">
      <c r="A1015" s="39" t="s">
        <v>270</v>
      </c>
      <c r="B1015" s="40" t="s">
        <v>47</v>
      </c>
      <c r="C1015" s="41" t="s">
        <v>273</v>
      </c>
      <c r="D1015" s="40" t="s">
        <v>272</v>
      </c>
      <c r="E1015" s="24">
        <v>41200000</v>
      </c>
      <c r="F1015" s="39">
        <v>43987</v>
      </c>
      <c r="G1015" s="24">
        <v>41200000</v>
      </c>
      <c r="H1015" s="23">
        <v>5.0000000000000001E-3</v>
      </c>
      <c r="I1015" s="39">
        <v>44531</v>
      </c>
      <c r="J1015" s="39">
        <v>44561</v>
      </c>
      <c r="K1015" s="24">
        <v>31</v>
      </c>
      <c r="L1015" s="24">
        <v>17496</v>
      </c>
      <c r="M1015" s="24">
        <v>41200000</v>
      </c>
      <c r="N1015" s="39">
        <v>45812</v>
      </c>
    </row>
    <row r="1016" spans="1:14" s="5" customFormat="1" outlineLevel="2">
      <c r="A1016" s="39" t="s">
        <v>270</v>
      </c>
      <c r="B1016" s="40" t="s">
        <v>50</v>
      </c>
      <c r="C1016" s="41" t="s">
        <v>274</v>
      </c>
      <c r="D1016" s="40" t="s">
        <v>275</v>
      </c>
      <c r="E1016" s="24">
        <v>6657720</v>
      </c>
      <c r="F1016" s="39">
        <v>44020</v>
      </c>
      <c r="G1016" s="24">
        <v>6657720</v>
      </c>
      <c r="H1016" s="23">
        <v>5.0000000000000001E-3</v>
      </c>
      <c r="I1016" s="39">
        <v>44531</v>
      </c>
      <c r="J1016" s="39">
        <v>44561</v>
      </c>
      <c r="K1016" s="24">
        <v>31</v>
      </c>
      <c r="L1016" s="24">
        <v>2827</v>
      </c>
      <c r="M1016" s="24">
        <v>6657720</v>
      </c>
      <c r="N1016" s="39">
        <v>45845</v>
      </c>
    </row>
    <row r="1017" spans="1:14" s="5" customFormat="1" outlineLevel="2">
      <c r="A1017" s="39" t="s">
        <v>270</v>
      </c>
      <c r="B1017" s="40" t="s">
        <v>51</v>
      </c>
      <c r="C1017" s="41" t="s">
        <v>274</v>
      </c>
      <c r="D1017" s="40" t="s">
        <v>275</v>
      </c>
      <c r="E1017" s="24">
        <v>6657720</v>
      </c>
      <c r="F1017" s="39">
        <v>44020</v>
      </c>
      <c r="G1017" s="24">
        <v>6657720</v>
      </c>
      <c r="H1017" s="23">
        <v>5.0000000000000001E-3</v>
      </c>
      <c r="I1017" s="39">
        <v>44531</v>
      </c>
      <c r="J1017" s="39">
        <v>44561</v>
      </c>
      <c r="K1017" s="24">
        <v>31</v>
      </c>
      <c r="L1017" s="24">
        <v>2827</v>
      </c>
      <c r="M1017" s="24">
        <v>6657720</v>
      </c>
      <c r="N1017" s="39">
        <v>45845</v>
      </c>
    </row>
    <row r="1018" spans="1:14" s="5" customFormat="1" outlineLevel="2">
      <c r="A1018" s="39" t="s">
        <v>270</v>
      </c>
      <c r="B1018" s="40" t="s">
        <v>52</v>
      </c>
      <c r="C1018" s="41" t="s">
        <v>273</v>
      </c>
      <c r="D1018" s="40" t="s">
        <v>272</v>
      </c>
      <c r="E1018" s="24">
        <v>11800000</v>
      </c>
      <c r="F1018" s="39">
        <v>44015</v>
      </c>
      <c r="G1018" s="24">
        <v>11800000</v>
      </c>
      <c r="H1018" s="23">
        <v>5.0000000000000001E-3</v>
      </c>
      <c r="I1018" s="39">
        <v>44531</v>
      </c>
      <c r="J1018" s="39">
        <v>44561</v>
      </c>
      <c r="K1018" s="24">
        <v>31</v>
      </c>
      <c r="L1018" s="24">
        <v>5011</v>
      </c>
      <c r="M1018" s="24">
        <v>11800000</v>
      </c>
      <c r="N1018" s="39">
        <v>45840</v>
      </c>
    </row>
    <row r="1019" spans="1:14" s="5" customFormat="1" outlineLevel="2">
      <c r="A1019" s="39" t="s">
        <v>270</v>
      </c>
      <c r="B1019" s="40" t="s">
        <v>53</v>
      </c>
      <c r="C1019" s="41" t="s">
        <v>273</v>
      </c>
      <c r="D1019" s="40" t="s">
        <v>272</v>
      </c>
      <c r="E1019" s="24">
        <v>2600000</v>
      </c>
      <c r="F1019" s="39">
        <v>44015</v>
      </c>
      <c r="G1019" s="24">
        <v>2600000</v>
      </c>
      <c r="H1019" s="23">
        <v>5.0000000000000001E-3</v>
      </c>
      <c r="I1019" s="39">
        <v>44531</v>
      </c>
      <c r="J1019" s="39">
        <v>44561</v>
      </c>
      <c r="K1019" s="24">
        <v>31</v>
      </c>
      <c r="L1019" s="24">
        <v>1104</v>
      </c>
      <c r="M1019" s="24">
        <v>2600000</v>
      </c>
      <c r="N1019" s="39">
        <v>45840</v>
      </c>
    </row>
    <row r="1020" spans="1:14" s="5" customFormat="1" outlineLevel="2">
      <c r="A1020" s="39" t="s">
        <v>270</v>
      </c>
      <c r="B1020" s="40" t="s">
        <v>54</v>
      </c>
      <c r="C1020" s="41" t="s">
        <v>278</v>
      </c>
      <c r="D1020" s="40" t="s">
        <v>279</v>
      </c>
      <c r="E1020" s="24">
        <v>220000000</v>
      </c>
      <c r="F1020" s="39">
        <v>43815</v>
      </c>
      <c r="G1020" s="24">
        <v>220000000</v>
      </c>
      <c r="H1020" s="23">
        <v>5.0000000000000001E-3</v>
      </c>
      <c r="I1020" s="39">
        <v>44531</v>
      </c>
      <c r="J1020" s="39">
        <v>44561</v>
      </c>
      <c r="K1020" s="24">
        <v>31</v>
      </c>
      <c r="L1020" s="24">
        <v>93425</v>
      </c>
      <c r="M1020" s="24">
        <v>220000000</v>
      </c>
      <c r="N1020" s="39">
        <v>45641</v>
      </c>
    </row>
    <row r="1021" spans="1:14" s="5" customFormat="1" outlineLevel="2">
      <c r="A1021" s="39" t="s">
        <v>270</v>
      </c>
      <c r="B1021" s="40" t="s">
        <v>57</v>
      </c>
      <c r="C1021" s="41" t="s">
        <v>143</v>
      </c>
      <c r="D1021" s="40" t="s">
        <v>144</v>
      </c>
      <c r="E1021" s="24">
        <v>10400000</v>
      </c>
      <c r="F1021" s="39">
        <v>44033</v>
      </c>
      <c r="G1021" s="24">
        <v>10400000</v>
      </c>
      <c r="H1021" s="23">
        <v>5.0000000000000001E-3</v>
      </c>
      <c r="I1021" s="39">
        <v>44531</v>
      </c>
      <c r="J1021" s="39">
        <v>44561</v>
      </c>
      <c r="K1021" s="24">
        <v>31</v>
      </c>
      <c r="L1021" s="24">
        <v>4416</v>
      </c>
      <c r="M1021" s="24">
        <v>10400000</v>
      </c>
      <c r="N1021" s="39">
        <v>45858</v>
      </c>
    </row>
    <row r="1022" spans="1:14" s="5" customFormat="1" outlineLevel="2">
      <c r="A1022" s="39" t="s">
        <v>270</v>
      </c>
      <c r="B1022" s="40" t="s">
        <v>58</v>
      </c>
      <c r="C1022" s="41" t="s">
        <v>97</v>
      </c>
      <c r="D1022" s="40" t="s">
        <v>98</v>
      </c>
      <c r="E1022" s="24">
        <v>28200000</v>
      </c>
      <c r="F1022" s="39">
        <v>44027</v>
      </c>
      <c r="G1022" s="24">
        <v>28200000</v>
      </c>
      <c r="H1022" s="23">
        <v>5.0000000000000001E-3</v>
      </c>
      <c r="I1022" s="39">
        <v>44531</v>
      </c>
      <c r="J1022" s="39">
        <v>44561</v>
      </c>
      <c r="K1022" s="24">
        <v>31</v>
      </c>
      <c r="L1022" s="24">
        <v>11975</v>
      </c>
      <c r="M1022" s="24">
        <v>28200000</v>
      </c>
      <c r="N1022" s="39">
        <v>45852</v>
      </c>
    </row>
    <row r="1023" spans="1:14" s="5" customFormat="1" outlineLevel="2">
      <c r="A1023" s="39" t="s">
        <v>270</v>
      </c>
      <c r="B1023" s="40" t="s">
        <v>99</v>
      </c>
      <c r="C1023" s="41" t="s">
        <v>274</v>
      </c>
      <c r="D1023" s="40" t="s">
        <v>275</v>
      </c>
      <c r="E1023" s="24">
        <v>6657720</v>
      </c>
      <c r="F1023" s="39">
        <v>44055</v>
      </c>
      <c r="G1023" s="24">
        <v>6657720</v>
      </c>
      <c r="H1023" s="23">
        <v>5.0000000000000001E-3</v>
      </c>
      <c r="I1023" s="39">
        <v>44531</v>
      </c>
      <c r="J1023" s="39">
        <v>44561</v>
      </c>
      <c r="K1023" s="24">
        <v>31</v>
      </c>
      <c r="L1023" s="24">
        <v>2827</v>
      </c>
      <c r="M1023" s="24">
        <v>6657720</v>
      </c>
      <c r="N1023" s="39">
        <v>45880</v>
      </c>
    </row>
    <row r="1024" spans="1:14" s="5" customFormat="1" outlineLevel="2">
      <c r="A1024" s="39" t="s">
        <v>270</v>
      </c>
      <c r="B1024" s="40" t="s">
        <v>100</v>
      </c>
      <c r="C1024" s="41" t="s">
        <v>274</v>
      </c>
      <c r="D1024" s="40" t="s">
        <v>275</v>
      </c>
      <c r="E1024" s="24">
        <v>6714720</v>
      </c>
      <c r="F1024" s="39">
        <v>44055</v>
      </c>
      <c r="G1024" s="24">
        <v>6714720</v>
      </c>
      <c r="H1024" s="23">
        <v>5.0000000000000001E-3</v>
      </c>
      <c r="I1024" s="39">
        <v>44531</v>
      </c>
      <c r="J1024" s="39">
        <v>44561</v>
      </c>
      <c r="K1024" s="24">
        <v>31</v>
      </c>
      <c r="L1024" s="24">
        <v>2851</v>
      </c>
      <c r="M1024" s="24">
        <v>6714720</v>
      </c>
      <c r="N1024" s="39">
        <v>45880</v>
      </c>
    </row>
    <row r="1025" spans="1:14" s="5" customFormat="1" outlineLevel="2">
      <c r="A1025" s="39" t="s">
        <v>270</v>
      </c>
      <c r="B1025" s="40" t="s">
        <v>101</v>
      </c>
      <c r="C1025" s="41" t="s">
        <v>273</v>
      </c>
      <c r="D1025" s="40" t="s">
        <v>272</v>
      </c>
      <c r="E1025" s="24">
        <v>47630000</v>
      </c>
      <c r="F1025" s="39">
        <v>44048</v>
      </c>
      <c r="G1025" s="24">
        <v>47630000</v>
      </c>
      <c r="H1025" s="23">
        <v>5.0000000000000001E-3</v>
      </c>
      <c r="I1025" s="39">
        <v>44531</v>
      </c>
      <c r="J1025" s="39">
        <v>44561</v>
      </c>
      <c r="K1025" s="24">
        <v>31</v>
      </c>
      <c r="L1025" s="24">
        <v>20226</v>
      </c>
      <c r="M1025" s="24">
        <v>47630000</v>
      </c>
      <c r="N1025" s="39">
        <v>45873</v>
      </c>
    </row>
    <row r="1026" spans="1:14" s="5" customFormat="1" outlineLevel="2">
      <c r="A1026" s="39" t="s">
        <v>270</v>
      </c>
      <c r="B1026" s="40" t="s">
        <v>102</v>
      </c>
      <c r="C1026" s="41" t="s">
        <v>273</v>
      </c>
      <c r="D1026" s="40" t="s">
        <v>272</v>
      </c>
      <c r="E1026" s="24">
        <v>1970000</v>
      </c>
      <c r="F1026" s="39">
        <v>44048</v>
      </c>
      <c r="G1026" s="24">
        <v>1970000</v>
      </c>
      <c r="H1026" s="23">
        <v>5.0000000000000001E-3</v>
      </c>
      <c r="I1026" s="39">
        <v>44531</v>
      </c>
      <c r="J1026" s="39">
        <v>44561</v>
      </c>
      <c r="K1026" s="24">
        <v>31</v>
      </c>
      <c r="L1026" s="24">
        <v>837</v>
      </c>
      <c r="M1026" s="24">
        <v>1970000</v>
      </c>
      <c r="N1026" s="39">
        <v>45873</v>
      </c>
    </row>
    <row r="1027" spans="1:14" s="5" customFormat="1" outlineLevel="2">
      <c r="A1027" s="39" t="s">
        <v>270</v>
      </c>
      <c r="B1027" s="40" t="s">
        <v>103</v>
      </c>
      <c r="C1027" s="41" t="s">
        <v>252</v>
      </c>
      <c r="D1027" s="40" t="s">
        <v>253</v>
      </c>
      <c r="E1027" s="24">
        <v>27700000</v>
      </c>
      <c r="F1027" s="39">
        <v>44071</v>
      </c>
      <c r="G1027" s="24">
        <v>27700000</v>
      </c>
      <c r="H1027" s="23">
        <v>5.0000000000000001E-3</v>
      </c>
      <c r="I1027" s="39">
        <v>44531</v>
      </c>
      <c r="J1027" s="39">
        <v>44561</v>
      </c>
      <c r="K1027" s="24">
        <v>31</v>
      </c>
      <c r="L1027" s="24">
        <v>11763</v>
      </c>
      <c r="M1027" s="24">
        <v>27700000</v>
      </c>
      <c r="N1027" s="39">
        <v>45896</v>
      </c>
    </row>
    <row r="1028" spans="1:14" s="5" customFormat="1" outlineLevel="2">
      <c r="A1028" s="39" t="s">
        <v>270</v>
      </c>
      <c r="B1028" s="40" t="s">
        <v>104</v>
      </c>
      <c r="C1028" s="41" t="s">
        <v>274</v>
      </c>
      <c r="D1028" s="40" t="s">
        <v>275</v>
      </c>
      <c r="E1028" s="24">
        <v>6714720</v>
      </c>
      <c r="F1028" s="39">
        <v>44083</v>
      </c>
      <c r="G1028" s="24">
        <v>6714720</v>
      </c>
      <c r="H1028" s="23">
        <v>5.0000000000000001E-3</v>
      </c>
      <c r="I1028" s="39">
        <v>44531</v>
      </c>
      <c r="J1028" s="39">
        <v>44561</v>
      </c>
      <c r="K1028" s="24">
        <v>31</v>
      </c>
      <c r="L1028" s="24">
        <v>2851</v>
      </c>
      <c r="M1028" s="24">
        <v>6714720</v>
      </c>
      <c r="N1028" s="39">
        <v>45908</v>
      </c>
    </row>
    <row r="1029" spans="1:14" s="5" customFormat="1" outlineLevel="2">
      <c r="A1029" s="39" t="s">
        <v>270</v>
      </c>
      <c r="B1029" s="40" t="s">
        <v>105</v>
      </c>
      <c r="C1029" s="41" t="s">
        <v>274</v>
      </c>
      <c r="D1029" s="40" t="s">
        <v>275</v>
      </c>
      <c r="E1029" s="24">
        <v>5805960</v>
      </c>
      <c r="F1029" s="39">
        <v>44083</v>
      </c>
      <c r="G1029" s="24">
        <v>5805960</v>
      </c>
      <c r="H1029" s="23">
        <v>5.0000000000000001E-3</v>
      </c>
      <c r="I1029" s="39">
        <v>44531</v>
      </c>
      <c r="J1029" s="39">
        <v>44561</v>
      </c>
      <c r="K1029" s="24">
        <v>31</v>
      </c>
      <c r="L1029" s="24">
        <v>2466</v>
      </c>
      <c r="M1029" s="24">
        <v>5805960</v>
      </c>
      <c r="N1029" s="39">
        <v>45908</v>
      </c>
    </row>
    <row r="1030" spans="1:14" s="5" customFormat="1" outlineLevel="2">
      <c r="A1030" s="39" t="s">
        <v>270</v>
      </c>
      <c r="B1030" s="40" t="s">
        <v>106</v>
      </c>
      <c r="C1030" s="41" t="s">
        <v>273</v>
      </c>
      <c r="D1030" s="40" t="s">
        <v>272</v>
      </c>
      <c r="E1030" s="24">
        <v>19100000</v>
      </c>
      <c r="F1030" s="39">
        <v>44078</v>
      </c>
      <c r="G1030" s="24">
        <v>19100000</v>
      </c>
      <c r="H1030" s="23">
        <v>5.0000000000000001E-3</v>
      </c>
      <c r="I1030" s="39">
        <v>44531</v>
      </c>
      <c r="J1030" s="39">
        <v>44561</v>
      </c>
      <c r="K1030" s="24">
        <v>31</v>
      </c>
      <c r="L1030" s="24">
        <v>8111</v>
      </c>
      <c r="M1030" s="24">
        <v>19100000</v>
      </c>
      <c r="N1030" s="39">
        <v>45903</v>
      </c>
    </row>
    <row r="1031" spans="1:14" s="5" customFormat="1" outlineLevel="2">
      <c r="A1031" s="39" t="s">
        <v>270</v>
      </c>
      <c r="B1031" s="40" t="s">
        <v>59</v>
      </c>
      <c r="C1031" s="41" t="s">
        <v>274</v>
      </c>
      <c r="D1031" s="40" t="s">
        <v>275</v>
      </c>
      <c r="E1031" s="24">
        <v>5452560</v>
      </c>
      <c r="F1031" s="39">
        <v>43838</v>
      </c>
      <c r="G1031" s="24">
        <v>5452560</v>
      </c>
      <c r="H1031" s="23">
        <v>5.0000000000000001E-3</v>
      </c>
      <c r="I1031" s="39">
        <v>44531</v>
      </c>
      <c r="J1031" s="39">
        <v>44561</v>
      </c>
      <c r="K1031" s="24">
        <v>31</v>
      </c>
      <c r="L1031" s="24">
        <v>2315</v>
      </c>
      <c r="M1031" s="24">
        <v>5452560</v>
      </c>
      <c r="N1031" s="39">
        <v>45664</v>
      </c>
    </row>
    <row r="1032" spans="1:14" s="5" customFormat="1" outlineLevel="2">
      <c r="A1032" s="39" t="s">
        <v>270</v>
      </c>
      <c r="B1032" s="40" t="s">
        <v>136</v>
      </c>
      <c r="C1032" s="41" t="s">
        <v>30</v>
      </c>
      <c r="D1032" s="40" t="s">
        <v>31</v>
      </c>
      <c r="E1032" s="24">
        <v>31000000</v>
      </c>
      <c r="F1032" s="39">
        <v>44102</v>
      </c>
      <c r="G1032" s="24">
        <v>31000000</v>
      </c>
      <c r="H1032" s="23">
        <v>5.0000000000000001E-3</v>
      </c>
      <c r="I1032" s="39">
        <v>44531</v>
      </c>
      <c r="J1032" s="39">
        <v>44561</v>
      </c>
      <c r="K1032" s="24">
        <v>31</v>
      </c>
      <c r="L1032" s="24">
        <v>13164</v>
      </c>
      <c r="M1032" s="24">
        <v>31000000</v>
      </c>
      <c r="N1032" s="39">
        <v>45927</v>
      </c>
    </row>
    <row r="1033" spans="1:14" s="5" customFormat="1" outlineLevel="2">
      <c r="A1033" s="39" t="s">
        <v>270</v>
      </c>
      <c r="B1033" s="40" t="s">
        <v>137</v>
      </c>
      <c r="C1033" s="41" t="s">
        <v>143</v>
      </c>
      <c r="D1033" s="40" t="s">
        <v>144</v>
      </c>
      <c r="E1033" s="24">
        <v>10700000</v>
      </c>
      <c r="F1033" s="39">
        <v>44104</v>
      </c>
      <c r="G1033" s="24">
        <v>10700000</v>
      </c>
      <c r="H1033" s="23">
        <v>5.0000000000000001E-3</v>
      </c>
      <c r="I1033" s="39">
        <v>44531</v>
      </c>
      <c r="J1033" s="39">
        <v>44561</v>
      </c>
      <c r="K1033" s="24">
        <v>31</v>
      </c>
      <c r="L1033" s="24">
        <v>4544</v>
      </c>
      <c r="M1033" s="24">
        <v>10700000</v>
      </c>
      <c r="N1033" s="39">
        <v>45929</v>
      </c>
    </row>
    <row r="1034" spans="1:14" s="5" customFormat="1" outlineLevel="2">
      <c r="A1034" s="39" t="s">
        <v>270</v>
      </c>
      <c r="B1034" s="40" t="s">
        <v>138</v>
      </c>
      <c r="C1034" s="41" t="s">
        <v>280</v>
      </c>
      <c r="D1034" s="40" t="s">
        <v>281</v>
      </c>
      <c r="E1034" s="24">
        <v>1000000000</v>
      </c>
      <c r="F1034" s="39">
        <v>44102</v>
      </c>
      <c r="G1034" s="24">
        <v>1000000000</v>
      </c>
      <c r="H1034" s="23">
        <v>5.0000000000000001E-3</v>
      </c>
      <c r="I1034" s="39">
        <v>44531</v>
      </c>
      <c r="J1034" s="39">
        <v>44561</v>
      </c>
      <c r="K1034" s="24">
        <v>31</v>
      </c>
      <c r="L1034" s="24">
        <v>424658</v>
      </c>
      <c r="M1034" s="24">
        <v>1000000000</v>
      </c>
      <c r="N1034" s="39">
        <v>45927</v>
      </c>
    </row>
    <row r="1035" spans="1:14" s="5" customFormat="1" outlineLevel="2">
      <c r="A1035" s="39" t="s">
        <v>270</v>
      </c>
      <c r="B1035" s="40" t="s">
        <v>139</v>
      </c>
      <c r="C1035" s="41" t="s">
        <v>274</v>
      </c>
      <c r="D1035" s="40" t="s">
        <v>275</v>
      </c>
      <c r="E1035" s="24">
        <v>5805960</v>
      </c>
      <c r="F1035" s="39">
        <v>44111</v>
      </c>
      <c r="G1035" s="24">
        <v>5805960</v>
      </c>
      <c r="H1035" s="23">
        <v>5.0000000000000001E-3</v>
      </c>
      <c r="I1035" s="39">
        <v>44531</v>
      </c>
      <c r="J1035" s="39">
        <v>44561</v>
      </c>
      <c r="K1035" s="24">
        <v>31</v>
      </c>
      <c r="L1035" s="24">
        <v>2466</v>
      </c>
      <c r="M1035" s="24">
        <v>5805960</v>
      </c>
      <c r="N1035" s="39">
        <v>45936</v>
      </c>
    </row>
    <row r="1036" spans="1:14" s="5" customFormat="1" outlineLevel="2">
      <c r="A1036" s="39" t="s">
        <v>270</v>
      </c>
      <c r="B1036" s="40" t="s">
        <v>140</v>
      </c>
      <c r="C1036" s="41" t="s">
        <v>274</v>
      </c>
      <c r="D1036" s="40" t="s">
        <v>275</v>
      </c>
      <c r="E1036" s="24">
        <v>5805960</v>
      </c>
      <c r="F1036" s="39">
        <v>44111</v>
      </c>
      <c r="G1036" s="24">
        <v>5805960</v>
      </c>
      <c r="H1036" s="23">
        <v>5.0000000000000001E-3</v>
      </c>
      <c r="I1036" s="39">
        <v>44531</v>
      </c>
      <c r="J1036" s="39">
        <v>44561</v>
      </c>
      <c r="K1036" s="24">
        <v>31</v>
      </c>
      <c r="L1036" s="24">
        <v>2466</v>
      </c>
      <c r="M1036" s="24">
        <v>5805960</v>
      </c>
      <c r="N1036" s="39">
        <v>45936</v>
      </c>
    </row>
    <row r="1037" spans="1:14" s="5" customFormat="1" outlineLevel="2">
      <c r="A1037" s="39" t="s">
        <v>270</v>
      </c>
      <c r="B1037" s="40" t="s">
        <v>169</v>
      </c>
      <c r="C1037" s="41" t="s">
        <v>273</v>
      </c>
      <c r="D1037" s="40" t="s">
        <v>272</v>
      </c>
      <c r="E1037" s="24">
        <v>18400000</v>
      </c>
      <c r="F1037" s="39">
        <v>44109</v>
      </c>
      <c r="G1037" s="24">
        <v>18400000</v>
      </c>
      <c r="H1037" s="23">
        <v>5.0000000000000001E-3</v>
      </c>
      <c r="I1037" s="39">
        <v>44531</v>
      </c>
      <c r="J1037" s="39">
        <v>44561</v>
      </c>
      <c r="K1037" s="24">
        <v>31</v>
      </c>
      <c r="L1037" s="24">
        <v>7814</v>
      </c>
      <c r="M1037" s="24">
        <v>18400000</v>
      </c>
      <c r="N1037" s="39">
        <v>45934</v>
      </c>
    </row>
    <row r="1038" spans="1:14" s="5" customFormat="1" outlineLevel="2">
      <c r="A1038" s="39" t="s">
        <v>270</v>
      </c>
      <c r="B1038" s="40" t="s">
        <v>170</v>
      </c>
      <c r="C1038" s="41" t="s">
        <v>273</v>
      </c>
      <c r="D1038" s="40" t="s">
        <v>272</v>
      </c>
      <c r="E1038" s="24">
        <v>1500000</v>
      </c>
      <c r="F1038" s="39">
        <v>44109</v>
      </c>
      <c r="G1038" s="24">
        <v>1500000</v>
      </c>
      <c r="H1038" s="23">
        <v>5.0000000000000001E-3</v>
      </c>
      <c r="I1038" s="39">
        <v>44531</v>
      </c>
      <c r="J1038" s="39">
        <v>44561</v>
      </c>
      <c r="K1038" s="24">
        <v>31</v>
      </c>
      <c r="L1038" s="24">
        <v>637</v>
      </c>
      <c r="M1038" s="24">
        <v>1500000</v>
      </c>
      <c r="N1038" s="39">
        <v>45934</v>
      </c>
    </row>
    <row r="1039" spans="1:14" s="5" customFormat="1" outlineLevel="2">
      <c r="A1039" s="39" t="s">
        <v>270</v>
      </c>
      <c r="B1039" s="40" t="s">
        <v>171</v>
      </c>
      <c r="C1039" s="41" t="s">
        <v>125</v>
      </c>
      <c r="D1039" s="40" t="s">
        <v>126</v>
      </c>
      <c r="E1039" s="24">
        <v>3480000</v>
      </c>
      <c r="F1039" s="39">
        <v>44125</v>
      </c>
      <c r="G1039" s="24">
        <v>3480000</v>
      </c>
      <c r="H1039" s="23">
        <v>5.0000000000000001E-3</v>
      </c>
      <c r="I1039" s="39">
        <v>44531</v>
      </c>
      <c r="J1039" s="39">
        <v>44561</v>
      </c>
      <c r="K1039" s="24">
        <v>31</v>
      </c>
      <c r="L1039" s="24">
        <v>1478</v>
      </c>
      <c r="M1039" s="24">
        <v>3480000</v>
      </c>
      <c r="N1039" s="39">
        <v>45950</v>
      </c>
    </row>
    <row r="1040" spans="1:14" s="5" customFormat="1" outlineLevel="2">
      <c r="A1040" s="39" t="s">
        <v>270</v>
      </c>
      <c r="B1040" s="40" t="s">
        <v>172</v>
      </c>
      <c r="C1040" s="41" t="s">
        <v>276</v>
      </c>
      <c r="D1040" s="40" t="s">
        <v>277</v>
      </c>
      <c r="E1040" s="24">
        <v>32000000</v>
      </c>
      <c r="F1040" s="39">
        <v>44133</v>
      </c>
      <c r="G1040" s="24">
        <v>32000000</v>
      </c>
      <c r="H1040" s="23">
        <v>5.0000000000000001E-3</v>
      </c>
      <c r="I1040" s="39">
        <v>44531</v>
      </c>
      <c r="J1040" s="39">
        <v>44561</v>
      </c>
      <c r="K1040" s="24">
        <v>31</v>
      </c>
      <c r="L1040" s="24">
        <v>13589</v>
      </c>
      <c r="M1040" s="24">
        <v>32000000</v>
      </c>
      <c r="N1040" s="39">
        <v>45958</v>
      </c>
    </row>
    <row r="1041" spans="1:14" s="5" customFormat="1" outlineLevel="2">
      <c r="A1041" s="39" t="s">
        <v>270</v>
      </c>
      <c r="B1041" s="40" t="s">
        <v>173</v>
      </c>
      <c r="C1041" s="41" t="s">
        <v>274</v>
      </c>
      <c r="D1041" s="40" t="s">
        <v>275</v>
      </c>
      <c r="E1041" s="24">
        <v>5805960</v>
      </c>
      <c r="F1041" s="39">
        <v>44146</v>
      </c>
      <c r="G1041" s="24">
        <v>5805960</v>
      </c>
      <c r="H1041" s="23">
        <v>5.0000000000000001E-3</v>
      </c>
      <c r="I1041" s="39">
        <v>44531</v>
      </c>
      <c r="J1041" s="39">
        <v>44561</v>
      </c>
      <c r="K1041" s="24">
        <v>31</v>
      </c>
      <c r="L1041" s="24">
        <v>2466</v>
      </c>
      <c r="M1041" s="24">
        <v>5805960</v>
      </c>
      <c r="N1041" s="39">
        <v>45971</v>
      </c>
    </row>
    <row r="1042" spans="1:14" s="5" customFormat="1" outlineLevel="2">
      <c r="A1042" s="39" t="s">
        <v>270</v>
      </c>
      <c r="B1042" s="40" t="s">
        <v>62</v>
      </c>
      <c r="C1042" s="41" t="s">
        <v>274</v>
      </c>
      <c r="D1042" s="40" t="s">
        <v>275</v>
      </c>
      <c r="E1042" s="24">
        <v>5452560</v>
      </c>
      <c r="F1042" s="39">
        <v>43838</v>
      </c>
      <c r="G1042" s="24">
        <v>5452560</v>
      </c>
      <c r="H1042" s="23">
        <v>5.0000000000000001E-3</v>
      </c>
      <c r="I1042" s="39">
        <v>44531</v>
      </c>
      <c r="J1042" s="39">
        <v>44561</v>
      </c>
      <c r="K1042" s="24">
        <v>31</v>
      </c>
      <c r="L1042" s="24">
        <v>2315</v>
      </c>
      <c r="M1042" s="24">
        <v>5452560</v>
      </c>
      <c r="N1042" s="39">
        <v>45664</v>
      </c>
    </row>
    <row r="1043" spans="1:14" s="5" customFormat="1" outlineLevel="2">
      <c r="A1043" s="39" t="s">
        <v>270</v>
      </c>
      <c r="B1043" s="40" t="s">
        <v>174</v>
      </c>
      <c r="C1043" s="41" t="s">
        <v>274</v>
      </c>
      <c r="D1043" s="40" t="s">
        <v>275</v>
      </c>
      <c r="E1043" s="24">
        <v>14338200</v>
      </c>
      <c r="F1043" s="39">
        <v>44146</v>
      </c>
      <c r="G1043" s="24">
        <v>14338200</v>
      </c>
      <c r="H1043" s="23">
        <v>5.0000000000000001E-3</v>
      </c>
      <c r="I1043" s="39">
        <v>44531</v>
      </c>
      <c r="J1043" s="39">
        <v>44561</v>
      </c>
      <c r="K1043" s="24">
        <v>31</v>
      </c>
      <c r="L1043" s="24">
        <v>6089</v>
      </c>
      <c r="M1043" s="24">
        <v>14338200</v>
      </c>
      <c r="N1043" s="39">
        <v>45971</v>
      </c>
    </row>
    <row r="1044" spans="1:14" s="5" customFormat="1" outlineLevel="2">
      <c r="A1044" s="39" t="s">
        <v>270</v>
      </c>
      <c r="B1044" s="40" t="s">
        <v>175</v>
      </c>
      <c r="C1044" s="41" t="s">
        <v>273</v>
      </c>
      <c r="D1044" s="40" t="s">
        <v>272</v>
      </c>
      <c r="E1044" s="24">
        <v>31500000</v>
      </c>
      <c r="F1044" s="39">
        <v>44140</v>
      </c>
      <c r="G1044" s="24">
        <v>31500000</v>
      </c>
      <c r="H1044" s="23">
        <v>5.0000000000000001E-3</v>
      </c>
      <c r="I1044" s="39">
        <v>44531</v>
      </c>
      <c r="J1044" s="39">
        <v>44561</v>
      </c>
      <c r="K1044" s="24">
        <v>31</v>
      </c>
      <c r="L1044" s="24">
        <v>13377</v>
      </c>
      <c r="M1044" s="24">
        <v>31500000</v>
      </c>
      <c r="N1044" s="39">
        <v>45965</v>
      </c>
    </row>
    <row r="1045" spans="1:14" s="5" customFormat="1" outlineLevel="2">
      <c r="A1045" s="39" t="s">
        <v>270</v>
      </c>
      <c r="B1045" s="40" t="s">
        <v>176</v>
      </c>
      <c r="C1045" s="41" t="s">
        <v>125</v>
      </c>
      <c r="D1045" s="40" t="s">
        <v>126</v>
      </c>
      <c r="E1045" s="24">
        <v>2500000</v>
      </c>
      <c r="F1045" s="39">
        <v>44146</v>
      </c>
      <c r="G1045" s="24">
        <v>2500000</v>
      </c>
      <c r="H1045" s="23">
        <v>5.0000000000000001E-3</v>
      </c>
      <c r="I1045" s="39">
        <v>44531</v>
      </c>
      <c r="J1045" s="39">
        <v>44561</v>
      </c>
      <c r="K1045" s="24">
        <v>31</v>
      </c>
      <c r="L1045" s="24">
        <v>1062</v>
      </c>
      <c r="M1045" s="24">
        <v>2500000</v>
      </c>
      <c r="N1045" s="39">
        <v>45971</v>
      </c>
    </row>
    <row r="1046" spans="1:14" s="5" customFormat="1" outlineLevel="2">
      <c r="A1046" s="39" t="s">
        <v>270</v>
      </c>
      <c r="B1046" s="40" t="s">
        <v>177</v>
      </c>
      <c r="C1046" s="41" t="s">
        <v>276</v>
      </c>
      <c r="D1046" s="40" t="s">
        <v>277</v>
      </c>
      <c r="E1046" s="24">
        <v>30000000</v>
      </c>
      <c r="F1046" s="39">
        <v>44140</v>
      </c>
      <c r="G1046" s="24">
        <v>30000000</v>
      </c>
      <c r="H1046" s="23">
        <v>5.0000000000000001E-3</v>
      </c>
      <c r="I1046" s="39">
        <v>44531</v>
      </c>
      <c r="J1046" s="39">
        <v>44561</v>
      </c>
      <c r="K1046" s="24">
        <v>31</v>
      </c>
      <c r="L1046" s="24">
        <v>12740</v>
      </c>
      <c r="M1046" s="24">
        <v>30000000</v>
      </c>
      <c r="N1046" s="39">
        <v>45965</v>
      </c>
    </row>
    <row r="1047" spans="1:14" s="5" customFormat="1" outlineLevel="2">
      <c r="A1047" s="39" t="s">
        <v>270</v>
      </c>
      <c r="B1047" s="40" t="s">
        <v>178</v>
      </c>
      <c r="C1047" s="41" t="s">
        <v>115</v>
      </c>
      <c r="D1047" s="40" t="s">
        <v>116</v>
      </c>
      <c r="E1047" s="24">
        <v>6100000</v>
      </c>
      <c r="F1047" s="39">
        <v>44138</v>
      </c>
      <c r="G1047" s="24">
        <v>6100000</v>
      </c>
      <c r="H1047" s="23">
        <v>5.0000000000000001E-3</v>
      </c>
      <c r="I1047" s="39">
        <v>44531</v>
      </c>
      <c r="J1047" s="39">
        <v>44561</v>
      </c>
      <c r="K1047" s="24">
        <v>31</v>
      </c>
      <c r="L1047" s="24">
        <v>2590</v>
      </c>
      <c r="M1047" s="24">
        <v>6100000</v>
      </c>
      <c r="N1047" s="39">
        <v>45963</v>
      </c>
    </row>
    <row r="1048" spans="1:14" s="5" customFormat="1" outlineLevel="2">
      <c r="A1048" s="39" t="s">
        <v>270</v>
      </c>
      <c r="B1048" s="40" t="s">
        <v>179</v>
      </c>
      <c r="C1048" s="41" t="s">
        <v>278</v>
      </c>
      <c r="D1048" s="40" t="s">
        <v>279</v>
      </c>
      <c r="E1048" s="24">
        <v>82036355</v>
      </c>
      <c r="F1048" s="39">
        <v>44137</v>
      </c>
      <c r="G1048" s="24">
        <v>82036355</v>
      </c>
      <c r="H1048" s="23">
        <v>5.0000000000000001E-3</v>
      </c>
      <c r="I1048" s="39">
        <v>44531</v>
      </c>
      <c r="J1048" s="39">
        <v>44561</v>
      </c>
      <c r="K1048" s="24">
        <v>31</v>
      </c>
      <c r="L1048" s="24">
        <v>34837</v>
      </c>
      <c r="M1048" s="24">
        <v>82036355</v>
      </c>
      <c r="N1048" s="39">
        <v>45962</v>
      </c>
    </row>
    <row r="1049" spans="1:14" s="5" customFormat="1" outlineLevel="2">
      <c r="A1049" s="39" t="s">
        <v>270</v>
      </c>
      <c r="B1049" s="40" t="s">
        <v>180</v>
      </c>
      <c r="C1049" s="41" t="s">
        <v>280</v>
      </c>
      <c r="D1049" s="40" t="s">
        <v>281</v>
      </c>
      <c r="E1049" s="24">
        <v>1000000000</v>
      </c>
      <c r="F1049" s="39">
        <v>44162</v>
      </c>
      <c r="G1049" s="24">
        <v>1000000000</v>
      </c>
      <c r="H1049" s="23">
        <v>5.0000000000000001E-3</v>
      </c>
      <c r="I1049" s="39">
        <v>44531</v>
      </c>
      <c r="J1049" s="39">
        <v>44561</v>
      </c>
      <c r="K1049" s="24">
        <v>31</v>
      </c>
      <c r="L1049" s="24">
        <v>424658</v>
      </c>
      <c r="M1049" s="24">
        <v>1000000000</v>
      </c>
      <c r="N1049" s="39">
        <v>45987</v>
      </c>
    </row>
    <row r="1050" spans="1:14" s="5" customFormat="1" outlineLevel="2">
      <c r="A1050" s="39" t="s">
        <v>270</v>
      </c>
      <c r="B1050" s="40" t="s">
        <v>181</v>
      </c>
      <c r="C1050" s="41" t="s">
        <v>75</v>
      </c>
      <c r="D1050" s="40" t="s">
        <v>76</v>
      </c>
      <c r="E1050" s="24">
        <v>47490000</v>
      </c>
      <c r="F1050" s="39">
        <v>44137</v>
      </c>
      <c r="G1050" s="24">
        <v>47490000</v>
      </c>
      <c r="H1050" s="23">
        <v>5.0000000000000001E-3</v>
      </c>
      <c r="I1050" s="39">
        <v>44531</v>
      </c>
      <c r="J1050" s="39">
        <v>44561</v>
      </c>
      <c r="K1050" s="24">
        <v>31</v>
      </c>
      <c r="L1050" s="24">
        <v>20167</v>
      </c>
      <c r="M1050" s="24">
        <v>47490000</v>
      </c>
      <c r="N1050" s="39">
        <v>45962</v>
      </c>
    </row>
    <row r="1051" spans="1:14" s="5" customFormat="1" outlineLevel="2">
      <c r="A1051" s="39" t="s">
        <v>270</v>
      </c>
      <c r="B1051" s="40" t="s">
        <v>182</v>
      </c>
      <c r="C1051" s="41" t="s">
        <v>143</v>
      </c>
      <c r="D1051" s="40" t="s">
        <v>144</v>
      </c>
      <c r="E1051" s="24">
        <v>5300000</v>
      </c>
      <c r="F1051" s="39">
        <v>44145</v>
      </c>
      <c r="G1051" s="24">
        <v>5300000</v>
      </c>
      <c r="H1051" s="23">
        <v>5.0000000000000001E-3</v>
      </c>
      <c r="I1051" s="39">
        <v>44531</v>
      </c>
      <c r="J1051" s="39">
        <v>44561</v>
      </c>
      <c r="K1051" s="24">
        <v>31</v>
      </c>
      <c r="L1051" s="24">
        <v>2251</v>
      </c>
      <c r="M1051" s="24">
        <v>5300000</v>
      </c>
      <c r="N1051" s="39">
        <v>45970</v>
      </c>
    </row>
    <row r="1052" spans="1:14" s="5" customFormat="1" outlineLevel="2">
      <c r="A1052" s="39" t="s">
        <v>270</v>
      </c>
      <c r="B1052" s="40" t="s">
        <v>183</v>
      </c>
      <c r="C1052" s="41" t="s">
        <v>143</v>
      </c>
      <c r="D1052" s="40" t="s">
        <v>144</v>
      </c>
      <c r="E1052" s="24">
        <v>4130000</v>
      </c>
      <c r="F1052" s="39">
        <v>44151</v>
      </c>
      <c r="G1052" s="24">
        <v>4130000</v>
      </c>
      <c r="H1052" s="23">
        <v>5.0000000000000001E-3</v>
      </c>
      <c r="I1052" s="39">
        <v>44531</v>
      </c>
      <c r="J1052" s="39">
        <v>44561</v>
      </c>
      <c r="K1052" s="24">
        <v>31</v>
      </c>
      <c r="L1052" s="24">
        <v>1754</v>
      </c>
      <c r="M1052" s="24">
        <v>4130000</v>
      </c>
      <c r="N1052" s="39">
        <v>45976</v>
      </c>
    </row>
    <row r="1053" spans="1:14" s="5" customFormat="1" outlineLevel="2">
      <c r="A1053" s="39" t="s">
        <v>270</v>
      </c>
      <c r="B1053" s="40" t="s">
        <v>63</v>
      </c>
      <c r="C1053" s="41" t="s">
        <v>273</v>
      </c>
      <c r="D1053" s="40" t="s">
        <v>272</v>
      </c>
      <c r="E1053" s="24">
        <v>55600000</v>
      </c>
      <c r="F1053" s="39">
        <v>43833</v>
      </c>
      <c r="G1053" s="24">
        <v>55600000</v>
      </c>
      <c r="H1053" s="23">
        <v>5.0000000000000001E-3</v>
      </c>
      <c r="I1053" s="39">
        <v>44531</v>
      </c>
      <c r="J1053" s="39">
        <v>44561</v>
      </c>
      <c r="K1053" s="24">
        <v>31</v>
      </c>
      <c r="L1053" s="24">
        <v>23611</v>
      </c>
      <c r="M1053" s="24">
        <v>55600000</v>
      </c>
      <c r="N1053" s="39">
        <v>45659</v>
      </c>
    </row>
    <row r="1054" spans="1:14" s="5" customFormat="1" outlineLevel="2">
      <c r="A1054" s="39" t="s">
        <v>270</v>
      </c>
      <c r="B1054" s="40" t="s">
        <v>184</v>
      </c>
      <c r="C1054" s="41" t="s">
        <v>143</v>
      </c>
      <c r="D1054" s="40" t="s">
        <v>144</v>
      </c>
      <c r="E1054" s="24">
        <v>6450000</v>
      </c>
      <c r="F1054" s="39">
        <v>44165</v>
      </c>
      <c r="G1054" s="24">
        <v>6450000</v>
      </c>
      <c r="H1054" s="23">
        <v>5.0000000000000001E-3</v>
      </c>
      <c r="I1054" s="39">
        <v>44531</v>
      </c>
      <c r="J1054" s="39">
        <v>44561</v>
      </c>
      <c r="K1054" s="24">
        <v>31</v>
      </c>
      <c r="L1054" s="24">
        <v>2739</v>
      </c>
      <c r="M1054" s="24">
        <v>6450000</v>
      </c>
      <c r="N1054" s="39">
        <v>45990</v>
      </c>
    </row>
    <row r="1055" spans="1:14" s="5" customFormat="1" outlineLevel="2">
      <c r="A1055" s="39" t="s">
        <v>270</v>
      </c>
      <c r="B1055" s="40" t="s">
        <v>186</v>
      </c>
      <c r="C1055" s="41" t="s">
        <v>274</v>
      </c>
      <c r="D1055" s="40" t="s">
        <v>275</v>
      </c>
      <c r="E1055" s="24">
        <v>14338200</v>
      </c>
      <c r="F1055" s="39">
        <v>44174</v>
      </c>
      <c r="G1055" s="24">
        <v>14338200</v>
      </c>
      <c r="H1055" s="23">
        <v>5.0000000000000001E-3</v>
      </c>
      <c r="I1055" s="39">
        <v>44531</v>
      </c>
      <c r="J1055" s="39">
        <v>44561</v>
      </c>
      <c r="K1055" s="24">
        <v>31</v>
      </c>
      <c r="L1055" s="24">
        <v>6089</v>
      </c>
      <c r="M1055" s="24">
        <v>14338200</v>
      </c>
      <c r="N1055" s="39">
        <v>45999</v>
      </c>
    </row>
    <row r="1056" spans="1:14" s="5" customFormat="1" outlineLevel="2">
      <c r="A1056" s="39" t="s">
        <v>270</v>
      </c>
      <c r="B1056" s="40" t="s">
        <v>189</v>
      </c>
      <c r="C1056" s="41" t="s">
        <v>274</v>
      </c>
      <c r="D1056" s="40" t="s">
        <v>275</v>
      </c>
      <c r="E1056" s="24">
        <v>4977000</v>
      </c>
      <c r="F1056" s="39">
        <v>44174</v>
      </c>
      <c r="G1056" s="24">
        <v>4977000</v>
      </c>
      <c r="H1056" s="23">
        <v>5.0000000000000001E-3</v>
      </c>
      <c r="I1056" s="39">
        <v>44531</v>
      </c>
      <c r="J1056" s="39">
        <v>44561</v>
      </c>
      <c r="K1056" s="24">
        <v>31</v>
      </c>
      <c r="L1056" s="24">
        <v>2114</v>
      </c>
      <c r="M1056" s="24">
        <v>4977000</v>
      </c>
      <c r="N1056" s="39">
        <v>45999</v>
      </c>
    </row>
    <row r="1057" spans="1:14" s="5" customFormat="1" outlineLevel="2">
      <c r="A1057" s="39" t="s">
        <v>270</v>
      </c>
      <c r="B1057" s="40" t="s">
        <v>190</v>
      </c>
      <c r="C1057" s="41" t="s">
        <v>115</v>
      </c>
      <c r="D1057" s="40" t="s">
        <v>116</v>
      </c>
      <c r="E1057" s="24">
        <v>40000000</v>
      </c>
      <c r="F1057" s="39">
        <v>44193</v>
      </c>
      <c r="G1057" s="24">
        <v>40000000</v>
      </c>
      <c r="H1057" s="23">
        <v>5.0000000000000001E-3</v>
      </c>
      <c r="I1057" s="39">
        <v>44531</v>
      </c>
      <c r="J1057" s="39">
        <v>44561</v>
      </c>
      <c r="K1057" s="24">
        <v>31</v>
      </c>
      <c r="L1057" s="24">
        <v>16986</v>
      </c>
      <c r="M1057" s="24">
        <v>40000000</v>
      </c>
      <c r="N1057" s="39">
        <v>46018</v>
      </c>
    </row>
    <row r="1058" spans="1:14" s="5" customFormat="1" outlineLevel="2">
      <c r="A1058" s="39" t="s">
        <v>270</v>
      </c>
      <c r="B1058" s="40" t="s">
        <v>191</v>
      </c>
      <c r="C1058" s="41" t="s">
        <v>143</v>
      </c>
      <c r="D1058" s="40" t="s">
        <v>144</v>
      </c>
      <c r="E1058" s="24">
        <v>8890000</v>
      </c>
      <c r="F1058" s="39">
        <v>44175</v>
      </c>
      <c r="G1058" s="24">
        <v>8890000</v>
      </c>
      <c r="H1058" s="23">
        <v>5.0000000000000001E-3</v>
      </c>
      <c r="I1058" s="39">
        <v>44531</v>
      </c>
      <c r="J1058" s="39">
        <v>44561</v>
      </c>
      <c r="K1058" s="24">
        <v>31</v>
      </c>
      <c r="L1058" s="24">
        <v>3775</v>
      </c>
      <c r="M1058" s="24">
        <v>8890000</v>
      </c>
      <c r="N1058" s="39">
        <v>46000</v>
      </c>
    </row>
    <row r="1059" spans="1:14" s="5" customFormat="1" outlineLevel="2">
      <c r="A1059" s="39" t="s">
        <v>270</v>
      </c>
      <c r="B1059" s="40" t="s">
        <v>192</v>
      </c>
      <c r="C1059" s="41" t="s">
        <v>143</v>
      </c>
      <c r="D1059" s="40" t="s">
        <v>144</v>
      </c>
      <c r="E1059" s="24">
        <v>4020000</v>
      </c>
      <c r="F1059" s="39">
        <v>44196</v>
      </c>
      <c r="G1059" s="24">
        <v>4020000</v>
      </c>
      <c r="H1059" s="23">
        <v>5.0000000000000001E-3</v>
      </c>
      <c r="I1059" s="39">
        <v>44531</v>
      </c>
      <c r="J1059" s="39">
        <v>44561</v>
      </c>
      <c r="K1059" s="24">
        <v>31</v>
      </c>
      <c r="L1059" s="24">
        <v>1707</v>
      </c>
      <c r="M1059" s="24">
        <v>4020000</v>
      </c>
      <c r="N1059" s="39">
        <v>46021</v>
      </c>
    </row>
    <row r="1060" spans="1:14" s="5" customFormat="1" outlineLevel="2">
      <c r="A1060" s="39" t="s">
        <v>270</v>
      </c>
      <c r="B1060" s="40" t="s">
        <v>193</v>
      </c>
      <c r="C1060" s="41" t="s">
        <v>273</v>
      </c>
      <c r="D1060" s="40" t="s">
        <v>272</v>
      </c>
      <c r="E1060" s="24">
        <v>86700000</v>
      </c>
      <c r="F1060" s="39">
        <v>44169</v>
      </c>
      <c r="G1060" s="24">
        <v>86700000</v>
      </c>
      <c r="H1060" s="23">
        <v>5.0000000000000001E-3</v>
      </c>
      <c r="I1060" s="39">
        <v>44531</v>
      </c>
      <c r="J1060" s="39">
        <v>44561</v>
      </c>
      <c r="K1060" s="24">
        <v>31</v>
      </c>
      <c r="L1060" s="24">
        <v>36818</v>
      </c>
      <c r="M1060" s="24">
        <v>86700000</v>
      </c>
      <c r="N1060" s="39">
        <v>45994</v>
      </c>
    </row>
    <row r="1061" spans="1:14" s="5" customFormat="1" outlineLevel="2">
      <c r="A1061" s="39" t="s">
        <v>270</v>
      </c>
      <c r="B1061" s="40" t="s">
        <v>194</v>
      </c>
      <c r="C1061" s="41" t="s">
        <v>274</v>
      </c>
      <c r="D1061" s="40" t="s">
        <v>275</v>
      </c>
      <c r="E1061" s="24">
        <v>4977000</v>
      </c>
      <c r="F1061" s="39">
        <v>44209</v>
      </c>
      <c r="G1061" s="24">
        <v>4977000</v>
      </c>
      <c r="H1061" s="23">
        <v>5.0000000000000001E-3</v>
      </c>
      <c r="I1061" s="39">
        <v>44531</v>
      </c>
      <c r="J1061" s="39">
        <v>44561</v>
      </c>
      <c r="K1061" s="24">
        <v>31</v>
      </c>
      <c r="L1061" s="24">
        <v>2114</v>
      </c>
      <c r="M1061" s="24">
        <v>4977000</v>
      </c>
      <c r="N1061" s="39">
        <v>46034</v>
      </c>
    </row>
    <row r="1062" spans="1:14" s="5" customFormat="1" outlineLevel="2">
      <c r="A1062" s="39" t="s">
        <v>270</v>
      </c>
      <c r="B1062" s="40" t="s">
        <v>195</v>
      </c>
      <c r="C1062" s="41" t="s">
        <v>274</v>
      </c>
      <c r="D1062" s="40" t="s">
        <v>275</v>
      </c>
      <c r="E1062" s="24">
        <v>9862800</v>
      </c>
      <c r="F1062" s="39">
        <v>44209</v>
      </c>
      <c r="G1062" s="24">
        <v>9862800</v>
      </c>
      <c r="H1062" s="23">
        <v>5.0000000000000001E-3</v>
      </c>
      <c r="I1062" s="39">
        <v>44531</v>
      </c>
      <c r="J1062" s="39">
        <v>44561</v>
      </c>
      <c r="K1062" s="24">
        <v>31</v>
      </c>
      <c r="L1062" s="24">
        <v>4188</v>
      </c>
      <c r="M1062" s="24">
        <v>9862800</v>
      </c>
      <c r="N1062" s="39">
        <v>46034</v>
      </c>
    </row>
    <row r="1063" spans="1:14" s="5" customFormat="1" outlineLevel="2">
      <c r="A1063" s="39" t="s">
        <v>270</v>
      </c>
      <c r="B1063" s="40" t="s">
        <v>64</v>
      </c>
      <c r="C1063" s="41" t="s">
        <v>273</v>
      </c>
      <c r="D1063" s="40" t="s">
        <v>272</v>
      </c>
      <c r="E1063" s="24">
        <v>28400000</v>
      </c>
      <c r="F1063" s="39">
        <v>43833</v>
      </c>
      <c r="G1063" s="24">
        <v>28400000</v>
      </c>
      <c r="H1063" s="23">
        <v>5.0000000000000001E-3</v>
      </c>
      <c r="I1063" s="39">
        <v>44531</v>
      </c>
      <c r="J1063" s="39">
        <v>44561</v>
      </c>
      <c r="K1063" s="24">
        <v>31</v>
      </c>
      <c r="L1063" s="24">
        <v>12060</v>
      </c>
      <c r="M1063" s="24">
        <v>28400000</v>
      </c>
      <c r="N1063" s="39">
        <v>45659</v>
      </c>
    </row>
    <row r="1064" spans="1:14" s="5" customFormat="1" outlineLevel="2">
      <c r="A1064" s="39" t="s">
        <v>270</v>
      </c>
      <c r="B1064" s="40" t="s">
        <v>196</v>
      </c>
      <c r="C1064" s="41" t="s">
        <v>143</v>
      </c>
      <c r="D1064" s="40" t="s">
        <v>144</v>
      </c>
      <c r="E1064" s="24">
        <v>3620000</v>
      </c>
      <c r="F1064" s="39">
        <v>44207</v>
      </c>
      <c r="G1064" s="24">
        <v>3620000</v>
      </c>
      <c r="H1064" s="23">
        <v>5.0000000000000001E-3</v>
      </c>
      <c r="I1064" s="39">
        <v>44531</v>
      </c>
      <c r="J1064" s="39">
        <v>44561</v>
      </c>
      <c r="K1064" s="24">
        <v>31</v>
      </c>
      <c r="L1064" s="24">
        <v>1537</v>
      </c>
      <c r="M1064" s="24">
        <v>3620000</v>
      </c>
      <c r="N1064" s="39">
        <v>46032</v>
      </c>
    </row>
    <row r="1065" spans="1:14" s="5" customFormat="1" outlineLevel="2">
      <c r="A1065" s="39" t="s">
        <v>270</v>
      </c>
      <c r="B1065" s="40" t="s">
        <v>197</v>
      </c>
      <c r="C1065" s="41" t="s">
        <v>273</v>
      </c>
      <c r="D1065" s="40" t="s">
        <v>272</v>
      </c>
      <c r="E1065" s="24">
        <v>20600000</v>
      </c>
      <c r="F1065" s="39">
        <v>44201</v>
      </c>
      <c r="G1065" s="24">
        <v>20600000</v>
      </c>
      <c r="H1065" s="23">
        <v>5.0000000000000001E-3</v>
      </c>
      <c r="I1065" s="39">
        <v>44531</v>
      </c>
      <c r="J1065" s="39">
        <v>44561</v>
      </c>
      <c r="K1065" s="24">
        <v>31</v>
      </c>
      <c r="L1065" s="24">
        <v>8748</v>
      </c>
      <c r="M1065" s="24">
        <v>20600000</v>
      </c>
      <c r="N1065" s="39">
        <v>46026</v>
      </c>
    </row>
    <row r="1066" spans="1:14" s="5" customFormat="1" outlineLevel="2">
      <c r="A1066" s="39" t="s">
        <v>270</v>
      </c>
      <c r="B1066" s="40" t="s">
        <v>198</v>
      </c>
      <c r="C1066" s="41" t="s">
        <v>75</v>
      </c>
      <c r="D1066" s="40" t="s">
        <v>76</v>
      </c>
      <c r="E1066" s="24">
        <v>53640000</v>
      </c>
      <c r="F1066" s="39">
        <v>44203</v>
      </c>
      <c r="G1066" s="24">
        <v>53640000</v>
      </c>
      <c r="H1066" s="23">
        <v>5.0000000000000001E-3</v>
      </c>
      <c r="I1066" s="39">
        <v>44531</v>
      </c>
      <c r="J1066" s="39">
        <v>44561</v>
      </c>
      <c r="K1066" s="24">
        <v>31</v>
      </c>
      <c r="L1066" s="24">
        <v>22779</v>
      </c>
      <c r="M1066" s="24">
        <v>53640000</v>
      </c>
      <c r="N1066" s="39">
        <v>46028</v>
      </c>
    </row>
    <row r="1067" spans="1:14" s="5" customFormat="1" outlineLevel="2">
      <c r="A1067" s="39" t="s">
        <v>270</v>
      </c>
      <c r="B1067" s="40" t="s">
        <v>199</v>
      </c>
      <c r="C1067" s="41" t="s">
        <v>302</v>
      </c>
      <c r="D1067" s="40" t="s">
        <v>301</v>
      </c>
      <c r="E1067" s="24">
        <v>40160000</v>
      </c>
      <c r="F1067" s="39">
        <v>44232</v>
      </c>
      <c r="G1067" s="24">
        <v>40160000</v>
      </c>
      <c r="H1067" s="23">
        <v>5.0000000000000001E-3</v>
      </c>
      <c r="I1067" s="39">
        <v>44531</v>
      </c>
      <c r="J1067" s="39">
        <v>44561</v>
      </c>
      <c r="K1067" s="24">
        <v>31</v>
      </c>
      <c r="L1067" s="24">
        <v>17054</v>
      </c>
      <c r="M1067" s="24">
        <v>40160000</v>
      </c>
      <c r="N1067" s="39">
        <v>46057</v>
      </c>
    </row>
    <row r="1068" spans="1:14" s="5" customFormat="1" outlineLevel="2">
      <c r="A1068" s="39" t="s">
        <v>270</v>
      </c>
      <c r="B1068" s="40" t="s">
        <v>200</v>
      </c>
      <c r="C1068" s="41" t="s">
        <v>274</v>
      </c>
      <c r="D1068" s="40" t="s">
        <v>275</v>
      </c>
      <c r="E1068" s="24">
        <v>3655380</v>
      </c>
      <c r="F1068" s="39">
        <v>44230</v>
      </c>
      <c r="G1068" s="24">
        <v>3655380</v>
      </c>
      <c r="H1068" s="23">
        <v>5.0000000000000001E-3</v>
      </c>
      <c r="I1068" s="39">
        <v>44531</v>
      </c>
      <c r="J1068" s="39">
        <v>44561</v>
      </c>
      <c r="K1068" s="24">
        <v>31</v>
      </c>
      <c r="L1068" s="24">
        <v>1552</v>
      </c>
      <c r="M1068" s="24">
        <v>3655380</v>
      </c>
      <c r="N1068" s="39">
        <v>46055</v>
      </c>
    </row>
    <row r="1069" spans="1:14" s="5" customFormat="1" outlineLevel="2">
      <c r="A1069" s="39" t="s">
        <v>270</v>
      </c>
      <c r="B1069" s="40" t="s">
        <v>201</v>
      </c>
      <c r="C1069" s="41" t="s">
        <v>274</v>
      </c>
      <c r="D1069" s="40" t="s">
        <v>275</v>
      </c>
      <c r="E1069" s="24">
        <v>9862800</v>
      </c>
      <c r="F1069" s="39">
        <v>44230</v>
      </c>
      <c r="G1069" s="24">
        <v>9862800</v>
      </c>
      <c r="H1069" s="23">
        <v>5.0000000000000001E-3</v>
      </c>
      <c r="I1069" s="39">
        <v>44531</v>
      </c>
      <c r="J1069" s="39">
        <v>44561</v>
      </c>
      <c r="K1069" s="24">
        <v>31</v>
      </c>
      <c r="L1069" s="24">
        <v>4188</v>
      </c>
      <c r="M1069" s="24">
        <v>9862800</v>
      </c>
      <c r="N1069" s="39">
        <v>46055</v>
      </c>
    </row>
    <row r="1070" spans="1:14" s="5" customFormat="1" outlineLevel="2">
      <c r="A1070" s="39" t="s">
        <v>270</v>
      </c>
      <c r="B1070" s="40" t="s">
        <v>202</v>
      </c>
      <c r="C1070" s="41" t="s">
        <v>125</v>
      </c>
      <c r="D1070" s="40" t="s">
        <v>126</v>
      </c>
      <c r="E1070" s="24">
        <v>32000000</v>
      </c>
      <c r="F1070" s="39">
        <v>44250</v>
      </c>
      <c r="G1070" s="24">
        <v>32000000</v>
      </c>
      <c r="H1070" s="23">
        <v>5.0000000000000001E-3</v>
      </c>
      <c r="I1070" s="39">
        <v>44531</v>
      </c>
      <c r="J1070" s="39">
        <v>44561</v>
      </c>
      <c r="K1070" s="24">
        <v>31</v>
      </c>
      <c r="L1070" s="24">
        <v>13589</v>
      </c>
      <c r="M1070" s="24">
        <v>32000000</v>
      </c>
      <c r="N1070" s="39">
        <v>46075</v>
      </c>
    </row>
    <row r="1071" spans="1:14" s="5" customFormat="1" outlineLevel="2">
      <c r="A1071" s="39" t="s">
        <v>270</v>
      </c>
      <c r="B1071" s="40" t="s">
        <v>203</v>
      </c>
      <c r="C1071" s="41" t="s">
        <v>143</v>
      </c>
      <c r="D1071" s="40" t="s">
        <v>144</v>
      </c>
      <c r="E1071" s="24">
        <v>2390000</v>
      </c>
      <c r="F1071" s="39">
        <v>44228</v>
      </c>
      <c r="G1071" s="24">
        <v>2390000</v>
      </c>
      <c r="H1071" s="23">
        <v>5.0000000000000001E-3</v>
      </c>
      <c r="I1071" s="39">
        <v>44531</v>
      </c>
      <c r="J1071" s="39">
        <v>44561</v>
      </c>
      <c r="K1071" s="24">
        <v>31</v>
      </c>
      <c r="L1071" s="24">
        <v>1015</v>
      </c>
      <c r="M1071" s="24">
        <v>2390000</v>
      </c>
      <c r="N1071" s="39">
        <v>46053</v>
      </c>
    </row>
    <row r="1072" spans="1:14" s="5" customFormat="1" outlineLevel="2">
      <c r="A1072" s="39" t="s">
        <v>270</v>
      </c>
      <c r="B1072" s="40" t="s">
        <v>204</v>
      </c>
      <c r="C1072" s="41" t="s">
        <v>273</v>
      </c>
      <c r="D1072" s="40" t="s">
        <v>272</v>
      </c>
      <c r="E1072" s="24">
        <v>43200000</v>
      </c>
      <c r="F1072" s="39">
        <v>44232</v>
      </c>
      <c r="G1072" s="24">
        <v>43200000</v>
      </c>
      <c r="H1072" s="23">
        <v>5.0000000000000001E-3</v>
      </c>
      <c r="I1072" s="39">
        <v>44531</v>
      </c>
      <c r="J1072" s="39">
        <v>44561</v>
      </c>
      <c r="K1072" s="24">
        <v>31</v>
      </c>
      <c r="L1072" s="24">
        <v>18345</v>
      </c>
      <c r="M1072" s="24">
        <v>43200000</v>
      </c>
      <c r="N1072" s="39">
        <v>46057</v>
      </c>
    </row>
    <row r="1073" spans="1:14" s="5" customFormat="1" outlineLevel="2">
      <c r="A1073" s="39" t="s">
        <v>270</v>
      </c>
      <c r="B1073" s="40" t="s">
        <v>205</v>
      </c>
      <c r="C1073" s="41" t="s">
        <v>273</v>
      </c>
      <c r="D1073" s="40" t="s">
        <v>272</v>
      </c>
      <c r="E1073" s="24">
        <v>4600000</v>
      </c>
      <c r="F1073" s="39">
        <v>44232</v>
      </c>
      <c r="G1073" s="24">
        <v>4600000</v>
      </c>
      <c r="H1073" s="23">
        <v>5.0000000000000001E-3</v>
      </c>
      <c r="I1073" s="39">
        <v>44531</v>
      </c>
      <c r="J1073" s="39">
        <v>44561</v>
      </c>
      <c r="K1073" s="24">
        <v>31</v>
      </c>
      <c r="L1073" s="24">
        <v>1953</v>
      </c>
      <c r="M1073" s="24">
        <v>4600000</v>
      </c>
      <c r="N1073" s="39">
        <v>46057</v>
      </c>
    </row>
    <row r="1074" spans="1:14" s="5" customFormat="1" outlineLevel="2">
      <c r="A1074" s="39" t="s">
        <v>270</v>
      </c>
      <c r="B1074" s="40" t="s">
        <v>65</v>
      </c>
      <c r="C1074" s="41" t="s">
        <v>274</v>
      </c>
      <c r="D1074" s="40" t="s">
        <v>275</v>
      </c>
      <c r="E1074" s="24">
        <v>5452560</v>
      </c>
      <c r="F1074" s="39">
        <v>43873</v>
      </c>
      <c r="G1074" s="24">
        <v>5452560</v>
      </c>
      <c r="H1074" s="23">
        <v>5.0000000000000001E-3</v>
      </c>
      <c r="I1074" s="39">
        <v>44531</v>
      </c>
      <c r="J1074" s="39">
        <v>44561</v>
      </c>
      <c r="K1074" s="24">
        <v>31</v>
      </c>
      <c r="L1074" s="24">
        <v>2315</v>
      </c>
      <c r="M1074" s="24">
        <v>5452560</v>
      </c>
      <c r="N1074" s="39">
        <v>45699</v>
      </c>
    </row>
    <row r="1075" spans="1:14" s="5" customFormat="1" outlineLevel="2">
      <c r="A1075" s="39" t="s">
        <v>270</v>
      </c>
      <c r="B1075" s="40" t="s">
        <v>206</v>
      </c>
      <c r="C1075" s="41" t="s">
        <v>302</v>
      </c>
      <c r="D1075" s="40" t="s">
        <v>301</v>
      </c>
      <c r="E1075" s="24">
        <v>40660000</v>
      </c>
      <c r="F1075" s="39">
        <v>44272</v>
      </c>
      <c r="G1075" s="24">
        <v>40660000</v>
      </c>
      <c r="H1075" s="23">
        <v>5.0000000000000001E-3</v>
      </c>
      <c r="I1075" s="39">
        <v>44531</v>
      </c>
      <c r="J1075" s="39">
        <v>44561</v>
      </c>
      <c r="K1075" s="24">
        <v>31</v>
      </c>
      <c r="L1075" s="24">
        <v>17267</v>
      </c>
      <c r="M1075" s="24">
        <v>40660000</v>
      </c>
      <c r="N1075" s="39">
        <v>46097</v>
      </c>
    </row>
    <row r="1076" spans="1:14" s="5" customFormat="1" outlineLevel="2">
      <c r="A1076" s="39" t="s">
        <v>270</v>
      </c>
      <c r="B1076" s="40" t="s">
        <v>207</v>
      </c>
      <c r="C1076" s="41" t="s">
        <v>322</v>
      </c>
      <c r="D1076" s="40" t="s">
        <v>321</v>
      </c>
      <c r="E1076" s="24">
        <v>13800000</v>
      </c>
      <c r="F1076" s="39">
        <v>44264</v>
      </c>
      <c r="G1076" s="24">
        <v>13800000</v>
      </c>
      <c r="H1076" s="23">
        <v>5.0000000000000001E-3</v>
      </c>
      <c r="I1076" s="39">
        <v>44531</v>
      </c>
      <c r="J1076" s="39">
        <v>44561</v>
      </c>
      <c r="K1076" s="24">
        <v>31</v>
      </c>
      <c r="L1076" s="24">
        <v>5860</v>
      </c>
      <c r="M1076" s="24">
        <v>13800000</v>
      </c>
      <c r="N1076" s="39">
        <v>46089</v>
      </c>
    </row>
    <row r="1077" spans="1:14" s="5" customFormat="1" outlineLevel="2">
      <c r="A1077" s="39" t="s">
        <v>270</v>
      </c>
      <c r="B1077" s="40" t="s">
        <v>208</v>
      </c>
      <c r="C1077" s="41" t="s">
        <v>274</v>
      </c>
      <c r="D1077" s="40" t="s">
        <v>275</v>
      </c>
      <c r="E1077" s="24">
        <v>8641320</v>
      </c>
      <c r="F1077" s="39">
        <v>44265</v>
      </c>
      <c r="G1077" s="24">
        <v>8641320</v>
      </c>
      <c r="H1077" s="23">
        <v>5.0000000000000001E-3</v>
      </c>
      <c r="I1077" s="39">
        <v>44531</v>
      </c>
      <c r="J1077" s="39">
        <v>44561</v>
      </c>
      <c r="K1077" s="24">
        <v>31</v>
      </c>
      <c r="L1077" s="24">
        <v>3670</v>
      </c>
      <c r="M1077" s="24">
        <v>8641320</v>
      </c>
      <c r="N1077" s="39">
        <v>46090</v>
      </c>
    </row>
    <row r="1078" spans="1:14" s="5" customFormat="1" outlineLevel="2">
      <c r="A1078" s="39" t="s">
        <v>270</v>
      </c>
      <c r="B1078" s="40" t="s">
        <v>209</v>
      </c>
      <c r="C1078" s="41" t="s">
        <v>274</v>
      </c>
      <c r="D1078" s="40" t="s">
        <v>275</v>
      </c>
      <c r="E1078" s="24">
        <v>3655380</v>
      </c>
      <c r="F1078" s="39">
        <v>44265</v>
      </c>
      <c r="G1078" s="24">
        <v>3655380</v>
      </c>
      <c r="H1078" s="23">
        <v>5.0000000000000001E-3</v>
      </c>
      <c r="I1078" s="39">
        <v>44531</v>
      </c>
      <c r="J1078" s="39">
        <v>44561</v>
      </c>
      <c r="K1078" s="24">
        <v>31</v>
      </c>
      <c r="L1078" s="24">
        <v>1552</v>
      </c>
      <c r="M1078" s="24">
        <v>3655380</v>
      </c>
      <c r="N1078" s="39">
        <v>46090</v>
      </c>
    </row>
    <row r="1079" spans="1:14" s="5" customFormat="1" outlineLevel="2">
      <c r="A1079" s="39" t="s">
        <v>270</v>
      </c>
      <c r="B1079" s="40" t="s">
        <v>210</v>
      </c>
      <c r="C1079" s="41" t="s">
        <v>274</v>
      </c>
      <c r="D1079" s="40" t="s">
        <v>275</v>
      </c>
      <c r="E1079" s="24">
        <v>13280000</v>
      </c>
      <c r="F1079" s="39">
        <v>44272</v>
      </c>
      <c r="G1079" s="24">
        <v>13280000</v>
      </c>
      <c r="H1079" s="23">
        <v>5.0000000000000001E-3</v>
      </c>
      <c r="I1079" s="39">
        <v>44531</v>
      </c>
      <c r="J1079" s="39">
        <v>44561</v>
      </c>
      <c r="K1079" s="24">
        <v>31</v>
      </c>
      <c r="L1079" s="24">
        <v>5639</v>
      </c>
      <c r="M1079" s="24">
        <v>13280000</v>
      </c>
      <c r="N1079" s="39">
        <v>46097</v>
      </c>
    </row>
    <row r="1080" spans="1:14" s="5" customFormat="1" outlineLevel="2">
      <c r="A1080" s="39" t="s">
        <v>270</v>
      </c>
      <c r="B1080" s="40" t="s">
        <v>211</v>
      </c>
      <c r="C1080" s="41" t="s">
        <v>115</v>
      </c>
      <c r="D1080" s="40" t="s">
        <v>116</v>
      </c>
      <c r="E1080" s="24">
        <v>47000000</v>
      </c>
      <c r="F1080" s="39">
        <v>44284</v>
      </c>
      <c r="G1080" s="24">
        <v>47000000</v>
      </c>
      <c r="H1080" s="23">
        <v>5.0000000000000001E-3</v>
      </c>
      <c r="I1080" s="39">
        <v>44531</v>
      </c>
      <c r="J1080" s="39">
        <v>44561</v>
      </c>
      <c r="K1080" s="24">
        <v>31</v>
      </c>
      <c r="L1080" s="24">
        <v>19959</v>
      </c>
      <c r="M1080" s="24">
        <v>47000000</v>
      </c>
      <c r="N1080" s="39">
        <v>46109</v>
      </c>
    </row>
    <row r="1081" spans="1:14" s="5" customFormat="1" outlineLevel="2">
      <c r="A1081" s="39" t="s">
        <v>270</v>
      </c>
      <c r="B1081" s="40" t="s">
        <v>212</v>
      </c>
      <c r="C1081" s="41" t="s">
        <v>143</v>
      </c>
      <c r="D1081" s="40" t="s">
        <v>144</v>
      </c>
      <c r="E1081" s="24">
        <v>5840000</v>
      </c>
      <c r="F1081" s="39">
        <v>44257</v>
      </c>
      <c r="G1081" s="24">
        <v>5840000</v>
      </c>
      <c r="H1081" s="23">
        <v>5.0000000000000001E-3</v>
      </c>
      <c r="I1081" s="39">
        <v>44531</v>
      </c>
      <c r="J1081" s="39">
        <v>44561</v>
      </c>
      <c r="K1081" s="24">
        <v>31</v>
      </c>
      <c r="L1081" s="24">
        <v>2480</v>
      </c>
      <c r="M1081" s="24">
        <v>5840000</v>
      </c>
      <c r="N1081" s="39">
        <v>46082</v>
      </c>
    </row>
    <row r="1082" spans="1:14" s="5" customFormat="1" outlineLevel="2">
      <c r="A1082" s="39" t="s">
        <v>270</v>
      </c>
      <c r="B1082" s="40" t="s">
        <v>213</v>
      </c>
      <c r="C1082" s="41" t="s">
        <v>143</v>
      </c>
      <c r="D1082" s="40" t="s">
        <v>144</v>
      </c>
      <c r="E1082" s="24">
        <v>3570000</v>
      </c>
      <c r="F1082" s="39">
        <v>44286</v>
      </c>
      <c r="G1082" s="24">
        <v>3570000</v>
      </c>
      <c r="H1082" s="23">
        <v>5.0000000000000001E-3</v>
      </c>
      <c r="I1082" s="39">
        <v>44531</v>
      </c>
      <c r="J1082" s="39">
        <v>44561</v>
      </c>
      <c r="K1082" s="24">
        <v>31</v>
      </c>
      <c r="L1082" s="24">
        <v>1516</v>
      </c>
      <c r="M1082" s="24">
        <v>3570000</v>
      </c>
      <c r="N1082" s="39">
        <v>46111</v>
      </c>
    </row>
    <row r="1083" spans="1:14" s="5" customFormat="1" outlineLevel="2">
      <c r="A1083" s="39" t="s">
        <v>270</v>
      </c>
      <c r="B1083" s="40" t="s">
        <v>214</v>
      </c>
      <c r="C1083" s="41" t="s">
        <v>273</v>
      </c>
      <c r="D1083" s="40" t="s">
        <v>272</v>
      </c>
      <c r="E1083" s="24">
        <v>63400000</v>
      </c>
      <c r="F1083" s="39">
        <v>44260</v>
      </c>
      <c r="G1083" s="24">
        <v>63400000</v>
      </c>
      <c r="H1083" s="23">
        <v>5.0000000000000001E-3</v>
      </c>
      <c r="I1083" s="39">
        <v>44531</v>
      </c>
      <c r="J1083" s="39">
        <v>44561</v>
      </c>
      <c r="K1083" s="24">
        <v>31</v>
      </c>
      <c r="L1083" s="24">
        <v>26923</v>
      </c>
      <c r="M1083" s="24">
        <v>63400000</v>
      </c>
      <c r="N1083" s="39">
        <v>46085</v>
      </c>
    </row>
    <row r="1084" spans="1:14" s="5" customFormat="1" outlineLevel="2">
      <c r="A1084" s="39" t="s">
        <v>270</v>
      </c>
      <c r="B1084" s="40" t="s">
        <v>215</v>
      </c>
      <c r="C1084" s="41" t="s">
        <v>273</v>
      </c>
      <c r="D1084" s="40" t="s">
        <v>272</v>
      </c>
      <c r="E1084" s="24">
        <v>2800000</v>
      </c>
      <c r="F1084" s="39">
        <v>44260</v>
      </c>
      <c r="G1084" s="24">
        <v>2800000</v>
      </c>
      <c r="H1084" s="23">
        <v>5.0000000000000001E-3</v>
      </c>
      <c r="I1084" s="39">
        <v>44531</v>
      </c>
      <c r="J1084" s="39">
        <v>44561</v>
      </c>
      <c r="K1084" s="24">
        <v>31</v>
      </c>
      <c r="L1084" s="24">
        <v>1189</v>
      </c>
      <c r="M1084" s="24">
        <v>2800000</v>
      </c>
      <c r="N1084" s="39">
        <v>46085</v>
      </c>
    </row>
    <row r="1085" spans="1:14" s="5" customFormat="1" outlineLevel="2">
      <c r="A1085" s="39" t="s">
        <v>270</v>
      </c>
      <c r="B1085" s="40" t="s">
        <v>68</v>
      </c>
      <c r="C1085" s="41" t="s">
        <v>274</v>
      </c>
      <c r="D1085" s="40" t="s">
        <v>275</v>
      </c>
      <c r="E1085" s="24">
        <v>7270080</v>
      </c>
      <c r="F1085" s="39">
        <v>43873</v>
      </c>
      <c r="G1085" s="24">
        <v>7270080</v>
      </c>
      <c r="H1085" s="23">
        <v>5.0000000000000001E-3</v>
      </c>
      <c r="I1085" s="39">
        <v>44531</v>
      </c>
      <c r="J1085" s="39">
        <v>44561</v>
      </c>
      <c r="K1085" s="24">
        <v>31</v>
      </c>
      <c r="L1085" s="24">
        <v>3087</v>
      </c>
      <c r="M1085" s="24">
        <v>7270080</v>
      </c>
      <c r="N1085" s="39">
        <v>45699</v>
      </c>
    </row>
    <row r="1086" spans="1:14" s="5" customFormat="1" outlineLevel="2">
      <c r="A1086" s="39" t="s">
        <v>270</v>
      </c>
      <c r="B1086" s="40" t="s">
        <v>216</v>
      </c>
      <c r="C1086" s="41" t="s">
        <v>75</v>
      </c>
      <c r="D1086" s="40" t="s">
        <v>76</v>
      </c>
      <c r="E1086" s="24">
        <v>48420000</v>
      </c>
      <c r="F1086" s="39">
        <v>44280</v>
      </c>
      <c r="G1086" s="24">
        <v>48420000</v>
      </c>
      <c r="H1086" s="23">
        <v>5.0000000000000001E-3</v>
      </c>
      <c r="I1086" s="39">
        <v>44531</v>
      </c>
      <c r="J1086" s="39">
        <v>44561</v>
      </c>
      <c r="K1086" s="24">
        <v>31</v>
      </c>
      <c r="L1086" s="24">
        <v>20562</v>
      </c>
      <c r="M1086" s="24">
        <v>48420000</v>
      </c>
      <c r="N1086" s="39">
        <v>46105</v>
      </c>
    </row>
    <row r="1087" spans="1:14" s="5" customFormat="1" outlineLevel="2">
      <c r="A1087" s="39" t="s">
        <v>270</v>
      </c>
      <c r="B1087" s="40" t="s">
        <v>217</v>
      </c>
      <c r="C1087" s="41" t="s">
        <v>274</v>
      </c>
      <c r="D1087" s="40" t="s">
        <v>275</v>
      </c>
      <c r="E1087" s="24">
        <v>8641320</v>
      </c>
      <c r="F1087" s="39">
        <v>44293</v>
      </c>
      <c r="G1087" s="24">
        <v>8641320</v>
      </c>
      <c r="H1087" s="23">
        <v>5.0000000000000001E-3</v>
      </c>
      <c r="I1087" s="39">
        <v>44531</v>
      </c>
      <c r="J1087" s="39">
        <v>44561</v>
      </c>
      <c r="K1087" s="24">
        <v>31</v>
      </c>
      <c r="L1087" s="24">
        <v>3670</v>
      </c>
      <c r="M1087" s="24">
        <v>8641320</v>
      </c>
      <c r="N1087" s="39">
        <v>46118</v>
      </c>
    </row>
    <row r="1088" spans="1:14" s="5" customFormat="1" outlineLevel="2">
      <c r="A1088" s="39" t="s">
        <v>270</v>
      </c>
      <c r="B1088" s="40" t="s">
        <v>218</v>
      </c>
      <c r="C1088" s="41" t="s">
        <v>274</v>
      </c>
      <c r="D1088" s="40" t="s">
        <v>275</v>
      </c>
      <c r="E1088" s="24">
        <v>10475040</v>
      </c>
      <c r="F1088" s="39">
        <v>44293</v>
      </c>
      <c r="G1088" s="24">
        <v>10475040</v>
      </c>
      <c r="H1088" s="23">
        <v>5.0000000000000001E-3</v>
      </c>
      <c r="I1088" s="39">
        <v>44531</v>
      </c>
      <c r="J1088" s="39">
        <v>44561</v>
      </c>
      <c r="K1088" s="24">
        <v>31</v>
      </c>
      <c r="L1088" s="24">
        <v>4448</v>
      </c>
      <c r="M1088" s="24">
        <v>10475040</v>
      </c>
      <c r="N1088" s="39">
        <v>46118</v>
      </c>
    </row>
    <row r="1089" spans="1:14" s="5" customFormat="1" outlineLevel="2">
      <c r="A1089" s="39" t="s">
        <v>270</v>
      </c>
      <c r="B1089" s="40" t="s">
        <v>221</v>
      </c>
      <c r="C1089" s="41" t="s">
        <v>143</v>
      </c>
      <c r="D1089" s="40" t="s">
        <v>144</v>
      </c>
      <c r="E1089" s="24">
        <v>2890000</v>
      </c>
      <c r="F1089" s="39">
        <v>44298</v>
      </c>
      <c r="G1089" s="24">
        <v>2890000</v>
      </c>
      <c r="H1089" s="23">
        <v>5.0000000000000001E-3</v>
      </c>
      <c r="I1089" s="39">
        <v>44531</v>
      </c>
      <c r="J1089" s="39">
        <v>44561</v>
      </c>
      <c r="K1089" s="24">
        <v>31</v>
      </c>
      <c r="L1089" s="24">
        <v>1227</v>
      </c>
      <c r="M1089" s="24">
        <v>2890000</v>
      </c>
      <c r="N1089" s="39">
        <v>46123</v>
      </c>
    </row>
    <row r="1090" spans="1:14" s="5" customFormat="1" outlineLevel="2">
      <c r="A1090" s="39" t="s">
        <v>270</v>
      </c>
      <c r="B1090" s="40" t="s">
        <v>222</v>
      </c>
      <c r="C1090" s="41" t="s">
        <v>273</v>
      </c>
      <c r="D1090" s="40" t="s">
        <v>272</v>
      </c>
      <c r="E1090" s="24">
        <v>5600000</v>
      </c>
      <c r="F1090" s="39">
        <v>44287</v>
      </c>
      <c r="G1090" s="24">
        <v>5600000</v>
      </c>
      <c r="H1090" s="23">
        <v>5.0000000000000001E-3</v>
      </c>
      <c r="I1090" s="39">
        <v>44531</v>
      </c>
      <c r="J1090" s="39">
        <v>44561</v>
      </c>
      <c r="K1090" s="24">
        <v>31</v>
      </c>
      <c r="L1090" s="24">
        <v>2378</v>
      </c>
      <c r="M1090" s="24">
        <v>5600000</v>
      </c>
      <c r="N1090" s="39">
        <v>46112</v>
      </c>
    </row>
    <row r="1091" spans="1:14" s="5" customFormat="1" outlineLevel="2">
      <c r="A1091" s="39" t="s">
        <v>270</v>
      </c>
      <c r="B1091" s="40" t="s">
        <v>223</v>
      </c>
      <c r="C1091" s="41" t="s">
        <v>273</v>
      </c>
      <c r="D1091" s="40" t="s">
        <v>272</v>
      </c>
      <c r="E1091" s="24">
        <v>24000000</v>
      </c>
      <c r="F1091" s="39">
        <v>44287</v>
      </c>
      <c r="G1091" s="24">
        <v>24000000</v>
      </c>
      <c r="H1091" s="23">
        <v>5.0000000000000001E-3</v>
      </c>
      <c r="I1091" s="39">
        <v>44531</v>
      </c>
      <c r="J1091" s="39">
        <v>44561</v>
      </c>
      <c r="K1091" s="24">
        <v>31</v>
      </c>
      <c r="L1091" s="24">
        <v>10192</v>
      </c>
      <c r="M1091" s="24">
        <v>24000000</v>
      </c>
      <c r="N1091" s="39">
        <v>46112</v>
      </c>
    </row>
    <row r="1092" spans="1:14" s="5" customFormat="1" outlineLevel="2">
      <c r="A1092" s="39" t="s">
        <v>270</v>
      </c>
      <c r="B1092" s="40" t="s">
        <v>224</v>
      </c>
      <c r="C1092" s="41" t="s">
        <v>341</v>
      </c>
      <c r="D1092" s="40" t="s">
        <v>340</v>
      </c>
      <c r="E1092" s="24">
        <v>19600000</v>
      </c>
      <c r="F1092" s="39">
        <v>44314</v>
      </c>
      <c r="G1092" s="24">
        <v>19600000</v>
      </c>
      <c r="H1092" s="23">
        <v>5.0000000000000001E-3</v>
      </c>
      <c r="I1092" s="39">
        <v>44531</v>
      </c>
      <c r="J1092" s="39">
        <v>44561</v>
      </c>
      <c r="K1092" s="24">
        <v>31</v>
      </c>
      <c r="L1092" s="24">
        <v>8323</v>
      </c>
      <c r="M1092" s="24">
        <v>19600000</v>
      </c>
      <c r="N1092" s="39">
        <v>46139</v>
      </c>
    </row>
    <row r="1093" spans="1:14" s="5" customFormat="1" outlineLevel="2">
      <c r="A1093" s="39" t="s">
        <v>270</v>
      </c>
      <c r="B1093" s="40" t="s">
        <v>225</v>
      </c>
      <c r="C1093" s="41" t="s">
        <v>341</v>
      </c>
      <c r="D1093" s="40" t="s">
        <v>340</v>
      </c>
      <c r="E1093" s="24">
        <v>46800000</v>
      </c>
      <c r="F1093" s="39">
        <v>44314</v>
      </c>
      <c r="G1093" s="24">
        <v>46800000</v>
      </c>
      <c r="H1093" s="23">
        <v>5.0000000000000001E-3</v>
      </c>
      <c r="I1093" s="39">
        <v>44531</v>
      </c>
      <c r="J1093" s="39">
        <v>44561</v>
      </c>
      <c r="K1093" s="24">
        <v>31</v>
      </c>
      <c r="L1093" s="24">
        <v>19874</v>
      </c>
      <c r="M1093" s="24">
        <v>46800000</v>
      </c>
      <c r="N1093" s="39">
        <v>46139</v>
      </c>
    </row>
    <row r="1094" spans="1:14" s="5" customFormat="1" outlineLevel="2">
      <c r="A1094" s="39" t="s">
        <v>270</v>
      </c>
      <c r="B1094" s="40" t="s">
        <v>226</v>
      </c>
      <c r="C1094" s="41" t="s">
        <v>274</v>
      </c>
      <c r="D1094" s="40" t="s">
        <v>275</v>
      </c>
      <c r="E1094" s="24">
        <v>10475040</v>
      </c>
      <c r="F1094" s="39">
        <v>44328</v>
      </c>
      <c r="G1094" s="24">
        <v>10475040</v>
      </c>
      <c r="H1094" s="23">
        <v>5.0000000000000001E-3</v>
      </c>
      <c r="I1094" s="39">
        <v>44531</v>
      </c>
      <c r="J1094" s="39">
        <v>44561</v>
      </c>
      <c r="K1094" s="24">
        <v>31</v>
      </c>
      <c r="L1094" s="24">
        <v>4448</v>
      </c>
      <c r="M1094" s="24">
        <v>10475040</v>
      </c>
      <c r="N1094" s="39">
        <v>46153</v>
      </c>
    </row>
    <row r="1095" spans="1:14" s="5" customFormat="1" outlineLevel="2">
      <c r="A1095" s="39" t="s">
        <v>270</v>
      </c>
      <c r="B1095" s="40" t="s">
        <v>227</v>
      </c>
      <c r="C1095" s="41" t="s">
        <v>274</v>
      </c>
      <c r="D1095" s="40" t="s">
        <v>275</v>
      </c>
      <c r="E1095" s="24">
        <v>18388440</v>
      </c>
      <c r="F1095" s="39">
        <v>44328</v>
      </c>
      <c r="G1095" s="24">
        <v>18388440</v>
      </c>
      <c r="H1095" s="23">
        <v>5.0000000000000001E-3</v>
      </c>
      <c r="I1095" s="39">
        <v>44531</v>
      </c>
      <c r="J1095" s="39">
        <v>44561</v>
      </c>
      <c r="K1095" s="24">
        <v>31</v>
      </c>
      <c r="L1095" s="24">
        <v>7809</v>
      </c>
      <c r="M1095" s="24">
        <v>18388440</v>
      </c>
      <c r="N1095" s="39">
        <v>46153</v>
      </c>
    </row>
    <row r="1096" spans="1:14" s="5" customFormat="1" outlineLevel="1">
      <c r="A1096" s="42" t="s">
        <v>282</v>
      </c>
      <c r="B1096" s="43"/>
      <c r="C1096" s="44"/>
      <c r="D1096" s="43"/>
      <c r="E1096" s="45">
        <v>6233048022</v>
      </c>
      <c r="F1096" s="46"/>
      <c r="G1096" s="45"/>
      <c r="H1096" s="47"/>
      <c r="I1096" s="46"/>
      <c r="J1096" s="46"/>
      <c r="K1096" s="45"/>
      <c r="L1096" s="45">
        <v>2527440</v>
      </c>
      <c r="M1096" s="45">
        <v>6233048022</v>
      </c>
      <c r="N1096" s="46"/>
    </row>
    <row r="1097" spans="1:14" s="5" customFormat="1" outlineLevel="2">
      <c r="A1097" s="39" t="s">
        <v>283</v>
      </c>
      <c r="B1097" s="40" t="s">
        <v>16</v>
      </c>
      <c r="C1097" s="41" t="s">
        <v>284</v>
      </c>
      <c r="D1097" s="40" t="s">
        <v>285</v>
      </c>
      <c r="E1097" s="24">
        <v>50000000</v>
      </c>
      <c r="F1097" s="39">
        <v>44211</v>
      </c>
      <c r="G1097" s="24">
        <v>50000000</v>
      </c>
      <c r="H1097" s="23">
        <v>5.0000000000000001E-3</v>
      </c>
      <c r="I1097" s="39">
        <v>44531</v>
      </c>
      <c r="J1097" s="39">
        <v>44561</v>
      </c>
      <c r="K1097" s="24">
        <v>31</v>
      </c>
      <c r="L1097" s="24">
        <v>21233</v>
      </c>
      <c r="M1097" s="24">
        <v>50000000</v>
      </c>
      <c r="N1097" s="39">
        <v>46036</v>
      </c>
    </row>
    <row r="1098" spans="1:14" s="5" customFormat="1" outlineLevel="1">
      <c r="A1098" s="42" t="s">
        <v>286</v>
      </c>
      <c r="B1098" s="43"/>
      <c r="C1098" s="44"/>
      <c r="D1098" s="43"/>
      <c r="E1098" s="45">
        <v>50000000</v>
      </c>
      <c r="F1098" s="46"/>
      <c r="G1098" s="45"/>
      <c r="H1098" s="47"/>
      <c r="I1098" s="46"/>
      <c r="J1098" s="46"/>
      <c r="K1098" s="45"/>
      <c r="L1098" s="45">
        <v>21233</v>
      </c>
      <c r="M1098" s="45">
        <v>50000000</v>
      </c>
      <c r="N1098" s="46"/>
    </row>
    <row r="1099" spans="1:14" s="5" customFormat="1" outlineLevel="2">
      <c r="A1099" s="39" t="s">
        <v>287</v>
      </c>
      <c r="B1099" s="40" t="s">
        <v>16</v>
      </c>
      <c r="C1099" s="41" t="s">
        <v>30</v>
      </c>
      <c r="D1099" s="40" t="s">
        <v>31</v>
      </c>
      <c r="E1099" s="24">
        <v>20000000</v>
      </c>
      <c r="F1099" s="39">
        <v>43985</v>
      </c>
      <c r="G1099" s="24">
        <v>20000000</v>
      </c>
      <c r="H1099" s="23">
        <v>5.0000000000000001E-3</v>
      </c>
      <c r="I1099" s="39">
        <v>44531</v>
      </c>
      <c r="J1099" s="39">
        <v>44561</v>
      </c>
      <c r="K1099" s="24">
        <v>31</v>
      </c>
      <c r="L1099" s="24">
        <v>8493</v>
      </c>
      <c r="M1099" s="24">
        <v>20000000</v>
      </c>
      <c r="N1099" s="39">
        <v>45810</v>
      </c>
    </row>
    <row r="1100" spans="1:14" s="5" customFormat="1" outlineLevel="2">
      <c r="A1100" s="39" t="s">
        <v>287</v>
      </c>
      <c r="B1100" s="40" t="s">
        <v>39</v>
      </c>
      <c r="C1100" s="41" t="s">
        <v>30</v>
      </c>
      <c r="D1100" s="40" t="s">
        <v>31</v>
      </c>
      <c r="E1100" s="24">
        <v>13800000</v>
      </c>
      <c r="F1100" s="39">
        <v>44034</v>
      </c>
      <c r="G1100" s="24">
        <v>13800000</v>
      </c>
      <c r="H1100" s="23">
        <v>5.0000000000000001E-3</v>
      </c>
      <c r="I1100" s="39">
        <v>44531</v>
      </c>
      <c r="J1100" s="39">
        <v>44561</v>
      </c>
      <c r="K1100" s="24">
        <v>31</v>
      </c>
      <c r="L1100" s="24">
        <v>5860</v>
      </c>
      <c r="M1100" s="24">
        <v>13800000</v>
      </c>
      <c r="N1100" s="39">
        <v>45859</v>
      </c>
    </row>
    <row r="1101" spans="1:14" s="5" customFormat="1" outlineLevel="2">
      <c r="A1101" s="39" t="s">
        <v>287</v>
      </c>
      <c r="B1101" s="40" t="s">
        <v>54</v>
      </c>
      <c r="C1101" s="41" t="s">
        <v>30</v>
      </c>
      <c r="D1101" s="40" t="s">
        <v>31</v>
      </c>
      <c r="E1101" s="24">
        <v>25000000</v>
      </c>
      <c r="F1101" s="39">
        <v>44102</v>
      </c>
      <c r="G1101" s="24">
        <v>25000000</v>
      </c>
      <c r="H1101" s="23">
        <v>5.0000000000000001E-3</v>
      </c>
      <c r="I1101" s="39">
        <v>44531</v>
      </c>
      <c r="J1101" s="39">
        <v>44561</v>
      </c>
      <c r="K1101" s="24">
        <v>31</v>
      </c>
      <c r="L1101" s="24">
        <v>10616</v>
      </c>
      <c r="M1101" s="24">
        <v>25000000</v>
      </c>
      <c r="N1101" s="39">
        <v>45927</v>
      </c>
    </row>
    <row r="1102" spans="1:14" s="5" customFormat="1" outlineLevel="2">
      <c r="A1102" s="39" t="s">
        <v>287</v>
      </c>
      <c r="B1102" s="40" t="s">
        <v>59</v>
      </c>
      <c r="C1102" s="41" t="s">
        <v>30</v>
      </c>
      <c r="D1102" s="40" t="s">
        <v>31</v>
      </c>
      <c r="E1102" s="24">
        <v>5600000</v>
      </c>
      <c r="F1102" s="39">
        <v>44103</v>
      </c>
      <c r="G1102" s="24">
        <v>5600000</v>
      </c>
      <c r="H1102" s="23">
        <v>5.0000000000000001E-3</v>
      </c>
      <c r="I1102" s="39">
        <v>44531</v>
      </c>
      <c r="J1102" s="39">
        <v>44561</v>
      </c>
      <c r="K1102" s="24">
        <v>31</v>
      </c>
      <c r="L1102" s="24">
        <v>2378</v>
      </c>
      <c r="M1102" s="24">
        <v>5600000</v>
      </c>
      <c r="N1102" s="39">
        <v>45928</v>
      </c>
    </row>
    <row r="1103" spans="1:14" s="5" customFormat="1" outlineLevel="2">
      <c r="A1103" s="39" t="s">
        <v>287</v>
      </c>
      <c r="B1103" s="40" t="s">
        <v>62</v>
      </c>
      <c r="C1103" s="41" t="s">
        <v>30</v>
      </c>
      <c r="D1103" s="40" t="s">
        <v>31</v>
      </c>
      <c r="E1103" s="24">
        <v>108000000</v>
      </c>
      <c r="F1103" s="39">
        <v>44476</v>
      </c>
      <c r="G1103" s="24">
        <v>108000000</v>
      </c>
      <c r="H1103" s="23">
        <v>5.0000000000000001E-3</v>
      </c>
      <c r="I1103" s="39">
        <v>44531</v>
      </c>
      <c r="J1103" s="39">
        <v>44561</v>
      </c>
      <c r="K1103" s="24">
        <v>31</v>
      </c>
      <c r="L1103" s="24">
        <v>45863</v>
      </c>
      <c r="M1103" s="24">
        <v>108000000</v>
      </c>
      <c r="N1103" s="39">
        <v>46301</v>
      </c>
    </row>
    <row r="1104" spans="1:14" s="5" customFormat="1" outlineLevel="1">
      <c r="A1104" s="42" t="s">
        <v>288</v>
      </c>
      <c r="B1104" s="43"/>
      <c r="C1104" s="44"/>
      <c r="D1104" s="43"/>
      <c r="E1104" s="45">
        <v>172400000</v>
      </c>
      <c r="F1104" s="46"/>
      <c r="G1104" s="45"/>
      <c r="H1104" s="47"/>
      <c r="I1104" s="46"/>
      <c r="J1104" s="46"/>
      <c r="K1104" s="45"/>
      <c r="L1104" s="45">
        <v>73210</v>
      </c>
      <c r="M1104" s="45">
        <v>172400000</v>
      </c>
      <c r="N1104" s="46"/>
    </row>
    <row r="1105" spans="1:14" s="5" customFormat="1" outlineLevel="2">
      <c r="A1105" s="39" t="s">
        <v>289</v>
      </c>
      <c r="B1105" s="40" t="s">
        <v>16</v>
      </c>
      <c r="C1105" s="41" t="s">
        <v>121</v>
      </c>
      <c r="D1105" s="40" t="s">
        <v>122</v>
      </c>
      <c r="E1105" s="24">
        <v>72000000</v>
      </c>
      <c r="F1105" s="39">
        <v>43917</v>
      </c>
      <c r="G1105" s="24">
        <v>72000000</v>
      </c>
      <c r="H1105" s="23">
        <v>5.0000000000000001E-3</v>
      </c>
      <c r="I1105" s="39">
        <v>44531</v>
      </c>
      <c r="J1105" s="39">
        <v>44561</v>
      </c>
      <c r="K1105" s="24">
        <v>31</v>
      </c>
      <c r="L1105" s="24">
        <v>30575</v>
      </c>
      <c r="M1105" s="24">
        <v>72000000</v>
      </c>
      <c r="N1105" s="39">
        <v>45742</v>
      </c>
    </row>
    <row r="1106" spans="1:14" s="5" customFormat="1" outlineLevel="2">
      <c r="A1106" s="39" t="s">
        <v>289</v>
      </c>
      <c r="B1106" s="40" t="s">
        <v>19</v>
      </c>
      <c r="C1106" s="41" t="s">
        <v>121</v>
      </c>
      <c r="D1106" s="40" t="s">
        <v>122</v>
      </c>
      <c r="E1106" s="24">
        <v>41000000</v>
      </c>
      <c r="F1106" s="39">
        <v>44483</v>
      </c>
      <c r="G1106" s="24">
        <v>41000000</v>
      </c>
      <c r="H1106" s="23">
        <v>5.0000000000000001E-3</v>
      </c>
      <c r="I1106" s="39">
        <v>44531</v>
      </c>
      <c r="J1106" s="39">
        <v>44561</v>
      </c>
      <c r="K1106" s="24">
        <v>31</v>
      </c>
      <c r="L1106" s="24">
        <v>17411</v>
      </c>
      <c r="M1106" s="24">
        <v>41000000</v>
      </c>
      <c r="N1106" s="39">
        <v>46308</v>
      </c>
    </row>
    <row r="1107" spans="1:14" s="5" customFormat="1" outlineLevel="2">
      <c r="A1107" s="39" t="s">
        <v>289</v>
      </c>
      <c r="B1107" s="40" t="s">
        <v>39</v>
      </c>
      <c r="C1107" s="41" t="s">
        <v>121</v>
      </c>
      <c r="D1107" s="40" t="s">
        <v>122</v>
      </c>
      <c r="E1107" s="24">
        <v>144000000</v>
      </c>
      <c r="F1107" s="39">
        <v>44018</v>
      </c>
      <c r="G1107" s="24">
        <v>144000000</v>
      </c>
      <c r="H1107" s="23">
        <v>5.0000000000000001E-3</v>
      </c>
      <c r="I1107" s="39">
        <v>44531</v>
      </c>
      <c r="J1107" s="39">
        <v>44561</v>
      </c>
      <c r="K1107" s="24">
        <v>31</v>
      </c>
      <c r="L1107" s="24">
        <v>61151</v>
      </c>
      <c r="M1107" s="24">
        <v>144000000</v>
      </c>
      <c r="N1107" s="39">
        <v>45843</v>
      </c>
    </row>
    <row r="1108" spans="1:14" s="5" customFormat="1" outlineLevel="2">
      <c r="A1108" s="39" t="s">
        <v>289</v>
      </c>
      <c r="B1108" s="40" t="s">
        <v>54</v>
      </c>
      <c r="C1108" s="41" t="s">
        <v>290</v>
      </c>
      <c r="D1108" s="40" t="s">
        <v>291</v>
      </c>
      <c r="E1108" s="24">
        <v>6820000</v>
      </c>
      <c r="F1108" s="39">
        <v>44092</v>
      </c>
      <c r="G1108" s="24">
        <v>5228662</v>
      </c>
      <c r="H1108" s="23">
        <v>5.0000000000000001E-3</v>
      </c>
      <c r="I1108" s="39">
        <v>44531</v>
      </c>
      <c r="J1108" s="39">
        <v>44544</v>
      </c>
      <c r="K1108" s="24">
        <v>14</v>
      </c>
      <c r="L1108" s="24">
        <v>1003</v>
      </c>
      <c r="M1108" s="24">
        <v>5114995</v>
      </c>
      <c r="N1108" s="39">
        <v>45917</v>
      </c>
    </row>
    <row r="1109" spans="1:14" s="5" customFormat="1" outlineLevel="2">
      <c r="A1109" s="39" t="s">
        <v>289</v>
      </c>
      <c r="B1109" s="40" t="s">
        <v>54</v>
      </c>
      <c r="C1109" s="41" t="s">
        <v>290</v>
      </c>
      <c r="D1109" s="40"/>
      <c r="E1109" s="24"/>
      <c r="F1109" s="39"/>
      <c r="G1109" s="24">
        <v>5114995</v>
      </c>
      <c r="H1109" s="23">
        <v>5.0000000000000001E-3</v>
      </c>
      <c r="I1109" s="39">
        <v>44545</v>
      </c>
      <c r="J1109" s="39">
        <v>44561</v>
      </c>
      <c r="K1109" s="24">
        <v>17</v>
      </c>
      <c r="L1109" s="24">
        <v>1191</v>
      </c>
      <c r="M1109" s="24"/>
      <c r="N1109" s="39">
        <v>45917</v>
      </c>
    </row>
    <row r="1110" spans="1:14" s="5" customFormat="1" outlineLevel="2">
      <c r="A1110" s="39" t="s">
        <v>289</v>
      </c>
      <c r="B1110" s="40" t="s">
        <v>59</v>
      </c>
      <c r="C1110" s="41" t="s">
        <v>290</v>
      </c>
      <c r="D1110" s="40" t="s">
        <v>291</v>
      </c>
      <c r="E1110" s="24">
        <v>17380000</v>
      </c>
      <c r="F1110" s="39">
        <v>44092</v>
      </c>
      <c r="G1110" s="24">
        <v>10621108</v>
      </c>
      <c r="H1110" s="23">
        <v>5.0000000000000001E-3</v>
      </c>
      <c r="I1110" s="39">
        <v>44531</v>
      </c>
      <c r="J1110" s="39">
        <v>44544</v>
      </c>
      <c r="K1110" s="24">
        <v>14</v>
      </c>
      <c r="L1110" s="24">
        <v>2037</v>
      </c>
      <c r="M1110" s="24">
        <v>10138330</v>
      </c>
      <c r="N1110" s="39">
        <v>45186</v>
      </c>
    </row>
    <row r="1111" spans="1:14" s="5" customFormat="1" outlineLevel="2">
      <c r="A1111" s="39" t="s">
        <v>289</v>
      </c>
      <c r="B1111" s="40" t="s">
        <v>59</v>
      </c>
      <c r="C1111" s="41" t="s">
        <v>290</v>
      </c>
      <c r="D1111" s="40"/>
      <c r="E1111" s="24"/>
      <c r="F1111" s="39"/>
      <c r="G1111" s="24">
        <v>10138330</v>
      </c>
      <c r="H1111" s="23">
        <v>5.0000000000000001E-3</v>
      </c>
      <c r="I1111" s="39">
        <v>44545</v>
      </c>
      <c r="J1111" s="39">
        <v>44561</v>
      </c>
      <c r="K1111" s="24">
        <v>17</v>
      </c>
      <c r="L1111" s="24">
        <v>2361</v>
      </c>
      <c r="M1111" s="24"/>
      <c r="N1111" s="39">
        <v>45186</v>
      </c>
    </row>
    <row r="1112" spans="1:14" s="5" customFormat="1" outlineLevel="2">
      <c r="A1112" s="39" t="s">
        <v>289</v>
      </c>
      <c r="B1112" s="40" t="s">
        <v>62</v>
      </c>
      <c r="C1112" s="41" t="s">
        <v>121</v>
      </c>
      <c r="D1112" s="40" t="s">
        <v>122</v>
      </c>
      <c r="E1112" s="24">
        <v>41000000</v>
      </c>
      <c r="F1112" s="39">
        <v>44140</v>
      </c>
      <c r="G1112" s="24">
        <v>41000000</v>
      </c>
      <c r="H1112" s="23">
        <v>5.0000000000000001E-3</v>
      </c>
      <c r="I1112" s="39">
        <v>44531</v>
      </c>
      <c r="J1112" s="39">
        <v>44561</v>
      </c>
      <c r="K1112" s="24">
        <v>31</v>
      </c>
      <c r="L1112" s="24">
        <v>17411</v>
      </c>
      <c r="M1112" s="24">
        <v>41000000</v>
      </c>
      <c r="N1112" s="39">
        <v>45965</v>
      </c>
    </row>
    <row r="1113" spans="1:14" s="5" customFormat="1" outlineLevel="2">
      <c r="A1113" s="39" t="s">
        <v>289</v>
      </c>
      <c r="B1113" s="40" t="s">
        <v>63</v>
      </c>
      <c r="C1113" s="41" t="s">
        <v>290</v>
      </c>
      <c r="D1113" s="40" t="s">
        <v>291</v>
      </c>
      <c r="E1113" s="24">
        <v>3220000</v>
      </c>
      <c r="F1113" s="39">
        <v>44161</v>
      </c>
      <c r="G1113" s="24">
        <v>2553796</v>
      </c>
      <c r="H1113" s="23">
        <v>5.0000000000000001E-3</v>
      </c>
      <c r="I1113" s="39">
        <v>44531</v>
      </c>
      <c r="J1113" s="39">
        <v>44544</v>
      </c>
      <c r="K1113" s="24">
        <v>14</v>
      </c>
      <c r="L1113" s="24">
        <v>490</v>
      </c>
      <c r="M1113" s="24">
        <v>2498279</v>
      </c>
      <c r="N1113" s="39">
        <v>45986</v>
      </c>
    </row>
    <row r="1114" spans="1:14" s="5" customFormat="1" outlineLevel="2">
      <c r="A1114" s="39" t="s">
        <v>289</v>
      </c>
      <c r="B1114" s="40" t="s">
        <v>63</v>
      </c>
      <c r="C1114" s="41" t="s">
        <v>290</v>
      </c>
      <c r="D1114" s="40"/>
      <c r="E1114" s="24"/>
      <c r="F1114" s="39"/>
      <c r="G1114" s="24">
        <v>2498279</v>
      </c>
      <c r="H1114" s="23">
        <v>5.0000000000000001E-3</v>
      </c>
      <c r="I1114" s="39">
        <v>44545</v>
      </c>
      <c r="J1114" s="39">
        <v>44561</v>
      </c>
      <c r="K1114" s="24">
        <v>17</v>
      </c>
      <c r="L1114" s="24">
        <v>582</v>
      </c>
      <c r="M1114" s="24"/>
      <c r="N1114" s="39">
        <v>45986</v>
      </c>
    </row>
    <row r="1115" spans="1:14" s="5" customFormat="1" outlineLevel="2">
      <c r="A1115" s="39" t="s">
        <v>289</v>
      </c>
      <c r="B1115" s="40" t="s">
        <v>64</v>
      </c>
      <c r="C1115" s="41" t="s">
        <v>121</v>
      </c>
      <c r="D1115" s="40" t="s">
        <v>122</v>
      </c>
      <c r="E1115" s="24">
        <v>50000000</v>
      </c>
      <c r="F1115" s="39">
        <v>44189</v>
      </c>
      <c r="G1115" s="24">
        <v>50000000</v>
      </c>
      <c r="H1115" s="23">
        <v>5.0000000000000001E-3</v>
      </c>
      <c r="I1115" s="39">
        <v>44531</v>
      </c>
      <c r="J1115" s="39">
        <v>44561</v>
      </c>
      <c r="K1115" s="24">
        <v>31</v>
      </c>
      <c r="L1115" s="24">
        <v>21233</v>
      </c>
      <c r="M1115" s="24">
        <v>50000000</v>
      </c>
      <c r="N1115" s="39">
        <v>46014</v>
      </c>
    </row>
    <row r="1116" spans="1:14" s="5" customFormat="1" outlineLevel="2">
      <c r="A1116" s="39" t="s">
        <v>289</v>
      </c>
      <c r="B1116" s="40" t="s">
        <v>65</v>
      </c>
      <c r="C1116" s="41" t="s">
        <v>121</v>
      </c>
      <c r="D1116" s="40" t="s">
        <v>122</v>
      </c>
      <c r="E1116" s="24">
        <v>15000000</v>
      </c>
      <c r="F1116" s="39">
        <v>44189</v>
      </c>
      <c r="G1116" s="24">
        <v>15000000</v>
      </c>
      <c r="H1116" s="23">
        <v>5.0000000000000001E-3</v>
      </c>
      <c r="I1116" s="39">
        <v>44531</v>
      </c>
      <c r="J1116" s="39">
        <v>44561</v>
      </c>
      <c r="K1116" s="24">
        <v>31</v>
      </c>
      <c r="L1116" s="24">
        <v>6370</v>
      </c>
      <c r="M1116" s="24">
        <v>15000000</v>
      </c>
      <c r="N1116" s="39">
        <v>46014</v>
      </c>
    </row>
    <row r="1117" spans="1:14" s="5" customFormat="1" outlineLevel="2">
      <c r="A1117" s="39" t="s">
        <v>289</v>
      </c>
      <c r="B1117" s="40" t="s">
        <v>68</v>
      </c>
      <c r="C1117" s="41" t="s">
        <v>121</v>
      </c>
      <c r="D1117" s="40" t="s">
        <v>122</v>
      </c>
      <c r="E1117" s="24">
        <v>850000</v>
      </c>
      <c r="F1117" s="39">
        <v>44253</v>
      </c>
      <c r="G1117" s="24">
        <v>850000</v>
      </c>
      <c r="H1117" s="23">
        <v>5.0000000000000001E-3</v>
      </c>
      <c r="I1117" s="39">
        <v>44531</v>
      </c>
      <c r="J1117" s="39">
        <v>44561</v>
      </c>
      <c r="K1117" s="24">
        <v>31</v>
      </c>
      <c r="L1117" s="24">
        <v>361</v>
      </c>
      <c r="M1117" s="24">
        <v>850000</v>
      </c>
      <c r="N1117" s="39">
        <v>46078</v>
      </c>
    </row>
    <row r="1118" spans="1:14" s="5" customFormat="1" outlineLevel="1">
      <c r="A1118" s="42" t="s">
        <v>292</v>
      </c>
      <c r="B1118" s="43"/>
      <c r="C1118" s="44"/>
      <c r="D1118" s="43"/>
      <c r="E1118" s="45">
        <v>391270000</v>
      </c>
      <c r="F1118" s="46"/>
      <c r="G1118" s="45"/>
      <c r="H1118" s="47"/>
      <c r="I1118" s="46"/>
      <c r="J1118" s="46"/>
      <c r="K1118" s="45"/>
      <c r="L1118" s="45">
        <v>162176</v>
      </c>
      <c r="M1118" s="45">
        <v>381601604</v>
      </c>
      <c r="N1118" s="46"/>
    </row>
    <row r="1119" spans="1:14" s="5" customFormat="1" outlineLevel="2">
      <c r="A1119" s="39" t="s">
        <v>293</v>
      </c>
      <c r="B1119" s="40" t="s">
        <v>16</v>
      </c>
      <c r="C1119" s="41" t="s">
        <v>121</v>
      </c>
      <c r="D1119" s="40" t="s">
        <v>122</v>
      </c>
      <c r="E1119" s="24">
        <v>190000000</v>
      </c>
      <c r="F1119" s="39">
        <v>43797</v>
      </c>
      <c r="G1119" s="24">
        <v>190000000</v>
      </c>
      <c r="H1119" s="23">
        <v>5.0000000000000001E-3</v>
      </c>
      <c r="I1119" s="39">
        <v>44531</v>
      </c>
      <c r="J1119" s="39">
        <v>44561</v>
      </c>
      <c r="K1119" s="24">
        <v>31</v>
      </c>
      <c r="L1119" s="24">
        <v>80685</v>
      </c>
      <c r="M1119" s="24">
        <v>190000000</v>
      </c>
      <c r="N1119" s="39">
        <v>45623</v>
      </c>
    </row>
    <row r="1120" spans="1:14" s="5" customFormat="1" outlineLevel="2">
      <c r="A1120" s="39" t="s">
        <v>293</v>
      </c>
      <c r="B1120" s="40" t="s">
        <v>19</v>
      </c>
      <c r="C1120" s="41" t="s">
        <v>55</v>
      </c>
      <c r="D1120" s="40" t="s">
        <v>56</v>
      </c>
      <c r="E1120" s="24">
        <v>1310400</v>
      </c>
      <c r="F1120" s="39">
        <v>44043</v>
      </c>
      <c r="G1120" s="24">
        <v>929200</v>
      </c>
      <c r="H1120" s="23">
        <v>5.0000000000000001E-3</v>
      </c>
      <c r="I1120" s="39">
        <v>44531</v>
      </c>
      <c r="J1120" s="39">
        <v>44544</v>
      </c>
      <c r="K1120" s="24">
        <v>14</v>
      </c>
      <c r="L1120" s="24">
        <v>178</v>
      </c>
      <c r="M1120" s="24">
        <v>905375</v>
      </c>
      <c r="N1120" s="39">
        <v>45868</v>
      </c>
    </row>
    <row r="1121" spans="1:14" s="5" customFormat="1" outlineLevel="2">
      <c r="A1121" s="39" t="s">
        <v>293</v>
      </c>
      <c r="B1121" s="40" t="s">
        <v>19</v>
      </c>
      <c r="C1121" s="41" t="s">
        <v>55</v>
      </c>
      <c r="D1121" s="40"/>
      <c r="E1121" s="24"/>
      <c r="F1121" s="39"/>
      <c r="G1121" s="24">
        <v>905375</v>
      </c>
      <c r="H1121" s="23">
        <v>5.0000000000000001E-3</v>
      </c>
      <c r="I1121" s="39">
        <v>44545</v>
      </c>
      <c r="J1121" s="39">
        <v>44561</v>
      </c>
      <c r="K1121" s="24">
        <v>17</v>
      </c>
      <c r="L1121" s="24">
        <v>211</v>
      </c>
      <c r="M1121" s="24"/>
      <c r="N1121" s="39">
        <v>45868</v>
      </c>
    </row>
    <row r="1122" spans="1:14" s="5" customFormat="1" outlineLevel="2">
      <c r="A1122" s="39" t="s">
        <v>293</v>
      </c>
      <c r="B1122" s="40" t="s">
        <v>22</v>
      </c>
      <c r="C1122" s="41" t="s">
        <v>20</v>
      </c>
      <c r="D1122" s="40" t="s">
        <v>21</v>
      </c>
      <c r="E1122" s="24">
        <v>201600000</v>
      </c>
      <c r="F1122" s="39">
        <v>44028</v>
      </c>
      <c r="G1122" s="24">
        <v>201600000</v>
      </c>
      <c r="H1122" s="23">
        <v>3.0000000000000001E-3</v>
      </c>
      <c r="I1122" s="39">
        <v>44531</v>
      </c>
      <c r="J1122" s="39">
        <v>44561</v>
      </c>
      <c r="K1122" s="24">
        <v>31</v>
      </c>
      <c r="L1122" s="24">
        <v>51367</v>
      </c>
      <c r="M1122" s="24">
        <v>201600000</v>
      </c>
      <c r="N1122" s="39">
        <v>45853</v>
      </c>
    </row>
    <row r="1123" spans="1:14" s="5" customFormat="1" outlineLevel="2">
      <c r="A1123" s="39" t="s">
        <v>293</v>
      </c>
      <c r="B1123" s="40" t="s">
        <v>25</v>
      </c>
      <c r="C1123" s="41" t="s">
        <v>294</v>
      </c>
      <c r="D1123" s="40" t="s">
        <v>295</v>
      </c>
      <c r="E1123" s="24">
        <v>67678400</v>
      </c>
      <c r="F1123" s="39">
        <v>44041</v>
      </c>
      <c r="G1123" s="24">
        <v>67678400</v>
      </c>
      <c r="H1123" s="23">
        <v>5.0000000000000001E-3</v>
      </c>
      <c r="I1123" s="39">
        <v>44531</v>
      </c>
      <c r="J1123" s="39">
        <v>44561</v>
      </c>
      <c r="K1123" s="24">
        <v>31</v>
      </c>
      <c r="L1123" s="24">
        <v>28740</v>
      </c>
      <c r="M1123" s="24">
        <v>67678400</v>
      </c>
      <c r="N1123" s="39">
        <v>45866</v>
      </c>
    </row>
    <row r="1124" spans="1:14" s="5" customFormat="1" outlineLevel="2">
      <c r="A1124" s="39" t="s">
        <v>293</v>
      </c>
      <c r="B1124" s="40" t="s">
        <v>26</v>
      </c>
      <c r="C1124" s="41" t="s">
        <v>294</v>
      </c>
      <c r="D1124" s="40" t="s">
        <v>295</v>
      </c>
      <c r="E1124" s="24">
        <v>56400000</v>
      </c>
      <c r="F1124" s="39">
        <v>44060</v>
      </c>
      <c r="G1124" s="24">
        <v>56400000</v>
      </c>
      <c r="H1124" s="23">
        <v>5.0000000000000001E-3</v>
      </c>
      <c r="I1124" s="39">
        <v>44531</v>
      </c>
      <c r="J1124" s="39">
        <v>44561</v>
      </c>
      <c r="K1124" s="24">
        <v>31</v>
      </c>
      <c r="L1124" s="24">
        <v>23951</v>
      </c>
      <c r="M1124" s="24">
        <v>56400000</v>
      </c>
      <c r="N1124" s="39">
        <v>45885</v>
      </c>
    </row>
    <row r="1125" spans="1:14" s="5" customFormat="1" outlineLevel="2">
      <c r="A1125" s="39" t="s">
        <v>293</v>
      </c>
      <c r="B1125" s="40" t="s">
        <v>29</v>
      </c>
      <c r="C1125" s="41" t="s">
        <v>294</v>
      </c>
      <c r="D1125" s="40" t="s">
        <v>295</v>
      </c>
      <c r="E1125" s="24">
        <v>56400000</v>
      </c>
      <c r="F1125" s="39">
        <v>44089</v>
      </c>
      <c r="G1125" s="24">
        <v>56400000</v>
      </c>
      <c r="H1125" s="23">
        <v>5.0000000000000001E-3</v>
      </c>
      <c r="I1125" s="39">
        <v>44531</v>
      </c>
      <c r="J1125" s="39">
        <v>44561</v>
      </c>
      <c r="K1125" s="24">
        <v>31</v>
      </c>
      <c r="L1125" s="24">
        <v>23951</v>
      </c>
      <c r="M1125" s="24">
        <v>56400000</v>
      </c>
      <c r="N1125" s="39">
        <v>45914</v>
      </c>
    </row>
    <row r="1126" spans="1:14" s="5" customFormat="1" outlineLevel="2">
      <c r="A1126" s="39" t="s">
        <v>293</v>
      </c>
      <c r="B1126" s="40" t="s">
        <v>32</v>
      </c>
      <c r="C1126" s="41" t="s">
        <v>294</v>
      </c>
      <c r="D1126" s="40" t="s">
        <v>295</v>
      </c>
      <c r="E1126" s="24">
        <v>56400000</v>
      </c>
      <c r="F1126" s="39">
        <v>44119</v>
      </c>
      <c r="G1126" s="24">
        <v>56400000</v>
      </c>
      <c r="H1126" s="23">
        <v>5.0000000000000001E-3</v>
      </c>
      <c r="I1126" s="39">
        <v>44531</v>
      </c>
      <c r="J1126" s="39">
        <v>44561</v>
      </c>
      <c r="K1126" s="24">
        <v>31</v>
      </c>
      <c r="L1126" s="24">
        <v>23951</v>
      </c>
      <c r="M1126" s="24">
        <v>56400000</v>
      </c>
      <c r="N1126" s="39">
        <v>45944</v>
      </c>
    </row>
    <row r="1127" spans="1:14" s="5" customFormat="1" outlineLevel="2">
      <c r="A1127" s="39" t="s">
        <v>293</v>
      </c>
      <c r="B1127" s="40" t="s">
        <v>33</v>
      </c>
      <c r="C1127" s="41" t="s">
        <v>55</v>
      </c>
      <c r="D1127" s="40" t="s">
        <v>56</v>
      </c>
      <c r="E1127" s="24">
        <v>1169666</v>
      </c>
      <c r="F1127" s="39">
        <v>44134</v>
      </c>
      <c r="G1127" s="24">
        <v>877244</v>
      </c>
      <c r="H1127" s="23">
        <v>5.0000000000000001E-3</v>
      </c>
      <c r="I1127" s="39">
        <v>44531</v>
      </c>
      <c r="J1127" s="39">
        <v>44544</v>
      </c>
      <c r="K1127" s="24">
        <v>14</v>
      </c>
      <c r="L1127" s="24">
        <v>168</v>
      </c>
      <c r="M1127" s="24">
        <v>854750</v>
      </c>
      <c r="N1127" s="39">
        <v>45959</v>
      </c>
    </row>
    <row r="1128" spans="1:14" s="5" customFormat="1" outlineLevel="2">
      <c r="A1128" s="39" t="s">
        <v>293</v>
      </c>
      <c r="B1128" s="40" t="s">
        <v>33</v>
      </c>
      <c r="C1128" s="41" t="s">
        <v>55</v>
      </c>
      <c r="D1128" s="40"/>
      <c r="E1128" s="24"/>
      <c r="F1128" s="39"/>
      <c r="G1128" s="24">
        <v>854750</v>
      </c>
      <c r="H1128" s="23">
        <v>5.0000000000000001E-3</v>
      </c>
      <c r="I1128" s="39">
        <v>44545</v>
      </c>
      <c r="J1128" s="39">
        <v>44561</v>
      </c>
      <c r="K1128" s="24">
        <v>17</v>
      </c>
      <c r="L1128" s="24">
        <v>199</v>
      </c>
      <c r="M1128" s="24"/>
      <c r="N1128" s="39">
        <v>45959</v>
      </c>
    </row>
    <row r="1129" spans="1:14" s="5" customFormat="1" outlineLevel="2">
      <c r="A1129" s="39" t="s">
        <v>293</v>
      </c>
      <c r="B1129" s="40" t="s">
        <v>34</v>
      </c>
      <c r="C1129" s="41" t="s">
        <v>294</v>
      </c>
      <c r="D1129" s="40" t="s">
        <v>295</v>
      </c>
      <c r="E1129" s="24">
        <v>56400000</v>
      </c>
      <c r="F1129" s="39">
        <v>44151</v>
      </c>
      <c r="G1129" s="24">
        <v>56400000</v>
      </c>
      <c r="H1129" s="23">
        <v>5.0000000000000001E-3</v>
      </c>
      <c r="I1129" s="39">
        <v>44531</v>
      </c>
      <c r="J1129" s="39">
        <v>44561</v>
      </c>
      <c r="K1129" s="24">
        <v>31</v>
      </c>
      <c r="L1129" s="24">
        <v>23951</v>
      </c>
      <c r="M1129" s="24">
        <v>56400000</v>
      </c>
      <c r="N1129" s="39">
        <v>45976</v>
      </c>
    </row>
    <row r="1130" spans="1:14" s="5" customFormat="1" outlineLevel="2">
      <c r="A1130" s="39" t="s">
        <v>293</v>
      </c>
      <c r="B1130" s="40" t="s">
        <v>35</v>
      </c>
      <c r="C1130" s="41" t="s">
        <v>115</v>
      </c>
      <c r="D1130" s="40" t="s">
        <v>116</v>
      </c>
      <c r="E1130" s="24">
        <v>2230000</v>
      </c>
      <c r="F1130" s="39">
        <v>44138</v>
      </c>
      <c r="G1130" s="24">
        <v>2230000</v>
      </c>
      <c r="H1130" s="23">
        <v>5.0000000000000001E-3</v>
      </c>
      <c r="I1130" s="39">
        <v>44531</v>
      </c>
      <c r="J1130" s="39">
        <v>44561</v>
      </c>
      <c r="K1130" s="24">
        <v>31</v>
      </c>
      <c r="L1130" s="24">
        <v>947</v>
      </c>
      <c r="M1130" s="24">
        <v>2230000</v>
      </c>
      <c r="N1130" s="39">
        <v>45963</v>
      </c>
    </row>
    <row r="1131" spans="1:14" s="5" customFormat="1" outlineLevel="2">
      <c r="A1131" s="39" t="s">
        <v>293</v>
      </c>
      <c r="B1131" s="40" t="s">
        <v>36</v>
      </c>
      <c r="C1131" s="41" t="s">
        <v>294</v>
      </c>
      <c r="D1131" s="40" t="s">
        <v>295</v>
      </c>
      <c r="E1131" s="24">
        <v>112800000</v>
      </c>
      <c r="F1131" s="39">
        <v>44180</v>
      </c>
      <c r="G1131" s="24">
        <v>112800000</v>
      </c>
      <c r="H1131" s="23">
        <v>5.0000000000000001E-3</v>
      </c>
      <c r="I1131" s="39">
        <v>44531</v>
      </c>
      <c r="J1131" s="39">
        <v>44561</v>
      </c>
      <c r="K1131" s="24">
        <v>31</v>
      </c>
      <c r="L1131" s="24">
        <v>47901</v>
      </c>
      <c r="M1131" s="24">
        <v>112800000</v>
      </c>
      <c r="N1131" s="39">
        <v>46005</v>
      </c>
    </row>
    <row r="1132" spans="1:14" s="5" customFormat="1" outlineLevel="2">
      <c r="A1132" s="39" t="s">
        <v>293</v>
      </c>
      <c r="B1132" s="40" t="s">
        <v>39</v>
      </c>
      <c r="C1132" s="41" t="s">
        <v>121</v>
      </c>
      <c r="D1132" s="40" t="s">
        <v>122</v>
      </c>
      <c r="E1132" s="24">
        <v>37000000</v>
      </c>
      <c r="F1132" s="39">
        <v>43829</v>
      </c>
      <c r="G1132" s="24">
        <v>37000000</v>
      </c>
      <c r="H1132" s="23">
        <v>5.0000000000000001E-3</v>
      </c>
      <c r="I1132" s="39">
        <v>44531</v>
      </c>
      <c r="J1132" s="39">
        <v>44561</v>
      </c>
      <c r="K1132" s="24">
        <v>31</v>
      </c>
      <c r="L1132" s="24">
        <v>15712</v>
      </c>
      <c r="M1132" s="24">
        <v>37000000</v>
      </c>
      <c r="N1132" s="39">
        <v>45655</v>
      </c>
    </row>
    <row r="1133" spans="1:14" s="5" customFormat="1" outlineLevel="2">
      <c r="A1133" s="39" t="s">
        <v>293</v>
      </c>
      <c r="B1133" s="40" t="s">
        <v>40</v>
      </c>
      <c r="C1133" s="41" t="s">
        <v>294</v>
      </c>
      <c r="D1133" s="40" t="s">
        <v>295</v>
      </c>
      <c r="E1133" s="24">
        <v>3667200</v>
      </c>
      <c r="F1133" s="39">
        <v>44180</v>
      </c>
      <c r="G1133" s="24">
        <v>3667200</v>
      </c>
      <c r="H1133" s="23">
        <v>5.0000000000000001E-3</v>
      </c>
      <c r="I1133" s="39">
        <v>44531</v>
      </c>
      <c r="J1133" s="39">
        <v>44561</v>
      </c>
      <c r="K1133" s="24">
        <v>31</v>
      </c>
      <c r="L1133" s="24">
        <v>1557</v>
      </c>
      <c r="M1133" s="24">
        <v>3667200</v>
      </c>
      <c r="N1133" s="39">
        <v>46005</v>
      </c>
    </row>
    <row r="1134" spans="1:14" s="5" customFormat="1" outlineLevel="2">
      <c r="A1134" s="39" t="s">
        <v>293</v>
      </c>
      <c r="B1134" s="40" t="s">
        <v>41</v>
      </c>
      <c r="C1134" s="41" t="s">
        <v>132</v>
      </c>
      <c r="D1134" s="40" t="s">
        <v>133</v>
      </c>
      <c r="E1134" s="24">
        <v>30870000</v>
      </c>
      <c r="F1134" s="39">
        <v>44175</v>
      </c>
      <c r="G1134" s="24">
        <v>30870000</v>
      </c>
      <c r="H1134" s="23">
        <v>5.0000000000000001E-3</v>
      </c>
      <c r="I1134" s="39">
        <v>44531</v>
      </c>
      <c r="J1134" s="39">
        <v>44561</v>
      </c>
      <c r="K1134" s="24">
        <v>31</v>
      </c>
      <c r="L1134" s="24">
        <v>13109</v>
      </c>
      <c r="M1134" s="24">
        <v>30870000</v>
      </c>
      <c r="N1134" s="39">
        <v>46000</v>
      </c>
    </row>
    <row r="1135" spans="1:14" s="5" customFormat="1" outlineLevel="2">
      <c r="A1135" s="39" t="s">
        <v>293</v>
      </c>
      <c r="B1135" s="40" t="s">
        <v>42</v>
      </c>
      <c r="C1135" s="41" t="s">
        <v>294</v>
      </c>
      <c r="D1135" s="40" t="s">
        <v>295</v>
      </c>
      <c r="E1135" s="24">
        <v>57011200</v>
      </c>
      <c r="F1135" s="39">
        <v>44211</v>
      </c>
      <c r="G1135" s="24">
        <v>57011200</v>
      </c>
      <c r="H1135" s="23">
        <v>5.0000000000000001E-3</v>
      </c>
      <c r="I1135" s="39">
        <v>44531</v>
      </c>
      <c r="J1135" s="39">
        <v>44561</v>
      </c>
      <c r="K1135" s="24">
        <v>31</v>
      </c>
      <c r="L1135" s="24">
        <v>24210</v>
      </c>
      <c r="M1135" s="24">
        <v>57011200</v>
      </c>
      <c r="N1135" s="39">
        <v>46036</v>
      </c>
    </row>
    <row r="1136" spans="1:14" s="5" customFormat="1" outlineLevel="2">
      <c r="A1136" s="39" t="s">
        <v>293</v>
      </c>
      <c r="B1136" s="40" t="s">
        <v>43</v>
      </c>
      <c r="C1136" s="41" t="s">
        <v>115</v>
      </c>
      <c r="D1136" s="40" t="s">
        <v>116</v>
      </c>
      <c r="E1136" s="24">
        <v>10000000</v>
      </c>
      <c r="F1136" s="39">
        <v>44225</v>
      </c>
      <c r="G1136" s="24">
        <v>10000000</v>
      </c>
      <c r="H1136" s="23">
        <v>5.0000000000000001E-3</v>
      </c>
      <c r="I1136" s="39">
        <v>44531</v>
      </c>
      <c r="J1136" s="39">
        <v>44561</v>
      </c>
      <c r="K1136" s="24">
        <v>31</v>
      </c>
      <c r="L1136" s="24">
        <v>4247</v>
      </c>
      <c r="M1136" s="24">
        <v>10000000</v>
      </c>
      <c r="N1136" s="39">
        <v>46050</v>
      </c>
    </row>
    <row r="1137" spans="1:14" s="5" customFormat="1" outlineLevel="2">
      <c r="A1137" s="39" t="s">
        <v>293</v>
      </c>
      <c r="B1137" s="40" t="s">
        <v>44</v>
      </c>
      <c r="C1137" s="41" t="s">
        <v>132</v>
      </c>
      <c r="D1137" s="40" t="s">
        <v>133</v>
      </c>
      <c r="E1137" s="24">
        <v>5880000</v>
      </c>
      <c r="F1137" s="39">
        <v>44207</v>
      </c>
      <c r="G1137" s="24">
        <v>5880000</v>
      </c>
      <c r="H1137" s="23">
        <v>5.0000000000000001E-3</v>
      </c>
      <c r="I1137" s="39">
        <v>44531</v>
      </c>
      <c r="J1137" s="39">
        <v>44561</v>
      </c>
      <c r="K1137" s="24">
        <v>31</v>
      </c>
      <c r="L1137" s="24">
        <v>2497</v>
      </c>
      <c r="M1137" s="24">
        <v>5880000</v>
      </c>
      <c r="N1137" s="39">
        <v>46032</v>
      </c>
    </row>
    <row r="1138" spans="1:14" s="5" customFormat="1" outlineLevel="2">
      <c r="A1138" s="39" t="s">
        <v>293</v>
      </c>
      <c r="B1138" s="40" t="s">
        <v>47</v>
      </c>
      <c r="C1138" s="41" t="s">
        <v>132</v>
      </c>
      <c r="D1138" s="40" t="s">
        <v>133</v>
      </c>
      <c r="E1138" s="24">
        <v>660000</v>
      </c>
      <c r="F1138" s="39">
        <v>44221</v>
      </c>
      <c r="G1138" s="24">
        <v>660000</v>
      </c>
      <c r="H1138" s="23">
        <v>5.0000000000000001E-3</v>
      </c>
      <c r="I1138" s="39">
        <v>44531</v>
      </c>
      <c r="J1138" s="39">
        <v>44561</v>
      </c>
      <c r="K1138" s="24">
        <v>31</v>
      </c>
      <c r="L1138" s="24">
        <v>280</v>
      </c>
      <c r="M1138" s="24">
        <v>660000</v>
      </c>
      <c r="N1138" s="39">
        <v>46046</v>
      </c>
    </row>
    <row r="1139" spans="1:14" s="5" customFormat="1" outlineLevel="2">
      <c r="A1139" s="39" t="s">
        <v>293</v>
      </c>
      <c r="B1139" s="40" t="s">
        <v>50</v>
      </c>
      <c r="C1139" s="41" t="s">
        <v>132</v>
      </c>
      <c r="D1139" s="40" t="s">
        <v>133</v>
      </c>
      <c r="E1139" s="24">
        <v>4160000</v>
      </c>
      <c r="F1139" s="39">
        <v>44207</v>
      </c>
      <c r="G1139" s="24">
        <v>4160000</v>
      </c>
      <c r="H1139" s="23">
        <v>5.0000000000000001E-3</v>
      </c>
      <c r="I1139" s="39">
        <v>44531</v>
      </c>
      <c r="J1139" s="39">
        <v>44561</v>
      </c>
      <c r="K1139" s="24">
        <v>31</v>
      </c>
      <c r="L1139" s="24">
        <v>1767</v>
      </c>
      <c r="M1139" s="24">
        <v>4160000</v>
      </c>
      <c r="N1139" s="39">
        <v>46032</v>
      </c>
    </row>
    <row r="1140" spans="1:14" s="5" customFormat="1" outlineLevel="2">
      <c r="A1140" s="39" t="s">
        <v>293</v>
      </c>
      <c r="B1140" s="40" t="s">
        <v>51</v>
      </c>
      <c r="C1140" s="41" t="s">
        <v>294</v>
      </c>
      <c r="D1140" s="40" t="s">
        <v>295</v>
      </c>
      <c r="E1140" s="24">
        <v>64400000</v>
      </c>
      <c r="F1140" s="39">
        <v>44236</v>
      </c>
      <c r="G1140" s="24">
        <v>64400000</v>
      </c>
      <c r="H1140" s="23">
        <v>5.0000000000000001E-3</v>
      </c>
      <c r="I1140" s="39">
        <v>44531</v>
      </c>
      <c r="J1140" s="39">
        <v>44561</v>
      </c>
      <c r="K1140" s="24">
        <v>31</v>
      </c>
      <c r="L1140" s="24">
        <v>27348</v>
      </c>
      <c r="M1140" s="24">
        <v>64400000</v>
      </c>
      <c r="N1140" s="39">
        <v>46061</v>
      </c>
    </row>
    <row r="1141" spans="1:14" s="5" customFormat="1" outlineLevel="2">
      <c r="A1141" s="39" t="s">
        <v>293</v>
      </c>
      <c r="B1141" s="40" t="s">
        <v>52</v>
      </c>
      <c r="C1141" s="41" t="s">
        <v>294</v>
      </c>
      <c r="D1141" s="40" t="s">
        <v>295</v>
      </c>
      <c r="E1141" s="24">
        <v>57011200</v>
      </c>
      <c r="F1141" s="39">
        <v>44245</v>
      </c>
      <c r="G1141" s="24">
        <v>57011200</v>
      </c>
      <c r="H1141" s="23">
        <v>5.0000000000000001E-3</v>
      </c>
      <c r="I1141" s="39">
        <v>44531</v>
      </c>
      <c r="J1141" s="39">
        <v>44561</v>
      </c>
      <c r="K1141" s="24">
        <v>31</v>
      </c>
      <c r="L1141" s="24">
        <v>24210</v>
      </c>
      <c r="M1141" s="24">
        <v>57011200</v>
      </c>
      <c r="N1141" s="39">
        <v>46070</v>
      </c>
    </row>
    <row r="1142" spans="1:14" s="5" customFormat="1" outlineLevel="2">
      <c r="A1142" s="39" t="s">
        <v>293</v>
      </c>
      <c r="B1142" s="40" t="s">
        <v>53</v>
      </c>
      <c r="C1142" s="41" t="s">
        <v>132</v>
      </c>
      <c r="D1142" s="40" t="s">
        <v>133</v>
      </c>
      <c r="E1142" s="24">
        <v>3640000</v>
      </c>
      <c r="F1142" s="39">
        <v>44244</v>
      </c>
      <c r="G1142" s="24">
        <v>3640000</v>
      </c>
      <c r="H1142" s="23">
        <v>5.0000000000000001E-3</v>
      </c>
      <c r="I1142" s="39">
        <v>44531</v>
      </c>
      <c r="J1142" s="39">
        <v>44561</v>
      </c>
      <c r="K1142" s="24">
        <v>31</v>
      </c>
      <c r="L1142" s="24">
        <v>1546</v>
      </c>
      <c r="M1142" s="24">
        <v>3640000</v>
      </c>
      <c r="N1142" s="39">
        <v>46069</v>
      </c>
    </row>
    <row r="1143" spans="1:14" s="5" customFormat="1" outlineLevel="2">
      <c r="A1143" s="39" t="s">
        <v>293</v>
      </c>
      <c r="B1143" s="40" t="s">
        <v>54</v>
      </c>
      <c r="C1143" s="41" t="s">
        <v>55</v>
      </c>
      <c r="D1143" s="40" t="s">
        <v>56</v>
      </c>
      <c r="E1143" s="24">
        <v>17276700</v>
      </c>
      <c r="F1143" s="39">
        <v>43878</v>
      </c>
      <c r="G1143" s="24">
        <v>11229855</v>
      </c>
      <c r="H1143" s="23">
        <v>5.0000000000000001E-3</v>
      </c>
      <c r="I1143" s="39">
        <v>44531</v>
      </c>
      <c r="J1143" s="39">
        <v>44544</v>
      </c>
      <c r="K1143" s="24">
        <v>14</v>
      </c>
      <c r="L1143" s="24">
        <v>2154</v>
      </c>
      <c r="M1143" s="24">
        <v>10941910</v>
      </c>
      <c r="N1143" s="39">
        <v>45704</v>
      </c>
    </row>
    <row r="1144" spans="1:14" s="5" customFormat="1" outlineLevel="2">
      <c r="A1144" s="39" t="s">
        <v>293</v>
      </c>
      <c r="B1144" s="40" t="s">
        <v>54</v>
      </c>
      <c r="C1144" s="41" t="s">
        <v>55</v>
      </c>
      <c r="D1144" s="40"/>
      <c r="E1144" s="24"/>
      <c r="F1144" s="39"/>
      <c r="G1144" s="24">
        <v>10941910</v>
      </c>
      <c r="H1144" s="23">
        <v>5.0000000000000001E-3</v>
      </c>
      <c r="I1144" s="39">
        <v>44545</v>
      </c>
      <c r="J1144" s="39">
        <v>44561</v>
      </c>
      <c r="K1144" s="24">
        <v>17</v>
      </c>
      <c r="L1144" s="24">
        <v>2548</v>
      </c>
      <c r="M1144" s="24"/>
      <c r="N1144" s="39">
        <v>45704</v>
      </c>
    </row>
    <row r="1145" spans="1:14" s="5" customFormat="1" outlineLevel="2">
      <c r="A1145" s="39" t="s">
        <v>293</v>
      </c>
      <c r="B1145" s="40" t="s">
        <v>57</v>
      </c>
      <c r="C1145" s="41" t="s">
        <v>132</v>
      </c>
      <c r="D1145" s="40" t="s">
        <v>133</v>
      </c>
      <c r="E1145" s="24">
        <v>7500000</v>
      </c>
      <c r="F1145" s="39">
        <v>44228</v>
      </c>
      <c r="G1145" s="24">
        <v>7500000</v>
      </c>
      <c r="H1145" s="23">
        <v>5.0000000000000001E-3</v>
      </c>
      <c r="I1145" s="39">
        <v>44531</v>
      </c>
      <c r="J1145" s="39">
        <v>44561</v>
      </c>
      <c r="K1145" s="24">
        <v>31</v>
      </c>
      <c r="L1145" s="24">
        <v>3185</v>
      </c>
      <c r="M1145" s="24">
        <v>7500000</v>
      </c>
      <c r="N1145" s="39">
        <v>46053</v>
      </c>
    </row>
    <row r="1146" spans="1:14" s="5" customFormat="1" outlineLevel="2">
      <c r="A1146" s="39" t="s">
        <v>293</v>
      </c>
      <c r="B1146" s="40" t="s">
        <v>58</v>
      </c>
      <c r="C1146" s="41" t="s">
        <v>132</v>
      </c>
      <c r="D1146" s="40" t="s">
        <v>133</v>
      </c>
      <c r="E1146" s="24">
        <v>7490000</v>
      </c>
      <c r="F1146" s="39">
        <v>44235</v>
      </c>
      <c r="G1146" s="24">
        <v>7490000</v>
      </c>
      <c r="H1146" s="23">
        <v>5.0000000000000001E-3</v>
      </c>
      <c r="I1146" s="39">
        <v>44531</v>
      </c>
      <c r="J1146" s="39">
        <v>44561</v>
      </c>
      <c r="K1146" s="24">
        <v>31</v>
      </c>
      <c r="L1146" s="24">
        <v>3181</v>
      </c>
      <c r="M1146" s="24">
        <v>7490000</v>
      </c>
      <c r="N1146" s="39">
        <v>46060</v>
      </c>
    </row>
    <row r="1147" spans="1:14" s="5" customFormat="1" outlineLevel="2">
      <c r="A1147" s="39" t="s">
        <v>293</v>
      </c>
      <c r="B1147" s="40" t="s">
        <v>99</v>
      </c>
      <c r="C1147" s="41" t="s">
        <v>132</v>
      </c>
      <c r="D1147" s="40" t="s">
        <v>133</v>
      </c>
      <c r="E1147" s="24">
        <v>6670000</v>
      </c>
      <c r="F1147" s="39">
        <v>44252</v>
      </c>
      <c r="G1147" s="24">
        <v>6670000</v>
      </c>
      <c r="H1147" s="23">
        <v>5.0000000000000001E-3</v>
      </c>
      <c r="I1147" s="39">
        <v>44531</v>
      </c>
      <c r="J1147" s="39">
        <v>44561</v>
      </c>
      <c r="K1147" s="24">
        <v>31</v>
      </c>
      <c r="L1147" s="24">
        <v>2832</v>
      </c>
      <c r="M1147" s="24">
        <v>6670000</v>
      </c>
      <c r="N1147" s="39">
        <v>46077</v>
      </c>
    </row>
    <row r="1148" spans="1:14" s="5" customFormat="1" outlineLevel="2">
      <c r="A1148" s="39" t="s">
        <v>293</v>
      </c>
      <c r="B1148" s="40" t="s">
        <v>100</v>
      </c>
      <c r="C1148" s="41" t="s">
        <v>20</v>
      </c>
      <c r="D1148" s="40" t="s">
        <v>21</v>
      </c>
      <c r="E1148" s="24">
        <v>199200000</v>
      </c>
      <c r="F1148" s="39">
        <v>44259</v>
      </c>
      <c r="G1148" s="24">
        <v>199200000</v>
      </c>
      <c r="H1148" s="23">
        <v>3.0000000000000001E-3</v>
      </c>
      <c r="I1148" s="39">
        <v>44531</v>
      </c>
      <c r="J1148" s="39">
        <v>44561</v>
      </c>
      <c r="K1148" s="24">
        <v>31</v>
      </c>
      <c r="L1148" s="24">
        <v>50755</v>
      </c>
      <c r="M1148" s="24">
        <v>199200000</v>
      </c>
      <c r="N1148" s="39">
        <v>46084</v>
      </c>
    </row>
    <row r="1149" spans="1:14" s="5" customFormat="1" outlineLevel="2">
      <c r="A1149" s="39" t="s">
        <v>293</v>
      </c>
      <c r="B1149" s="40" t="s">
        <v>101</v>
      </c>
      <c r="C1149" s="41" t="s">
        <v>294</v>
      </c>
      <c r="D1149" s="40" t="s">
        <v>295</v>
      </c>
      <c r="E1149" s="24">
        <v>39703444</v>
      </c>
      <c r="F1149" s="39">
        <v>44270</v>
      </c>
      <c r="G1149" s="24">
        <v>39703444</v>
      </c>
      <c r="H1149" s="23">
        <v>5.0000000000000001E-3</v>
      </c>
      <c r="I1149" s="39">
        <v>44531</v>
      </c>
      <c r="J1149" s="39">
        <v>44561</v>
      </c>
      <c r="K1149" s="24">
        <v>31</v>
      </c>
      <c r="L1149" s="24">
        <v>16860</v>
      </c>
      <c r="M1149" s="24">
        <v>39703444</v>
      </c>
      <c r="N1149" s="39">
        <v>46095</v>
      </c>
    </row>
    <row r="1150" spans="1:14" s="5" customFormat="1" outlineLevel="2">
      <c r="A1150" s="39" t="s">
        <v>293</v>
      </c>
      <c r="B1150" s="40" t="s">
        <v>102</v>
      </c>
      <c r="C1150" s="41" t="s">
        <v>115</v>
      </c>
      <c r="D1150" s="40" t="s">
        <v>116</v>
      </c>
      <c r="E1150" s="24">
        <v>27770000</v>
      </c>
      <c r="F1150" s="39">
        <v>44273</v>
      </c>
      <c r="G1150" s="24">
        <v>27770000</v>
      </c>
      <c r="H1150" s="23">
        <v>5.0000000000000001E-3</v>
      </c>
      <c r="I1150" s="39">
        <v>44531</v>
      </c>
      <c r="J1150" s="39">
        <v>44561</v>
      </c>
      <c r="K1150" s="24">
        <v>31</v>
      </c>
      <c r="L1150" s="24">
        <v>11793</v>
      </c>
      <c r="M1150" s="24">
        <v>27770000</v>
      </c>
      <c r="N1150" s="39">
        <v>46098</v>
      </c>
    </row>
    <row r="1151" spans="1:14" s="5" customFormat="1" outlineLevel="2">
      <c r="A1151" s="39" t="s">
        <v>293</v>
      </c>
      <c r="B1151" s="40" t="s">
        <v>103</v>
      </c>
      <c r="C1151" s="41" t="s">
        <v>132</v>
      </c>
      <c r="D1151" s="40" t="s">
        <v>133</v>
      </c>
      <c r="E1151" s="24">
        <v>2620000</v>
      </c>
      <c r="F1151" s="39">
        <v>44280</v>
      </c>
      <c r="G1151" s="24">
        <v>2620000</v>
      </c>
      <c r="H1151" s="23">
        <v>5.0000000000000001E-3</v>
      </c>
      <c r="I1151" s="39">
        <v>44531</v>
      </c>
      <c r="J1151" s="39">
        <v>44561</v>
      </c>
      <c r="K1151" s="24">
        <v>31</v>
      </c>
      <c r="L1151" s="24">
        <v>1113</v>
      </c>
      <c r="M1151" s="24">
        <v>2620000</v>
      </c>
      <c r="N1151" s="39">
        <v>46105</v>
      </c>
    </row>
    <row r="1152" spans="1:14" s="5" customFormat="1" outlineLevel="2">
      <c r="A1152" s="39" t="s">
        <v>293</v>
      </c>
      <c r="B1152" s="40" t="s">
        <v>104</v>
      </c>
      <c r="C1152" s="41" t="s">
        <v>132</v>
      </c>
      <c r="D1152" s="40" t="s">
        <v>133</v>
      </c>
      <c r="E1152" s="24">
        <v>6350000</v>
      </c>
      <c r="F1152" s="39">
        <v>44265</v>
      </c>
      <c r="G1152" s="24">
        <v>6350000</v>
      </c>
      <c r="H1152" s="23">
        <v>5.0000000000000001E-3</v>
      </c>
      <c r="I1152" s="39">
        <v>44531</v>
      </c>
      <c r="J1152" s="39">
        <v>44561</v>
      </c>
      <c r="K1152" s="24">
        <v>31</v>
      </c>
      <c r="L1152" s="24">
        <v>2697</v>
      </c>
      <c r="M1152" s="24">
        <v>6350000</v>
      </c>
      <c r="N1152" s="39">
        <v>46090</v>
      </c>
    </row>
    <row r="1153" spans="1:14" s="5" customFormat="1" outlineLevel="2">
      <c r="A1153" s="39" t="s">
        <v>293</v>
      </c>
      <c r="B1153" s="40" t="s">
        <v>105</v>
      </c>
      <c r="C1153" s="41" t="s">
        <v>132</v>
      </c>
      <c r="D1153" s="40" t="s">
        <v>133</v>
      </c>
      <c r="E1153" s="24">
        <v>1870000</v>
      </c>
      <c r="F1153" s="39">
        <v>44280</v>
      </c>
      <c r="G1153" s="24">
        <v>1870000</v>
      </c>
      <c r="H1153" s="23">
        <v>5.0000000000000001E-3</v>
      </c>
      <c r="I1153" s="39">
        <v>44531</v>
      </c>
      <c r="J1153" s="39">
        <v>44561</v>
      </c>
      <c r="K1153" s="24">
        <v>31</v>
      </c>
      <c r="L1153" s="24">
        <v>794</v>
      </c>
      <c r="M1153" s="24">
        <v>1870000</v>
      </c>
      <c r="N1153" s="39">
        <v>46105</v>
      </c>
    </row>
    <row r="1154" spans="1:14" s="5" customFormat="1" outlineLevel="2">
      <c r="A1154" s="39" t="s">
        <v>293</v>
      </c>
      <c r="B1154" s="40" t="s">
        <v>106</v>
      </c>
      <c r="C1154" s="41" t="s">
        <v>294</v>
      </c>
      <c r="D1154" s="40" t="s">
        <v>295</v>
      </c>
      <c r="E1154" s="24">
        <v>72291200</v>
      </c>
      <c r="F1154" s="39">
        <v>44301</v>
      </c>
      <c r="G1154" s="24">
        <v>72291200</v>
      </c>
      <c r="H1154" s="23">
        <v>5.0000000000000001E-3</v>
      </c>
      <c r="I1154" s="39">
        <v>44531</v>
      </c>
      <c r="J1154" s="39">
        <v>44561</v>
      </c>
      <c r="K1154" s="24">
        <v>31</v>
      </c>
      <c r="L1154" s="24">
        <v>30699</v>
      </c>
      <c r="M1154" s="24">
        <v>72291200</v>
      </c>
      <c r="N1154" s="39">
        <v>46126</v>
      </c>
    </row>
    <row r="1155" spans="1:14" s="5" customFormat="1" outlineLevel="2">
      <c r="A1155" s="39" t="s">
        <v>293</v>
      </c>
      <c r="B1155" s="40" t="s">
        <v>59</v>
      </c>
      <c r="C1155" s="41" t="s">
        <v>121</v>
      </c>
      <c r="D1155" s="40" t="s">
        <v>122</v>
      </c>
      <c r="E1155" s="24">
        <v>73000000</v>
      </c>
      <c r="F1155" s="39">
        <v>43896</v>
      </c>
      <c r="G1155" s="24">
        <v>73000000</v>
      </c>
      <c r="H1155" s="23">
        <v>5.0000000000000001E-3</v>
      </c>
      <c r="I1155" s="39">
        <v>44531</v>
      </c>
      <c r="J1155" s="39">
        <v>44561</v>
      </c>
      <c r="K1155" s="24">
        <v>31</v>
      </c>
      <c r="L1155" s="24">
        <v>31000</v>
      </c>
      <c r="M1155" s="24">
        <v>73000000</v>
      </c>
      <c r="N1155" s="39">
        <v>45721</v>
      </c>
    </row>
    <row r="1156" spans="1:14" s="5" customFormat="1" outlineLevel="2">
      <c r="A1156" s="39" t="s">
        <v>293</v>
      </c>
      <c r="B1156" s="40" t="s">
        <v>136</v>
      </c>
      <c r="C1156" s="41" t="s">
        <v>132</v>
      </c>
      <c r="D1156" s="40" t="s">
        <v>133</v>
      </c>
      <c r="E1156" s="24">
        <v>750000</v>
      </c>
      <c r="F1156" s="39">
        <v>44301</v>
      </c>
      <c r="G1156" s="24">
        <v>750000</v>
      </c>
      <c r="H1156" s="23">
        <v>5.0000000000000001E-3</v>
      </c>
      <c r="I1156" s="39">
        <v>44531</v>
      </c>
      <c r="J1156" s="39">
        <v>44561</v>
      </c>
      <c r="K1156" s="24">
        <v>31</v>
      </c>
      <c r="L1156" s="24">
        <v>318</v>
      </c>
      <c r="M1156" s="24">
        <v>750000</v>
      </c>
      <c r="N1156" s="39">
        <v>46126</v>
      </c>
    </row>
    <row r="1157" spans="1:14" s="5" customFormat="1" outlineLevel="2">
      <c r="A1157" s="39" t="s">
        <v>293</v>
      </c>
      <c r="B1157" s="40" t="s">
        <v>137</v>
      </c>
      <c r="C1157" s="41" t="s">
        <v>132</v>
      </c>
      <c r="D1157" s="40" t="s">
        <v>133</v>
      </c>
      <c r="E1157" s="24">
        <v>4560000</v>
      </c>
      <c r="F1157" s="39">
        <v>44298</v>
      </c>
      <c r="G1157" s="24">
        <v>4560000</v>
      </c>
      <c r="H1157" s="23">
        <v>5.0000000000000001E-3</v>
      </c>
      <c r="I1157" s="39">
        <v>44531</v>
      </c>
      <c r="J1157" s="39">
        <v>44561</v>
      </c>
      <c r="K1157" s="24">
        <v>31</v>
      </c>
      <c r="L1157" s="24">
        <v>1936</v>
      </c>
      <c r="M1157" s="24">
        <v>4560000</v>
      </c>
      <c r="N1157" s="39">
        <v>46123</v>
      </c>
    </row>
    <row r="1158" spans="1:14" s="5" customFormat="1" outlineLevel="2">
      <c r="A1158" s="39" t="s">
        <v>293</v>
      </c>
      <c r="B1158" s="40" t="s">
        <v>138</v>
      </c>
      <c r="C1158" s="41" t="s">
        <v>132</v>
      </c>
      <c r="D1158" s="40" t="s">
        <v>133</v>
      </c>
      <c r="E1158" s="24">
        <v>10770000</v>
      </c>
      <c r="F1158" s="39">
        <v>44312</v>
      </c>
      <c r="G1158" s="24">
        <v>10770000</v>
      </c>
      <c r="H1158" s="23">
        <v>5.0000000000000001E-3</v>
      </c>
      <c r="I1158" s="39">
        <v>44531</v>
      </c>
      <c r="J1158" s="39">
        <v>44561</v>
      </c>
      <c r="K1158" s="24">
        <v>31</v>
      </c>
      <c r="L1158" s="24">
        <v>4574</v>
      </c>
      <c r="M1158" s="24">
        <v>10770000</v>
      </c>
      <c r="N1158" s="39">
        <v>46137</v>
      </c>
    </row>
    <row r="1159" spans="1:14" s="5" customFormat="1" outlineLevel="2">
      <c r="A1159" s="39" t="s">
        <v>293</v>
      </c>
      <c r="B1159" s="40" t="s">
        <v>139</v>
      </c>
      <c r="C1159" s="41" t="s">
        <v>339</v>
      </c>
      <c r="D1159" s="40" t="s">
        <v>338</v>
      </c>
      <c r="E1159" s="24">
        <v>500000</v>
      </c>
      <c r="F1159" s="39">
        <v>44293</v>
      </c>
      <c r="G1159" s="24">
        <v>500000</v>
      </c>
      <c r="H1159" s="23">
        <v>5.0000000000000001E-3</v>
      </c>
      <c r="I1159" s="39">
        <v>44531</v>
      </c>
      <c r="J1159" s="39">
        <v>44561</v>
      </c>
      <c r="K1159" s="24">
        <v>31</v>
      </c>
      <c r="L1159" s="24">
        <v>212</v>
      </c>
      <c r="M1159" s="24">
        <v>500000</v>
      </c>
      <c r="N1159" s="39">
        <v>46118</v>
      </c>
    </row>
    <row r="1160" spans="1:14" s="5" customFormat="1" outlineLevel="2">
      <c r="A1160" s="39" t="s">
        <v>293</v>
      </c>
      <c r="B1160" s="40" t="s">
        <v>140</v>
      </c>
      <c r="C1160" s="41" t="s">
        <v>294</v>
      </c>
      <c r="D1160" s="40" t="s">
        <v>295</v>
      </c>
      <c r="E1160" s="24">
        <v>83384000</v>
      </c>
      <c r="F1160" s="39">
        <v>44333</v>
      </c>
      <c r="G1160" s="24">
        <v>83384000</v>
      </c>
      <c r="H1160" s="23">
        <v>5.0000000000000001E-3</v>
      </c>
      <c r="I1160" s="39">
        <v>44531</v>
      </c>
      <c r="J1160" s="39">
        <v>44561</v>
      </c>
      <c r="K1160" s="24">
        <v>31</v>
      </c>
      <c r="L1160" s="24">
        <v>35410</v>
      </c>
      <c r="M1160" s="24">
        <v>83384000</v>
      </c>
      <c r="N1160" s="39">
        <v>46158</v>
      </c>
    </row>
    <row r="1161" spans="1:14" s="5" customFormat="1" outlineLevel="2">
      <c r="A1161" s="39" t="s">
        <v>293</v>
      </c>
      <c r="B1161" s="40" t="s">
        <v>169</v>
      </c>
      <c r="C1161" s="41" t="s">
        <v>294</v>
      </c>
      <c r="D1161" s="40" t="s">
        <v>295</v>
      </c>
      <c r="E1161" s="24">
        <v>11904000</v>
      </c>
      <c r="F1161" s="39">
        <v>44347</v>
      </c>
      <c r="G1161" s="24">
        <v>11904000</v>
      </c>
      <c r="H1161" s="23">
        <v>5.0000000000000001E-3</v>
      </c>
      <c r="I1161" s="39">
        <v>44531</v>
      </c>
      <c r="J1161" s="39">
        <v>44561</v>
      </c>
      <c r="K1161" s="24">
        <v>31</v>
      </c>
      <c r="L1161" s="24">
        <v>5055</v>
      </c>
      <c r="M1161" s="24">
        <v>11904000</v>
      </c>
      <c r="N1161" s="39">
        <v>46172</v>
      </c>
    </row>
    <row r="1162" spans="1:14" s="5" customFormat="1" outlineLevel="2">
      <c r="A1162" s="39" t="s">
        <v>293</v>
      </c>
      <c r="B1162" s="40" t="s">
        <v>170</v>
      </c>
      <c r="C1162" s="41" t="s">
        <v>132</v>
      </c>
      <c r="D1162" s="40" t="s">
        <v>133</v>
      </c>
      <c r="E1162" s="24">
        <v>1470000</v>
      </c>
      <c r="F1162" s="39">
        <v>44319</v>
      </c>
      <c r="G1162" s="24">
        <v>1470000</v>
      </c>
      <c r="H1162" s="23">
        <v>5.0000000000000001E-3</v>
      </c>
      <c r="I1162" s="39">
        <v>44531</v>
      </c>
      <c r="J1162" s="39">
        <v>44561</v>
      </c>
      <c r="K1162" s="24">
        <v>31</v>
      </c>
      <c r="L1162" s="24">
        <v>624</v>
      </c>
      <c r="M1162" s="24">
        <v>1470000</v>
      </c>
      <c r="N1162" s="39">
        <v>46144</v>
      </c>
    </row>
    <row r="1163" spans="1:14" s="5" customFormat="1" outlineLevel="2">
      <c r="A1163" s="39" t="s">
        <v>293</v>
      </c>
      <c r="B1163" s="40" t="s">
        <v>171</v>
      </c>
      <c r="C1163" s="41" t="s">
        <v>132</v>
      </c>
      <c r="D1163" s="40" t="s">
        <v>133</v>
      </c>
      <c r="E1163" s="24">
        <v>1480000</v>
      </c>
      <c r="F1163" s="39">
        <v>44341</v>
      </c>
      <c r="G1163" s="24">
        <v>1480000</v>
      </c>
      <c r="H1163" s="23">
        <v>5.0000000000000001E-3</v>
      </c>
      <c r="I1163" s="39">
        <v>44531</v>
      </c>
      <c r="J1163" s="39">
        <v>44561</v>
      </c>
      <c r="K1163" s="24">
        <v>31</v>
      </c>
      <c r="L1163" s="24">
        <v>628</v>
      </c>
      <c r="M1163" s="24">
        <v>1480000</v>
      </c>
      <c r="N1163" s="39">
        <v>46166</v>
      </c>
    </row>
    <row r="1164" spans="1:14" s="5" customFormat="1" outlineLevel="2">
      <c r="A1164" s="39" t="s">
        <v>293</v>
      </c>
      <c r="B1164" s="40" t="s">
        <v>172</v>
      </c>
      <c r="C1164" s="41" t="s">
        <v>132</v>
      </c>
      <c r="D1164" s="40" t="s">
        <v>133</v>
      </c>
      <c r="E1164" s="24">
        <v>6090000</v>
      </c>
      <c r="F1164" s="39">
        <v>44326</v>
      </c>
      <c r="G1164" s="24">
        <v>6090000</v>
      </c>
      <c r="H1164" s="23">
        <v>5.0000000000000001E-3</v>
      </c>
      <c r="I1164" s="39">
        <v>44531</v>
      </c>
      <c r="J1164" s="39">
        <v>44561</v>
      </c>
      <c r="K1164" s="24">
        <v>31</v>
      </c>
      <c r="L1164" s="24">
        <v>2586</v>
      </c>
      <c r="M1164" s="24">
        <v>6090000</v>
      </c>
      <c r="N1164" s="39">
        <v>46151</v>
      </c>
    </row>
    <row r="1165" spans="1:14" s="5" customFormat="1" outlineLevel="2">
      <c r="A1165" s="39" t="s">
        <v>293</v>
      </c>
      <c r="B1165" s="40" t="s">
        <v>173</v>
      </c>
      <c r="C1165" s="41" t="s">
        <v>132</v>
      </c>
      <c r="D1165" s="40" t="s">
        <v>133</v>
      </c>
      <c r="E1165" s="24">
        <v>9220000</v>
      </c>
      <c r="F1165" s="39">
        <v>44341</v>
      </c>
      <c r="G1165" s="24">
        <v>9220000</v>
      </c>
      <c r="H1165" s="23">
        <v>5.0000000000000001E-3</v>
      </c>
      <c r="I1165" s="39">
        <v>44531</v>
      </c>
      <c r="J1165" s="39">
        <v>44561</v>
      </c>
      <c r="K1165" s="24">
        <v>31</v>
      </c>
      <c r="L1165" s="24">
        <v>3915</v>
      </c>
      <c r="M1165" s="24">
        <v>9220000</v>
      </c>
      <c r="N1165" s="39">
        <v>46166</v>
      </c>
    </row>
    <row r="1166" spans="1:14" s="5" customFormat="1" outlineLevel="2">
      <c r="A1166" s="39" t="s">
        <v>293</v>
      </c>
      <c r="B1166" s="40" t="s">
        <v>62</v>
      </c>
      <c r="C1166" s="41" t="s">
        <v>55</v>
      </c>
      <c r="D1166" s="40" t="s">
        <v>56</v>
      </c>
      <c r="E1166" s="24">
        <v>19997321</v>
      </c>
      <c r="F1166" s="39">
        <v>43948</v>
      </c>
      <c r="G1166" s="24">
        <v>19997321</v>
      </c>
      <c r="H1166" s="23">
        <v>5.0000000000000001E-3</v>
      </c>
      <c r="I1166" s="39">
        <v>44531</v>
      </c>
      <c r="J1166" s="39">
        <v>44561</v>
      </c>
      <c r="K1166" s="24">
        <v>31</v>
      </c>
      <c r="L1166" s="24">
        <v>8492</v>
      </c>
      <c r="M1166" s="24">
        <v>19997321</v>
      </c>
      <c r="N1166" s="39">
        <v>45773</v>
      </c>
    </row>
    <row r="1167" spans="1:14" s="5" customFormat="1" outlineLevel="2">
      <c r="A1167" s="39" t="s">
        <v>293</v>
      </c>
      <c r="B1167" s="40" t="s">
        <v>174</v>
      </c>
      <c r="C1167" s="41" t="s">
        <v>294</v>
      </c>
      <c r="D1167" s="40" t="s">
        <v>295</v>
      </c>
      <c r="E1167" s="24">
        <v>4424000</v>
      </c>
      <c r="F1167" s="39">
        <v>44362</v>
      </c>
      <c r="G1167" s="24">
        <v>4424000</v>
      </c>
      <c r="H1167" s="23">
        <v>5.0000000000000001E-3</v>
      </c>
      <c r="I1167" s="39">
        <v>44531</v>
      </c>
      <c r="J1167" s="39">
        <v>44561</v>
      </c>
      <c r="K1167" s="24">
        <v>31</v>
      </c>
      <c r="L1167" s="24">
        <v>1879</v>
      </c>
      <c r="M1167" s="24">
        <v>4424000</v>
      </c>
      <c r="N1167" s="39">
        <v>46187</v>
      </c>
    </row>
    <row r="1168" spans="1:14" s="5" customFormat="1" outlineLevel="2">
      <c r="A1168" s="39" t="s">
        <v>293</v>
      </c>
      <c r="B1168" s="40" t="s">
        <v>175</v>
      </c>
      <c r="C1168" s="41" t="s">
        <v>115</v>
      </c>
      <c r="D1168" s="40" t="s">
        <v>116</v>
      </c>
      <c r="E1168" s="24">
        <v>17000000</v>
      </c>
      <c r="F1168" s="39">
        <v>44370</v>
      </c>
      <c r="G1168" s="24">
        <v>17000000</v>
      </c>
      <c r="H1168" s="23">
        <v>5.0000000000000001E-3</v>
      </c>
      <c r="I1168" s="39">
        <v>44531</v>
      </c>
      <c r="J1168" s="39">
        <v>44561</v>
      </c>
      <c r="K1168" s="24">
        <v>31</v>
      </c>
      <c r="L1168" s="24">
        <v>7219</v>
      </c>
      <c r="M1168" s="24">
        <v>17000000</v>
      </c>
      <c r="N1168" s="39">
        <v>45465</v>
      </c>
    </row>
    <row r="1169" spans="1:14" s="5" customFormat="1" outlineLevel="2">
      <c r="A1169" s="39" t="s">
        <v>293</v>
      </c>
      <c r="B1169" s="40" t="s">
        <v>176</v>
      </c>
      <c r="C1169" s="41" t="s">
        <v>132</v>
      </c>
      <c r="D1169" s="40" t="s">
        <v>133</v>
      </c>
      <c r="E1169" s="24">
        <v>1420000</v>
      </c>
      <c r="F1169" s="39">
        <v>44368</v>
      </c>
      <c r="G1169" s="24">
        <v>1420000</v>
      </c>
      <c r="H1169" s="23">
        <v>5.0000000000000001E-3</v>
      </c>
      <c r="I1169" s="39">
        <v>44531</v>
      </c>
      <c r="J1169" s="39">
        <v>44561</v>
      </c>
      <c r="K1169" s="24">
        <v>31</v>
      </c>
      <c r="L1169" s="24">
        <v>603</v>
      </c>
      <c r="M1169" s="24">
        <v>1420000</v>
      </c>
      <c r="N1169" s="39">
        <v>46193</v>
      </c>
    </row>
    <row r="1170" spans="1:14" s="5" customFormat="1" outlineLevel="2">
      <c r="A1170" s="39" t="s">
        <v>293</v>
      </c>
      <c r="B1170" s="40" t="s">
        <v>177</v>
      </c>
      <c r="C1170" s="41" t="s">
        <v>132</v>
      </c>
      <c r="D1170" s="40" t="s">
        <v>133</v>
      </c>
      <c r="E1170" s="24">
        <v>6000000</v>
      </c>
      <c r="F1170" s="39">
        <v>44357</v>
      </c>
      <c r="G1170" s="24">
        <v>6000000</v>
      </c>
      <c r="H1170" s="23">
        <v>5.0000000000000001E-3</v>
      </c>
      <c r="I1170" s="39">
        <v>44531</v>
      </c>
      <c r="J1170" s="39">
        <v>44561</v>
      </c>
      <c r="K1170" s="24">
        <v>31</v>
      </c>
      <c r="L1170" s="24">
        <v>2548</v>
      </c>
      <c r="M1170" s="24">
        <v>6000000</v>
      </c>
      <c r="N1170" s="39">
        <v>46182</v>
      </c>
    </row>
    <row r="1171" spans="1:14" s="5" customFormat="1" outlineLevel="2">
      <c r="A1171" s="39" t="s">
        <v>293</v>
      </c>
      <c r="B1171" s="40" t="s">
        <v>178</v>
      </c>
      <c r="C1171" s="41" t="s">
        <v>132</v>
      </c>
      <c r="D1171" s="40" t="s">
        <v>133</v>
      </c>
      <c r="E1171" s="24">
        <v>760000</v>
      </c>
      <c r="F1171" s="39">
        <v>44372</v>
      </c>
      <c r="G1171" s="24">
        <v>760000</v>
      </c>
      <c r="H1171" s="23">
        <v>5.0000000000000001E-3</v>
      </c>
      <c r="I1171" s="39">
        <v>44531</v>
      </c>
      <c r="J1171" s="39">
        <v>44561</v>
      </c>
      <c r="K1171" s="24">
        <v>31</v>
      </c>
      <c r="L1171" s="24">
        <v>323</v>
      </c>
      <c r="M1171" s="24">
        <v>760000</v>
      </c>
      <c r="N1171" s="39">
        <v>46197</v>
      </c>
    </row>
    <row r="1172" spans="1:14" s="5" customFormat="1" outlineLevel="2">
      <c r="A1172" s="39" t="s">
        <v>293</v>
      </c>
      <c r="B1172" s="40" t="s">
        <v>179</v>
      </c>
      <c r="C1172" s="41" t="s">
        <v>294</v>
      </c>
      <c r="D1172" s="40" t="s">
        <v>295</v>
      </c>
      <c r="E1172" s="24">
        <v>35516244</v>
      </c>
      <c r="F1172" s="39">
        <v>44392</v>
      </c>
      <c r="G1172" s="24">
        <v>35516244</v>
      </c>
      <c r="H1172" s="23">
        <v>5.0000000000000001E-3</v>
      </c>
      <c r="I1172" s="39">
        <v>44531</v>
      </c>
      <c r="J1172" s="39">
        <v>44561</v>
      </c>
      <c r="K1172" s="24">
        <v>31</v>
      </c>
      <c r="L1172" s="24">
        <v>15082</v>
      </c>
      <c r="M1172" s="24">
        <v>35516244</v>
      </c>
      <c r="N1172" s="39">
        <v>46217</v>
      </c>
    </row>
    <row r="1173" spans="1:14" s="5" customFormat="1" outlineLevel="2">
      <c r="A1173" s="39" t="s">
        <v>293</v>
      </c>
      <c r="B1173" s="40" t="s">
        <v>180</v>
      </c>
      <c r="C1173" s="41" t="s">
        <v>132</v>
      </c>
      <c r="D1173" s="40" t="s">
        <v>133</v>
      </c>
      <c r="E1173" s="24">
        <v>3890000</v>
      </c>
      <c r="F1173" s="39">
        <v>44382</v>
      </c>
      <c r="G1173" s="24">
        <v>3890000</v>
      </c>
      <c r="H1173" s="23">
        <v>5.0000000000000001E-3</v>
      </c>
      <c r="I1173" s="39">
        <v>44531</v>
      </c>
      <c r="J1173" s="39">
        <v>44561</v>
      </c>
      <c r="K1173" s="24">
        <v>31</v>
      </c>
      <c r="L1173" s="24">
        <v>1652</v>
      </c>
      <c r="M1173" s="24">
        <v>3890000</v>
      </c>
      <c r="N1173" s="39">
        <v>46207</v>
      </c>
    </row>
    <row r="1174" spans="1:14" s="5" customFormat="1" outlineLevel="2">
      <c r="A1174" s="39" t="s">
        <v>293</v>
      </c>
      <c r="B1174" s="40" t="s">
        <v>181</v>
      </c>
      <c r="C1174" s="41" t="s">
        <v>132</v>
      </c>
      <c r="D1174" s="40" t="s">
        <v>133</v>
      </c>
      <c r="E1174" s="24">
        <v>1360000</v>
      </c>
      <c r="F1174" s="39">
        <v>44389</v>
      </c>
      <c r="G1174" s="24">
        <v>1360000</v>
      </c>
      <c r="H1174" s="23">
        <v>5.0000000000000001E-3</v>
      </c>
      <c r="I1174" s="39">
        <v>44531</v>
      </c>
      <c r="J1174" s="39">
        <v>44561</v>
      </c>
      <c r="K1174" s="24">
        <v>31</v>
      </c>
      <c r="L1174" s="24">
        <v>578</v>
      </c>
      <c r="M1174" s="24">
        <v>1360000</v>
      </c>
      <c r="N1174" s="39">
        <v>46214</v>
      </c>
    </row>
    <row r="1175" spans="1:14" s="5" customFormat="1" outlineLevel="2">
      <c r="A1175" s="39" t="s">
        <v>293</v>
      </c>
      <c r="B1175" s="40" t="s">
        <v>182</v>
      </c>
      <c r="C1175" s="41" t="s">
        <v>132</v>
      </c>
      <c r="D1175" s="40" t="s">
        <v>133</v>
      </c>
      <c r="E1175" s="24">
        <v>7190000</v>
      </c>
      <c r="F1175" s="39">
        <v>44389</v>
      </c>
      <c r="G1175" s="24">
        <v>7190000</v>
      </c>
      <c r="H1175" s="23">
        <v>5.0000000000000001E-3</v>
      </c>
      <c r="I1175" s="39">
        <v>44531</v>
      </c>
      <c r="J1175" s="39">
        <v>44561</v>
      </c>
      <c r="K1175" s="24">
        <v>31</v>
      </c>
      <c r="L1175" s="24">
        <v>3053</v>
      </c>
      <c r="M1175" s="24">
        <v>7190000</v>
      </c>
      <c r="N1175" s="39">
        <v>46214</v>
      </c>
    </row>
    <row r="1176" spans="1:14" s="5" customFormat="1" outlineLevel="2">
      <c r="A1176" s="39" t="s">
        <v>293</v>
      </c>
      <c r="B1176" s="40" t="s">
        <v>183</v>
      </c>
      <c r="C1176" s="41" t="s">
        <v>132</v>
      </c>
      <c r="D1176" s="40" t="s">
        <v>133</v>
      </c>
      <c r="E1176" s="24">
        <v>3120000</v>
      </c>
      <c r="F1176" s="39">
        <v>44403</v>
      </c>
      <c r="G1176" s="24">
        <v>3120000</v>
      </c>
      <c r="H1176" s="23">
        <v>5.0000000000000001E-3</v>
      </c>
      <c r="I1176" s="39">
        <v>44531</v>
      </c>
      <c r="J1176" s="39">
        <v>44561</v>
      </c>
      <c r="K1176" s="24">
        <v>31</v>
      </c>
      <c r="L1176" s="24">
        <v>1325</v>
      </c>
      <c r="M1176" s="24">
        <v>3120000</v>
      </c>
      <c r="N1176" s="39">
        <v>46228</v>
      </c>
    </row>
    <row r="1177" spans="1:14" s="5" customFormat="1" outlineLevel="2">
      <c r="A1177" s="39" t="s">
        <v>293</v>
      </c>
      <c r="B1177" s="40" t="s">
        <v>63</v>
      </c>
      <c r="C1177" s="41" t="s">
        <v>20</v>
      </c>
      <c r="D1177" s="40" t="s">
        <v>21</v>
      </c>
      <c r="E1177" s="24">
        <v>242400000</v>
      </c>
      <c r="F1177" s="39">
        <v>43930</v>
      </c>
      <c r="G1177" s="24">
        <v>242400000</v>
      </c>
      <c r="H1177" s="23">
        <v>3.0000000000000001E-3</v>
      </c>
      <c r="I1177" s="39">
        <v>44531</v>
      </c>
      <c r="J1177" s="39">
        <v>44561</v>
      </c>
      <c r="K1177" s="24">
        <v>31</v>
      </c>
      <c r="L1177" s="24">
        <v>61762</v>
      </c>
      <c r="M1177" s="24">
        <v>242400000</v>
      </c>
      <c r="N1177" s="39">
        <v>45755</v>
      </c>
    </row>
    <row r="1178" spans="1:14" s="5" customFormat="1" outlineLevel="2">
      <c r="A1178" s="39" t="s">
        <v>293</v>
      </c>
      <c r="B1178" s="40" t="s">
        <v>184</v>
      </c>
      <c r="C1178" s="41" t="s">
        <v>115</v>
      </c>
      <c r="D1178" s="40" t="s">
        <v>116</v>
      </c>
      <c r="E1178" s="24">
        <v>12250000</v>
      </c>
      <c r="F1178" s="39">
        <v>44426</v>
      </c>
      <c r="G1178" s="24">
        <v>12250000</v>
      </c>
      <c r="H1178" s="23">
        <v>5.0000000000000001E-3</v>
      </c>
      <c r="I1178" s="39">
        <v>44531</v>
      </c>
      <c r="J1178" s="39">
        <v>44561</v>
      </c>
      <c r="K1178" s="24">
        <v>31</v>
      </c>
      <c r="L1178" s="24">
        <v>5202</v>
      </c>
      <c r="M1178" s="24">
        <v>12250000</v>
      </c>
      <c r="N1178" s="39">
        <v>46251</v>
      </c>
    </row>
    <row r="1179" spans="1:14" s="5" customFormat="1" outlineLevel="2">
      <c r="A1179" s="39" t="s">
        <v>293</v>
      </c>
      <c r="B1179" s="40" t="s">
        <v>185</v>
      </c>
      <c r="C1179" s="41" t="s">
        <v>132</v>
      </c>
      <c r="D1179" s="40" t="s">
        <v>133</v>
      </c>
      <c r="E1179" s="24">
        <v>4750000</v>
      </c>
      <c r="F1179" s="39">
        <v>44418</v>
      </c>
      <c r="G1179" s="24">
        <v>4750000</v>
      </c>
      <c r="H1179" s="23">
        <v>5.0000000000000001E-3</v>
      </c>
      <c r="I1179" s="39">
        <v>44531</v>
      </c>
      <c r="J1179" s="39">
        <v>44561</v>
      </c>
      <c r="K1179" s="24">
        <v>31</v>
      </c>
      <c r="L1179" s="24">
        <v>2017</v>
      </c>
      <c r="M1179" s="24">
        <v>4750000</v>
      </c>
      <c r="N1179" s="39">
        <v>46243</v>
      </c>
    </row>
    <row r="1180" spans="1:14" s="5" customFormat="1" outlineLevel="2">
      <c r="A1180" s="39" t="s">
        <v>293</v>
      </c>
      <c r="B1180" s="40" t="s">
        <v>186</v>
      </c>
      <c r="C1180" s="41" t="s">
        <v>132</v>
      </c>
      <c r="D1180" s="40" t="s">
        <v>133</v>
      </c>
      <c r="E1180" s="24">
        <v>1750000</v>
      </c>
      <c r="F1180" s="39">
        <v>44418</v>
      </c>
      <c r="G1180" s="24">
        <v>1750000</v>
      </c>
      <c r="H1180" s="23">
        <v>5.0000000000000001E-3</v>
      </c>
      <c r="I1180" s="39">
        <v>44531</v>
      </c>
      <c r="J1180" s="39">
        <v>44561</v>
      </c>
      <c r="K1180" s="24">
        <v>31</v>
      </c>
      <c r="L1180" s="24">
        <v>743</v>
      </c>
      <c r="M1180" s="24">
        <v>1750000</v>
      </c>
      <c r="N1180" s="39">
        <v>46243</v>
      </c>
    </row>
    <row r="1181" spans="1:14" s="5" customFormat="1" outlineLevel="2">
      <c r="A1181" s="39" t="s">
        <v>293</v>
      </c>
      <c r="B1181" s="40" t="s">
        <v>189</v>
      </c>
      <c r="C1181" s="41" t="s">
        <v>294</v>
      </c>
      <c r="D1181" s="40" t="s">
        <v>295</v>
      </c>
      <c r="E1181" s="24">
        <v>80418236</v>
      </c>
      <c r="F1181" s="39">
        <v>44454</v>
      </c>
      <c r="G1181" s="24">
        <v>80418236</v>
      </c>
      <c r="H1181" s="23">
        <v>5.0000000000000001E-3</v>
      </c>
      <c r="I1181" s="39">
        <v>44531</v>
      </c>
      <c r="J1181" s="39">
        <v>44561</v>
      </c>
      <c r="K1181" s="24">
        <v>31</v>
      </c>
      <c r="L1181" s="24">
        <v>34150</v>
      </c>
      <c r="M1181" s="24">
        <v>80418236</v>
      </c>
      <c r="N1181" s="39">
        <v>46279</v>
      </c>
    </row>
    <row r="1182" spans="1:14" s="5" customFormat="1" outlineLevel="2">
      <c r="A1182" s="39" t="s">
        <v>293</v>
      </c>
      <c r="B1182" s="40" t="s">
        <v>190</v>
      </c>
      <c r="C1182" s="41" t="s">
        <v>294</v>
      </c>
      <c r="D1182" s="40" t="s">
        <v>295</v>
      </c>
      <c r="E1182" s="24">
        <v>39822560</v>
      </c>
      <c r="F1182" s="39">
        <v>44452</v>
      </c>
      <c r="G1182" s="24">
        <v>39822560</v>
      </c>
      <c r="H1182" s="23">
        <v>5.0000000000000001E-3</v>
      </c>
      <c r="I1182" s="39">
        <v>44531</v>
      </c>
      <c r="J1182" s="39">
        <v>44561</v>
      </c>
      <c r="K1182" s="24">
        <v>31</v>
      </c>
      <c r="L1182" s="24">
        <v>16911</v>
      </c>
      <c r="M1182" s="24">
        <v>39822560</v>
      </c>
      <c r="N1182" s="39">
        <v>45547</v>
      </c>
    </row>
    <row r="1183" spans="1:14" s="5" customFormat="1" outlineLevel="2">
      <c r="A1183" s="39" t="s">
        <v>293</v>
      </c>
      <c r="B1183" s="40" t="s">
        <v>191</v>
      </c>
      <c r="C1183" s="41" t="s">
        <v>132</v>
      </c>
      <c r="D1183" s="40" t="s">
        <v>133</v>
      </c>
      <c r="E1183" s="24">
        <v>3720000</v>
      </c>
      <c r="F1183" s="39">
        <v>44440</v>
      </c>
      <c r="G1183" s="24">
        <v>3720000</v>
      </c>
      <c r="H1183" s="23">
        <v>5.0000000000000001E-3</v>
      </c>
      <c r="I1183" s="39">
        <v>44531</v>
      </c>
      <c r="J1183" s="39">
        <v>44561</v>
      </c>
      <c r="K1183" s="24">
        <v>31</v>
      </c>
      <c r="L1183" s="24">
        <v>1580</v>
      </c>
      <c r="M1183" s="24">
        <v>3720000</v>
      </c>
      <c r="N1183" s="39">
        <v>46265</v>
      </c>
    </row>
    <row r="1184" spans="1:14" s="5" customFormat="1" outlineLevel="2">
      <c r="A1184" s="39" t="s">
        <v>293</v>
      </c>
      <c r="B1184" s="40" t="s">
        <v>192</v>
      </c>
      <c r="C1184" s="41" t="s">
        <v>294</v>
      </c>
      <c r="D1184" s="40" t="s">
        <v>295</v>
      </c>
      <c r="E1184" s="24">
        <v>34264000</v>
      </c>
      <c r="F1184" s="39">
        <v>44484</v>
      </c>
      <c r="G1184" s="24">
        <v>34264000</v>
      </c>
      <c r="H1184" s="23">
        <v>5.0000000000000001E-3</v>
      </c>
      <c r="I1184" s="39">
        <v>44531</v>
      </c>
      <c r="J1184" s="39">
        <v>44561</v>
      </c>
      <c r="K1184" s="24">
        <v>31</v>
      </c>
      <c r="L1184" s="24">
        <v>14550</v>
      </c>
      <c r="M1184" s="24">
        <v>34264000</v>
      </c>
      <c r="N1184" s="39">
        <v>46309</v>
      </c>
    </row>
    <row r="1185" spans="1:14" s="5" customFormat="1" outlineLevel="2">
      <c r="A1185" s="39" t="s">
        <v>293</v>
      </c>
      <c r="B1185" s="40" t="s">
        <v>193</v>
      </c>
      <c r="C1185" s="41" t="s">
        <v>20</v>
      </c>
      <c r="D1185" s="40" t="s">
        <v>21</v>
      </c>
      <c r="E1185" s="24">
        <v>24000000</v>
      </c>
      <c r="F1185" s="39">
        <v>44504</v>
      </c>
      <c r="G1185" s="24">
        <v>24000000</v>
      </c>
      <c r="H1185" s="23">
        <v>3.0000000000000001E-3</v>
      </c>
      <c r="I1185" s="39">
        <v>44531</v>
      </c>
      <c r="J1185" s="39">
        <v>44561</v>
      </c>
      <c r="K1185" s="24">
        <v>31</v>
      </c>
      <c r="L1185" s="24">
        <v>6115</v>
      </c>
      <c r="M1185" s="24">
        <v>24000000</v>
      </c>
      <c r="N1185" s="39">
        <v>46329</v>
      </c>
    </row>
    <row r="1186" spans="1:14" s="5" customFormat="1" outlineLevel="2">
      <c r="A1186" s="39" t="s">
        <v>293</v>
      </c>
      <c r="B1186" s="40" t="s">
        <v>194</v>
      </c>
      <c r="C1186" s="41" t="s">
        <v>132</v>
      </c>
      <c r="D1186" s="40" t="s">
        <v>133</v>
      </c>
      <c r="E1186" s="24">
        <v>3080000</v>
      </c>
      <c r="F1186" s="39">
        <v>44525</v>
      </c>
      <c r="G1186" s="24">
        <v>3080000</v>
      </c>
      <c r="H1186" s="23">
        <v>5.0000000000000001E-3</v>
      </c>
      <c r="I1186" s="39">
        <v>44531</v>
      </c>
      <c r="J1186" s="39">
        <v>44561</v>
      </c>
      <c r="K1186" s="24">
        <v>31</v>
      </c>
      <c r="L1186" s="24">
        <v>1308</v>
      </c>
      <c r="M1186" s="24">
        <v>3080000</v>
      </c>
      <c r="N1186" s="39">
        <v>46350</v>
      </c>
    </row>
    <row r="1187" spans="1:14" s="5" customFormat="1" outlineLevel="2">
      <c r="A1187" s="39" t="s">
        <v>293</v>
      </c>
      <c r="B1187" s="40" t="s">
        <v>195</v>
      </c>
      <c r="C1187" s="41" t="s">
        <v>294</v>
      </c>
      <c r="D1187" s="40" t="s">
        <v>295</v>
      </c>
      <c r="E1187" s="24">
        <v>57575178</v>
      </c>
      <c r="F1187" s="39">
        <v>44524</v>
      </c>
      <c r="G1187" s="24">
        <v>57575178</v>
      </c>
      <c r="H1187" s="23">
        <v>5.0000000000000001E-3</v>
      </c>
      <c r="I1187" s="39">
        <v>44531</v>
      </c>
      <c r="J1187" s="39">
        <v>44561</v>
      </c>
      <c r="K1187" s="24">
        <v>31</v>
      </c>
      <c r="L1187" s="24">
        <v>24450</v>
      </c>
      <c r="M1187" s="24">
        <v>57575178</v>
      </c>
      <c r="N1187" s="39">
        <v>45619</v>
      </c>
    </row>
    <row r="1188" spans="1:14" s="5" customFormat="1" outlineLevel="2">
      <c r="A1188" s="39" t="s">
        <v>293</v>
      </c>
      <c r="B1188" s="40" t="s">
        <v>64</v>
      </c>
      <c r="C1188" s="41" t="s">
        <v>20</v>
      </c>
      <c r="D1188" s="40" t="s">
        <v>21</v>
      </c>
      <c r="E1188" s="24">
        <v>156000000</v>
      </c>
      <c r="F1188" s="39">
        <v>43958</v>
      </c>
      <c r="G1188" s="24">
        <v>156000000</v>
      </c>
      <c r="H1188" s="23">
        <v>3.0000000000000001E-3</v>
      </c>
      <c r="I1188" s="39">
        <v>44531</v>
      </c>
      <c r="J1188" s="39">
        <v>44561</v>
      </c>
      <c r="K1188" s="24">
        <v>31</v>
      </c>
      <c r="L1188" s="24">
        <v>39748</v>
      </c>
      <c r="M1188" s="24">
        <v>156000000</v>
      </c>
      <c r="N1188" s="39">
        <v>45783</v>
      </c>
    </row>
    <row r="1189" spans="1:14" s="5" customFormat="1" outlineLevel="2">
      <c r="A1189" s="39" t="s">
        <v>293</v>
      </c>
      <c r="B1189" s="40" t="s">
        <v>196</v>
      </c>
      <c r="C1189" s="41" t="s">
        <v>115</v>
      </c>
      <c r="D1189" s="40" t="s">
        <v>116</v>
      </c>
      <c r="E1189" s="24">
        <v>11000000</v>
      </c>
      <c r="F1189" s="39">
        <v>44553</v>
      </c>
      <c r="G1189" s="24">
        <v>11000000</v>
      </c>
      <c r="H1189" s="23">
        <v>5.0000000000000001E-3</v>
      </c>
      <c r="I1189" s="39">
        <v>44553</v>
      </c>
      <c r="J1189" s="39">
        <v>44561</v>
      </c>
      <c r="K1189" s="24">
        <v>9</v>
      </c>
      <c r="L1189" s="24">
        <v>1356</v>
      </c>
      <c r="M1189" s="24">
        <v>11000000</v>
      </c>
      <c r="N1189" s="39">
        <v>45648</v>
      </c>
    </row>
    <row r="1190" spans="1:14" s="5" customFormat="1" outlineLevel="2">
      <c r="A1190" s="39" t="s">
        <v>293</v>
      </c>
      <c r="B1190" s="40" t="s">
        <v>197</v>
      </c>
      <c r="C1190" s="41" t="s">
        <v>132</v>
      </c>
      <c r="D1190" s="40" t="s">
        <v>133</v>
      </c>
      <c r="E1190" s="24">
        <v>2250000</v>
      </c>
      <c r="F1190" s="39">
        <v>44531</v>
      </c>
      <c r="G1190" s="24">
        <v>2250000</v>
      </c>
      <c r="H1190" s="23">
        <v>5.0000000000000001E-3</v>
      </c>
      <c r="I1190" s="39">
        <v>44531</v>
      </c>
      <c r="J1190" s="39">
        <v>44561</v>
      </c>
      <c r="K1190" s="24">
        <v>31</v>
      </c>
      <c r="L1190" s="24">
        <v>955</v>
      </c>
      <c r="M1190" s="24">
        <v>2250000</v>
      </c>
      <c r="N1190" s="39">
        <v>46356</v>
      </c>
    </row>
    <row r="1191" spans="1:14" s="5" customFormat="1" outlineLevel="2">
      <c r="A1191" s="39" t="s">
        <v>293</v>
      </c>
      <c r="B1191" s="40" t="s">
        <v>198</v>
      </c>
      <c r="C1191" s="41" t="s">
        <v>132</v>
      </c>
      <c r="D1191" s="40" t="s">
        <v>133</v>
      </c>
      <c r="E1191" s="24">
        <v>1830000</v>
      </c>
      <c r="F1191" s="39">
        <v>44540</v>
      </c>
      <c r="G1191" s="24">
        <v>1830000</v>
      </c>
      <c r="H1191" s="23">
        <v>5.0000000000000001E-3</v>
      </c>
      <c r="I1191" s="39">
        <v>44540</v>
      </c>
      <c r="J1191" s="39">
        <v>44561</v>
      </c>
      <c r="K1191" s="24">
        <v>22</v>
      </c>
      <c r="L1191" s="24">
        <v>552</v>
      </c>
      <c r="M1191" s="24">
        <v>1830000</v>
      </c>
      <c r="N1191" s="39">
        <v>46365</v>
      </c>
    </row>
    <row r="1192" spans="1:14" s="5" customFormat="1" outlineLevel="2">
      <c r="A1192" s="39" t="s">
        <v>293</v>
      </c>
      <c r="B1192" s="40" t="s">
        <v>65</v>
      </c>
      <c r="C1192" s="41" t="s">
        <v>294</v>
      </c>
      <c r="D1192" s="40" t="s">
        <v>295</v>
      </c>
      <c r="E1192" s="24">
        <v>33840000</v>
      </c>
      <c r="F1192" s="39">
        <v>43986</v>
      </c>
      <c r="G1192" s="24">
        <v>33840000</v>
      </c>
      <c r="H1192" s="23">
        <v>5.0000000000000001E-3</v>
      </c>
      <c r="I1192" s="39">
        <v>44531</v>
      </c>
      <c r="J1192" s="39">
        <v>44561</v>
      </c>
      <c r="K1192" s="24">
        <v>31</v>
      </c>
      <c r="L1192" s="24">
        <v>14370</v>
      </c>
      <c r="M1192" s="24">
        <v>33840000</v>
      </c>
      <c r="N1192" s="39">
        <v>45811</v>
      </c>
    </row>
    <row r="1193" spans="1:14" s="5" customFormat="1" outlineLevel="2">
      <c r="A1193" s="39" t="s">
        <v>293</v>
      </c>
      <c r="B1193" s="40" t="s">
        <v>68</v>
      </c>
      <c r="C1193" s="41" t="s">
        <v>294</v>
      </c>
      <c r="D1193" s="40" t="s">
        <v>295</v>
      </c>
      <c r="E1193" s="24">
        <v>134396612</v>
      </c>
      <c r="F1193" s="39">
        <v>43986</v>
      </c>
      <c r="G1193" s="24">
        <v>134396612</v>
      </c>
      <c r="H1193" s="23">
        <v>5.0000000000000001E-3</v>
      </c>
      <c r="I1193" s="39">
        <v>44531</v>
      </c>
      <c r="J1193" s="39">
        <v>44561</v>
      </c>
      <c r="K1193" s="24">
        <v>31</v>
      </c>
      <c r="L1193" s="24">
        <v>57073</v>
      </c>
      <c r="M1193" s="24">
        <v>134396612</v>
      </c>
      <c r="N1193" s="39">
        <v>45811</v>
      </c>
    </row>
    <row r="1194" spans="1:14" s="5" customFormat="1" outlineLevel="1">
      <c r="A1194" s="42" t="s">
        <v>296</v>
      </c>
      <c r="B1194" s="43"/>
      <c r="C1194" s="44"/>
      <c r="D1194" s="43"/>
      <c r="E1194" s="45">
        <v>2612581561</v>
      </c>
      <c r="F1194" s="46"/>
      <c r="G1194" s="45"/>
      <c r="H1194" s="47"/>
      <c r="I1194" s="46"/>
      <c r="J1194" s="46"/>
      <c r="K1194" s="45"/>
      <c r="L1194" s="45">
        <v>963148</v>
      </c>
      <c r="M1194" s="45">
        <v>2605526830</v>
      </c>
      <c r="N1194" s="46"/>
    </row>
    <row r="1195" spans="1:14" s="17" customFormat="1" ht="19.5" outlineLevel="1">
      <c r="A1195" s="11"/>
      <c r="B1195" s="12"/>
      <c r="C1195" s="13"/>
      <c r="D1195" s="12"/>
      <c r="E1195" s="14"/>
      <c r="F1195" s="15"/>
      <c r="G1195" s="14"/>
      <c r="H1195" s="16"/>
      <c r="I1195" s="15"/>
      <c r="J1195" s="15"/>
      <c r="K1195" s="14"/>
      <c r="L1195" s="14"/>
      <c r="M1195" s="14"/>
      <c r="N1195" s="15"/>
    </row>
    <row r="1196" spans="1:14" s="5" customFormat="1" ht="19.5">
      <c r="A1196" s="9" t="s">
        <v>297</v>
      </c>
      <c r="B1196" s="6"/>
      <c r="C1196" s="7"/>
      <c r="D1196" s="6"/>
      <c r="E1196" s="8">
        <v>44296635003</v>
      </c>
      <c r="F1196" s="9"/>
      <c r="G1196" s="8"/>
      <c r="H1196" s="10"/>
      <c r="I1196" s="9"/>
      <c r="J1196" s="9"/>
      <c r="K1196" s="8"/>
      <c r="L1196" s="8">
        <v>16634637</v>
      </c>
      <c r="M1196" s="8">
        <v>43789111412</v>
      </c>
      <c r="N1196" s="9"/>
    </row>
    <row r="1198" spans="1:14" ht="19.5">
      <c r="A1198" s="18" t="s">
        <v>298</v>
      </c>
      <c r="B1198" s="18"/>
      <c r="E1198" s="19" t="s">
        <v>299</v>
      </c>
      <c r="G1198" s="1"/>
      <c r="H1198" s="20" t="s">
        <v>300</v>
      </c>
      <c r="I1198" s="21"/>
    </row>
  </sheetData>
  <autoFilter ref="A3:M1194" xr:uid="{00000000-0009-0000-0000-000000000000}"/>
  <phoneticPr fontId="2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20</vt:i4>
      </vt:variant>
    </vt:vector>
  </HeadingPairs>
  <TitlesOfParts>
    <vt:vector size="3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'8月'!Print_Area</vt:lpstr>
      <vt:lpstr>'10月'!Print_Titles</vt:lpstr>
      <vt:lpstr>'11月'!Print_Titles</vt:lpstr>
      <vt:lpstr>'12月'!Print_Titles</vt:lpstr>
      <vt:lpstr>'1月'!Print_Titles</vt:lpstr>
      <vt:lpstr>'2月'!Print_Titles</vt:lpstr>
      <vt:lpstr>'3月'!Print_Titles</vt:lpstr>
      <vt:lpstr>'4月'!Print_Titles</vt:lpstr>
      <vt:lpstr>'5月'!Print_Titles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Hsueh, Shane S.P. (TW/361A00)</cp:lastModifiedBy>
  <dcterms:created xsi:type="dcterms:W3CDTF">2024-04-19T08:00:02Z</dcterms:created>
  <dcterms:modified xsi:type="dcterms:W3CDTF">2026-03-13T05:59:16Z</dcterms:modified>
</cp:coreProperties>
</file>